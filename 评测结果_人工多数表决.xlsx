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1"/>
  </bookViews>
  <sheets>
    <sheet name="评测集" sheetId="1" r:id="rId1"/>
    <sheet name="人工最终结果"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Zeqing</author>
  </authors>
  <commentList>
    <comment ref="O2" authorId="0">
      <text>
        <r>
          <rPr>
            <sz val="10"/>
            <rFont val="宋体"/>
            <charset val="134"/>
          </rPr>
          <t>Zeqing:</t>
        </r>
      </text>
    </comment>
  </commentList>
</comments>
</file>

<file path=xl/sharedStrings.xml><?xml version="1.0" encoding="utf-8"?>
<sst xmlns="http://schemas.openxmlformats.org/spreadsheetml/2006/main" count="275" uniqueCount="90">
  <si>
    <t>序号</t>
  </si>
  <si>
    <r>
      <t>需求</t>
    </r>
    <r>
      <rPr>
        <sz val="12"/>
        <rFont val="Calibri"/>
        <charset val="134"/>
      </rPr>
      <t>name</t>
    </r>
  </si>
  <si>
    <t>需求描述</t>
  </si>
  <si>
    <t>A</t>
  </si>
  <si>
    <t>B</t>
  </si>
  <si>
    <t>C</t>
  </si>
  <si>
    <t>A vs B</t>
  </si>
  <si>
    <t>B vs C</t>
  </si>
  <si>
    <t>A vs C</t>
  </si>
  <si>
    <t>C01</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</si>
  <si>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</si>
  <si>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</si>
  <si>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t>
  </si>
  <si>
    <t>@startuml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t>
  </si>
  <si>
    <t>@startuml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t>
  </si>
  <si>
    <t>D（平局）</t>
  </si>
  <si>
    <t>C02</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</si>
  <si>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</si>
  <si>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</si>
  <si>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t>
  </si>
  <si>
    <t>@startuml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t>
  </si>
  <si>
    <t>@startuml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t>
  </si>
  <si>
    <t>C03</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</si>
  <si>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</si>
  <si>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</si>
  <si>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t>
  </si>
  <si>
    <t>@startuml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t>
  </si>
  <si>
    <t>@startuml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t>
  </si>
  <si>
    <t>C04</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</si>
  <si>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</si>
  <si>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</si>
  <si>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t>
  </si>
  <si>
    <t>@startuml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t>
  </si>
  <si>
    <t>@startuml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t>
  </si>
  <si>
    <t>C05</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</si>
  <si>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</si>
  <si>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</si>
  <si>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t>
  </si>
  <si>
    <t>@startuml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t>
  </si>
  <si>
    <t>@startuml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t>
  </si>
  <si>
    <t>C06</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</si>
  <si>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</si>
  <si>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</si>
  <si>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t>
  </si>
  <si>
    <t>@startuml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t>
  </si>
  <si>
    <t>@startuml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t>
  </si>
  <si>
    <t>C07</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</si>
  <si>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</si>
  <si>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</si>
  <si>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t>
  </si>
  <si>
    <t>@startuml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t>
  </si>
  <si>
    <t>@startuml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t>
  </si>
  <si>
    <t>C08</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</si>
  <si>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</si>
  <si>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</si>
  <si>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t>
  </si>
  <si>
    <t>@startuml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t>
  </si>
  <si>
    <t>@startuml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t>
  </si>
  <si>
    <t>C09</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</si>
  <si>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</si>
  <si>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</si>
  <si>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t>
  </si>
  <si>
    <t>@startuml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t>
  </si>
  <si>
    <t>@startuml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t>
  </si>
  <si>
    <t>C10</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</si>
  <si>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</si>
  <si>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</si>
  <si>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t>
  </si>
  <si>
    <t>@startuml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t>
  </si>
  <si>
    <t>@startuml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t>
  </si>
  <si>
    <t>C11</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</si>
  <si>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</si>
  <si>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</si>
  <si>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t>
  </si>
  <si>
    <t>@startuml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t>
  </si>
  <si>
    <t>@startuml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t>
  </si>
  <si>
    <t>C12</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</si>
  <si>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</si>
  <si>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</si>
  <si>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t>
  </si>
  <si>
    <t>@startuml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t>
  </si>
  <si>
    <t>@startuml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t>
  </si>
  <si>
    <t>需求name</t>
  </si>
  <si>
    <t>类别</t>
  </si>
  <si>
    <t>评审1</t>
  </si>
  <si>
    <t>评审2</t>
  </si>
  <si>
    <t>评审3</t>
  </si>
  <si>
    <t>人工最终结果</t>
  </si>
  <si>
    <t>票型</t>
  </si>
  <si>
    <t>表决状态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</si>
</sst>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DengXian"/>
      <charset val="134"/>
    </font>
    <font>
      <b/>
      <sz val="11"/>
      <color rgb="FFFFFFFF"/>
      <name val="DengXian"/>
      <charset val="134"/>
    </font>
    <font>
      <sz val="11"/>
      <color rgb="FF111827"/>
      <name val="DengXian"/>
      <charset val="134"/>
    </font>
    <font>
      <b/>
      <sz val="11"/>
      <color rgb="FF0B2545"/>
      <name val="DengXian"/>
      <charset val="134"/>
    </font>
    <font>
      <sz val="12"/>
      <name val="DengXian"/>
      <charset val="134"/>
    </font>
    <font>
      <sz val="11"/>
      <name val="DengXian"/>
      <charset val="134"/>
    </font>
    <font>
      <sz val="12"/>
      <name val="宋体-简"/>
      <charset val="134"/>
    </font>
    <font>
      <sz val="12"/>
      <name val="Calibri"/>
      <charset val="134"/>
    </font>
    <font>
      <sz val="16"/>
      <name val="DengXian"/>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0"/>
      <name val="宋体"/>
      <charset val="134"/>
    </font>
  </fonts>
  <fills count="36">
    <fill>
      <patternFill patternType="none"/>
    </fill>
    <fill>
      <patternFill patternType="gray125"/>
    </fill>
    <fill>
      <patternFill patternType="solid">
        <fgColor rgb="FF0B2545"/>
        <bgColor indexed="64"/>
      </patternFill>
    </fill>
    <fill>
      <patternFill patternType="solid">
        <fgColor rgb="FFF5F7FA"/>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medium">
        <color rgb="FF0B2545"/>
      </left>
      <right/>
      <top style="medium">
        <color rgb="FF0B2545"/>
      </top>
      <bottom style="medium">
        <color rgb="FF0B2545"/>
      </bottom>
      <diagonal/>
    </border>
    <border>
      <left/>
      <right/>
      <top style="medium">
        <color rgb="FF0B2545"/>
      </top>
      <bottom style="medium">
        <color rgb="FF0B2545"/>
      </bottom>
      <diagonal/>
    </border>
    <border>
      <left/>
      <right style="medium">
        <color rgb="FF0B2545"/>
      </right>
      <top style="medium">
        <color rgb="FF0B2545"/>
      </top>
      <bottom style="medium">
        <color rgb="FF0B2545"/>
      </bottom>
      <diagonal/>
    </border>
    <border>
      <left/>
      <right/>
      <top/>
      <bottom style="thin">
        <color rgb="FFD9E0E8"/>
      </bottom>
      <diagonal/>
    </border>
    <border>
      <left/>
      <right/>
      <top style="thin">
        <color rgb="FFD9E0E8"/>
      </top>
      <bottom style="thin">
        <color rgb="FFD9E0E8"/>
      </bottom>
      <diagonal/>
    </border>
    <border>
      <left/>
      <right/>
      <top style="thin">
        <color rgb="FFD9E0E8"/>
      </top>
      <bottom/>
      <diagonal/>
    </border>
    <border>
      <left style="thin">
        <color theme="0"/>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8"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9" applyNumberFormat="0" applyFill="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7" fillId="0" borderId="0" applyNumberFormat="0" applyFill="0" applyBorder="0" applyAlignment="0" applyProtection="0">
      <alignment vertical="center"/>
    </xf>
    <xf numFmtId="0" fontId="18" fillId="6" borderId="11" applyNumberFormat="0" applyAlignment="0" applyProtection="0">
      <alignment vertical="center"/>
    </xf>
    <xf numFmtId="0" fontId="19" fillId="7" borderId="12" applyNumberFormat="0" applyAlignment="0" applyProtection="0">
      <alignment vertical="center"/>
    </xf>
    <xf numFmtId="0" fontId="20" fillId="7" borderId="11" applyNumberFormat="0" applyAlignment="0" applyProtection="0">
      <alignment vertical="center"/>
    </xf>
    <xf numFmtId="0" fontId="21" fillId="8" borderId="13" applyNumberFormat="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27" fillId="35" borderId="0" applyNumberFormat="0" applyBorder="0" applyAlignment="0" applyProtection="0">
      <alignment vertical="center"/>
    </xf>
  </cellStyleXfs>
  <cellXfs count="26">
    <xf numFmtId="0" fontId="0" fillId="0" borderId="0" xfId="0"/>
    <xf numFmtId="0" fontId="1" fillId="2" borderId="1"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xf>
    <xf numFmtId="0" fontId="2" fillId="0" borderId="4" xfId="0" applyNumberFormat="1" applyFont="1" applyFill="1" applyBorder="1" applyAlignment="1">
      <alignment horizontal="center" vertical="center"/>
    </xf>
    <xf numFmtId="0" fontId="3" fillId="0" borderId="4" xfId="0" applyNumberFormat="1" applyFont="1" applyFill="1" applyBorder="1" applyAlignment="1">
      <alignment horizontal="center" vertical="center"/>
    </xf>
    <xf numFmtId="0" fontId="2" fillId="0" borderId="5" xfId="0" applyNumberFormat="1" applyFont="1" applyFill="1" applyBorder="1" applyAlignment="1">
      <alignment horizontal="left" vertical="center"/>
    </xf>
    <xf numFmtId="0" fontId="2" fillId="0" borderId="5" xfId="0" applyNumberFormat="1" applyFont="1" applyFill="1" applyBorder="1" applyAlignment="1">
      <alignment horizontal="center" vertical="center"/>
    </xf>
    <xf numFmtId="0" fontId="3" fillId="0" borderId="5" xfId="0" applyNumberFormat="1" applyFont="1" applyFill="1" applyBorder="1" applyAlignment="1">
      <alignment horizontal="center" vertical="center"/>
    </xf>
    <xf numFmtId="0" fontId="2" fillId="3" borderId="5" xfId="0" applyNumberFormat="1" applyFont="1" applyFill="1" applyBorder="1" applyAlignment="1">
      <alignment horizontal="left" vertical="center"/>
    </xf>
    <xf numFmtId="0" fontId="2" fillId="3" borderId="5" xfId="0" applyNumberFormat="1" applyFont="1" applyFill="1" applyBorder="1" applyAlignment="1">
      <alignment horizontal="center" vertical="center"/>
    </xf>
    <xf numFmtId="0" fontId="3" fillId="3" borderId="5" xfId="0" applyNumberFormat="1" applyFont="1" applyFill="1" applyBorder="1" applyAlignment="1">
      <alignment horizontal="center" vertical="center"/>
    </xf>
    <xf numFmtId="0" fontId="2" fillId="3" borderId="6" xfId="0" applyNumberFormat="1" applyFont="1" applyFill="1" applyBorder="1" applyAlignment="1">
      <alignment horizontal="left" vertical="center"/>
    </xf>
    <xf numFmtId="0" fontId="2" fillId="3" borderId="6" xfId="0" applyNumberFormat="1" applyFont="1" applyFill="1" applyBorder="1" applyAlignment="1">
      <alignment horizontal="center" vertical="center"/>
    </xf>
    <xf numFmtId="0" fontId="3" fillId="3" borderId="6" xfId="0" applyNumberFormat="1" applyFont="1" applyFill="1" applyBorder="1" applyAlignment="1">
      <alignment horizontal="center" vertical="center"/>
    </xf>
    <xf numFmtId="0" fontId="4" fillId="0" borderId="7" xfId="0" applyFont="1" applyFill="1" applyBorder="1"/>
    <xf numFmtId="0" fontId="0" fillId="0" borderId="0" xfId="0" applyAlignment="1">
      <alignment wrapText="1"/>
    </xf>
    <xf numFmtId="0" fontId="5" fillId="0" borderId="0" xfId="0" applyFont="1" applyFill="1"/>
    <xf numFmtId="0" fontId="6" fillId="0" borderId="7" xfId="0" applyFont="1" applyFill="1" applyBorder="1" applyAlignment="1">
      <alignment vertical="center"/>
    </xf>
    <xf numFmtId="0" fontId="6" fillId="0" borderId="7" xfId="0" applyFont="1" applyFill="1" applyBorder="1" applyAlignment="1">
      <alignment vertical="center" wrapText="1"/>
    </xf>
    <xf numFmtId="0" fontId="7" fillId="0" borderId="7" xfId="0" applyFont="1" applyFill="1" applyBorder="1" applyAlignment="1">
      <alignment vertical="center" wrapText="1"/>
    </xf>
    <xf numFmtId="0" fontId="0" fillId="0" borderId="0" xfId="0" applyFont="1" applyFill="1" applyAlignment="1">
      <alignment wrapText="1"/>
    </xf>
    <xf numFmtId="0" fontId="8" fillId="0" borderId="7" xfId="0" applyFont="1" applyFill="1" applyBorder="1"/>
    <xf numFmtId="0" fontId="0" fillId="4" borderId="0" xfId="0" applyFill="1"/>
    <xf numFmtId="0" fontId="5" fillId="4"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ont>
        <b val="1"/>
        <color rgb="FFB42318"/>
      </font>
      <fill>
        <patternFill patternType="solid">
          <bgColor rgb="FFFDECEC"/>
        </patternFill>
      </fill>
    </dxf>
    <dxf>
      <font>
        <color rgb="FF166534"/>
      </font>
      <fill>
        <patternFill patternType="solid">
          <bgColor rgb="FFEAF6E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HumanMajorityResults" displayName="HumanMajorityResults" ref="A1:H37" totalsRowShown="0">
  <tableColumns count="8">
    <tableColumn id="1" name="需求name"/>
    <tableColumn id="2" name="类别"/>
    <tableColumn id="3" name="评审1"/>
    <tableColumn id="4" name="评审2"/>
    <tableColumn id="5" name="评审3"/>
    <tableColumn id="6" name="人工最终结果"/>
    <tableColumn id="7" name="票型"/>
    <tableColumn id="8" name="表决状态"/>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
  <sheetViews>
    <sheetView zoomScale="40" zoomScaleNormal="40" workbookViewId="0">
      <selection activeCell="E2" sqref="E2:E13"/>
    </sheetView>
  </sheetViews>
  <sheetFormatPr defaultColWidth="9.64601769911504" defaultRowHeight="13.85"/>
  <cols>
    <col min="1" max="1" width="19" customWidth="1"/>
    <col min="2" max="2" width="41.0796460176991" customWidth="1"/>
    <col min="3" max="5" width="14.2743362831858" customWidth="1"/>
    <col min="6" max="6" width="19" customWidth="1"/>
    <col min="7" max="7" width="53.8672566371681" style="17" customWidth="1"/>
    <col min="8" max="10" width="19" style="17" customWidth="1"/>
    <col min="11" max="19" width="16.6637168141593" customWidth="1"/>
  </cols>
  <sheetData>
    <row r="1" s="16" customFormat="1" ht="28" customHeight="1" spans="1:19">
      <c r="A1" s="18"/>
      <c r="B1" s="18"/>
      <c r="C1" s="18"/>
      <c r="D1" s="18"/>
      <c r="E1" s="18" t="s">
        <v>0</v>
      </c>
      <c r="F1" s="19" t="s">
        <v>1</v>
      </c>
      <c r="G1" s="20" t="s">
        <v>2</v>
      </c>
      <c r="H1" s="21" t="s">
        <v>3</v>
      </c>
      <c r="I1" s="21" t="s">
        <v>4</v>
      </c>
      <c r="J1" s="21" t="s">
        <v>5</v>
      </c>
      <c r="K1" s="23" t="s">
        <v>6</v>
      </c>
      <c r="L1" s="23" t="s">
        <v>7</v>
      </c>
      <c r="M1" s="23" t="s">
        <v>8</v>
      </c>
      <c r="N1" s="23" t="s">
        <v>6</v>
      </c>
      <c r="O1" s="23" t="s">
        <v>7</v>
      </c>
      <c r="P1" s="23" t="s">
        <v>8</v>
      </c>
      <c r="Q1" s="23" t="s">
        <v>6</v>
      </c>
      <c r="R1" s="23" t="s">
        <v>7</v>
      </c>
      <c r="S1" s="23" t="s">
        <v>8</v>
      </c>
    </row>
    <row r="2" ht="50" customHeight="1" spans="5:19">
      <c r="E2" t="s">
        <v>9</v>
      </c>
      <c r="F2" t="s">
        <v>10</v>
      </c>
      <c r="G2" s="22" t="s">
        <v>11</v>
      </c>
      <c r="H2" s="22" t="s">
        <v>12</v>
      </c>
      <c r="I2" s="22" t="s">
        <v>13</v>
      </c>
      <c r="J2" s="22" t="s">
        <v>14</v>
      </c>
      <c r="K2" s="24" t="s">
        <v>15</v>
      </c>
      <c r="L2" s="24" t="s">
        <v>4</v>
      </c>
      <c r="M2" s="24" t="s">
        <v>3</v>
      </c>
      <c r="N2" s="24" t="s">
        <v>15</v>
      </c>
      <c r="O2" s="24" t="s">
        <v>4</v>
      </c>
      <c r="P2" s="24" t="s">
        <v>3</v>
      </c>
      <c r="Q2" s="24" t="s">
        <v>15</v>
      </c>
      <c r="R2" s="24" t="s">
        <v>5</v>
      </c>
      <c r="S2" s="24" t="s">
        <v>5</v>
      </c>
    </row>
    <row r="3" ht="50" customHeight="1" spans="5:19">
      <c r="E3" t="s">
        <v>16</v>
      </c>
      <c r="F3" t="s">
        <v>17</v>
      </c>
      <c r="G3" s="22" t="s">
        <v>18</v>
      </c>
      <c r="H3" s="22" t="s">
        <v>19</v>
      </c>
      <c r="I3" s="22" t="s">
        <v>20</v>
      </c>
      <c r="J3" s="22" t="s">
        <v>21</v>
      </c>
      <c r="K3" s="24" t="s">
        <v>3</v>
      </c>
      <c r="L3" s="24" t="s">
        <v>5</v>
      </c>
      <c r="M3" s="24" t="s">
        <v>3</v>
      </c>
      <c r="N3" s="24" t="s">
        <v>3</v>
      </c>
      <c r="O3" s="24" t="s">
        <v>5</v>
      </c>
      <c r="P3" s="24" t="s">
        <v>3</v>
      </c>
      <c r="Q3" s="24" t="s">
        <v>3</v>
      </c>
      <c r="R3" s="24" t="s">
        <v>4</v>
      </c>
      <c r="S3" s="24" t="s">
        <v>3</v>
      </c>
    </row>
    <row r="4" ht="50" customHeight="1" spans="5:19">
      <c r="E4" t="s">
        <v>22</v>
      </c>
      <c r="F4" t="s">
        <v>23</v>
      </c>
      <c r="G4" s="22" t="s">
        <v>24</v>
      </c>
      <c r="H4" s="22" t="s">
        <v>25</v>
      </c>
      <c r="I4" s="22" t="s">
        <v>26</v>
      </c>
      <c r="J4" s="22" t="s">
        <v>27</v>
      </c>
      <c r="K4" s="24" t="s">
        <v>3</v>
      </c>
      <c r="L4" s="24" t="s">
        <v>4</v>
      </c>
      <c r="M4" s="24" t="s">
        <v>3</v>
      </c>
      <c r="N4" s="24" t="s">
        <v>3</v>
      </c>
      <c r="O4" s="24" t="s">
        <v>4</v>
      </c>
      <c r="P4" s="24" t="s">
        <v>3</v>
      </c>
      <c r="Q4" s="24" t="s">
        <v>15</v>
      </c>
      <c r="R4" s="24" t="s">
        <v>4</v>
      </c>
      <c r="S4" s="24" t="s">
        <v>3</v>
      </c>
    </row>
    <row r="5" ht="50" customHeight="1" spans="5:19">
      <c r="E5" t="s">
        <v>28</v>
      </c>
      <c r="F5" t="s">
        <v>29</v>
      </c>
      <c r="G5" s="22" t="s">
        <v>30</v>
      </c>
      <c r="H5" s="22" t="s">
        <v>31</v>
      </c>
      <c r="I5" s="22" t="s">
        <v>32</v>
      </c>
      <c r="J5" s="22" t="s">
        <v>33</v>
      </c>
      <c r="K5" s="24" t="s">
        <v>3</v>
      </c>
      <c r="L5" s="24" t="s">
        <v>4</v>
      </c>
      <c r="M5" s="24" t="s">
        <v>3</v>
      </c>
      <c r="N5" s="24" t="s">
        <v>3</v>
      </c>
      <c r="O5" s="24" t="s">
        <v>4</v>
      </c>
      <c r="P5" s="24" t="s">
        <v>3</v>
      </c>
      <c r="Q5" s="24" t="s">
        <v>4</v>
      </c>
      <c r="R5" s="24" t="s">
        <v>15</v>
      </c>
      <c r="S5" s="24" t="s">
        <v>5</v>
      </c>
    </row>
    <row r="6" ht="50" customHeight="1" spans="5:19">
      <c r="E6" t="s">
        <v>34</v>
      </c>
      <c r="F6" t="s">
        <v>35</v>
      </c>
      <c r="G6" s="22" t="s">
        <v>36</v>
      </c>
      <c r="H6" s="22" t="s">
        <v>37</v>
      </c>
      <c r="I6" s="22" t="s">
        <v>38</v>
      </c>
      <c r="J6" s="22" t="s">
        <v>39</v>
      </c>
      <c r="K6" s="24" t="s">
        <v>4</v>
      </c>
      <c r="L6" s="24" t="s">
        <v>4</v>
      </c>
      <c r="M6" s="24" t="s">
        <v>3</v>
      </c>
      <c r="N6" s="24" t="s">
        <v>4</v>
      </c>
      <c r="O6" s="24" t="s">
        <v>4</v>
      </c>
      <c r="P6" s="24" t="s">
        <v>5</v>
      </c>
      <c r="Q6" s="24" t="s">
        <v>3</v>
      </c>
      <c r="R6" s="24" t="s">
        <v>4</v>
      </c>
      <c r="S6" s="24" t="s">
        <v>3</v>
      </c>
    </row>
    <row r="7" ht="50" customHeight="1" spans="5:19">
      <c r="E7" t="s">
        <v>40</v>
      </c>
      <c r="F7" t="s">
        <v>41</v>
      </c>
      <c r="G7" s="22" t="s">
        <v>42</v>
      </c>
      <c r="H7" s="22" t="s">
        <v>43</v>
      </c>
      <c r="I7" s="22" t="s">
        <v>44</v>
      </c>
      <c r="J7" s="22" t="s">
        <v>45</v>
      </c>
      <c r="K7" s="24" t="s">
        <v>3</v>
      </c>
      <c r="L7" s="24" t="s">
        <v>5</v>
      </c>
      <c r="M7" s="24" t="s">
        <v>5</v>
      </c>
      <c r="N7" s="24" t="s">
        <v>3</v>
      </c>
      <c r="O7" s="24" t="s">
        <v>5</v>
      </c>
      <c r="P7" s="24" t="s">
        <v>5</v>
      </c>
      <c r="Q7" s="24" t="s">
        <v>4</v>
      </c>
      <c r="R7" s="24" t="s">
        <v>5</v>
      </c>
      <c r="S7" s="24" t="s">
        <v>5</v>
      </c>
    </row>
    <row r="8" ht="50" customHeight="1" spans="5:19">
      <c r="E8" t="s">
        <v>46</v>
      </c>
      <c r="F8" t="s">
        <v>47</v>
      </c>
      <c r="G8" s="22" t="s">
        <v>48</v>
      </c>
      <c r="H8" s="22" t="s">
        <v>49</v>
      </c>
      <c r="I8" s="22" t="s">
        <v>50</v>
      </c>
      <c r="J8" s="22" t="s">
        <v>51</v>
      </c>
      <c r="K8" s="24" t="s">
        <v>15</v>
      </c>
      <c r="L8" s="24" t="s">
        <v>4</v>
      </c>
      <c r="M8" s="24" t="s">
        <v>3</v>
      </c>
      <c r="N8" s="24" t="s">
        <v>4</v>
      </c>
      <c r="O8" s="24" t="s">
        <v>4</v>
      </c>
      <c r="P8" s="24" t="s">
        <v>3</v>
      </c>
      <c r="Q8" s="24" t="s">
        <v>15</v>
      </c>
      <c r="R8" s="24" t="s">
        <v>4</v>
      </c>
      <c r="S8" s="24" t="s">
        <v>3</v>
      </c>
    </row>
    <row r="9" ht="50" customHeight="1" spans="5:19">
      <c r="E9" t="s">
        <v>52</v>
      </c>
      <c r="F9" t="s">
        <v>53</v>
      </c>
      <c r="G9" s="22" t="s">
        <v>54</v>
      </c>
      <c r="H9" s="22" t="s">
        <v>55</v>
      </c>
      <c r="I9" s="22" t="s">
        <v>56</v>
      </c>
      <c r="J9" s="22" t="s">
        <v>57</v>
      </c>
      <c r="K9" s="24" t="s">
        <v>3</v>
      </c>
      <c r="L9" s="24" t="s">
        <v>5</v>
      </c>
      <c r="M9" s="24" t="s">
        <v>15</v>
      </c>
      <c r="N9" s="24" t="s">
        <v>3</v>
      </c>
      <c r="O9" s="24" t="s">
        <v>5</v>
      </c>
      <c r="P9" s="24" t="s">
        <v>3</v>
      </c>
      <c r="Q9" s="24" t="s">
        <v>3</v>
      </c>
      <c r="R9" s="24" t="s">
        <v>5</v>
      </c>
      <c r="S9" s="24" t="s">
        <v>15</v>
      </c>
    </row>
    <row r="10" ht="50" customHeight="1" spans="5:19">
      <c r="E10" t="s">
        <v>58</v>
      </c>
      <c r="F10" t="s">
        <v>59</v>
      </c>
      <c r="G10" s="22" t="s">
        <v>60</v>
      </c>
      <c r="H10" s="22" t="s">
        <v>61</v>
      </c>
      <c r="I10" s="22" t="s">
        <v>62</v>
      </c>
      <c r="J10" s="22" t="s">
        <v>63</v>
      </c>
      <c r="K10" s="25" t="s">
        <v>4</v>
      </c>
      <c r="L10" s="24" t="s">
        <v>4</v>
      </c>
      <c r="M10" s="24" t="s">
        <v>3</v>
      </c>
      <c r="N10" s="24" t="s">
        <v>4</v>
      </c>
      <c r="O10" s="24" t="s">
        <v>4</v>
      </c>
      <c r="P10" s="24" t="s">
        <v>3</v>
      </c>
      <c r="Q10" s="24" t="s">
        <v>15</v>
      </c>
      <c r="R10" s="24" t="s">
        <v>4</v>
      </c>
      <c r="S10" s="24" t="s">
        <v>3</v>
      </c>
    </row>
    <row r="11" ht="50" customHeight="1" spans="5:19">
      <c r="E11" t="s">
        <v>64</v>
      </c>
      <c r="F11" t="s">
        <v>65</v>
      </c>
      <c r="G11" s="22" t="s">
        <v>66</v>
      </c>
      <c r="H11" s="22" t="s">
        <v>67</v>
      </c>
      <c r="I11" s="22" t="s">
        <v>68</v>
      </c>
      <c r="J11" s="22" t="s">
        <v>69</v>
      </c>
      <c r="K11" s="24" t="s">
        <v>15</v>
      </c>
      <c r="L11" s="24" t="s">
        <v>4</v>
      </c>
      <c r="M11" s="24" t="s">
        <v>3</v>
      </c>
      <c r="N11" s="24" t="s">
        <v>3</v>
      </c>
      <c r="O11" s="24" t="s">
        <v>4</v>
      </c>
      <c r="P11" s="24" t="s">
        <v>3</v>
      </c>
      <c r="Q11" s="24" t="s">
        <v>15</v>
      </c>
      <c r="R11" s="24" t="s">
        <v>4</v>
      </c>
      <c r="S11" s="24" t="s">
        <v>3</v>
      </c>
    </row>
    <row r="12" ht="50" customHeight="1" spans="5:19">
      <c r="E12" t="s">
        <v>70</v>
      </c>
      <c r="F12" t="s">
        <v>71</v>
      </c>
      <c r="G12" s="22" t="s">
        <v>72</v>
      </c>
      <c r="H12" s="22" t="s">
        <v>73</v>
      </c>
      <c r="I12" s="22" t="s">
        <v>74</v>
      </c>
      <c r="J12" s="22" t="s">
        <v>75</v>
      </c>
      <c r="K12" s="24" t="s">
        <v>3</v>
      </c>
      <c r="L12" s="24" t="s">
        <v>4</v>
      </c>
      <c r="M12" s="24" t="s">
        <v>3</v>
      </c>
      <c r="N12" s="24" t="s">
        <v>3</v>
      </c>
      <c r="O12" s="24" t="s">
        <v>4</v>
      </c>
      <c r="P12" s="24" t="s">
        <v>3</v>
      </c>
      <c r="Q12" s="24" t="s">
        <v>3</v>
      </c>
      <c r="R12" s="24" t="s">
        <v>4</v>
      </c>
      <c r="S12" s="24" t="s">
        <v>3</v>
      </c>
    </row>
    <row r="13" ht="50" customHeight="1" spans="5:19">
      <c r="E13" t="s">
        <v>76</v>
      </c>
      <c r="F13" t="s">
        <v>77</v>
      </c>
      <c r="G13" s="22" t="s">
        <v>78</v>
      </c>
      <c r="H13" s="22" t="s">
        <v>79</v>
      </c>
      <c r="I13" s="22" t="s">
        <v>80</v>
      </c>
      <c r="J13" s="22" t="s">
        <v>81</v>
      </c>
      <c r="K13" s="24" t="s">
        <v>3</v>
      </c>
      <c r="L13" s="24" t="s">
        <v>4</v>
      </c>
      <c r="M13" s="24" t="s">
        <v>3</v>
      </c>
      <c r="N13" s="24" t="s">
        <v>3</v>
      </c>
      <c r="O13" s="24" t="s">
        <v>4</v>
      </c>
      <c r="P13" s="24" t="s">
        <v>3</v>
      </c>
      <c r="Q13" s="24" t="s">
        <v>3</v>
      </c>
      <c r="R13" s="24" t="s">
        <v>4</v>
      </c>
      <c r="S13" s="24" t="s">
        <v>3</v>
      </c>
    </row>
    <row r="14" ht="25.5" customHeight="1"/>
    <row r="15" ht="25.5" customHeight="1"/>
  </sheetData>
  <dataValidations count="2">
    <dataValidation type="list" sqref="F2:F14">
      <formula1>"BankAccount,EUScienceConnect,Cruise,House,CelO,TileOGame,SellingGoods,University,TeamSportsScoutingSystem,AirTrafficControlNavigationSystem,AI-AssistedDrugDiscoveryPlatform,AdvancedAlloyCompositionOptimization"</formula1>
    </dataValidation>
    <dataValidation type="list" allowBlank="1" showInputMessage="1" showErrorMessage="1" sqref="K2:S13">
      <formula1>"A,B,C,D（平局）"</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showGridLines="0" tabSelected="1" zoomScale="70" zoomScaleNormal="70" topLeftCell="A18" workbookViewId="0">
      <selection activeCell="C3" sqref="C3"/>
    </sheetView>
  </sheetViews>
  <sheetFormatPr defaultColWidth="9" defaultRowHeight="13.85" outlineLevelCol="7"/>
  <cols>
    <col min="1" max="1" width="34" customWidth="1"/>
    <col min="2" max="2" width="13" customWidth="1"/>
    <col min="3" max="6" width="16" customWidth="1"/>
    <col min="7" max="7" width="27" customWidth="1"/>
    <col min="8" max="8" width="15" customWidth="1"/>
  </cols>
  <sheetData>
    <row r="1" ht="30" customHeight="1" spans="1:8">
      <c r="A1" s="1" t="s">
        <v>82</v>
      </c>
      <c r="B1" s="2" t="s">
        <v>83</v>
      </c>
      <c r="C1" s="2" t="s">
        <v>84</v>
      </c>
      <c r="D1" s="2" t="s">
        <v>85</v>
      </c>
      <c r="E1" s="2" t="s">
        <v>86</v>
      </c>
      <c r="F1" s="2" t="s">
        <v>87</v>
      </c>
      <c r="G1" s="2" t="s">
        <v>88</v>
      </c>
      <c r="H1" s="3" t="s">
        <v>89</v>
      </c>
    </row>
    <row r="2" ht="23" customHeight="1" spans="1:8">
      <c r="A2" s="4" t="s">
        <v>10</v>
      </c>
      <c r="B2" s="5" t="s">
        <v>6</v>
      </c>
      <c r="C2" s="5" t="str">
        <f>IF(LEFT(评测集!K2,1)="D","D(平局)",评测集!K2)</f>
        <v>D(平局)</v>
      </c>
      <c r="D2" s="5" t="str">
        <f>IF(LEFT(评测集!N2,1)="D","D(平局)",评测集!N2)</f>
        <v>D(平局)</v>
      </c>
      <c r="E2" s="5" t="str">
        <f>IF(LEFT(评测集!Q2,1)="D","D(平局)",评测集!Q2)</f>
        <v>D(平局)</v>
      </c>
      <c r="F2" s="6" t="str">
        <f t="shared" ref="F2:F37" si="0">IF(OR(C2=D2,C2=E2),C2,IF(D2=E2,D2,"无多数/待复核"))</f>
        <v>D(平局)</v>
      </c>
      <c r="G2" s="5" t="str">
        <f t="shared" ref="G2:G37" si="1">C2&amp;" / "&amp;D2&amp;" / "&amp;E2</f>
        <v>D(平局) / D(平局) / D(平局)</v>
      </c>
      <c r="H2" s="5" t="str">
        <f t="shared" ref="H2:H37" si="2">IF(F2="无多数/待复核","待复核","多数通过")</f>
        <v>多数通过</v>
      </c>
    </row>
    <row r="3" ht="23" customHeight="1" spans="1:8">
      <c r="A3" s="7" t="s">
        <v>10</v>
      </c>
      <c r="B3" s="8" t="s">
        <v>7</v>
      </c>
      <c r="C3" s="8" t="str">
        <f>IF(LEFT(评测集!L2,1)="D","D(平局)",评测集!L2)</f>
        <v>B</v>
      </c>
      <c r="D3" s="8" t="str">
        <f>IF(LEFT(评测集!O2,1)="D","D(平局)",评测集!O2)</f>
        <v>B</v>
      </c>
      <c r="E3" s="8" t="str">
        <f>IF(LEFT(评测集!R2,1)="D","D(平局)",评测集!R2)</f>
        <v>C</v>
      </c>
      <c r="F3" s="9" t="str">
        <f t="shared" si="0"/>
        <v>B</v>
      </c>
      <c r="G3" s="8" t="str">
        <f t="shared" si="1"/>
        <v>B / B / C</v>
      </c>
      <c r="H3" s="8" t="str">
        <f t="shared" si="2"/>
        <v>多数通过</v>
      </c>
    </row>
    <row r="4" ht="23" customHeight="1" spans="1:8">
      <c r="A4" s="7" t="s">
        <v>10</v>
      </c>
      <c r="B4" s="8" t="s">
        <v>8</v>
      </c>
      <c r="C4" s="8" t="str">
        <f>IF(LEFT(评测集!M2,1)="D","D(平局)",评测集!M2)</f>
        <v>A</v>
      </c>
      <c r="D4" s="8" t="str">
        <f>IF(LEFT(评测集!P2,1)="D","D(平局)",评测集!P2)</f>
        <v>A</v>
      </c>
      <c r="E4" s="8" t="str">
        <f>IF(LEFT(评测集!S2,1)="D","D(平局)",评测集!S2)</f>
        <v>C</v>
      </c>
      <c r="F4" s="9" t="str">
        <f t="shared" si="0"/>
        <v>A</v>
      </c>
      <c r="G4" s="8" t="str">
        <f t="shared" si="1"/>
        <v>A / A / C</v>
      </c>
      <c r="H4" s="8" t="str">
        <f t="shared" si="2"/>
        <v>多数通过</v>
      </c>
    </row>
    <row r="5" ht="23" customHeight="1" spans="1:8">
      <c r="A5" s="10" t="s">
        <v>17</v>
      </c>
      <c r="B5" s="11" t="s">
        <v>6</v>
      </c>
      <c r="C5" s="11" t="str">
        <f>IF(LEFT(评测集!K3,1)="D","D(平局)",评测集!K3)</f>
        <v>A</v>
      </c>
      <c r="D5" s="11" t="str">
        <f>IF(LEFT(评测集!N3,1)="D","D(平局)",评测集!N3)</f>
        <v>A</v>
      </c>
      <c r="E5" s="11" t="str">
        <f>IF(LEFT(评测集!Q3,1)="D","D(平局)",评测集!Q3)</f>
        <v>A</v>
      </c>
      <c r="F5" s="12" t="str">
        <f t="shared" si="0"/>
        <v>A</v>
      </c>
      <c r="G5" s="11" t="str">
        <f t="shared" si="1"/>
        <v>A / A / A</v>
      </c>
      <c r="H5" s="11" t="str">
        <f t="shared" si="2"/>
        <v>多数通过</v>
      </c>
    </row>
    <row r="6" ht="23" customHeight="1" spans="1:8">
      <c r="A6" s="10" t="s">
        <v>17</v>
      </c>
      <c r="B6" s="11" t="s">
        <v>7</v>
      </c>
      <c r="C6" s="11" t="str">
        <f>IF(LEFT(评测集!L3,1)="D","D(平局)",评测集!L3)</f>
        <v>C</v>
      </c>
      <c r="D6" s="11" t="str">
        <f>IF(LEFT(评测集!O3,1)="D","D(平局)",评测集!O3)</f>
        <v>C</v>
      </c>
      <c r="E6" s="11" t="str">
        <f>IF(LEFT(评测集!R3,1)="D","D(平局)",评测集!R3)</f>
        <v>B</v>
      </c>
      <c r="F6" s="12" t="str">
        <f t="shared" si="0"/>
        <v>C</v>
      </c>
      <c r="G6" s="11" t="str">
        <f t="shared" si="1"/>
        <v>C / C / B</v>
      </c>
      <c r="H6" s="11" t="str">
        <f t="shared" si="2"/>
        <v>多数通过</v>
      </c>
    </row>
    <row r="7" ht="23" customHeight="1" spans="1:8">
      <c r="A7" s="10" t="s">
        <v>17</v>
      </c>
      <c r="B7" s="11" t="s">
        <v>8</v>
      </c>
      <c r="C7" s="11" t="str">
        <f>IF(LEFT(评测集!M3,1)="D","D(平局)",评测集!M3)</f>
        <v>A</v>
      </c>
      <c r="D7" s="11" t="str">
        <f>IF(LEFT(评测集!P3,1)="D","D(平局)",评测集!P3)</f>
        <v>A</v>
      </c>
      <c r="E7" s="11" t="str">
        <f>IF(LEFT(评测集!S3,1)="D","D(平局)",评测集!S3)</f>
        <v>A</v>
      </c>
      <c r="F7" s="12" t="str">
        <f t="shared" si="0"/>
        <v>A</v>
      </c>
      <c r="G7" s="11" t="str">
        <f t="shared" si="1"/>
        <v>A / A / A</v>
      </c>
      <c r="H7" s="11" t="str">
        <f t="shared" si="2"/>
        <v>多数通过</v>
      </c>
    </row>
    <row r="8" ht="23" customHeight="1" spans="1:8">
      <c r="A8" s="7" t="s">
        <v>23</v>
      </c>
      <c r="B8" s="8" t="s">
        <v>6</v>
      </c>
      <c r="C8" s="8" t="str">
        <f>IF(LEFT(评测集!K4,1)="D","D(平局)",评测集!K4)</f>
        <v>A</v>
      </c>
      <c r="D8" s="8" t="str">
        <f>IF(LEFT(评测集!N4,1)="D","D(平局)",评测集!N4)</f>
        <v>A</v>
      </c>
      <c r="E8" s="8" t="str">
        <f>IF(LEFT(评测集!Q4,1)="D","D(平局)",评测集!Q4)</f>
        <v>D(平局)</v>
      </c>
      <c r="F8" s="9" t="str">
        <f t="shared" si="0"/>
        <v>A</v>
      </c>
      <c r="G8" s="8" t="str">
        <f t="shared" si="1"/>
        <v>A / A / D(平局)</v>
      </c>
      <c r="H8" s="8" t="str">
        <f t="shared" si="2"/>
        <v>多数通过</v>
      </c>
    </row>
    <row r="9" ht="23" customHeight="1" spans="1:8">
      <c r="A9" s="7" t="s">
        <v>23</v>
      </c>
      <c r="B9" s="8" t="s">
        <v>7</v>
      </c>
      <c r="C9" s="8" t="str">
        <f>IF(LEFT(评测集!L4,1)="D","D(平局)",评测集!L4)</f>
        <v>B</v>
      </c>
      <c r="D9" s="8" t="str">
        <f>IF(LEFT(评测集!O4,1)="D","D(平局)",评测集!O4)</f>
        <v>B</v>
      </c>
      <c r="E9" s="8" t="str">
        <f>IF(LEFT(评测集!R4,1)="D","D(平局)",评测集!R4)</f>
        <v>B</v>
      </c>
      <c r="F9" s="9" t="str">
        <f t="shared" si="0"/>
        <v>B</v>
      </c>
      <c r="G9" s="8" t="str">
        <f t="shared" si="1"/>
        <v>B / B / B</v>
      </c>
      <c r="H9" s="8" t="str">
        <f t="shared" si="2"/>
        <v>多数通过</v>
      </c>
    </row>
    <row r="10" ht="23" customHeight="1" spans="1:8">
      <c r="A10" s="7" t="s">
        <v>23</v>
      </c>
      <c r="B10" s="8" t="s">
        <v>8</v>
      </c>
      <c r="C10" s="8" t="str">
        <f>IF(LEFT(评测集!M4,1)="D","D(平局)",评测集!M4)</f>
        <v>A</v>
      </c>
      <c r="D10" s="8" t="str">
        <f>IF(LEFT(评测集!P4,1)="D","D(平局)",评测集!P4)</f>
        <v>A</v>
      </c>
      <c r="E10" s="8" t="str">
        <f>IF(LEFT(评测集!S4,1)="D","D(平局)",评测集!S4)</f>
        <v>A</v>
      </c>
      <c r="F10" s="9" t="str">
        <f t="shared" si="0"/>
        <v>A</v>
      </c>
      <c r="G10" s="8" t="str">
        <f t="shared" si="1"/>
        <v>A / A / A</v>
      </c>
      <c r="H10" s="8" t="str">
        <f t="shared" si="2"/>
        <v>多数通过</v>
      </c>
    </row>
    <row r="11" ht="23" customHeight="1" spans="1:8">
      <c r="A11" s="10" t="s">
        <v>29</v>
      </c>
      <c r="B11" s="11" t="s">
        <v>6</v>
      </c>
      <c r="C11" s="11" t="str">
        <f>IF(LEFT(评测集!K5,1)="D","D(平局)",评测集!K5)</f>
        <v>A</v>
      </c>
      <c r="D11" s="11" t="str">
        <f>IF(LEFT(评测集!N5,1)="D","D(平局)",评测集!N5)</f>
        <v>A</v>
      </c>
      <c r="E11" s="11" t="str">
        <f>IF(LEFT(评测集!Q5,1)="D","D(平局)",评测集!Q5)</f>
        <v>B</v>
      </c>
      <c r="F11" s="12" t="str">
        <f t="shared" si="0"/>
        <v>A</v>
      </c>
      <c r="G11" s="11" t="str">
        <f t="shared" si="1"/>
        <v>A / A / B</v>
      </c>
      <c r="H11" s="11" t="str">
        <f t="shared" si="2"/>
        <v>多数通过</v>
      </c>
    </row>
    <row r="12" ht="23" customHeight="1" spans="1:8">
      <c r="A12" s="10" t="s">
        <v>29</v>
      </c>
      <c r="B12" s="11" t="s">
        <v>7</v>
      </c>
      <c r="C12" s="11" t="str">
        <f>IF(LEFT(评测集!L5,1)="D","D(平局)",评测集!L5)</f>
        <v>B</v>
      </c>
      <c r="D12" s="11" t="str">
        <f>IF(LEFT(评测集!O5,1)="D","D(平局)",评测集!O5)</f>
        <v>B</v>
      </c>
      <c r="E12" s="11" t="str">
        <f>IF(LEFT(评测集!R5,1)="D","D(平局)",评测集!R5)</f>
        <v>D(平局)</v>
      </c>
      <c r="F12" s="12" t="str">
        <f t="shared" si="0"/>
        <v>B</v>
      </c>
      <c r="G12" s="11" t="str">
        <f t="shared" si="1"/>
        <v>B / B / D(平局)</v>
      </c>
      <c r="H12" s="11" t="str">
        <f t="shared" si="2"/>
        <v>多数通过</v>
      </c>
    </row>
    <row r="13" ht="23" customHeight="1" spans="1:8">
      <c r="A13" s="10" t="s">
        <v>29</v>
      </c>
      <c r="B13" s="11" t="s">
        <v>8</v>
      </c>
      <c r="C13" s="11" t="str">
        <f>IF(LEFT(评测集!M5,1)="D","D(平局)",评测集!M5)</f>
        <v>A</v>
      </c>
      <c r="D13" s="11" t="str">
        <f>IF(LEFT(评测集!P5,1)="D","D(平局)",评测集!P5)</f>
        <v>A</v>
      </c>
      <c r="E13" s="11" t="str">
        <f>IF(LEFT(评测集!S5,1)="D","D(平局)",评测集!S5)</f>
        <v>C</v>
      </c>
      <c r="F13" s="12" t="str">
        <f t="shared" si="0"/>
        <v>A</v>
      </c>
      <c r="G13" s="11" t="str">
        <f t="shared" si="1"/>
        <v>A / A / C</v>
      </c>
      <c r="H13" s="11" t="str">
        <f t="shared" si="2"/>
        <v>多数通过</v>
      </c>
    </row>
    <row r="14" ht="23" customHeight="1" spans="1:8">
      <c r="A14" s="7" t="s">
        <v>35</v>
      </c>
      <c r="B14" s="8" t="s">
        <v>6</v>
      </c>
      <c r="C14" s="8" t="str">
        <f>IF(LEFT(评测集!K6,1)="D","D(平局)",评测集!K6)</f>
        <v>B</v>
      </c>
      <c r="D14" s="8" t="str">
        <f>IF(LEFT(评测集!N6,1)="D","D(平局)",评测集!N6)</f>
        <v>B</v>
      </c>
      <c r="E14" s="8" t="str">
        <f>IF(LEFT(评测集!Q6,1)="D","D(平局)",评测集!Q6)</f>
        <v>A</v>
      </c>
      <c r="F14" s="9" t="str">
        <f t="shared" si="0"/>
        <v>B</v>
      </c>
      <c r="G14" s="8" t="str">
        <f t="shared" si="1"/>
        <v>B / B / A</v>
      </c>
      <c r="H14" s="8" t="str">
        <f t="shared" si="2"/>
        <v>多数通过</v>
      </c>
    </row>
    <row r="15" ht="23" customHeight="1" spans="1:8">
      <c r="A15" s="7" t="s">
        <v>35</v>
      </c>
      <c r="B15" s="8" t="s">
        <v>7</v>
      </c>
      <c r="C15" s="8" t="str">
        <f>IF(LEFT(评测集!L6,1)="D","D(平局)",评测集!L6)</f>
        <v>B</v>
      </c>
      <c r="D15" s="8" t="str">
        <f>IF(LEFT(评测集!O6,1)="D","D(平局)",评测集!O6)</f>
        <v>B</v>
      </c>
      <c r="E15" s="8" t="str">
        <f>IF(LEFT(评测集!R6,1)="D","D(平局)",评测集!R6)</f>
        <v>B</v>
      </c>
      <c r="F15" s="9" t="str">
        <f t="shared" si="0"/>
        <v>B</v>
      </c>
      <c r="G15" s="8" t="str">
        <f t="shared" si="1"/>
        <v>B / B / B</v>
      </c>
      <c r="H15" s="8" t="str">
        <f t="shared" si="2"/>
        <v>多数通过</v>
      </c>
    </row>
    <row r="16" ht="23" customHeight="1" spans="1:8">
      <c r="A16" s="7" t="s">
        <v>35</v>
      </c>
      <c r="B16" s="8" t="s">
        <v>8</v>
      </c>
      <c r="C16" s="8" t="str">
        <f>IF(LEFT(评测集!M6,1)="D","D(平局)",评测集!M6)</f>
        <v>A</v>
      </c>
      <c r="D16" s="8" t="str">
        <f>IF(LEFT(评测集!P6,1)="D","D(平局)",评测集!P6)</f>
        <v>C</v>
      </c>
      <c r="E16" s="8" t="str">
        <f>IF(LEFT(评测集!S6,1)="D","D(平局)",评测集!S6)</f>
        <v>A</v>
      </c>
      <c r="F16" s="9" t="str">
        <f t="shared" si="0"/>
        <v>A</v>
      </c>
      <c r="G16" s="8" t="str">
        <f t="shared" si="1"/>
        <v>A / C / A</v>
      </c>
      <c r="H16" s="8" t="str">
        <f t="shared" si="2"/>
        <v>多数通过</v>
      </c>
    </row>
    <row r="17" ht="23" customHeight="1" spans="1:8">
      <c r="A17" s="10" t="s">
        <v>41</v>
      </c>
      <c r="B17" s="11" t="s">
        <v>6</v>
      </c>
      <c r="C17" s="11" t="str">
        <f>IF(LEFT(评测集!K7,1)="D","D(平局)",评测集!K7)</f>
        <v>A</v>
      </c>
      <c r="D17" s="11" t="str">
        <f>IF(LEFT(评测集!N7,1)="D","D(平局)",评测集!N7)</f>
        <v>A</v>
      </c>
      <c r="E17" s="11" t="str">
        <f>IF(LEFT(评测集!Q7,1)="D","D(平局)",评测集!Q7)</f>
        <v>B</v>
      </c>
      <c r="F17" s="12" t="str">
        <f t="shared" si="0"/>
        <v>A</v>
      </c>
      <c r="G17" s="11" t="str">
        <f t="shared" si="1"/>
        <v>A / A / B</v>
      </c>
      <c r="H17" s="11" t="str">
        <f t="shared" si="2"/>
        <v>多数通过</v>
      </c>
    </row>
    <row r="18" ht="23" customHeight="1" spans="1:8">
      <c r="A18" s="10" t="s">
        <v>41</v>
      </c>
      <c r="B18" s="11" t="s">
        <v>7</v>
      </c>
      <c r="C18" s="11" t="str">
        <f>IF(LEFT(评测集!L7,1)="D","D(平局)",评测集!L7)</f>
        <v>C</v>
      </c>
      <c r="D18" s="11" t="str">
        <f>IF(LEFT(评测集!O7,1)="D","D(平局)",评测集!O7)</f>
        <v>C</v>
      </c>
      <c r="E18" s="11" t="str">
        <f>IF(LEFT(评测集!R7,1)="D","D(平局)",评测集!R7)</f>
        <v>C</v>
      </c>
      <c r="F18" s="12" t="str">
        <f t="shared" si="0"/>
        <v>C</v>
      </c>
      <c r="G18" s="11" t="str">
        <f t="shared" si="1"/>
        <v>C / C / C</v>
      </c>
      <c r="H18" s="11" t="str">
        <f t="shared" si="2"/>
        <v>多数通过</v>
      </c>
    </row>
    <row r="19" ht="23" customHeight="1" spans="1:8">
      <c r="A19" s="10" t="s">
        <v>41</v>
      </c>
      <c r="B19" s="11" t="s">
        <v>8</v>
      </c>
      <c r="C19" s="11" t="str">
        <f>IF(LEFT(评测集!M7,1)="D","D(平局)",评测集!M7)</f>
        <v>C</v>
      </c>
      <c r="D19" s="11" t="str">
        <f>IF(LEFT(评测集!P7,1)="D","D(平局)",评测集!P7)</f>
        <v>C</v>
      </c>
      <c r="E19" s="11" t="str">
        <f>IF(LEFT(评测集!S7,1)="D","D(平局)",评测集!S7)</f>
        <v>C</v>
      </c>
      <c r="F19" s="12" t="str">
        <f t="shared" si="0"/>
        <v>C</v>
      </c>
      <c r="G19" s="11" t="str">
        <f t="shared" si="1"/>
        <v>C / C / C</v>
      </c>
      <c r="H19" s="11" t="str">
        <f t="shared" si="2"/>
        <v>多数通过</v>
      </c>
    </row>
    <row r="20" ht="23" customHeight="1" spans="1:8">
      <c r="A20" s="7" t="s">
        <v>47</v>
      </c>
      <c r="B20" s="8" t="s">
        <v>6</v>
      </c>
      <c r="C20" s="8" t="str">
        <f>IF(LEFT(评测集!K8,1)="D","D(平局)",评测集!K8)</f>
        <v>D(平局)</v>
      </c>
      <c r="D20" s="8" t="str">
        <f>IF(LEFT(评测集!N8,1)="D","D(平局)",评测集!N8)</f>
        <v>B</v>
      </c>
      <c r="E20" s="8" t="str">
        <f>IF(LEFT(评测集!Q8,1)="D","D(平局)",评测集!Q8)</f>
        <v>D(平局)</v>
      </c>
      <c r="F20" s="9" t="str">
        <f t="shared" si="0"/>
        <v>D(平局)</v>
      </c>
      <c r="G20" s="8" t="str">
        <f t="shared" si="1"/>
        <v>D(平局) / B / D(平局)</v>
      </c>
      <c r="H20" s="8" t="str">
        <f t="shared" si="2"/>
        <v>多数通过</v>
      </c>
    </row>
    <row r="21" ht="23" customHeight="1" spans="1:8">
      <c r="A21" s="7" t="s">
        <v>47</v>
      </c>
      <c r="B21" s="8" t="s">
        <v>7</v>
      </c>
      <c r="C21" s="8" t="str">
        <f>IF(LEFT(评测集!L8,1)="D","D(平局)",评测集!L8)</f>
        <v>B</v>
      </c>
      <c r="D21" s="8" t="str">
        <f>IF(LEFT(评测集!O8,1)="D","D(平局)",评测集!O8)</f>
        <v>B</v>
      </c>
      <c r="E21" s="8" t="str">
        <f>IF(LEFT(评测集!R8,1)="D","D(平局)",评测集!R8)</f>
        <v>B</v>
      </c>
      <c r="F21" s="9" t="str">
        <f t="shared" si="0"/>
        <v>B</v>
      </c>
      <c r="G21" s="8" t="str">
        <f t="shared" si="1"/>
        <v>B / B / B</v>
      </c>
      <c r="H21" s="8" t="str">
        <f t="shared" si="2"/>
        <v>多数通过</v>
      </c>
    </row>
    <row r="22" ht="23" customHeight="1" spans="1:8">
      <c r="A22" s="7" t="s">
        <v>47</v>
      </c>
      <c r="B22" s="8" t="s">
        <v>8</v>
      </c>
      <c r="C22" s="8" t="str">
        <f>IF(LEFT(评测集!M8,1)="D","D(平局)",评测集!M8)</f>
        <v>A</v>
      </c>
      <c r="D22" s="8" t="str">
        <f>IF(LEFT(评测集!P8,1)="D","D(平局)",评测集!P8)</f>
        <v>A</v>
      </c>
      <c r="E22" s="8" t="str">
        <f>IF(LEFT(评测集!S8,1)="D","D(平局)",评测集!S8)</f>
        <v>A</v>
      </c>
      <c r="F22" s="9" t="str">
        <f t="shared" si="0"/>
        <v>A</v>
      </c>
      <c r="G22" s="8" t="str">
        <f t="shared" si="1"/>
        <v>A / A / A</v>
      </c>
      <c r="H22" s="8" t="str">
        <f t="shared" si="2"/>
        <v>多数通过</v>
      </c>
    </row>
    <row r="23" ht="23" customHeight="1" spans="1:8">
      <c r="A23" s="10" t="s">
        <v>53</v>
      </c>
      <c r="B23" s="11" t="s">
        <v>6</v>
      </c>
      <c r="C23" s="11" t="str">
        <f>IF(LEFT(评测集!K9,1)="D","D(平局)",评测集!K9)</f>
        <v>A</v>
      </c>
      <c r="D23" s="11" t="str">
        <f>IF(LEFT(评测集!N9,1)="D","D(平局)",评测集!N9)</f>
        <v>A</v>
      </c>
      <c r="E23" s="11" t="str">
        <f>IF(LEFT(评测集!Q9,1)="D","D(平局)",评测集!Q9)</f>
        <v>A</v>
      </c>
      <c r="F23" s="12" t="str">
        <f t="shared" si="0"/>
        <v>A</v>
      </c>
      <c r="G23" s="11" t="str">
        <f t="shared" si="1"/>
        <v>A / A / A</v>
      </c>
      <c r="H23" s="11" t="str">
        <f t="shared" si="2"/>
        <v>多数通过</v>
      </c>
    </row>
    <row r="24" ht="23" customHeight="1" spans="1:8">
      <c r="A24" s="10" t="s">
        <v>53</v>
      </c>
      <c r="B24" s="11" t="s">
        <v>7</v>
      </c>
      <c r="C24" s="11" t="str">
        <f>IF(LEFT(评测集!L9,1)="D","D(平局)",评测集!L9)</f>
        <v>C</v>
      </c>
      <c r="D24" s="11" t="str">
        <f>IF(LEFT(评测集!O9,1)="D","D(平局)",评测集!O9)</f>
        <v>C</v>
      </c>
      <c r="E24" s="11" t="str">
        <f>IF(LEFT(评测集!R9,1)="D","D(平局)",评测集!R9)</f>
        <v>C</v>
      </c>
      <c r="F24" s="12" t="str">
        <f t="shared" si="0"/>
        <v>C</v>
      </c>
      <c r="G24" s="11" t="str">
        <f t="shared" si="1"/>
        <v>C / C / C</v>
      </c>
      <c r="H24" s="11" t="str">
        <f t="shared" si="2"/>
        <v>多数通过</v>
      </c>
    </row>
    <row r="25" ht="23" customHeight="1" spans="1:8">
      <c r="A25" s="10" t="s">
        <v>53</v>
      </c>
      <c r="B25" s="11" t="s">
        <v>8</v>
      </c>
      <c r="C25" s="11" t="str">
        <f>IF(LEFT(评测集!M9,1)="D","D(平局)",评测集!M9)</f>
        <v>D(平局)</v>
      </c>
      <c r="D25" s="11" t="str">
        <f>IF(LEFT(评测集!P9,1)="D","D(平局)",评测集!P9)</f>
        <v>A</v>
      </c>
      <c r="E25" s="11" t="str">
        <f>IF(LEFT(评测集!S9,1)="D","D(平局)",评测集!S9)</f>
        <v>D(平局)</v>
      </c>
      <c r="F25" s="12" t="str">
        <f t="shared" si="0"/>
        <v>D(平局)</v>
      </c>
      <c r="G25" s="11" t="str">
        <f t="shared" si="1"/>
        <v>D(平局) / A / D(平局)</v>
      </c>
      <c r="H25" s="11" t="str">
        <f t="shared" si="2"/>
        <v>多数通过</v>
      </c>
    </row>
    <row r="26" ht="23" customHeight="1" spans="1:8">
      <c r="A26" s="7" t="s">
        <v>59</v>
      </c>
      <c r="B26" s="8" t="s">
        <v>6</v>
      </c>
      <c r="C26" s="8" t="str">
        <f>IF(LEFT(评测集!K10,1)="D","D(平局)",评测集!K10)</f>
        <v>B</v>
      </c>
      <c r="D26" s="8" t="str">
        <f>IF(LEFT(评测集!N10,1)="D","D(平局)",评测集!N10)</f>
        <v>B</v>
      </c>
      <c r="E26" s="8" t="str">
        <f>IF(LEFT(评测集!Q10,1)="D","D(平局)",评测集!Q10)</f>
        <v>D(平局)</v>
      </c>
      <c r="F26" s="9" t="str">
        <f t="shared" si="0"/>
        <v>B</v>
      </c>
      <c r="G26" s="8" t="str">
        <f t="shared" si="1"/>
        <v>B / B / D(平局)</v>
      </c>
      <c r="H26" s="8" t="str">
        <f t="shared" si="2"/>
        <v>多数通过</v>
      </c>
    </row>
    <row r="27" ht="23" customHeight="1" spans="1:8">
      <c r="A27" s="7" t="s">
        <v>59</v>
      </c>
      <c r="B27" s="8" t="s">
        <v>7</v>
      </c>
      <c r="C27" s="8" t="str">
        <f>IF(LEFT(评测集!L10,1)="D","D(平局)",评测集!L10)</f>
        <v>B</v>
      </c>
      <c r="D27" s="8" t="str">
        <f>IF(LEFT(评测集!O10,1)="D","D(平局)",评测集!O10)</f>
        <v>B</v>
      </c>
      <c r="E27" s="8" t="str">
        <f>IF(LEFT(评测集!R10,1)="D","D(平局)",评测集!R10)</f>
        <v>B</v>
      </c>
      <c r="F27" s="9" t="str">
        <f t="shared" si="0"/>
        <v>B</v>
      </c>
      <c r="G27" s="8" t="str">
        <f t="shared" si="1"/>
        <v>B / B / B</v>
      </c>
      <c r="H27" s="8" t="str">
        <f t="shared" si="2"/>
        <v>多数通过</v>
      </c>
    </row>
    <row r="28" ht="23" customHeight="1" spans="1:8">
      <c r="A28" s="7" t="s">
        <v>59</v>
      </c>
      <c r="B28" s="8" t="s">
        <v>8</v>
      </c>
      <c r="C28" s="8" t="str">
        <f>IF(LEFT(评测集!M10,1)="D","D(平局)",评测集!M10)</f>
        <v>A</v>
      </c>
      <c r="D28" s="8" t="str">
        <f>IF(LEFT(评测集!P10,1)="D","D(平局)",评测集!P10)</f>
        <v>A</v>
      </c>
      <c r="E28" s="8" t="str">
        <f>IF(LEFT(评测集!S10,1)="D","D(平局)",评测集!S10)</f>
        <v>A</v>
      </c>
      <c r="F28" s="9" t="str">
        <f t="shared" si="0"/>
        <v>A</v>
      </c>
      <c r="G28" s="8" t="str">
        <f t="shared" si="1"/>
        <v>A / A / A</v>
      </c>
      <c r="H28" s="8" t="str">
        <f t="shared" si="2"/>
        <v>多数通过</v>
      </c>
    </row>
    <row r="29" ht="23" customHeight="1" spans="1:8">
      <c r="A29" s="10" t="s">
        <v>65</v>
      </c>
      <c r="B29" s="11" t="s">
        <v>6</v>
      </c>
      <c r="C29" s="11" t="str">
        <f>IF(LEFT(评测集!K11,1)="D","D(平局)",评测集!K11)</f>
        <v>D(平局)</v>
      </c>
      <c r="D29" s="11" t="str">
        <f>IF(LEFT(评测集!N11,1)="D","D(平局)",评测集!N11)</f>
        <v>A</v>
      </c>
      <c r="E29" s="11" t="str">
        <f>IF(LEFT(评测集!Q11,1)="D","D(平局)",评测集!Q11)</f>
        <v>D(平局)</v>
      </c>
      <c r="F29" s="12" t="str">
        <f t="shared" si="0"/>
        <v>D(平局)</v>
      </c>
      <c r="G29" s="11" t="str">
        <f t="shared" si="1"/>
        <v>D(平局) / A / D(平局)</v>
      </c>
      <c r="H29" s="11" t="str">
        <f t="shared" si="2"/>
        <v>多数通过</v>
      </c>
    </row>
    <row r="30" ht="23" customHeight="1" spans="1:8">
      <c r="A30" s="10" t="s">
        <v>65</v>
      </c>
      <c r="B30" s="11" t="s">
        <v>7</v>
      </c>
      <c r="C30" s="11" t="str">
        <f>IF(LEFT(评测集!L11,1)="D","D(平局)",评测集!L11)</f>
        <v>B</v>
      </c>
      <c r="D30" s="11" t="str">
        <f>IF(LEFT(评测集!O11,1)="D","D(平局)",评测集!O11)</f>
        <v>B</v>
      </c>
      <c r="E30" s="11" t="str">
        <f>IF(LEFT(评测集!R11,1)="D","D(平局)",评测集!R11)</f>
        <v>B</v>
      </c>
      <c r="F30" s="12" t="str">
        <f t="shared" si="0"/>
        <v>B</v>
      </c>
      <c r="G30" s="11" t="str">
        <f t="shared" si="1"/>
        <v>B / B / B</v>
      </c>
      <c r="H30" s="11" t="str">
        <f t="shared" si="2"/>
        <v>多数通过</v>
      </c>
    </row>
    <row r="31" ht="23" customHeight="1" spans="1:8">
      <c r="A31" s="10" t="s">
        <v>65</v>
      </c>
      <c r="B31" s="11" t="s">
        <v>8</v>
      </c>
      <c r="C31" s="11" t="str">
        <f>IF(LEFT(评测集!M11,1)="D","D(平局)",评测集!M11)</f>
        <v>A</v>
      </c>
      <c r="D31" s="11" t="str">
        <f>IF(LEFT(评测集!P11,1)="D","D(平局)",评测集!P11)</f>
        <v>A</v>
      </c>
      <c r="E31" s="11" t="str">
        <f>IF(LEFT(评测集!S11,1)="D","D(平局)",评测集!S11)</f>
        <v>A</v>
      </c>
      <c r="F31" s="12" t="str">
        <f t="shared" si="0"/>
        <v>A</v>
      </c>
      <c r="G31" s="11" t="str">
        <f t="shared" si="1"/>
        <v>A / A / A</v>
      </c>
      <c r="H31" s="11" t="str">
        <f t="shared" si="2"/>
        <v>多数通过</v>
      </c>
    </row>
    <row r="32" ht="23" customHeight="1" spans="1:8">
      <c r="A32" s="7" t="s">
        <v>71</v>
      </c>
      <c r="B32" s="8" t="s">
        <v>6</v>
      </c>
      <c r="C32" s="8" t="str">
        <f>IF(LEFT(评测集!K12,1)="D","D(平局)",评测集!K12)</f>
        <v>A</v>
      </c>
      <c r="D32" s="8" t="str">
        <f>IF(LEFT(评测集!N12,1)="D","D(平局)",评测集!N12)</f>
        <v>A</v>
      </c>
      <c r="E32" s="8" t="str">
        <f>IF(LEFT(评测集!Q12,1)="D","D(平局)",评测集!Q12)</f>
        <v>A</v>
      </c>
      <c r="F32" s="9" t="str">
        <f t="shared" si="0"/>
        <v>A</v>
      </c>
      <c r="G32" s="8" t="str">
        <f t="shared" si="1"/>
        <v>A / A / A</v>
      </c>
      <c r="H32" s="8" t="str">
        <f t="shared" si="2"/>
        <v>多数通过</v>
      </c>
    </row>
    <row r="33" ht="23" customHeight="1" spans="1:8">
      <c r="A33" s="7" t="s">
        <v>71</v>
      </c>
      <c r="B33" s="8" t="s">
        <v>7</v>
      </c>
      <c r="C33" s="8" t="str">
        <f>IF(LEFT(评测集!L12,1)="D","D(平局)",评测集!L12)</f>
        <v>B</v>
      </c>
      <c r="D33" s="8" t="str">
        <f>IF(LEFT(评测集!O12,1)="D","D(平局)",评测集!O12)</f>
        <v>B</v>
      </c>
      <c r="E33" s="8" t="str">
        <f>IF(LEFT(评测集!R12,1)="D","D(平局)",评测集!R12)</f>
        <v>B</v>
      </c>
      <c r="F33" s="9" t="str">
        <f t="shared" si="0"/>
        <v>B</v>
      </c>
      <c r="G33" s="8" t="str">
        <f t="shared" si="1"/>
        <v>B / B / B</v>
      </c>
      <c r="H33" s="8" t="str">
        <f t="shared" si="2"/>
        <v>多数通过</v>
      </c>
    </row>
    <row r="34" ht="23" customHeight="1" spans="1:8">
      <c r="A34" s="7" t="s">
        <v>71</v>
      </c>
      <c r="B34" s="8" t="s">
        <v>8</v>
      </c>
      <c r="C34" s="8" t="str">
        <f>IF(LEFT(评测集!M12,1)="D","D(平局)",评测集!M12)</f>
        <v>A</v>
      </c>
      <c r="D34" s="8" t="str">
        <f>IF(LEFT(评测集!P12,1)="D","D(平局)",评测集!P12)</f>
        <v>A</v>
      </c>
      <c r="E34" s="8" t="str">
        <f>IF(LEFT(评测集!S12,1)="D","D(平局)",评测集!S12)</f>
        <v>A</v>
      </c>
      <c r="F34" s="9" t="str">
        <f t="shared" si="0"/>
        <v>A</v>
      </c>
      <c r="G34" s="8" t="str">
        <f t="shared" si="1"/>
        <v>A / A / A</v>
      </c>
      <c r="H34" s="8" t="str">
        <f t="shared" si="2"/>
        <v>多数通过</v>
      </c>
    </row>
    <row r="35" ht="23" customHeight="1" spans="1:8">
      <c r="A35" s="10" t="s">
        <v>77</v>
      </c>
      <c r="B35" s="11" t="s">
        <v>6</v>
      </c>
      <c r="C35" s="11" t="str">
        <f>IF(LEFT(评测集!K13,1)="D","D(平局)",评测集!K13)</f>
        <v>A</v>
      </c>
      <c r="D35" s="11" t="str">
        <f>IF(LEFT(评测集!N13,1)="D","D(平局)",评测集!N13)</f>
        <v>A</v>
      </c>
      <c r="E35" s="11" t="str">
        <f>IF(LEFT(评测集!Q13,1)="D","D(平局)",评测集!Q13)</f>
        <v>A</v>
      </c>
      <c r="F35" s="12" t="str">
        <f t="shared" si="0"/>
        <v>A</v>
      </c>
      <c r="G35" s="11" t="str">
        <f t="shared" si="1"/>
        <v>A / A / A</v>
      </c>
      <c r="H35" s="11" t="str">
        <f t="shared" si="2"/>
        <v>多数通过</v>
      </c>
    </row>
    <row r="36" ht="23" customHeight="1" spans="1:8">
      <c r="A36" s="10" t="s">
        <v>77</v>
      </c>
      <c r="B36" s="11" t="s">
        <v>7</v>
      </c>
      <c r="C36" s="11" t="str">
        <f>IF(LEFT(评测集!L13,1)="D","D(平局)",评测集!L13)</f>
        <v>B</v>
      </c>
      <c r="D36" s="11" t="str">
        <f>IF(LEFT(评测集!O13,1)="D","D(平局)",评测集!O13)</f>
        <v>B</v>
      </c>
      <c r="E36" s="11" t="str">
        <f>IF(LEFT(评测集!R13,1)="D","D(平局)",评测集!R13)</f>
        <v>B</v>
      </c>
      <c r="F36" s="12" t="str">
        <f t="shared" si="0"/>
        <v>B</v>
      </c>
      <c r="G36" s="11" t="str">
        <f t="shared" si="1"/>
        <v>B / B / B</v>
      </c>
      <c r="H36" s="11" t="str">
        <f t="shared" si="2"/>
        <v>多数通过</v>
      </c>
    </row>
    <row r="37" ht="23" customHeight="1" spans="1:8">
      <c r="A37" s="13" t="s">
        <v>77</v>
      </c>
      <c r="B37" s="14" t="s">
        <v>8</v>
      </c>
      <c r="C37" s="14" t="str">
        <f>IF(LEFT(评测集!M13,1)="D","D(平局)",评测集!M13)</f>
        <v>A</v>
      </c>
      <c r="D37" s="14" t="str">
        <f>IF(LEFT(评测集!P13,1)="D","D(平局)",评测集!P13)</f>
        <v>A</v>
      </c>
      <c r="E37" s="14" t="str">
        <f>IF(LEFT(评测集!S13,1)="D","D(平局)",评测集!S13)</f>
        <v>A</v>
      </c>
      <c r="F37" s="15" t="str">
        <f t="shared" si="0"/>
        <v>A</v>
      </c>
      <c r="G37" s="14" t="str">
        <f t="shared" si="1"/>
        <v>A / A / A</v>
      </c>
      <c r="H37" s="14" t="str">
        <f t="shared" si="2"/>
        <v>多数通过</v>
      </c>
    </row>
  </sheetData>
  <conditionalFormatting sqref="H2:H37">
    <cfRule type="containsText" dxfId="0" priority="1" operator="between" text="待复核">
      <formula>NOT(ISERROR(SEARCH("待复核",H2)))</formula>
    </cfRule>
    <cfRule type="containsText" dxfId="1" priority="2" operator="between" text="多数通过">
      <formula>NOT(ISERROR(SEARCH("多数通过",H2)))</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评测集</vt:lpstr>
      <vt:lpstr>人工最终结果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2026-08-09T02:52:00Z</dcterms:created>
  <dcterms:modified xsi:type="dcterms:W3CDTF">2026-08-17T12:02:00Z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E542E664EAE348C7240E776A6C94BBAC_43</vt:lpwstr>
  </property>
  <property fmtid="{D5CDD505-2E9C-101B-9397-08002B2CF9AE}" pid="3" name="KSOProductBuildVer">
    <vt:lpwstr>2052-12.1.0.20305</vt:lpwstr>
  </property>
  <property fmtid="{D5CDD505-2E9C-101B-9397-08002B2CF9AE}" pid="4" name="CalculationRule">
    <vt:i4>0</vt:i4>
  </property>
</Properties>
</file>