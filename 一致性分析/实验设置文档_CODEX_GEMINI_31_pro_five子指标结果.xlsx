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<sst xmlns="http://schemas.openxmlformats.org/spreadsheetml/2006/main" count="5361" uniqueCount="547">
  <si>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</si>
  <si>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</si>
  <si>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</si>
  <si>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</si>
  <si>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</si>
  <si>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</si>
  <si>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</si>
  <si>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</si>
  <si>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</si>
  <si>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</si>
  <si>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</si>
  <si>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</si>
  <si>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</si>
  <si>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</si>
  <si>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</si>
  <si>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</si>
  <si>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</si>
  <si>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</si>
  <si>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</si>
  <si>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</si>
  <si>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gemini3.1pro</t>
  </si>
  <si>
    <t>```result
Scores:
1. Alignment with Requirements: Model 1 = 5, Model 2 = 3; Evidence: Model 1 explicitly includes attributes like `grainStructure` and `defectAnnotation` in `MaterialSpecimen`, whereas Model 2 omits them. Model 1 assigns `effectiveDate` to `DesignConstraint` as required ("Design Constraints and Regulatory Standards, which specify limit values and effective dates"), while Model 2 only gives it to RegulatoryStandard. Model 1 correctly defines conceptual classes for vendors (`Supplier`), `ProcessingStep`, and `SummaryReport`, whereas Model 2 omits these entities or flattens them into basic methods/attributes.
Total: Model 1 = 5, Model 2 = 3
Choice: A
Reason:
1. Alignment with Requirements: Model 1 comprehensively models the domain entities, attributes, and relationships. It accurately captures the required properties for material specimens, explicitly defines design constraints with both limit values and effective dates, and creates necessary classes for processing steps, vendors (suppliers), stress test runs, and summary reports. Model 2 is overly simplified, missing several explicitly stated attributes (grain structure, defect annotation, design constraint effective dates) and failing to model key physical or conceptual entities like vendors and reports.
2. Rejected or checked issues: Model 1 has slightly awkward navigability directions for `PhaseDiagramCalculator` (pointing from the calculator to the profile/analysis instead of the other way around). However, Model 2 also misplaces the relationship (connecting the profile directly to the calculator rather than the planner). Model 1's overwhelming superiority in capturing domain completeness makes it the clear winner despite minor navigability quirks.
3. Overall judgment: Model 1 is much better. It strictly follows the prompt by incorporating all requested domain details, attributes, and classes, providing a robust and accurate representation of the Advanced Alloy Composition Optimization system. Model 2 loses critical information by omitting required attributes and flattening necessary classes.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</si>
  <si>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</si>
  <si>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</si>
  <si>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</si>
  <si>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misses the specimen analysis features requested in the prompt (it lacks "grain structure" and "defects" attributes or operations in `MaterialSpecimen`), omits the "effective dates" from `DesignConstraint`, and completely misses the "vendor" entity (connecting `SupplierNetwork` directly to `DesignConstraint`). Model 2 correctly includes `grainStructure` and `defectAnnotation` in `MaterialSpecimen`, adds `effectiveDate` to `DesignConstraint`, and introduces a dedicated `Supplier` class that `SupplierNetwork` interacts with. Furthermore, Model 2 better aligns with the phrasing "Process Controller... utilizing a Thermal Cycle Simulator... while adhering to strict Safety Protocols" by linking these directly to `ProcessController`, whereas Model 1 links them to `ThermalAnalysisRun`.
Total: Model 1 = 3, Model 2 = 5
Choice: B
Reason:
1. Alignment with requirements: Model 2 provides a much more rigorous and complete domain model. It accurately captures all attributes mentioned in the prompt (e.g., grain structure, defect annotation, and effective dates for constraints). Model 1 misses several explicit details and fails to model the vendor entity, choosing instead to vaguely link the network directly to constraints. Model 2 also makes more sensible structural choices regarding how the `ProcessController` manages simulators and protocols based on the text's grammar.
2. Rejected or checked issues: Model 2 introduces additional workflow and record classes such as `StressTestRun`, `CostEstimation`, `QualityAssuranceReview`, and `SummaryReport`. Per the evaluation guidelines, introducing these transparent refinements to capture domain processes is perfectly valid and is not penalized as hallucination. Additionally, the use of `enum` for types and statuses in Model 2 is an excellent structural choice that represents the text's categorical requirements well without violating UML rules.
3. Overall judgment: Model 2 is superior due to its meticulous attention to the provided text, capturing all required entities, attributes, and relationships without omissions, while applying realistic and sound software design principles. Model 1 is noticeably incomplete in its attribute coverage and class selection.
```</t>
  </si>
  <si>
    <t>B</t>
  </si>
  <si>
    <t>five</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</si>
  <si>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</si>
  <si>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identifies all core concepts and includes appropriate transparent refinements explicitly mentioned in the text (e.g., `ProcessingStep`, `Supplier`, `SummaryReport`, `QualityAssuranceReview`). Model 2 captures the main concepts but reduces several domain entities to basic data structures or methods (e.g., `processingSteps: List`, `findVendors()`, `compileReport()`).
2. Associations/Multiplicities between classes for domain reasoning: Model 1 = 5, Model 2 = 3; Evidence: Model 1 consistently uses structural associations with clear multiplicities across the board (e.g., `ExperimentPlanner "1" --&gt; "1..*" HeatTreatmentProfile`). Model 2 heavily relies on dependency arrows (`..&gt;`) without multiplicities for key structural relationships (e.g., `ExperimentPlanner ..&gt; HeatTreatmentProfile`, `StressTestRunner ..&gt; PerformanceMetric`, `OptimizationResult ..&gt; PerformanceMetric`), omitting crucial domain cardinality.
3. Model attributes with appropriate data types: Model 1 = 5, Model 2 = 3; Evidence: Model 1 includes all required attributes, such as `grainStructure` and `defectAnnotation` on `MaterialSpecimen`, and correctly places `limitValue` and `effectiveDate` on both `DesignConstraint` and `RegulatoryStandard`. Model 2 completely misses the grain structure and defect annotations, and explicitly misses the `effectiveDate` attribute on `DesignConstraint` (it only has `limitValue`), contradicting the requirement.
4. Consistencies of Terminology with given context: Model 1 = 5, Model 2 = 4; Evidence: Model 1 perfectly maps the prompt's terminology to classes and attributes. Model 2 is generally consistent but loses some domain terminology due to the aforementioned missing attributes (like effective dates and defect annotations).
5. Adherence of UML class diagram standards: Model 1 = 5, Model 2 = 5; Evidence: Both models use valid PlantUML syntax, correctly define classes, and use standard UML notations for their chosen relationship types.
Total: Model 1 = 25, Model 2 = 19
Choice: A
Reason:
1. Appropriate conceptual classes: Model 1 creates dedicated classes for entities like `ProcessingStep` and `SummaryReport`, faithfully reflecting the domain complexity, whereas Model 2 simplifies them into generic lists or methods.
2. Associations/Multiplicities: Model 1 applies robust, bidirectional/unidirectional associations with explicit multiplicities. Model 2 relies too heavily on simple dependencies without multiplicities, leaving the cardinalities of the system largely undefined.
3. Model attributes: Model 1 strictly adheres to the prompt by including `effectiveDate` on design constraints and tracking grain/defect data on specimens. Model 2 fails to include these explicitly requested attributes.
4. Rejected or checked issues: Model 2's use of `Map` for chemical makeup and hardcoded phase names (e.g., `austenite: Float`) is technically valid but less flexible than Model 1's relational approach; however, the primary deduction for Model 2 comes from entirely missing attributes like `effectiveDate` on `DesignConstraint`.
5. Overall judgment: Model 1 provides a significantly more comprehensive, accurate, and structurally sound UML class diagram that fully satisfies the detailed domain requirements and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</si>
  <si>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</si>
  <si>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core entities like `AlloyBatch`, `MaterialSpecimen`, and `ExperimentPlanner`. Model 2 provides excellent transparent refinements (e.g., `ProcessingStep`, `StressTestRun`, `QualityAssuranceReview`, `SummaryReport`) that better capture the execution and validation aspects of the domain, whereas Model 1 leaves these as generic methods or basic lists.
2. Associations/Multiplicities between classes for domain reasoning: Model 1 = 3, Model 2 = 5; Evidence: Model 1 overuses dependency arrows (`..&gt;`) without multiplicities for structural relationships (e.g., `ExperimentPlanner ..&gt; HeatTreatmentProfile`, `StressTestRunner ..&gt; PerformanceMetric`). Model 2 correctly applies associations and compositions with explicit multiplicities across the board (e.g., `ExperimentPlanner "1" --&gt; "1..*" HeatTreatmentProfile`, `StressTestRun "1" *-- "1..*" PerformanceMetric`).
3. Model attributes with appropriate data types: Model 1 = 3, Model 2 = 5; Evidence: Model 1 misses `effectiveDate` in `DesignConstraint` (despite the requirement stating both standards and constraints specify effective dates) and misses `grain structure` and `defect annotation` in `MaterialSpecimen`. Model 2 successfully captures all these attributes and appropriately utilizes enumerations (e.g., `PhaseType`, `SurfaceFinish`, `TestType`) for constrained values.
4. Consistencies of Terminology with given context: Model 1 = 4, Model 2 = 5; Evidence: Both models closely follow the provided text. Model 2's inclusion of enums and refined classes directly reflects the specific jargon (e.g., `Austenite`, `Pearlite`, `Destructive`, `Non-destructive`) mentioned in the prompt.
5. Adherence of UML class diagram standards: Model 1 = 4, Model 2 = 5; Evidence: Both models use valid PlantUML syntax. Model 2 demonstrates a more rigorous application of UML class diagram conventions by comprehensively defining enumerations, attributes, and explicit multiplicities on solid association lines, whereas Model 1's heavy reliance on dependency arrows weakens the structural model.
Total: Model 1 = 18, Model 2 = 25
Choice: B
Reason:
1. Appropriate conceptual classes aligned with the domain: Model 2 introduces well-thought-out refinements (`StressTestRun`, `ProcessingStep`) that structure the data better than Model 1's basic lists and methods.
2. Associations/Multiplicities between classes for domain reasoning: Model 2 explicitly models the cardinality of relationships (e.g., 1 to 1..*), providing strong domain reasoning. Model 1 omits multiplicities on many core relationships by relying on weak dependency (`..&gt;`) links.
3. Model attributes with appropriate data types: Model 1 fails to include critical attributes explicitly requested in the prompt, such as the `effectiveDate` for Design Constraints, as well as grain structure and defects for Material Specimens. Model 2 captures all required attributes perfectly and uses appropriate data types and enums.
4. Rejected or checked issues: The slight directional interpretation difference in Process Controller utilizing Simulator/Protocol vs. Thermal Analysis Run utilizing them is a valid linguistic interpretation of the prompt in both cases and neither was penalized.
5. Overall judgment: Model 2 is significantly stronger in domain coverage, attribute completeness, and structural UML relationships, making it the clear winner.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</si>
  <si>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</si>
  <si>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</si>
  <si>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Enums (e.g., `PhaseType`, `QualityStatus`) and distinct cohesive classes like `ProcessingStep` composed within `HeatTreatmentProfile`. It uses strong associations (e.g., `ProcessController "1" --&gt; "1" ThermalCycleSimulator`). Model 2 hardcodes phase types as attributes (`austenite`, `ferrite`, `martensite`, `pearlite`) inside `PhaseDistribution` and uses a primitive `Map` for `chemicalMakeup` in `ElementComposition`. Model 2 also relies heavily on weak dependency arrows (`..&gt;`) for structural relationships (e.g., `ThermalAnalysisRun ..&gt; ThermalCycleSimulator`).
2. Complexity: Model 1 = 5, Model 2 = 3; Evidence: Model 1 balances complexity by introducing necessary intermediate conceptual classes like `StressTestRun`, `QualityAssuranceReview`, and `SummaryReport` to accurately represent the domain workflows. Model 2 has fewer classes but oversimplifies by condensing concepts into generic collections (e.g., `processingSteps: List` in `HeatTreatmentProfile`) rather than modeling them as distinct conceptual entities. 
3. Practicability: Model 1 = 5, Model 2 = 3; Evidence: Model 1 captures all required attributes, including `grainStructure` and `defectAnnotation` in `MaterialSpecimen`, making it practical and comprehensive. It also defines clear system states using Enums (e.g., `RunState`, `ReportFormat`). Model 2 completely omits `grainStructure` and `defectAnnotation` from `MaterialSpecimen` and uses raw Strings for constrained values (e.g., `primaryPhase: String`, `qualityStatus: String` in `BatchRecord`), reducing its robustness and real-world viability.
Total: Model 1 = 15, Model 2 = 9
Choice: A
Reason:
1. Cohesion and Decoupling: Model 1 demonstrates superior object-oriented design by encapsulating behaviors and states into Enums and distinct classes, and using strong structural associations. Model 2 uses weaker dependencies and hardcodes attributes that should be dynamic or typed, leading to lower cohesion and tighter coupling.
2. Complexity: Model 1 correctly identifies necessary domain concepts and translates them into classes (like `ProcessingStep` and `SummaryReport`), matching the requirement's depth. Model 2 oversimplifies the domain, squashing distinct concepts into generic Lists and Maps.
3. Practicability: Model 1 is far more practical because it strictly adheres to the requirements, capturing all necessary attributes (like grain structure and defects) and using type-safe Enums. Model 2 misses several explicitly requested attributes and relies on error-prone primitive Strings for states and statuses.
4. Rejected or checked issues: No penalties were applied for the directionality of associations, primitive type naming conventions, or the use of PlantUML comments in Model 1.
5. Overall judgment: Model 1 provides a highly accurate, robust, and well-structured UML class diagram that fully satisfies the complex domain requirements. Model 2 suffers from missing attributes and oversimplified structural relationships,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</si>
  <si>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</si>
  <si>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tightly couples specific phase names as attributes within `PhaseDistribution` (`austenite: Float`, `ferrite: Float`, etc.), forcing structural changes if new phases are added. Model 2 decouples this by using a `PhaseType` enum and a single `fraction: double` attribute. Additionally, Model 2 decouples systemic actors from their output records (e.g., separating `QualityAssurance` from `QualityAssuranceReview`, and `StressTestRunner` from `StressTestRun`), whereas Model 1 conflates actor and record state by putting `inspector: String` and `isCertified: Boolean` directly into the `QualityAssurance` module class.
2. Complexity: Model 1 = 3, Model 2 = 5; Evidence: Model 1 oversimplifies necessary domain complexity by utilizing basic language types for complex concepts (e.g., `chemicalMakeup: Map` in `ElementComposition` and `processingSteps: List` in `HeatTreatmentProfile`). Model 2 balances complexity perfectly according to the requirements by introducing appropriate conceptual classes like `ProcessingStep`, `Supplier`, and `ElementComposition` (with `elementName` and `percentage`), providing a much more robust and traceable data model without unnecessary inheritance depth.
3. Practicability: Model 1 = 2, Model 2 = 5; Evidence: Model 2 captures required attributes that Model 1 misses entirely, such as `grainStructure` and `defectAnnotation` within `MaterialSpecimen`. Furthermore, Model 2 uses practical Enums (`SurfaceFinish`, `TestType`, `RunState`) to ensure type safety and readability, while Model 1 relies on generic `String` types. Model 2's explicit modeling of output artifacts like `SummaryReport` and `CostEstimation` makes the design highly testable and viable for a real-world persistence system, whereas Model 1 relies on vague dependency arrows (e.g., `ReportGenerator ..&gt; PerformanceMetric`) with no structural representation of the report itself.
Total: Model 1 = 7, Model 2 = 15
Choice: B
Reason:
1. Cohesion and Decoupling: Model 2 excels by decoupling systemic actors from their operational records (e.g., `StressTestRunner` vs. `StressTestRun`), ensuring classes have single, clear responsibilities. Model 1 rigidly hardcodes phase types as attributes and mixes module behavior with instance state.
2. Complexity: Model 2 justifies its higher class count by accurately representing the domain requirements with concrete classes (e.g., `ProcessingStep`, `Supplier`), avoiding Model 1's over-reliance on opaque data structures like Maps and Lists for critical business entities.
3. Practicability: Model 2 is significantly more practical for implementation. It captures missing domain attributes (grain structure, defect annotation), leverages Enums for type safety, and models concrete operational outputs (reports, estimations, reviews) that are essential for real-world testing and database mapping. Model 1's heavy use of transient dependency arrows lacks the structural permanence needed for enterprise software.
4. Overall judgment: Model 2 is vastly superior. It provides a comprehensive, type-safe, and highly cohesive design that perfectly translates the intricate domain requirements into a practical software architecture, whereas Model 1 is incomplete and overly simplistic.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</si>
  <si>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</si>
  <si>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</si>
  <si>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includes all required classes mentioned in the prompt (e.g., `ProcessingStep`, `BatchRecord`, `Supplier`, `SummaryReport`, `QualityAssuranceReview`) and attributes (e.g., `principalInvestigator` in `ResearchProject`, `isValidated` in `HeatTreatmentProfile`, `grainStructure` and `defectAnnotation` in `MaterialSpecimen`). It also defines appropriate relationships, cardinalities, and compositions (e.g., `ReportGenerator` compiling from `PerformanceMetric` and `QualityAssuranceReview`). Model 2 misses several required classes (no `BatchRecord`, `ProcessingStep`, `Supplier`), omits critical attributes, and leaves many classes entirely disconnected from the diagram without any associations (e.g., `CostEstimator`, `SupplierNetwork`, `QualityAssurance`, `ReportGenerator`, `ThermalCycleSimulator`).
Total: Model 1 = 5, Model 2 = 2
Choice: A
Reason:
1. Alignment with Requirements: Model 1 comprehensively covers the entire domain described in the prompt. It accurately captures the detailed relationships, such as how `ComplianceArchive` contains `BatchRecord`s which link `RegulatoryStandard` to `AlloyBatch`. It effectively captures list-based constraints using enumerations (e.g., `PhaseType`, `QualityStatus`, `TestType`). Model 2 is severely incomplete; it fails to model processing steps, batch records, and certified inspectors, and it leaves operational support and reporting modules completely orphaned without associations.
2. Rejected or checked issues: Model 1 introduces ID attributes (e.g., `batchId`, `specimenId`) that were not explicitly named in the prompt. Following the guidelines, these extra identifiers are not penalized as they are standard engineering practice and do not contradict the requirements. Model 1's use of intermediate concepts like `QualityAssuranceReview` and `StressTestRun` transparently refines the requirements (QA module approving batches, runners performing tests) and is properly credited.
3. Overall judgment: Model 1 provides a robust, detailed, and highly accurate UML class diagram that translates all business rules, attributes, and relationships from the text into structural modeling. Model 2 is far too simplistic, missing key associations, attributes, and classes required by the prompt.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</si>
  <si>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</si>
  <si>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defines several required classes like `CostEstimator`, `SupplierNetwork`, `QualityAssurance`, and `ReportGenerator` but leaves them completely isolated with no relationships. Model 1 also misses key concepts mentioned in the text, such as `BatchRecord` (connecting `ComplianceArchive` directly to `AlloyBatch` instead), `ProcessingStep`, and principal investigator for `ResearchProject`. Model 2 comprehensively captures all entities and their associations, such as adding `BatchRecord` that links to `RegulatoryStandard` and `AlloyBatch`, properly associating `ReportGenerator` with `PerformanceMetric` and `QualityAssuranceReview`, and including specific attributes like `principalInvestigator`, `grainStructure`, and `isValidated` mapped directly from the text. Model 2 also correctly models compositions (e.g., `AlloyBatch *-- MaterialSpecimen`) and provides matching enumerations for phases and statuses.
Total: Model 1 = 2, Model 2 = 5
Choice: B
Reason:
1. Alignment with Requirements: Model 2 strictly and comprehensively aligns with the requirement. It captures all necessary entities, attributes, and complex relationships (e.g., `MicrostructureAnalysis` correlating `MaterialSpecimen` with `SpectroscopyData` and referencing `PhaseDiagramCalculator`). It effectively uses enumerations to capture specific values mentioned in the text (like Phase types and Test types). Model 1 is heavily incomplete; it leaves multiple classes floating without any associations (e.g., `CostEstimator`, `ReportGenerator`, `ThermalCycleSimulator`), completely omits `BatchRecord` which is required to link regulatory standards to batches, and lacks critical attributes detailed in the prompt.
2. Rejected or checked issues: Model 2 introduces refined classes like `ProcessingStep`, `StressTestRun`, `CostEstimation`, and `QualityAssuranceReview`. Under the evaluation guidelines, refining core concepts to capture the required domain facts (like processing steps or certified inspector approvals) is acceptable and rewarded for domain reasoning, not penalized as hallucination.
3. Overall judgment: Model 2 is vastly superior. It correctly models the entire domain described in the prompt with accurate associations, multiplicities, and attributes, while Model 1 is little more than a disconnected list of classes for the latter half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</si>
  <si>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</si>
  <si>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required domain entities such as `ProcessingStep`, `BatchRecord`, `Supplier`, `QualityAssuranceReview`, and `SummaryReport`. Model 2 fails to include `ProcessingStep`, `BatchRecord`, `Supplier`, and dedicated report/review entities, missing significant concepts from the text.
2. Associations/Multiplicities between classes for domain reasoning: Model 1 = 5, Model 2 = 1; Evidence: Model 1 defines associations and multiplicities thoroughly (e.g., `ComplianceArchive "1" *-- "1..*" BatchRecord`, `ExperimentPlanner "1" --&gt; "1..*" HeatTreatmentProfile`). Model 2 lacks multiplicities on nearly all of its relationships (e.g., `ExperimentalDataset -- SpectroscopyData`) and leaves key classes like `CostEstimator`, `SupplierNetwork`, `QualityAssurance`, and `ReportGenerator` entirely disconnected from the rest of the diagram.
3. Model attributes with appropriate data types: Model 1 = 5, Model 2 = 2; Evidence: Model 1 captures required attributes completely (e.g., `MaterialSpecimen` has `grainStructure: String` and `defectAnnotation: String`; `ResearchProject` has `principalInvestigator: String`). Model 2 leaves many classes completely empty (e.g., `ElementComposition`, `ExperimentPlanner`, `ExperimentalDataset`) and misses critical text-mandated attributes like `grainStructure`, `defectAnnotation`, and `principalInvestigator`.
4. Consistencies of Terminology with given context: Model 1 = 5, Model 2 = 3; Evidence: Model 1 uses domain terminology perfectly, including specific terms like `equilibriumState`, `stablePhases`, and `dataIntegrityVerified`. Model 2 uses correct terminology for the classes it does include (e.g., `ThermalCycleSimulator`), but misses a vast amount of required vocabulary due to its overall incompleteness.
5. Adherence of UML class diagram standards: Model 1 = 5, Model 2 = 2; Evidence: Model 1 correctly applies UML standards including enumerations, composition (`*--`), explicit multiplicities, and typed attributes. Model 2 has valid basic PlantUML syntax but ignores major UML standards by omitting multiplicities on most associations and leaving many class bodies completely empty.
Total: Model 1 = 25, Model 2 = 10
Choice: A
Reason:
1. Appropriate conceptual classes aligned with the domain: Model 1 successfully extracts the full scope of the complex domain, including intermediate and supporting classes. Model 2 completely misses critical concepts like `BatchRecord`, `ProcessingStep`, and `Supplier`.
2. Associations/Multiplicities between classes for domain reasoning: Model 1 provides a fully connected and well-reasoned relationship web with exact multiplicities. Model 2 ignores multiplicities and leaves multiple classes completely detached from the system architecture.
3. Model attributes with appropriate data types: Model 1 assigns proper data types and comprehensively maps the attributes described in the prompt. Model 2 relies heavily on empty classes, missing essential properties required by the prompt.
4. Consistencies of Terminology with given context: Model 1 fully embraces the terminology of the prompt, down to the states, statuses, and data points. Model 2 loses significant context by omitting so much of the requested design.
5. Adherence of UML class diagram standards: Model 1 utilizes advanced UML syntax (enums, compositions, directed associations) effectively. Model 2 provides a bare-bones diagram that violates standard completeness expectations by dropping multiplicities.
6. Rejected or checked issues: Model 1's use of enumerations for target phases (e.g., `PhaseType`) versus Model 2's explicit attribute fractions (e.g., `austeniteFraction: float`) was noted. While both approaches can represent the phases, Model 2's severe omission of other required attributes and classes was the driving factor for its low score, not its design choice for phase fractions.
7. Overall judgment: Model 1 provides an excellent, highly detailed, and accurate UML class diagram that fully satisfies the complex domain requirements. Model 2 is heavily underdeveloped, lacking associations, multiplicities, attributes, and several core classes.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</si>
  <si>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</si>
  <si>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high-level classes but misses distinct entities described in the text, such as `BatchRecord` (only creating `ComplianceArchive`), `SummaryReport`, and `Supplier`. Model 2 correctly abstracts the domain into comprehensive classes and enumerations, including `BatchRecord`, `SummaryReport`, `Supplier`, and `QualityAssuranceReview`.
2. Associations/Multiplicities between classes for domain reasoning: Model 1 = 1, Model 2 = 5; Evidence: Model 1 leaves several critical classes entirely disconnected (e.g., `ReportGenerator`, `QualityAssurance`, `CostEstimator`, `SupplierNetwork`, `PhaseDiagramCalculator`). Model 2 accurately establishes complex domain relationships, correctly linking `MicrostructureAnalysis` to `MaterialSpecimen` and `SpectroscopyData`, and `BatchRecord` to `AlloyBatch` and `RegulatoryStandard` with appropriate multiplicities.
3. Model attributes with appropriate data types: Model 1 = 1, Model 2 = 5; Evidence: Model 1 leaves 16 out of 25 classes completely empty without any attributes (e.g., `OptimizationResult`, `ExperimentalDataset`, `HeatTreatmentProfile` only has two). Model 2 meticulously defines attributes with proper types, such as `grainStructure: String` and `defectAnnotation: String` in `MaterialSpecimen`, and utilizes domain-specific enumerations (e.g., `QualityStatus`, `PhaseType`).
4. Consistencies of Terminology with given context: Model 1 = 3, Model 2 = 5; Evidence: Model 1 uses correct high-level class names but misses the vast majority of contextual terminology due to the lack of attributes. Model 2 incorporates all specific terms from the prompt, such as `principalInvestigator` in `ResearchProject`, `equilibriumState` in `PhaseDiagramCalculator`, and `convergenceTracked` in `OptimizationResult`.
5. Adherence of UML class diagram standards: Model 1 = 3, Model 2 = 5; Evidence: Model 1 uses valid but rudimentary PlantUML syntax, consisting mostly of empty boxes and undirected lines (`--`). Model 2 demonstrates excellent adherence to UML standards by utilizing enumerations, composition relationships (`*--`), directed associations (`--&gt;`), clear multiplicities, and descriptive role labels (e.g., `: contains specimens`).
Total: Model 1 = 11, Model 2 = 25
Choice: B
Reason:
1. Appropriate conceptual classes aligned with the domain: Model 2 captures all required concepts, extracting implicit entities like Batch Records, Suppliers, and Reports into proper classes, whereas Model 1 misses several critical operational units.
2. Associations/Multiplicities between classes for domain reasoning: Model 1 fails to connect multiple classes (ReportGenerator, QualityAssurance, etc.), breaking domain reasoning. Model 2 perfectly maps the intricate data flow and relationships required by the prompt.
3. Model attributes with appropriate data types: Model 1 is anemic, leaving the majority of its classes empty. Model 2 populates every class with detailed, accurately typed attributes derived directly from the requirements text.
4. Consistencies of Terminology with given context: Model 2 integrates nuanced domain terminology directly into attributes and methods, whereas Model 1's omission of attributes means it fails to represent the detailed terminology of the prompt.
5. Adherence of UML class diagram standards: Model 2 uses a rich and semantically correct set of UML notations (composition, directionality, roles, enums), making it highly professional and readable, while Model 1 is overly simplistic.
6. Overall judgment: Model 2 is vastly superior. It provides a complete, detailed, and technically sound UML class diagram that fully addresses all aspects of the complex prompt. Model 1 is incomplete, missing attributes, associations, and essential conceptual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</si>
  <si>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</si>
  <si>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achieves high cohesion by defining `PhaseDistribution` with `phaseType: PhaseType` and `fraction: double`, and separates concerns effectively (e.g., separating `HeatTreatmentProfile` and `ProcessingStep`). Model 2 hardcodes individual phase fractions (`austeniteFraction`, `ferriteFraction`, etc.) directly into `PhaseDistribution`, which lowers cohesion and extensibility, and skips intermediate cohesive concepts like `BatchRecord`, linking `ComplianceArchive` directly to `AlloyBatch`.
2. Complexity: Model 1 = 5, Model 2 = 2; Evidence: Model 1 appropriately balances complexity to match the detailed requirement by including necessary classes like `ProcessingStep`, `BatchRecord`, `StressTestRun`, `SummaryReport`, and `Supplier`, along with 6 useful enumerations. Model 2 under-models the domain, omitting these required classes and leaving 15 classes completely empty of attributes (e.g., `ExperimentPlanner`, `PhaseDiagramCalculator`, `ProcessController`, `OptimizationResult`).
3. Practicability: Model 1 = 5, Model 2 = 2; Evidence: Model 1 provides a comprehensive and practical blueprint with explicit attributes (e.g., `MaterialSpecimen` accurately includes `grainStructure` and `defectAnnotation`), meaningful associations, and clear multiplicities. Model 2 lacks practical details, omitting crucial attributes, leaving numerous empty classes, and completely missing associations for key entities like `ReportGenerator`, `QualityAssurance`, and `CostEstimator`.
Total: Model 1 = 15, Model 2 = 7
Choice: A
Reason:
1. Cohesion and Decoupling: Model 1 demonstrates excellent modularity and decoupling through proper abstraction (e.g., using a `PhaseType` enum). Model 2 struggles with cohesion by hardcoding attributes instead of modeling scalable structures, and it misses critical decoupled associative entities like `BatchRecord`.
2. Complexity: Model 1 matches the dense, detailed requirement with an appropriate level of complexity, covering all necessary conceptual entities and their attributes. Model 2 is overly simplified, leaving over a dozen classes completely devoid of attributes and omitting key domain concepts explicitly required by the prompt.
3. Practicability: Model 1 is highly readable, traceable, and actionable for real-world software development, capturing all required properties and relationships. Model 2 is an incomplete skeleton that fails to offer a viable or informative design for the specified system.
4. Overall judgment: Model 1 is significantly better because it thoroughly and accurately translates the complex requirement into a well-structured, complete, and practical UML class diagram, whereas Model 2 provides an incomplete and overly simplified sketch with empty classes and missing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</si>
  <si>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</si>
  <si>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forces direct coupling between disconnected entities by omitting intermediate transaction/record classes (e.g., `StressTestRunner` directly associates with `PerformanceMetric`, and `ComplianceArchive` directly associates with `AlloyBatch`). Model 2 achieves high cohesion and low coupling by introducing appropriate intermediate classes representing real-world boundaries, such as `StressTestRun` (bridging the runner and metrics) and `BatchRecord` (bridging the archive, batch, and standards).
2. Complexity: Model 1 = 2, Model 2 = 5; Evidence: Model 1 oversimplifies the domain, missing several required concepts entirely (e.g., no `ProcessingStep`, `StressTestRun`, `BatchRecord`, or `SummaryReport`), and flattens data inappropriately (e.g., `PhaseDistribution` has 4 hardcoded fraction attributes for phases). Model 2 balances complexity perfectly, capturing all required concepts with 31 classes and 6 enums, and properly modeling `PhaseDistribution` with a `PhaseType` enum and a `fraction` attribute, avoiding hardcoded fields.
3. Practicability: Model 1 = 2, Model 2 = 5; Evidence: Model 1 is incomplete and lacks essential attributes for practical implementation (e.g., `MaterialSpecimen` is missing grain structure and defect annotations; `QualityAssurance` and `CostEstimator` have no outputs or workflows). Model 2 offers a highly practical and comprehensive design, providing clear outputs for operational modules (e.g., `QualityAssuranceReview` for `QualityAssurance`, `CostEstimation` for `CostEstimator`, `SummaryReport` for `ReportGenerator`) and full attribute coverage.
Total: Model 1 = 6, Model 2 = 15
Choice: B
Reason:
1. Cohesion and Decoupling: Model 2 is superior because it uses appropriate intermediate classes like `StressTestRun` and `BatchRecord` to cleanly decouple components, whereas Model 1 forces awkward direct relationships (e.g., `ComplianceArchive -- AlloyBatch`) due to missing domain entities.
2. Complexity: Model 2 accurately models the required complexity of the domain by including necessary workflow and record classes (`ProcessingStep`, `SummaryReport`, `Supplier`), while Model 1 drops these explicitly requested concepts, making it overly simplistic and non-compliant with the requirements. Model 2's use of enums (like `PhaseType` and `SurfaceFinish`) is also a much better architectural choice than Model 1's hardcoded attributes.
3. Practicability: Model 2 is highly practical for real-world development. It completely models the required data points (such as `grainStructure` and `defectAnnotation` in `MaterialSpecimen`) and clearly defines the outputs of operational systems (like `CostEstimation` and `QualityAssuranceReview`). Model 1 leaves many classes empty and omits critical attributes, making it unusable for actual software design.
4. Overall judgment: Model 2 strictly adheres to the requirements, accurately representing the complex domain of alloy composition with well-thought-out classes, enums, attributes, and relationships. Model 1 is far too simplistic, omitting key concepts, attributes, and intermediary classes, rendering it inadequate for the specified system. Therefore, Model 2 is significantly better.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</si>
  <si>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</si>
  <si>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</si>
  <si>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Class Diagram Semantics: Model 1 = 5, Model 2 = 2; Evidence: Model 1 includes all required classes (e.g., `BatchRecord`), detailed attributes/methods (e.g., `HeatTreatmentProfile` with `processingSteps` and `isValidated`; `PhaseDiagramCalculator` with `identifyStablePhases()`), and accurately maps relationships with proper multiplicities and types (e.g., `AlloyBatch "1" *-- "0..*" MaterialSpecimen`, `BatchRecord` linking `AlloyBatch` and `RegulatoryStandard`, and `ReportGenerator` linking to `PerformanceMetric` and `QualityAssurance`). Model 2 misses the `BatchRecord` class entirely, leaves numerous classes empty with no attributes or methods (e.g., `PhaseDiagramCalculator`, `CostEstimator`, `QualityAssurance`, `ReportGenerator`), and omits critical relationships (e.g., `CostEstimator`, `SupplierNetwork`, `QualityAssurance`, and `ReportGenerator` are completely disconnected in the relationship section).
Total: Model 1 = 5, Model 2 = 2
Choice: A
Reason:
1. Requirement Alignment and Class Diagram Semantics: Model 1 perfectly aligns with the detailed requirements, incorporating attributes, methods, specific relationship types (like composition and dependency), and cardinalities. It captures the complex interplay between entities, such as how a `BatchRecord` links a `RegulatoryStandard` to an `AlloyBatch`, and how `MicrostructureAnalysis` interacts with multiple components. Model 2, on the other hand, is highly incomplete. It misses the `BatchRecord` class entirely, fails to detail attributes or methods for more than half of the classes, and leaves several key operational classes entirely disconnected from the rest of the diagram.
2. Rejected or checked issues: Both models use primitive type aliases or variations in casing (e.g., Model 1 uses `Float`, Model 2 uses `float`), which is strictly permissible and was not penalized.
3. Overall judgment: Model 1 is significantly better because it thoroughly and accurately translates the extensive business logic, attributes, methods, and relationships described in the prompt into a structurally sound and detailed UML class diagram. Model 2 is unfinished, missing critical conceptual classes, properties, and structural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</si>
  <si>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</si>
  <si>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completely omits the `BatchRecord` class (which is explicitly required to have primary phase and quality status, and link regulatory standards to alloy batches). Model 1 also misses numerous key associations (e.g., `ReportGenerator` to `PerformanceMetric` and `QualityAssurance`, `CostEstimator` to `ElementComposition`, `ThermalAnalysisRun` to `ThermalCycleSimulator`) and attributes (e.g., principal investigator in `ResearchProject`, processing steps in `HeatTreatmentProfile`). Model 2 correctly includes `BatchRecord` with its attributes `primaryPhase` and `qualityStatus`, accurately links it to `AlloyBatch` and `RegulatoryStandard`, and comprehensively maps out the remaining classes, attributes, methods, and their relationships.
Total: Model 1 = 2, Model 2 = 5
Choice: B
Reason:
1. Requirement Alignment: Model 2 closely follows the complex domain requirements, capturing all requested entities including `BatchRecord`, `ThermalCycleSimulator` dependencies, and `ReportGenerator` dependencies. It properly incorporates attributes and methods matching the text. Model 1 fails to include `BatchRecord`, leaving `ComplianceArchive` linked directly to `AlloyBatch` which contradicts the prompt, and misses over half of the structural associations for the peripheral components (CostEstimator, QualityAssurance, ReportGenerator, etc.). 
2. Rejected or checked issues: I checked if Model 2's use of dependencies (`..&gt;`) instead of solid associations for some relationships was an issue, but UML permits dependencies to represent "uses", "generates", or "compiles" relationships, which aligns perfectly with the textual description. Model 1's lack of multiplicities on many associations was noted but the primary failure was simply missing the required semantic elements.
3. Overall judgment: Model 2 is far superior because it meticulously translates the business rules, entities, and attributes from the prompt into the class diagram, whereas Model 1 leaves out critical entities,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</si>
  <si>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</si>
  <si>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domain classes, including `BatchRecord`. Model 2 misses `BatchRecord`, which is explicitly required by the text to link regulatory standards to specific batches and document primary phases.
2. Associations/Multiplicities between classes for domain reasoning: Model 1 = 5, Model 2 = 2; Evidence: Model 1 includes comprehensive associations with explicit multiplicities (e.g., `ProcessController "1" --&gt; "0..*" ThermalAnalysisRun`, `BatchRecord "0..*" --&gt; "1" RegulatoryStandard`). Model 2 misses many critical relationships (e.g., no link between `ThermalAnalysisRun` and `ThermalCycleSimulator`, or `CostEstimator` and `ElementComposition`) and omits multiplicities on most of its associations (e.g., `MaterialSpecimen -- ElementComposition`).
3. Model attributes with appropriate data types: Model 1 = 5, Model 2 = 2; Evidence: Model 1 correctly captures attributes like `processingSteps` and `isValidated` in `HeatTreatmentProfile`, and `effectiveDate` in `RegulatoryStandard`. Model 2 misses critical attributes (e.g., `processingSteps`, `principalInvestigator`), leaves many classes entirely empty, and incorrectly assigns `effectiveDate` to `DesignConstraint` instead of `RegulatoryStandard`.
4. Consistencies of Terminology with given context: Model 1 = 5, Model 2 = 3; Evidence: Model 1 uses terms perfectly consistent with the text context. Model 2 misaligns terminology by applying "effective date" to design constraints rather than regulatory standards and completely ignoring the "batch record" terminology.
5. Adherence of UML class diagram standards: Model 1 = 5, Model 2 = 4; Evidence: Model 1 correctly uses standard PlantUML syntax, relation arrows (`*--`, `..&gt;`), and explicit multiplicities. Model 2 is generally understandable but uses `// Relationships` (PlantUML typically uses `'` for single-line comments) and lacks multiplicities on many associations, reducing its UML completeness.
Total: Model 1 = 25, Model 2 = 15
Choice: A
Reason:
1. Appropriate conceptual classes aligned with the domain: Model 1 identifies all necessary classes, whereas Model 2 misses the critical `BatchRecord` class.
2. Associations/Multiplicities between classes for domain reasoning: Model 1 models the domain's relational complexity perfectly with correct directional and multiplicity constraints. Model 2 is heavily underdeveloped, missing key associations between execution runs, simulators, projects, and constraints, while lacking multiplicities on most existing links.
3. Model attributes with appropriate data types: Model 1 meticulously translates textual details into class attributes. Model 2 leaves a majority of classes empty, misses key attributes, and misplaces others (like `effectiveDate`).
4. Consistencies of Terminology with given context: Model 1 strictly adheres to the provided text. Model 2 introduces inconsistencies by misassigning attributes to the wrong conceptual entities.
5. Adherence of UML class diagram standards: Model 1 uses complete and standard notation, whereas Model 2 has minor comment syntax deviations and relies on incomplete association representations.
6. Overall judgment: Model 1 is significantly better. It provides a comprehensive, highly detailed, and completely accurate representation of the system requirements, missing nothing. Model 2 is incomplete, missing numerous classes, attributes, associations, and multiplicities, while containing structural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</si>
  <si>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</si>
  <si>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most of the conceptual classes but completely misses `BatchRecord`. Model 2 successfully identifies all required domain classes including `BatchRecord`.
2. Associations/Multiplicities between classes for domain reasoning: Model 1 = 2, Model 2 = 5; Evidence: Model 1 misses several critical associations, such as `ThermalAnalysisRun` to `ThermalCycleSimulator`, `StressTestRunner` to `MaterialSpecimen`, and the relationships involving `BatchRecord` (incorrectly linking `ComplianceArchive` directly to `AlloyBatch`). Model 2 correctly defines these domain relationships, including `BatchRecord` linking `AlloyBatch` and `RegulatoryStandard`.
3. Model attributes with appropriate data types: Model 1 = 2, Model 2 = 4; Evidence: Model 1 misses many explicitly requested attributes, such as `principalInvestigator` in `ResearchProject`, `processingSteps` in `HeatTreatmentProfile`, and `coolingRate` in `ThermalCycleSimulator`. Model 2 captures almost all attributes with proper types (e.g., `coolingRate: Float`), though it misses `effectiveDate` in `DesignConstraint`.
4. Consistencies of Terminology with given context: Model 1 = 3, Model 2 = 5; Evidence: Model 1's terminology is generally fine for what is present, but missing classes and attributes cause inconsistencies with the provided context. Model 2 exceptionally aligns with the context, mapping not only classes and attributes but also operations (e.g., `checkEquilibrium()`, `filterResults()`, `compileReport()`) using the exact terminology from the prompt.
5. Adherence of UML class diagram standards: Model 1 = 5, Model 2 = 5; Evidence: Both models are structurally correct, utilize valid PlantUML syntax, and form coherent and readable class diagrams.
Total: Model 1 = 16, Model 2 = 24
Choice: B
Reason:
1. Appropriate conceptual classes aligned with the domain: Model 2 is comprehensive, whereas Model 1 overlooks `BatchRecord`.
2. Associations/Multiplicities between classes for domain reasoning: Model 2 perfectly links the classes according to the text, including the junction role of `BatchRecord` and the testing targets of `StressTestRunner`. Model 1 is missing multiple critical connections.
3. Model attributes with appropriate data types: Model 2 captures the vast majority of the required attributes and operation methods correctly. Model 1 is far too brief and omits numerous core attributes.
4. Consistencies of Terminology with given context: Model 2 accurately mirrors the terminology of the requirement across classes, attributes, and methods. Model 1's omissions drop its alignment.
5. Adherence of UML class diagram standards: Both models follow proper PlantUML/UML notations without syntax issues.
6. Rejected or checked issues: Model 2's usage of directional and dependency arrows (`--&gt;`, `..&gt;`) versus Model 1's non-directional associations (`--`) are stylistic differences that are both valid in UML. Model 2 was not rewarded for this style, but rather for containing the correct semantic relationships that Model 1 lacked. Also, the visibility markers (`-` vs `skinparam classAttributeIconSize 0`) were ignored.
7. Overall judgment: Model 2 is overwhelmingly superior as it meticulously extracts and models nearly all of the detailed domain classes, relationships, attributes, and methods specified in the requirement, whereas Model 1 provides a highly incomplete representation of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</si>
  <si>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</si>
  <si>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explicitly models relationships reflecting the required operations, such as `BatchRecord` linking `AlloyBatch` and `RegulatoryStandard`, and `ReportGenerator` depending on `PerformanceMetric` and `QualityAssurance`. Model 2 leaves several classes like `CostEstimator`, `SupplierNetwork`, `QualityAssurance`, and `ReportGenerator` completely disconnected with no associations.
2. Complexity: Model 1 = 5, Model 2 = 2; Evidence: Model 1 appropriately captures the domain complexity by including the intermediate `BatchRecord` class with attributes `primaryPhase` and `qualityStatus`, and adding relevant methods like `filterResults()` in `ExperimentalDataset` and `generateProfile()` in `ExperimentPlanner`. Model 2 is overly simplistic, completely omitting the `BatchRecord` class, and leaving numerous classes like `ExperimentPlanner`, `ProcessController`, and `MicrostructureAnalysis` entirely empty without any attributes or methods.
3. Practicability: Model 1 = 5, Model 2 = 2; Evidence: Model 1 provides a comprehensive and readable design that supports implementation, accurately placing attributes like `principalInvestigator` in `ResearchProject` and modeling required methods like `approveBatch()` in `QualityAssurance`. Model 2 lacks practicability due to its incomplete nature, incorrectly placing `effectiveDate` in `DesignConstraint` instead of `RegulatoryStandard`, and failing to define any methods or operational behaviors.
Total: Model 1 = 15, Model 2 = 6
Choice: A
Reason:
1. Cohesion and Decoupling: Model 1 successfully maps the complex inter-dependencies described in the prompt (e.g., associating the report generator with its data sources). Model 2 fails to connect several classes, leaving them floating and useless in the system architecture.
2. Complexity: Model 1 strikes the right balance by modeling necessary structural records (like `BatchRecord`) and behavioral methods (like `checkEquilibrium()`). Model 2 ignores almost all methods and leaves many conceptual classes as empty shells.
3. Practicability: Model 1 is highly practical and ready for implementation, capturing both structural data and operational methods. Model 2 contains misassigned attributes (e.g., `effectiveDate`) and lacks the necessary depth to be used as a real software blueprint.
4. Overall judgment: Model 1 is vastly superior as it thoroughly and faithfully translates the detailed requirements into a complete UML diagram with appropriate attributes, methods, and relationships. Model 2 is heavily incomplete, lacking crucial associations, methods, and an entire required class (`BatchRecord`).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</si>
  <si>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</si>
  <si>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lacks methods, making behavioral cohesion impossible to evaluate, and uses incorrect structural coupling (e.g., directly linking `ComplianceArchive` to `AlloyBatch` while omitting the required `BatchRecord`). Model 2 demonstrates high cohesion by assigning specific responsibilities to classes (e.g., `PhaseDiagramCalculator` has `identifyStablePhases()` and `checkEquilibrium()`) and maintains low coupling by appropriately utilizing the `BatchRecord` class to link `AlloyBatch` and `RegulatoryStandard`.
2. Complexity: Model 1 = 2, Model 2 = 5; Evidence: Model 1 is overly simplistic and fails to capture the complexity of the requirements; it has 0 methods across all classes and misses critical classes like `BatchRecord` and attributes like `coolingRate` for `ThermalCycleSimulator`. Model 2 perfectly aligns with the required complexity, containing 26 well-defined classes with an appropriate number of attributes and methods (e.g., `HeatTreatmentProfile` includes `processingSteps` and `isValidated`, and `ResearchProject` includes `principalInvestigator` and `budget`).
3. Practicability: Model 1 = 2, Model 2 = 5; Evidence: Model 1 is incomplete and impractical for real-world programming, as it provides no behavioral definitions (methods) and misses key domain entities. Model 2 is highly practical, readable, and comprehensive, offering clear methods (`ExperimentPlanner.generateProfile()`, `ReportGenerator.compileReport()`) and logical modular interactions (e.g., `StressTestRunner` testing `MaterialSpecimen` and generating `PerformanceMetric`) that facilitate programming, testing, and maintenance.
Total: Model 1 = 6, Model 2 = 15
Choice: B
Reason:
1. Cohesion and Decoupling: Model 2 excels by correctly encapsulating behaviors within relevant classes through methods, ensuring high cohesion. It also correctly structures the domain relationships, whereas Model 1 misses the `BatchRecord` entirely and creates direct, coupled associations that ignore the domain logic.
2. Complexity: Model 2 accurately reflects the domain complexity described in the prompt by including all necessary attributes, methods, and classes. Model 1 is far too simplistic, omitting all methods and several critical attributes required by the prompt.
3. Practicability: Model 2 provides a complete, understandable, and robust blueprint for software development, with explicit dependencies and methods that guide implementation. Model 1 is little more than a list of nouns with sparse attributes, making it practically unusable as a design document.
4. Rejected or checked issues: Differences in association arrow styles (e.g., `*--` vs `--`) were ignored as per the general rules. The lack of visibility markers in some places or use of primitive types like `Float` instead of `float` were not penalized.
5. Overall judgment: Model 2 is significantly better because it thoroughly and accurately captures the structure, attributes, and behaviors defined in the requirements, whereas Model 1 is severely incomplete and lacks any behavioral modeling.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</si>
  <si>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</si>
  <si>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</si>
  <si>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</si>
  <si>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successfully capture the core entities (ResearchProject, Compound, DrugCandidate, LaboratoryExperiment) and their attributes. Model 1 accurately captures the distinction between general protocols and specific assay protocols by modeling `Protocol` as a superclass and `AssayProtocol` as a subclass, correctly linking `StudyCohort` to `Protocol`. Model 2 misses the general `Protocol` class and improperly links `StudyCohort` directly to `AssayProtocol`. Model 1 also accurately translates terms like "encompasses" and "possesses" into UML composition relationships (e.g., `ResearchProject *-- "*" LaboratoryExperiment`, `DrugCandidate *-- "1" DosageRegimen`), whereas Model 2 only uses plain associations. Additionally, Model 1 leverages UML Enums to strictly define categories (e.g., `TrialType`, `EventCategory`), whereas Model 2 uses generic `String` types.
Total: Model 1 = 5, Model 2 = 4
Choice: A
Reason:
1. Alignment with Requirements: Model 1 is structurally more accurate than Model 2. The requirement states that "cohorts focus on particular targets and operate under protocols," and then introduces "Assay protocols" as a specific type of protocol used to "identify compound classes." Model 1 perfectly represents this with a generalization (`Protocol &lt;|-- AssayProtocol`) and assigns cohorts to the general `Protocol`. Model 2 misses the `Protocol` class entirely and forces `StudyCohort` to associate directly with `AssayProtocol`, which limits the domain logic.
2. Furthermore, Model 1 utilizes composition (`*--`) to reflect strong whole-part relationships explicitly mentioned in the text (like a project "encompassing" experiments, or a candidate "including" a toxicity profile). Model 2 relies purely on simple directed associations. Model 1 also uses Enums to capture the fixed lists of types and categories provided in the prompt, making the model safer and more precise than Model 2's reliance on `String` attributes. 
3. Rejected or checked issues: Model 1 includes several extra ID attributes (e.g., `experimentId`, `candidateId`) and some minor logical fields (e.g., `budget`, `address`) not strictly mentioned in the text. According to the guidelines, these extra identifiers are not rewarded, but they do not detract from the semantic superiority of Model 1's relationships and generalizations. Model 2's use of single-quote comments in Model 1 is a PlantUML feature and was ignored during evaluation as instructed.
4. Overall judgment: Model 1 provides a more rigorous, semantically rich, and domain-accurate UML class diagram. Its proper use of inheritance for protocols, composition for bounded entities, and enums for constrained categories makes it significantly better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</si>
  <si>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</si>
  <si>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5; Evidence: Model 1 covers most core functionality, but it models clinical trials as `DrugCandidate "*" --&gt; "*" ClinicalTrial : enrolled in`, while the requirement states that clinical trials enroll specific compounds. Model 2 uses `ClinicalTrial --&gt; "*" Compound : enrolls`, which more directly captures that requirement. Model 2 also includes `RegulatoryReview`, `AdverseEventReport`, and `Protocol`, which better reflect the required workflow.
2. Avoidance of hallucinations and unsupported additions: Model 1 = 5, Model 2 = 4; Evidence: Model 1 mostly includes only classes and attributes that are stated or strongly implied by the requirement. Model 2 adds unsupported details such as `address`, `email`, `expertise`, `budget`, `location`, `capacity`, and multiple ID fields. However, these are mostly attribute-level additions and do not contradict the core domain semantics.
3. Conceptual classes and required attributes: Model 1 = 4, Model 2 = 5; Evidence: Model 1 includes key concepts such as `MolecularCompound`, `DrugCandidate`, `ToxicityProfile`, `TargetProtein`, `BindingAffinity`, `SimulationModel`, `ClinicalTrial`, `StudyCohort`, and `AssayProtocol`. Model 2 includes the same core concepts and adds more precise refinements such as `AdverseEventReport`, `RegulatoryReview`, and `Protocol`. It also uses enums for `DevelopmentStage`, `TrialType`, `EventCategory`, `SeverityLevel`, and `SimulationStatus`, which better capture the classifications and statuses described in the requirement.
4. Associations and cardinalities: Model 1 = 4, Model 2 = 5; Evidence: Model 1 has a generally complete relationship chain, including `ResearchProject --&gt; LaboratoryExperiment`, `LaboratoryExperiment --&gt; QuantitativeResult`, `DrugCandidate --&gt; ToxicityProfile`, and `TargetProtein --&gt; SimulationModel`. However, `MolecularCompound "1" --&gt; "1" DrugCandidate : basis for` over-constrains the idea that compounds serve as the basis for drug candidates, and `DrugCandidate "*" --&gt; "*" ClinicalTrial` is less aligned than Model 2’s `ClinicalTrial --&gt; "*" Compound : enrolls`. Model 2 provides stronger and more complete relationships for clinical trials, regulatory review, protocols, target proteins, binding affinities, and simulation models.
5. Types of relationships: Model 1 = 4, Model 2 = 5; Evidence: Model 1 correctly uses inheritance for `MolecularCompound &lt;|-- SmallMolecule/Biologic/Peptide/SyntheticCompound` and uses associations for most domain relationships. Model 2 also includes these inheritance relationships and further models `Protocol &lt;|-- AssayProtocol`, as well as `RegulatoryReview` as an intermediate concept between regulatory agencies and drug candidates. Although `Compound &lt;|-- DrugCandidate` is debatable, it is not a severe contradiction in this context because the requirement states that drug candidates are based on compounds.
6. Clarity of class names and attribute representation: Model 1 = 5, Model 2 = 5; Evidence: Model 1 uses clear requirement-aligned names such as `MolecularCompound`, `DrugCandidate`, `ToxicityProfile`, and `BindingAffinity`. Model 2 is also clear, and `AdverseEventReport` is more precise than Model 1’s `AdverseEvent` for the requirement’s phrase “adverse event reports that detail the event category, patient notes, and severity level.” The enums `SeverityLevel` and `EventCategory` also improve semantic clarity.
Total: Model 1 = 26, Model 2 = 29
Choice: B
Reason:
1. Functional coverage: Model 2 covers the end-to-end drug discovery workflow more completely, especially clinical trials enrolling compounds, regulatory reviews, adverse event reports, protocols, validators, and simulation models.
2. Relationship modeling: Model 2’s associations are generally closer to the requirement, especially `ClinicalTrial --&gt; Compound`, `DrugCandidate --&gt; RegulatoryReview`, `RegulatoryAgency --&gt; RegulatoryReview`, and `SafetyAssessment --&gt; AdverseEventReport`.
3. Rejected or checked issues: I did not penalize Model 2 for using opposite unidirectional associations, PlantUML comments, primitive type aliases, or detailed intermediate classes. These do not harm UML semantics. Model 2’s extra attributes are a minor issue, but they do not outweigh its stronger conceptual and relationship coverage.
4. Overall judgment: Model 2 is stronger in domain coverage, conceptual completeness, and relationship modeling. Model 1 is cleaner and more concise, but it omits or weakens several important business semantics. Therefore, the final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</si>
  <si>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</si>
  <si>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core classes like `ResearchProject`, `LaboratoryExperiment`, `Compound`, and `DrugCandidate`. Model 1 correctly distinguishes a base `Protocol` class from the specialized `AssayProtocol`, reflecting the requirement that cohorts operate under general protocols while assay protocols are a specific type. Model 2 omits the generic `Protocol` class entirely.
2. Associations/Multiplicities between classes for domain reasoning: Model 1 = 5, Model 2 = 4; Evidence: Model 1 accurately links `StudyCohort` to the generic `Protocol` ("operate under protocols") and allows `ClinicalTrial` to connect to `Compound` ("enroll specific compounds"). Model 2 inaccurately assigns `AssayProtocol` directly to `StudyCohort`, which domain-wise restricts clinical cohorts to laboratory assay protocols. 
3. Model attributes with appropriate data types: Model 1 = 5, Model 2 = 4; Evidence: Model 1 captures the requirement "define methods to identify compound classes" by including `compoundClass: String` and `methodName: String` in `AssayProtocol`. Model 2 only includes `method: String` and misses the compound class identifier. Model 1 also effectively utilizes Enums (`SeverityLevel`, `EventCategory`, `DevelopmentStage`) for categorically defined attributes, whereas Model 2 defaults to `String` for most of these.
4. Consistencies of Terminology with given context: Model 1 = 5, Model 2 = 5; Evidence: Both models use highly consistent domain terminology extracted straight from the text, such as `PharmacokineticStudy`, `DosageRegimen`, `ToxicityProfile`, and `BindingAffinity`.
5. Adherence of UML class diagram standards: Model 1 = 5, Model 2 = 5; Evidence: Both models feature fully compliant PlantUML syntax. Model 1 successfully uses composition/aggregation (`*--`) and inheritance (`&lt;|--`), while Model 2 successfully uses bidirectional/unidirectional standard associations (`--&gt;`) with labels and multiplicities. Both are completely valid.
Total: Model 1 = 25, Model 2 = 22
Choice: A
Reason:
1. Appropriate conceptual classes aligned with the domain: Model 1 provides a more rigorous conceptualization by distinguishing `Protocol` and `AssayProtocol`, whereas Model 2 flattens this, losing the generalized concept of a protocol.
2. Associations/Multiplicities between classes for domain reasoning: Because Model 2 lacks the base `Protocol` class, it incorrectly associates `StudyCohort` directly with `AssayProtocol`, which skews the domain logic. Model 1 maps these relationships flawlessly.
3. Model attributes with appropriate data types: Model 1 captures finer details mentioned in the text, notably the "compound classes" referenced in the assay protocols, and uses enumerations for bounded categories, making the data schema much more robust. Model 2 misses the compound class attribute.
4. Consistencies of Terminology with given context: Both models perfectly mirror the provided terminology without introducing foreign or out-of-context nomenclature.
5. Adherence of UML class diagram standards: Both models are structurally sound and render perfectly as UML class diagrams, adopting proper visibility and multiplicity notations.
6. Rejected or checked issues: I did not penalize Model 2 for using two-way association arrows (`"1" --&gt; "*"`) instead of the composition diamonds (`*--`) used by Model 1, as both are valid ways to demonstrate structural relations in UML. I also did not penalize Model 1 for using PlantUML's single-quote comments (`'opposite ...`) at the end of lines, as this is standard tooling annotation. 
7. Overall judgment: Model 1 is the superior diagram because it maps the domain requirements more precisely, specifically concerning the inheritance hierarchy of Protocols and the complete capture of specific attributes like compound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</si>
  <si>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</si>
  <si>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majority of the domain concepts. However, Model 1 misses the general `Protocol` class (only providing `AssayProtocol`), whereas Model 2 correctly identifies `Protocol` and its specialized subclass `AssayProtocol`. Additionally, Model 2 extracts domain enumerations like `EventCategory` and `SeverityLevel` based on the text.
2. Associations/Multiplicities between classes for domain reasoning: Model 1 = 4, Model 2 = 5; Evidence: Model 1 incorrectly links `StudyCohort` directly to `AssayProtocol` rather than general protocols, and links `ClinicalTrial` to `DrugCandidate`. Model 2 correctly models `StudyCohort --&gt; "1..*" Protocol` and `ClinicalTrial --&gt; "*" Compound` to align with the text stating "Clinical trials... enroll specific compounds" and "cohorts... operate under protocols". Model 2 also correctly defines `Protocol &lt;|-- AssayProtocol`.
3. Model attributes with appropriate data types: Model 1 = 5, Model 2 = 5; Evidence: Both models correctly assign attributes and valid types (e.g., Model 1 uses `Float` and `Integer`; Model 2 uses `double` and `int`). Model 2 makes excellent use of enums for attributes like `stage` and `severity`.
4. Consistencies of Terminology with given context: Model 1 = 4, Model 2 = 5; Evidence: Model 1 conflates general study protocols with assay protocols by only including `AssayProtocol`. Model 2 is fully consistent with the text, differentiating `Protocol` and `AssayProtocol`, and using precise names like `AdverseEventReport`.
5. Adherence of UML class diagram standards: Model 1 = 5, Model 2 = 5; Evidence: Both models use valid PlantUML syntax, relationships, and markers. Model 2's usage of tooling comments (`'opposite`) is ignored per guidelines as it does not obscure the UML syntax.
Total: Model 1 = 22, Model 2 = 25
Choice: B
Reason:
1. Appropriate conceptual classes: Model 2 is more comprehensive, correctly distinguishing between general `Protocol` and `AssayProtocol`, while Model 1 omits the general `Protocol` concept.
2. Associations/Multiplicities: Model 2 accurately captures the associations defined in the text, such as linking `ClinicalTrial` to `Compound` and `StudyCohort` to `Protocol`. Model 1 is slightly inaccurate by restricting cohorts strictly to `AssayProtocol` and trials to `DrugCandidate`.
3. Rejected or checked issues: Model 2 uses single-quote comments (e.g., `'opposite parentTrial`) and primitive aliases (`int`, `double`, `boolean`), which are explicitly permitted and not penalized. Model 2 models the relationship between `Compound` and `DrugCandidate` as inheritance (`Compound &lt;|-- DrugCandidate`) while Model 1 uses a direct association; both are acceptable interpretations of "serve as the basis for".
4. Overall judgment: Model 2 is better because it demonstrates a more nuanced understanding of the domain by capturing the relationships between clinical trials, cohorts, and protocols exactly as specified in the text, whereas Model 1 overlooks general protocols and takes a few structural shortcuts.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</si>
  <si>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</si>
  <si>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successfully decouples clinical operations from laboratory operations by introducing a generic `Protocol` class for cohorts to operate under, while keeping `AssayProtocol` specialized (`Protocol &lt;|-- AssayProtocol`, `StudyCohort --&gt; "1..*" Protocol`). Model 2 inappropriately couples clinical cohorts directly to laboratory assay protocols (`StudyCohort "*" --&gt; "1" AssayProtocol`), reducing cohesion by mixing domains. Additionally, Model 1 links `DataValidator` directly to `QuantitativeResult` to validate inputs, whereas Model 2 couples it to the broader `LaboratoryExperiment` class.
2. Complexity: Model 1 = 4, Model 2 = 5; Evidence: Model 2 achieves an optimal balance of complexity by strictly mapping to the provided text without unnecessary bloat (e.g., `ResearchProject` only contains `name`). Model 1 introduces several identifiers and attributes not mentioned in the requirements (e.g., `budget` in `ResearchProject`, `decision` in `RegulatoryReview`, `address` in `Institution`), which slightly inflates the model's complexity beyond the stated requirements.
3. Practicability: Model 1 = 5, Model 2 = 4; Evidence: Model 1 enhances practicability and type safety through the extensive use of enumerations for explicitly constrained domains (e.g., `SeverityLevel`, `EventCategory`, `DevelopmentStage`, `TrialType`). Model 2 leaves most of these as basic Strings (e.g., `category: String`, `severityLevel: String`, `developmentStage: String`), which is less robust for software implementation. Furthermore, Model 1's `AssayProtocol` accurately captures the required methods and target classes (`compoundClass: String`, `methodName: String`), whereas Model 2 only defines `method: String`.
Total: Model 1 = 14, Model 2 = 13
Choice: A
Reason:
1. Cohesion and Decoupling: Model 1 provides superior domain modeling by distinguishing between a general `Protocol` and an `AssayProtocol`. This allows `StudyCohort` to operate under appropriate clinical protocols rather than being forced to use laboratory assay protocols as seen in Model 2. 
2. Complexity: Model 2 is slightly better calibrated to the exact text provided, avoiding the unrequested IDs and auxiliary attributes (like budgets and addresses) that Model 1 includes.
3. Practicability: Model 1 is far more practical for real-world software design because it leverages enumerations to enforce valid states for categories, severities, and trial types. This prevents invalid data entry and improves overall system robustness compared to Model 2's reliance on primitive Strings.
4. Rejected or checked issues: I observed that Model 1 models `DrugCandidate` as a subclass of `Compound` (`Compound &lt;|-- DrugCandidate`), whereas Model 2 uses an association (`MolecularCompound "1" --&gt; "1" DrugCandidate : basis for`). Because the requirement states "Compounds... serve as the basis for drug candidates," both interpretations are valid design choices and neither was penalized. Additionally, variations in association arrows and single-quote PlantUML comments were ignored per the evaluation rules.
5. Overall judgment: Model 1 is the better model. Although it includes a few extra attributes, its structural logic is much stronger. By correctly segregating the protocol hierarchies and utilizing enumerations, Model 1 delivers a highly cohesive, practical, and readable blueprint that maps realistically to both the clinical and laboratory domains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</si>
  <si>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</si>
  <si>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2 introduces a general `Protocol` class (`Protocol &lt;|-- AssayProtocol`) and associates it with `StudyCohort` (`StudyCohort --&gt; "1..*" Protocol`), matching the text ("operate under protocols. Assay protocols..."). Model 1 inappropriately couples `StudyCohort` directly to `AssayProtocol` (`StudyCohort "*" --&gt; "1" AssayProtocol`). Model 2 also links `StatisticalAnalysis` to `QuantitativeResult` to reflect that "data... undergoes statistical analysis", whereas Model 1 couples `StatisticalAnalysis`, `QuantitativeResult`, and `DataValidator` all directly to the central `LaboratoryExperiment` class, reducing cohesion.
2. Complexity: Model 1 = 4, Model 2 = 5; Evidence: Model 2 handles domain complexity gracefully by modeling `DrugCandidate` as a subclass of `Compound` (`Compound &lt;|-- DrugCandidate`), whereas Model 1 uses an association (`MolecularCompound "1" --&gt; "1" DrugCandidate`). Model 2 accurately reflects the requirement's conceptual complexity by including the `Protocol` superclass and introducing `RegulatoryReview` to handle the many-to-many review interactions. Both models balance the number of attributes, but Model 2 adds standard identifier attributes (e.g., `compoundId`, `protocolId`) which appropriately fits real-world system complexity.
3. Practicability: Model 1 = 4, Model 2 = 5; Evidence: Model 2 utilizes explicit enums for data safety and clarity, such as `EventCategory` (ALLERGIC_REACTION, CARDIOVASCULAR, NEUROTOXICITY) and `SeverityLevel` (MILD, MODERATE, SEVERE, LIFE_THREATENING), which perfectly capture the requirement's specific categories. Model 1 leaves these as generic `String` types (e.g., `category: String`, `severityLevel: String`), which is less practical for robust testing and programming. Model 2 also practically links `DataValidator` to `QuantitativeResult`, matching the need to check "inputs" for data integrity better than Model 1's link to the entire experiment.
Total: Model 1 = 12, Model 2 = 15
Choice: B
Reason:
1. Cohesion and Decoupling: Model 2 demonstrates superior structural decoupling by introducing `Protocol` as a superclass to separate generic protocol operations of study cohorts from the specific `AssayProtocol` details. Model 2 also correctly delegates data validation and statistical analysis directly to the data (`QuantitativeResult`), improving class-level cohesion compared to Model 1's centralized approach.
2. Complexity: Model 2 properly models the conceptual nuances required by the prompt, such as the relationship between compounds and candidates (using inheritance) and the inclusion of tracking/workflow classes like `RegulatoryReview`. Its complexity is highly aligned with enterprise platform standards.
3. Rejected or checked issues: I did not penalize Model 2 for utilizing opposite unidirectional associations with single-quote comments (e.g., `'opposite parentProject`), as this is a standard equivalent way of representing relationships in PlantUML and is explicitly protected by the forbidden penalties.
4. Overall judgment: Model 2 provides a more mature, robust, and type-safe representation of the system. Its use of detailed enumerations, intermediary event classes, proper inheritance hierarchies, and precise relational mapping to data outputs makes it a significantly more practical and well-designed UML class diagram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</si>
  <si>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</si>
  <si>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includes all required entities explicitly (e.g., `ChemicalLibrary`, `PharmacokineticStudy`, `RegulatoryAgency`, `AdverseEventReport`, `SafetyAssessment`, `StudyCohort`) with accurate attributes, relationship types, and cardinalities (e.g., `ResearchProject *-- "*" ClinicalTrial`, `DrugCandidate *-- "1" DosageRegimen`). Model 2 omits multiple key domains (missing `ChemicalLibrary`, `PharmacokineticStudy`, `RegulatoryAgency`, `PublicationRecord`, `AdverseEventReport`), lacks multiplicities on its associations, and compresses complex concepts into simple String attributes (e.g., `dosageRegimen` and `toxicityProfile` as strings inside `DrugCandidate`).
Total: Model 1 = 5, Model 2 = 2
Choice: A
Reason:
1. Alignment with requirements: Model 1 provides a highly accurate and comprehensive design that matches all details in the requirement, including correct associations, cardinalities, and inheritance (e.g., `Compound` subclasses, `AssayProtocol` extending `Protocol`). Model 2 is severely incomplete, missing major required entities (regulatory bodies, publications, study cohorts, pharmacokinetic studies, safety assessments) and failing to model complex relationships accurately.
2. Rejected or checked issues: Model 1 uses single-quote comments for opposite roles (e.g., `'opposite parentProject`). According to the forbidden penalties, this is a standard tooling annotation and is ignored for scoring without penalty. Model 1 also correctly uses abstract/superclass relationships for `Compound` classification, which is semantically stronger than Model 2's enum approach, though Model 2 is primarily penalized for its massive omissions rather than its enum choice.
3. Overall judgment: Model 1 is far superior due to its strict and exhaustive coverage of the complex domain requirements, whereas Model 2 is too simplistic, omits significant functional areas, and lacks basic UML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</si>
  <si>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</si>
  <si>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Functionality coverage and alignment: Model 1 = 2, Model 2 = 5; Evidence: Model 1 omits a large portion of the required domain functionalities, completely missing conceptual areas like Safety Assessments, Pharmacokinetic Studies, Regulatory Review, Publications, and Chemical Libraries. Model 2 successfully covers all outlined functionalities without hallucinating unrelated domain concepts, explicitly including classes like `SafetyAssessment`, `PharmacokineticStudy`, `RegulatoryAgency`, `PublicationRecord`, and `ChemicalLibrary`.
2. Associations, cardinalities, and relationship types: Model 1 = 2, Model 2 = 5; Evidence: Model 1 completely lacks multiplicity/cardinality markers, uses generic aggregations (e.g., `Project o-- Experiment`), and misses many necessary links (e.g., Simulation Models are not linked to Compounds). Model 2 correctly applies cardinalities (e.g., `"1" DataValidator`, `"1..*" Protocol`), utilizes precise relationship types including composition (`DrugCandidate *-- "1" DosageRegimen`, `ClinicalTrial *-- "*" StudyCohort`) and inheritance (`Compound &lt;|-- DrugCandidate`, `Protocol &lt;|-- AssayProtocol`), and accurately maps all inter-class associations required by the prompt.
3. Clarity in class names and attributes: Model 1 = 2, Model 2 = 5; Evidence: Model 1 overly simplifies critical domain entities by reducing them to primitive string attributes (e.g., `dosageRegimen: String` and `toxicityProfile: String` inside `DrugCandidate`) and misses many specific attributes requested (like amount, frequency, adverse events). Model 2 extracts these into distinct, clearly named classes (`DosageRegimen` containing `amount`, `frequency`, `unit`; `ToxicityProfile` containing `isCarcinogenic`), incorporates detailed enumerations for attributes (e.g., `TrialType`, `SeverityLevel`), and perfectly aligns with the detailed vision of the project.
Total: Model 1 = 6, Model 2 = 15
Choice: B
Reason:
1. Functionality coverage and alignment: Model 2 models the end-to-end drug discovery pipeline thoroughly, incorporating all specific entities mentioned in the prompt. Model 1 is heavily incomplete, acting more as a rough sketch that misses over half of the requirements.
2. Associations, cardinalities, and relationship types: Model 2 demonstrates excellent use of UML semantics with exact cardinalities, inheritance hierarchies for compounds and protocols, and compositions for strongly bound elements (like cohorts in a trial). Model 1 lacks cardinalities entirely and misses vital relational links.
3. Clarity in class names and attributes: Model 2 translates textual requirements into well-structured classes and enumerations, properly separating concerns (e.g., AdverseEventReport, DosageRegimen). Model 1 flattens complex structural requirements into basic String fields.
4. Rejected or checked issues: Model 2 includes a few minor contextual attributes (e.g., `budget` in `ResearchProject`, `email` in `Researcher`) that aren't strictly requested, but this is a standard and acceptable practice that does not violate the "no hallucinations" constraint regarding functional additions, especially when compared to Model 1's massive omissions. Also, Model 2's usage of directional labels with single-quote comments (e.g., `'opposite projectLead`) is a standard PlantUML tooling convention and is not penalized.
5. Overall judgment: Model 2 is exceptionally comprehensive, accurate, and semantically rich, strictly following all UML principles and domain requirements. Model 1 is far too simplistic and misses key required components,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</si>
  <si>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</si>
  <si>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essential domain entities described in the text, such as `Institution`, `ChemicalLibrary`, `DosageRegimen`, `ToxicityProfile`, `AdverseEventReport`, `SafetyAssessment`, and `StudyCohort`. Model 2 misses the majority of the domain concepts, completely omitting these classes.
2. Associations/Multiplicities between classes for domain reasoning: Model 1 = 5, Model 2 = 1; Evidence: Model 1 correctly applies associations, compositions, generalisations, and multiplicities across the board (e.g., `DrugCandidate *-- "1" DosageRegimen`, `ClinicalTrial *-- "*" StudyCohort`). Model 2 completely omits all multiplicities and lacks critical associations because it is missing most of the domain classes.
3. Model attributes with appropriate data types: Model 1 = 5, Model 2 = 2; Evidence: Model 1 accurately captures specific attributes using appropriate data types and enums (e.g., `SimulationModel` includes `solventInclusion: boolean` and `forceFieldConfig: String`; `AdverseEventReport` includes `category: EventCategory` and `isLifeThreatening: boolean`). Model 2 models complex entities as basic strings (e.g., `dosageRegimen: String` and `toxicityProfile: String` in `DrugCandidate`) and misses several required attributes.
4. Consistencies of Terminology with given context: Model 1 = 5, Model 2 = 3; Evidence: Model 1 strictly uses the precise terminology provided in the prompt (e.g., `QuantitativeResult`, `ExperimentLog`, `BindingAffinity`, `PharmacokineticStudy`). Model 2 uses generalized, imprecise terms like `Project` (instead of `ResearchProject`), `Result`, `Interaction`, and `Report`, losing contextual fidelity.
5. Adherence of UML class diagram standards: Model 1 = 5, Model 2 = 4; Evidence: Both models use valid PlantUML syntax. Model 1 fully utilizes UML features like composition (`*--`), inheritance (`&lt;|--`), and explicit multiplicities. Model 2 is syntactically correct but structurally weak due to the complete absence of multiplicities.
Total: Model 1 = 25, Model 2 = 12
Choice: A
Reason:
1. Appropriate conceptual classes aligned with the domain: Model 1 captures the entire scope of the domain perfectly. Model 2 fails to identify most of the specific classes mentioned in the text.
2. Associations/Multiplicities between classes for domain reasoning: Model 1 builds a highly interconnected diagram that supports domain reasoning with accurate multiplicities. Model 2 has no multiplicities and connects only a fragmented subset of the domain.
3. Model attributes with appropriate data types: Model 1 extracts all the specific properties requested (like solvent inclusion, force field configuration, severity levels) and applies strong types. Model 2 misses many properties and overly relies on primitive `String` types for what should be complex classes.
4. Consistencies of Terminology with given context: Model 1 remains flawlessly aligned with the prompt's vocabulary. Model 2 simplifies terms to the point of losing domain accuracy.
5. Adherence of UML class diagram standards: Model 1 is a robust, standard-compliant diagram. Model 2 parses fine but lacks standard elements like multiplicity constraints.
6. Overall judgment: Model 1 is vastly superior because it meticulously translates a highly detailed textual requirement into a comprehensive and semantically rich UML class diagram. Model 2 provides a bare-bones outline that ignores most of the prompt's constraints and domain specifics.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</si>
  <si>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</si>
  <si>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identifies a few basic classes (`Researcher`, `Project`, `Experiment`, `Compound`, `DrugCandidate`) but misses the vast majority of domain concepts required (e.g., `Institution`, `Log`, `Statistical Analysis`, `Chemical Library`, `Dosage Regimen`, `Toxicity Profile`, `Safety Assessment`, `Adverse Event Report`, `Study Cohort`, `Pharmacokinetic Study`, `Regulatory Agency`, `Publication Record`). Model 2 correctly identifies and includes all of these conceptual classes, fully capturing the complex domain requirements.
2. Associations/Multiplicities between classes for domain reasoning: Model 1 = 1, Model 2 = 5; Evidence: Model 1 completely lacks explicit multiplicities (using only basic lines like `Researcher -- Project` or `Project o-- Experiment`) and misses most relationships because the corresponding classes are absent. Model 2 provides comprehensive and accurate associations with explicit multiplicities and role names (e.g., `ResearchProject *-- "*" LaboratoryExperiment`, `StudyCohort --&gt; "1..*" Protocol`, `DrugCandidate *-- "1" DosageRegimen`), effectively mapping the domain reasoning.
3. Model attributes with appropriate data types: Model 1 = 2, Model 2 = 5; Evidence: Model 1 flattens complex objects into basic `String` attributes (e.g., `DrugCandidate` has `dosageRegimen: String` and `toxicityProfile: String`) instead of modeling their detailed properties, and misses numerous attributes. Model 2 accurately captures the attributes with appropriate types and enums (e.g., `DosageRegimen` has `amount : double`, `frequency : int`, `unit : String`; `AdverseEventReport` uses `EventCategory` and `SeverityLevel` enums).
4. Consistencies of Terminology with given context: Model 1 = 2, Model 2 = 5; Evidence: Model 1 drifts from the provided terminology (using `Result` instead of separating quantitative results and statistical analysis, using `Interaction` instead of `BindingAffinity`) and omits most specific terms. Model 2 perfectly aligns with the prompt's terminology (`PharmacokineticStudy`, `AssayProtocol`, `StudyCohort`, `QuantitativeResult`, `ExperimentLog`).
5. Adherence of UML class diagram standards: Model 1 = 4, Model 2 = 5; Evidence: Model 1 uses valid PlantUML syntax but lacks multiplicities and uses very simplistic relationships. Model 2 fully utilizes UML standards, including proper notation for composition (`*--`), inheritance (`&lt;|--`), directed associations, enums, and multiplicities. The single-quote comments in Model 2 are standard tooling annotations.
Total: Model 1 = 11, Model 2 = 25
Choice: B
Reason:
1. Appropriate conceptual classes aligned with the domain: Model 2 captures the entirety of the highly detailed domain described in the prompt, explicitly modeling entities like Regulatory Agency, Pharmacokinetic Study, Safety Assessment, and Chemical Library. Model 1 is heavily under-modeled and omits most of these critical concepts.
2. Associations/Multiplicities between classes for domain reasoning: Model 2 details the structural constraints of the domain by providing exact multiplicities and meaningful relationship role labels. Model 1 uses plain lines and aggregations without any multiplicities, leaving the domain structure ambiguous.
3. Model attributes with appropriate data types: Model 2 translates complex requirements into well-typed attributes (including several Enums for categories, stages, and severity). Model 1 simply uses strings for complex domain concepts (like `dosageRegimen` and `toxicityProfile`), failing to capture their internal structure.
4. Consistencies of Terminology with given context: Model 2 strictly adheres to the unique vocabulary of the prompt, whereas Model 1 simplifies or renames terms (e.g., `Result` and `Interaction`).
5. Rejected or checked issues: Model 2 contains tooling-specific single-quote comments (e.g., `'opposite parentProject`) at the end of association lines. Per the strict evaluation guidelines, these are ignored for penalties and do not negatively affect Model 2's UML syntax score.
6. Overall judgment: Model 2 is an exceptionally thorough and accurate representation of the domain, fully covering the extensive list of requirements with proper UML semantics. Model 1 is far too simplistic, missing the majority of the required domain logic, classes, and attributes. Therefore, Model 2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</si>
  <si>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</si>
  <si>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distinct concepts into cohesive classes, such as dividing experimental outputs into `ExperimentLog` (notes, timestamp), `QuantitativeResult`, and `StatisticalAnalysis` (meanValue), as well as separating `DosageRegimen` and `ToxicityProfile` from `DrugCandidate`. Model 2 has low cohesion, grouping unrelated concepts together (e.g., `Result` contains `meanValue`, `timestamp`, and `log`) and coupling complex entities into string attributes (e.g., `toxicityProfile: String` inside `DrugCandidate`).
2. Complexity: Model 1 = 5, Model 2 = 2; Evidence: Model 1 uses 34 classes and a depth-1 inheritance tree (e.g., `Compound` extended by `SmallMolecule`, `Biologic`, etc., and `Protocol` extended by `AssayProtocol`), perfectly balancing its complexity with the detailed requirement and accurately discerning conceptual classes from attributes. Model 2 is overly simplistic with only 13 classes, reducing conceptual entities to primitive attributes (e.g., `institution: String` in `Researcher`) and completely omitting significant parts of the system like `PharmacokineticStudy`, `StudyCohort`, and `PublicationRecord`.
3. Practicability: Model 1 = 5, Model 2 = 2; Evidence: Model 1 provides a comprehensive, readable, and modular representation of the software's structure. Its explicit relationships (e.g., `SafetyAssessment` linking to `AdverseEventReport` and `ToxicityProfile`) support robust testing and real-world application. Model 2 is highly impractical as it misses vast sections of the requirements (such as Regulatory Agencies, Safety Assessments, and Cohort protocols), making it impossible to implement the described end-to-end platform.
Total: Model 1 = 15, Model 2 = 6
Choice: A
Reason:
1. Cohesion and Decoupling: Model 1 demonstrates excellent cohesion by ensuring each class handles a specific responsibility, whereas Model 2 clumps distinct concepts (like experimental logs and statistical results) into single classes or overly simplified string attributes.
2. Complexity: Model 1 effectively manages the domain's complexity through appropriate abstraction and inheritance, capturing the extensive requirements. Model 2 fails to capture the necessary complexity, improperly converting what should be conceptual classes into basic attributes.
3. Practicability: Model 1 is fully capable of serving as a blueprint for the real-world platform described, thanks to its modularity and thoroughness. Model 2 is too incomplete to be useful for development or testing.
4. Rejected or checked issues: Model 1 includes single-quote comments at the end of association lines (e.g., `'opposite projectLead`). These were correctly ignored as they are standard tooling annotations and do not affect the UML semantics.
5. Overall judgment: Model 1 is significantly better because it faithfully and comprehensively models the extensive business requirements with proper object-oriented design principles, while Model 2 is vastly oversimplified and incomplete.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</si>
  <si>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</si>
  <si>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groups distinct, unrelated concepts into single classes as basic attributes (e.g., `Result` contains both a `log` string and a `meanValue`; `DrugCandidate` contains `dosageRegimen` and `toxicityProfile` as strings). Model 2 achieves high cohesion and low coupling by separating these concepts into dedicated classes dedicated to singular tasks (`QuantitativeResult`, `ExperimentLog`, `StatisticalAnalysis`, `DosageRegimen`, and `ToxicityProfile`).
2. Complexity: Model 1 = 2, Model 2 = 5; Evidence: Model 1 is overly simplistic for the requirements, featuring only 14 classes, 1 enum, and no inheritance tree. It misses numerous required entities like `PharmacokineticStudy`, `StudyCohort`, and `RegulatoryAgency`. Model 2 maintains an appropriate level of complexity (~30 classes/enums) that perfectly aligns with the extensive requirements, utilizing a shallow but effective inheritance tree (e.g., `Compound` extended by `SmallMolecule` and `Biologic`; `Protocol` extended by `AssayProtocol`).
3. Practicability: Model 1 = 2, Model 2 = 5; Evidence: Model 1 provides an incomplete and impractical representation, omitting crucial workflows like safety assessments, adverse event reports, and regulatory reviews. It also oversimplifies `ClinicalTrial` by only giving it a `cohortSize` integer attribute. Model 2 is highly practical and modular, comprehensively detailing workflows (e.g., `ClinicalTrial` composes `StudyCohort`; `SafetyAssessment` properly links to `AdverseEventReport`), which provides clear boundaries that support robust testing and real-world implementation.
Total: Model 1 = 6, Model 2 = 15
Choice: B
Reason:
1. Cohesion and Decoupling: Model 2 heavily decouples distinct domain workflows into highly cohesive classes (separating physical experiment logs from quantitative results and statistical analyses), whereas Model 1 inappropriately clumps them together as primitive text attributes, violating cohesion principles.
2. Complexity: Model 2 accurately reflects the complex domain with a well-structured set of classes, enumerations, and inheritance hierarchies that translate nouns to conceptual classes appropriately. Model 1 is severely under-complex and misses a massive portion of the required domain.
3. Practicability: Model 2 provides a comprehensive, readable, and highly modular blueprint that covers the entire end-to-end drug discovery lifecycle, making it highly viable for actual software development. Model 1 omits too many critical features to be useful in a practical scenario.
4. Rejected or checked issues: I explicitly ignored Model 2's usage of single-quote inline comments on associations (e.g., `'opposite employer`) and its use of lowercase primitive aliases (`double`, `boolean`). These are standard tooling annotations and valid language-flavored spellings that are strictly protected from penalties.
5. Overall judgment: Model 2 is vastly superior as it fully captures the detailed requirements with excellent domain-driven design, whereas Model 1 is incomplete, poorly cohesive, and overly simplistic.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</si>
  <si>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</si>
  <si>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1; Evidence: Model 1 comprehensively captures all requested classes (e.g., `Institution`, `SafetyAssessment`, `PharmacokineticStudy`, `AdverseEvent`, `RegulatoryAgency`, `PublicationRecord`), correctly defines attributes (e.g., `solventInclusion` in `SimulationModel`), explicitly models inheritance (`MolecularCompound &lt;|-- SmallMolecule`), and includes detailed associations with correct multiplicities (e.g., `Researcher "1" --&gt; "*" ResearchProject`). Model 2 misses a massive portion of the requirements, compresses complex entities into basic string attributes (e.g., `dosageRegimen` and `toxicityProfile` in `DrugCandidate`, `institution` in `Researcher`), hallucinates unmentioned attributes (`startDate` and `endDate` in `Project`), misses compound inheritance by using an enum, and completely omits cardinalities/multiplicities.
Total: Model 1 = 5, Model 2 = 1
Choice: A
Reason:
1. Alignment with Requirements: Model 1 provides an exceptionally accurate and comprehensive UML diagram that perfectly translates the detailed text into classes, attributes, inheritances, and associations with correct cardinalities. It captures every specific mechanism, such as how `SafetyAssessment` evaluates `ToxicityProfile` and `DosageRegimen`, and how `StudyCohort` focuses on `TargetProtein`. Model 2 is vastly incomplete, missing more than half of the domain concepts, improperly using string attributes for complex classes, and omitting all multiplicities.
2. Rejected or checked issues: Model 1 connects `BindingAffinity` to both `TargetProtein` and `DrugCandidate` via standard associations rather than using a UML association class. This is a completely valid and semantically equivalent way to represent the relationship in standard PlantUML. Model 2's use of aggregation (`o--`) does not save it from the severe lack of required domain entities.
3. Overall judgment: Model 1 is far superior due to its strict and meticulous adherence to the prompt's requirements, full coverage of all structural elements, and proper use of UML features. Model 2 is overly simplistic, loses critical information, and hallucinates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</si>
  <si>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</si>
  <si>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and Domain Accuracy: Model 1 = 2, Model 2 = 5; Evidence: Model 1 misses numerous key concepts explicitly mentioned in the requirements, such as `Institution`, `ChemicalLibrary`, `SafetyAssessment`, `AdverseEvent`, `StudyCohort`, `PharmacokineticStudy`, `RegulatoryAgency`, and `PublicationRecord`. It also incorrectly models `dosageRegimen` and `toxicityProfile` as mere String attributes on `DrugCandidate` rather than distinct concepts, completely omits cardinalities on its associations, and misses critical links (e.g., `Project` to `ClinicalTrial`). Model 2 accurately extracts these entities into distinct classes (e.g., `DosageRegimen`, `ToxicityProfile`, `AdverseEvent`, `SafetyAssessment`), correctly models inheritance for `MolecularCompound` (`SmallMolecule`, `Biologic`, etc.), captures specific required attributes like `solventInclusion` and `isCarcinogenic`, and includes detailed cardinalities and directional relationships (e.g., `Researcher "1" --&gt; "*" AssayProtocol : authors`).
Total: Model 1 = 2, Model 2 = 5
Choice: B
Reason:
1. Alignment and Domain Accuracy: Model 1 is heavily under-specified, skipping entire sections of the prompt (such as safety assessments, adverse events, pharmacokinetic studies, regulatory agencies, and publication records). It reduces complex concepts to basic string attributes (e.g., `dosageRegimen`) and lacks multiplicities. Model 2 provides a highly comprehensive and faithful representation of the domain, capturing all required entities, attributes, multiplicities, and relationships (like `SafetyAssessment` evaluating `ToxicityProfile`, and `DrugCandidate` interacting with `TargetProtein`).
2. Rejected or checked issues: I ignored the use of specific enum types in Model 2 versus string/enum approaches in Model 1, as well as the use of directional arrows in Model 2 versus non-directional lines in Model 1, as these are acceptable UML practices. The decision is driven purely by Model 2's vastly superior domain coverage and semantic accuracy.
3. Overall judgment: Model 2 is exceptionally better than Model 1 because it thoroughly and accurately captures the complex domain concepts, relationships, and constraints described in the requirements, whereas Model 1 provides a superficial and incomplete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</si>
  <si>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</si>
  <si>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required domain concepts such as `Institution`, `ResearchProject`, `DosageRegimen`, `ToxicityProfile`, `AdverseEvent`, `SafetyAssessment`, `StudyCohort`, and `PharmacokineticStudy`. Model 2 misses the majority of these domain concepts, omitting them entirely (e.g., `AdverseEvent`, `SafetyAssessment`, `RegulatoryAgency`) or reducing them to basic attributes.
2. Associations/Multiplicities between classes for domain reasoning: Model 1 = 5, Model 2 = 1; Evidence: Model 1 provides comprehensive associations with precise multiplicities (e.g., `DrugCandidate "1" --&gt; "1" DosageRegimen`, `SafetyAssessment "*" --&gt; "*" AdverseEvent`). Model 2 completely omits multiplicities on all associations (e.g., `Researcher -- Project`) and misses critical domain relationships entirely.
3. Model attributes with appropriate data types: Model 1 = 5, Model 2 = 2; Evidence: Model 1 correctly models detailed attributes with proper types (e.g., `SimulationModel` includes `solventInclusion: Boolean`, `forceFieldConfig: String`). Model 2 misses many critical attributes and inappropriately flattens complex objects into basic Strings (e.g., `dosageRegimen: String` and `toxicityProfile: String` in `DrugCandidate`).
4. Consistencies of Terminology with given context: Model 1 = 5, Model 2 = 2; Evidence: Model 1 uses the exact terminology from the requirements (e.g., `LaboratoryExperiment`, `QuantitativeResult`, `AssayProtocol`, `CompoundReport`). Model 2 uses overly generic terms that drift from the context (e.g., `Experiment`, `Result`, `Protocol`, `Report`).
5. Adherence of UML class diagram standards: Model 1 = 5, Model 2 = 4; Evidence: Model 1 fully utilizes UML/PlantUML syntax including inheritance (`&lt;|--`), enums, and explicit multiplicities. Model 2 uses valid PlantUML syntax but lacks multiplicities, which limits its completeness as a UML class diagram.
Total: Model 1 = 25, Model 2 = 11
Choice: A
Reason:
1. Appropriate conceptual classes aligned with the domain: Model 1 perfectly extracts the complex entities from the prompt, creating distinct classes for elements like `AdverseEvent` and `ChemicalLibrary`. Model 2 oversimplifies the domain, missing crucial classes.
2. Associations/Multiplicities between classes for domain reasoning: Model 1 meticulously maps out the interactions and cardinalities between entities. Model 2 lacks multiplicities entirely, stripping away the relational logic of the domain.
3. Model attributes with appropriate data types: Model 1 correctly places specific attributes into their respective classes (e.g., amount, frequency, unit in `DosageRegimen`). Model 2 lumps complex structures into simple string attributes, losing data integrity.
4. Consistencies of Terminology with given context: Model 1 strictly adheres to the prompt's naming conventions, whereas Model 2 invents generic names that reduce domain clarity.
5. Adherence of UML class diagram standards: Both models parse correctly, but Model 1 provides a much richer and more standard-compliant representation by including inheritance, enumerations, and multiplicities.
6. Overall judgment: Model 1 is vastly superior. It thoroughly and accurately captures the complex drug discovery domain described in the text, correctly identifying all conceptual classes, relationships, and attributes. Model 2 oversimplifies the system, misses crucial entities, completely ignores multiplicities, and uses generic terminology instead of the specific terms provided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</si>
  <si>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</si>
  <si>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numerous critical domain classes explicitly requested in the prompt, such as `Institution`, `ChemicalLibrary`, `SafetyAssessment`, `AdverseEvent`, `StudyCohort`, `PharmacokineticStudy`, `RegulatoryAgency`, and `PublicationRecord`. Model 2 correctly identifies and includes all of these conceptual classes perfectly aligned with the domain.
2. Associations/Multiplicities between classes for domain reasoning: Model 1 = 1, Model 2 = 5; Evidence: Model 1 completely lacks explicit multiplicities (e.g., `Researcher -- Project`, `Protocol o-- ClinicalTrial`) and misses vital domain associations like SafetyAssessments evaluating ToxicityProfiles or SimulationModels linking to MolecularCompounds. Model 2 accurately captures the complex domain relationships with explicit multiplicities and role labels (e.g., `StudyCohort "*" --&gt; "1" TargetProtein : focuses on`, `SafetyAssessment "*" --&gt; "1" ToxicityProfile : evaluates`).
3. Model attributes with appropriate data types: Model 1 = 2, Model 2 = 5; Evidence: Model 1 captures some basic attributes but misses critical ones detailed in the prompt, such as `isValidated` and `validationDate` for drug candidates, or `category` and `isLifeThreatening` for adverse events. Model 2 comprehensively models all required attributes with appropriate types and enums (e.g., `isValidated: Boolean` in `DrugCandidate`, `status: ModelStatus` in `SimulationModel`).
4. Consistencies of Terminology with given context: Model 1 = 3, Model 2 = 5; Evidence: Model 1 simplifies or generalizes terminology, using `Protocol` instead of `AssayProtocol`, and `Report` instead of `CompoundReport`. Model 2 maintains full consistency with the text, accurately using terms like `AssayProtocol`, `CompoundReport`, `PharmacokineticStudy`, and `QuantitativeResult`.
5. Adherence of UML class diagram standards: Model 1 = 3, Model 2 = 5; Evidence: Model 1 generates valid PlantUML but uses basic connections and aggregation (`o--`) without multiplicities, which limits its adherence to complete UML modeling standards. Model 2 utilizes a full range of UML notations properly, including generalization (`&lt;|--`), enumerations (`enum`), and explicit directional associations with valid multiplicity strings (`"1" --&gt; "*"`).
Total: Model 1 = 11, Model 2 = 25
Choice: B
Reason:
1. Appropriate conceptual classes aligned with the domain: Model 2 represents the entire scope of the domain perfectly, whereas Model 1 misses significant portions of the required entities like safety tracking, study cohorts, and regulatory bodies.
2. Associations/Multiplicities between classes for domain reasoning: Model 2 strictly defines how domain entities interact through proper multiplicities and association labels. Model 1 fails to provide multiplicities and misses several required links entirely.
3. Model attributes with appropriate data types: Model 2 meticulously includes all required attributes and data types, utilizing enums where appropriate. Model 1 omits the vast majority of the specific properties detailed in the text.
4. Consistencies of Terminology with given context: Model 2 strictly follows the specialized vocabulary of the prompt, whereas Model 1 abstracts or truncates critical terms.
5. Adherence of UML class diagram standards: Model 2 demonstrates excellent adherence to PlantUML/UML syntax by incorporating generalization, enumerations, and explicit multiplicities, which Model 1 neglects.
6. Overall judgment: Model 2 is an exceptionally thorough and accurate UML representation of a complex domain, capturing every nuance of the prompt. Model 1 is vastly incomplete, missing classes, attributes, and critical multiplicities. Therefore, Model 2 is unequivocally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</si>
  <si>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</si>
  <si>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into highly cohesive classes such as `ToxicityProfile`, `DosageRegimen`, and `AdverseEvent`, properly linking them via associations. Model 2 reduces cohesion by compressing complex concepts into simple string attributes, such as `dosageRegimen: String` and `toxicityProfile: String` inside `DrugCandidate`. Furthermore, Model 1 correctly decouples `QuantitativeResult`, `ExperimentLog`, and `StatisticalAnalysis`, whereas Model 2 clumps them together into a single `Result` class (`meanValue`, `timestamp`, `log`).
2. Complexity: Model 1 = 5, Model 2 = 2; Evidence: Model 1 balances complexity perfectly according to the detailed requirements, utilizing about 30 classes, proper enumerations (`StudyType`, `ModelStatus`), and an inheritance tree for `MolecularCompound` (`SmallMolecule`, `Biologic`, `Peptide`, `SyntheticCompound`). Model 2 is vastly oversimplified with only 13 classes, entirely omitting required entities like `ChemicalLibrary`, `PharmacokineticStudy`, `RegulatoryAgency`, `PublicationRecord`, `SafetyAssessment`, `StudyCohort`, and `AdverseEvent`.
3. Practicability: Model 1 = 5, Model 2 = 2; Evidence: Model 1 offers a highly practical and comprehensive blueprint for the platform. It models robust testing and tracking relationships, such as `SafetyAssessment` linking to `ToxicityProfile`, `DosageRegimen`, and `AdverseEvent`. Model 2 fails to provide a viable real-world design for the described system because it cannot track vital safety and administrative data (e.g., missing adverse events severity and life-threatening flags, missing institutions as distinct entities rather than just a `String` in `Researcher`).
Total: Model 1 = 15, Model 2 = 6
Choice: A
Reason:
1. Cohesion and Decoupling: Model 1 demonstrates excellent object-oriented design by dedicating separate classes to distinct concepts, maintaining high cohesion. Model 2 heavily relies on string attributes for complex objects (e.g., `toxicityProfile: String`), violating decoupling principles.
2. Complexity: Model 1 precisely matches the domain's complexity, employing appropriate inheritance for compounds and explicit classes for each platform component. Model 2 strips away too much of the domain, missing over half of the required entities (e.g., `StudyCohort`, `PublicationRecord`, `RegulatoryAgency`, `AdverseEvent`). 
3. Practicability: Model 1's level of detail ensures that developers could actually build a platform meeting the prompt's rigorous tracking and safety assessment requirements. Model 2 is too abstract and incomplete to be practically useful for the specified enterprise system.
4. Rejected or checked issues: I did not penalize either model for standard primitive type names (`Double`, `Float`, `Integer`) or lack of explicit visibility markers in Model 1, as these do not impact the semantic validity of the domain models.
5. Overall judgment: Model 1 is significantly better because it comprehensively and accurately translates the extensive, complex requirements into a well-structured, cohesive, and highly practical UML class diagram. Model 2 misses critical requirements and oversimplifies the domain to the point of being unusable for the described software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</si>
  <si>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</si>
  <si>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distinct concepts into single classes (e.g., `Result` contains `meanValue`, `timestamp`, and `log`), demonstrating poor cohesion. Model 2 separates these into dedicated, highly cohesive classes (`QuantitativeResult`, `ExperimentLog`, `StatisticalAnalysis`). Furthermore, Model 2 cleanly decouples `ToxicityProfile`, `AdverseEvent`, and `SafetyAssessment`, whereas Model 1 lumps toxicity into a single `String` attribute in `DrugCandidate`.
2. Complexity: Model 1 = 2, Model 2 = 5; Evidence: Model 1 severely under-represents the system with only 14 classes, omitting required entities like `StudyCohort`, `Institution`, and `PharmacokineticStudy`. Model 2 utilizes around 30 classes/enums (e.g., explicitly modeling `SmallMolecule`, `Biologic` as subclasses of `MolecularCompound`), which perfectly aligns with the high complexity and depth of the provided requirements.
3. Practicability: Model 1 = 2, Model 2 = 5; Evidence: Model 1 is fundamentally incomplete, missing critical domain elements (e.g., `DosageRegimen`, `ChemicalLibrary`, `RegulatoryAgency`) and failing to define specific relationships and multiplicities. Model 2 provides a comprehensive, readable design with clear role names and multiplicities (e.g., `DrugCandidate "1" --&gt; "1" DosageRegimen : possesses`, `SafetyAssessment "*" --&gt; "1" ToxicityProfile : evaluates`), making it highly practical for real-world software engineering and testing.
Total: Model 1 = 6, Model 2 = 15
Choice: B
Reason:
1. Cohesion and Decoupling: Model 1 suffers from low cohesion by forcing unrelated data (logs, statistical means, quantitative values) into a single `Result` class. Model 2 excels by breaking down the domain into modular, single-responsibility components like `QuantitativeResult`, `ExperimentLog`, and `SafetyAssessment`, keeping coupling low and cohesion high.
2. Complexity: Model 1 fails to match the required complexity of the domain, ignoring large portions of the prompt. Model 2 achieves an appropriate level of complexity, properly utilizing inheritance for compound classification and enums for study types and model statuses, exactly as the requirement dictates.
3. Practicability: Model 1 is too simplified and incomplete to be used as a blueprint for the described platform. Model 2 captures the end-to-end workflow accurately, clearly defining how entities interact (e.g., `SimulationModel` linking to `MolecularCompound` and `TargetProtein`), ensuring it is ready for practical implementation and testing.
4. Overall judgment: Model 2 is vastly superior. It comprehensively addresses the intricate requirements of the AI-Assisted Drug Discovery Platform with sound object-oriented design principles, whereas Model 1 is drastically incomplete and oversimplified.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</si>
  <si>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</si>
  <si>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</si>
  <si>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</si>
  <si>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5; Evidence: Both models accurately capture the entities, attributes, and methods described in the requirement. For instance, both include `FlightInstance`, `AircraftStatus`, `CrewMember`, `FlightPlan`, and all requested domains. Model 1 correctly maps the "composed of" relationship using UML composition (`*--`) for `FlightPlan` and `RouteSegment`, while Model 2 captures the "exactly two waypoints" constraint beautifully with `startWaypoint` and `endWaypoint`.
2. Completeness and Relationships: Model 1 = 5, Model 2 = 5; Evidence: Both models effectively model the associations, such as `FlightInstance` to `AirportTerminal` and `MaintenanceRecord` tracking both `AircraftStatus` and `Runway`. Model 1 explicitly models `SubSector` as a separate class within an `AirspaceSector` composition, whereas Model 2 uses a self-referential association for sub-sectors, both of which are valid interpretations.
Total: Model 1 = 10, Model 2 = 10
Choice: C
Reason:
1. Alignment with Requirements: Both models strictly follow the prompt without introducing hallucinations. They both include all requested attributes, methods, and enumerations (like ClearanceLevel, NavAidType, Weather condition types).
2. Completeness and Relationships: Both models accurately capture the complex web of associations. Model 1 uses formal UML composition (`*--`) for `FlightPlan` and `RouteSegment`, while Model 2 uses explicit role names (`startWaypoint`, `endWaypoint`) to enforce the "exactly two waypoints" rule. Both representations are highly effective and semantically sound.
3. Rejected or checked issues: Model 1 does not explicitly list `operationalStatus` as an attribute in `FlightInstance`, but the prompt states it is "derived from an associated aircraft status record", making Model 1's omission of the redundant attribute a good normalized design choice. Model 2 includes it as a String, which is also acceptable as a cached or interface attribute. I did not penalize either model for this.
4. Overall judgment: Both diagrams are exceptionally well-crafted, adhering strictly to the requirements with highly accurate domain modeling and appropriate UML relationships. The quality difference is negligible, resulting in a tie.
```</t>
  </si>
  <si>
    <t>C</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</si>
  <si>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</si>
  <si>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</si>
  <si>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accurately capture the classes, attributes, methods, and relationships defined in the prompt. Model 2 correctly utilizes UML composition (`*--`) for "composed of multiple route segments" (FlightPlan *-- RouteSegment) and "contain multiple sub-sectors" (AirspaceSector *-- SubSector), whereas Model 1 uses standard directed associations for these relationships. Model 2 also adds beneficial enumerations for domains.
Total: Model 1 = 4, Model 2 = 5
Choice: B
Reason:
1. Alignment with Requirements: Both models excellently capture the detailed attributes, methods, and structural relationships outlined in the prompt. They both accurately model the complex interactions between FlightInstances, AircraftStatus, FlightPlans, Controllers, etc.
2. Model 2 distinguishes itself by properly utilizing UML composition syntax (`*--`) for relationships explicitly described as "composed of" or "contain" in the requirements (such as `FlightPlan` containing `RouteSegment` and `AirspaceSector` containing `SubSector`). Model 1 merely uses standard associations (`--&gt;`) for these. 
3. Overall judgment: Model 2 is slightly better because it captures the specific types of relationships (composition) dictated by the requirement text more accurately using PlantUML syntax.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</si>
  <si>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</si>
  <si>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key domain concepts such as FlightInstance, AircraftStatus, CrewMember, PassengerManifest, EventLog, FlightPlan, RouteSegment, Waypoint, WeatherReport, NavigationAid, AirspaceSector, Runway, AirportTerminal, ControlTower, AirTrafficController, Dashboard, RadarSystem, CommunicationChannel, MaintenanceRecord, and FlightLog. Model 1 uses a separate SubSector class, while Model 2 handles sub-sectors with a self-association on AirspaceSector, both of which are valid conceptual representations.
2. Associations/Multiplicities between classes for domain reasoning: Model 1 = 5, Model 2 = 5; Evidence: Both models accurately capture the relationships. For example, RouteSegment connecting exactly two waypoints is modeled as `RouteSegment --&gt; "2" Waypoint` in Model 1 and via explicit `startWaypoint` and `endWaypoint` associations in Model 2. Both handle the maintenance records targeting AircraftStatus and Runway appropriately.
3. Model attributes with appropriate data types: Model 1 = 5, Model 2 = 3; Evidence: Model 1 extensively utilizes enumerations for bounded sets (e.g., OperationalState, CrewRole, ClearanceLevel, WeatherConditionType, NavAidType, SurfaceType, SeverityLevel, Criticality, DutyStatus, DisplayMode). Model 2 relies heavily on generic `String` types for these same fields (e.g., role: String, surfaceType: String, criticality: String, dutyStatus: String, displayMode: String), which is less precise for domain attributes that have clearly defined states in the requirements.
4. Consistencies of Terminology with given context: Model 1 = 5, Model 2 = 5; Evidence: Both models use terminology highly consistent with the prompt. Model 1 uses `ControllerDashboard` while Model 2 uses `SystemDashboard`, both of which align well with the requirement "Each controller utilizes a system dashboard".
5. Adherence of UML class diagram standards: Model 1 = 5, Model 2 = 5; Evidence: Both models provide syntactically correct PlantUML code. Model 1 uses correct composition (`*--`) and directed associations (`--&gt;`), and Model 2 also correctly formats standard directed associations with clear multiplicity labels.
Total: Model 1 = 25, Model 2 = 23
Choice: A
Reason:
1. Appropriate conceptual classes aligned with the domain: Both models perfectly capture all required domain classes.
2. Associations/Multiplicities between classes for domain reasoning: Both models map out the complex web of relationships successfully, including the specific requirement for route segments connecting exactly two waypoints.
3. Model attributes with appropriate data types: Model 1 is significantly better because it infers and applies enumerations to multiple attributes that represent categorical data (such as DutyStatus, CrewRole, Criticality, DisplayMode, SurfaceType). Model 2 defaults to generic `String` types for most of these, which is a poor choice for data integrity.
4. Consistencies of Terminology with given context: Both models strictly adhere to the domain terminology outlined in the prompt.
5. Adherence of UML class diagram standards: Both models are well-formed and valid PlantUML class diagrams.
6. Overall judgment: Model 1 is superior primarily due to its robust and precise use of enumerations for attribute data types, providing a much richer and more accurate domain model than Model 2's reliance on generic strings.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</si>
  <si>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</si>
  <si>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capture the core domain concepts such as FlightInstance, AircraftStatus, CrewMember, FlightPlan, AirspaceSector, ControlTower, and RadarSystem. Model 1 handles sub-sectors via a self-referential association on AirspaceSector, while Model 2 uses a dedicated SubSector class. Both approaches are conceptually valid for the domain.
2. Associations/Multiplicities between classes for domain reasoning: Model 1 = 5, Model 2 = 5; Evidence: Both models accurately reflect the requirement that a RouteSegment connects exactly two waypoints. Model 1 does this with 'startWaypoint' and 'endWaypoint' (each 1), while Model 2 uses a '2' multiplicity on 'connectedWaypoints'. Both correctly associate RadarSystems with AirspaceSectors, Runways with ControlTowers, and FlightInstances with FlightPlans.
3. Model attributes with appropriate data types: Model 1 = 4, Model 2 = 4; Evidence: Both models assign reasonable data types. Model 1 includes the derived 'operationalStatus' directly in FlightInstance (as String), whereas Model 2 relies on the association to AircraftStatus but misses explicitly stating the derived attribute on FlightInstance. Model 2 breaks 'geographic coordinates' into latitude/longitude (double), while Model 1 uses a single String. Both capture the required methods and attributes well.
4. Consistencies of Terminology with given context: Model 1 = 5, Model 2 = 4; Evidence: Model 1 strictly uses the terminology from the prompt (e.g., 'SystemDashboard', 'ClearanceLevel', 'ConditionType'). Model 2 slightly deviates by using 'ControllerDashboard' instead of 'SystemDashboard' and 'WeatherConditionType' instead of 'ConditionType'. 
5. Adherence of UML class diagram standards: Model 1 = 5, Model 2 = 5; Evidence: Both models use valid PlantUML syntax, correctly specify access modifiers, multiplicities, and enum definitions, rendering comprehensible and compliant diagrams.
Total: Model 1 = 24, Model 2 = 23
Choice: C
Reason:
1. Appropriate conceptual classes: Both models successfully identify the necessary entities required to manage the ATC and Navigation system.
2. Associations &amp; Multiplicities: Both models effectively represent the complex relationships, such as RouteSegments connecting exactly two waypoints and the linkage between Control Towers, Runways, and Terminals. 
3. Consistencies of Terminology: Model 1 is slightly closer to the exact wording of the prompt (using SystemDashboard instead of ControllerDashboard), but this is a very minor difference that does not heavily impact the domain representation.
4. Overall judgment: Both models are exceptionally detailed, capture the required attributes and methods, and appropriately model the multiplicities. The differences are largely stylistic (enums vs strings, self-association vs composite class for sub-sectors).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</si>
  <si>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</si>
  <si>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cleanly separate the domain into logical components such as flight operations (FlightInstance, AircraftStatus, FlightPlan), airspace (AirspaceSector, Runway, Terminal), and personnel (CrewMember, AirTrafficController). They maintain low coupling by using appropriate associations between these entities.
2. Complexity: Model 1 = 5, Model 2 = 5; Evidence: Both models strike an appropriate balance in complexity. Model 1 uses a separate `SubSector` class to represent sub-sectors, while Model 2 uses a self-referencing association on `AirspaceSector`. Both approaches perfectly capture the requirement without unnecessary over-engineering. Both correctly handle the composition of `FlightPlan` and `RouteSegment`, and the connection of exactly two `Waypoint`s per segment.
3. Practicability: Model 1 = 5, Model 2 = 4; Evidence: Model 1 provides a more practical and type-safe design by extensively utilizing enumerations for fixed-value sets defined in the prompt (e.g., `CrewRole`, `SurfaceType`, `SeverityLevel`, `Criticality`, `DutyStatus`, `DisplayMode`). Model 2 relies heavily on `String` for these attributes, which is more error-prone in a real-world implementation.
Total: Model 1 = 15, Model 2 = 14
Choice: A
Reason:
1. Cohesion and Decoupling: Both models successfully isolate responsibilities and establish well-decoupled structures, earning top scores.
2. Complexity: Both models accurately reflect the complexity of the requirements without introducing bloat. They model the relationships accurately, such as `RouteSegment` linking to two `Waypoint` instances.
3. Practicability: Model 1 is superior because it leverages standard UML enumerations for categorical data defined in the requirements (like surface types, severity levels, and duty statuses). Model 2 models these as basic Strings, which reduces the robustness and clarity of the design from an implementation perspective. 
4. Overall judgment: Model 1 is slightly better than Model 2 primarily due to its rigorous use of data types and enumerations, enhancing its real-world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</si>
  <si>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</si>
  <si>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separating concerns into appropriate classes like `FlightPlan`, `FlightInstance`, and `SystemDashboard`. Coupling is managed through well-defined associations, such as `FlightInstance` linking to `AircraftStatus` and `PassengerManifest`. Model 1 uses a self-association on `AirspaceSector` (`AirspaceSector "1" --&gt; "0..*" AirspaceSector`) while Model 2 uses a distinct `SubSector` class (`AirspaceSector *-- "0..*" SubSector`); both are valid decoupled approaches.
2. Complexity: Model 1 = 5, Model 2 = 5; Evidence: Both models balance complexity well by not over-engineering the solution. They extract conceptual classes exactly as required (e.g., `RouteSegment`, `Waypoint`). Model 2 introduces more Enums (e.g., `OperationalState`, `CrewRole`, `SeverityLevel`) which manages attribute complexity effectively, while Model 1 captures the explicitly requested Enums (`ConditionType`, `ClearanceLevel`, `NavAidType`) and leaves others as standard types. Both meet the requirement's complexity expectations.
3. Practicability: Model 1 = 5, Model 2 = 5; Evidence: Both designs are highly practical and readable. Model 1 explicitly models the two connected waypoints with distinct roles (`startWaypoint` and `endWaypoint`), which is excellent for routing logic. Model 2 uses a multiplicity of `"2"` (`RouteSegment --&gt; "2" Waypoint`) which is also semantically valid. Both models include all necessary methods (e.g., `calculateAltitude`, `verifyClearanceValidity`, `allocate`) making them ready for implementation.
Total: Model 1 = 15, Model 2 = 15
Choice: C
Reason:
1. Cohesion and Decoupling: Both models accurately capture the domain entities with appropriate separation of responsibilities and valid associations.
2. Complexity: Both models keep the class count aligned with the requirements without introducing unnecessary conceptual overhead. Model 2's heavier use of Enums and Model 1's use of specific association roles balance out.
3. Rejected or checked issues: Model 2 uses two opposite unidirectional associations for `FlightInstance` and `FlightPlan`, which is semantically equivalent to a bidirectional association and not penalized. Similarly, Model 2's single quote comments are ignored.
4. Overall judgment: Both models provide an excellent, comprehensive, and accurate representation of the Air Traffic Control and Navigation System requirements. The differences are minor stylistic choices (e.g., self-association vs. sub-classing for sectors, explicit roles vs. multiplicity for waypoints),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</si>
  <si>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</si>
  <si>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Conceptual Accuracy: Model 1 = 5, Model 2 = 2; Evidence: Model 1 includes all required conceptual classes (e.g., `AirportTerminal`, `NavigationAid`, `SubSector`) with accurately mapped attributes and methods (e.g., `FlightPlan.computeAltitudeAdjustment(emergencyStatus)`). It also perfectly captures multiplicities, such as `RouteSegment --&gt; "2" Waypoint`. Model 2 hallucinates an unprompted association (`FlightInstance -- RoomMaster`), entirely omits the `AirportTerminal`, `NavigationAid`, and `SubSector` classes, incorrectly places `NavigationAid` attributes (`type`, `frequency`) inside `Waypoint`, and wrongly associates `WeatherReport` with `FlightInstance` (`FlightInstance *-- WeatherReport`) instead of `RouteSegment` and `FlightPlan`.
Total: Model 1 = 5, Model 2 = 2
Choice: A
Reason:
1. Strict Alignment and Conceptual Accuracy: Model 1 accurately translates every detail from the domain description into UML elements. It captures derived statuses, exactly matches structural relationships (like a route segment connecting exactly 2 waypoints), and includes all required classes and attributes without adding external concepts. Model 2 suffers from critical omissions (missing terminals, navigation aids, and sub-sectors), incorrect attribute placements, and explicitly hallucinates a "RoomMaster" class which does not exist in the prompt.
2. Rejected or checked issues: Model 2 uses basic `String` for resolution and operationalStatus, which is not penalized based on the forbidden penalties rule. However, its structural omissions and hallucinations are domain-faithfulness errors. 
3. Overall judgment: Model 1 is far superior because it fully respects the prompt's domain constraints, maps out complex associations correctly, and provides comprehensive coverage. Model 2's hallucinations and omissions render it a significantly weaker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</si>
  <si>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</si>
  <si>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Requirements: Model 1 = 2, Model 2 = 5; Evidence: Model 1 hallucinates an association `FlightInstance -- RoomMaster`. It completely misses the required classes `AirportTerminal`, `NavigationAid`, and `SubSector`. It mistakenly places navigation aid attributes (type, frequency) directly inside `Waypoint` and links `WeatherReport` to `FlightInstance` instead of `RouteSegment` and `FlightPlan`. Model 2 accurately models all required classes including `AirportTerminal`, `NavigationAid`, and `SubSector`. It correctly links `WeatherReport` to `RouteSegment` and `FlightPlan`, captures all required methods like `processScanData()` in `RadarSystem`, and precisely models cardinalities outlined in the requirement (e.g., `RouteSegment --&gt; "2" Waypoint`).
Total: Model 1 = 2, Model 2 = 5
Choice: B
Reason:
1. Strict Alignment with Requirements: Model 2 captures all required conceptual classes, attributes, methods, and relationships flawlessly, including specific cardinalities like exactly 2 waypoints per route segment. Model 1 suffers from severe omissions (missing AirportTerminal, SubSector, NavigationAid), hallucinates a non-existent "RoomMaster" class, and misplaces several attributes and relationships (e.g., linking WeatherReport to FlightInstance instead of RouteSegment and FlightPlan).
2. Rejected or checked issues: The extensive use of enumerations in Model 2 is considered a positive, valid refinement of the text (which explicitly listed condition types like Clear, Cloudy, Storm, Fog), not an unpermitted addition. The single-quote comments in Model 2's associations (e.g., `'opposite governs`) were ignored for scoring as per the forbidden penalties.
3. Overall judgment: Model 2 is vastly superior due to its comprehensive, accurate, and detailed reflection of the complex domain requirements, whereas Model 1 is incomplete and contains hallucinations.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</si>
  <si>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</si>
  <si>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accurately identifies all domain concepts including `SubSector`, `AirportTerminal`, and `NavigationAid`. Model 2 completely misses `SubSector`, `AirportTerminal`, and `NavigationAid`, and hallucinates an irrelevant `RoomMaster` class in its relationship definitions.
2. Associations/Multiplicities between classes for domain reasoning: Model 1 = 5, Model 2 = 1; Evidence: Model 1 models comprehensive associations with precise multiplicities (e.g., `FlightPlan *-- "1..*" RouteSegment`, `RouteSegment --&gt; "2" Waypoint`). Model 2 omits multiplicities entirely, introduces incorrect links (e.g., `FlightInstance -- RoomMaster`, `FlightInstance *-- WeatherReport` instead of linking weather to flight plans/route segments), and misses critical associations like the radar's link to airspace sectors.
3. Model attributes with appropriate data types: Model 1 = 5, Model 2 = 2; Evidence: Model 1 uses robust data types, defining 10 specific Enumerations (e.g., `ClearanceLevel`, `WeatherConditionType`, `SurfaceType`) for strong typing, and captures all required methods. Model 2 overuses generic `String` types, misses several attributes (e.g., `displayMode` in Dashboard), and incorrectly assigns `NavigationAid` attributes (`type`, `frequency`) to the `Waypoint` class.
4. Consistencies of Terminology with given context: Model 1 = 5, Model 2 = 2; Evidence: Model 1 perfectly aligns with the required terminology. Model 2 introduces the out-of-context term `RoomMaster` and conflates the terminology for Waypoints and Navigation Aids.
5. Adherence of UML class diagram standards: Model 1 = 5, Model 2 = 3; Evidence: Model 1 demonstrates excellent adherence to PlantUML/UML standards with properly defined enums, classes, types, and labeled associations. Model 2 has no syntax errors preventing rendering, but it fails to define multiplicities and references an undeclared class (`RoomMaster`) in its associations, relying on PlantUML's auto-generation.
Total: Model 1 = 25, Model 2 = 10
Choice: A
Reason:
1. Appropriate conceptual classes: Model 1 captures every required entity, whereas Model 2 misses several core infrastructure components (terminals, sub-sectors, navigation aids) and hallucinates non-existent ones.
2. Associations/Multiplicities: Model 1 explicitly defines all business relationships and multiplicities. Model 2 fails to provide any multiplicities and connects classes incorrectly.
3. Model attributes with appropriate data types: Model 1 meticulously types its attributes using Enums and includes all required operations. Model 2 relies on generic strings and mixes up the attributes of different entities (Waypoint and NavigationAid).
4. Consistencies of Terminology: Model 1 strictly follows the prompt's domain language. Model 2 fails by introducing completely foreign terms like "RoomMaster".
5. Adherence of UML class diagram standards: Model 1 uses the full spectrum of UML notation effectively, while Model 2 is heavily underdeveloped and lacks standard multiplicity markers.
6. Overall judgment: Model 1 is an exceptionally well-crafted, comprehensive, and accurate representation of the domain. Model 2 is incomplete, poorly typed, lacks multiplicities, and suffers from hallucinations.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</si>
  <si>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</si>
  <si>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key domain classes such as `AirportTerminal`, `NavigationAid`, and `SubSector` (for sub-sectors), and hallucinates an unrelated class `RoomMaster`. Model 2 includes all required domain classes including `AirportTerminal`, `NavigationAid`, and `SubSector`, and appropriately models conceptual categories using enumerations (e.g., `NavAidType`, `ClearanceLevel`).
2. Associations/Multiplicities between classes for domain reasoning: Model 1 = 1, Model 2 = 5; Evidence: Model 1 completely lacks multiplicities (e.g., simply writing `FlightPlan *-- RouteSegment`) and misses essential domain associations (e.g., no association between `WeatherReport` and `RouteSegment`, or `Waypoint` to `NavigationAid`). Model 2 correctly defines all required associations with appropriate multiplicities, such as `RouteSegment --&gt; "2" Waypoint` (connecting exactly two waypoints) and `AirspaceSector *-- "0..*" SubSector`.
3. Model attributes with appropriate data types: Model 1 = 3, Model 2 = 5; Evidence: Model 1 lacks several attributes and required method parameters, such as the `Dashboard` display modes and the emergency status parameter in `calculateAltitude()`, as well as request time in `allocateRunway()`. Model 2 captures all attributes, parameters, and types accurately, utilizing explicit types (e.g., `computeAltitudeAdjustment(emergencyStatus: boolean)` and `ControllerDashboard`'s `displayMode: DisplayMode`).
4. Consistencies of Terminology with given context: Model 1 = 3, Model 2 = 5; Evidence: Model 1 uses mostly correct terms but introduces the irrelevant term `RoomMaster` and omits context-specific terms like `Terminal` and `SubSector`. Model 2 maintains full consistency with the requirement's terminology (e.g., `PassengerManifest`, `RadarSystem`, `MaintenanceRecord`).
5. Adherence of UML class diagram standards: Model 1 = 3, Model 2 = 5; Evidence: Model 1's diagram is readable but connects to an undefined class `RoomMaster` and lacks standard multiplicity notations. Model 2 perfectly adheres to PlantUML syntax, effectively utilizing `enum` blocks, clear attributes/methods scoping, and standard multiplicity syntax on relationships.
Total: Model 1 = 13, Model 2 = 25
Choice: B
Reason:
1. Appropriate conceptual classes aligned with the domain: Model 2 accurately captures all required entities (including `AirportTerminal`, `NavigationAid`, and `SubSector`) and structures states/types into Enums. Model 1 misses several critical classes and hallucinates a `RoomMaster` class.
2. Associations/Multiplicities between classes for domain reasoning: Model 2 strictly adheres to the domain logic with precise multiplicities (e.g., exactly two waypoints per route segment, one-to-many for terminals to runways). Model 1 entirely omits multiplicities and fails to connect many logically related entities (like weather influencing route segments).
3. Model attributes with appropriate data types: Model 2 correctly implements all required attributes and method signatures based on the prompt. Model 1 misses key parameters (like `requestTime` for runway allocation and `emergencyStatus` for altitude calculation) and properties.
4. Consistencies of Terminology with given context: Model 2 perfectly mirrors the prompt's vocabulary. Model 1 is mostly consistent but suffers from the unexplained inclusion of the term `RoomMaster`.
5. Adherence of UML class diagram standards: Model 2 demonstrates excellent use of PlantUML features (enums, bidirectional/unidirectional relationships, and standard multiplicities). Model 1 is syntactically basic and incomplete.
6. Rejected or checked issues: Model 2 uses two opposite unidirectional associations (e.g., `FlightInstance --&gt; "1" FlightPlan` and `FlightPlan --&gt; "1" FlightInstance`) instead of a single bidirectional line; it also uses single-quote comments (e.g., `'opposite governs`). As per the evaluation guidelines, these are completely valid practices and were not penalized.
7. Overall judgment: Model 2 is vastly superior to Model 1. It comprehensively addresses every aspect of the requirement with high domain precision, complete associations, strict multiplicities, and correct UML syntax. Model 1 is incomplete, lacks multiplicities entirely, and misses critical components of the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</si>
  <si>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</si>
  <si>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uses appropriate associations (e.g., `FlightPlan --&gt; "0..*" WeatherReport`, `FlightInstance --&gt; "1..*" CrewMember`) to maintain loose coupling. Model 2 incorrectly uses tight composition for independent entities (e.g., `FlightInstance *-- WeatherReport`, `FlightInstance *-- CrewMember`) and includes an entirely hallucinated, unrelated association (`FlightInstance -- RoomMaster`).
2. Complexity: Model 1 = 5, Model 2 = 2; Evidence: Model 1 appropriately handles the domain's complexity by including all required concepts like `AirportTerminal`, `SubSector`, and explicitly separating `Waypoint` from `NavigationAid` (`Waypoint --&gt; "0..*" NavigationAid`). Model 2 misses `AirportTerminal` and `SubSector`, incorrectly merges navigation aid attributes directly into `Waypoint` (`type`, `frequency`), and introduces an undefined concept (`RoomMaster`), poorly balancing the domain complexity.
3. Practicability: Model 1 = 5, Model 2 = 2; Evidence: Model 1 provides clear method signatures with parameters and return types (e.g., `+computeAltitudeAdjustment(emergencyStatus: boolean): double`, `+allocate(requestTime: Date): boolean`) and explicit multiplicities (`1..*`, `0..*`), making it highly practical for implementation. Model 2 omits method parameters (e.g., `calculateAltitude()`), lacks multiplicities entirely, and its omission of `AirportTerminal` completely breaks the requirement to model runway access and gate counts.
Total: Model 1 = 15, Model 2 = 6
Choice: A
Reason:
1. Cohesion and Decoupling: Model 1 correctly uses associations to maintain low coupling between logically separate entities, whereas Model 2 misuses composition to tightly couple independent entities (like WeatherReport to FlightInstance) and adds hallucinatory links that harm cohesion.
2. Complexity: Model 1 precisely maps the complex domain requirements to distinct classes and enums without over-complicating. Model 2 under-represents the domain by missing key classes (AirportTerminal, SubSector, NavigationAid) and conflating Waypoint with NavigationAid, failing to capture the required structural complexity.
3. Practicability: Model 1 is highly implementable due to its complete method signatures, explicit multiplicities, and comprehensive coverage of the requirements, ensuring it can be programmed and tested. Model 2 lacks the necessary details (parameters, multiplicities) and missing components render it incomplete for real-world application.
4. Overall judgment: Model 1 provides a complete, semantically accurate, and highly detailed UML class diagram that perfectly aligns with the requirements and software engineering principles. Model 2 suffers from missing classes, hallucinated entities, improper relationship types, and a lack of implementation details, making Model 1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</si>
  <si>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</si>
  <si>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improperly merges `NavigationAid` concepts into the `Waypoint` class (giving it `type` and `frequency` attributes) instead of separating them, and hallucinates an unrelated `RoomMaster` class coupled to `FlightInstance`. It also completely omits `AirportTerminal` and `SubSector`. Model 2 successfully separates these concerns into distinct, highly cohesive classes (`Waypoint`, `NavigationAid`, `AirportTerminal`, `SubSector`) and properly decouples the domains through clear associations.
2. Complexity: Model 1 = 2, Model 2 = 5; Evidence: Model 1 fails to define any multiplicities (missing the constraint that a route segment connects exactly two waypoints) and simplifies the domain too much by omitting several required classes (`NavigationAid`, `SubSector`, `AirportTerminal`). Model 2 perfectly balances complexity by using enumerations for discrete values (e.g., `WeatherConditionType`, `NavAidType`) and applying exact multiplicities (e.g., `RouteSegment --&gt; "2" Waypoint`, `AirspaceSector *-- "0..*" SubSector`) in alignment with the domain requirements.
3. Practicability: Model 1 = 2, Model 2 = 5; Evidence: Model 1 is missing vital method parameters like `emergencyStatus` in `calculateAltitude()` and `requestTime` in `allocateRunway()`. It also fails to link `FlightLog` to `FlightInstance` and omits the `display modes` attribute on `Dashboard`. Model 2 is highly practical for implementation, featuring correct method signatures (e.g., `computeAltitudeAdjustment(emergencyStatus: boolean)`, `allocate(requestTime: Date)`), comprehensive attribute typing, and a complete mapping of all required infrastructural and operational associations.
Total: Model 1 = 6, Model 2 = 15
Choice: B
Reason:
1. Cohesion and Decoupling: Model 2 correctly segregates domain entities into dedicated classes, ensuring single responsibilities (e.g., creating separate `Waypoint`, `NavigationAid`, and `AirportTerminal` classes). Model 1 crams navigation aid attributes into `Waypoint` and hallucinates a coupling with an undefined `RoomMaster`.
2. Complexity: Model 2 accurately models the required complexity by explicitly defining multiplicities and encompassing all required domain entities. Model 1 lacks multiplicities completely and misses crucial conceptual entities like `SubSector`.
3. Practicability: Model 2 is an excellent blueprint for actual software development, providing correct method parameters, thorough enum definitions, and complete relationship mappings (e.g., linking `FlightLog` to both `FlightInstance` and `CrewMember`). Model 1 is incomplete, missing numerous attributes, method arguments, and entire relationships, rendering it inadequate for real-world application.
4. Overall judgment: Model 2 is significantly superior. It comprehensively and accurately captures every aspect of the complex requirement with high semantic precision, whereas Model 1 suffers from major omissions, lack of multiplicities, and hallucinated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</si>
  <si>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</si>
  <si>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includes all required classes (e.g., `AirportTerminal`, `NavigationAid`) with correct attributes, methods (e.g., `allocate(requestTime: DateTime)` in `Runway`), and specifies detailed cardinalities and associations (e.g., `RouteSegment` explicitly linking exactly two `Waypoint`s, `AirspaceSector` containing sub-sectors). Model 2 hallucinates an unexplained `RoomMaster` class, omits `AirportTerminal` and `NavigationAid` entirely (incorrectly placing NavAid attributes like `type` and `frequency` directly into `Waypoint`), misses the self-referencing sub-sector association in `AirspaceSector`, omits parameter details in methods, and lacks explicit numerical multiplicities.
Total: Model 1 = 5, Model 2 = 2
Choice: A
Reason:
1. Alignment with Requirements: Model 1 comprehensively covers all domain entities, relationships, attributes, and methods described in the prompt. It correctly models `NavigationAid` as a separate class referenced by `Waypoint`, uses exact associations (like exactly two waypoints for a route segment), and handles all connections perfectly. Model 2 suffers from a hallucination (`RoomMaster`), missing classes (`AirportTerminal`, `NavigationAid`), misattributed fields (NavAid attributes inside `Waypoint`), and missing associations (e.g., `FlightLog` to `FlightInstance`, sub-sectors in `AirspaceSector`, `RadarSystem` to `AirspaceSector`).
2. Rejected or checked issues: Model 1 uses enums (`ClearanceLevel`, `ConditionType`, `NavAidType`) which were not explicitly demanded as enum types, but they perfectly align with the closed lists defined in the prompt. This is a valid and robust modeling choice. Model 2's use of composition notation (`*--`) without numerical cardinalities is syntactically valid in PlantUML, but the lack of numerical bounds fails to capture the precise constraints outlined in the requirement (e.g., "exactly two waypoints").
3. Overall judgment: Model 1 is vastly superior due to its exact adherence to the textual requirements, complete absence of hallucinations, precise multiplicities, and comprehensive coverage of domain classes and their relationships. Model 2 misses core concepts, misplaces attributes, and introduces undefined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</si>
  <si>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</si>
  <si>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Completeness, and UML Semantics: Model 1 = 2, Model 2 = 5; Evidence: Model 1 hallucinates a `RoomMaster` class (`FlightInstance -- RoomMaster`) and completely misses the `AirportTerminal` and `NavigationAid` classes. It incorrectly assigns NavigationAid attributes (`type`, `frequency`, `locationCoordinates`) to the `Waypoint` class while omitting the required `geographicCoordinates` for Waypoint. Model 1 also completely lacks cardinalities/multiplicities on its associations and misses method parameters (e.g., `calculateAltitude()` without `emergencyStatus`). Model 2 successfully includes all required classes (e.g., `AirportTerminal`, `NavigationAid`), method parameters (e.g., `calculateAltitude(emergencyStatus: boolean)`, `allocate(requestTime: DateTime)`), and accurately captures complex domain relationships with specific multiplicities (e.g., `AirspaceSector "1" --&gt; "0..*" AirspaceSector : contains sub-sectors` and exactly two associations from `RouteSegment` to `Waypoint` to satisfy "connects exactly two waypoints").
Total: Model 1 = 2, Model 2 = 5
Choice: B
Reason:
1. Requirement Alignment, Completeness, and UML Semantics: Model 2 is vastly superior. It correctly models every entity specified in the prompt, including `AirportTerminal` and `NavigationAid`. It correctly applies multiplicities and role names to all associations, accurately fulfilling conditions like a route segment connecting exactly two waypoints and airspace sectors containing sub-sectors. Model 1 hallucinates a `RoomMaster` class, omits several critical classes, misplaces attributes (merging NavigationAid properties into Waypoint), omits necessary method parameters, and fails to include any multiplicities on its relationships.
2. Rejected or checked issues: Model 2 includes extra Enums (`ClearanceLevel`, `ConditionType`, `NavAidType`) and a `timestamp` in `FlightLog` not strictly enumerated but perfectly aligned with the prompt's explicit closed lists and domain logic; this is transparent refinement, not a penalized addition. Model 1's use of aggregation (`*--`) without multiplicities is syntactically valid in PlantUML but semantically weak compared to Model 2's explicit navigability and multiplicities.
3. Overall judgment: Model 2 followed all instructions perfectly, extracting every detailed requirement, attribute, method, parameter, and relationship cardinality into a highly accurate UML class diagram. Model 1 suffers from omissions, a hallucinated class, and a lack of required detail,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</si>
  <si>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</si>
  <si>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required domain classes, including `AirportTerminal` and `NavigationAid`. Model 2 completely misses `AirportTerminal` and fails to include `NavigationAid` as a distinct class, instead inappropriately merging its concepts into `Waypoint`.
2. Associations/Multiplicities between classes for domain reasoning: Model 1 = 5, Model 2 = 1; Evidence: Model 1 provides comprehensive and accurate associations with explicit multiplicities (e.g., `RouteSegment` connecting to `Waypoint` twice to denote "exactly two", and `AirspaceSector` containing sub-sectors). Model 2 completely omits all multiplicities, misses numerous critical relationships (e.g., AirspaceSector to sub-sectors, ATC to CommunicationChannel), incorrectly links `FlightInstance` to `WeatherReport`, and hallucinates a nonsensical association (`FlightInstance -- RoomMaster`).
3. Model attributes with appropriate data types: Model 1 = 5, Model 2 = 2; Evidence: Model 1 accurately places all attributes and methods according to the text (e.g., `geographicCoordinates` for Waypoint, `displayMode` for Dashboard, and method parameters like `allocate(requestTime: DateTime)`). Model 2 misses `geographicCoordinates` in `Waypoint` (replacing them with `NavigationAid`'s `type` and `frequency`), omits `displayMode` in `Dashboard`, and drops parameters for methods like `allocateRunway()`.
4. Consistencies of Terminology with given context: Model 1 = 5, Model 2 = 2; Evidence: Model 1 perfectly adheres to the text's terminology (e.g., `SystemDashboard`, `AircraftStatus`). Model 2 introduces hallucinated and irrelevant terminology like `RoomMaster` and truncates specific terms (e.g., `Dashboard` instead of `SystemDashboard`).
5. Adherence of UML class diagram standards: Model 1 = 5, Model 2 = 4; Evidence: Both models use valid PlantUML syntax. However, Model 1 follows excellent UML practices by explicitly defining enumerations, directional associations, and clear multiplicities. Model 2 overuses the composition operator (`*--`) everywhere without any defining multiplicities, which weakens its semantic value, though it remains syntactically valid.
Total: Model 1 = 25, Model 2 = 12
Choice: A
Reason:
1. Appropriate conceptual classes aligned with the domain: Model 1 successfully identifies all entities, while Model 2 misses key infrastructure elements like `AirportTerminal` and `NavigationAid`.
2. Associations/Multiplicities between classes for domain reasoning: Model 1 excels by capturing complex domain constraints (like hierarchical airspace sectors and dual-waypoint route segments) with correct multiplicities. Model 2 fails heavily here by omitting multiplicities entirely and hallucinating a `RoomMaster` connection.
3. Model attributes with appropriate data types: Model 1 assigns all properties and methods accurately. Model 2 incorrectly assigns attributes (giving `Waypoint` the frequency instead of coordinates) and leaves out essential properties and method arguments.
4. Consistencies of Terminology with given context: Model 1 stays perfectly true to the text, whereas Model 2 inserts fabricated terms not found in the prompt.
5. Adherence of UML class diagram standards: Model 1 demonstrates robust UML modeling with proper use of enums and relation constraints. Model 2 has correct syntax but lacks the semantic rigor of a proper UML domain model due to missing multiplicities.
6. Overall judgment: Model 1 is exceptionally well-crafted, accurately reflecting the complex requirements of the prompt with high precision in attributes, classes, and relationships. Model 2 suffers from hallucinations, missing classes, poor attribute placement, and a complete lack of multiplicities. Model 1 is the definitive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</si>
  <si>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</si>
  <si>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`NavigationAid` and `AirportTerminal` as conceptual classes entirely. Model 2 correctly identifies all classes, explicitly including `NavigationAid` and `AirportTerminal`.
2. Associations/Multiplicities between classes for domain reasoning: Model 1 = 1, Model 2 = 5; Evidence: Model 1 completely lacks numerical multiplicities, misses critical structural relationships (like the self-referencing sub-sectors and a route segment connecting two waypoints), and hallucinates a nonsensical association (`FlightInstance -- RoomMaster`). Model 2 includes precise multiplicities and role labels, such as `AirspaceSector "1" --&gt; "0..*" AirspaceSector : contains sub-sectors` and `RouteSegment "1" --&gt; "1" Waypoint : startWaypoint`.
3. Model attributes with appropriate data types: Model 1 = 3, Model 2 = 5; Evidence: Because Model 1 misses the `NavigationAid` class, it incorrectly places `type` and `frequency` inside `Waypoint`; it also misses `gateCount` entirely. Model 2 correctly places `type: NavAidType` and `frequency: float` in `NavigationAid` and captures `gateCount: int` in `AirportTerminal`.
4. Consistencies of Terminology with given context: Model 1 = 2, Model 2 = 5; Evidence: Model 1 hallucinates the term `RoomMaster`, which never appears in the provided domain description. Model 2 strictly aligns with the context terminology (e.g., `SystemDashboard`, `MaintenanceRecord`, `AirTrafficController`).
5. Adherence of UML class diagram standards: Model 1 = 3, Model 2 = 5; Evidence: Model 1 misuses the composition operator (`*--`) for almost all associations without defining any multiplicity boundaries, severely diminishing the structural semantics. Model 2 adheres perfectly to standard UML notation, using precise bounds (e.g., `"1" --&gt; "*"`) and clear navigability.
Total: Model 1 = 12, Model 2 = 25
Choice: B
Reason:
1. Appropriate conceptual classes aligned with the domain: Model 2 is fully comprehensive and captures every domain entity. Model 1 misses key physical and logical entities (AirportTerminal, NavigationAid).
2. Associations/Multiplicities between classes for domain reasoning: Model 2 excellently translates the domain logic into relationships with accurate multiplicities and explicit role names. Model 1 completely fails to provide multiplicities and invents a non-existent relationship ("RoomMaster").
3. Model attributes with appropriate data types: Model 2 accurately types all attributes and utilizes domain-specific Enums to cleanly define constrained values. Model 1 misplaces attributes into the wrong classes due to its missing entities.
4. Consistencies of Terminology with given context: Model 2 maps flawlessly to the provided text. Model 1 introduces arbitrary terms disconnected from the domain.
5. Adherence of UML class diagram standards: Model 2 is an exemplary PlantUML diagram that leverages standard relational mapping. Model 1 presents valid syntax but semantically poor UML notation by relying solely on unquantified composition arrows.
6. Overall judgment: Model 2 is significantly superior in every evaluated metric. It provides a robust, detailed, and completely accurate representation of the requirements. Model 1 is inadequate due to hallucinations, missing elements, and the total absence of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</si>
  <si>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</si>
  <si>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maintains high cohesion by correctly separating `Waypoint` and `NavigationAid` into distinct classes, and properly defining `AirportTerminal`. Model 2 violates cohesion by merging `NavigationAid` attributes (`type`, `frequency`) directly into `Waypoint`, entirely misses the `AirportTerminal` class, and inappropriately couples `FlightInstance` to a hallucinated, undefined `RoomMaster` class.
2. Complexity: Model 1 = 5, Model 2 = 2; Evidence: Model 1 accurately reflects the domain's complexity by including all required conceptual classes (`NavigationAid`, `AirportTerminal`, `SystemDashboard`) and correctly structuring sub-sectors in `AirspaceSector`. Model 2 fails to capture the required complexity by omitting essential classes (`NavigationAid`, `AirportTerminal`) and adding irrelevant, out-of-domain complexity with the `RoomMaster` class.
3. Practicability: Model 1 = 5, Model 2 = 2; Evidence: Model 1 is highly practical for implementation, featuring precise multiplicities (e.g., `FlightInstance "1" --&gt; "*" EventLog`, and two explicit links from `RouteSegment` to `Waypoint` to represent "exactly two"), and clear method signatures (`calculateAltitude(emergencyStatus: boolean)`). Model 2 lacks detailed multiplicities on its associations, omits required method parameters (`calculateAltitude()`), and misses critical associations like `SystemDashboard` monitoring `FlightInstance`.
Total: Model 1 = 15, Model 2 = 6
Choice: A
Reason:
1. Cohesion and Decoupling: Model 1 cleanly separates domain concepts (e.g., keeping Waypoints and Navigation Aids distinct) and defines all structural elements required by the prompt. Model 2 struggles with cohesion, improperly grouping NavAid attributes into the Waypoint class and introducing a completely unrelated `RoomMaster` entity.
2. Complexity: Model 1 strikes the perfect balance, modeling the full lifecycle requirements without over-engineering. Model 2 oversimplifies the domain by omitting key entities like `AirportTerminal` and `NavigationAid`, while simultaneously introducing confusing elements that are not part of the requirements.
3. Practicability: Model 1 provides a robust blueprint for real-world software design. Its explicit multiplicities (especially capturing the "exactly two waypoints" constraint for route segments), well-defined method parameters, and comprehensive association network make it ready for implementation. Model 2 is too vague, missing parameters, timestamps on `FlightLog`, and explicit multiplicities, which diminishes its usefulness for programming and testing.
4. Rejected or checked issues: I did not penalize Model 2 for using `String` instead of enums for types (e.g., `ConditionType`), nor for using primitive type aliases (`Integer`, `Double`). The score differences are based purely on structural completeness and domain accuracy. 
5. Overall judgment: Model 1 is a comprehensive, highly accurate, and practical representation of the Air Traffic Control requirements. Model 2 suffers from missing classes, hallucinated entities, mixed responsibilities, and a lack of necessary UML detail.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</si>
  <si>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</si>
  <si>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NavigationAid attributes (`type`, `frequency`) inside `Waypoint`, missing the separate `NavigationAid` concept, and incorrectly couples `WeatherReport` directly to `FlightInstance`. Model 2 correctly separates `Waypoint` and `NavigationAid`, links `WeatherReport` to `FlightPlan` and `RouteSegment`, and introduces specific Enums to manage properties with high cohesion.
2. Complexity: Model 1 = 2, Model 2 = 5; Evidence: Model 1 misses classes like `AirportTerminal` and `NavigationAid`, omits method parameters like `emergencyStatus` in `calculateAltitude()`, and misses the recursive sub-sector relationship for `AirspaceSector`. Model 2 includes all required conceptual classes and enums, accurately models sub-sectors via a recursive `AirspaceSector` association, and uses two distinct associations (`startWaypoint`, `endWaypoint`) to restrict `RouteSegment` to exactly two `Waypoint`s.
3. Practicability: Model 1 = 1, Model 2 = 5; Evidence: Model 1 is impractical due to a hallucinated `RoomMaster` association (`FlightInstance -- RoomMaster`), completely lacks multiplicities, and omits `AirportTerminal` entirely, which breaks the terminal access requirement. Model 2 uses explicit multiplicities (e.g., `"1" --&gt; "*"`), readable role labels (`derives status from`), and includes complete UI/system integrations (e.g., `SystemDashboard` integrating `FlightInstance` and `RadarSystem`), making it a robust design for implementation and testing.
Total: Model 1 = 5, Model 2 = 15
Choice: B
Reason:
1. Cohesion and Decoupling: Model 2 correctly distributes responsibilities, such as separating `Waypoint` and `NavigationAid` and properly linking `WeatherReport` to flight plans and route segments. Model 1 violates cohesion by dumping navigation properties into `Waypoint` and linking weather reports incorrectly to flight instances.
2. Complexity: Model 2 achieves the required level of complexity by modeling necessary enums, recursive relationships for sub-sectors, and specific method parameters (e.g., `emergencyStatus`), all of which Model 1 ignores. Model 2 also successfully captures the "exactly two waypoints" constraint.
3. Practicability: Model 2 is highly practical for real-world implementation, featuring accurate multiplicities, detailed return/parameter types, and complete coverage of requirements like `AirportTerminal` and dashboards. Model 1 includes a hallucinated entity (`RoomMaster`) and lacks multiplicities, severely hurting its utility and readability.
4. Rejected or checked issues: Variations in data types (`Integer` vs `int`, `Double` vs `float`, `Date` vs `DateTime`) and association arrow styles (`*--` vs `--&gt;`) were ignored as they are semantically equivalent or acceptable notation differences and did not impact the scoring.
5. Overall judgment: Model 2 strictly adheres to the provided requirement, covering all entities, constraints, and relationships clearly and accurately. Model 1 is incomplete, contains hallucinations, lacks multiplicities, and fails to model crucial domain components, making Model 2 the definitively better choice.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</si>
  <si>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</si>
  <si>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</si>
  <si>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</si>
  <si>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4; Evidence: Model 1 captures all required elements and multiplicities, and effectively uses a composition relationship (`Bank *-- "0..*" Branch`) to represent the "consists of" wording, aligning well with the instruction to focus on composition. It also accurately captures the "owner" role. However, it violates the "no additions/hallucinations" constraint by adding `bankName` and `branchName` to the respective classes. Model 2 strictly follows the "no hallucinations and additions" rule by including only the specified attributes (`firstName`, `lastName`, `accountNumber`, `balance`, `overdraftLimit`). However, it uses a simple association (`Bank "1" -- "0..*" Branch`) instead of composition/aggregation for the "consists of" relationship, slightly missing the instruction's emphasis on specific relationship types.
Total: Model 1 = 4, Model 2 = 4
Choice: C
Reason:
1. Alignment with requirements: Both models demonstrate a strong understanding of the domain and the specific requirements. Model 1 provides a structurally richer representation by applying UML composition (`*--`) for the "consists of" relationship, which perfectly matches the instruction's emphasis on modeling composition. However, Model 1 hallucinates two attributes (`bankName` and `branchName`). Model 2 perfectly adheres to the strict rule against adding hallucinated attributes, keeping the class structures clean and factual to the prompt, but it settles for a weaker simple association (`--`) for the branch relationship.
2. Rejected or checked issues: Model 1's use of two unidirectional associations (e.g., `Bank --&gt; Customer` and `Customer --&gt; Bank`) instead of one bidirectional line, as well as its use of single-quote comments (e.g., `'opposite bank`), were strictly ignored and not penalized, per the forbidden penalties.
3. Overall judgment: The models present a balanced trade-off. Model 1 excels in utilizing the precise UML relationship type (composition) requested by the prompt's wording, while Model 2 excels in strict adherence to the exact attributes provided without hallucinating additions. Because their respective strengths and minor flaws balance each other out perfectly,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</si>
  <si>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</si>
  <si>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5, Model 2 = 5; Evidence: Model 1 includes `Bank`, `Branch`, `Customer`, `Account`, `CurrentAccount`, and `SavingsAccount`, with `Bank "1" -- "0..*" Customer : manages`, `Bank "1" -- "0..*" Branch : consists of`, and `Customer "1" -- "1..5" Account : owns`. Model 2 includes the same core classes and represents the same requirements through `Bank --&gt; "0..*" Customer : manages`, `Customer --&gt; "1" Bank : bank`, `Customer --&gt; "1..5" Account : account`, and `Account --&gt; "1" Customer : owner`.
2. Avoidance of hallucinations and unsupported additions: Model 1 = 5, Model 2 = 4; Evidence: Model 1 includes only the required attributes: `Customer.firstName`, `Customer.lastName`, `Account.accountNumber`, `Account.balance`, and `CurrentAccount.overdraftLimit`. Model 2 includes all required attributes but adds `Bank.bankName` and `Branch.branchName`, which are not stated in the requirement.
3. Conceptual classes and required attributes: Model 1 = 5, Model 2 = 5; Evidence: Model 1 correctly defines `Bank`, `Branch`, `Customer`, abstract `Account`, `CurrentAccount`, and `SavingsAccount`, and includes `firstName : String`, `lastName : String`, `accountNumber : int`, `balance : double`, and `overdraftLimit : double`. Model 2 also defines all required classes and attributes: `Customer.firstName`, `Customer.lastName`, `Account.accountNumber`, `Account.balance`, and `CurrentAccount.overdraftLimit`.
4. Associations and cardinalities: Model 1 = 5, Model 2 = 5; Evidence: Model 1 correctly models that one bank manages `0..*` customers, one bank has `0..*` branches, and each customer owns `1..5` accounts while each account is linked to exactly `1` customer through `Customer "1" -- "1..5" Account : owns`. Model 2 also captures these multiplicities with `Bank --&gt; "0..*" Customer`, `Customer --&gt; "1" Bank`, `Customer --&gt; "1..5" Account`, and `Account --&gt; "1" Customer`. The opposite unidirectional associations in Model 2 are treated as semantically equivalent to bidirectional associations.
5. Types of relationships: Model 1 = 4, Model 2 = 5; Evidence: Model 1 correctly uses inheritance with `Account &lt;|-- CurrentAccount` and `Account &lt;|-- SavingsAccount`, but it models the bank-branch relationship as a plain association: `Bank "1" -- "0..*" Branch : consists of`. Model 2 uses inheritance with `CurrentAccount --|&gt; Account` and `SavingsAccount --|&gt; Account`, and more accurately models the “bank consists of branches” requirement as composition with `Bank *-- "0..*" Branch`.
6. Clarity of class names and domain representation: Model 1 = 5, Model 2 = 4; Evidence: Model 1 uses direct requirement-aligned names and labels such as `manages`, `consists of`, and `owns`, with no unsupported attributes. Model 2 is also clear with `manages`, `bank`, `account`, and `owner`, but `operatesBranch` is slightly less aligned with the wording “consists of,” and the extra `bankName` and `branchName` attributes make it marginally less strict to the given description.
Total: Model 1 = 29, Model 2 = 28
Choice: C
Reason:
1. Requirement coverage: Both models fully cover the required bank, customer, branch, account, current account, and savings account concepts. Both include the required customer attributes, account attributes, overdraft limit, and account specialization structure.
2. Relationship modeling: Model 2 is slightly stronger on relationship type because it uses composition for `Bank *-- "0..*" Branch`, which better matches “a bank consists of branches.” Model 1 uses only a plain association for this relationship, but its cardinality and label still capture the required domain meaning.
3. Rejected or checked issues: I did not penalize Model 2 for using opposite unidirectional associations, PlantUML comments such as `'opposite bank`, primitive type aliases like `int` and `double`, or marking `Account` as abstract. I also did not reward Model 1 merely for being shorter.
4. Overall judgment: Model 1 is stricter and avoids unsupported attributes, while Model 2 has a slightly better composition relationship and a more explicit account-owner association. The total score difference is only one point, and the meaningful quality difference is small, so the best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</si>
  <si>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</si>
  <si>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required classes (`Bank`, `Branch`, `Customer`, `Account`, `CurrentAccount`, and `SavingsAccount`). Both also correctly model `Account` as an abstract class.
2. Associations/Multiplicities between classes for domain reasoning: Model 1 = 5, Model 2 = 5; Evidence: Both models accurately capture the relationships. Model 1 uses paired unidirectional associations (`Customer --&gt; "1..5" Account` and `Account --&gt; "1" Customer`), which are semantically equivalent to Model 2's single bidirectional association (`Customer "1" -- "1..5" Account`). Both correctly model the `0..*` relationship between Bank and Branches/Customers.
3. Model attributes with appropriate data types: Model 1 = 5, Model 2 = 5; Evidence: Both models correctly assign `firstName: String` and `lastName: String` to `Customer`, `accountNumber: int` and `balance: double` to `Account`, and `overdraftLimit: double` to `CurrentAccount`. Model 1 adds `bankName` and `branchName`, which are acceptable transparent additions, while Model 2 strictly adheres to the stated attributes.
4. Consistencies of Terminology with given context: Model 1 = 5, Model 2 = 5; Evidence: Terminology across both models (`CurrentAccount`, `SavingsAccount`, `overdraftLimit`, `balance`, etc.) perfectly matches the provided text.
5. Adherence of UML class diagram standards: Model 1 = 5, Model 2 = 5; Evidence: Both diagrams use valid PlantUML syntax. Model 1 effectively uses composition (`*--`) for "consists of" and inheritance (`--|&gt;`), while Model 2 uses valid association (`--`) and inheritance (`&lt;|--`).
Total: Model 1 = 25, Model 2 = 25
Choice: C
Reason:
1. Appropriate conceptual classes aligned with the domain: Both models successfully extract the necessary domain concepts and apply abstraction correctly to the `Account` class.
2. Associations/Multiplicities between classes for domain reasoning: Both models accurately enforce the specific constraints, such as a customer having 1 to 5 accounts, and banks having any number of customers and branches.
3. Rejected or checked issues: In accordance with the forbidden penalties, Model 1's use of two opposite unidirectional associations and PlantUML single-quote comments (`'opposite owner`) were treated as semantically equivalent to Model 2's standard bidirectional associations and were not penalized. Furthermore, Model 1's inclusion of extra name attributes for `Bank` and `Branch` is a benign structural choice that does not subtract from its accuracy. 
4. Overall judgment: Both models are flawless and correctly interpret all constraints, attributes, and relationships detailed in the requirement. They use slightly different but fully valid PlantUML representations (e.g., paired unidirectional lines vs. a single bidirectional line) to arrive at the same semantic conclusion.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</si>
  <si>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</si>
  <si>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required classes: Bank, Branch, Customer, Account (marked as abstract), CurrentAccount, and SavingsAccount.
2. Associations/Multiplicities between classes for domain reasoning: Model 1 = 5, Model 2 = 5; Evidence: Both models accurately capture the relationships and multiplicities. They both model Bank managing 0..* Customers and consisting of 0..* Branches. They also correctly restrict a Customer to owning 1..5 Accounts. Model 1 uses single bidirectional lines (e.g., `Customer "1" -- "1..5" Account`), while Model 2 uses semantically equivalent paired unidirectional associations (e.g., `Customer --&gt; "1..5" Account` and `Account --&gt; "1" Customer`). Both correctly model inheritance for the account types.
3. Model attributes with appropriate data types: Model 1 = 5, Model 2 = 5; Evidence: Both models correctly capture `firstName: String` and `lastName: String` for Customer, `accountNumber: int` and `balance: double` for Account, and `overdraftLimit: double` for CurrentAccount. Model 2 includes extra string attributes for Bank and Branch, which are acceptable and do not contradict the prompt.
4. Consistencies of Terminology with given context: Model 1 = 5, Model 2 = 5; Evidence: Both models use terminology exactly as provided in the requirement prompt, reflecting the correct business terminology (e.g., balance, overdraftLimit, manages).
5. Adherence of UML class diagram standards: Model 1 = 5, Model 2 = 5; Evidence: Both models use completely valid PlantUML syntax. Model 1 correctly uses `&lt;|--` for inheritance and `--` for associations, while Model 2 correctly uses `--|&gt;` for inheritance, `*--` for composition, and `--&gt;` for directed associations.
Total: Model 1 = 25, Model 2 = 25
Choice: C
Reason:
1. Appropriate conceptual classes aligned with the domain: Both Model 1 and Model 2 correctly extract all essential entities from the text, successfully applying abstraction to the Account class.
2. Associations/Multiplicities between classes for domain reasoning: Both models flawlessly implement the core domain constraints (1..5 accounts per customer, 0..* branches/customers per bank, correctly established parent/child hierarchies).
3. Rejected or checked issues: Model 2 utilizes single-quote PlantUML comments (e.g., `'opposite owner`) and paired unidirectional associations instead of single bidirectional lines. Per the evaluation guidelines, these represent equivalent semantics to Model 1's approach and are not penalized. Furthermore, Model 2's addition of `bankName` and `branchName` is an unprompted but benign addition that doesn't contradict the prompt and is not penalized.
4. Overall judgment: Both models provide an excellent, completely accurate translation of the informal text into a UML class diagram. They are structurally sound, semantically equivalent, and properly map the classes, attributes, multiplicities, and relationships.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</si>
  <si>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</si>
  <si>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group common attributes (`accountNumber` and `balance`) in the abstract `Account` class while keeping `overdraftLimit` in `CurrentAccount`, demonstrating high cohesion. Coupling is kept low by limiting relationships to the necessary `Bank`-`Branch`, `Bank`-`Customer`, and `Customer`-`Account` associations.
2. Complexity: Model 1 = 5, Model 2 = 5; Evidence: Both models feature exactly 6 classes, 0 methods, and an inheritance depth of 1 (`Account` to its two subclasses). They successfully discern between conceptual classes and attributes. Model 1 includes sensible unprompted attributes (`bankName`, `branchName`), while Model 2 strictly sticks to the text, but both maintain an appropriately balanced complexity level.
3. Practicability: Model 1 = 5, Model 2 = 5; Evidence: Both models are highly readable and provide clear foundations for programming and testing. They accurately map the hard constraint of "at least one and at most five accounts" (`1..5`). Model 1 effectively uses composition (`*--`) to represent "consists of", while Model 2 uses clean bidirectional associations (`--`); both are practically viable.
Total: Model 1 = 15, Model 2 = 15
Choice: C
Reason:
1. Cohesion and Decoupling: Both models accurately decouple the system into logical entities with high cohesion, placing the respective attributes in the correct specific classes and establishing the correct relationship hierarchy.
2. Complexity: The complexity is identical and perfectly balanced. They extract the exact same classes without confusing conceptual classes with attributes. Model 1's minor addition of name attributes for `Bank` and `Branch` does not negatively impact the overall complexity.
3. Practicability: Both models provide excellent, modular blueprints for implementation. They both accurately enforce the `1..5` multiplicity for accounts. Model 1 nicely maps "consists of" to a composition relationship (`*--`), whereas Model 2 uses explicit bidirectional associations, both resulting in a comprehensive representation.
4. Rejected or checked issues: Model 1's use of two unidirectional associations (`--&gt;`) and single-quote comments (`'opposite`) were checked and explicitly ignored, as the guidelines strictly forbid penalizing them because they are semantically equivalent to Model 2's single bidirectional lines.
5. Overall judgment: Both models perfectly interpret the informal description into accurate, practical, and well-structured UML class diagrams with correct multiplicities and inheritance. The differences are purely stylistic and semantically equivalent.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</si>
  <si>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</si>
  <si>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properly encapsulate data into relevant classes, achieving high cohesion. `firstName` and `lastName` are cleanly grouped in `Customer`; `accountNumber` and `balance` in `Account`; and `overdraftLimit` exclusively in `CurrentAccount`. Both correctly decouple common features from specific account logic using inheritance (`CurrentAccount` and `SavingsAccount` extending `Account`).
2. Complexity: Model 1 = 5, Model 2 = 5; Evidence: Both models contain exactly the 6 necessary domain classes (Bank, Branch, Customer, Account, CurrentAccount, SavingsAccount) without introducing redundant entities. Model 1 focuses strictly on the required attributes. Model 2 includes standard string attributes for `Bank` and `Branch` (`bankName`, `branchName`), which does not overcomplicate the design. The use of two opposite unidirectional associations in Model 2 (e.g., `Customer --&gt; "1..5" Account` and `Account --&gt; "1" Customer`) is semantically equivalent to the single bidirectional association in Model 1 (`Customer "1" -- "1..5" Account : owns`).
3. Practicability: Model 1 = 5, Model 2 = 5; Evidence: Both designs provide highly readable and functional blueprints. They correctly capture the critical constraints, such as the `1..5` multiplicity for accounts per customer and the `0..*` relationships for branches and customers. Model 2 captures the "consists of" requirement practically via a composition (`Bank *-- "0..*" Branch`), while Model 1 achieves this effectively with an association (`Bank "1" -- "0..*" Branch : consists of`). Both models are well-suited for software implementation and testing.
Total: Model 1 = 15, Model 2 = 15
Choice: C
Reason:
1. Cohesion and Decoupling: Both models flawlessly reflect the problem domain. They distribute attributes accurately across entities and use inheritance to separate general account data from specific features, ensuring classes remain focused on single concepts.
2. Complexity: Both models keep the architectural complexity balanced. Model 2's structure of using opposite unidirectional lines with PlantUML comments (e.g., `'opposite owner`) is semantically identical to Model 1's bidirectional associations, meaning their structural complexity footprint is effectively the same.
3. Practicability: Both models are well-structured, clear, and perfectly capture the specified multiplicities and relationships. Model 2 incorporates a composition line for branches to signify the strong lifecycle dependency expressed by "consists of," while Model 1 relies on text labels; both are robust ways to model the facts. 
4. Rejected or checked issues: As per the forbidden penalties, Model 2's opposite unidirectional associations and inline PlantUML single-quote comments were correctly recognized as semantically equivalent to Model 1's syntax and were not penalized. The minor addition of `bankName` and `branchName` in Model 2 was not rewarded but also did not detract from the model's validity.
5. Overall judgment: Both diagrams successfully, accurately, and cleanly map the bank's informal description into valid UML class models with identical semantic depth. There is no meaningful quality difference,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</si>
  <si>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</si>
  <si>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Model 1 captures all required classes, attributes, and relationships, correctly enforcing the "at least one and at most five accounts" rule via `Customer --&gt; "1..5" Account` and `Account --&gt; "1" Customer`. However, Model 1 includes hallucinated attributes not mentioned in the text (`bankName: String` in `Bank`, `branchName: String` in `Branch`). Model 2 successfully avoids hallucinated attributes but introduces a contradiction by defining two separate, conflicting associations between Customer and Account (`Customer "1" --- "1..5" Account` and `Account "0..*" --- "1" Customer`), which violates the strict 1..5 multiplicity rule by also specifying 0..*.
Total: Model 1 = 4, Model 2 = 3
Choice: A
Reason:
1. Alignment with requirements: Model 1 accurately models the core business logic and cardinalities without contradictions. While Model 1 hallucinates two minor attributes (`bankName` and `branchName`), Model 2's error is structural and directly contradicts the explicit constraints of the prompt by defining conflicting multiplicities (1..5 vs 0..*) for the Customer-Account relationship.
2. Rejected or checked issues: In accordance with the forbidden penalties, Model 1 was not penalized for using two opposite unidirectional associations instead of a single bidirectional line, nor for including single-quote comments (e.g., `'opposite bank`). Furthermore, Model 1 was not rewarded or penalized for marking `Account` as `abstract`, and Model 2's use of visibility markers (`-`) was ignored as presentation-only differences. 
3. Overall judgment: Model 1 is better because its relationship structures and cardinalities are semantically consistent and accurately reflect the business rules, whereas Model 2 contains a logical contradiction in a primary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</si>
  <si>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</si>
  <si>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5; Evidence: Model 1 includes the required `Bank`, `Branch`, `Customer`, `Account`, `CurrentAccount`, and `SavingsAccount` classes, and models `Bank "1" --- "0..*" Customer : manages`, `Bank "1" *-- "0..*" Branch : consists of`, and `Customer "1" --- "1..5" Account : has`. However, it also adds a separate `Account "0..*" --- "1" Customer : owner` association, which makes `has` and `owner` appear as two distinct relationships and weakens the clarity of the ownership constraint. Model 2 covers the same required functionality with `Bank --&gt; "0..*" Customer : manages`, `Customer --&gt; "1" Bank : bank`, `Customer --&gt; "1..5" Account : account`, and `Account --&gt; "1" Customer : owner`, more explicitly representing that each account has exactly one customer owner.
2. Avoidance of hallucinations and unsupported additions: Model 1 = 5, Model 2 = 4; Evidence: Model 1 does not add unsupported attributes or extra domain concepts beyond the required bank, branch, customer, account, and account subtype elements. Model 2 includes all required elements but adds `bankName: String` to `Bank` and `branchName: String` to `Branch`, neither of which is specified in the requirement.
3. Conceptual classes and required attributes: Model 1 = 5, Model 2 = 5; Evidence: Model 1 includes `Customer` with `firstName: String` and `lastName: String`, `Account` with `accountNumber: int` and `balance: double`, `CurrentAccount` with `overdraftLimit: double`, and `SavingsAccount`. Model 2 also includes all required conceptual classes and attributes: `Customer.firstName`, `Customer.lastName`, `Account.accountNumber`, `Account.balance`, `CurrentAccount.overdraftLimit`, and `SavingsAccount`.
4. Associations and cardinalities: Model 1 = 4, Model 2 = 5; Evidence: Model 1 correctly shows `Bank "1" --- "0..*" Customer : manages`, `Bank "1" *-- "0..*" Branch : consists of`, and `Customer "1" --- "1..5" Account : has`. Its weakness is that `Account "0..*" --- "1" Customer : owner` is modeled as a separate association from `has`, so the account ownership semantics are less cleanly unified. Model 2 expresses the bank-customer multiplicity through `Bank --&gt; "0..*" Customer` and `Customer --&gt; "1" Bank`, and the account ownership multiplicity through `Customer --&gt; "1..5" Account` and `Account --&gt; "1" Customer`, which better preserves both sides of the ownership requirement.
5. Types of relationships: Model 1 = 5, Model 2 = 5; Evidence: Model 1 correctly uses composition for bank branches with `Bank "1" *-- "0..*" Branch : consists of` and inheritance with `CurrentAccount --|&gt; Account` and `SavingsAccount --|&gt; Account`. Model 2 also correctly uses composition with `Bank *-- "0..*" Branch` and inheritance with `CurrentAccount --|&gt; Account` and `SavingsAccount --|&gt; Account`. Model 2 marks `Account` as `abstract`, but this is neither rewarded nor penalized because the requirement does not state whether direct `Account` instances are allowed.
6. Clarity of class names and domain representation: Model 1 = 4, Model 2 = 5; Evidence: Model 1 uses clear names and labels such as `manages`, `consists of`, `has`, and `owner`, but the separate `has` and `owner` associations between `Customer` and `Account` reduce semantic clarity. Model 2 uses clear names such as `manages`, `bank`, `account`, and `owner`, and its account ownership direction is more explicit. Although `operatesBranch` is less close to the wording “consists of,” the composition symbol still clearly represents the required bank-branch whole-part relationship.
Total: Model 1 = 27, Model 2 = 29
Choice: B
Reason:
1. Strict alignment and multiplicities: Model 2 is stronger in account ownership modeling because `Customer --&gt; "1..5" Account` and `Account --&gt; "1" Customer` consistently capture that each customer has one to five accounts and each account has one owner. Model 1 includes the required `1..5` account range, but its additional owner association makes the ownership semantics less clean.
2. Unsupported additions and clarity: Model 1 is stricter because it avoids unsupported attributes, while Model 2 adds `bankName` and `branchName`. However, these additions are minor and do not contradict the requirement.
3. Rejected or checked issues: I did not penalize Model 2 for using opposite unidirectional associations instead of a single bidirectional association, for PlantUML comments such as `'opposite bank`, for primitive type spellings like `int` and `double`, or for marking `Account` as abstract. These factors are explicitly not valid negative evidence under the scoring rules.
4. Overall judgment: Model 2 is slightly better because it represents account ownership more explicitly and consistently while still covering all required classes, attributes, multiplicities, composition, and inheritance. Model 1 is cleaner in avoiding extra attributes, but its duplicated Customer-Account relationships make the ownership semantics weaker. Therefore, the final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</si>
  <si>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</si>
  <si>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essential domain classes required by the prompt: Bank, Branch, Customer, Account, CurrentAccount, and SavingsAccount.
2. Associations/Multiplicities between classes for domain reasoning: Model 1 = 5, Model 2 = 3; Evidence: Model 1 correctly maps the business rules, utilizing semantically equivalent opposite unidirectional associations to establish the relationship (e.g., `Customer --&gt; "1..5" Account` and `Account --&gt; "1" Customer`). Model 2 redundantly defines two separate bidirectional associations between Customer and Account (`Customer "1" --- "1..5" Account` and `Account "0..*" --- "1" Customer`), which introduces a conflicting multiplicity on the Account end (1..5 versus 0..*), directly contradicting the "at most five accounts" constraint.
3. Model attributes with appropriate data types: Model 1 = 5, Model 2 = 5; Evidence: Both models correctly capture all required attributes and data types (e.g., `firstName: String`, `lastName: String` in Customer; `accountNumber: int`, `balance: double` in Account; `overdraftLimit: double` in CurrentAccount). Model 1's inclusion of extra name attributes for Bank and Branch is harmless.
4. Consistencies of Terminology with given context: Model 1 = 5, Model 2 = 5; Evidence: Both models accurately use the exact terminology provided in the informal description (e.g., CurrentAccount, SavingsAccount, overdraftLimit).
5. Adherence of UML class diagram standards: Model 1 = 5, Model 2 = 5; Evidence: Both models use valid PlantUML syntax and properly represent UML notations like inheritance (`--|&gt;`) and composition (`*--`).
Total: Model 1 = 25, Model 2 = 23
Choice: A
Reason:
1. Appropriate conceptual classes aligned with the domain: Both Model 1 and Model 2 correctly extract all the conceptual entities from the text.
2. Associations/Multiplicities between classes for domain reasoning: Model 1 correctly interprets the cardinality constraints. Model 2 struggles with the Customer-Account relationship by generating two overlapping, bidirectional relationships that have contradictory multiplicities (`1..5` vs `0..*`) for the same conceptual link.
3. Model attributes with appropriate data types: Both models successfully declare all explicit attributes and their respective primitives without omissions.
4. Consistencies of Terminology with given context: Both models perfectly mirror the domain vocabulary.
5. Adherence of UML class diagram standards: Both models maintain standard, parsable PlantUML syntax.
6. Rejected or checked issues: Based on the strict evaluation guidelines, I did not penalize Model 1 for defining relationships using two opposite unidirectional associations or for utilizing end-of-line PlantUML comments (e.g., `'opposite bank`), as both are fully permitted. Additionally, Model 1 was not given bonus points for marking the `Account` class as `abstract`, since the prompt did not explicitly restrict direct instantiation.
7. Overall judgment: Model 1 provides a mathematically correct and semantically accurate translation of the domain rules, whereas Model 2 suffers from a logical contradiction in its multiplicity definitions. Therefore, Model 1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</si>
  <si>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</si>
  <si>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2. Associations/Multiplicities between classes for domain reasoning: Model 1 = 3, Model 2 = 5; Evidence: Model 1 defines two contradictory undirected associations between Customer and Account (one specifies `1..5` accounts, while the other specifies `0..*` accounts). Model 2 correctly defines consistent multiplicities using valid opposite unidirectional associations (`1` Customer to `1..5` Accounts).
3. Model attributes with appropriate data types: Model 1 = 5, Model 2 = 5; Evidence: Both correctly include firstName and lastName (String), accountNumber (int), balance (double), and overdraftLimit (double). Model 2 includes extra harmless identifiers (bankName, branchName).
4. Consistencies of Terminology with given context: Model 1 = 5, Model 2 = 5; Evidence: Both models use terminology perfectly matching the requirements (e.g., CurrentAccount, SavingsAccount, overdraftLimit).
5. Adherence of UML class diagram standards: Model 1 = 5, Model 2 = 5; Evidence: Both use valid PlantUML notation and UML standards.
Total: Model 1 = 23, Model 2 = 25
Choice: B
Reason:
1. Appropriate conceptual classes aligned with the domain: Both models identify the exact same domain classes perfectly.
2. Associations/Multiplicities between classes for domain reasoning: Model 1 is penalized for having two contradictory undirected associations between Customer and Account (specifying both `1..5` and `0..*` for the number of accounts a customer can have). Model 2 avoids this conflict and correctly models the `1` to `1..5` multiplicity using semantically equivalent opposite unidirectional associations.
3. Model attributes with appropriate data types: Both models correctly represent all requested attributes with their appropriate data types.
4. Consistencies of Terminology with given context: Both models are perfectly consistent with the given domain vocabulary.
5. Adherence of UML class diagram standards: Both models are syntactically valid and easy to comprehend.
6. Rejected or checked issues: Model 2's use of opposite unidirectional associations (e.g., `Customer --&gt; Account` and `Account --&gt; Customer`), single-quote inline comments, and the `abstract` modifier for the Account class are all explicitly protected by the negative constraint rules and were not penalized. The visibility markers (`-`) in Model 1 and their absence in Model 2 were also ignored as presentation-only differences.
7. Overall judgment: Model 2 is superior because it accurately and consistently defines the required multiplicities, whereas Model 1 introduces a direct semantic contradiction in its multiplicities for the Customer-Account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</si>
  <si>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</si>
  <si>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effectively identify the necessary conceptual entities (`Bank`, `Branch`, `Customer`, `Account`, `CurrentAccount`, `SavingsAccount`), ensuring that attributes (e.g., `firstName`, `lastName`, `balance`) and relationships are properly encapsulated in their respective classes, resulting in high cohesion and low coupling.
2. Complexity: Model 1 = 5, Model 2 = 4; Evidence: Both models maintain a balanced number of classes and an appropriate, shallow inheritance tree. Model 1 adds `bankName` and `branchName` which are natural conceptual additions that do not overcomplicate the model. Model 2 includes duplicate bidirectional association lines between `Customer` and `Account` (`Customer "1" --- "1..5" Account` and `Account "0..*" --- "1" Customer`), introducing unnecessary structural complexity to the diagram.
3. Practicability: Model 1 = 5, Model 2 = 3; Evidence: Model 1 accurately captures the business rules, mapping the 1..5 accounts rule and 1 owner rule precisely. Model 2 creates ambiguity and contradicts the requirements by defining two conflicting bidirectional lines for the `Customer`-`Account` relationship: one restricts accounts to `"1..5"`, while the other contradicts this with `"0..*"`. This makes Model 2 less viable for real-world implementation and testing.
Total: Model 1 = 15, Model 2 = 12
Choice: A
Reason:
1. Cohesion and Decoupling: Both models perform well, accurately separating responsibilities into the appropriate conceptual classes and demonstrating clear modularity.
2. Complexity: Model 1 keeps the relationship structure clear and logical. Model 2 introduces unnecessary complexity by defining the same Customer-Account relationship twice with redundant bidirectional lines.
3. Practicability: Model 1 perfectly translates the requirement that a customer has 1 to 5 accounts, while each account belongs to exactly 1 customer. Model 2 contains a significant flaw where it defines conflicting multiplicities for the exact same relationship (`1..5` vs `0..*`), which directly violates the stated business rule and severely limits its practicability.
4. Rejected or checked issues: Following the strict evaluation guidelines, Model 1's use of opposite unidirectional associations (e.g., `Customer --&gt; "1..5" Account` and `Account --&gt; "1" Customer`) was treated as entirely equivalent to a single bidirectional line and was not penalized. Model 1's use of single-quote PlantUML comments (e.g., `'opposite owner`) was safely ignored as tooling annotations. Furthermore, the fact that Model 1 marked `Account` as `abstract` was neither rewarded nor penalized, as the requirements did not explicitly state whether direct instances are allowed. 
5. Overall judgment: Model 1 is the better response because it correctly models the required multiplicities without ambiguity or contradictions, providing a highly practical, readable, and accurate UML class diagram. Model 2 fails to consistently enforce the "at most five accounts" rule due to its conflicting association statements.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</si>
  <si>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</si>
  <si>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identify the same 6 highly cohesive conceptual classes (Bank, Branch, Customer, Account, CurrentAccount, SavingsAccount) and effectively decouple the specific account variants from the Customer using the base Account class.
2. Complexity: Model 1 = 5, Model 2 = 5; Evidence: Both models maintain a balanced complexity suitable for the requirement, featuring exactly 6 classes, no methods, and a shallow inheritance tree (depth of 1). Model 2's inclusion of basic name attributes does not negatively impact the complexity metrics.
3. Practicability: Model 1 = 4, Model 2 = 5; Evidence: Model 1 introduces a semantic contradiction in its associations between Customer and Account, defining the multiplicity as "1..5" in one line (`Customer "1" --- "1..5" Account`) and "0..*" in another (`Account "0..*" --- "1" Customer`). Model 2 is more practical as it avoids this contradiction by using directed associations with precise target multiplicities (`1..5` and `1`). Furthermore, Model 2 avoids completely empty classes by including practical basic attributes (`bankName`, `branchName`) for Bank and Branch.
Total: Model 1 = 14, Model 2 = 15
Choice: B
Reason:
1. Cohesion and Decoupling: Both models perform perfectly on this criterion, correctly separating responsibilities into distinct classes and establishing logical structural relationships.
2. Complexity: Both models are well-calibrated to the informal description. They avoid over-engineering, maintaining a low total number of classes and a minimal inheritance depth.
3. Practicability: Model 2 provides a more readable and implementation-ready design. Model 1 creates ambiguity for developers and testing by presenting conflicting multiplicities ("1..5" vs "0..*") for the same conceptual relationship between Customer and Account. Model 2 resolves this cleanly and accurately. 
4. Rejected or checked issues: In strict adherence to the evaluation guidelines, Model 2 was not penalized for utilizing opposite unidirectional associations (e.g., `Customer --&gt; Account` and `Account --&gt; Customer`) instead of a single bidirectional line, nor for including single-quote comments (`'opposite owner`). Additionally, Model 2 was not explicitly rewarded for marking the `Account` class as `abstract`, as the prompt does not dictate whether direct instances of the base class are allowed.
5. Overall judgment: Model 2 is the superior diagram because it accurately captures the required multiplicity constraints without contradictions and provides a slightly more complete structure by avoiding empty classes, making it highly viable for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</si>
  <si>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</si>
  <si>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Both models correctly identify all classes (Bank, Branch, Customer, Account, CurrentAccount, SavingsAccount) and their required attributes. Model 1 captures the relationship between Customer and Account with a single, accurate association (`Customer "1" -- "1..5" Account : owns`). Model 2, however, models this conceptual relationship twice with contradicting multiplicities: it includes both `Customer "1" --- "1..5" Account : has` and `Account "0..*" --- "1" Customer : owner`. The `0..*` cardinality directly contradicts the explicit requirement that a customer has at least one and at most five accounts.
Total: Model 1 = 5, Model 2 = 3
Choice: A
Reason:
1. Alignment with requirements: Model 1 flawlessly translates the textual requirements into a concise and accurate UML representation, capturing all attributes, inheritance links, and cardinalities correctly. Model 2 captures the right classes and attributes but introduces a severe contradiction by defining two separate associations between `Customer` and `Account` with conflicting cardinalities (`1..5` vs `0..*`), violating the specific constraint that a customer can only have between one and five accounts.
2. Rejected or checked issues: Based on the strict evaluation guidelines, no penalty or reward was given to Model 1 for explicitly marking the `Account` class as `abstract`, since the requirements did not explicitly state whether direct instances are allowed. Similarly, Model 2's use of composition (`*--`) instead of a standard association for "consists of" was not penalized, as it is a valid semantic interpretation. The decision is driven entirely by the multiplicity contradiction.
3. Overall judgment: Model 1 is better because it avoids contradictory associations and strictly adheres to the provided multiplicities and constraints, whereas Model 2 provides conflicting cardinalities for the Customer-Account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</si>
  <si>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</si>
  <si>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includes two associations between `Customer` and `Account` (`Customer "1" --- "1..5" Account` and `Account "0..*" --- "1" Customer`), where the `0..*` multiplicity contradicts the explicit "at least one and at most five accounts" constraint. Model 2 correctly models this relationship with a single association `Customer "1" -- "1..5" Account`. Both models correctly capture all required classes, attributes, and inheritances.
Total: Model 1 = 4, Model 2 = 5
Choice: B
Reason:
1. Alignment with requirements: Both models correctly define the required classes, attributes, and inheritance relationships. However, Model 1 models the ownership relationship between `Customer` and `Account` using two separate associations and introduces a `0..*` multiplicity on the `Account` side, which directly contradicts the strict "at least one and at most five accounts" requirement. Model 2 accurately captures the relationship and cardinalities in a single `1..5` association.
2. Rejected or checked issues: Model 2 defines the `Account` class as `abstract`. Following the forbidden penalties regarding "Optional Abstractness", this was neither rewarded nor penalized. Additionally, Model 1's use of composition (`*--`) for branches is semantically valid for "consists of", but this presentation detail does not outweigh the cardinalities contradiction.
3. Overall judgment: Model 2 provides a more accurate representation of the domain requirements by strictly adhering to the specified multiplicities, making it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</si>
  <si>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</si>
  <si>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domain concepts as classes (Bank, Branch, Customer, Account, CurrentAccount, SavingsAccount).
2. Associations/Multiplicities between classes for domain reasoning: Model 1 = 5, Model 2 = 4; Evidence: Model 1 accurately captures all relationships with correct multiplicities (e.g., `Customer "1" -- "1..5" Account`). Model 2 correctly identifies the relationships but redundantly models the Customer-Account relationship with two separate lines (`Customer "1" --- "1..5" Account` and `Account "0..*" --- "1" Customer`). This introduces a contradiction in the multiplicity for the Account end (`1..5` vs `0..*`), violating the specific constraint that a customer has at least one and at most five accounts.
3. Model attributes with appropriate data types: Model 1 = 5, Model 2 = 5; Evidence: Both models correctly place `firstName: String` and `lastName: String` in Customer, `accountNumber: int` and `balance: double` in Account, and `overdraftLimit: double` in CurrentAccount.
4. Consistencies of Terminology with given context: Model 1 = 5, Model 2 = 5; Evidence: Both models use terminology entirely consistent with the provided text (e.g., manages, consists of, owner, overdraftLimit).
5. Adherence of UML class diagram standards: Model 1 = 5, Model 2 = 5; Evidence: Both models use valid PlantUML syntax and standard UML notations. Model 1 correctly designates `Account` as an abstract class, and Model 2 correctly applies visibility markers, both of which are standard practices.
Total: Model 1 = 25, Model 2 = 24
Choice: A
Reason:
1. Appropriate conceptual classes aligned with the domain: Both models are flawless in identifying the necessary classes for the domain.
2. Associations/Multiplicities between classes for domain reasoning: Model 1 efficiently captures the Customer-Account relationship in a single association, enforcing the correct `1..5` multiplicity. Model 2 creates two separate associations for the exact same semantic relationship, which leads to conflicting multiplicities (`1..5` vs `0..*`) and slightly compromises the domain logic.
3. Model attributes with appropriate data types: Both models are perfectly aligned with the requirements regarding attributes and their respective data types.
4. Consistencies of Terminology with given context: Both models faithfully adapt the wording from the prompt.
5. Adherence of UML class diagram standards: Both models follow proper PlantUML formatting without structural errors.
6. Rejected or checked issues: I checked the forbidden penalty regarding association styles. The guidelines state that opposite-direction associations should be treated as equivalent to a single line *unless* multiplicities contradict. Because Model 2's two lines introduce a direct contradiction in multiplicity (`1..5` vs `0..*`), the penalty is strictly based on domain accuracy, not stylistic preference. Furthermore, Model 2's use of composition (`*--`) for Branches is a perfectly valid interpretation of "consists of" and was not penalized.
7. Overall judgment: Model 1 is the better response because it avoids the redundant and contradictory multiplicity definitions found in Model 2, ensuring that the strict business constraint (1 to 5 accounts) is modeled accurately and unambiguously.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</si>
  <si>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</si>
  <si>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Model 2 optionally makes Account abstract, which is good practice, but both models capture the core domain concepts perfectly.
2. Associations/Multiplicities between classes for domain reasoning: Model 1 = 3, Model 2 = 5; Evidence: Model 2 correctly captures the relationship between Customer and Account in a single association (`Customer "1" -- "1..5" Account : owns`), representing exactly 1 owner per account and 1 to 5 accounts per customer. Model 1 splits this into two parallel associations (`Customer "1" --- "1..5" Account` and `Account "0..*" --- "1" Customer`), which introduces redundancy and conflicting multiplicities (a customer having 1..5 accounts in one association and 0..* in the other). Both models handle Bank/Customer and Bank/Branch relationships well.
3. Model attributes with appropriate data types: Model 1 = 5, Model 2 = 5; Evidence: Both models correctly define `firstName` (String) and `lastName` (String) in Customer, `accountNumber` (int) and `balance` (double) in Account, and `overdraftLimit` (double) in CurrentAccount.
4. Consistencies of Terminology with given context: Model 1 = 5, Model 2 = 5; Evidence: Both models use terminology derived directly from the text description (e.g., "manages", "consists of", "has", "owns").
5. Adherence of UML class diagram standards: Model 1 = 5, Model 2 = 5; Evidence: Both models use fully valid PlantUML syntax. Model 1 uses visibility markers (`-`) and composition (`*--`), while Model 2 uses abstract classes; both approaches comply with standard UML conventions.
Total: Model 1 = 23, Model 2 = 25
Choice: B
Reason:
1. Associations/Multiplicities between classes for domain reasoning: Model 2 is significantly better here. By defining `Customer "1" -- "1..5" Account`, it accurately and concisely models the requirement. Model 1 creates two separate associations for the same semantic link with contradictory multiplicities (1..5 vs 0..*), leading to domain confusion.
2. Conceptual classes and Attributes: Both models performed equally well, identifying all required classes, inheritance structures, and typed attributes perfectly according to the prompt.
3. Rejected or checked issues: I did not penalize Model 1 for using visibility markers (`-`) or composition (`*--`), nor did I reward Model 2 just for making the Account class abstract, as these are acceptable modeling choices that do not violate the core requirements.
4. Overall judgment: Model 2 provides a more accurate, contradiction-free representation of the domain relationships, making it the superior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</si>
  <si>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</si>
  <si>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group attributes cohesively into appropriate classes. Model 1 maintains low coupling with a single association between Customer and Account (`Customer "1" -- "1..5" Account`). Model 2 introduces redundant coupling by defining two separate associations between the same two classes (`Customer "1" --- "1..5" Account` and `Account "0..*" --- "1" Customer`).
2. Complexity: Model 1 = 5, Model 2 = 4; Evidence: Both models use 6 classes and identical inheritance trees. Model 1 correctly manages complexity by making `Account` an `abstract class`, preventing direct instantiation. Model 2 adds unnecessary structural complexity by duplicating the Customer-Account relationship with conflicting multiplicities (`1..5` vs `0..*`).
3. Practicability: Model 1 = 5, Model 2 = 3; Evidence: Model 1 is highly practical, clearly enforcing the requirement that a customer has 1 to 5 accounts. Model 2's dual associations create an unresolvable contradiction for implementation and testing: one association limits accounts to `1..5`, while the other allows `0..*`. This ambiguity significantly degrades the model's viability in a real-world scenario.
Total: Model 1 = 15, Model 2 = 11
Choice: A
Reason:
1. Cohesion and Decoupling: Both models exhibit high cohesion by assigning the correct attributes to the respective classes. However, Model 2 creates redundant associations between `Customer` and `Account`, leading to unnecessary coupling compared to Model 1's clean, single association.
2. Complexity: The baseline complexity in terms of class count and inheritance depth is identical. Model 1 handles conceptual complexity better by explicitly marking `Account` as abstract. Model 2 complicates the diagram by duplicating relationships.
3. Practicability: Model 1 is completely accurate and easy to translate into code and tests. Model 2 introduces a severe contradiction by having one relationship specify `1..5` accounts and another specify `0..*` accounts for the same Customer-Account link. This directly violates the strict `1..5` requirement and ruins testability.
4. Rejected or checked issues: The evaluation rules forbid penalizing the absence of visibility markers, so Model 2's use of private (`-`) attributes does not give it an advantage. Model 2's use of composition (`*--`) for Bank-Branch is acceptable given the "consists of" phrasing, but it does not compensate for the fatal multiplicity contradiction. 
5. Overall judgment: Model 1 is better because it accurately, clearly, and concisely maps the requirements into a valid UML class diagram. Model 2's conflicting multiplicities on duplicate associations make it logically flawed and impractical to implement.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</si>
  <si>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</si>
  <si>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map the domain concepts into dedicated classes (Bank, Branch, Customer, Account), achieving good cohesion. However, Model 1 slightly clutters the coupling structure between Customer and Account by using two separate undirected associations (`Customer "1" --- "1..5" Account : has` and `Account "0..*" --- "1" Customer : owner`) for the same conceptual link. Model 2 maintains cleaner decoupling by using a single association (`Customer "1" -- "1..5" Account : owns`).
2. Complexity: Model 1 = 4, Model 2 = 5; Evidence: Both models effectively control complexity with the same number of classes (6) and a shallow inheritance tree (depth of 1 with CurrentAccount and SavingsAccount extending Account). Model 1 introduces unnecessary structural complexity by duplicating the association edge between Customer and Account, whereas Model 2 keeps the relationship graph simple and minimal.
3. Practicability: Model 1 = 3, Model 2 = 5; Evidence: Model 1 introduces a severe practicability issue by presenting contradictory multiplicities for the Customer-Account relationship: the first association (`Customer "1" --- "1..5" Account`) correctly enforces the 1 to 5 constraint, but the second association (`Account "0..*" --- "1" Customer`) contradicts this by allowing 0 to many accounts. This contradiction would cause confusion during implementation and testing. Model 2 is highly practical and readable, cleanly enforcing the `1..5` constraint without contradictions.
Total: Model 1 = 11, Model 2 = 15
Choice: B
Reason:
1. Cohesion and Decoupling: Both models assign appropriate attributes to the corresponding classes and handle inheritance well. Model 2 presents a slightly cleaner coupling structure by avoiding duplicate relationship lines between the same two classes.
2. Complexity: Both models successfully manage conceptual complexity by translating the requirements into 6 distinct classes without over-engineering. Model 2 is slightly better as it minimizes unnecessary graphical complexity by using a single association edge for ownership.
3. Practicability: Model 1 is severely impacted by a contradiction in its business rules. By creating two separate associations with conflicting multiplicities (`1..5` vs `0..*`), it violates the explicit requirement that a customer has at most five accounts. Model 2 effectively and correctly captures all constraints with clear, single associations, making it much more reliable for real-world programming and testing.
4. Rejected or checked issues: I did not penalize Model 2 for marking `Account` as `abstract` (nor Model 1 for leaving it concrete), as the requirement does not specify whether direct instantiation of a generic account is permitted. I also did not penalize Model 1 for using composition (`*--`) for the Bank-Branch relationship, as it is a valid interpretation of "consists of". Finally, while using two opposite associations is normally a protected stylistic choice, Model 1 was penalized because its specific multiplicities (`1..5` vs `0..*`) logically contradicted each other and the text requirements.
5. Overall judgment: Model 2 is the superior response because it provides a clean, consistent, and practical UML diagram that perfectly adheres to the business rules without introducing the redundant and contradictory constraints seen in Model 1.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</si>
  <si>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</si>
  <si>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</si>
  <si>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</si>
  <si>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5; Evidence: Both models accurately capture the core domain entities (`Organizer`, `Attendee`, `Event`, `EventKind`/`EventType`, `Location`, `EventTask`, `TaskTemplate`, and `Invitation`). They both model the RSVP statuses and task statuses as enums and correctly abstract the `User` class to share common attributes like `firstName`, `lastName`, `email`, and `password`. Both distinguish between the template of a task (associated with the event kind) and the actual instantiated task for a specific event.
2. Relationships and Cardinalities: Model 1 = 5, Model 2 = 4; Evidence: Model 1 models the task assignment directly between `Attendee` and `EventTask` (`Attendee "0..*" --&gt; "0..*" EventTask : volunteersFor`), which perfectly aligns with the requirement "An attendee can then select their tasks". Model 2 models this by assigning `EventTask` to `Invitation` (`EventTask "*" -- "0..1" Invitation : assigned to &gt;`). While logically functional, Model 1's direct association to the `Attendee` is more semantically intuitive. Furthermore, Model 1 uses composition (`*--`) for `Event` to `EventTask` and `Invitation`, which correctly implies that tasks and invitations are strictly bound to the lifecycle of the event. Model 2 uses plain associations.
Total: Model 1 = 10, Model 2 = 9
Choice: A
Reason:
1. Alignment with requirements: Both models successfully identify all required functionalities, classes, and attributes without introducing hallucinations. The split between `TaskTemplate` (linked to `EventType`/`EventKind`) and `EventTask` (linked to `Event`) is beautifully executed in both diagrams to handle the reusable checklists.
2. Relationships and Cardinalities: Model 1 distinguishes itself by utilizing composition for closely bound entities (like `Event` to its `EventTask`s and `Invitation`s) and by having a more direct and intuitive association for attendees volunteering for tasks (`Attendee` to `EventTask`). Model 2 links `EventTask` to `Invitation`, which works but is slightly less direct than linking the task to the person performing it.
3. Rejected or checked issues: The use of single quotes for opposite roles in Model 1 (e.g., `'opposite eventKind`) is a PlantUML tooling annotation and was ignored per the forbidden penalties. The usage of `Date` vs `DateTime` in attributes was also treated as a minor type alias and not penalized for either model.
4. Overall judgment: Model 1 is slightly better because of its precise use of UML composition and a more domain-accurate relationship for attendees volunteering for tasks.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</si>
  <si>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</si>
  <si>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correctly extract the core entities (User, Organizer, Attendee, Event, Location, EventKind/Type, TaskTemplate, EventTask, Invitation) and their attributes. However, Model 1 accurately captures the temporal flow of invitations ("When an attendee receives the email invitation, the attendee can create an account") by placing `invitedEmail` on `Invitation` and linking it to `0..1 Attendee`. Model 2 links `Invitation` to `1 Attendee`, which implies the attendee account must exist at the time the invitation is created. Furthermore, Model 1 uses a precise many-to-one relationship for task instantiation (`EventTask "*" -- "1" TaskTemplate`), while Model 2 uses a looser many-to-many relationship (`0..*` to `0..*`). 
Total: Model 1 = 5, Model 2 = 4
Choice: A
Reason:
1. Alignment with Requirements: Model 1 demonstrates a superior understanding of the domain workflow and constraints. By assigning `invitedEmail` to the `Invitation` class with a `0..1` cardinality toward `Attendee`, it perfectly models the requirement that users are invited by email before they actually create an account. Model 2's `1` cardinality forces the attendee to exist prematurely. Additionally, Model 1's cardinality between `EventTask` and `TaskTemplate` (`*` to `1`) is logically tighter and more accurate than Model 2's `0..*` to `0..*`.
2. Rejected or checked issues: Model 2's use of single-quote comments (e.g., `'opposite eventKind`) and directional arrows (`--&gt;`) were strictly ignored as per the forbidden penalties, as they are standard tooling annotations and semantically equivalent to Model 1's bidirectional associations.
3. Overall judgment: Both models provide excellent representations of the requirements, correctly utilizing inheritance and tracking the relationships between events, locations, and tasks. However, Model 1 is chosen as the winner because its structural cardinalities and attribute placements flawlessly handle the nuanced pre-registration invitation workflow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</si>
  <si>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</si>
  <si>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the core conceptual classes such as `User`, `Organizer`, `Attendee`, `Event`, `Location`, `Invitation`, `TaskTemplate`, `EventTask`, and the necessary enumerations (`RsvpStatus`, `TaskStatus`).
2. Associations/Multiplicities between classes for domain reasoning: Model 1 = 3, Model 2 = 5; Evidence: Model 1 models the relationship between `TaskTemplate` and `EventTask` as many-to-many (`TaskTemplate "0..*" --&gt; "0..*" EventTask`), which misrepresents the domain as an event task typically instantiates exactly one template. Model 1 also requires exactly 1 Attendee per Invitation (`Invitation "*" --&gt; "1" Attendee`), which contradicts the flow where an attendee creates an account after receiving the invitation. Model 2 correctly uses a one-to-many relationship for templates (`EventTask "*" -- "1" TaskTemplate`) and allows an Invitation to exist before the Attendee account is created (`Invitation "*" -- "0..1" Attendee`).
3. Model attributes with appropriate data types: Model 1 = 4, Model 2 = 5; Evidence: Model 1 uses `Date` for `startDateTime` and `endDateTime`, which may lack time precision, whereas Model 2 uses `DateTime` which perfectly matches the "start date/time" requirement. Additionally, Model 2 includes `invitedEmail: String` in the `Invitation` class to store the email address before the `Attendee` account is created, which is a detail missing in Model 1.
4. Consistencies of Terminology with given context: Model 1 = 5, Model 2 = 5; Evidence: Both models use terminology that aligns well with the context. Model 1 uses `CONFIRMED` and Model 2 uses `ATTENDING` for the RSVP status, both of which effectively represent "will attend". Task statuses (`TO_DO`/`TODO`, `DONE`, `NOT_APPLICABLE`) also match the text perfectly in both models.
5. Adherence of UML class diagram standards: Model 1 = 5, Model 2 = 5; Evidence: Both models follow standard UML/PlantUML syntax for classes, generalization (`&lt;|--`), associations, and enumerations without syntax errors.
Total: Model 1 = 22, Model 2 = 25
Choice: B
Reason:
1. Appropriate conceptual classes aligned with the domain: Both models successfully identify all essential domain concepts, separating the template of a task from the instantiation of a task (`EventTask`), and capturing all roles.
2. Associations/Multiplicities between classes for domain reasoning: Model 2 is superior because it correctly handles the invitation lifecycle. By using `Invitation "*" -- "0..1" Attendee`, it accommodates the requirement that an attendee creates an account *after* receiving the invitation. Model 1's `Invitation "*" --&gt; "1" Attendee` forces the attendee to exist prematurely. Additionally, Model 2 correctly maps one `TaskTemplate` to many `EventTask`s, whereas Model 1 incorrectly makes this a many-to-many relationship.
3. Model attributes with appropriate data types: Model 2 uses `DateTime` for event start and end dates, which aligns perfectly with the "start date/time" requirement, compared to Model 1's `Date`. Furthermore, Model 2 smartly includes `invitedEmail` in `Invitation` to persist the invited user's email before their account is registered.
4. Consistencies of Terminology with given context: Both models accurately reflect the domain terminology with their enumeration values for RSVP and checklist task statuses.
5. Rejected or checked issues: Model 1 uses single-quote comments at the end of associations (e.g., `'opposite eventKind`); as per the guidelines, these are standard PlantUML tooling annotations and were not penalized. Both models structure `Organizer` and `Attendee` as subclasses of `User` without explicitly solving how an organizer can also attend an event (which usually requires overlapping subclasses, multi-inheritance, or role associations), but since both handled it the same way, neither was penalized comparatively.
6. Overall judgment: Model 2 provides a much more accurate representation of the domain logic, particularly regarding the delayed account creation in the invitation process and the task template instantiation multiplicities, making it the better and more practical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</si>
  <si>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</si>
  <si>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conceptual classes required by the domain, including `User`, `Organizer`, `Attendee`, `Event`, `Location`, and `Invitation`. They both smartly separate event types/kinds (`EventType`/`EventKind`) and decouple reusable task templates from event-specific tasks (`TaskTemplate` and `EventTask`).
2. Associations/Multiplicities between classes for domain reasoning: Model 1 = 5, Model 2 = 3; Evidence: Model 1 correctly defines a many-to-one relationship between `EventTask` and `TaskTemplate` (`EventTask "*" -- "1" TaskTemplate`), while Model 2 incorrectly defines it as many-to-many (`TaskTemplate "0..*" --&gt; "0..*" EventTask`), falsely implying a single event task instantiates multiple templates. Additionally, Model 1 correctly models the invitation lifecycle by allowing an invitation to exist before an account is created (`Invitation "*" -- "0..1" Attendee`), whereas Model 2 forces every invitation to already be linked to a registered account (`Invitation "*" --&gt; "1" Attendee`).
3. Model attributes with appropriate data types: Model 1 = 5, Model 2 = 4; Evidence: Model 1 includes `invitedEmail: String` in the `Invitation` class, which perfectly aligns with the requirement that organizers invite users by email before those users create an account with a password. Model 2 lacks this attribute, forcing the system to prematurely instantiate an `Attendee` (which inherits `User` and its `password` attribute) before the actual account creation step. Both models correctly assign appropriate data types (e.g., `DateTime`/`Date`, `Boolean`) and enums to other attributes.
4. Consistencies of Terminology with given context: Model 1 = 5, Model 2 = 5; Evidence: Both models accurately adapt the terminology from the requirement. Statuses are mapped correctly to `RsvpStatus` (e.g., `ATTENDING`/`CONFIRMED`, `MAYBE`, `DECLINED`) and `TaskStatus` (`TODO`, `DONE`, `NOT_APPLICABLE`). The terms `Organizer`, `Attendee`, and `Location` are used consistently.
5. Adherence of UML class diagram standards: Model 1 = 5, Model 2 = 5; Evidence: Both models are well-formed and valid PlantUML diagrams. They correctly use inheritance (`&lt;|--`), enums, and standard association arrows. Model 2's use of single-quote comments (e.g., `'opposite template`) is a valid tooling annotation and does not violate UML standards.
Total: Model 1 = 25, Model 2 = 22
Choice: A
Reason:
1. Associations/Multiplicities between classes for domain reasoning: Model 1 is significantly better because it captures the true cardinality of template instantiation (an event task comes from exactly one template). It also correctly models the reality that an invitation does not necessarily have a registered attendee yet (`0..1`), whereas Model 2 strictly requires `1` attendee per invitation, breaking the domain logic for unregistered guests.
2. Model attributes with appropriate data types: Model 1 elegantly handles the pre-registration workflow by storing the `invitedEmail` in the `Invitation` class. Model 2 omits this, which creates a logical gap when inviting users who do not yet have an account or password.
3. Rejected or checked issues: Model 2 uses PlantUML comment annotations (`'opposite...`) and unidirectional arrows, while Model 1 uses bidirectional arrows and reading direction marks (`&gt;`). Based on the evaluation guidelines, these represent equivalent semantics or harmless tooling annotations and were not penalized. Both models appropriately separated tasks into templates and event-specific instances, which is an excellent design choice for both.
4. Overall judgment: Model 1 provides a more accurate and structurally sound representation of the business logic, specifically excelling in the lifecycle of user invitations and task template instantiations. Model 2 suffers from a logical flaw in task multiplicity and misses the nuanced state of unregistered invitees. Therefore, Model 1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</si>
  <si>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</si>
  <si>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Model 1 connects `Attendee` directly to `EventTask` (`Attendee "0..*" --&gt; "0..*" EventTask`), coupling the global user record directly to an event-specific task. Model 2 connects `EventTask` to `Invitation` (`EventTask "*" -- "0..1" Invitation`), which cohesively scopes the task assignment to the user's specific participation context within that event, improving decoupling.
2. Complexity: Model 1 = 4, Model 2 = 5; Evidence: Model 1 introduces unnecessary many-to-many complexity in template instantiation by using `TaskTemplate "0..*" --&gt; "0..*" EventTask`. Model 2 correctly simplifies this by showing each event task instantiates exactly one template (`EventTask "*" -- "1" TaskTemplate`), aligning with standard template-instance design without overcomplicating the model.
3. Practicability: Model 1 = 3, Model 2 = 5; Evidence: The requirement states an attendee can create an account *after* receiving the email invitation. Model 1's `Invitation "*" --&gt; "1" Attendee` impractically forces an `Attendee` record to exist at the time of the invitation. Model 2 solves this practically by adding `invitedEmail: String` to `Invitation` and using a `0..1` multiplicity to `Attendee` (`Invitation "*" -- "0..1" Attendee`), perfectly allowing the invitation to exist prior to account creation.
Total: Model 1 = 11, Model 2 = 15
Choice: B
Reason:
1. Cohesion and Decoupling: Model 2 exhibits better cohesion by linking event-specific task assignments (`EventTask`) to the event participation record (`Invitation`). Model 1 links tasks globally to the `Attendee`, which bypasses the event scope context.
2. Complexity: Model 2 accurately models the instantiation of tasks from templates with a simpler and more precise `*` to `1` multiplicity, whereas Model 1 uses an overly complex `0..*` to `0..*` relationship for the same concept.
3. Practicability: Model 2 significantly outperforms Model 1 by correctly supporting the required workflow where users create accounts after being invited. It achieves this via the `invitedEmail` attribute and the `0..1` multiplicity from `Invitation` to `Attendee`. Model 1 mandates an existing `Attendee` account at invitation time, which contradicts the real-world flow specified in the requirement.
4. Rejected or checked issues: Both models use subclassing for roles (`User &lt;|-- Organizer` and `User &lt;|-- Attendee`), making it awkward for an organizer to attend an event without creating a duplicate object. Since both models share this inheritance flaw, it was treated as a tie for that specific aspect. Additionally, Model 1's use of single-quote comments (e.g., `'opposite bank`) and directional associations were ignored as per the forbidden penalty rules, as they are semantically valid tooling/stylistic choices.
5. Overall judgment: Model 2 is better because its structural choices (multiplicities and attribute placements) align much more accurately with the domain constraints, especially regarding the attendee invitation and account creation workflow.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</si>
  <si>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</si>
  <si>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effectively decouples the invitation process from the user management system by keeping `invitedEmail` in the `Invitation` class and using an optional link (`0..1`) to `Attendee`. Model 2 tightly couples `Invitation` to `Attendee` by enforcing a strict `1` multiplicity (`Invitation "*" --&gt; "1" Attendee`), blurring the responsibilities of account creation and event invitations.
2. Complexity: Model 1 = 5, Model 2 = 4; Evidence: Both models extract appropriate conceptual classes and balance the inheritance tree (`User` extended by `Organizer` and `Attendee`). However, Model 2 introduces unnecessary relational complexity with a many-to-many multiplicity for template instantiation (`TaskTemplate "0..*" --&gt; "0..*" EventTask`), whereas Model 1 uses a simpler and more logically sound one-to-many design (`EventTask "*" -- "1" TaskTemplate`).
3. Practicability: Model 1 = 5, Model 2 = 3; Evidence: Model 1 handles the real-world registration workflow practically: the organizer sends an invite to an email (`invitedEmail`), and an account is created later, modeled by `Invitation`'s `0..1` association to `Attendee`. Model 2 mandates that `1` `Attendee` (which inherits the `password` attribute from `User`) exists the moment an `Invitation` is issued, contradicting the requirement that attendees create accounts after receiving the invite. Furthermore, Model 1's 1-to-many task instantiation is much easier to program and test than Model 2's impractical many-to-many template-to-task association.
Total: Model 1 = 15, Model 2 = 11
Choice: A
Reason:
1. Cohesion and Decoupling: Model 1 demonstrates superior decoupling by separating the unregistered invitation data (`invitedEmail`) from the `Attendee` user account, while Model 2 forces a tight, rigid dependency between the two concepts. Both models successfully keep tasks and task templates highly cohesive in their own classes.
2. Complexity: Both models keep the total number of classes balanced and use inheritance efficiently. However, Model 2 inflates relational complexity by defining a many-to-many relationship between `TaskTemplate` and `EventTask`, which complicates the design without providing conceptual value. Model 1 keeps this relationship as a straightforward one-to-many.
3. Practicability: Model 1 is significantly more practical because its `0..1` multiplicity from `Invitation` to `Attendee` perfectly supports the requirement's delayed account creation flow. Model 2's `1` multiplicity implies the organizer creates a full user account (with a password) for the attendee upon inviting them, which is unviable. Additionally, Model 1's assignment of `EventTask` to an `Invitation` effectively tracks task ownership in an event-specific context, while avoiding the many-to-many instantiation flaw present in Model 2.
4. Rejected or checked issues: I noticed Model 2 utilizes single-quote comments (e.g., `'opposite eventKind`) and unidirectional associations, but these are standard PlantUML syntaxes and were strictly ignored as per the forbidden penalties. Model 1's lack of first/last name attributes on the `Invitation` class before the attendee registers was noted, but it is a minor data modeling trade-off that does not outweigh Model 2's structural multiplicity violations.
5. Overall judgment: Model 1 provides a more accurate, practical, and cleanly decoupled representation of the domain requirements, particularly in how it handles the lifecycle of event invitations and task instantiations. Model 2 introduces logical flaws in its multiplicities that would make implementation difficult. Thus,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</si>
  <si>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</si>
  <si>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Modeling: Model 1 = 5, Model 2 = 3; Evidence: Model 1 perfectly separates templates from instantiated tasks (`EventKind "1" *-- "0..*" TaskTemplate` and `Event "1" *-- "0..*" EventTask`), and enforces 1 attendee per invitation (`Invitation "*" --&gt; "1" Attendee`). Model 1 omits an explicit relationship for Organizers attending events. Model 2 attempts to capture organizers attending via `Organizer "0..*" attends "0..*" Event`, but this disconnects them from the RSVP and task selection mechanics. Model 2 also uses an incorrect many-to-many multiplicity for invitations (`Attendee "0..*" receives "0..*" Invitation`) and uses invalid PlantUML syntax for its associations (e.g., `Organizer "1..*" organizes "0..*" Event` lacks a proper connector line like `--`, making it unrenderable).
Total: Model 1 = 5, Model 2 = 3
Choice: A
Reason:
1. Alignment with Requirements and Domain Modeling: Model 1 provides a highly accurate, syntactically valid domain model. It correctly represents the Type-Object pattern for tasks and enforces appropriate multiplicities, such as one attendee per individual email invitation. While it omits an explicit "attends" relationship for Organizers, its core domain logic remains cohesive. Model 2 attempts to model the Organizer's attendance, but does so in a way that bypasses the RSVP and checklist mechanics, meaning an attending organizer cannot reply or select tasks. Furthermore, Model 2 suffers from a domain inaccuracy (many-to-many invitations) and uses invalid natural language PlantUML association syntax (e.g., `organizes`, `receives`) that causes the diagram to fail to render.
2. Rejected or checked issues: Both models struggle slightly with the OOP representation of a user playing multiple roles (organizer vs. attendee) due to their use of disjoint inheritance from User/Person. I did not penalize either model heavily for this architectural limitation. I also strictly followed the negative constraints by ignoring Model 1's single-quote comments (e.g., `'opposite managedBy`), treating them as standard tooling annotations without penalty.
3. Overall judgment: Model 1 is distinctly better because it provides a logically cohesive, semantically accurate, and syntactically valid UML class diagram. Model 2's invalid syntax and domain inaccuracies make it significantly less robust.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</si>
  <si>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</si>
  <si>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UML Semantics: Model 1 = 5, Model 2 = 4; Evidence: Model 1 explicitly captures the requirement "Sometimes, an organizer also attends the event" via the `Organizer "0..*" attends "0..*" Event` association. Model 2 misses this relationship entirely, leaving no clear way for an Organizer to attend an Event. Additionally, Model 1 correctly uses `0..*` for the events an Organizer organizes, whereas Model 2 uses `1..*` (`Organizer "1..*" --&gt; "1..*" Event`), which unrealistically prevents an Organizer from existing before they create their first event. Both models accurately represent the Template/Instance pattern for Event Types and Tasks (Model 1 uses `Task` and `EventTask`, Model 2 uses `TaskTemplate` and `EventTask`).
Total: Model 1 = 5, Model 2 = 4
Choice: A
Reason:
1. Alignment with Requirements and UML Semantics: Model 1 is better because it perfectly captures all domain requirements, including the nuanced rule that organizers can also attend events, which it models with a dedicated `attends` association. Model 2 completely omits this relationship. Furthermore, Model 1's cardinalities are more realistic (an Organizer can exist with `0..*` events), whereas Model 2 forces every Organizer to manage at least one Event at all times (`1..*`).
2. Both models demonstrate excellent domain understanding by splitting tasks into a template/catalog class linked to the event kind, and an instance class linked to the specific event. They also both accurately represent the user hierarchy and invitation status enumerations.
3. Rejected or checked issues: Model 2's use of single-quote comments for role names (e.g., `'opposite eventKind`) was ignored as per the negative constraints, as it is a standard PlantUML annotation. 
4. Overall judgment: Model 1 is the winner due to its complete coverage of the requirements (specifically the organizer attending events) and its more accurate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</si>
  <si>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</si>
  <si>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the core conceptual classes required by the domain: Organizer, Attendee, Event, Location, EventKind/EventType, TaskTemplate/Task, EventTask, and Invitation. Both also effectively generalize shared attributes into User/Person superclasses.
2. Associations/Multiplicities between classes for domain reasoning: Model 1 = 4, Model 2 = 4; Evidence: Model 1 captures most relationships properly (e.g., `Invitation "*" --&gt; "1" Attendee`) but misses an explicit relationship to indicate when an Organizer attends an event ("Sometimes, an organizer also attends the event"). Model 2 identifies the Organizer attending relationship (`Organizer "0..*" attends "0..*" Event`) but incorrectly assigns a many-to-many multiplicity for invitations (`Attendee "0..*" receives "0..*" Invitation` instead of associating an invitation to a single attendee).
3. Model attributes with appropriate data types: Model 1 = 5, Model 2 = 5; Evidence: Both models identify all required attributes correctly with suitable data types (e.g., String and Date/DateTime for event times). Both properly encapsulate common properties (firstName, email, password) in the User/Person superclass and define boolean flags for tasks designated for attendees (`isAttendeeDesignated` in Model 1 vs `isForAttendees` in Model 2).
4. Consistencies of Terminology with given context: Model 1 = 4, Model 2 = 5; Evidence: Model 2 uses enum values almost identical to the requirements (e.g., `NeedsToBeDone`, `HasBeenDone`, `Attending`, `NotReplied`). Model 1 uses standard industry equivalents (`TO_DO`, `DONE`, `CONFIRMED`, `PENDING`), which are completely understandable but slightly deviate from the exact phrasing in the text.
5. Adherence of UML class diagram standards: Model 1 = 5, Model 2 = 2; Evidence: Model 1 utilizes completely valid PlantUML syntax (`&lt;|--`, `*--`, `--&gt;`) and safely uses single quotes (`'`) for inline comments. Model 2 commits severe PlantUML syntax violations in multiple associations by omitting the necessary link symbols (e.g., writing `Organizer "1..*" organizes "0..*" Event` instead of `Organizer "1..*" -- "0..*" Event : organizes`), which will result in parsing errors and render the diagram incomprehensible to tooling.
Total: Model 1 = 23, Model 2 = 21
Choice: A
Reason:
1. Appropriate conceptual classes aligned with the domain: Both models identify the complete and accurate set of domain concepts, appropriately separating Event Types from Events and Task Templates from Event Tasks.
2. Associations/Multiplicities between classes for domain reasoning: Both capture the business logic well. Model 1 is more precise with its invitation multiplicities, while Model 2 remembers to include the specific use case where organizers also act as attendees.
3. Model attributes with appropriate data types: Both models assign accurate attributes and data types corresponding strictly to the requirement.
4. Consistencies of Terminology with given context: Model 2 aligns perfectly with the requirement's verbatim phrasing for task and invitation statuses, whereas Model 1 uses standard semantic equivalents.
5. Adherence of UML class diagram standards: Model 1 strictly adheres to PlantUML syntax. Model 2's failure to use association lines (`--` or `--&gt;`) in four of its associations is a fatal syntax error in PlantUML that prevents diagram generation.
6. Rejected or checked issues: Model 1 uses single quotes at the end of association lines (e.g., `'opposite eventKind`). As per the guidelines, these are standard tooling annotations (comments) in PlantUML and are strictly ignored for scoring without penalty. 
7. Overall judgment: Model 1 is the better response. While Model 2 conforms slightly closer to the literal terminology of the prompt, Model 1 presents a structurally sound, highly accurate, and fully valid UML/PlantUML diagram. Model 2's major syntax errors in its associations severely degrade its validity and practical usability.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</si>
  <si>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</si>
  <si>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core domain concepts: Person/User, Organizer, Attendee, Event, EventType/EventKind, Location, Task/TaskTemplate, EventTask, and Invitation.
2. Associations/Multiplicities between classes for domain reasoning: Model 1 = 5, Model 2 = 4; Evidence: Model 1 explicitly models the requirement "Sometimes, an organizer also attends the event" with `Organizer "0..*" attends "0..*" Event`. Model 2 misses this relationship, and because `Organizer` and `Attendee` are disjoint siblings under `User`, an organizer cannot natively receive invitations in Model 2. Furthermore, Model 1 correctly maps one `Task` to many `EventTask`s (`EventTask -- "1" Task`), whereas Model 2 uses a many-to-many relationship `TaskTemplate "0..*" --&gt; "0..*" EventTask`, which is less precise for instantiation.
3. Model attributes with appropriate data types: Model 1 = 5, Model 2 = 5; Evidence: Both models accurately capture attributes such as first name, last name, email, password, address, phone number, start/end dates, and task/invitation statuses with appropriate types and enumerations.
4. Consistencies of Terminology with given context: Model 1 = 5, Model 2 = 5; Evidence: Both models use terminology highly consistent with the prompt. M1 uses "Task" and M2 uses "TaskTemplate" to denote the checklist template, both of which are valid interpretations.
5. Adherence of UML class diagram standards: Model 1 = 5, Model 2 = 5; Evidence: Both models provide valid PlantUML syntax with correct representations of generalization, composition, and standard associations.
Total: Model 1 = 25, Model 2 = 24
Choice: A
Reason:
1. Appropriate conceptual classes aligned with the domain: Both models successfully extract the needed conceptual classes, properly distinguishing between base tasks (templates) and event-specific tasks.
2. Associations/Multiplicities between classes for domain reasoning: Model 1 is better because it successfully captures the requirement that an organizer can also attend an event by explicitly associating `Organizer` and `Event` for attendance. Model 2 lacks this association. Additionally, Model 1 models the template-to-instance relationship for tasks more accurately (1 to many vs. many to many).
3. Model attributes with appropriate data types: Both models assign accurate attributes and data types, utilizing enums for statuses.
4. Consistencies of Terminology with given context: Both models align well with the domain terminology.
5. Adherence of UML class diagram standards: Both models follow proper PlantUML syntax.
6. Overall judgment: Model 1 is slightly superior because it fully captures the domain constraints and associations, particularly the ability for organizers to attend events, which Model 2 overlooks.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</si>
  <si>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</si>
  <si>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separate concepts into distinct classes (`Event`, `Location`, `EventTask`, `Invitation`). This provides high cohesion. Coupling is minimal and appropriate in both, connecting related entities via standard associations.
2. Complexity: Model 1 = 5, Model 2 = 5; Evidence: Both models use a similar number of classes (10 each) and a shallow inheritance tree (depth of 1 from `User`/`Person`). Attributes and methods are kept minimal and relevant, aligning perfectly with the textual requirements without introducing unnecessary classes.
3. Practicability: Model 1 = 4, Model 2 = 5; Evidence: Both models are readable and modular. However, Model 2 explicitly captures the requirement "Sometimes, an organizer also attends the event" via the `Organizer "0..*" attends "0..*" Event` association. Model 1 relies on the user being both an `Organizer` and an `Attendee` but models them as disjoint subclasses, making it slightly harder to implement an organizer attending an event without creating two separate user records. 
Total: Model 1 = 14, Model 2 = 15
Choice: B
Reason:
1. Cohesion and Decoupling: Both models demonstrate excellent separation of concerns by splitting task templates (`TaskTemplate` / `Task`) and actual event tasks (`EventTask`).
2. Complexity: The complexity levels are virtually identical. Both avoid creating unnecessary classes and use appropriate abstractions for people, events, locations, and tasks.
3. Practicability: Model 2 is slightly more practical as it includes a specific association `Organizer attends Event`, directly fulfilling the requirement that an organizer can attend an event. In Model 1, because `Organizer` and `Attendee` are separate subclasses of `User`, an organizer attending an event might require duplicate user instances or complex workarounds to link them to an `Invitation`.
4. Rejected or checked issues: I ignored the single-quote comments in Model 1 (`'opposite...`) as standard tooling annotations. The differences in association styles (unidirectional vs. standard lines) were not penalized as they are semantically equivalent.
5. Overall judgment: While both diagrams are exceptionally well-crafted, Model 2 holds a slight advantage in practicability by accurately modeling the organizer's ability to attend an event without class hierarchy conflicts. Therefore,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</si>
  <si>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</si>
  <si>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Event, Location, EventType/EventKind, and Task/TaskTemplate concepts well, maintaining high cohesion and low coupling.
2. Complexity: Model 1 = 5, Model 2 = 5; Evidence: Both models use a similar number of classes (10) and manage inheritance (Person/User -&gt; Organizer, Attendee) appropriately without overcomplicating the design.
3. Practicability: Model 1 = 5, Model 2 = 4; Evidence: Model 1 explicitly models the requirement "Sometimes, an organizer also attends the event" via the `attends` association between Organizer and Event, whereas Model 2 omits this specific explicit relationship, though both are highly readable and practical.
Total: Model 1 = 15, Model 2 = 14
Choice: A
Reason:
1. Cohesion and Decoupling: Both models demonstrate excellent separation of concerns. They appropriately decouple the task template definitions (EventType/Task or EventKind/TaskTemplate) from the specific instantiated event tasks (EventTask).
2. Complexity: Both models accurately capture the domain with an appropriate level of complexity. The depth of the inheritance tree is minimal (1 level), and unnecessary attributes are avoided.
3. Practicability: Both models are very practical and easy to translate into code. However, Model 1 slightly edges out Model 2 by explicitly including the `attends` association between `Organizer` and `Event`, directly addressing the requirement statement: "Sometimes, an organizer also attends the event." Model 2 captures the management aspect but lacks the explicit attendance aspect for organizers.
4. Overall judgment: While both diagrams provide excellent, structurally sound, and comparable solutions, Model 1 is slightly better because it captures a specific nuance from the requirements regarding organizer attendance.
attendance.
organizers attending events.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</si>
  <si>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</si>
  <si>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modeling: Model 1 = 5, Model 2 = 3; Evidence: Model 1 provides a robust domain model with valid PlantUML syntax, effectively capturing the checklist template pattern (`EventType` defines `TaskTemplate`, which `EventTask` instantiates) and correctly linking `EventTask` to `Invitation` to track which attendee claims which task for a specific event. It also includes `invitedEmail` in `Invitation` to handle the pre-account invitation state. Model 2 captures the domain concepts well (e.g., `InvitationStatus` matching the prompt exactly) but uses invalid PlantUML syntax for four key associations (e.g., `Organizer "1..*" organizes "0..*" Event` missing the `--` link), which breaks the diagram notation. Additionally, Model 2 bypasses the RSVP flow for organizers by simply adding an `attends` association directly to `Event`.
Total: Model 1 = 5, Model 2 = 3
Choice: A
Reason:
1. Alignment with requirements and domain modeling: Model 1 excels in real-world domain design by associating tasks (`EventTask`) with the attendance record (`Invitation`), rather than directly with the `Attendee`, perfectly scoping the task to the specific event attendance. It also supports the pre-registration invitation state gracefully with the `invitedEmail` attribute. Model 2 uses invalid PlantUML syntax that omits the connection lines (e.g., `Attendee "0..*" receives "0..*" Invitation`), which renders the notation invalid and unparsable by standard PlantUML tools.
2. Rejected or checked issues: Both models chose to use inheritance (`User/Person &lt;|-- Organizer`, `User/Person &lt;|-- Attendee`), which is a common but slightly inflexible way to model roles since an organizer sometimes attends events. I did not penalize either model for choosing inheritance, but Model 2's attempt to circumvent it by adding `Organizer attends Event` bypasses the RSVP/Invitation logic entirely, whereas Model 1 maintains a cleaner overall structure.
3. Overall judgment: Model 1 is noticeably better due to its flawless execution of valid PlantUML syntax and its deeper application of domain modeling best practices (such as the task template pattern and linking task assignments to the invitation context). Model 2's syntax errors and weaker association logic make it less effective.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</si>
  <si>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</si>
  <si>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accurately capture the core entities such as Event, EventType, Location, Organizer, Attendee, and the two-level task structure (Task/TaskTemplate and EventTask). However, Model 2 better handles the attendee invitation lifecycle. The requirement states that organizers invite attendees by entering their email addresses, and the attendee only creates an account later. Model 2 models this by giving `Invitation` an `invitedEmail` attribute and a `0..1` relationship to `Attendee` ("claimed by"), correctly representing the state before an account is created. Model 1 forces an `Invitation` to be linked to an `Attendee` (which inherits password from `Person`), missing the pre-account phase.
Total: Model 1 = 4, Model 2 = 5
Choice: B
Reason:
1. Alignment with requirements: Model 2 is slightly more robust in its domain modeling. Specifically, it accounts for the distinction between sending an invitation to an email address and the subsequent creation of an Attendee account. Model 2 does this by placing `invitedEmail` on the `Invitation` class and making the association to `Attendee` optional (`0..1`). Model 1 links `Invitation` directly to `Attendee`, which structurally implies the user account must exist at the time of invitation. Furthermore, Model 2's naming of `TaskTemplate` adds clarity to the relationship between the baseline tasks associated with an `EventType` and the instantiated `EventTask`s for a specific event. 
2. Rejected or checked issues: Both models correctly separate the concept of an event type's tasks from an event's specific tasks. Model 1 includes a specific "attends" relationship for the Organizer, which aligns with the requirement "Sometimes, an organizer also attends the event." Model 2 relies on the fact that an Organizer could conceptually also be invited or just omits this explicit edge case line, but Model 2's superiority in the core invitation lifecycle makes it overall better.
3. Overall judgment: Model 2 provides a more accurate representation of the system's workflow, especially regarding the invitation-to-account-creation lifecycle and clearer class naming (`TaskTemplate`),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</si>
  <si>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</si>
  <si>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core domain concepts. They both successfully recognize the need to separate reusable task templates from actual instantiated event tasks (`TaskTemplate` vs `EventTask` in Model 1; `Task` vs `EventTask` in Model 2). Both properly include `Organizer`, `Attendee`, `Event`, `EventType`, and `Location`.
2. Associations/Multiplicities between classes for domain reasoning: Model 1 = 4, Model 2 = 3; Evidence: Model 1 correctly links `Event` to `1..* Organizer` and models the RSVP process well by linking `Event` to `Invitation` and `Invitation` to `0..1 Attendee`. However, because `Invitation` is strictly linked to `Attendee`, it lacks a clear path for an `Organizer` to receive an invitation and RSVP if they also attend the event. Model 2 explicitly adds an `attends` relation from `Organizer` to `Event`, but it bypasses the `Invitation` class entirely for organizers, leaving no way to track their RSVP status. Furthermore, Model 2 restricts task selection (`selects`) strictly to `Attendee`, excluding attending organizers from selecting tasks. 
3. Model attributes with appropriate data types: Model 1 = 5, Model 2 = 4; Evidence: Both models capture the primary attributes appropriately (e.g., `startDate`/`endDate`, `occasion`, `postalAddress`). Model 1 appropriately includes `invitedEmail` within `Invitation`, seamlessly handling the requirement that attendees are invited by email *before* they create an account. Model 2's `Invitation` only has a `status`, meaning the system has nowhere to store the invitee's email before the `Attendee` (which inherits `password` from `Person`) registers an account.
4. Consistencies of Terminology with given context: Model 1 = 5, Model 2 = 5; Evidence: Both models accurately reflect the terminology from the requirements. Model 1 uses `TODO`, `DONE`, `NOT_APPLICABLE` for `TaskStatus` and `PENDING`, `ATTENDING`, `MAYBE`, `DECLINED` for `RsvpStatus`. Model 2 uses `NeedsToBeDone`, `HasBeenDone`, `NotApplicable` and `Attending`, `Maybe`, `NotAttending`. Both align excellently with the text.
5. Adherence of UML class diagram standards: Model 1 = 5, Model 2 = 2; Evidence: Model 1 perfectly adheres to PlantUML syntax, using correct association lines (`--`), inheritance (`&lt;|--`), and role labels (`: organized by &gt;`). Model 2 contains multiple severe syntax violations by omitting the line connectors for associations entirely (e.g., `Organizer "1..*" organizes "0..*" Event`, `Attendee "0..*" receives "0..*" Invitation`, `Attendee "0..*" selects "0..*" EventTask`). These lines are invalid PlantUML and would fail to render.
Total: Model 1 = 24, Model 2 = 19
Choice: A
Reason:
1. Appropriate conceptual classes aligned with the domain: Both models are excellent and successfully decompose the system into logical entities, including the crucial template-instance pattern for checklists. 
2. Associations/Multiplicities between classes for domain reasoning: Model 1 provides a more structurally sound approach by associating tasks to invitations/attendees, though both models slightly struggle with the edge case of an organizer attending the event (Model 1 lacks an explicit link for it, while Model 2 links the organizer directly to the event but bypasses the RSVP/Invitation state).
3. Model attributes with appropriate data types: Model 1 handles the invite flow better by storing the `invitedEmail` in the `Invitation` class before the user signs up. Model 2 forces the creation of a `Person` upfront but doesn't account for the missing password.
4. Consistencies of Terminology with given context: Both models use highly appropriate enumerations and attribute names drawn directly from the prompt.
5. Adherence of UML class diagram standards: Model 1 uses flawless PlantUML syntax. Model 2 introduces severe syntax errors by writing associations without line connectors (e.g., `ClassA "1" verb "2" ClassB`), rendering the diagram partially invalid and incomprehensible to UML tooling.
6. Overall judgment: Model 1 is noticeably better. It handles the domain logic and attributes more accurately (especially the pre-registration invitation flow) and provides fully valid, syntactically correct PlantUML, whereas Model 2 contains fatal syntax errors that break standard UML and PlantUML rendering.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</si>
  <si>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</si>
  <si>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core domain concepts accurately. Model 1 uses `Person`, `Task`, `EventTask`, `Invitation`. Model 2 uses `User`, `TaskTemplate`, `EventTask`, `Invitation`.
2. Associations/Multiplicities between classes for domain reasoning: Model 1 = 4, Model 2 = 5; Evidence: Model 1 represents attendee selection as `Attendee "0..*" selects "0..*" EventTask`. Model 2 handles the assignment via `EventTask "*" -- "0..1" Invitation : assigned to &gt;` which also cleanly handles the attendee lifecycle.
3. Model attributes with appropriate data types: Model 1 = 5, Model 2 = 5; Evidence: Both models capture `firstName`, `lastName`, `email`, `password` on the base user/person class. Both correctly use `DateTime` for event start and end. Both capture enumeration statuses for tasks and invitations.
4. Consistencies of Terminology with given context: Model 1 = 5, Model 2 = 5; Evidence: Model 1 uses `NotAttending` and `NotReplied`, which directly match the text ("cannot attend", "have not yet replied"). Model 2 uses `DECLINED` and `PENDING`. Both align excellently with the domain terminology.
5. Adherence of UML class diagram standards: Model 1 = 2, Model 2 = 5; Evidence: Model 1 uses severely invalid PlantUML syntax for multiple associations (e.g., `Organizer "1..*" organizes "0..*" Event` without relation lines), which would fail to render. Model 2 uses standard, well-formed PlantUML syntax (e.g., `Event "1" -- "1..*" Organizer : organized by &gt;`).
Total: Model 1 = 21, Model 2 = 25
Choice: B
Reason:
1. Appropriate conceptual classes aligned with the domain: Both models identify all necessary conceptual classes perfectly, cleanly separating the generic event type tasks (`Task` / `TaskTemplate`) from the instantiated checklist tasks (`EventTask`).
2. Associations/Multiplicities between classes for domain reasoning: Model 2 slightly edges out by having a strictly accurate structural map, while Model 1 captures the intent well despite syntactic errors.
3. Model attributes with appropriate data types: Both models do an excellent job assigning correct types and attributes to the relevant classes.
4. Consistencies of Terminology with given context: Both models faithfully use the terminology provided in the prompt.
5. Adherence of UML class diagram standards: Model 1 uses invalid PlantUML syntax for several relationships (e.g., missing the connection lines like `--`, writing `Organizer "1..*" organizes "0..*" Event`), which prevents the diagram from compiling correctly. Model 2 follows the syntax flawlessly.
6. Overall judgment: Model 2 is superior primarily due to its flawless execution of PlantUML standard syntax, whereas Model 1's syntax errors would break the renderer. Both models excel at domain abstraction and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</si>
  <si>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</si>
  <si>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decouples event-specific task assignments from the global user account by linking `EventTask` to the attendance record itself (`EventTask "*" -- "0..1" Invitation : assigned to &gt;`). It also properly scopes task definitions to the event type (`EventType "1" -- "*" TaskTemplate : defines &gt;`). Model 2 tightly couples the global user account to the event context by linking `EventTask` directly to `Attendee` (`Attendee "0..*" selects "0..*" EventTask`), and introduces a direct `attends` relation for `Organizer` that bypasses the event's invitation logic entirely.
2. Complexity: Model 1 = 5, Model 2 = 5; Evidence: Both models use a balanced number of classes (10 classes each) and keep the average number of attributes per class low. They both successfully separate the conceptual task definition (`TaskTemplate` in Model 1, `Task` in Model 2) from the instance of the task in a specific event (`EventTask`), avoiding unnecessary complexity while meeting the checklist requirements.
3. Practicability: Model 1 = 4, Model 2 = 3; Evidence: Model 1 elegantly captures the registration lifecycle where `Invitation` holds the `invitedEmail` and is later `claimed by` an `Attendee` (though it omits the first/last name prior to registration). However, Model 1 restricts `Invitation` to `Attendee`, making it difficult for an `Organizer` to attend using the same account. Model 2 attempts to solve the organizer attendance with `Organizer "0..*" attends "0..*" Event`, but this is impractical because it bypasses the `Invitation` and `EventTask` logic, meaning an attending organizer cannot have an `InvitationStatus` (RSVP) and cannot select tasks to bring. Furthermore, Model 2's `Attendee "0..*" receives "0..*" Invitation` implies the user account (which inherits a `password` from `Person`) must exist before the user even receives the invite and registers.
Total: Model 1 = 14, Model 2 = 11
Choice: A
Reason:
1. Cohesion and Decoupling: Model 1 demonstrates superior decoupling by binding `EventTask` to the `Invitation` (the specific event attendance context) rather than the global user account. Model 2's direct links (e.g., `Attendee selects EventTask` and `Organizer attends Event`) blur the lines between a user's global profile and their event-specific participation.
2. Complexity: Both models achieve an excellent balance, utilizing exactly 10 well-defined classes and standard inheritance (`User`/`Person` as the base class) without creating bloated classes or overly deep hierarchies. 
3. Practicability: Model 1 better reflects the real-world registration workflow where an invitation acts as an unregistered state before a user account with a password is created and claims it. Model 2 struggles with this timeline by having the `Attendee` (which possesses a `password`) receive the invitation directly. While Model 2 explicitly attempts to capture the "organizer also attends" requirement via a direct association to `Event`, this architectural choice is impractical as it prevents the attending organizer from using the standard RSVP status and task selection mechanisms.
4. Overall judgment: Model 1 is the better design. Its robust handling of the invitation lifecycle (`Invitation` holding the pending state and being claimed later) and its assignment of tasks to the attendance record make it highly practical and cohesive. Model 2's attempt to map edge cases (like organizers attending) inadvertently breaks the core RSVP and task selection workflows, making it a weaker domain model.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</si>
  <si>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</si>
  <si>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decouple the concept of a reusable task (`Task` / `TaskTemplate`) from an event-specific task instance (`EventTask`). Model 2 shows slightly better cohesion by linking `EventTask` to `Invitation` (which acts as the event-specific attendance record) rather than directly to the global `Attendee` class as seen in Model 1, reducing direct coupling between global users and specific event tasks.
2. Complexity: Model 1 = 4, Model 2 = 5; Evidence: Both models use an identical number of classes (10) and enums (2). Model 2's naming convention (`TaskTemplate` instead of `Task`) adds conceptual clarity without adding structural complexity, perfectly aligning with the requirement that tasks added to a checklist are available for the next event of that type.
3. Practicability: Model 1 = 4, Model 2 = 5; Evidence: Model 2 includes `invitedEmail` on the `Invitation` class and a `0..1` multiplicity to `Attendee`. This provides a highly practical mechanism to fulfill the requirement: "When an attendee receives the email invitation, the attendee can create an account (if they do not yet have an account)". Model 1 requires an `Attendee` to exist before they can receive an `Invitation`, which makes handling unregistered invitees difficult in practice.
Total: Model 1 = 12, Model 2 = 15
Choice: B
Reason:
1. Cohesion and Decoupling: Model 2 better encapsulates event-specific participation by tying `EventTask` assignments to the `Invitation` rather than the `Attendee` directly.
2. Complexity: Both models keep the total number of classes reasonable and avoid over-engineering. Model 2's use of `TaskTemplate` explicitly clarifies the difference between the reusable catalog of tasks and the instantiated `EventTask`s.
3. Practicability: Model 2 captures the pre-registration workflow flawlessly by allowing an `Invitation` to exist with just an `invitedEmail` before an `Attendee` claims it. Model 1 assumes the `Attendee` object must exist to receive the invitation, making the account creation flow harder to implement.
4. Overall judgment: Model 2 is better because it elegantly models the transition of an invitee to a registered user and uses clearer conceptual naming for task templates, making it a more practical and robust design for the described system.
 stated in the requirements.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</si>
  <si>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</si>
  <si>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</si>
  <si>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</si>
  <si>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include all required classes such as `Cruise`, `Provider`, `Guest`, `Ticket`, etc. Model 1 specifies the multiplicity for Provider to Cruise correctly as one-to-many (`Provider --&gt; "*" Cruise` and `Cruise --&gt; "1" Provider`), whereas Model 2 restricts it to one-to-one (`Cruise "1" -- "1" Provider`). Model 1 also captures "requires many employees" accurately using `1..*` (`Cruise --&gt; "1..*" Employee`), whereas Model 2 uses `*` (`Cruise "*" -- "*" Employee`). In addition, Model 1 uses the exact terminology `numberOfPassengers` for the Ship class, while Model 2 alters it to `passengerCapacity`.
Total: Model 1 = 5, Model 2 = 4
Choice: A
Reason:
1. Alignment with Requirements: Model 1 more accurately captures the cardinality of the relationships, especially the one-to-many relationship between `Provider` and `Cruise` and the `1..*` requirement for `Employee`, which aligns perfectly with "requires many employees". Model 2 incorrectly assigns a `1` to `1` multiplicity for `Cruise` and `Provider`.
2. Rejected or checked issues: I explicitly ignored Model 1's usage of split unidirectional associations (e.g., `A --&gt; B` and `B --&gt; A`) and single-quote tool comments (e.g., `'opposite`), as well as primitive type spelling variations, in accordance with the forbidden penalty rules. These are completely semantically valid. Both models missed the explicit constraint "only one ticket per cruise" for a guest, so they tied on that minor omission.
3. Overall judgment: Model 1 is the better response due to more precise modeling of cardinalities, correctly reflecting the realistic one-to-many relationships for providers, using exact attribute names, and properly encoding the minimum "many" employees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</si>
  <si>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</si>
  <si>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models the relationship between Cruise and Provider as strictly 1-to-1 (`Cruise "1" -- "1" Provider`), which unrealistically restricts a provider to organizing a single cruise, and it renames the passenger attribute to `passengerCapacity`. Model 2 correctly establishes a 1-to-many relationship (`Cruise --&gt; "1" Provider` and `Provider --&gt; "*" Cruise`), uses the exact attribute name `numberOfPassengers`, and applies a `1..*` multiplicity for employees to accurately reflect the text "requires many employees". Both models successfully capture all required classes and basic attributes.
Total: Model 1 = 4, Model 2 = 5
Choice: B
Reason:
1. Alignment with Requirements: Model 2 provides a more accurate representation of the domain and the text. Model 1 incorrectly limits the Provider and Cruise relationship to a 1-to-1 multiplicity, whereas Model 2 accurately reflects that a provider can organize multiple cruises (1-to-many). Furthermore, Model 2 uses a `1..*` multiplicity for the Employee relationship, which better captures the "requires many" requirement than Model 1's generic `*` (0..*). Finally, Model 2 strictly retains the phrasing `numberOfPassengers` for the Ship class, while Model 1 deviates slightly by using `passengerCapacity`.
2. Rejected or checked issues: Model 2 utilizes opposite unidirectional associations (e.g., `Cruise --&gt; "1" Provider` and `Provider --&gt; "*" Cruise`) along with standard PlantUML tooling comments (e.g., `'opposite cruises`). In accordance with the strict evaluation guidelines, these are fully valid and semantically equivalent to a single bidirectional association. No penalties were applied for this structural style.
3. Overall judgment: Model 2 is the better response because its multiplicities are more faithful to the business domain and requirement constraints, and it adheres more strictly to the provided attribute naming.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</si>
  <si>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</si>
  <si>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required conceptual classes including Provider, Cruise, Employee, Guest, Ship, TravelAgency, Booking, DestinationArea, Show, and Ticket.
2. Associations/Multiplicities between classes for domain reasoning: Model 1 = 5, Model 2 = 4; Evidence: Model 1 correctly models the relationship between Provider and Cruise as 1-to-many (`Cruise --&gt; "1" Provider` and `Provider --&gt; "*" Cruise`), recognizing a provider can organize multiple cruises. Model 2 restricts this to 1-to-1 (`Cruise "1" -- "1" Provider`), which is a domain reasoning error. Both models capture other core multiplicities appropriately.
3. Model attributes with appropriate data types: Model 1 = 5, Model 2 = 5; Evidence: Both models provide all stated attributes with logical data types, such as `startDate` and `endDate` (Date) for Cruise, `socialSecurityNumber` (String) for Employee, and `isVip` (boolean) / `isVIP` (Boolean) for Guest.
4. Consistencies of Terminology with given context: Model 1 = 5, Model 2 = 5; Evidence: Both models consistently apply the terminology from the requirement prompt, preserving terms like `TravelAgency`, `DestinationArea`, `seaName`, and `socialSecurityNumber`. Model 1's `numberOfPassengers` and Model 2's `passengerCapacity` both properly reflect "number of passengers".
5. Adherence of UML class diagram standards: Model 1 = 5, Model 2 = 5; Evidence: Both models use syntactically correct PlantUML. Per the instructions, Model 1's use of opposite unidirectional lines and single-quote comments are completely valid and semantically equivalent to Model 2's single bidirectional lines.
Total: Model 1 = 25, Model 2 = 24
Choice: A
Reason:
1. Appropriate conceptual classes aligned with the domain: Both models capture the complete set of required domain concepts without any missing or irrelevant classes.
2. Associations/Multiplicities between classes for domain reasoning: Model 1 demonstrates slightly better domain reasoning by accurately applying a 1-to-many multiplicity between Provider and Cruise. Model 2 incorrectly limits this to a 1-to-1 relationship, implying a provider only ever organizes a single cruise.
3. Model attributes with appropriate data types: Both models assign all required attributes logically with correct data types. 
4. Consistencies of Terminology with given context: Both models faithfully adapt terminology directly from the text snippet context.
5. Adherence of UML class diagram standards: Both models follow proper PlantUML/UML notation correctly. 
6. Rejected or checked issues: As strictly instructed by the evaluation guidelines, Model 1 was not penalized for representing associations as paired opposite unidirectional lines or for using trailing single-quote comments. These were treated as 100% semantically equivalent to standard bidirectional lines.
7. Overall judgment: While both models are high-quality and conceptually sound, Model 1 is better because it avoids Model 2's multiplicity flaw regarding the Provider-Cruise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</si>
  <si>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</si>
  <si>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identified all necessary conceptual classes derived from the requirement (Provider, Cruise, Employee, Guest, Ship, TravelAgency, Booking, DestinationArea, Show, Ticket).
2. Associations/Multiplicities between classes for domain reasoning: Model 1 = 4, Model 2 = 5; Evidence: Model 1 defines the relationship between Cruise and Provider as `Cruise "1" -- "1" Provider`, incorrectly restricting a Provider to organizing exactly one Cruise. Model 2 accurately defines this as one-to-many (`Provider --&gt; "*" Cruise` and `Cruise --&gt; "1" Provider`). Additionally, Model 2 uses `1..*` for Employee (`Cruise --&gt; "1..*" Employee`), which aligns perfectly with "requires many employees," whereas Model 1 just uses `*`.
3. Model attributes with appropriate data types: Model 1 = 5, Model 2 = 5; Evidence: Both models correctly assign attributes with logical data types. For instance, both use `Date` for `startDate`/`endDate` in Cruise. Model 1 uses `Boolean`, `Integer`, and `Duration` while Model 2 uses `boolean`, `int`, and `double`, all of which are perfectly valid.
4. Consistencies of Terminology with given context: Model 1 = 5, Model 2 = 5; Evidence: Both models use terminology highly consistent with the prompt. Model 1 names the Ship's passenger count `passengerCapacity`, and Model 2 uses `numberOfPassengers`, both being contextually accurate.
5. Adherence of UML class diagram standards: Model 1 = 5, Model 2 = 5; Evidence: Both models use valid PlantUML syntax. Model 1 uses bidirectional arrows (`--`), while Model 2 uses pairs of opposite unidirectional arrows (`--&gt;`) with single-quote comments. As per the strict guidelines, both are 100% semantically equivalent and fully compliant with UML standards.
Total: Model 1 = 24, Model 2 = 25
Choice: B
Reason:
1. Associations/Multiplicities: Model 2 provides a more robust representation of the domain relationships. By defining the Provider to Cruise relationship as one-to-many, it allows a single provider to organize multiple cruises, whereas Model 1 strictly limits a provider to a single cruise. Model 2 also correctly enforces that a cruise must have at least one employee (`1..*`).
2. Conceptual Classes &amp; Attributes: Both models performed excellently, capturing all entities like `Guest`, `Ship`, `Booking`, and `DestinationArea` along with their proper attributes.
3. Rejected or checked issues: I explicitly ignored Model 2's use of two opposite unidirectional associations and single-quote comments (e.g., `'opposite organizedBy`), as the guidelines explicitly forbid penalizing these stylistic tooling annotations and mandate treating them as semantically equivalent to bidirectional associations.
4. Overall judgment: Model 2 is slightly better due to its more accurate multiplicities in domain reasoning, making it the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</si>
  <si>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</si>
  <si>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use the same 10 highly cohesive classes (e.g., `Cruise`, `Provider`, `Guest`, `Booking`, `Ticket`) with clearly separated responsibilities and dedicated attributes (e.g., `isVip` in `Guest`, `seaName` in `DestinationArea`), ensuring robust separation of concerns and low coupling.
2. Complexity: Model 1 = 5, Model 2 = 5; Evidence: Both models employ exactly 10 classes with an average of 2-3 attributes per class and a flat inheritance tree (depth of 0). The level of detail accurately maps to the conceptual entities in the requirement without over-engineering or introducing unnecessary classes.
3. Practicability: Model 1 = 5, Model 2 = 4; Evidence: Model 1 correctly captures real-world domain multiplicities, allowing a provider to organize multiple cruises (`Provider --&gt; "*" Cruise`) and enforcing the requirement that a cruise requires employees (`Cruise --&gt; "1..*" Employee`). Model 2 imposes an impractical restriction where a provider is limited to exactly one cruise (`Cruise "1" -- "1" Provider`), and uses a slightly less precise `*` multiplicity for the employee requirement.
Total: Model 1 = 15, Model 2 = 14
Choice: A
Reason:
1. Cohesion and Decoupling: Both models perform equally well, appropriately assigning attributes and relationships among 10 distinct, logically separated classes.
2. Complexity: Both models maintain an ideal balance of complexity, mapping all required nouns to appropriate classes or attributes without deep inheritance structures.
3. Practicability: Model 1 provides a more robust and accurate representation of the domain multiplicities. Specifically, Model 1 allows a `Provider` to have a one-to-many relationship with `Cruise`, mirroring reality, whereas Model 2 incorrectly enforces a strict one-to-one constraint. Furthermore, Model 1 explicitly models the "requires many employees" constraint using `1..*`, which is more precise than Model 2's unrestricted `*`.
4. Rejected or checked issues: As per the evaluation guidelines, Model 1 was not penalized for utilizing two opposite unidirectional associations (e.g., `Cruise --&gt; "1" Provider` and `Provider --&gt; "*" Cruise`) or for the single-quote PlantUML comments (e.g., `'opposite cruises`). These stylistic choices are standard tooling annotations and are 100% semantically equivalent to Model 2's bidirectional relationships.
5. Overall judgment: Both models are structurally sound and correctly identify the required domain entities. However, Model 1 is better because its multiplicities are more precise and aligned with real-world practicability, successfully avoiding the restrictive and inaccurate `1`-to-`1` provider-cruise constraint found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</si>
  <si>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</si>
  <si>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10 conceptual classes (e.g., Provider, Cruise, Employee, Guest, Ticket) and assign attributes appropriately (e.g., Guest has `isVIP`/`isVip`, Ship has `passengerCapacity`/`numberOfPassengers`) without mixing concerns or introducing unnecessary dependencies.
2. Complexity: Model 1 = 5, Model 2 = 5; Evidence: Both models have exactly 10 classes, an inheritance depth of 0, and no methods, strictly adhering to the structural requirements of the prompt without over-engineering or creating unnecessary conceptual classes.
3. Practicability: Model 1 = 4, Model 2 = 5; Evidence: Model 1 defines the association `Cruise "1" -- "1" Provider`, which unpractically restricts a Provider to organizing exactly one Cruise. Model 2 correctly defines `Provider --&gt; "*" Cruise` and `Cruise --&gt; "1" Provider`, which reflects a more realistic business model where a provider can organize multiple cruises. Additionally, Model 2 specifies `1..*` for the Employee-Cruise association, ensuring a cruise has at least one employee.
Total: Model 1 = 14, Model 2 = 15
Choice: B
Reason:
1. Cohesion and Decoupling: Both models perform equally well by identifying the same distinct concepts (Provider, Cruise, Ticket, Booking, etc.) and placing attributes in their logical classes with high cohesion.
2. Complexity: Both models keep the complexity perfectly balanced by extracting the necessary entities from the text without adding arbitrary attributes, inheritance structures, or methods.
3. Practicability: Model 2 is more practical in its real-world domain representation. Model 1 artificially limits a Provider to exactly one Cruise (`Cruise "1" -- "1" Provider`), whereas Model 2 correctly allows a Provider to organize multiple cruises (`Provider --&gt; "*" Cruise`). Model 2 also enforces that a Cruise requires at least one Employee (`1..*`), whereas Model 1 allows zero (`*`). 
4. Rejected or checked issues: Based on the strict guidelines, Model 2's use of two opposite unidirectional associations (e.g., `A --&gt; B` and `B --&gt; A`), single-quote comments (`'opposite cruises`), and lowercase primitive types (`int`, `boolean`) were treated as semantically equivalent to Model 1's syntax and were not penalized.
5. Overall judgment: Model 2 is the better model because it provides more accurate and practical business multiplicities (especially for Provider and Employee), while both models are otherwise identical in terms of structure, complexity, and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</si>
  <si>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</si>
  <si>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2; Evidence: Both models correctly identify the required conceptual classes (Cruise, Provider, Ship, Guest, Ticket, etc.) and accurately include their expected attributes (e.g., Ship has name, numberOfDecks, length, numberOfPassengers). However, Model 1 accurately models the cardinalities based on the text. For instance, it correctly reflects "A ship can be used for different cruises" through a one-to-many relationship (`Cruise --&gt; "1" Ship` and `Ship --&gt; "*" Cruise`), whereas Model 2 incorrectly models it as one-to-one (`Cruise "1" -- "1" Ship`). Model 2 also has contradictory associations for Guests and Cruises (listing both `Cruise "1" -- "0..*" Guest` and `Guest "0..*" -- "0..*" Cruise`), incorrectly restricts DestinationArea to one Cruise (`Cruise "1" -- "1" DestinationArea`), and incorrectly defines a many-to-many relationship between Guest and Ticket (`Guest "0..*" -- "0..*" Ticket`). Model 1 handles all these multiplicities perfectly.
Total: Model 1 = 5, Model 2 = 2
Choice: A
Reason:
1. Requirement Alignment: Model 1 successfully translates the business requirements into accurate UML class representations, specifically excelling in mapping the correct cardinalities. It correctly understands that a single Ship, Provider, and DestinationArea can be associated with multiple Cruises. Model 2 fails on multiple cardinality constraints, erroneously restricting Ships and DestinationAreas to a single Cruise, establishing contradictory relationships between Cruises and Guests, and inaccurately modeling the Ticket and Guest relationship.
2. Rejected or checked issues: Model 1 uses two opposite unidirectional associations per relationship (e.g., `Cruise --&gt; "1" Provider` and `Provider --&gt; "*" Cruise`) along with single-quote comments (e.g., `'opposite cruises`). As per the general rules and forbidden penalties, these are 100% semantically equivalent to bidirectional associations and standard tooling annotations, so they were not penalized. The minor variations in primitive type naming (e.g., `boolean` vs `Boolean`) were also appropriately ignored.
3. Overall judgment: Model 1 is vastly superior because it faithfully captures the domain multiplicities and business rules outlined in the prompt. Model 2 suffers from critical cardinality errors and contradictions that would result in an invalid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</si>
  <si>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</si>
  <si>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3, Model 2 = 5; Evidence: Both models correctly identify all the necessary conceptual classes (Provider, Cruise, Employee, Guest, Ship, TravelAgency, Booking, DestinationArea, Show, Ticket) and their respective attributes. However, Model 1 has incorrect and contradictory multiplicities. It specifies `Cruise "1" -- "1" Ship`, which directly contradicts the requirement that "A ship can be used for different cruises." It also includes two conflicting associations for Guest and Cruise (`Cruise "1" -- "0..*" Guest` and `Guest "0..*" -- "0..*" Cruise`). Model 2 correctly defines Ship-to-Cruise as 1-to-many (`Ship --&gt; "*" Cruise` and `Cruise --&gt; "1" Ship`) and correctly defines Guest-to-Cruise as many-to-many, aligning perfectly with the text.
Total: Model 1 = 3, Model 2 = 5
Choice: B
Reason:
1. Alignment with requirement: Model 2 accurately models all associations and cardinalities based on the requirements, ensuring correct relationships such as multiple cruises per ship, multiple cruises per guest, and one ticket belonging to exactly one cruise. Model 1 fails on several multiplicities, making a Ship belong to only 1 Cruise and creating duplicate, conflicting associations between Guest and Cruise.
2. Rejected or checked issues: Model 2 uses two opposite unidirectional associations with single-quote PlantUML comments (e.g., `Cruise --&gt; "1" Provider: organizedBy 'opposite cruises` and `Provider --&gt; "*" Cruise: cruises 'opposite organizedBy`). According to the evaluation guidelines, this style is 100% semantically equivalent to bidirectional lines and must not be penalized.
3. Overall judgment: Model 2 is much better as it accurately and consistently translates the textual requirements into UML class semantics, avoiding the multiplicity errors and contradictions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</si>
  <si>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</si>
  <si>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conceptual classes, including Provider, Cruise, Employee, Guest, Ship, TravelAgency, Booking, DestinationArea, Show, and Ticket.
2. Associations/Multiplicities between classes for domain reasoning: Model 1 = 5, Model 2 = 2; Evidence: Model 1 correctly maps the domain relationships, such as allowing a ship to host multiple cruises (`Cruise --&gt; "1" Ship` and `Ship --&gt; "*" Cruise`) and properly defining the many-to-many relationship between Cruise and Guest. Model 2 severely restricts the domain by modeling Ship and Cruise as 1-to-1 (`Cruise "1" -- "1" Ship`), which violates the explicit requirement "A ship can be used for different cruises." Furthermore, Model 2 introduces contradictory associations between Guest and Cruise by defining both `Cruise "1" -- "0..*" Guest` and `Guest "0..*" -- "0..*" Cruise`.
3. Model attributes with appropriate data types: Model 1 = 5, Model 2 = 5; Evidence: Both models correctly assign the requested attributes to all classes (e.g., `numberOfDecks` and `length` in Ship, `isVip` / `isVIP` in Guest) and use appropriate data types (int/Integer, double/Double, boolean/Boolean).
4. Consistencies of Terminology with given context: Model 1 = 5, Model 2 = 5; Evidence: Both models faithfully use the terminology provided in the prompt, such as `DestinationArea`, `TravelAgency`, `socialSecurityNumber`, and `bookingNumber`.
5. Adherence of UML class diagram standards: Model 1 = 5, Model 2 = 5; Evidence: Both models use valid PlantUML class diagram syntax. Per the evaluation guidelines, Model 1's use of single-quote comments (e.g., `'opposite organizedBy`) is a standard tooling annotation and is appropriately ignored without penalty. 
Total: Model 1 = 25, Model 2 = 22
Choice: A
Reason:
1. Associations/Multiplicities: Model 1 correctly captures the business rules, specifically the fact that a single ship can be used for multiple cruises and that multiple guests can take multiple cruises. Model 2 fails domain reasoning by locking Ship and DestinationArea to a strictly 1-to-1 relationship with Cruise, and by providing two contradictory multiplicity statements for the Guest-Cruise association.
2. Both models perform equally well in identifying classes, attributes, terminology, and maintaining UML syntax.
3. Rejected or checked issues: Model 1 uses two opposite unidirectional arrows for each relationship (e.g., `Cruise --&gt; "1" Provider` and `Provider --&gt; "*" Cruise`) accompanied by single-quote comments. As per the strict guidelines, these are 100% semantically equivalent to a single bidirectional line and standard tooling annotations, so no penalty was applied.
4. Overall judgment: Model 1 is better because it accurately translates the domain constraints into the correct multiplicities and associations, whereas Model 2 misinterprets essential domain relationships and contains contradictory lines.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</si>
  <si>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</si>
  <si>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the necessary classes derived from the requirements, including `Provider`, `Cruise`, `Employee`, `Guest`, `Ship`, `TravelAgency`, `Booking`, `DestinationArea`, `Show`, and `Ticket`.
2. Associations/Multiplicities between classes for domain reasoning: Model 1 = 2, Model 2 = 5; Evidence: Model 1 has several critical flaws: it restricts Ship and Cruise to 1-to-1 (`Cruise "1" -- "1" Ship`), ignoring "A ship can be used for different cruises"; it completely disconnects `Booking` from `Cruise` and `Guest`; and it defines conflicting associations for Guest and Cruise (`Cruise "1" -- "0..*" Guest` alongside `Guest "0..*" -- "0..*" Cruise`). Model 2 correctly models these relationships, such as establishing 1-to-many from Ship to Cruise (`Ship --&gt; "*" Cruise`) and correctly linking `Booking` to `Cruise`, `Guest`, and `TravelAgency`.
3. Model attributes with appropriate data types: Model 1 = 5, Model 2 = 5; Evidence: Both models correctly extract all required attributes with suitable data types. Model 1 uses object wrapper types (e.g., `Integer`, `Boolean`), while Model 2 uses primitive types (e.g., `int`, `boolean`), both of which are fully appropriate.
4. Consistencies of Terminology with given context: Model 1 = 5, Model 2 = 5; Evidence: Both models consistently use the exact terminology provided in the prompt, such as `DestinationArea`, `TravelAgency`, `numberOfDecks`, and `socialSecurityNumber`.
5. Adherence of UML class diagram standards: Model 1 = 4, Model 2 = 5; Evidence: Both models use syntactically valid PlantUML. Model 1 receives a slight deduction for drawing two redundant and conflicting association lines between `Guest` and `Cruise`, which creates semantic confusion in UML. Model 2 fully adheres to standards.
Total: Model 1 = 21, Model 2 = 25
Choice: B
Reason:
1. Appropriate conceptual classes aligned with the domain: Both models are identical in class identification and score perfectly. 
2. Associations/Multiplicities between classes for domain reasoning: Model 2 is vastly superior. It captures the accurate domain logic (e.g., linking bookings to the guest and the cruise, making the ship usable for multiple cruises). Model 1 leaves key concepts disconnected (Bookings have no relationship to Cruises) and contradicts the prompt's multiplicities.
3. Rejected or checked issues: I explicitly ignored Model 2's use of two opposite unidirectional associations (e.g., `Cruise --&gt; "1" Provider` and `Provider --&gt; "*" Cruise`), single-quote comments (`'opposite...`), and primitive data types (`int`, `boolean`), as the evaluation guidelines strictly forbid penalizing these stylistic/tooling choices.
4. Overall judgment: While both models extract the classes, attributes, and terminology perfectly, a class diagram's utility heavily relies on its structural associations. Model 1 fails to logically connect core business elements like Bookings to Cruises and Guests, and misrepresents the Ship-to-Cruise multiplicity. Model 2 elegantly and accurately maps all complex domain relationships, making it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</si>
  <si>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</si>
  <si>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identify highly cohesive concepts from the requirements, separating concerns into 10 distinct classes (e.g., `Provider`, `Cruise`, `Employee`, `Guest`, `Ship`, `TravelAgency`, `Booking`, `DestinationArea`, `Show`, `Ticket`). Attributes are placed accurately (e.g., `Guest` handles `isVip`/`isVIP`, `Ship` handles `numberOfDecks` and `length`).
2. Complexity: Model 1 = 5, Model 2 = 5; Evidence: Both models maintain an appropriate level of complexity matching the requirements. They both use exactly 10 classes, avoiding unnecessary bloat (no irrelevant empty methods) and keeping a flat structure (0 depth of inheritance), which perfectly balances the conceptual model without turning simple attributes into over-engineered classes.
3. Practicability: Model 1 = 5, Model 2 = 2; Evidence: Model 1 provides a highly practical and accurate representation of the business rules. For instance, it correctly models that a ship can be used for multiple cruises (`Cruise --&gt; "1" Ship` and `Ship --&gt; "*" Cruise`). In contrast, Model 2 is impractical due to severe domain contradictions and errors: it asserts `Cruise "1" -- "1" Ship` (violating "A ship can be used for different cruises"), has duplicate and conflicting relationships for Guest/Cruise (`Cruise "1" -- "0..*" Guest` alongside `Guest "0..*" -- "0..*" Cruise`), and models tickets as belonging to multiple guests (`Guest "0..*" -- "0..*" Ticket`).
Total: Model 1 = 15, Model 2 = 12
Choice: A
Reason:
1. Cohesion and Decoupling: Both models perform equally well. They both extract the correct domain entities into focused, cohesive classes with well-decoupled attributes.
2. Complexity: Both models tie here. They both keep the abstraction level appropriate for the text, avoiding unnecessary classes or deep inheritance trees.
3. Practicability: Model 1 is vastly superior because it faithfully translates the textual constraints into valid UML multiplicities. Model 2 fails to capture several key constraints, explicitly restricting a `Ship` to a single `Cruise`, giving contradictory associations between `Guest` and `Cruise`, and defining illogical multiplicities for `Ticket`. Model 1 captures the real-world logical flow (e.g., linking `Booking` to `TravelAgency`, `Cruise`, and `Guest` logically).
4. Rejected or checked issues: I observed that Model 1 represents bidirectional relationships using two opposite unidirectional associations (e.g., `Cruise --&gt; "1" Ship` and `Ship --&gt; "*" Cruise`) and includes single-quote tooling comments (e.g., `'opposite cruisesServed`). In strict accordance with the forbidden penalties, these were treated as 100% semantically equivalent to a single bidirectional line and were not penalized. Similarly, differences in primitive type casing (`boolean` vs `Boolean`) were ignored. 
5. Overall judgment: Model 1 is much better because it accurately maps the domain's multiplicities and relationships to UML semantics, creating a clear, readable, and practical blueprint. Model 2 struggles with fundamental structural accuracy and contains conflicting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</si>
  <si>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</si>
  <si>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`Booking` directly to `Ticket` (`Booking "1" -- "1" Ticket`) without connecting it to `Guest` or `Cruise`, which disjoints the logical transaction. Model 2 models booking with high cohesion by directly associating `Booking` with the entities involved in the transaction: `Guest`, `Cruise`, and `TravelAgency` (e.g., `Booking --&gt; "1" Cruise`, `Booking --&gt; "1" Guest`), reducing inappropriate coupling between disjoint concepts.
2. Complexity: Model 1 = 5, Model 2 = 5; Evidence: Both models perfectly balance complexity by identifying exactly 10 conceptual classes (`Provider`, `Cruise`, `Employee`, `Guest`, `Ship`, `TravelAgency`, `Booking`, `DestinationArea`, `Show`, `Ticket`). Neither introduces unnecessary deep inheritance trees or turns simple attributes (like `isVIP` or `duration`) into redundant classes.
3. Practicability: Model 1 = 2, Model 2 = 5; Evidence: Model 1 contains impractical multiplicities that violate the requirements, such as `Cruise "1" -- "1" Ship` (contradicting "A ship can be used for different cruises") and `Guest "0..*" -- "0..*" Ticket` (implying a single ticket can belong to multiple guests). Model 2 accurately models the practical domain logic, ensuring valid real-world multiplicities like `Ship --&gt; "*" Cruise` and `Ticket --&gt; "1" Guest`, making it highly viable for implementation and testing.
Total: Model 1 = 10, Model 2 = 15
Choice: B
Reason:
1. Cohesion and Decoupling: Model 2 correctly defines the relationships for the transaction classes, cohesively connecting `Booking` to `TravelAgency`, `Guest`, and `Cruise`. Model 1 creates an awkward structural dependency by linking `Booking` only to `TravelAgency` and `Ticket`, leaving it detached from the actual `Cruise` and `Guest`.
2. Complexity: Both models perform equally well here, maintaining a flat, readable structure with 10 well-defined classes and properly mapping scalar attributes without over-engineering.
3. Practicability: Model 2 captures the practical realities of the domain described in the requirements. Model 1 fails significantly here by introducing invalid multiplicities (e.g., enforcing a 1-to-1 relationship between `Ship` and `Cruise` and a many-to-many relationship between `Guest` and `Ticket` which makes no sense for issued tickets).
4. Rejected or checked issues: I ignored Model 2's use of single-quote comments (e.g., `'opposite organizedBy`), lowercase primitive types (`int`, `boolean`), equivalent multiplicities (`*` instead of `0..*`), and its style of using two opposite unidirectional associations instead of a single bidirectional line. These are standard tooling annotations or semantically equivalent notations and were strictly not penalized.
5. Overall judgment: Model 2 is the clearly superior choice as it accurately interprets the business requirements, applies correct multiplicities, and establishes logical, cohesive relationships among the classes. Model 1 misinterprets core domain rules and leaves structural gaps in its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</si>
  <si>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</si>
  <si>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Both models correctly extract the main conceptual classes (Provider, Cruise, Employee, Guest, Ship, TravelAgency, Booking, DestinationArea, Show, Ticket) and their attributes. Model 1 correctly captures the multiplicity for "A ship can be used for different cruises" with `Cruise "*" -- "1" Ship`, whereas Model 2 contradicts this with `Cruise "1" -- "1" Ship`. Model 1 correctly links a ticket to one guest (`Ticket "*" -- "1" Guest`), while Model 2 incorrectly makes it many-to-many (`Guest "0..*" -- "0..*" Ticket`). Model 2 also contains redundant and conflicting associations (`Cruise "1" -- "0..*" Guest` and `Guest "0..*" -- "0..*" Cruise`) and fails to link `Booking` to `Cruise` or `Guest`. Model 1's main flaw is modeling `Cruise "1" -- "1" Provider`, which overly restricts a provider to a single cruise.
Total: Model 1 = 4, Model 2 = 2
Choice: A
Reason:
1. Alignment with Requirements: Model 1 is significantly more accurate in representing the domain constraints and cardinalities outlined in the requirement. It correctly models that a ship can participate in multiple cruises (`*` to `1`), whereas Model 2 restricts a ship to exactly one cruise (`1` to `1`). Model 1 correctly establishes that a ticket belongs to one guest, while Model 2 applies a many-to-many relationship, implying a single ticket could be shared by multiple guests. Furthermore, Model 1 properly connects bookings to cruises, which Model 2 misses completely.
2. Rejected or checked issues: Model 1's `Cruise "1" -- "1" Provider` is slightly flawed because a provider realistically organizes multiple cruises (Model 2 got this right with `1` to `0..*`), but this minor omission in Model 1 is far outweighed by Model 2's multiple severe cardinality contradictions and missing links.
3. Overall judgment: Model 1 provides a much more robust and semantically faithful representation of the text's relationships and multiplicities. Model 2 struggles with basic domain logic (e.g., locking a ship to one cruise, disjointed booking connections, and conflicting associations).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</si>
  <si>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</si>
  <si>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4; Evidence: Both models correctly identify the required conceptual classes (Cruise, Provider, Employee, Guest, Ship, TravelAgency, Booking, DestinationArea, Show, Ticket) and their attributes. However, Model 1 contains contradictory associations (defining both `Cruise "1" -- "0..*" Guest` and `Guest "0..*" -- "0..*" Cruise`), incorrect multiplicities (e.g., `Cruise "1" -- "1" Ship` violates "A ship can be used for different cruises"; `Guest "0..*" -- "0..*" Ticket` violates a ticket belonging to one person), and fails to link `Booking` to `Cruise` or `Guest`. Model 2 correctly defines the multiplicities (e.g., `Cruise "*" -- "1" Ship`, `Ticket "*" -- "1" Guest`, and `Ticket "*" -- "1" Cruise`) and properly links `Booking` to `TravelAgency`, `Cruise`, and `Guest`. Model 2's only flaw is setting `Cruise "1" -- "1" Provider` instead of many-to-one.
Total: Model 1 = 2, Model 2 = 4
Choice: B
Reason:
1. Alignment with Requirements: Model 2 is highly accurate in representing the domain's associations and cardinalities. It successfully captures that a ship can be used for many cruises (`*` to `1`), guests and cruises share a many-to-many relationship, and a ticket specifically belongs to exactly one guest and exactly one cruise (`*` to `1` for both). It also correctly associates a booking with the guest, cruise, and travel agency. Model 1, on the other hand, is riddled with relational errors: it contradicts itself by defining the Guest-Cruise relationship twice with different multiplicities, restricts Ship-Cruise to 1-to-1, defines Guest-Ticket as many-to-many, and completely misses the associations between Booking and Cruise/Guest.
2. Rejected or checked issues: I checked if the exact constraint "A guest can have any number of tickets, but only one ticket per cruise" could be natively enforced by basic UML multiplicities. While neither model explicitly adds an OCL constraint or note to enforce this complex business rule, Model 2 sets up the correct structural foundation by resolving a `Ticket` to one `Guest` and one `Cruise`. Model 1's many-to-many relationship between Guest and Ticket makes enforcing this logic impossible. I also did not penalize Model 2 for using `Duration` as a type instead of an `Integer`, as this is a valid design choice.
3. Overall judgment: Model 2 is significantly better. It closely follows the required domain logic, accurately establishes the relationships between entities, and uses correct multiplicities. Model 1 contains direct contradictions and fundamentally incorrect cardinalities that break the described business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</si>
  <si>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</si>
  <si>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core domain classes required by the prompt, including Provider, Cruise, Employee, Guest, Ship, TravelAgency, Booking, DestinationArea, Show, and Ticket.
2. Associations/Multiplicities between classes for domain reasoning: Model 1 = 4, Model 2 = 2; Evidence: Model 1 correctly maps "A ship can be used for different cruises" (`Cruise "*" -- "1" Ship`) and accurately represents the many-to-many relationship between guests and cruises (`Cruise "*" -- "*" Guest`). Model 2 contradicts the ship requirement with a restrictive 1-to-1 relation (`Cruise "1" -- "1" Ship`) and provides conflicting duplicated associations for guests (`Cruise "1" -- "0..*" Guest` on one line and `Guest "0..*" -- "0..*" Cruise` on another). Model 1 has a minor flaw by restricting a Provider to a single Cruise (`Cruise "1" -- "1" Provider`), keeping it from a perfect score.
3. Model attributes with appropriate data types: Model 1 = 5, Model 2 = 5; Evidence: Both models correctly extract the required attributes and assign reasonable data types. For example, both include `startDate: Date` and `isVIP: Boolean`. Model 1 types the show's duration as `Duration`, while Model 2 uses `Integer`; both are acceptable representations.
4. Consistencies of Terminology with given context: Model 1 = 4, Model 2 = 5; Evidence: Model 1 rephrases "number of passengers" to `passengerCapacity`, which is conceptually fine but slightly deviates from the text. Model 2 uses `numberOfPassengers`, which perfectly aligns with the provided terminology.
5. Adherence of UML class diagram standards: Model 1 = 5, Model 2 = 5; Evidence: Both models use standard and correct PlantUML syntax, generating readable, well-structured, and syntactically valid class diagrams.
Total: Model 1 = 23, Model 2 = 22
Choice: A
Reason:
1. Associations/Multiplicities: Model 1 accurately reflects the domain constraints, correctly modeling that a ship can be used for multiple cruises and a guest can take multiple cruises. Model 2 fails heavily on domain logic: it strictly restricts a ship to exactly one cruise (violating the text) and creates duplicated, contradictory relationships between Guest and Cruise.
2. Terminology: Model 2 is slightly better at preserving the exact terminology from the prompt ("number of passengers" vs. Model 1's "passengerCapacity"), but this is a very minor semantic difference.
3. Overall judgment: Model 1 is the better response. Its associations accurately capture the explicitly stated multiplicity constraints of the business logic, whereas Model 2 introduces severe relationship constraints that contradict the given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</si>
  <si>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</si>
  <si>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key domain classes required by the prompt, such as Provider, Cruise, Employee, Guest, Ship, TravelAgency, Booking, DestinationArea, Show, and Ticket.
2. Associations/Multiplicities between classes for domain reasoning: Model 1 = 2, Model 2 = 4; Evidence: Model 1 incorrectly restricts Ship to one Cruise (`Cruise "1" -- "1" Ship`) violating the rule that a ship can be used for different cruises, fails to link Booking directly to Cruise or Guest, has a many-to-many relationship for Ticket to Guest (`Guest "0..*" -- "0..*" Ticket`), and includes conflicting duplicate associations between Cruise and Guest (`Cruise "1" -- "0..*" Guest` alongside `Guest "0..*" -- "0..*" Cruise`). Model 2 correctly models Ship to Cruise (`Cruise "*" -- "1" Ship`), properly handles Guest to Cruise (`Cruise "*" -- "*" Guest`), and explicitly links Booking to Cruise, Agency, and Guest. Model 2's only notable flaw is restricting Provider to exactly one Cruise (`Cruise "1" -- "1" Provider`), which limits a Provider from organizing multiple cruises.
3. Model attributes with appropriate data types: Model 1 = 5, Model 2 = 5; Evidence: Model 1 correctly defines attributes and standard data types like `numberOfDecks: Integer` and `isVIP: Boolean`. Model 2 similarly captures all attributes accurately, effectively using types like `passengerCapacity: Integer` and `duration: Duration`.
4. Consistencies of Terminology with given context: Model 1 = 5, Model 2 = 5; Evidence: Both models strictly follow the terminology provided in the requirement, correctly using names like `DestinationArea`, `TravelAgency`, `socialSecurityNumber`, and `seaName`.
5. Adherence of UML class diagram standards: Model 1 = 3, Model 2 = 5; Evidence: While Model 1 uses valid PlantUML syntax, its duplicate associations between Guest and Cruise create semantic and visual ambiguity in the diagram. Model 2 provides a well-structured diagram with clear role labels (e.g., `: organizedBy`, `: uses`) and full adherence to UML conventions.
Total: Model 1 = 20, Model 2 = 24
Choice: B
Reason:
1. Appropriate conceptual classes aligned with the domain: Both models are equally excellent, accurately identifying all necessary domain entities.
2. Associations/Multiplicities between classes for domain reasoning: Model 2 is significantly better. It correctly implements the requirement that a ship can be used for multiple cruises, whereas Model 1 incorrectly makes this 1-to-1. Model 2 accurately links `Booking` to both `Cruise` and `Guest`, whereas Model 1 links `Booking` only to `Ticket` and `TravelAgency`. Furthermore, Model 1 contains contradictory duplicate associations between `Guest` and `Cruise`, and incorrectly gives `Ticket` a many-to-many relationship with `Guest`. 
3. Model attributes with appropriate data types: Both models assign correct types to all attributes perfectly.
4. Consistencies of Terminology with given context: Both models are fully consistent with the provided text.
5. Adherence of UML class diagram standards: Model 2 provides a much cleaner structure with helpful association role labels, while Model 1's duplicate relationships make the diagram semantically and visually flawed.
6. Overall judgment: Model 2 is far superior due to its accurate domain relationships, realistic multiplicities, and proper routing of associations (especially for Ships, Bookings, and Guests). Model 1 suffers from multiple critical association errors and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</si>
  <si>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</si>
  <si>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correctly separate domain concepts into distinct, highly cohesive classes (e.g., `TravelAgency`, `DestinationArea`, `Ship`) rather than bloating a central class. Model 1 effectively decouples the transaction by linking `Booking` to `TravelAgency`, `Cruise`, and `Guest`, whereas Model 2 links `Booking` only to `TravelAgency` and `Ticket`, creating a more tightly coupled dependency chain where finding a cruise from a booking requires traversing through a ticket.
2. Complexity: Model 1 = 5, Model 2 = 3; Evidence: Both models appropriately use 10 conceptual classes and avoid turning simple attributes (like Name or SSN) into separate classes. However, Model 2 introduces unnecessary structural complexity and ambiguity by defining two redundant and contradictory associations between `Guest` and `Cruise` (`Cruise "1" -- "0..*" Guest` and `Guest "0..*" -- "0..*" Cruise`). Model 1 maintains exactly the necessary associations without duplication.
3. Practicability: Model 1 = 4, Model 2 = 2; Evidence: Model 1 provides clear, descriptive role names on its associations (e.g., `organizedBy`, `uses`, `headsFor`), which greatly enhances readability and eases maintenance. Its multiplicities largely support real-world constraints, such as `Cruise "*" -- "1" Ship` matching the requirement that "A ship can be used for different cruises". Model 2 lacks role names and contains highly impractical multiplicities that violate requirements: `Cruise "1" -- "1" Ship` incorrectly restricts ships to a single cruise, and `Guest "0..*" -- "0..*" Ticket` implies individual tickets can be shared by multiple guests. Model 1 does have a minor flaw (`Cruise "1" -- "1" Provider` instead of allowing a provider to have multiple cruises), but remains far more practical overall.
Total: Model 1 = 14, Model 2 = 9
Choice: A
Reason:
1. Cohesion and Decoupling: Both models exhibit good cohesion by isolating discrete domain entities into their own classes. Model 1 maps the associations between transaction entities (`Booking`, `Guest`, `Cruise`) in a more balanced and logical way.
2. Complexity: Model 1 perfectly balances the complexity required by the prompt. Model 2 creates confusing and redundant complexity by defining duplicate associations between the `Guest` and `Cruise` classes.
3. Practicability: Model 1 is significantly more practical for real-world software design. It uses explicit role names to define the nature of relationships, making the diagram readable and understandable. Model 2 struggles with domain accuracy, modeling several impractical relationships (like restricting a ship to a single cruise and allowing a ticket to belong to multiple guests) that would cause failures in real-world application logic.
4. Rejected or checked issues: Model 1 uses the literal `*` while Model 2 uses `0..*`. These are semantically equivalent for multiplicities and were not used as a basis for penalizing either model. 
5. Overall judgment: Model 1 is the superior design. It offers a highly readable, accurate, and practical representation of the cruise system's structure, whereas Model 2 suffers from redundant associations and domain-breaking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</si>
  <si>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</si>
  <si>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ambiguously defines the relationship between `Cruise` and `Guest` twice (`Cruise "1" -- "0..*" Guest` and `Guest "0..*" -- "0..*" Cruise`), which reduces clarity. It also awkwardly couples `Booking` only to `Ticket` (`Booking "1" -- "1" Ticket`) and `TravelAgency`, lacking direct conceptual links from the booking to the guest or the cruise itself. Model 2 cleanly decouples these concepts, linking `Booking` directly to `TravelAgency`, `Cruise`, and `Guest` (e.g., `Booking "*" -- "1" Guest`), while keeping `Ticket` properly associated with its core dependencies (`Guest` and `Cruise`).
2. Complexity: Model 1 = 3, Model 2 = 4; Evidence: Both models use an appropriate and balanced count of 10 classes without unnecessary inheritance depth. However, Model 1 increases conceptual complexity and confusion by having contradictory associations (the dual `Guest`-`Cruise` links) and incorrectly restricting a `Ship` to a single `Cruise` (`Cruise "1" -- "1" Ship`). Model 2 manages complexity well, correctly modeling the many-to-one relationship for ships (`Cruise "*" -- "1" Ship`) and avoiding redundant association lines, though it slightly over-constrains the provider relationship (`Cruise "1" -- "1" Provider` instead of many-to-one).
3. Practicability: Model 1 = 2, Model 2 = 5; Evidence: Model 1 lacks role names on its associations, making the domain semantics harder to read. Furthermore, its 1-to-1 restriction on ships makes it impractical for real-world software design where the requirement explicitly states "A ship can be used for different cruises". Model 2 includes highly descriptive role labels (e.g., `: organizedBy`, `: books`, `: issuedTo`) and correctly reflects the business rules for ships and tickets, making it highly readable, modular, and viable for programming and testing.
Total: Model 1 = 7, Model 2 = 14
Choice: B
Reason:
1. Cohesion and Decoupling: Model 2 exhibits superior decoupling by associating `Booking` properly with the entities it affects (`TravelAgency`, `Guest`, and `Cruise`). Model 1 obscures this domain logic by linking `Booking` exclusively to `Ticket` and `TravelAgency`, forcing an unnatural traversal to find the associated cruise or guest. Model 1 also introduces ambiguity with two conflicting lines connecting `Cruise` and `Guest`.
2. Complexity: Both models keep the total number of conceptual classes at 10, preventing over-engineering. However, Model 1 adds unnecessary confusion with redundant `Guest`-`Cruise` associations and misrepresents the `Ship` multiplicity. Model 2 correctly handles the multiplicities for ships without redundant relationships, keeping the structural complexity appropriate and aligned with the requirements.
3. Practicability: Model 2 is significantly more practical due to the inclusion of explicit role labels (like `participates`, `bookedThrough`, `headsFor`), which makes the diagram highly readable for developers. It faithfully represents the business logic, including ships being reused across multiple cruises. Model 1's lack of semantic labels and its incorrect 1-to-1 ship constraint reduce its usefulness as a practical blueprint for real-world implementation.
4. Rejected or checked issues: I did not penalize either model for not employing complex Object Constraint Language (OCL) notes to strictly enforce the "only one ticket per cruise" rule, as the standard multiplicities provided in Model 2 (`Ticket "*" -- "1" Cruise` and `Ticket "*" -- "1" Guest`) are sufficient for a foundational structural design. I also ignored the minor syntax differences in multiplicity representations (`*` vs `0..*`).
5. Overall judgment: Model 2 provides a much clearer, more accurate, and highly readable UML class diagram with descriptive association roles and correct multiplicities. Model 1 suffers from redundant associations, missing direct conceptual links for bookings, and incorrect multiplicities for ship reuse, making Model 2 the definitively better choice.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</si>
  <si>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</si>
  <si>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</si>
  <si>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</si>
  <si>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Both models capture the required entities (Person, Publisher, Journal, etc.), inheritance (ScientificArticle, PeerReviewedPaper, TechnicalReport), and attributes (personID, DOI, impactFactor). However, Model 1 correctly models the employment relationship as many-to-one (`ResearchInstitution --&gt; "*" Person`), whereas Model 2 restricts an institution to a single employee with `Person "1" -- "1" Institution : worksFor`. For authorship, Model 1 correctly uses the intermediate class `Authorship` to link exactly 1 `Person` and 1 `ScientificArticle`, accurately storing the position for each author. Model 2 connects `Authorship -- "1..*" Person`, which incorrectly implies multiple authors share a single position record, violating the requirement that the "position of each author is stored".
Total: Model 1 = 5, Model 2 = 3
Choice: A
Reason:
1. Alignment with Requirements: Model 1 effectively and accurately translates the domain constraints into UML, utilizing correct multiplicities. It successfully captures the 1-to-many relationship between institutions and staff, and accurately models `Authorship` as a resolution for the many-to-many relationship between authors and articles to store individual positions. Model 2 contains significant domain multiplicity errors by limiting institutions to one person and grouping multiple persons into a single authorship/position node.
2. Rejected or checked issues: Model 1 uses paired opposite unidirectional associations (e.g., `A --&gt; B` and `B --&gt; A`) instead of a single bidirectional line. According to the strict guidelines, this is 100% semantically equivalent, so no penalty was applied to Model 1 for this stylistic choice. 
3. Overall judgment: Model 1 is significantly better because it accurately represents the domain logic and business rules (multiplicities) required by the prompt, whereas Model 2 introduces functional flaws in its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</si>
  <si>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</si>
  <si>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&amp; Domain Accuracy: Model 1 = 3, Model 2 = 5; Evidence: Model 1 defines `Person "1" -- "1" Institution`, restricting an institution to exactly one person. It also defines `Authorship -- "1..*" Person` while holding a `position : int` attribute, which incorrectly implies multiple authors share a single position instance. Model 2 correctly defines `ResearchInstitution --&gt; "*" Person` (many persons per institution) and correctly models `Authorship` by linking it to exactly `"1" Person` and `"1" ScientificArticle`, properly storing the individual position for each author. Both models correctly capture the inheritance hierarchy for `ScientificArticle` and properties like `citationCount` and `impactFactor`.
Total: Model 1 = 3, Model 2 = 5
Choice: B
Reason:
1. Requirements Alignment &amp; Domain Accuracy: Model 2 perfectly captures the required entities, attributes, and relationships with accurate multiplicities. Model 1 contains significant domain logic errors: it maps `Person` to `Institution` as 1-to-1 (implying an institution has only one scientific staff member) and connects `Authorship` to `1..*` Persons, which breaks the requirement to store "the position of each author" because multiple authors would share the same `Authorship` position. Model 2 flawlessly resolves these by using a many-to-one relationship for employees and mapping exactly one `Person` to one `ScientificArticle` per `Authorship`.
2. Rejected or checked issues: Model 2 uses two opposite unidirectional associations for its relationships (e.g., `Person --&gt; "1" ResearchInstitution` and `ResearchInstitution --&gt; "*" Person`) and includes single-quote comments (e.g., `'opposite employs`). According to the evaluation guidelines, these are 100% semantically equivalent to bidirectional associations and standard tooling annotations, so they were explicitly ignored as penalty factors. 
3. Overall judgment: Model 2 provides a highly accurate and semantically correct UML class diagram that perfectly satisfies the prompt's domain requirements and cardinalities. Model 1 fails on critical multiplicities regarding authorship positions and institution staffing,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</si>
  <si>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</si>
  <si>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core entities (`Person`, `ResearchInstitution`/`Institution`, `Publisher`, `Journal`, `ScientificArticle`, `PeerReviewedPaper`, `TechnicalReport`) and introduce an `Authorship` class to handle the associative data.
2. Associations/Multiplicities between classes for domain reasoning: Model 1 = 5, Model 2 = 3; Evidence: Model 1 correctly uses a 1-to-many relationship for institutions and employees (`ResearchInstitution --&gt; "*" Person`) and links `Authorship` to exactly one `Person` (`Authorship --&gt; "1" Person`). Model 2 incorrectly defines a 1-to-1 relationship for employment (`Person "1" -- "1" Institution`), implying an institution only employs one person, and links `Authorship` to multiple persons (`Authorship -- "1..*" Person`), meaning multiple authors would logically share a single `position` value.
3. Model attributes with appropriate data types: Model 1 = 5, Model 2 = 5; Evidence: Both models accurately capture all necessary attributes with logical data types like `personId`/`personID` (String), `citationCount` (int), `impactFactor` (double), and `position` (int).
4. Consistencies of Terminology with given context: Model 1 = 5, Model 2 = 5; Evidence: Both models utilize the exact terminology from the prompt without deviation, such as `ScientificArticle`, `PeerReviewedPaper`, `TechnicalReport`, `Publisher`, and `Journal`.
5. Adherence of UML class diagram standards: Model 1 = 5, Model 2 = 5; Evidence: Both produce valid PlantUML diagrams. Model 1's use of opposite unidirectional associations is standard and semantically equivalent to bidirectional associations, and Model 2 uses standard relationship lines.
Total: Model 1 = 25, Model 2 = 23
Choice: A
Reason:
1. Appropriate conceptual classes aligned with the domain: Both models are excellent, properly extracting all domain entities and adding an `Authorship` conceptual class to track the many-to-many relationship attributes.
2. Associations/Multiplicities between classes for domain reasoning: Model 1 accurately captures the multiplicities across the board, explicitly ensuring `Authorship` relates exactly one `Person` to one `ScientificArticle` to store individual positions. Model 2 fails on business logic by artificially restricting the institution-person relationship to 1-to-1 and linking an `Authorship` instance to `1..*` persons, which would improperly force multiple authors to share the exact same `position` attribute.
3. Model attributes with appropriate data types: Both models successfully implement the required attributes with suitable types.
4. Consistencies of Terminology with given context: Both models perfectly mirror the domain vocabulary.
5. Adherence of UML class diagram standards: Both models are syntactically sound and adhere to UML and PlantUML conventions.
6. Rejected or checked issues: Model 1 was not penalized for utilizing two opposite unidirectional associations instead of a single bidirectional line, as the guidelines explicitly state they are 100% semantically equivalent. 
7. Overall judgment: Model 1 is clearly better because it accurately models the underlying business logic and multiplicities. Model 2 introduces severe domain reasoning flaws by implying institutions only have one employee and incorrectly structuring the authorship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</si>
  <si>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</si>
  <si>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essential entities required, including Person, Institution / ResearchInstitution, ScientificArticle, PeerReviewedPaper, TechnicalReport, Publisher, Journal, and an intermediate class Authorship.
2. Associations/Multiplicities between classes for domain reasoning: Model 1 = 3, Model 2 = 5; Evidence: Model 1 incorrectly sets the `Person` to `Institution` multiplicity as "1" to "1" (`Person "1" -- "1" Institution`), implying an institution only has one person. Furthermore, Model 1 sets `Authorship` to `Person` as "1..*", which breaks the intermediate class logic (one authorship record should link exactly one person to one article to hold a unique position). Model 2 correctly models a many-to-one relationship from `Person` to `ResearchInstitution` (`ResearchInstitution --&gt; "*" Person`) and properly links `Authorship` to exactly one `Person` (`Authorship --&gt; "1" Person`) and one `ScientificArticle`.
3. Model attributes with appropriate data types: Model 1 = 5, Model 2 = 5; Evidence: Both models accurately capture all required attributes with appropriate types, such as `personId`/`personID`, `phoneNumber`, `keywords`/`researchKeywords` for Person, `doi`/`DOI` and `title` for ScientificArticle, `citationCount` for PeerReviewedPaper, and `position` for Authorship.
4. Consistencies of Terminology with given context: Model 1 = 5, Model 2 = 5; Evidence: Both models use terms closely aligned with the prompt, such as PeerReviewedPaper, TechnicalReport, Publisher, impactFactor, and DOI.
5. Adherence of UML class diagram standards: Model 1 = 5, Model 2 = 5; Evidence: Both models are well-formed and follow PlantUML syntax. Model 2's explicit bidirectional arrows are semantically correct and compliant with the guidelines.
Total: Model 1 = 23, Model 2 = 25
Choice: B
Reason:
1. Appropriate conceptual classes aligned with the domain: Both models identify all the required domain concepts perfectly, including creating an Authorship class to capture the position attribute.
2. Associations/Multiplicities between classes for domain reasoning: Model 2 is significantly better. Model 1 contains critical domain multiplicity errors: it restricts `Person` and `Institution` to a 1:1 relationship, meaning an institution can only employ one staff member. Model 1 also incorrectly maps one `Authorship` record to multiple `Person` instances ("1..*"), which invalidates the purpose of storing a single position per author per article. Model 2 flawlessly models these relationships with the correct multiplicities.
3. Model attributes with appropriate data types: Both models successfully capture all requested attributes (IDs, DOIs, impact factors, citation counts) with appropriate types (String, int, double, List/Set).
4. Consistencies of Terminology with given context: Both models faithfully use the vocabulary provided in the prompt.
5. Adherence of UML class diagram standards: Both models use correct PlantUML syntax without major errors.
6. Rejected or checked issues: Model 2 uses two opposite unidirectional associations instead of a single bidirectional line (e.g., `Person --&gt; "1" ResearchInstitution` and `ResearchInstitution --&gt; "*" Person`) and includes single-quote comments (`'opposite employs`). According to the evaluation guidelines, these are strictly forbidden penalties and are considered 100% semantically equivalent and valid, so Model 2 was correctly evaluated without penalty for this structure.
7. Overall judgment: Model 2 is superior because it accurately captures the business logic and multiplicities (especially between Person and Institution, and within the Authorship links), whereas Model 1 introduces domain-breaking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</si>
  <si>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</si>
  <si>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1's `Authorship` class achieves high cohesion by linking exactly `1` `Person` to `1` `ScientificArticle` (`Authorship --&gt; "1" Person`, `Authorship --&gt; "1" ScientificArticle`), ensuring the `position` attribute belongs to a singular author-article relationship. Model 2 connects `Authorship` to `1..* Person` (`Authorship -- "1..*" Person`), forcing multiple authors to share a single `position` value, which conflates concepts and reduces cohesion.
2. Complexity: Model 1 = 5, Model 2 = 5; Evidence: Both models feature exactly 8 classes and an inheritance depth of 1 (`ScientificArticle` acting as the abstract superclass for `PeerReviewedPaper` and `TechnicalReport`). They successfully avoid turning simple attributes (like keywords, DOIs, or names) into unnecessary classes, keeping the structural complexity perfectly balanced for the requirements.
3. Practicability: Model 1 = 5, Model 2 = 2; Evidence: Model 1 provides a practical, real-world representation where an institution can employ many people (`ResearchInstitution --&gt; "*" Person`). Model 2 is highly impractical because it explicitly restricts an institution to having exactly one person (`Person "1" -- "1" Institution : worksFor`), making the design unviable for an EU-wide cross-national research database.
Total: Model 1 = 15, Model 2 = 10
Choice: A
Reason:
1. Cohesion and Decoupling: Model 1 correctly isolates the `position` attribute to a singular person-article pair by keeping the intermediate `Authorship` class strictly 1-to-1 with both `Person` and `ScientificArticle`. Model 2 reduces class cohesion by linking `Authorship` to `1..* Person`, erroneously grouping multiple authors under a single positional record.
2. Complexity: Both models successfully manage complexity by using the same number of conceptual classes, creating a concise and shallow inheritance tree, and treating standard data points as attributes rather than separate entities.
3. Practicability: Model 1 captures realistic domain multiplicities, notably allowing an institution to employ multiple researchers and tracking distinct positions for co-authors. Model 2's 1-to-1 multiplicity between `Person` and `Institution` completely breaks real-world business constraints, making it impossible to implement the required system. 
4. Rejected or checked issues: Model 1 uses pairs of opposite unidirectional associations with single-quote PlantUML comments (e.g., `Person --&gt; "1" ResearchInstitution` and `ResearchInstitution --&gt; "*" Person : employs 'opposite worksFor`), whereas Model 2 uses single bidirectional lines. Per the strict evaluation guidelines, these styles are semantically equivalent and Model 1 was not penalized for this presentation style. 
5. Overall judgment: Model 1 is significantly better because it accurately maps the domain's real-world multiplicities and effectively implements the intermediate association class to store individual author positions. Model 2 fails on fundamental logical constraints (like the 1-to-1 institution-person relationship) and incorrectly models authorship, rendering it impractical for the requested enterprise database.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</si>
  <si>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</si>
  <si>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separate the domain into logical entities (`Person`, `Publisher`, `Journal`, etc.). However, Model 2 maintains higher cohesion in its resolution of the many-to-many relationship between authors and articles. Model 2 links `Authorship` to `"1" Person` and `"1" ScientificArticle`, ensuring the `position` attribute cohesively describes a single author-article pair. Model 1 links `Authorship` to `"1..*" Person`, grouping multiple authors into a single instance and muddling the single-responsibility focus of the `position` attribute.
2. Complexity: Model 1 = 5, Model 2 = 5; Evidence: Both models manage complexity perfectly, avoiding over-engineering while covering the requirements. Both feature exactly 8 classes and a straightforward 1-level inheritance depth (`PeerReviewedPaper` and `TechnicalReport` inheriting from `ScientificArticle`). Neither creates unnecessary classes for simple attributes, effectively using `Set&lt;String&gt;` and `List&lt;String&gt;` for keywords.
3. Practicability: Model 1 = 3, Model 2 = 5; Evidence: Model 2 is highly viable for real-world database generation, correctly modeling business multiplicities. Model 1 contains a critical practicability error by establishing `Person "1" -- "1" Institution : worksFor`, which restricts an institution to employing exactly one person. Model 2 accurately reflects reality with `Person --&gt; "1" ResearchInstitution` and `ResearchInstitution --&gt; "*" Person`. Both models correctly ensure technical reports are published by one institution and peer-reviewed papers are published in journals.
Total: Model 1 = 12, Model 2 = 15
Choice: B
Reason:
1. Cohesion and Decoupling: Model 2 correctly establishes the intermediate `Authorship` class by linking it to exactly one person and one article, maintaining strong cohesion for the `position` attribute. Model 1's approach of linking `Authorship` to `1..*` persons weakens cohesion by making it unclear how a single integer position maps to multiple authors.
2. Complexity: Both models align perfectly with the requirement's scope. They feature an identical, manageable class count (8), logical generalization structures for scientific articles, and well-distributed attributes without unnecessary noun-to-class conversions.
3. Practicability: Model 2 provides a much more robust and realistic domain map. Model 1's `1` to `1` multiplicity between `Person` and `Institution` is a fatal flaw for a cross-national research database, whereas Model 2 accurately models this as a `1` to `*` relationship.
4. Rejected or checked issues: I did not penalize Model 2 for utilizing paired unidirectional associations (e.g., `--&gt;` in both directions) or for using the `*` literal instead of `0..*`. These are strictly permitted, semantically valid UML representations and do not negatively impact the evaluation. Likewise, PlantUML single-quote comments in Model 2 were ignored as standard tooling annotations.
5. Overall judgment: Model 2 is the better response. While both models perform equally well in managing complexity, Model 2 accurately captures crucial business rules and multiplicities—specifically regarding employment and authorship—making it a practical, viable blueprint for the database, whereas Model 1's design flaws would break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</si>
  <si>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</si>
  <si>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Semantics: Model 1 = 5, Model 2 = 4; Evidence: Model 1 accurately models the cardinalities for domain relationships, such as many persons working for one institution (`ResearchInstitution --&gt; "*" Person`) and papers having potentially multiple reviewers (`PeerReviewedPaper --&gt; "*" Person` and `Person --&gt; "*" PeerReviewedPaper`). Model 2 incorrectly models the employment relationship as strictly one-to-one (`Person "1" -- "1" ResearchInstitution`) and the reviewer relationship as one-to-many (`Person "1" -- "*" PeerReviewedPaper`). Additionally, Model 1 captures the plural "keywords" requirement using `List&lt;String&gt;` for `researchKeywords`, whereas Model 2 uses a singular `String`.
Total: Model 1 = 5, Model 2 = 4
Choice: A
Reason:
1. Alignment with Requirements and Domain Semantics: Both models successfully capture the core entities, attributes, and structural hierarchies (e.g., distinguishing `PeerReviewedPaper` and `TechnicalReport` under `ScientificArticle`). However, Model 1 applies much more accurate multiplicities to its associations. In the real world and per the domain description, a research institution employs multiple scientific staff, which Model 1 correctly captures with a `*` to `1` relationship. Model 2 restricts this to `1` to `1`. Similarly, peer-reviewed papers are often reviewed by multiple people; Model 1 models this as many-to-many, whereas Model 2 forces a one-to-many cardinality. Model 1 also pays closer attention to data types, using a `List&lt;String&gt;` for the plural `researchKeywords`.
2. Rejected or checked issues: Model 1 uses paired opposite unidirectional associations (e.g., `A --&gt; B` and `B --&gt; A`) and includes single-quote comments (e.g., `'opposite worksFor`) to represent bidirectional relationships. Per the evaluation guidelines, these are standard and semantically equivalent to a single bidirectional line, so they were not penalized. 
3. Overall judgment: Model 1 is the better response because it provides highly accurate cardinalities that reflect the true domain semantics outlined in the requirement, whereas Model 2 introduces overly restrictive and incorrect multiplicities for institutions and reviewers.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</si>
  <si>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</si>
  <si>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Attributes, and Clarity: Model 1 = 5, Model 2 = 5; Evidence: Both models accurately extract the essential conceptual classes (Person, ResearchInstitution, ScientificArticle, PeerReviewedPaper, TechnicalReport, Publisher, Journal, and Authorship) and clearly name them. Both models successfully capture the required attributes (e.g., personId, DOI, impactFactor, citationCount). Model 2 maps `researchKeywords` as `List&lt;String&gt;` while Model 1 uses `String`, both of which are fully acceptable. 
2. Associations, Cardinalities, and Relationship Types: Model 1 = 3, Model 2 = 5; Evidence: Model 1 correctly uses inheritance (`ScientificArticle &lt;|-- PeerReviewedPaper`) and notably utilizes composition (`Publisher "1" *-- "*" Journal`), which elegantly addresses the requirement that journals from different publishers can share a name. However, Model 1 fails on basic domain cardinalities by assigning `Person "1" -- "1" ResearchInstitution`, strictly limiting an institution to one employee. It also limits reviewers via `Person "1" -- "*" PeerReviewedPaper`. Model 2 correctly implements inheritance and successfully captures the proper cardinalities, such as `ResearchInstitution --&gt; "*" Person : employs` (1-to-many) and `PeerReviewedPaper --&gt; "*" Person : reviewedBy` along with `Person --&gt; "*" PeerReviewedPaper : reviews` (many-to-many).
Total: Model 1 = 8, Model 2 = 10
Choice: B
Reason:
1. Conceptual Classes, Attributes, and Clarity: Both models are exceptional at mapping out the domain's entities and their attributes, intelligently using an intermediate `Authorship` class to hold the "position" attribute for authors.
2. Associations, Cardinalities, and Relationship Types: Model 2 strongly outperforms Model 1 in defining accurate real-world multiplicities. Model 1 introduces severe domain inaccuracies by restricting a ResearchInstitution to a single Person and a PeerReviewedPaper to a single reviewer. Model 2 correctly models institutions as having many persons and papers as having many reviewers. 
3. Rejected or checked issues: Model 2 heavily relies on paired opposite unidirectional associations (e.g., `Person --&gt; "1" ResearchInstitution` paired with `ResearchInstitution --&gt; "*" Person`) and PlantUML single-quote comments (e.g., `'opposite employs`). In strict adherence to the forbidden penalties, these structural choices are treated as semantically identical to standard bidirectional associations and standard annotations; they were entirely ignored for scoring purposes and resulted in zero penalties for Model 2.
4. Overall judgment: Model 2 is significantly better. While Model 1 makes a commendable choice using composition for the Publisher/Journal relationship, its critical errors regarding cardinalities (1-to-1 institution employment) break the fundamental logic of the required system. Model 2 accurately fulfills all functional requirements and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</si>
  <si>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</si>
  <si>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entities required by the prompt, including `Person`, `ResearchInstitution`, `Publisher`, `Journal`, the `ScientificArticle` hierarchy (`PeerReviewedPaper`, `TechnicalReport`), and an `Authorship` class to handle the many-to-many authorship relationship with the author's position.
2. Associations/Multiplicities between classes for domain reasoning: Model 1 = 5, Model 2 = 3; Evidence: Model 1 correctly captures the employment multiplicity as one-to-many (`ResearchInstitution --&gt; "*" Person` and `Person --&gt; "1" ResearchInstitution`) and peer review as many-to-many (`PeerReviewedPaper --&gt; "*" Person`). Model 2 incorrectly restricts the employment relationship to one-to-one (`Person "1" -- "1" ResearchInstitution`), implying an institution only has one person, and restricts peer reviews to one reviewer per paper (`Person "1" -- "*" PeerReviewedPaper`). Both correctly model the one-to-many publisher-journal and institution-technical report relationships.
3. Model attributes with appropriate data types: Model 1 = 5, Model 2 = 5; Evidence: Both models include the necessary attributes mapped to appropriate data types. For example, `personId`/`personID` (String), `citationCount` (int), and `impactFactor` (double/float). Model 1 uses `List&lt;String&gt;` for `researchKeywords`, while Model 2 uses `String`; both are acceptable representations of keywords.
4. Consistencies of Terminology with given context: Model 1 = 5, Model 2 = 5; Evidence: Both models faithfully use the terminology provided in the prompt (e.g., `TechnicalReport`, `ResearchInstitution`, `impactFactor`, `institutionCode`, `DOI`). 
5. Adherence of UML class diagram standards: Model 1 = 5, Model 2 = 5; Evidence: Both models compile correctly in PlantUML. Model 1 uses dual opposite unidirectional associations to establish bidirectional navigability, which is fully valid semantically. Model 2 uses standard bidirectional lines and composition (`*--`), which are also correct.
Total: Model 1 = 25, Model 2 = 23
Choice: A
Reason:
1. Appropriate conceptual classes aligned with the domain: Both models are equally excellent in identifying the necessary classes and employing an intermediate class (`Authorship`) to capture the author position.
2. Associations/Multiplicities between classes for domain reasoning: Model 1 is significantly better. It accurately maps institutions as employing multiple persons and papers as being reviewed by multiple reviewers. Model 2 explicitly applies a "1" to "1" multiplicity for `Person` and `ResearchInstitution`, which fails the real-world domain logic that an institution has multiple staff members. It also applies a "1" multiplicity on the reviewer side of the paper review process, artificially limiting a paper to a single reviewer.
3. Rejected or checked issues: I did not penalize Model 1 for using dual unidirectional arrows (e.g., `A --&gt; B` and `B --&gt; A`) or for utilizing single-quote comments at the ends of the lines, as these are semantically valid and explicitly protected by the evaluation guidelines. I also ignored the casing and primitive type differences (`double` vs `float`, `String` vs `List&lt;String&gt;`).
4. Overall judgment: Model 1 is the better response because its multiplicities accurately reflect the logical constraints of the domain. Model 2 contains critical multiplicity errors that would prevent an institution from having more than one employee and a peer-reviewed paper from having more than one reviewer.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</si>
  <si>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</si>
  <si>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model the required core domain classes including `Person`, `ResearchInstitution`, `ScientificArticle`, `PeerReviewedPaper`, `TechnicalReport`, `Publisher`, `Journal`, and the intermediate `Authorship` class to handle author positions.
2. Associations/Multiplicities between classes for domain reasoning: Model 1 = 2, Model 2 = 5; Evidence: Model 1 incorrectly specifies `Person "1" -- "1" ResearchInstitution`, strictly limiting an institution to having exactly one person. It also uses `Person "1" -- "*" PeerReviewedPaper : reviews`, incorrectly restricting a peer-reviewed paper to having exactly one reviewer. Model 2 correctly defines a one-to-many relationship for employment (`ResearchInstitution --&gt; "*" Person`) and a many-to-many relationship for paper reviewers (`PeerReviewedPaper --&gt; "*" Person` and `Person --&gt; "*" PeerReviewedPaper`).
3. Model attributes with appropriate data types: Model 1 = 4, Model 2 = 5; Evidence: Both models capture all required attributes and use reasonable types. However, Model 2 is slightly better as it models `researchKeywords` as a `List&lt;String&gt;`, accurately reflecting the plural nature of the requirement, whereas Model 1 uses a singular `String`.
4. Consistencies of Terminology with given context: Model 1 = 5, Model 2 = 5; Evidence: Both models use terminology exactly as provided in the context, seamlessly mapping terms like "institutionCode", "citationCount", "impactFactor", and "PeerReviewedPaper".
5. Adherence of UML class diagram standards: Model 1 = 5, Model 2 = 5; Evidence: Both models construct valid and comprehensible PlantUML syntax. Model 1 uses bidirectional lines, while Model 2 uses paired unidirectional arrows along with single-quote tooling comments, which are both semantically valid and standard per the provided guidelines.
Total: Model 1 = 21, Model 2 = 25
Choice: B
Reason:
1. Appropriate conceptual classes aligned with the domain: Both models do an excellent job abstracting the entities, identifying the generalization hierarchy for articles, and properly extracting `Authorship` as a standalone class to store the position attribute.
2. Associations/Multiplicities between classes for domain reasoning: Model 2 successfully translates all domain rules into accurate multiplicities. Model 1 fails significantly here by forcing a "1-to-1" relationship between persons and institutions, and failing to allow multiple reviewers for a peer-reviewed paper.
3. Model attributes with appropriate data types: Model 2 provides a more robust representation of the `researchKeywords` attribute by utilizing a collection type (`List&lt;String&gt;`), aligning better with the domain than Model 1's flat `String`.
4. Consistencies of Terminology with given context: Both models strictly follow the naming conventions and vocabulary established in the prompt.
5. Adherence of UML class diagram standards: Both models are structurally sound. Model 2's specific choice of representing relationships as two opposite unidirectional lines is fully compliant with the evaluation rules and UML semantic equivalence. 
6. Rejected or checked issues: I explicitly ignored the PlantUML comments (e.g., `'opposite employs`) and the styling of using two opposite unidirectional associations in Model 2, as the evaluation guidelines strictly forbid penalizing them.
7. Overall judgment: Model 2 is clearly superior due to its correct implementation of business multiplicities and more precise data types. Model 1 commits severe domain reasoning errors by restricting institutions to a single person and papers to a single reviewer. Therefore,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</si>
  <si>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</si>
  <si>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and low coupling by properly isolating the `position` attribute into a dedicated `Authorship` intermediate class, which effectively decouples `Person` and `ScientificArticle`. Furthermore, both models correctly restrict type-specific attributes (e.g., `citationCount`) to the highly cohesive `PeerReviewedPaper` subclass rather than polluting the parent class.
2. Complexity: Model 1 = 5, Model 2 = 5; Evidence: Both models maintain an identical and optimal complexity level with exactly 8 conceptual classes. They both utilize an inheritance tree with a depth of 1 (`ScientificArticle` branching into `PeerReviewedPaper` and `TechnicalReport`) and keep the average number of methods/attributes per class minimal, perfectly aligning with the problem's scope without over-engineering (e.g., no unnecessary classes for "Subscription").
3. Practicability: Model 1 = 5, Model 2 = 3; Evidence: Model 1 accurately reflects real-world and requirement semantics with its multiplicities, such as `ResearchInstitution --&gt; "*" Person` (an institution employs multiple people) and `PeerReviewedPaper --&gt; "*" Person` (a paper can have multiple reviewers). It also practically uses a `List&lt;String&gt;` for `researchKeywords`. Model 2 contains highly impractical multiplicities: `Person "1" -- "1" ResearchInstitution` restricts an institution to having exactly one person, and `Person "1" -- "*" PeerReviewedPaper` restricts a paper to having exactly one reviewer. Model 2 also uses a single `String` for plural keywords.
Total: Model 1 = 15, Model 2 = 13
Choice: A
Reason:
1. Cohesion and Decoupling: Both models successfully decouple the many-to-many relationship between persons and articles by introducing an `Authorship` class, ensuring that class responsibilities remain focused and cohesive.
2. Complexity: Both models share the exact same structural complexity, utilizing 8 classes and a shallow inheritance hierarchy, striking a perfect balance between conceptual clarity and avoiding unnecessary entities. 
3. Practicability: Model 1 is significantly more practical because its multiplicities accurately reflect the domain. Model 2 introduces severe bottlenecks in the design by enforcing a 1-to-1 relationship between an institution and a person, and limiting peer-reviewed papers to exactly one reviewer. 
4. Rejected or checked issues: Model 1 uses pairs of opposite unidirectional associations (e.g., `A --&gt; "1" B` and `B --&gt; "*" A`) rather than single bidirectional lines. Per the evaluation guidelines, this is 100% semantically equivalent to bidirectional associations and is fully accepted without penalty. 
5. Overall judgment: While both models share a strong architectural foundation in terms of classes and complexity, Model 1 is the better choice due to its precise and practical application of domain multiplicities, making it much more suitable for a real-world software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</si>
  <si>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</si>
  <si>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decouple the many-to-many authorship relationship by introducing an `Authorship` class to hold the `position` attribute, keeping `Person` and `ScientificArticle` highly cohesive. Model 1 uses a composition (`*--`) for `Publisher` and `Journal`, which aligns well with journals needing the publisher's context for unique naming, whereas Model 2 uses a standard association. However, Model 2 improves attribute-level cohesion by typing `researchKeywords` as a `List&lt;String&gt;` rather than Model 1's scalar `String`, which better reflects the plural "keywords" requested.
2. Complexity: Model 1 = 5, Model 2 = 5; Evidence: Both models introduce exactly 8 classes with an inheritance depth of 1 for the `ScientificArticle` hierarchy. Both models appropriately balance complexity by not creating unnecessary classes for identifiers or names, but correctly extracting `Authorship` as a conceptual class to manage the many-to-many linkage without over-engineering. Neither model includes unnecessary methods.
3. Practicability: Model 1 = 3, Model 2 = 5; Evidence: Model 2 is significantly more practical and domain-accurate in its multiplicities. Model 1 defines a 1-to-1 relationship (`Person "1" -- "1" ResearchInstitution`), which implies an institution can only employ one person—highly impractical for a real-world database. Model 2 correctly models this as many-to-one (`ResearchInstitution --&gt; "*" Person`). Furthermore, Model 1 restricts a peer-reviewed paper to having exactly one reviewer (`Person "1" -- "*" PeerReviewedPaper : reviews`), while Model 2 applies a many-to-many relationship, which is expected for peer-reviewed papers. Model 2 also correctly enforces that an article must have at least one author (`ScientificArticle --&gt; "1..*" Authorship`), whereas Model 1 allows zero (`*`).
Total: Model 1 = 12, Model 2 = 15
Choice: B
Reason:
1. Cohesion and Decoupling: Both models perform well and properly decouple the `Authorship` relationship. Model 2 scores slightly higher for using a collection type (`List&lt;String&gt;`) for the plural `researchKeywords` attribute.
2. Complexity: Both models keep the complexity perfectly balanced, using the exact same structural components (8 classes, 1 level of inheritance) without unnecessary clutter. 
3. Practicability: Model 2 is much stronger here. Model 1 introduces severe domain flaws with its multiplicities, specifically modeling a 1-to-1 relationship between Person and ResearchInstitution, and restricting papers to exactly one reviewer. Model 2 correctly uses many-to-one and many-to-many relationships for these, making it highly suitable and robust for the described real-world system.
4. Rejected or checked issues: Model 2 uses pairs of unidirectional associations (e.g., `A --&gt; B` and `B --&gt; A`) and PlantUML comments (e.g., `'opposite employs`). Following the evaluation guidelines, these were treated as perfectly valid semantic equivalents to single bidirectional associations and were not penalized. Additionally, Model 2 marks `ScientificArticle` as `abstract`, which is technically supported by the requirement stating an article "is either a peer-reviewed paper or a technical report", but this was not used as the primary differentiator.
5. Overall judgment: Model 2 is the better model due to its accurate handling of domain multiplicities and practical attribute typing, whereas Model 1 contains restrictive structural bugs that would render the system unusable in reality.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</si>
  <si>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</si>
  <si>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UML Semantics: Model 1 = 3, Model 2 = 4; Evidence: Both models correctly capture the classes and inheritance structure (`ScientificArticle &lt;|-- PeerReviewedPaper`, `TechnicalReport`). Both models incorrectly restrict the Person-Institution relationship to 1-to-1 (`Person "1" -- "1" Institution`). Model 2 correctly handles the `Authorship` entity to store the author's position by modeling it as an intermediate class (`Person "1" -- "*" Authorship`, `ScientificArticle "1" -- "*" Authorship`), ensuring each position corresponds to one person and one article. Model 1 connects `Authorship -- "1..*" Person`, meaning a single position is assigned to a group of authors, which is semantically flawed. Model 1 is slightly better at modeling reviewers as a many-to-many relationship (`Person "0..*" -- "0..*" PeerReviewedPaper`), whereas Model 2 restricts a paper to a single reviewer (`1 -- *`). However, Model 2 uses composition (`Publisher "1" *-- "*" Journal`) which elegantly fulfills the requirement that journals are named by publishers and can share names across different publishers.
Total: Model 1 = 3, Model 2 = 4
Choice: B
Reason:
1. Alignment with Requirements and UML Semantics: Model 2 is significantly better at handling the structural complexity of the `Authorship` requirements. By modeling `Authorship` as a junction class with `*`-to-`1` associations to both `Person` and `ScientificArticle`, Model 2 ensures the `position` attribute correctly belongs to a specific person-article pair. Model 1's approach connects an `Authorship` instance to multiple `Persons`, structurally breaking the ability to track individual author positions.
2. Model 1 correctly uses a many-to-many relationship for reviewers, while Model 2 strictly limits a paper to one reviewer. However, Model 2 leverages UML composition for the Publisher-Journal relationship, showing a deeper understanding of the weak entity requirement where journal names are scoped under publishers.
3. Rejected or checked issues: Both models failed to recognize that an institution employs multiple people, mistakenly putting a 1-to-1 cardinality between Person and Institution. Since both share this exact flaw, neither is uniquely penalized for it.
4. Overall judgment: Model 2 is the better response. Its minor flaw in the reviewer multiplicity is outweighed by correctly modeling the `Authorship` associative entity, which is a critical relational mapping requirement that Model 1 completely mishandles.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</si>
  <si>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</si>
  <si>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Model 1 correctly models the `Authorship` bridge class with two 1-to-many associations (`Person "1" -- "*" Authorship`, `ScientificArticle "1" -- "*" Authorship`), ensuring each person-article pair has a unique `position`. Model 2 incorrectly links `Authorship` to multiple persons (`Authorship -- "1..*" Person`), which breaks the requirement to store the position of each individual author. Model 1 uses composition (`Publisher "1" *-- "*" Journal`) to reflect that journals share names across publishers (weak entity), while Model 2 uses a standard association. Model 2 correctly models the reviewer relationship as many-to-many (`Person "0..*" -- "0..*" PeerReviewedPaper`), whereas Model 1 wrongly restricts a paper to 1 reviewer (`Person "1" -- "*" PeerReviewedPaper`). Both models incorrectly map `Person` and `Institution` as exactly 1-to-1 (`"1" -- "1"`).
Total: Model 1 = 4, Model 2 = 3
Choice: A
Reason:
1. Alignment with Requirements: Model 1 correctly establishes `Authorship` as a resolution for the many-to-many authoring relationship by linking one `Person` and one `ScientificArticle` to a single `Authorship` record, allowing each author to have their own `position`. Model 2's structure of linking `Authorship` to `1..*` Persons is structurally flawed, as it would force a group of authors to share a single position integer. Furthermore, Model 1 captures the local uniqueness constraint of Journals (journals from different publishers can share a name) by using a composition relationship (`*--`), making Journal a weak entity, which is a highly accurate domain choice. Model 2 does better on the reviewer cardinality (many-to-many vs. Model 1's one-to-many), but this is outweighed by Model 2's broken authorship structure.
3. Rejected or checked issues: I did not penalize Model 1 for omitting the `abstract` keyword on `ScientificArticle`, nor did I penalize Model 1 for using `*` instead of `0..*`. Both models made the same mistake of assigning a 1-to-1 relationship between Person and Institution (it should be many-to-1), so they are tied in that regard. 
4. Overall judgment: Model 1 is better. While both models have minor cardinality flaws (Model 1 with reviewers, both with institutions), Model 2's conceptual flaw in the `Authorship` class breaks the core requirement of storing the individual position of each author on an article. Model 1's structural foundations for both Authorship and Journals are much more robust and aligned with the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</si>
  <si>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</si>
  <si>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concepts: Person, Institution/ResearchInstitution, ScientificArticle, PeerReviewedPaper, TechnicalReport, Publisher, Journal, and a concept to resolve the author position (Authorship).
2. Associations/Multiplicities between classes for domain reasoning: Model 1 = 3, Model 2 = 4; Evidence: For modeling author position, Model 2 correctly sets up `Authorship` as a junction class (`Person "1" -- "*" Authorship`, `ScientificArticle "1" -- "*" Authorship`), meaning each Person-Article link has its own position. Model 1 uses `Authorship -- "1..*" Person`, which structurally fails because multiple persons would share the single `position` integer in the `Authorship` class. Model 2 also brilliantly uses composition (`Publisher "1" *-- "*" Journal`) which supports the requirement that journals from different publishers can share the same name (weak entity). However, Model 2 has a minor flaw: it uses a 1-to-many relationship for reviews (`Person "1" -- "*" PeerReviewedPaper`), whereas peer-reviewed papers generally have multiple reviewers (Model 1 correctly uses many-to-many `0..* -- 0..*`). Both models mistakenly enforce a strict 1-to-1 between Person and Institution.
3. Model attributes with appropriate data types: Model 1 = 5, Model 2 = 4; Evidence: Both models identify the required attributes well. Model 1 perfectly captures the plural "keywords" as a `Set&lt;String&gt;`, whereas Model 2 uses a simple `String` for `researchKeywords`, which is slightly less precise but still acceptable.
4. Consistencies of Terminology with given context: Model 1 = 5, Model 2 = 5; Evidence: Both models use terminology fully consistent with the prompt, such as DOI, impact factor, citation count, position, and technical report.
5. Adherence of UML class diagram standards: Model 1 = 5, Model 2 = 5; Evidence: Both models output syntactically correct PlantUML, properly applying generalizations (`&lt;|--`), associations, and visibility markers/data types.
Total: Model 1 = 23, Model 2 = 23
Choice: B
Reason:
1. Appropriate conceptual classes aligned with the domain: Both models successfully identify all necessary domain concepts, including abstract superclasses and associative entities for author position.
2. Associations/Multiplicities between classes for domain reasoning: Model 2 is better. Model 2 correctly implements the `Authorship` associative entity by mapping it as the "many" side to both `Person` and `ScientificArticle`. This allows exactly one position integer per author-article pair. Model 1 incorrectly connects `Authorship` to `1..* Person`, meaning a group of authors would share a single position value. Furthermore, Model 2's use of composition for `Publisher` and `Journal` excellently models the requirement that journal names are only unique within a publisher.
3. Model attributes with appropriate data types: Model 1 is slightly better for using a `Set&lt;String&gt;` for keywords, matching the plural requirement perfectly, whereas Model 2 just uses a `String`.
4. Rejected or checked issues: Both models incorrectly map the Person-Institution relationship as 1-to-1 instead of many-to-1, but since both made the exact same domain reasoning choice, neither is penalized relative to the other.
5. Overall judgment: While the scores are tied numerically, Model 2's correct structural resolution of the `Authorship` junction class and the clever usage of composition for `Publisher` and `Journal` represent much stronger relational domain modeling than Model 1's broken `Authorship` multiplicity.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</si>
  <si>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</si>
  <si>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classes including `Person`, `ScientificArticle`, `PeerReviewedPaper`, `TechnicalReport`, `Publisher`, `Journal`, and the intermediate concept `Authorship`. Model 1 uses `ResearchInstitution` while Model 2 uses `Institution`, both perfectly capturing the institution concept.
2. Associations/Multiplicities between classes for domain reasoning: Model 1 = 4, Model 2 = 3; Evidence: Both models incorrectly specify a 1-to-1 relationship between `Person` and the institution (`Person "1" -- "1" ResearchInstitution` in Model 1, `Person "1" -- "1" Institution` in Model 2), missing the fact that institutions employ multiple persons. Model 2 correctly defines `reviews` as a many-to-many relationship (`Person "0..*" -- "0..*" PeerReviewedPaper`), whereas Model 1 restricts a paper to a single reviewer (`Person "1" -- "*" PeerReviewedPaper`). However, Model 1 correctly models the intermediate `Authorship` class by linking 1 Person to many Authorships and 1 Article to many Authorships (`Person "1" -- "*" Authorship`, `ScientificArticle "1" -- "*" Authorship`), preserving the unique position of each author. Model 2 severely misrepresents this by defining `Authorship -- "1..*" Person`, incorrectly implying a single authorship position connects to multiple persons.
3. Model attributes with appropriate data types: Model 1 = 4, Model 2 = 5; Evidence: Both models include the required attributes (e.g., `DOI`, `citationCount`, `impactFactor`, `position`) with proper types. Model 2 appropriately uses a collection type `Set&lt;String&gt;` for the plural `keywords` attribute in `Person`, whereas Model 1 uses a scalar `String` (`researchKeywords : String`), which is slightly less precise for a collection of distinct topics but still acceptable.
4. Consistencies of Terminology with given context: Model 1 = 5, Model 2 = 5; Evidence: Both models use terminology fully consistent with the prompt, such as `PeerReviewedPaper`, `impactFactor`, `citationCount`, and appropriate role names (`publishes`, `subscribes to` / `subscribesTo`, `works for` / `worksFor`).
5. Adherence of UML class diagram standards: Model 1 = 5, Model 2 = 5; Evidence: Both models use valid PlantUML syntax. Both correctly apply generalisation (`&lt;|--`) for scientific articles. Model 1 additionally utilizes standard composition (`*--`) for Publisher and Journal, while Model 2 uses a standard association; both are valid UML practices.
Total: Model 1 = 23, Model 2 = 23
Choice: A
Reason:
1. Associations/Multiplicities between classes for domain reasoning: Model 1 provides a structurally sound representation of the `Authorship` class by correctly breaking down the many-to-many relationship between `Person` and `ScientificArticle` into two one-to-many relationships pointing toward the `Authorship` intermediate class. Model 2 breaks domain logic by connecting an `Authorship` to multiple persons (`Authorship -- "1..*" Person`), meaning a single author position/record would be shared by multiple authors. While Model 2 gets the `reviews` multiplicity right and Model 1 gets it wrong, Model 2's failure in modeling the critical `Authorship` structure is a more significant domain reasoning flaw.
2. Model attributes with appropriate data types: Model 2 is marginally better for using `Set&lt;String&gt;` for multiple keywords, while Model 1 uses a flat `String`. 
3. Rejected or checked issues: Both models incorrectly use a 1-to-1 multiplicity between `Person` and the institution, missing that an institution employs multiple people. Since both models made the exact same error, it did not differentiate them. Additionally, using a standard class for `Authorship` with two associations instead of a formal UML association class (dashed line) is an acceptable modeling pattern in PlantUML, so neither was penalized for UML syntax. Finally, Model 2 marking `ScientificArticle` as abstract was ignored for scoring since the prompt does not strictly forbid direct instantiation.
4. Overall judgment: Although the total scores are equal (due to Model 2's slight edge in attribute typing), Model 1 is fundamentally better at modeling the core domain structure. Misrepresenting the `Authorship` relationship (Model 2) compromises the basic definition of an intermediate class and author positions. Model 1 successfully captures this relational mechanism, making it the better model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</si>
  <si>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</si>
  <si>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2 correctly decouples the many-to-many authorship relation by using `Authorship` as a junction linking exactly one person to one article (`Person "1" -- "*" Authorship` and `ScientificArticle "1" -- "*" Authorship`), which correctly isolates a single author's position. Model 1 couples multiple persons to a single authorship instance (`Authorship -- "1..*" Person`), which breaks cohesion for individual positions. Additionally, Model 2 uses composition (`Publisher "1" *-- "*" Journal`) which tightly couples the journal's lifecycle and namespace to the publisher, perfectly addressing the requirement that journals are named by publishers and can share names across different publishers. Model 1 uses a standard association for this (`Publisher "1" -- "0..*" Journal`).
2. Complexity: Model 1 = 4, Model 2 = 4; Evidence: Both models maintain an appropriate complexity level with 8 classes and a single-level inheritance tree (`ScientificArticle &lt;|-- PeerReviewedPaper` and `TechnicalReport`). Model 1 appropriately uses a collection for keywords (`keywords : Set&lt;String&gt;`), capturing the plural requirement better than Model 2's singular string (`researchKeywords : String`). However, both models unnecessarily restrict the employment relationship complexity to 1-to-1 (`Person "1" -- "1" Institution` in Model 1, and `Person "1" -- "1" ResearchInstitution` in Model 2), rather than allowing an institution to have multiple persons.
3. Practicability: Model 1 = 3, Model 2 = 4; Evidence: Model 2's junction structure for `Authorship` is highly practical and maps easily to standard software and database architectures. However, Model 2 restricts the review relationship to 1-to-many (`Person "1" -- "*" PeerReviewedPaper : reviews`), meaning a paper can only have one reviewer, which is impractical for peer-reviewed papers. Model 1 models this review relationship more practically as many-to-many (`Person "0..*" -- "0..*" PeerReviewedPaper : reviews`). Still, Model 1's `Authorship` design is highly impractical to implement because it associates multiple authors with a single article-position link, making it impossible to store distinct positions for each author.
Total: Model 1 = 10, Model 2 = 13
Choice: B
Reason:
1. Cohesion and Decoupling: Model 2 excels by using an association/junction class pattern for `Authorship` and composition for `Journal`, accurately reflecting the domain constraints (individual author positions and publisher-scoped journal names). Model 1's grouping of multiple persons into a single `Authorship` class breaks cohesion.
2. Complexity: Both models balance the number of classes and inheritance well. Model 1 is slightly more precise with its `Set&lt;String&gt;` for keywords, but both share the same minor flaw of making the person-institution relationship exactly 1-to-1 on both ends.
3. Practicability: Model 2's entity relationship design translates much more practically into real-world software and databases, especially regarding `Authorship` and `Journal`. Model 1 is more practical only in the `reviews` multiplicity, but fails significantly on how author positions would actually be stored and queried.
4. Rejected or checked issues: I did not penalize Model 1 for making `ScientificArticle` abstract while Model 2 did not, as the requirement does not explicitly forbid direct instantiation. I also treated Model 2's `*` and Model 1's `0..*` as semantically identical, without penalizing either.
5. Overall judgment: Model 2 provides a fundamentally sounder structural design for the core relationships (Authorship and Publisher-Journal), making it a much better and more practical model for a real-world database system, despite a minor multiplicity error on the reviewer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</si>
  <si>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</si>
  <si>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correctly decouples the many-to-many relationship between Person and ScientificArticle using an `Authorship` class with two one-to-many associations (`Person "1" -- "*" Authorship` and `ScientificArticle "1" -- "*" Authorship`), ensuring the `position` attribute is highly cohesive to a single author-article pair. Model 2 connects `Authorship -- "1..*" Person`, grouping multiple persons into one authorship, which reduces cohesion. Model 1 also uses composition (`Publisher "1" *-- "*" Journal`) to reflect the strong coupling and namespace dependency of journals to their publishers.
2. Complexity: Model 1 = 4, Model 2 = 4; Evidence: Both models effectively balance complexity with exactly 8 conceptual classes and appropriately use an inheritance tree for article types (`PeerReviewedPaper` and `TechnicalReport` extending `ScientificArticle`). They correctly avoid creating unnecessary classes for basic identifiers (like DOI or institution code). Model 2 defines the multiple keywords as a collection (`keywords : Set&lt;String&gt;`), whereas Model 1 uses a singular `String` (`researchKeywords : String`), but both maintain an appropriate, balanced level of attribute complexity.
3. Practicability: Model 1 = 4, Model 2 = 3; Evidence: Model 1's `Authorship` design practically fulfills the requirement to store "the position of each author" because each instance maps exactly one Person to one Article. Model 2's `Authorship -- "1..*" Person` would practically force multiple authors to share the same `position` value, which is unviable. Model 2 provides a more practical real-world many-to-many multiplicity for reviewers (`Person "0..*" -- "0..*" PeerReviewedPaper`), whereas Model 1 strictly limits a paper to exactly one reviewer (`Person "1"`). Both models share the impractical flaw of `Person "1" -- "1" Institution` (or `ResearchInstitution`), which falsely implies an institution only employs one person.
Total: Model 1 = 12, Model 2 = 10
Choice: A
Reason:
1. Cohesion and Decoupling: Model 1 is better because it accurately decouples the Person and Article relationship into an `Authorship` intermediate class with 1-to-many relations, maintaining high cohesion for the `position` attribute. It also effectively uses composition to bind Journals to Publishers.
2. Complexity: Both models manage complexity equally well by avoiding unnecessary classes for primitive concepts and correctly applying inheritance for the article types, ensuring the models remain focused and balanced.
3. Practicability: Model 1 is more practical overall. Even though Model 2 better handles the reviewer multiplicity, Model 1 correctly captures the `Authorship` mapping structure. Model 2's assignment of `1..*` persons to a single `Authorship` makes it impossible to securely store an individual position for each author, which is a critical failure regarding the system's core requirements.
4. Rejected or checked issues: Both models incorrectly use a 1-to-1 multiplicity between Person and Institution (e.g., `Person "1" -- "1" ResearchInstitution`), implying an institution has only one employee. Since this practical flaw is present in both models, it does not heavily penalize one model over the other. The abstractness of `ScientificArticle` in Model 2 was noted but not rewarded as better, to strictly avoid penalizing Model 1's lack of optional abstractness. 
5. Overall judgment: Model 1 provides the stronger design due to its logically sound `Authorship` structural mapping and effective composition usage. It successfully accommodates the core requirements of author positions and publisher-journal dependencies, making it more viable despite minor multiplicity strictness on reviewers.</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</si>
  <si>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</si>
  <si>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</si>
  <si>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</si>
  <si>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adds several classes not mentioned in the requirements to structurally enforce the XOR constraint (`ParkingFacility`, `CarportParking`, `GarageParking`) and hallucinates a `jobDate` attribute in the `Job` class. Model 2 strictly adheres to the provided concepts, utilizing a note to handle the "either two carports or a garage" constraint without introducing artificial classes, and does not add unrequested attributes.
Total: Model 1 = 4, Model 2 = 5
Choice: B
Reason:
1. Alignment with Requirements: Model 2 is better aligned because it avoids hallucinating extra attributes (Model 1 adds `jobDate` to `Job`) and avoids introducing artificial inheritance hierarchies (`ParkingFacility`, `CarportParking`, `GarageParking`) just to model the XOR constraint. Model 2 elegantly solves the XOR constraint using a UML note, which keeps the domain model clean and strictly tied to the requirement's text.
2. Rejected or checked issues: Both models correctly handle the `Job`/`JobLog` as an intermediate class (reified association) between `House` and `Company`, and both correctly model the enums and inheritance for basements and building materials.
3. Overall judgment: Model 2 is selected as the better response because it perfectly captures all domain requirements without over-engineering or adding unrequested attributes, maintaining a pure conceptual model. Model 1 is still very good but slightly over-complicates the parking structure and includes a minor hallucination.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</si>
  <si>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</si>
  <si>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3; Evidence: Model 1 correctly captures all attributes and relationships without hallucinations. It uses a note to express the XOR constraint for carports and garages. Model 2 introduces a hallucinated `jobDate` attribute in `Job` and creates three artificial classes (`ParkingFacility`, `CarportParking`, `GarageParking`) to model the XOR constraint, which is over-engineered.
2. Conceptual Classes and Relationships: Model 1 = 5, Model 2 = 3; Evidence: Model 1 models the many-to-many relationship between `House` and `Company` directly (`House "*" -- "*" Company`) and links jobs via `JobLog` to both. Model 2 models the House-Company relationship as `House "1" -- "1..*" Company`, which incorrectly implies a `Company` only services a single `House`. Model 2 correctly uses a `Job` class to link House and Company, but the binary association multiplicity between House and Company is flawed.
Total: Model 1 = 10, Model 2 = 6
Choice: A
Reason:
1. Requirement Alignment: Model 1 strictly adheres to the requirements without adding any extra attributes. It gracefully handles the XOR constraint for carports/garages using a standard UML note. Model 2 hallucinates a `jobDate` attribute in the `Job` class and introduces three unnecessary structural classes (`ParkingFacility`, `CarportParking`, `GarageParking`) to enforce the carport/garage constraint, which overcomplicates the model.
2. Conceptual Classes and Relationships: Model 1 correctly models the relationship between companies and houses as many-to-many, and properly associates `JobLog` with both. Model 2 explicitly adds a direct relationship `House "1" -- "1..*" Company`, which incorrectly restricts a company to servicing only one house.
3. Overall judgment: Model 1 is far more accurate to the domain requirements, avoids hallucinations, models associations with correct multiplicities, and uses standard UML practices (notes) rather than structural workarounds for XOR constraints.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</si>
  <si>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</si>
  <si>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correctly identify core classes like House, Basement, EarthBasement, ConcreteBasement, SemiDetachedHouse, Carport, Garage, Company, and Job/JobLog. Model 1 uses intermediate classes (ParkingFacility, CarportParking, GarageParking) to enforce constraints, which is acceptable.
2. Associations/Multiplicities between classes for domain reasoning: Model 1 = 4, Model 2 = 5; Evidence: Model 1 models the House-Company relationship as `House "1" -- "1..*" Company`, which incorrectly implies a Company only services one House. Model 2 correctly uses `House "*" -- "*" Company` for the many-to-many relationship, and effectively uses a note to specify the XOR constraint between Carport and Garage for SemiDetachedHouse.
3. Model attributes with appropriate data types: Model 1 = 5, Model 2 = 5; Evidence: Both models include all necessary attributes with appropriate types (e.g., address, buildingMaterial, size, name, humidityLevel, hasGarden/hasOwnGarden, windowCount/numberOfWindows, etc.).
4. Consistencies of Terminology with given context: Model 1 = 5, Model 2 = 5; Evidence: Both models use terminology highly consistent with the prompt.
5. Adherence of UML class diagram standards: Model 1 = 5, Model 2 = 5; Evidence: Both models use valid PlantUML syntax and standard UML notations for inheritance, composition, and associations.
Total: Model 1 = 24, Model 2 = 25
Choice: B
Reason:
1. Appropriate conceptual classes aligned with the domain: Both models identify all the required domain concepts perfectly.
2. Associations/Multiplicities between classes for domain reasoning: Model 2 is slightly better because it accurately captures the many-to-many relationship between House and Company (`*` to `*`), whereas Model 1 incorrectly limits a Company to servicing only one House (`1` to `1..*`). Model 2 also cleanly handles the XOR constraint for parking using standard UML notes, whereas Model 1 introduces structural complexity to achieve the same result.
3. Model attributes with appropriate data types: Both models are fully accurate here.
4. Consistencies of Terminology with given context: Both models align perfectly with the given text.
5. Adherence of UML class diagram standards: Both models follow PlantUML and UML standards closely.
6. Overall judgment: Model 2 provides a more accurate representation of the multiplicities, specifically for the House-Company relationship, making it the better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</si>
  <si>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</si>
  <si>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correctly identify House, Basement, EarthBasement, ConcreteBasement, SemiDetachedHouse, Carport, Garage, Company, and Job/JobLog. Model 2 introduces intermediate grouping classes for parking which structurally enforce rules without losing domain fidelity.
2. Associations/Multiplicities between classes for domain reasoning: Model 1 = 5, Model 2 = 5; Evidence: Model 1 handles the XOR constraint using multiplicities (0..2, 0..1) and a note. Model 2 handles it structurally via an abstract ParkingFacility class and subclasses. Both correctly model the Job as an intermediate/associative relationship between Company and House.
3. Model attributes with appropriate data types: Model 1 = 5, Model 2 = 5; Evidence: Both models correctly capture address, buildingMaterial, size, name, humidityLevel, garden flag, window count, carport flags, garage flag, company details, hours, and price. Both use appropriate primitive types and an enumeration for BuildingMaterial.
4. Consistencies of Terminology with given context: Model 1 = 5, Model 2 = 5; Evidence: Both closely follow the terminology provided in the prompt (e.g., EarthBasement, ConcreteBasement, SemiDetachedHouse, Job/JobLog).
5. Adherence of UML class diagram standards: Model 1 = 5, Model 2 = 5; Evidence: Both models use valid PlantUML syntax, correct inheritance symbols (`&lt;|--`), and appropriate multiplicity notations.
Total: Model 1 = 25, Model 2 = 25
Choice: C
Reason:
1. Both models accurately capture the domain classes, attributes, and relationships required by the prompt.
2. The XOR constraint ("either two carports or a garage") is handled adequately by both models: Model 1 uses loose multiplicities paired with an explicit note, while Model 2 introduces a clever structural pattern (ParkingFacility polymorphism) to enforce the constraint strictly through UML mechanics.
3. Both correctly resolve the many-to-many relationship between House and Company using a reified class (JobLog/Job) to store the job-specific attributes (hours and price).
4. Both models adhere strictly to UML conventions and align perfectly with the requirement text,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</si>
  <si>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</si>
  <si>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introduces artificial structural classes (`ParkingFacility`, `CarportParking`, `GarageParking`) to handle the carport/garage constraint, which increases coupling to these intermediate classes. Model 2 maintains high cohesion by directly associating `SemiDetachedHouse` with `Carport` and `Garage` and using a note for the XOR constraint. Additionally, Model 2 properly models `JobLog` as the join concept between `House` and `Company`, though it leaves a redundant many-to-many link. Model 1's `Job` effectively decouples the many-to-many relation.
2. Complexity: Model 1 = 3, Model 2 = 5; Evidence: Model 1 significantly increases the complexity and depth of the hierarchy by creating three extra classes (`ParkingFacility`, `CarportParking`, `GarageParking`) just to model an "either/or" rule. Model 2 keeps the class count and complexity minimal and appropriate to the requirements.
3. Practicability: Model 1 = 4, Model 2 = 5; Evidence: Model 2 is highly practical and readable, leveraging standard UML practices (notes/constraints) to express the "either exactly two carports or a garage" rule. Model 1's approach is overly engineered and would lead to unnecessary boilerplate in real-world implementations.
Total: Model 1 = 11, Model 2 = 15
Choice: B
Reason:
1. Cohesion and Decoupling: Both models decouple the many-to-many relationship between House and Company using a job log class (`Job` in Model 1, `JobLog` in Model 2). However, Model 1 introduces artificial classes for parking, which harms decoupling by forcing `SemiDetachedHouse` to interact with parking wrappers rather than the actual parking structures.
2. Complexity: Model 1 is overly complex due to the invention of the `ParkingFacility` inheritance tree (`CarportParking` and `GarageParking`). Model 2 perfectly balances conceptual classes by using a note to handle the XOR logic, avoiding unnecessary class explosion.
3. Practicability: Model 2 provides a more readable and practical design. Using a note constraint for business rules (like the exact parking composition) is the preferred and most maintainable UML approach compared to structural over-engineering.
4. Overall judgment: Model 2 is the better response because it accurately captures all requirements without introducing artificial complexity, resulting in a cleaner, more practical, and highly cohesive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</si>
  <si>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</si>
  <si>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achieve high cohesion by correctly separating entities like `House`, `Basement`, `Company`, and the job log. Model 2 structurally decouples the parking choices using a polymorphic `ParkingFacility` hierarchy (`CarportParking`, `GarageParking`), which cleanly encapsulates the distinct multiplicity constraints (2 carports vs. 1 garage) without intertwining them directly into `SemiDetachedHouse`. Model 1 links `Carport` and `Garage` directly to `SemiDetachedHouse` with permissive multiplicities (`0..2`, `0..1`) and relies on a note, which couples the constraints less formally.
2. Complexity: Model 1 = 5, Model 2 = 4; Evidence: Model 1 uses a simpler and more direct class structure (10 entities) which is very easy to digest, using an informational note to handle the complex XOR constraint. Model 2 introduces three additional conceptual classes (`ParkingFacility`, `CarportParking`, `GarageParking`) to enforce the constraint structurally. While structurally elegant, this increases the total number of classes and the depth of the hierarchy slightly for a relatively minor domain detail.
3. Practicability: Model 1 = 4, Model 2 = 5; Evidence: Model 2 is exceptionally practical for robust software implementation because it eliminates ambiguity in the parking constraint. A developer implementing Model 2 has a strict object model where a `SemiDetachedHouse` has exactly one `ParkingFacility`, which at runtime is either a `CarportParking` (with exactly 2 `Carport`s) or a `GarageParking` (with exactly 1 `Garage`). This is highly testable. Model 1 is also readable but requires the developer to manually implement validation logic to parse the note's constraint ("Has either exactly two Carports or exactly one Garage").
Total: Model 1 = 13, Model 2 = 14
Choice: B
Reason:
1. Cohesion and Decoupling: Model 2 is slightly stronger as it encapsulates the parking rules into their own polymorphic hierarchy, whereas Model 1 leaves permissive associations on the house class.
2. Complexity: Model 1 is slightly better here because it avoids creating intermediate conceptual classes for the parking constraint, keeping the diagram smaller. Model 2's extra classes represent a trade-off for structural precision.
3. Practicability: Model 2 excels in practicability. By using `ParkingFacility` and its subclasses, it formally and strictly guarantees that a semi-detached house has either two carports or one garage purely through UML structure and multiplicity (`1` ParkingFacility, which structurally dictates either `2` carports or `1` garage). Model 1 relies on a text note and loose multiplicities, which is more prone to implementation errors.
4. Overall judgment: While Model 1 is a simpler and perfectly valid interpretation, Model 2 demonstrates superior engineering practices by successfully modeling a tricky XOR multiplicity constraint purely through object-oriented structures (`ParkingFacility` hierarchy). This makes Model 2 more precise and practical for generating robust code.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</si>
  <si>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</si>
  <si>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specifies the optional basement with `0..1` multiplicity (`House *-- "0..1" Basement`), handles the "either two carports or a garage" constraint by introducing `ParkingFacility` with specific subclasses mapping to `2` Carports or `1` Garage, and correctly links `Job` to both `House` and `Company`. Model 2 lacks all multiplicities, associates both `Carport` and `Garage` to `SemiDetachedHouse` without any XOR constraints, and links `JobLog` only to `Company` (`Company o-- JobLog`), failing to connect the job to the `House`.
Total: Model 1 = 5, Model 2 = 2
Choice: A
Reason:
1. Alignment with requirements: Model 1 captures all domain constraints and cardinalities accurately. It successfully models the tricky "either two carports or a garage" constraint through structural polymorphism and ensures the job log links both the company and the house where the job was carried out. Model 2 fails to include any multiplicities, misses the mutually exclusive constraint for parking facilities, and incorrectly associates the job log solely with the company, losing the critical information of where the job occurred.
2. Rejected or checked issues: Model 1 was not penalized for introducing intermediate classes (`ParkingFacility`, `CarportParking`, `GarageParking`) because they serve as traceable refinements required to accurately model the "either/or" domain constraint structurally.
3. Overall judgment: Model 1 provides a highly accurate, robust, and semantically complete domain representation of the requirements. Model 2 provides a superficial representation missing critical structural, cardinality, and relational requirements.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</si>
  <si>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</si>
  <si>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omits all cardinalities/multiplicities, fails to enforce the "either two carports or a garage" constraint (it merely aggregates both `Carport` and `Garage` to `SemiDetachedHouse`), models `buildingMaterial` as a plain String, and connects `JobLog` only to `Company` (omitting the link to `House`). Model 2 uses an `Enum` for the three building materials, applies explicit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</si>
  <si>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</si>
  <si>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the core entities (`House`, `Basement`, subclasses, `Company`). Model 1 uses an enum `BuildingMaterial` to strictly capture the material options and introduces intermediate classes (`ParkingFacility`, etc.) to conceptually resolve structural constraints. Model 2 represents `JobLog` as a standalone class but fails to conceptually model it as a link between a company and a house.
2. Associations/Multiplicities between classes for domain reasoning: Model 1 = 5, Model 2 = 2; Evidence: Model 1 successfully applies crucial constraints: `0..1` for `Basement`, a clever polymorphic structure to enforce the XOR constraint ("either two carports or a garage") using `ParkingFacility` with `2` `Carport` or `1` `Garage`, and it correctly links `Job` to both `House` and `Company`. Model 2 completely omits all multiplicities. It links `SemiDetachedHouse` to both `Carport` and `Garage` without enforcing an XOR constraint or the count of 2 carports. Furthermore, Model 2's `JobLog` only connects to `Company`, completely missing the association to `House`.
3. Model attributes with appropriate data types: Model 1 = 5, Model 2 = 4; Evidence: Model 1 uses an enum (`WOOD`, `BRICK`, `CONCRETE`) to restrict the building material, and assigns appropriate numeric types (e.g., `double` for `size`). Model 2 uses a basic `String` for `buildingMaterial`, which doesn't restrict the values, and uses `String` for the basement's `size`, which is less appropriate than a numeric type.
4. Consistencies of Terminology with given context: Model 1 = 5, Model 2 = 5; Evidence: Both models faithfully use the terminology from the requirements. Model 1's introduction of `ParkingFacility` and `Job` are transparent refinements that do not obscure the base requirements. Model 2 uses exact terms like `JobLog`.
5. Adherence of UML class diagram standards: Model 1 = 5, Model 2 = 3; Evidence: Model 1 uses proper PlantUML syntax, composition (`*--`), and correctly labeled multiplicities and roles. Model 2 is syntactically valid but overuses the aggregation symbol (`o--`) for every relationship without multiplicities, weakening the semantic accuracy of standard UML modeling.
Total: Model 1 = 25, Model 2 = 18
Choice: A
Reason:
1. Appropriate conceptual classes aligned with the domain: Model 1 better captures the domain concepts, particularly by using an enum for a fixed list of materials and correctly conceptualizing a job as a link between a house and a company.
2. Associations/Multiplicities between classes for domain reasoning: Model 1 excels here by fully modeling all constraints, including the challenging "either two carports or a garage" XOR requirement through polymorphism. Model 2 fails to provide any multiplicities and misses the critical structural link between `JobLog` and `House`.
3. Model attributes with appropriate data types: Model 1 provides stricter and more accurate data typing (enum for materials, numeric values for size).
4. Rejected or checked issues: Model 1's addition of `ParkingFacility`, `CarportParking`, and `GarageParking` was checked and deemed a valid, transparent refinement (per guidelines) used to strictly enforce the structural XOR constraint without needing Object Constraint Language (OCL). It was not penalized as unnecessary complexity.
5. Overall judgment: Model 1 is vastly superior because it successfully translates complex textual constraints (0..1 basement, exact counts, XOR parking facilities, many-to-many associations resolved through a job log) into a semantically precise and strictly typed UML diagram. Model 2 struggles with multiplicities and critical domain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</si>
  <si>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</si>
  <si>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classes explicitly mentioned in the text, such as House, Basement, EarthBasement, ConcreteBasement, SemiDetachedHouse, Carport, Garage, and Company. Model 1 includes JobLog, while Model 2 introduces an intermediate ParkingFacility structure and a Job class, all of which are valid conceptual representations of the domain requirements.
2. Associations/Multiplicities between classes for domain reasoning: Model 1 = 2, Model 2 = 4; Evidence: Model 1 completely omits all multiplicities and fails to link JobLog to House (it only models `Company o-- JobLog`), losing the critical information of where the job was carried out. Model 2 includes proper multiplicities (e.g., `House *-- "0..1" Basement`) and correctly links `Job` to both `House` and `Company`. Model 2 also structurally captures the "either two carports or a garage" constraint using an intermediate `ParkingFacility` class, though its `House "1" -- "1..*" Company` association slightly restricts a company to servicing only one house.
3. Model attributes with appropriate data types: Model 1 = 4, Model 2 = 5; Evidence: Both models capture all necessary attributes. Model 1 uses a generic `String` for `buildingMaterial` and `size`. Model 2 improves upon this by using a dedicated `BuildingMaterial` enumeration (WOOD, BRICK, CONCRETE) to strictly enforce the allowed values, and uses `double` for numeric fields like `size` and `agreedPrice`.
4. Consistencies of Terminology with given context: Model 1 = 5, Model 2 = 5; Evidence: Both models use terminology highly consistent with the requirement prompt, preserving exact terms like `SemiDetachedHouse`, `EarthBasement`, `ConcreteBasement`, `humidityLevel`, `hasFlatRoof`, and `agreedPrice`.
5. Adherence of UML class diagram standards: Model 1 = 4, Model 2 = 5; Evidence: Both models are syntactically valid in PlantUML. Model 1 relies entirely on basic aggregations without multiplicities, weakening its UML semantic richness. Model 2 fully leverages UML standards, effectively utilizing enumerations, composition, navigability, and clear multiplicity constraints.
Total: Model 1 = 20, Model 2 = 24
Choice: B
Reason:
1. Associations and Multiplicities: Model 1 fails to define any multiplicities and misses the crucial link between `House` and `JobLog`, making it impossible to track which house a job was performed in. Model 2 correctly links `Job` to both `House` and `Company`, defines precise multiplicities (e.g., `0..1` for Basement), and effectively models the mutually exclusive car parking options.
2. Attributes and Data Types: Model 2 uses a strict `BuildingMaterial` enumeration to capture the exact "wood, brick, or concrete" constraint mentioned in the prompt, whereas Model 1 leaves it open to invalid inputs by using a generic `String`.
3. Rejected or checked issues: Model 2's introduction of `ParkingFacility` and its subclasses might seem like extra complexity, but it is not penalized; it serves as a valid, traceable refinement to mathematically enforce the "either two carports or a garage" rule using standard UML composition and multiplicities. Similarly, Model 2's PlantUML comment (`'opposite servicedHouses`) was rightfully ignored for scoring.
4. Overall judgment: Model 2 is significantly better. It accurately maps out the domain constraints, captures the complex relationships required for the job logging, and utilizes enumerations and precise multiplicities to enforce the business rules, whereas Model 1 is semantically incomplete.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</si>
  <si>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</si>
  <si>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captures the job log requirement effectively by creating a `Job` class that associates both `House` (`performedAt`) and `Company` (`performedBy`), keeping the relationship decoupled and cohesive. Model 2 places `JobLog` under `Company` (`Company o-- JobLog`) but completely fails to link it to `House`, losing the context of where the job is carried out.
2. Complexity: Model 1 = 5, Model 2 = 3; Evidence: Model 1 utilizes an appropriate level of complexity by introducing an abstract `ParkingFacility` class with `CarportParking` and `GarageParking` subclasses to accurately model the "either two carports or a garage" XOR constraint, along with exact multiplicities (`*-- "2" Carport`, `*-- "1" Garage`). Model 2 has fewer classes but fails to represent this constraint, simply adding `SemiDetachedHouse o-- Carport` and `SemiDetachedHouse o-- Garage` which incorrectly implies it could have both or any number.
3. Practicability: Model 1 = 5, Model 2 = 2; Evidence: Model 1 is highly practical and readable, utilizing an Enum (`BuildingMaterial`) for the three specific materials, precise multiplicities (`0..1` for Basement, `1..*` for ServicingCompanies), and explicit data types. Model 2 relies on generic aggregations (`o--`) with no multiplicities, uses a generic `String` for building material, and its missing associations (like JobLog to House) make it impractical for real-world software implementation.
Total: Model 1 = 15, Model 2 = 7
Choice: A
Reason:
1. Cohesion and Decoupling: Model 1 correctly models the job log as a concept linking both `House` and `Company`. Model 2 incorrectly isolates `JobLog` to only `Company`, breaking the semantic requirement that a job is carried out "in a house".
2. Complexity: Model 1 balances complexity perfectly by introducing necessary intermediate classes (`ParkingFacility`, `CarportParking`, `GarageParking`) to strictly enforce the exclusive "either two carports or a garage" requirement. Model 2 is overly simplistic, completely missing this constraint.
3. Practicability: Model 1 provides a robust, production-ready design with accurate multiplicities, explicit Enums for constrained values, and clear relationships. Model 2 lacks multiplicities entirely, making it ambiguous and poorly suited for implementation.
4. Overall judgment: Model 1 is vastly superior as it thoroughly addresses all constraints in the requirement (XOR parking, job log relationships, precise multiplicities, specific building materials). Model 2 misses several key business rules and relies on vague, multiplicity-free aggregations.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</si>
  <si>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</si>
  <si>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associates `JobLog` only with `Company` (`Company o-- JobLog`), entirely missing the required link to the `House` where the job takes place. It also links `SemiDetachedHouse` directly to both `Carport` and `Garage` (`SemiDetachedHouse o-- Carport`, `SemiDetachedHouse o-- Garage`) without managing the exclusive "either/or" relationship. Model 2 correctly centralizes the job event by linking `Job` to both entities (`Job --&gt; "1" House`, `Job --&gt; "1" Company`). It also uses a polymorphic `ParkingFacility` to abstract the parking relationship from `SemiDetachedHouse`, keeping the classes cohesive and properly decoupled.
2. Complexity: Model 1 = 3, Model 2 = 5; Evidence: Model 1 uses 9 classes but lacks necessary structural complexity to enforce the business rules (e.g., using a plain `String` for `buildingMaterial` in `House`, and omitting intermediate structures for the parking constraint). Model 2 has 12 classes and 1 enum, appropriately utilizing `BuildingMaterial` (`WOOD`, `BRICK`, `CONCRETE`) and an inheritance tree for parking (`ParkingFacility` with subclasses `CarportParking` and `GarageParking`). This level of complexity is well-balanced and directly driven by the specific constraints in the requirement.
3. Practicability: Model 1 = 2, Model 2 = 5; Evidence: Model 1 completely omits multiplicities, making it impossible to enforce rules like "two carports or a garage" or "several companies", and its disconnected `JobLog` design would fail in real-world queries. Model 2 is highly practical for implementation, featuring precise multiplicities (`House *-- "0..1" Basement`, `CarportParking *-- "2" Carport`, `GarageParking *-- "1" Garage`, `House "1" -- "1..*" Company`) and strongly typed enums, ensuring robust validation and clear database/entity design.
Total: Model 1 = 7, Model 2 = 15
Choice: B
Reason:
1. Cohesion and Decoupling: Model 2 successfully models the ternary relationship of a job occurring at a house by a company by using a `Job` class that associates with both `House` and `Company`. Model 1 attaches `JobLog` exclusively to `Company`, losing the crucial context of which house the job was for. Model 2 also cleanly decouples the exclusive parking options using an abstract base class.
2. Complexity: Model 2 introduces necessary complexity (like the `ParkingFacility` hierarchy and the `BuildingMaterial` enum) to accurately map the strict business constraints ("either two carports or a garage", "wood, brick, or concrete"). Model 1 is overly simplistic, treating building materials as raw strings and ignoring the structural constraint of the parking facilities.
3. Practicability: Model 2 provides a comprehensive, deployment-ready blueprint with explicit multiplicities and clear structural boundaries. Model 1 is missing all multiplicities, meaning developers would have to guess the constraints, drastically lowering its practicability for testing and programming.
4. Rejected or checked issues: Model 2's use of single-quote comments (`'opposite servicedHouses`) and primitive type variations (`boolean`, `int`) were noted but correctly ignored as they are standard tooling annotations and valid aliases, per the forbidden penalty guidelines. Model 2's addition of a `jobDate` attribute in `Job` was also not penalized, as it improves the coverage of modeling a real-world log record.
5. Overall judgment: Model 2 is vastly superior. It accurately captures the intricate constraints of the requirements (the XOR parking facility logic, the fixed building materials, and the job log associations) using correct UML semantics and multiplicities, whereas Model 1 provides a superficial and structurally incomplete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</si>
  <si>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</si>
  <si>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Concept Representation: Model 1 = 5, Model 2 = 2; Evidence: Model 1 captures the specific building materials using an enum (`WOOD`, `BRICK`, `CONCRETE`), defines precise cardinalities (e.g., `House "1" -- "0..1" Basement`), uses a constraint note with cardinalities (`0..2` Carport, `0..1` Garage) to satisfy the "either two carports or a garage" rule, and links `JobLog` to both `House` and `Company` to represent a job done at a specific house. Model 2 uses a generic `String` for building material, omits all cardinalities/multiplicities, completely misses the constraint regarding carports vs. garages, and links `JobLog` only to `Company` (`Company o-- JobLog`), failing to associate the log with a specific house.
Total: Model 1 = 5, Model 2 = 2
Choice: A
Reason:
1. Requirement Alignment and Concept Representation: Model 1 perfectly translates the requirements into UML semantics. It captures the constraints (using an enum for the limited building materials), accurately reflects optionality and limits through cardinalities (`0..1`, `0..2`), explicitly addresses the XOR constraint between garages and carports via a note, and correctly positions `JobLog` as an associative entity connecting both `House` and `Company`. Model 2 is significantly weaker: it lacks all cardinalities, ignores the exclusive constraint between carports and garages, misses the restricted building material types, and structurally fails to link `JobLog` to `House`, making it impossible to know where a job took place.
2. Rejected or checked issues: Model 2 uses aggregation (`o--`) extensively. While this is not strictly wrong for structural modeling, the total absence of multiplicities and the disconnected `JobLog` are severe domain inaccuracies that lower its score, not the choice of arrow style itself. Model 1's inclusion of a redundant `House "*" -- "*" Company` relationship alongside the `JobLog` associations is harmless and does not detract from its accuracy. 
3. Overall judgment: Model 1 is vastly superior because it faithfully models all constraints, multiplicities, and associative relationships described in the prompt, whereas Model 2 provides an incomplete structural outline that misses critical business logic and relationship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</si>
  <si>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</si>
  <si>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misses the domain constraint for `buildingMaterial` (using a raw `String`), completely omits all cardinalities/multiplicities (failing to capture "may have", "several", "exactly two"), and incorrectly models `JobLog` by aggregating it under `Company` without linking it to `House` (missing "Whenever a company carries out a job in a house"). Model 1 also fails to capture the XOR logic for carports/garages. Model 2 perfectly captures the requirements: it uses an enum for `BuildingMaterial`, explicitly models cardinalities (e.g., `"0..1"` for `Basement`, `"*"` for `Company`), links `JobLog` to both `House` and `Company` to represent the job event, and captures the XOR constraint for carports/garages using multiplicities (`0..2`, `0..1`) and a clarifying note.
Total: Model 1 = 2, Model 2 = 5
Choice: B
Reason:
1. Alignment with Requirements: Model 2 accurately reflects the business logic, relationships, and constraints specified in the prompt. By providing proper multiplicities, it fulfills requirements like "may have a basement" (`0..1`) and "serviced by several companies" (`*`). Model 2 also properly models `JobLog` as a junction concept tied to both `House` and `Company`, whereas Model 1 isolates `JobLog` to `Company` and ignores all cardinalities. 
2. Rejected or checked issues: I did not penalize Model 1 for using aggregation (`o--`) versus Model 2's direct associations (`--`), but rather evaluated how the relationships connected the classes structurally and mathematically. I also did not penalize Model 1 for casing differences in types (e.g., `Boolean` vs `boolean`).
3. Overall judgment: Model 2 is significantly better. It offers a complete, semantically accurate UML representation that captures the constraints, multiplicities, and proper relational mapping of the entities, whereas Model 1 lacks the required detail and structurally fails on the `JobLog`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</si>
  <si>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</si>
  <si>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key domain classes from the requirements, including House, Basement, EarthBasement, ConcreteBasement, SemiDetachedHouse, Carport, Garage, Company, and JobLog. Model 1 also abstracts the material choices into a `BuildingMaterial` enum.
2. Associations/Multiplicities between classes for domain reasoning: Model 1 = 5, Model 2 = 2; Evidence: Model 1 includes appropriate multiplicities, captures the exact "either two carports or a garage" constraint using a note, and properly connects `JobLog` to both `House` and `Company`. Model 2 entirely omits multiplicities, misses the XOR constraint for parking structures, and connects `JobLog` only to `Company` (missing the critical association indicating which house the job was performed in).
3. Model attributes with appropriate data types: Model 1 = 5, Model 2 = 4; Evidence: Model 1 uses appropriate data types for all attributes, utilizing an Enum to restrict `buildingMaterial` to the three specified options. Model 2 represents `buildingMaterial` as a String (missing the constraint) and incorrectly types the basement's `size` as a String instead of a numeric type.
4. Consistencies of Terminology with given context: Model 1 = 5, Model 2 = 5; Evidence: Both models use terminology that perfectly matches the context and requirement description (e.g., EarthBasement, SemiDetachedHouse, JobLog, humidityLevel).
5. Adherence of UML class diagram standards: Model 1 = 5, Model 2 = 4; Evidence: Both models use valid PlantUML syntax. However, Model 1 applies associations properly, whereas Model 2 overuses the aggregation relationship (`o--`) in places where standard associations are semantically correct (e.g., `House o-- Company`, as a house is not a "part" of a company).
Total: Model 1 = 25, Model 2 = 20
Choice: A
Reason:
1. Appropriate conceptual classes aligned with the domain: Both models successfully capture the required entities and inheritance structures.
2. Associations/Multiplicities between classes for domain reasoning: Model 1 is vastly superior here. It accurately captures multiplicities, addresses the strict XOR constraint for SemiDetachedHouse parking structures via a note, and properly maps the ternary nature of JobLog to both House and Company. Model 2 fails to associate JobLog with House and omits all multiplicities.
3. Model attributes with appropriate data types: Model 1 defines a precise Enum for building materials and uses standard numeric types for measurements. Model 2 loses constraint precision by using String for materials and size.
4. Consistencies of Terminology with given context: Both models are fully consistent with the provided terminology.
5. Adherence of UML class diagram standards: Model 1 strictly adheres to semantic UML standards. Model 2 misapplies aggregation relationships.
6. Rejected or checked issues: I did not penalize Model 2 for using uppercase primitive types (`String`, `Integer`) versus Model 1's lowercase primitives (`boolean`, `float`), as both are perfectly valid representations. The choice of marking `Basement` as abstract in Model 1 was also evaluated neutrally as a valid design choice. 
7. Overall judgment: Model 1 is significantly better because it thoroughly models domain constraints, utilizes proper data types, and captures the vital multi-way relationship for JobLog, which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</si>
  <si>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</si>
  <si>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key conceptual classes from the domain, including `House`, `Basement`, `EarthBasement`, `ConcreteBasement`, `SemiDetachedHouse`, `Carport`, `Garage`, `Company`, and `JobLog`. Model 2 additionally and correctly models `BuildingMaterial` as an enumeration.
2. Associations/Multiplicities between classes for domain reasoning: Model 1 = 2, Model 2 = 5; Evidence: Model 1 completely lacks multiplicities (e.g., `House o-- Basement`) and fails to link `JobLog` to `House` (it only has `Company o-- JobLog`), missing the requirement that a job is "carried out by a company in a house". It also misses the XOR relationship between Carport and Garage. Model 2 correctly includes multiplicities (e.g., `"1" -- "0..1"`), links `JobLog` to both `House` and `Company` to represent the job record context, and uses a note to capture the XOR constraint ("Has either exactly two Carports or exactly one Garage").
3. Model attributes with appropriate data types: Model 1 = 4, Model 2 = 5; Evidence: Model 1 uses appropriate types for most attributes but uses `String` for `size` and `buildingMaterial`. Model 2 uses a more precise `float` for `size` and effectively utilizes a `BuildingMaterial` enum (`WOOD`, `BRICK`, `CONCRETE`) to strictly enforce the requirement's allowed values.
4. Consistencies of Terminology with given context: Model 1 = 5, Model 2 = 5; Evidence: Both models faithfully use the terminology provided in the text, such as `EarthBasement`, `ConcreteBasement`, `hasFlatRoof`, `hasAutomaticDoor`, etc.
5. Adherence of UML class diagram standards: Model 1 = 3, Model 2 = 5; Evidence: Model 1's diagram is readable but ignores multiplicities entirely and overuses aggregation (`o--`) without strict domain justification. Model 2 fully adheres to UML and PlantUML standards, correctly applying associations (`--`), generalizations (`&lt;|--`), multiplicities, abstract classes, enums, and notes.
Total: Model 1 = 19, Model 2 = 25
Choice: B
Reason:
1. Appropriate conceptual classes: Both models successfully identify the core domain classes. Model 2 slightly enhances this by explicitly defining a `BuildingMaterial` enum.
2. Associations/Multiplicities: Model 2 is vastly superior. Model 1 completely omits all multiplicities, meaning constraints like "a house may have a basement" (0..1) are lost. Furthermore, Model 1 fails to associate `JobLog` with `House`, whereas Model 2 accurately links `JobLog` to both `House` and `Company` (as jobs happen at a house by a company). Model 2 also correctly captures the XOR constraint between Carport and Garage using a note.
3. Attributes/Data types: Model 2 provides more accurate data types, specifically by utilizing a dedicated enum for `BuildingMaterial` as constrained by the text, and using `float` for `size` rather than Model 1's `String`.
4. Terminology: Both models accurately reflect the requirement's vocabulary without any significant deviations.
5. UML standards: Model 2 demonstrates excellent adherence to standard UML notation, using precise multiplicities and relations, whereas Model 1 provides a looser diagram structure without multiplicities.
6. Overall judgment: Model 2 is significantly better because it captures crucial multiplicities, enforces the specific value constraints of building materials via an enum, captures the XOR logic for garages and carports via a note, and correctly maps the relationships for the `JobLog` entity.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</si>
  <si>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</si>
  <si>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correctly models the `JobLog` as a central entity linked to both `House` and `Company` (`House "1" -- "*" JobLog` and `Company "1" -- "*" JobLog`), ensuring that job records correctly couple the company with the specific house. Model 2 only links `JobLog` to `Company` (`Company o-- JobLog`), failing to couple the job to the `House` where it was carried out, which violates the domain logic.
2. Complexity: Model 1 = 5, Model 2 = 2; Evidence: Both models have an appropriate number of classes (9 classes) and an inheritance depth of 1. However, Model 1's complexity perfectly aligns with the requirements by introducing an Enum `BuildingMaterial` to strictly handle the "(wood, brick, or concrete)" requirement, and by including necessary multiplicities (`0..1`, `0..2`, `*`). Model 2 lacks all multiplicities and simply uses `String` for the building material, making it overly simplistic and missing the numerical constraints ("exactly two", "either... or", "several").
3. Practicability: Model 1 = 5, Model 2 = 2; Evidence: Model 1 is highly practical and comprehensive. It explicitly models the XOR constraint for the semi-detached house using multiplicities (`0..2` Carport, `0..1` Garage) and an explanatory `note right of SemiDetachedHouse`. Model 2 completely misses this constraint, using generic unbounded aggregations (`SemiDetachedHouse o-- Carport` and `SemiDetachedHouse o-- Garage`). Furthermore, Model 2's failure to connect `JobLog` to `House` makes it impractical for actual job tracking.
Total: Model 1 = 15, Model 2 = 7
Choice: A
Reason:
1. Cohesion and Decoupling: Model 1 successfully captures the ternary-like relationship between `House`, `Company`, and `JobLog` by linking the log to both entities. Model 2 leaves `JobLog` decoupled from `House`, which breaks the requirement that the log records a job carried out "in a house".
2. Complexity: Model 1 applies the right level of complexity to match the domain rules, utilizing an Enum for the closed list of building materials and exact multiplicities. Model 2 ignores the complexities of the numerical constraints by omitting multiplicities entirely.
3. Practicability: Model 1 provides a highly readable and comprehensive representation of the software's structure. It uses an elegant combination of multiplicities and a UML note to enforce the strict "either two carports or a garage" constraint. Model 2 fails to represent this business logic and provides an incomplete structural blueprint.
4. Rejected or checked issues: I did not penalize Model 2 for not declaring `Basement` as abstract, nor did I penalize either model for their choice of association arrow styles, as these are either optional or semantically equivalent.
5. Overall judgment: Model 1 is far superior because it meticulously translates all constraints, multiplicities, and relationships from the text into valid UML. Model 2 is incomplete, missing critical relationships (House-JobLog) and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</si>
  <si>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</si>
  <si>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`JobLog` in an aggregation solely with `Company` (`Company o-- JobLog`), leaving it decoupled from `House` and failing to capture where the job occurred. Model 2 links `JobLog` directly to both `House` (`House "1" -- "*" JobLog`) and `Company` (`Company "1" -- "*" JobLog`), correctly establishing the cohesion between the log, the service provider, and the serviced location.
2. Complexity: Model 1 = 3, Model 2 = 5; Evidence: Both models use an appropriate 2-level inheritance depth for `House` and `Basement`. Model 1 oversimplifies the domain by omitting multiplicities entirely and using a generic `+buildingMaterial: String`. Model 2 balances complexity correctly by introducing an enumeration `enum BuildingMaterial { WOOD, BRICK, CONCRETE }` and attaching a UML `note right of SemiDetachedHouse` to handle the complex XOR constraint ("exactly two Carports or exactly one Garage").
3. Practicability: Model 1 = 2, Model 2 = 5; Evidence: Model 1 is impractical because the lack of multiplicities (e.g., `SemiDetachedHouse o-- Carport`, `House o-- Basement`) makes it impossible to program or test the specific cardinality rules. Model 2 is highly practical because it specifies explicit multiplicities (`0..1` for `Basement`, `0..2` for `Carport`, `0..1` for `Garage`) and uses an `abstract class Basement` to ensure only the two concrete basement types can be instantiated.
Total: Model 1 = 7, Model 2 = 15
Choice: B
Reason:
1. Cohesion and Decoupling: Model 2 correctly ties the `JobLog` to both the `Company` and the `House`, reflecting the requirement that jobs are carried out in a specific house. Model 1 associates `JobLog` only with `Company`, breaking the necessary semantic link to `House`.
2. Complexity: Model 2 introduces the necessary structural complexity to enforce domain rules, such as using an `enum` for the closed list of building materials and a UML note to model the XOR constraint between carports and garages. Model 1 overly simplifies the design and misses these constraints.
3. Practicability: Model 2 provides a fully testable and implementable design by defining explicit multiplicities across all associations. Model 1 omits all multiplicities, leaving critical business rules (like having a maximum of one basement or up to two carports) completely ambiguous.
4. Rejected or checked issues: I did not penalize Model 1 for defining `Basement.size` as a `String` while Model 2 uses a `float`, as basic type choices are acceptable as long as the information can be stored. I also did not penalize Model 2 for not explicitly drawing an association class for `JobLog`, as separating it into two standard associations still satisfies the semantics of linking the job to both entities.
5. Overall judgment: Model 2 is vastly superior because it faithfully translates all business rules—including multiplicities, specific material types, and relationship paths—into a coherent and practical UML design. Model 1 is too ambiguous and misses key domain constraints.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</si>
  <si>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</si>
  <si>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</si>
  <si>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</si>
  <si>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3, Model 2 = 5; Evidence: Model 1 misses the specific delivery statuses mentioned in Step 4 ("missing or damaged") by only including PACKED, SHIPPED, and RECEIVED in its `ShipmentStatus` enum. It also fails to capture the payment timing options introduced in Step 3 ("pay the invoice directly when they place the order, or after the order has been delivered"), whereas Model 2 explicitly captures these with `ShipmentStatus` (includes MISSING, DAMAGED) and `PaymentTiming` (ON_ORDER, ON_DELIVERY). 
2. Conceptual Classes and Relationships: Model 1 = 4, Model 2 = 5; Evidence: Both models properly link `Customer`, `Order`, `OrderLine`, `Product`, and `Address`. Model 2 handles the Step 3 requirement (customer's head office vs warehouse addresses) neatly with two associations from `Customer` to `Address` (headOffice, deliveryWarehouses). Model 1 introduces a separate `Warehouse` class, which is acceptable, but Model 2's direct relationship to `Address` is perfectly aligned with the prompt. For shipments, Model 2 uses a `ShipmentLine` to map `Shipment` to `OrderLine`, which elegantly supports tracking quantities per shipment, while Model 1 directly aggregates `OrderLine` into `Shipment`.
3. Clarity and Attributes: Model 1 = 4, Model 2 = 5; Evidence: Model 1 includes several hallucinated attributes not mentioned in the requirements, such as `unitPrice`, `description`, `price`, `issueDate`, and multiple explicit ID fields. Model 2 sticks much closer to the provided domain requirements, including only the essential attributes like `vatNumber`, `currentStock`, and `shippedQuantity`.
Total: Model 1 = 11, Model 2 = 15
Choice: B
Reason:
1. Requirements Alignment: Model 2 is perfectly aligned with the evolving requirements. It accurately incorporates the Step 3 payment timing options (`PaymentTiming`) and the Step 4 delivery statuses (`MISSING`, `DAMAGED`). Model 1 overlooks these specific details, rendering it incomplete for the final state of the requirements.
2. Conceptual Classes and Relationships: Both models structure the core associations well. Model 2's use of `ShipmentLine` offers a slightly more flexible design for partial shipments, and its approach to separating head office and delivery addresses via roles on the `Address` association is highly effective. 
3. Clarity and Attributes: Model 2 avoids unnecessary hallucinations of fields like `price`, `unitPrice`, and explicit IDs, keeping the conceptual model focused strictly on the domain described in the prompt.
4. Overall judgment: Model 2 is substantially better because it strictly adheres to all constraints and features introduced in the iterative steps (especially payment timings and missing/damaged shipment statuses) without adding unnecessary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</si>
  <si>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</si>
  <si>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includes `MISSING` and `DAMAGED` in `ShipmentStatus` as required by Step 4, whereas Model 2 only includes `PACKED`, `SHIPPED`, and `RECEIVED`. Model 1 also uses `ShipmentLine` with `shippedQuantity` to handle partial shipments of individual order lines, while Model 2 directly links `Shipment` to `OrderLine` without specifying shipped quantities per shipment, which fails to fully support partial deliveries of order lines.
Total: Model 1 = 5, Model 2 = 3
Choice: A
Reason:
1. Alignment with Requirements: Model 1 captures all domain requirements accurately. It includes the explicit statuses "MISSING" and "DAMAGED" for shipments, which were explicitly requested in Step 4. It also properly models the ability to partially ship order lines across multiple shipments by introducing the `ShipmentLine` class with a `shippedQuantity` attribute. Model 2 fails to include the missing/damaged statuses and directly aggregates `OrderLine` into `Shipment`, which makes it structurally impossible to split a single order line across multiple shipments with varying quantities.
2. Model 1 also correctly captures payment timing choices (`PaymentTiming` enum) and connects orders to delivery addresses directly as requested, while Model 2 forces deliveries strictly through a `Warehouse` entity even though the requirement states supermarkets use warehouses for locations, but the order needs to track the delivery address.
3. Rejected or checked issues: Model 2 includes extra attributes like `price`, `unitPrice`, and IDs which are standard practice but not explicitly required. Model 1 was not penalized for omitting them since the prompt emphasizes strict alignment with the provided text.
4. Overall judgment: Model 1 is significantly better because it structurally supports partial order line shipments and accurately enumerates all the required shipment statuses from the prompt, whereas Model 2 misses key elements introduced in Step 4.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</si>
  <si>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</si>
  <si>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5; Evidence: Model 2 explicitly captures the "missing" and "damaged" statuses mentioned in Step 4 via the `ShipmentStatus` enum, whereas Model 1 misses these specific domain concepts in its enum. Model 2 also uses `ShipmentLine` to cleanly handle partial shipments of the same order line across multiple shipments, whereas Model 1 links `Shipment` directly to `OrderLine`, which can make partial tracking tricky.
2. Associations/Multiplicities between classes for domain reasoning: Model 1 = 4, Model 2 = 5; Evidence: Model 2 correctly models the relationship between `Shipment` and `OrderLine` through a `ShipmentLine` association class (or intermediate class) to handle shipped quantities per shipment. Model 1's direct aggregation `Shipment "1" o-- "1..*" OrderLine` makes it difficult to ship a partial quantity of a single `OrderLine` in one shipment and the rest in another.
3. Model attributes with appropriate data types: Model 1 = 5, Model 2 = 4; Evidence: Model 1 includes comprehensive attributes like IDs, tracking numbers, and uses appropriate types like `Money` and `Date`. Model 2 misses some attributes like tracking number or VAT number on the customer in a complete sense (it has VAT, but misses name).
4. Consistencies of Terminology with given context: Model 1 = 5, Model 2 = 5; Evidence: Both models use terminology highly consistent with the prompt, such as "head office", "warehouse" / "delivery warehouses", "VAT number", and "order line".
5. Adherence of UML class diagram standards: Model 1 = 5, Model 2 = 5; Evidence: Both diagrams use valid PlantUML syntax, correctly format classes, enums, attributes, and relationships.
Total: Model 1 = 23, Model 2 = 24
Choice: B
Reason:
1. Appropriate conceptual classes: Model 2 is slightly better because it includes the "MISSING" and "DAMAGED" statuses explicitly requested in Step 4, and introduces `ShipmentLine` to handle complex partial shipment quantities.
2. Associations/Multiplicities: Model 2's structure handles the many-to-many nature of Shipments and OrderLines (due to partial shipments) more robustly by using `ShipmentLine`. Model 1's direct mapping restricts an `OrderLine` to a single shipment if standard composition/aggregation semantics are strictly applied.
3. Model attributes: Model 1 is slightly more detailed with IDs and domain-specific types like `Money`, while Model 2 is a bit more sparse but accurate.
4. Overall judgment: Model 2 is chosen because it better addresses the specific domain constraints introduced in Steps 2 and 4, specifically regarding partial shipment tracking (`ShipmentLine`) and delivery issue statuses (`MISSING`, `DAMAGED`).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</si>
  <si>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</si>
  <si>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`ShipmentLine` to handle partial quantities of order lines being shipped, whereas Model 2 directly aggregates `OrderLine` into `Shipment`, which may struggle to represent partial quantities of a single line being shipped in different shipments. Both correctly identify core classes like `Customer`, `Order`, `Product`, and `Invoice`.
2. Associations/Multiplicities between classes for domain reasoning: Model 1 = 5, Model 2 = 4; Evidence: Model 1 correctly maps `Customer` to multiple `Address`es for warehouses, and `Order` to `Address` for delivery. Model 2 maps `Customer` to `Warehouse` and `Warehouse` to `Address`, which is also valid, but Model 1's `Shipment` to `ShipmentLine` to `OrderLine` association accurately reflects the domain need for partial shipments of order lines mentioned in the prompt ("remember that partial deliveries of one or more order lines are possible").
3. Model attributes with appropriate data types: Model 1 = 5, Model 2 = 4; Evidence: Model 1 includes `MISSING` and `DAMAGED` in `ShipmentStatus` and `PaymentTiming` (`ON_ORDER`, `ON_DELIVERY`) to address explicit Step 3 and Step 4 requirements. Model 2 misses `MISSING` and `DAMAGED` in `ShipmentStatus` and lacks attributes to track the payment timing preference.
4. Consistencies of Terminology with given context: Model 1 = 5, Model 2 = 5; Evidence: Both models use terminology fully consistent with the prompt, such as `OrderLine`, `Invoice`, `Shipment`, `Warehouse`/`Address`, `VAT Number`, etc.
5. Adherence of UML class diagram standards: Model 1 = 5, Model 2 = 5; Evidence: Both models use standard PlantUML syntax without any significant syntax or notation violations.
Total: Model 1 = 25, Model 2 = 22
Choice: A
Reason:
1. Appropriate conceptual classes: Model 1 captures the complexity of partial shipments by using an intermediate `ShipmentLine` class, while Model 2 directly connects `Shipment` to `OrderLine`, which limits the ability to partially ship a specific line.
2. Model attributes: Model 1 precisely captures explicit requirement details from Step 3 (payment timing options) and Step 4 (missing and damaged statuses for shipments). Model 2 omits the missing/damaged statuses from its `ShipmentStatus` enum and doesn't model the payment timing choice.
3. Both models are syntactically correct and follow UML standards well.
4. Overall judgment: Model 1 is better aligned with the domain requirements because it comprehensively models the nuanced constraints introduced in the later steps, particularly around shipment statuses, payment timing, and partial order line shipments.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</si>
  <si>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</si>
  <si>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directly aggregates `OrderLine` into `Shipment` (`Shipment "1" o-- "1..*" OrderLine`), which muddles the responsibility of tracking how much of an order line is in a specific shipment. Model 2 introduces a `ShipmentLine` class mapped to `OrderLine`, which keeps shipment quantity decoupled from the original order line definition and highly cohesive.
2. Complexity: Model 1 = 4, Model 2 = 4; Evidence: Both models maintain a reasonable number of classes and avoid unnecessary depth in the inheritance tree. Model 1 includes several methods (`register()`, `placeOrder()`) which add slight interface complexity, whereas Model 2 focuses primarily on attributes and structural relationships. Both are appropriately balanced.
3. Practicability: Model 1 = 3, Model 2 = 5; Evidence: Model 2 captures the Step 4 requirements much more practically. It includes `MISSING` and `DAMAGED` in `ShipmentStatus`, directly addressing the requirement "customers have informed you that some deliveries are missing or damaged. You want to gather more information... know the status of each delivery". Model 1 misses these statuses. Furthermore, Model 2's use of `ShipmentLine` allows for partial quantities of an order line to be shipped, satisfying "partial deliveries of one or more order lines are possible", while Model 1 only groups whole `OrderLine` objects into a `Shipment`. Model 2 also includes `PaymentTiming` to track when the invoice is paid (on order vs on delivery).
Total: Model 1 = 11, Model 2 = 14
Choice: B
Reason:
1. Cohesion and Decoupling: Model 2 provides a more decoupled design for shipments by introducing `ShipmentLine`, isolating the shipped quantities from the base `OrderLine`. Model 1 couples them directly.
2. Complexity: Both models use a similar number of domain concepts and balance complexity well. They tie on this metric.
3. Practicability: Model 2 aligns significantly better with the domain requirements. It correctly implements the required `MISSING` and `DAMAGED` statuses for shipments, whereas Model 1 omits them. Model 2 also supports partial shipments of individual order lines via `ShipmentLine.shippedQuantity`, addressing the Step 4 requirement effectively, and models the payment timing choices from Step 3.
4. Overall judgment: Model 2 is superior because it accurately translates the specific business rules from Steps 3 and 4 into structural elements, resulting in a more practical and robust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</si>
  <si>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</si>
  <si>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decouples shipments from order lines using an intermediate `ShipmentLine` class, which allows for partial quantities of an order line to be shipped. Model 2 links `Shipment` directly to `OrderLine`, which couples them too tightly and struggles to represent shipping a partial quantity of a single order line. Model 2 also awkwardly couples `Customer` to `Address` both via an association and via an explicit `headOfficeAddress` attribute in the class.
2. Complexity: Model 1 = 5, Model 2 = 4; Evidence: Both models have an appropriate number of classes (8 classes each) and effectively use enumerations. Model 1's use of `PaymentTiming` and `PaymentStatus` accurately captures the business rules from Step 3 without adding unnecessary complexity, whereas Model 2 clutters classes with identifiers (`customerId`, `warehouseId`, `productId`, etc.) which are not explicitly required by the domain narrative. 
3. Practicability: Model 1 = 5, Model 2 = 3; Evidence: Model 1 successfully tracks the missing and damaged delivery states (Step 4) via its `ShipmentStatus` enum (`MISSING`, `DAMAGED`), and accurately models payment timing (Step 3). Model 2 fails to include the `MISSING` and `DAMAGED` statuses for shipments, which is a specific requirement in Step 4 for evaluating delivery services.
Total: Model 1 = 15, Model 2 = 10
Choice: A
Reason:
1. Cohesion and Decoupling: Model 1 handles the relationship between Shipments and OrderLines much better by introducing `ShipmentLine`, which practically allows shipping a partial quantity of an ordered item. Model 2's direct aggregation of `OrderLine` into `Shipment` limits flexibility.
2. Complexity: Model 1 keeps the class structures focused on the domain requirements without over-engineering with implementation-specific IDs, making it a better conceptual fit.
3. Practicability: Model 1 covers all the specific requirements, including tracking damaged and missing shipments and handling payment timing. Model 2 completely misses the damaged/missing tracking required in Step 4.
4. Overall judgment: Model 1 is significantly better because it accurately translates the changing requirements (especially Steps 3 and 4) into a cohesive, practical UML model, whereas Model 2 leaves out key domain statuses and struggles with the order line shipment decoupling.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</si>
  <si>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</si>
  <si>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Model 1 successfully models the "record when orders are paid for" requirement (Step 1) by including `paidDate` in `Order` and `Invoice`. It cleanly structures the domain by distinguishing `Warehouse` and `Address`, and it utilizes the requested composition and aggregation relationships (`Order *-- OrderLine`, `Customer *-- Warehouse`, `Shipment o-- OrderLine`). However, it misses the "missing" and "damaged" statuses for shipments outlined in Step 4. Model 2 captures the "missing/damaged" statuses (`DeliveryStatus`) and the payment timing choice (`PaymentMethod`), but it fails to track when orders are paid for (omitting `paidDate` entirely). It also creates redundancy by splitting `Shipment` and `Delivery` into separate classes with overlapping statuses, uses `DeliveryAddress` conceptually as a warehouse, and relies entirely on simple associations (`--&gt;`) rather than the requested composition/aggregation.
Total: Model 1 = 4, Model 2 = 3
Choice: A
Reason:
1. Alignment with Requirements: Model 1 provides a significantly more robust and accurate domain model. It successfully captures the core Step 1 requirement to record *when* orders are paid, which Model 2 completely overlooks by lacking any paid date attribute. Furthermore, Model 1 strictly follows the instruction to focus on relationship types by explicitly modeling composition (`*--`) and aggregation (`o--`), whereas Model 2 relies solely on directed associations (`--&gt;`). Model 1's separation of `Warehouse` and `Address` is also much more logical than Model 2's approach of using `DeliveryAddress` to represent a warehouse. 
2. Rejected or checked issues: I ignored Model 2's use of single-quote comments (e.g., `'opposite company`) as per the negative constraints, as they are just PlantUML annotations. I also noted that Model 1 misses the "missing" and "damaged" enumeration values for shipments (Step 4), but this omission is far less detrimental than Model 2's omission of the `paidDate`, its redundant `Shipment`/`Delivery` split, and its lack of advanced association semantics.
4. Overall judgment: Model 1 is the superior model. It leverages composition and aggregation to accurately reflect the business domain, effectively handles the address/warehouse separation, and tracks the necessary date requirements. Model 2 suffers from structural redundancies and misses a critical data point (paid date),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</si>
  <si>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</si>
  <si>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(Functionalities &amp; Constraints): Model 1 = 4, Model 2 = 4; Evidence: Model 1 misses the paid date requirement from Step 1 (its `Order` class has `orderDate` and `paymentStatus`, but no date for when the order is paid), while successfully capturing the damaged/missing delivery statuses from Step 4. Model 2 captures the paid date (`paidDate` on `Order` and `Invoice`), but misses the explicit Step 4 requirement to track if deliveries are "missing or damaged" (its `ShipmentStatus` enum only has `PACKED`, `SHIPPED`, `RECEIVED`).
2. Conceptual Classes and Representation of Essentials: Model 1 = 3, Model 2 = 5; Evidence: Model 1 overcomplicates Step 4 by separating `Shipment` and `Delivery` into two classes with redundant, cyclical associations (`Shipment` -&gt; `Delivery`, `Shipment` -&gt; `OrderLine`, `Delivery` -&gt; `OrderLine`), and adds an extraneous `Company` class. Model 2 abstracts the domain cleanly, using a `Warehouse` class for delivery locations and a single `Shipment` class to logically group order lines.
3. Associations, Cardinalities, and Types of Relationships: Model 1 = 3, Model 2 = 5; Evidence: Model 1 relies entirely on simple directed associations (e.g., `Order "1" --&gt; "*" OrderLine`), ignoring the instruction's explicit prompt to use aggregation and composition. Model 2 explicitly utilizes composition (e.g., `Order "1" *-- "1..*" OrderLine`) and aggregation (e.g., `Shipment "1" o-- "1..*" OrderLine`), demonstrating a much stronger alignment with the instruction regarding relationship types.
4. Clarity in Class Names and Attributes: Model 1 = 5, Model 2 = 4; Evidence: Model 1 keeps attributes tightly scoped to the provided requirements (e.g., `vatNumber`, `currentStock`). Model 2 has clear names but includes many database-style identifiers (`customerId`, `orderId`) and price attributes (`price`, `unitPrice`) which were not strictly requested by the prompt text.
Total: Model 1 = 15, Model 2 = 18
Choice: B
Reason:
1. Alignment with Requirements (Functionalities &amp; Constraints): Both models exhibit minor omissions. Model 1 fails to record the explicit payment date requested in Step 1, while Model 2 misses the "missing" and "damaged" shipment statuses detailed in Step 4. They are tied on functional coverage.
2. Conceptual Classes and Representation of Essentials: Model 2 offers a more refined abstraction by introducing `Warehouse` for supermarket delivery addresses and using a unified `Shipment` class. Model 1's separation of `Shipment` and `Delivery` introduces unnecessary cyclical dependencies with `OrderLine`.
3. Associations, Cardinalities, and Types of Relationships: Model 2 excels by correctly applying UML composition and aggregation as explicitly requested in the instructions (e.g., `Shipment` aggregating `OrderLine`), whereas Model 1 limits itself to basic directed associations throughout.
4. Rejected or checked issues: While Model 2 includes unprompted attributes like `price` and ID fields, these are standard domain additions that do not detract significantly from the model's accuracy. This was slightly reflected in the clarity score but did not disqualify the model. I also ignored Model 1's usage of single-quote PlantUML comments (e.g., `'opposite company`), strictly adhering to the forbidden penalty rules.
5. Overall judgment: Model 2 provides a much more robust and semantically accurate UML class diagram. Its effective use of advanced relationship types (composition and aggregation) and cleaner domain modeling makes it the superior response despite the minor missing enum values.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</si>
  <si>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</si>
  <si>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identifies a precise set of domain classes (`Customer`, `Address`, `Warehouse`, `Product`, `Order`, `OrderLine`, `Invoice`, `Shipment`). Model 2 introduces an unnecessary `Company` class and splits the shipment concept into both `Shipment` and `Delivery`, which makes the model slightly more convoluted for the described domain, although it captures the core concepts.
2. Associations/Multiplicities between classes for domain reasoning: Model 1 = 5, Model 2 = 4; Evidence: Model 1 effectively uses composition and aggregation (e.g., `Order "1" *-- "1..*" OrderLine`, `Shipment "1" o-- "1..*" OrderLine`) to clearly define part-whole relationships and groups. Model 2 has slightly redundant associations by linking `OrderLine` to both `Shipment` (`Shipment "1" --&gt; "*" OrderLine`) and `Delivery` (`Delivery "*" --&gt; "*" OrderLine`) while also linking `Shipment` and `Delivery`.
3. Model attributes with appropriate data types: Model 1 = 4, Model 2 = 3; Evidence: Step 1 explicitly requires to "record when orders are paid for". Model 1 captures this with `paidDate: Date` in both `Order` and `Invoice`. Model 2 completely misses the paid date, only providing a `paymentStatus` enum. However, Model 1 misses the "missing" and "damaged" statuses required in Step 4, as its `ShipmentStatus` enum only contains `PACKED`, `SHIPPED`, and `RECEIVED`. Model 2 successfully includes `DAMAGED` and `MISSING` in its `DeliveryStatus`.
4. Consistencies of Terminology with given context: Model 1 = 5, Model 2 = 5; Evidence: Both models use terminology fully consistent with the prompts. Model 1 uses terms like `head office`, `Warehouse`, and `OrderLine`. Model 2 uses `headOfficeAddress`, `DeliveryAddress`, and `OrderLine`.
5. Adherence of UML class diagram standards: Model 1 = 5, Model 2 = 5; Evidence: Both models produce valid PlantUML class diagrams with correct syntax for classes, attributes, enums, and associations. Model 2's use of single-quote comments (`'opposite`) is a standard tooling annotation.
Total: Model 1 = 24, Model 2 = 21
Choice: A
Reason:
1. Appropriate conceptual classes aligned with the domain: Model 1 provides a more concise and accurate representation of the domain entities, properly extracting `Warehouse` and `Address` without overcomplicating the root structure. Model 2 adds an unnecessary `Company` root entity.
2. Associations/Multiplicities between classes for domain reasoning: Model 1's use of relationships creates a very clear hierarchy of how orders group order lines and how shipments group order lines. Model 2's triad of associations between `Shipment`, `Delivery`, and `OrderLine` creates a slightly ambiguous structure regarding tracking line items.
3. Model attributes with appropriate data types: Model 1 follows the instruction to record *when* orders are paid by including `paidDate`, whereas Model 2 misses this critical temporal attribute. While Model 1 misses the damaged/missing statuses, missing a date tracking requirement is a more significant domain oversight than missing enum literals.
4. Rejected or checked issues: Model 2's use of `'opposite` annotations was ignored as it is a standard tool comment and does not negatively impact UML semantics. 
5. Overall judgment: Model 1 is better because its structural associations are clearer, it effectively avoids redundant tracking loops, and it successfully models the temporal tracking requirements (like paid date) that Model 2 omits.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</si>
  <si>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</si>
  <si>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introduces a explicit `Delivery` class to handle delivery service problems, but uses a generic `DeliveryAddress` rather than a specific warehouse class. Model 2 explicitly models `Warehouse` (aligning perfectly with Step 3's "several warehouses") but merges all delivery tracking into `Shipment` without a separate class for condition tracking.
2. Associations/Multiplicities between classes for domain reasoning: Model 1 = 3, Model 2 = 5; Evidence: Model 2 provides highly accurate and clean multiplicities, such as `Shipment "1" o-- "1..*" OrderLine` (matching "group of order lines that are shipped together") and `Order "1" *-- "1..*" OrderLine`. Model 1 has confusing, overlapping associations where both `Shipment "1" --&gt; "*" OrderLine` and `Delivery "*" --&gt; "*" OrderLine` exist, which obfuscates the domain logic.
3. Model attributes with appropriate data types: Model 1 = 3, Model 2 = 3; Evidence: Model 1 successfully captures "missing or damaged" (Step 4) via `DeliveryStatus(DAMAGED, MISSING)` and `conditionNotes`, but fails to capture when an order is paid (no `paidDate`, only `PaymentStatus`). Model 2 correctly captures `paidDate` and `shipmentDate` (Step 1), but completely misses any status or attribute for "missing or damaged" deliveries in `ShipmentStatus` or `Shipment`.
4. Consistencies of Terminology with given context: Model 1 = 4, Model 2 = 4; Evidence: Model 1 uses terms like `DAMAGED` and `MISSING` from the context but relies on `DeliveryAddress` instead of "warehouses". Model 2 accurately uses `Warehouse` but lacks the terminology to reflect missing or damaged items.
5. Adherence of UML class diagram standards: Model 1 = 5, Model 2 = 5; Evidence: Both models use standard, valid PlantUML syntax. Model 1's use of single-quote comments (`'opposite`) is a valid tooling annotation, and Model 2's composition/aggregation notation is strictly standard.
Total: Model 1 = 19, Model 2 = 21
Choice: B
Reason:
1. Appropriate conceptual classes aligned with the domain: Both models identify most of the necessary domain classes well. Model 2 is slightly more aligned with the text by explicitly introducing the `Warehouse` class, whereas Model 1 uses `DeliveryAddress` to cover both head offices and warehouses.
2. Associations/Multiplicities between classes for domain reasoning: Model 2 is significantly better here. It maps the exact business requirements using strong structural relationships (`Order "1" *-- "1..*" OrderLine` and `Shipment "1" o-- "1..*" OrderLine`). Model 1 creates a convoluted association structure by linking both `Shipment` and `Delivery` directly to `OrderLine` without clear cardinality bounds (many-to-many `Delivery "*" --&gt; "*" OrderLine`). 
3. Model attributes with appropriate data types: Both models have distinct omissions based on the requirements. Model 1 misses the requirement to track *when* an order is paid (lacking a `paidDate`). Model 2 misses the requirement to track missing or damaged deliveries (lacking statuses or attributes for them). They tie on this criterion.
4. Consistencies of Terminology with given context: Both models mostly use correct terminology, with Model 2 excelling in structural naming (`Warehouse`) and Model 1 excelling in condition naming (`DAMAGED`).
5. Rejected or checked issues: Model 1's use of `'opposite` text at the end of association lines are recognized as standard tooling comments and were correctly ignored during scoring, avoiding any false penalty. Model 2's use of `Money` as a data type is perfectly valid in UML as a custom domain type and was not penalized.
6. Overall judgment: Model 2 is the better response. While both models missed a minor attribute/status requirement, Model 2 provides a much cleaner, more standard, and logically sound set of associations and multiplicities that correctly model the business rules (like shipping grouped order lines and linking orders to specific warehouses). Model 1's associations become tangled around the Shipment/Delivery/OrderLine junction.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</si>
  <si>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</si>
  <si>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using a single `Shipment` class to manage delivery states and grouping (`Shipment 1 o-- 1..* OrderLine`). Model 2 splits this concept into `Shipment` and `Delivery`, both of which track statuses and dates, and both couple directly to `OrderLine` (`Shipment 1 --&gt; * OrderLine` and `Delivery * --&gt; * OrderLine`). This creates redundant responsibilities (low cohesion) and high coupling. Model 2 also uses an unnecessary `Company` class that couples directly to `Customer` and `Product`.
2. Complexity: Model 1 = 5, Model 2 = 3; Evidence: Model 1 utilizes 8 classes and defines appropriate behavioral methods (e.g., `adjustStock()`, `pack()`, `ship()`), keeping complexity balanced and avoiding turning every noun into a class. Model 2 has 9 classes and 0 methods (acting merely as data structures). Model 2 inflates the total number of classes and structural complexity by introducing the `Company` root class and unnecessarily separating `Shipment` from `Delivery`. Neither model uses deep inheritance trees.
3. Practicability: Model 1 = 4, Model 2 = 3; Evidence: Model 1 is highly readable, and its clear modularity (e.g., a reusable `Address` class for both `Warehouse` and `Customer`) simplifies programming and testing. However, it misses the explicitly required "damaged" and "missing" delivery statuses (its `ShipmentStatus` only has PACKED, SHIPPED, RECEIVED). Model 2 captures these specific statuses and explicit payment options (`PaymentMethod`), but its tangled structural interface (where an Order references Shipments, Shipments reference Deliveries, and both reference OrderLines) would make robust testing and data synchronization very difficult in a real-world application. 
Total: Model 1 = 14, Model 2 = 8
Choice: A
Reason:
1. Cohesion and Decoupling: Model 1 has clear, single-purpose classes with logical associations. Model 2 suffers from high coupling and redundant responsibilities by splitting the shipment concept into two classes that both depend on order lines.
2. Complexity: Model 1 defines a well-balanced class diagram with appropriate methods and avoids unnecessary conceptual classes. Model 2 introduces unnecessary classes (`Company`, `Delivery` as a separate entity) and lacks methods entirely.
3. Practicability: Although Model 2 includes specific enumeration values requested in Step 4 (damaged/missing statuses), its overall structural logic is convoluted and highly impractical for real-world implementation and testing. Model 1 provides a clean, logical, and highly modular foundation.
4. Rejected or checked issues: The single-quote annotations (e.g., `'opposite company`) and the exclusive use of unidirectional arrows in Model 2 were ignored and not penalized, as they are standard tooling comments and semantically valid association styles.
5. Overall judgment: Model 1 is significantly better because it provides a structurally sound, highly cohesive, and well-decoupled design that properly balances complexity, whereas Model 2 introduces severe structural flaws and unnecessary dependencies.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</si>
  <si>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</si>
  <si>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separates Customer, Product, Order, OrderLine, Invoice, Shipment, DeliveryAddress, and Delivery, but its delivery/shipment responsibilities are split unclearly between Shipment and Delivery. Shipment has trackingNumber/shipmentDate/status and also ships OrderLine, while Delivery has deliveryDate/conditionNotes/status and also deliversTo OrderLine. This creates overlapping concepts for the same delivery lifecycle. Model 1 also has both DeliveryStatus and ShipmentStatus, with PACKED/SHIPPED/RECEIVED duplicated, which weakens cohesion. Model 2 keeps the central concepts more cohesive: Address captures address fields, Customer holds VAT/head office relation, Product holds stock/price, Order owns Invoice/OrderLine/Shipment, Shipment has shipment lifecycle status and dates, and Warehouse encapsulates delivery locations. However, Model 2 couples Customer directly to headOfficeAddress as both an attribute and an association to Address, and Shipment groups OrderLine directly without a shipment-line allocation object.
2. Complexity: Model 1 = 3, Model 2 = 4; Evidence: Model 1 has 9 classes plus 5 enums: Company, Customer, DeliveryAddress, Product, Order, OrderLine, Invoice, Shipment, and Delivery, with PaymentStatus, ShippingStatus, DeliveryStatus, ShipmentStatus, and PaymentMethod. It has no methods and no inheritance, but the extra Delivery class and duplicated DeliveryStatus/ShipmentStatus add conceptual complexity without clearly improving the required design. It also turns the seller company into a class, although the requirement mainly describes “your company” as the system owner rather than a tracked domain object. Model 2 has 9 classes plus 2 enums: Address, Customer, Warehouse, Product, Order, OrderLine, Invoice, Shipment, OrderStatus, and ShipmentStatus. It has several simple operations such as register(), placeOrder(), adjustStock(), markPaid(), and pack()/ship()/markReceived(), but the class set is more balanced and avoids the parallel Delivery/Shipment concept. Model 2’s Warehouse class is justified by Step 3’s several warehouses/delivery addresses.
3. Practicability: Model 1 = 3, Model 2 = 4; Evidence: Model 1 includes useful implementation elements such as Customer-to-Order, Order-to-OrderLine, OrderLine-to-Product, Order-to-Invoice, Order-to-Shipment, payment timing through PaymentMethod DIRECT/POST_DELIVERY, and delivery problem statuses DAMAGED/MISSING in DeliveryStatus. But its practical workflow is hard to implement cleanly because a delivery can be represented through both Shipment and Delivery, Shipment has status PACKED/SHIPPED/RECEIVED while Delivery also has status PACKED/SHIPPED/RECEIVED/DAMAGED/MISSING, and Shipment "1" --&gt; "*" OrderLine plus Delivery "*" --&gt; "*" OrderLine does not clearly represent grouped partial shipments or quantities within a shipped group. Model 2 is easier to program and test for the core workflow: each Order contains 1..* OrderLine, generates one Invoice, has 0..* Shipment, each Shipment groups 1..* OrderLine, and ShipmentStatus tracks PACKED/SHIPPED/RECEIVED. Product.currentStock and adjustStock support stock management. Its main practical gaps are that it does not model pay-on-order versus pay-after-delivery explicitly, and it lacks damaged/missing statuses despite the requirement asking to gather delivery problem information.
Total: Model 1 = 9, Model 2 = 12
Choice: B
Reason:
1. Cohesion and Decoupling: Model 2 is better because Shipment is the single cohesive delivery-tracking concept, while Model 1 splits delivery lifecycle state across Shipment and Delivery with duplicated status meanings.
2. Complexity: Model 2 is better balanced. Model 1 adds Company, Delivery, DeliveryStatus, ShipmentStatus, and PaymentMethod; some are useful, but the duplicated shipment/delivery state makes the model harder to understand. Model 2’s Warehouse and Address classes are traceable to the requirement and keep the model clearer.
3. Rejected or checked issues: I did not penalize Model 2 merely for having operations, visibility markers, or Money/Integer types. I did not penalize Model 1 for PlantUML comments, primitive aliases, or using DeliveryAddress instead of Address. I also did not reward Model 1’s added Company class because the requirement’s “your company” is the system owner, not clearly a tracked entity.
4. Overall judgment: Model 2 is better under cohesion, complexity, and practicability. Model 1 captures some requirements Model 2 misses, especially payment timing and damaged/missing delivery outcomes, but its delivery/shipment overlap makes the design less cohesive and less practical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</si>
  <si>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</si>
  <si>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&amp; Conceptual Representation: Model 1 = 5, Model 2 = 3; Evidence: Model 1 captures all requirements, including the ability to partially ship order lines across multiple shipments via the `ShipmentLine` class (which holds `shippedQuantity` linking `Shipment` and `OrderLine`). It effectively models the customer's head office and delivery warehouses using distinct associations to `Address`. Model 2 introduces an unnecessary `Company` class and ambiguously splits the shipping concept into `Shipment` and `Delivery` with overlapping statuses (`ShipmentStatus` and `DeliveryStatus`). Furthermore, Model 2 lacks a mechanism (like an intermediate class or attribute) to track the quantity of a specific product shipped in a specific shipment, making it impossible to correctly handle partial deliveries of a single order line as requested in Step 4.
Total: Model 1 = 5, Model 2 = 3
Choice: A
Reason:
1. Requirements Alignment &amp; Conceptual Representation: Model 1 follows the requirement evolution seamlessly. Step 4 explicitly notes that "partial deliveries of one or more order lines are possible", meaning a single order line might be split across multiple shipments. Model 1 correctly uses a `ShipmentLine` intermediate class to record the `shippedQuantity` for each part of the shipment. Model 2 simply links `Shipment` (and `Delivery`) directly to `OrderLine` without recording the quantity per shipment, which fails to track how many items of a specific order line are packed in a specific shipment. Additionally, Model 2 adds an unneeded `Company` class and creates redundant `Shipment` and `Delivery` classes, muddying the conceptual model. Model 1 also uses clear, direct associations for the different addresses (head office vs. delivery) and payment timings.
2. Rejected or checked issues: I checked if the presence of `shippedQuantity` on both `OrderLine` and `ShipmentLine` in Model 1 was an issue, but it accurately reflects the evolution from Step 2 (tracking on the line) to Step 4 (tracking in shipments), where the line-level attribute can validly serve as a derived total. I also explicitly ignored Model 2's single-quote comments (e.g., `'opposite company`) as standard tooling annotations per the forbidden penalties guidelines.
3. Overall judgment: Model 1 provides a semantically accurate, requirement-driven design that correctly handles complex associations (like partial line shipments and multiple addresses) without hallucinating extra architectural classes. Model 2 fails on the data structure needed for partial order line shipments and overcomplicates the delivery tracking.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</si>
  <si>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</si>
  <si>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Functionalities: Model 1 = 3, Model 2 = 5; Evidence: Model 1 introduces an unnecessary `Company` class representing the system owner and misinterprets Step 4 by duplicating the shipment concept into separate `Shipment` and `Delivery` classes. Model 2 achieves all functionalities, including grouping partial shipments, without any hallucinations or redundant entities.
2. Conceptual Classes, Associations, and Cardinalities: Model 1 = 3, Model 2 = 5; Evidence: Model 1 links `Shipment` directly to `OrderLine` (`Shipment "1" --&gt; "*" OrderLine`) and `Delivery` to `OrderLine` (`Delivery "*" --&gt; "*" OrderLine`) without an intermediate entity to track the split quantity shipped per physical shipment. Model 2 accurately models this by introducing `ShipmentLine`, effectively associating `Shipment` (`1` to `1..*` `ShipmentLine`) and `ShipmentLine` to `OrderLine` (`0..*` to `1`), allowing it to correctly capture the cardinality of partial shipments.
3. Clarity in Class Names and Attributes: Model 1 = 3, Model 2 = 5; Evidence: Model 1 creates overlapping enums (`ShipmentStatus` and `DeliveryStatus`), names the Step 3 payment timing concept `PaymentMethod`, and lacks a shipped quantity attribute on the order line. Model 2 uses a precise `PaymentTiming` enum, a unified `ShipmentStatus` enum, and explicitly tracks `orderedQuantity` and `shippedQuantity` in `OrderLine` and `ShipmentLine`.
Total: Model 1 = 9, Model 2 = 15
Choice: B
Reason:
1. Requirement Alignment and Functionalities: Model 2 strictly aligns with the requirements, correctly identifying that "shipment" and "delivery" in Step 4 refer to the same logical concept. Model 1 overcomplicates the design by splitting them into two separate classes and adding a hallucinated `Company` class.
2. Conceptual Classes, Associations, and Cardinalities: Model 2 flawlessly models Step 4's partial shipment requirements by using a `ShipmentLine` class to bridge `Shipment` and `OrderLine`. Model 1 links `Shipment` directly to `OrderLine` with many-to-many associations, which structurally fails to track how many items of a specific order line are contained within a specific physical shipment.
3. Clarity in Class Names and Attributes: Model 2 includes vital attributes for the domain logic, such as `orderedQuantity` and `shippedQuantity`, enabling precise tracking. Model 1 relies on redundant status enums and misses the necessary quantity attributes for partial shipments.
4. Rejected or checked issues: Model 1's use of single-quote comments (e.g., `'opposite company`) and unidirectional associations (`--&gt;` vs `--`) are standard notations and were strictly ignored during the evaluation, acting in accordance with the forbidden penalties rules.
5. Overall judgment: Model 2 is the superior response because it elegantly and accurately captures the complex domain logic of partial deliveries and grouped shipments using standard conceptual modeling practices, while Model 1 struggles with structural redundancies and missing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</si>
  <si>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</si>
  <si>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accurate domain classes such as `ShipmentLine` to handle partial quantities. Model 2 includes a superfluous `Company` class, uses a misnamed `DeliveryAddress` for the head office, and splits the shipping concept confusingly into two classes, `Shipment` and `Delivery`.
2. Associations/Multiplicities between classes for domain reasoning: Model 1 = 5, Model 2 = 2; Evidence: Model 1 elegantly links `Shipment` to `OrderLine` via `ShipmentLine` (`Shipment "1" -- "1..*" ShipmentLine`, `ShipmentLine "0..*" -- "1" OrderLine`), correctly allowing a single order line to span multiple shipments. Model 2 uses `Shipment "1" --&gt; "*" OrderLine` directly, making it impossible to record partial quantities of an order line within a specific shipment, and adds redundant paths like `Delivery "*" --&gt; "*" OrderLine`.
3. Model attributes with appropriate data types: Model 1 = 5, Model 2 = 3; Evidence: Model 1 captures `shippedQuantity` on both `OrderLine` and `ShipmentLine`, enabling precise tracking of partial fulfillments. Model 2 only has `quantityOrdered` on `OrderLine` and lacks any attribute to track how many items are in a given shipment.
4. Consistencies of Terminology with given context: Model 1 = 5, Model 2 = 3; Evidence: Model 1 correctly consolidates the requested statuses (`PACKED`, `SHIPPED`, `RECEIVED`, `MISSING`, `DAMAGED`) into a single `ShipmentStatus` enum. Model 2 creates confusing overlap by defining both `DeliveryStatus` and `ShipmentStatus` with duplicated values, and contradictorily uses `DeliveryAddress` for the `headOfficeAddress`.
5. Adherence of UML class diagram standards: Model 1 = 5, Model 2 = 5; Evidence: Both models use valid PlantUML syntax. Model 1 uses bidirectional associations correctly, and Model 2 uses valid unidirectional arrows with valid multiplicities. Model 2's `'opposite` comments are standard tooling annotations and do not violate UML standards.
Total: Model 1 = 25, Model 2 = 16
Choice: A
Reason:
1. Appropriate conceptual classes: Model 1 identifies exact conceptual classes for the domain (`ShipmentLine`), while Model 2 introduces redundant or poorly-named classes (`Delivery`, `Company`, `DeliveryAddress` for head office).
2. Associations/Multiplicities: Model 1 flawlessly models partial order line shipments using an association-class-like structure (`ShipmentLine` linking to `OrderLine`), whereas Model 2 directly links `Shipment` to `OrderLine`, structurally failing to support partial shipments of a single line.
3. Model attributes: Model 1 tracks partial deliveries by placing `shippedQuantity` on `ShipmentLine`. Model 2 lacks attributes to quantify partial shipments.
4. Terminology: Model 1 exactly matches the requirement's tracking statuses in one enum. Model 2 duplicates them across `ShipmentStatus` and `DeliveryStatus`.
5. Rejected or checked issues: Model 2's `'opposite` comments were correctly ignored per the evaluation guidelines and did not negatively impact its UML adherence score.
6. Overall judgment: Model 1 provides a highly accurate and domain-appropriate representation, especially concerning the complex requirements of partial shipments and grouping order lines. Model 2 struggles with domain relationships, terminology, and lacks the structural capability to fulfill the shipment tracking requirements.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</si>
  <si>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</si>
  <si>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basic classes but misses an association class or line-item concept (like `ShipmentLine`) to handle partial shipments of a single order line, and redundantly separates `Shipment` and `Delivery`. Model 2 includes `ShipmentLine` which perfectly aligns with the domain requirement for "partial deliveries of one or more order lines".
2. Associations/Multiplicities between classes for domain reasoning: Model 1 = 2, Model 2 = 5; Evidence: Model 1 models `Shipment "1" --&gt; "*" OrderLine`, restricting an `OrderLine` to exactly one `Shipment`, which contradicts the possibility of partial deliveries for a line. Model 2 uses `Shipment "1" -- "1..*" ShipmentLine` and `ShipmentLine "0..*" -- "1" OrderLine`, correctly allowing an order line to be split across multiple shipments.
3. Model attributes with appropriate data types: Model 1 = 2, Model 2 = 5; Evidence: Model 1's `OrderLine` only has `quantityOrdered: int` and lacks attributes on any shipment class to track how many items are in a specific shipment. Model 2 captures this perfectly by including `shippedQuantity: Integer` in `ShipmentLine` (and `OrderLine`).
4. Consistencies of Terminology with given context: Model 1 = 3, Model 2 = 5; Evidence: Model 1 unnecessarily duplicates the delivery tracking concept into `Shipment` and `Delivery` classes, with overlapping enums (`ShipmentStatus` and `DeliveryStatus`). Model 2 consistently uses `Shipment` and `ShipmentStatus` containing all states requested in Step 4 (PACKED, SHIPPED, RECEIVED, MISSING, DAMAGED).
5. Adherence of UML class diagram standards: Model 1 = 5, Model 2 = 5; Evidence: Both models use valid PlantUML syntax and correct UML notations for classes, attributes, and associations.
Total: Model 1 = 15, Model 2 = 25
Choice: B
Reason:
1. Appropriate conceptual classes aligned with the domain: Model 2 correctly introduces the `ShipmentLine` class, which is necessary to represent the domain requirement that partial deliveries of order lines are possible. Model 1 lacks this concept and confusingly splits the tracking into two separate classes (`Shipment` and `Delivery`).
2. Associations/Multiplicities between classes for domain reasoning: Model 1's association `Shipment "1" --&gt; "*" OrderLine` logically forces an order line to belong to exactly one shipment, making partial shipments of a single line impossible to track. Model 2 resolves this perfectly by associating `OrderLine` with multiple `ShipmentLine` instances (`ShipmentLine "0..*" -- "1" OrderLine`).
3. Model attributes with appropriate data types: Model 2 includes the critical `shippedQuantity` attribute in `ShipmentLine`, enabling the system to accurately track how much of a product was sent in a specific delivery. Model 1 only tracks `quantityOrdered` in `OrderLine`, failing to record partial shipment quantities.
4. Consistencies of Terminology with given context: Model 2 accurately maps the required statuses (PACKED, SHIPPED, RECEIVED, MISSING, DAMAGED) into a single `ShipmentStatus` enum. Model 1 splits these across `ShipmentStatus` and `DeliveryStatus`, which is redundant and confusing.
5. Rejected or checked issues: Model 1's use of directional arrows (`--&gt;`) and trailing single-quote comments (`'opposite company`) are standard PlantUML tooling annotations and were not penalized. Similarly, basic primitive type aliases (`int` vs `Integer`) were treated as equivalent for both models. 
6. Overall judgment: Model 2 is significantly better because it successfully models the complex domain requirements from Step 4 (partial shipments of order lines) by introducing `ShipmentLine` with proper attributes and multiplicities. Model 1 fails to support partial line deliveries semantically and introduces redundant tracking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</si>
  <si>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</si>
  <si>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achieves high cohesion by reusing a single `Address` class for multiple roles (`headOffice`, `deliveryWarehouses`, `deliveredTo`) and cleanly separates shipment grouping using `Shipment` and `ShipmentLine`. Model 2 suffers from low cohesion and high coupling by splitting the shipment concept into overlapping `Shipment` and `Delivery` classes, where both separately associate with `OrderLine` (`Shipment "1" --&gt; "*" OrderLine` and `Delivery "*" --&gt; "*" OrderLine`), creating entangled responsibilities.
2. Complexity: Model 1 = 5, Model 2 = 3; Evidence: Model 1 maintains a balanced complexity with 8 classes and a single `ShipmentStatus` enum that covers all required states (PACKED, SHIPPED, RECEIVED, MISSING, DAMAGED). Model 2 unnecessarily increases complexity by introducing a redundant `Company` root class and duplicating status enums (`ShipmentStatus` with 3 states and `DeliveryStatus` with 5 states).
3. Practicability: Model 1 = 5, Model 2 = 2; Evidence: The requirement explicitly states "partial deliveries of one or more order lines are possible." Model 1 supports this practically by introducing a `ShipmentLine` class with a `shippedQuantity: Integer` attribute, allowing a specific quantity of an order line to be shipped. Model 2 connects `Shipment` directly to `OrderLine` without an intermediate association class or attribute to record the shipped quantity, making it impossible to track how many items of an order line are fulfilled in a given shipment.
Total: Model 1 = 15, Model 2 = 8
Choice: A
Reason:
1. Cohesion and Decoupling: Model 1 has a highly cohesive design, effectively reusing the `Address` class and logically structuring shipments. Model 2 creates parallel, coupled structures by having both `Shipment` and `Delivery` independently track `OrderLine`s.
2. Complexity: Model 1 uses a streamlined and domain-appropriate set of classes and enums. Model 2 overcomplicates the model by adding a `Company` class that provides no structural benefit and by splitting the delivery tracking into confusing, overlapping enums (`ShipmentStatus` vs. `DeliveryStatus`).
3. Practicability: Model 1 correctly captures the business logic for partial shipments by using `ShipmentLine.shippedQuantity`, which tracks exactly how many items are shipped at a time. Model 2 fails to provide a mechanism to fulfill a partial quantity of an `OrderLine`, directly violating the requirement that order lines can be partially delivered.
4. Rejected or checked issues: I ignored the single-quote comments in Model 2 (e.g., `'opposite company`), as these are standard PlantUML tooling annotations and do not affect UML semantics.
5. Overall judgment: Model 1 translates the progressive business requirements into a robust, practical, and highly cohesive UML model. Model 2 struggles with the shipment tracking requirement, resulting in redundant classes and the inability to handle partial order line quantities.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</si>
  <si>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</si>
  <si>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couples both `Shipment` and `Delivery` directly to `OrderLine` (`Shipment "1" --&gt; "*" OrderLine` and `Delivery "*" --&gt; "*" OrderLine`), while also associating `Shipment` with `Delivery` (`Shipment "1" --&gt; "*" Delivery`), creating tangled dependencies and overlapping responsibilities. Model 2 achieves low coupling and high cohesion by using a clean hierarchical structure: `Shipment "1" -- "1..*" ShipmentLine` and `ShipmentLine "0..*" -- "1" OrderLine`, delegating the line-item matching cleanly to `ShipmentLine`.
2. Complexity: Model 1 = 3, Model 2 = 5; Evidence: Model 1 overcomplicates the conceptual domain by including a `Company` class (`Company "1" --&gt; "*" Customer`) which just represents the singular system owner (violating the principle that not every noun should become a class), and by splitting the shipping concept into `Shipment` and `Delivery` with overlapping enums (`ShipmentStatus` vs `DeliveryStatus`). Model 2 balances complexity appropriately by omitting the redundant `Company` class and unifying the shipping domain into a single `Shipment` class (total 7 classes vs Model 1's 9 classes).
3. Practicability: Model 1 = 2, Model 2 = 5; Evidence: Model 1's `OrderLine` only contains `quantityOrdered: int`, and neither `Shipment` nor `Delivery` records the actual quantity shipped, making it mathematically impractical to track partial deliveries of a single line. Model 2 is highly practical because it includes `shippedQuantity: Integer` in both `OrderLine` and `ShipmentLine`, directly supporting the requirement to "keep track of partially shipped orders" and compute the "to-be-shipped list".
Total: Model 1 = 7, Model 2 = 15
Choice: B
Reason:
1. Cohesion and Decoupling: Model 2 decouples the shipment and order line relationship effectively using the `ShipmentLine` class, whereas Model 1 creates redundant and tangled association paths between `Shipment`, `Delivery`, and `OrderLine`.
2. Complexity: Model 2 correctly avoids modeling the system itself (`Company`) and consolidates the delivery and shipment concepts. Model 1 artificially inflates the class and enum count with redundant entities (`Shipment` vs `Delivery`, `ShipmentStatus` vs `DeliveryStatus`).
3. Practicability: Model 2 provides the necessary attributes (`shippedQuantity` on multiple levels) to fulfill the core business requirement of tracking partial line shipments. Model 1 completely omits these quantities, rendering it incapable of properly managing the described stock and delivery logic.
4. Rejected or checked issues: I explicitly ignored Model 1's use of single-quote comments for opposite roles (e.g., `'opposite company`) and its bidirectional modeling style, as these are permitted by the strict guidelines and did not negatively impact its score. 
5. Overall judgment: Model 2 provides a much more robust, practical, and cleanly structured design that accurately addresses the domain requirements, especially regarding partial shipments and streamlined status tracking, making it clearly superior.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</si>
  <si>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</si>
  <si>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</si>
  <si>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</si>
  <si>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accurately capture the employee hierarchy, player profiles, target positions, and attributes. However, Model 2 explicitly models the `ShortListEntry` and links it to both `HeadCoach` and `HeadScout` to capture the requirement that they decide on short-listed players together. Model 2 also explicitly shows `HeadScout` creating `ScoutingAssignment`s. Model 1 attempts to handle the long/short lists using a `ScoutingState` enum within a `ScoutingRecord`, which abstracts away the distinct structural relationships for the short list and assignment creation mentioned in the text.
Total: Model 1 = 4, Model 2 = 5
Choice: B
Reason:
1. Alignment with Requirements: Model 2 aligns perfectly with the explicit entities described in the prompt. It clearly distinguishes `LongListEntry` and `ShortListEntry`, properly attributing the creation and approval relationships to the exact roles specified (e.g., HeadScout creates assignments, HeadCoach and HeadScout approve short list entries). Model 1 relies on a `ScoutingRecord` state machine which is an implementation choice that slightly obscures the explicit business relationships requested, such as who moves a player to the short list and who creates the scouting assignments.
2. Rejected or checked issues: Both models correctly handle the inheritance of `HeadScout` from `Scout`. The choice of `Position` as an enum in Model 1 versus a class in Model 2 are both valid representations and neither was penalized.
3. Overall judgment: Model 2 provides a more accurate and structurally faithful representation of the domain entities and their specific relationships as outlined in the requirements,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</si>
  <si>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</si>
  <si>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given requirement and representation of essentials: Model 1 = 5, Model 2 = 4; Evidence: Model 1 explicitly connects actors to their precise responsibilities based on the text (e.g., `HeadScout "1" -- "0..*" ScoutingAssignment : creates &gt;`, and both `HeadCoach` and `HeadScout` are directly linked to `ShortListEntry` with `approves &gt;`). It also provides explicit cardinalities on both ends of associations (e.g., `TargetProfile "1" -- "1..*" TargetPosition`). Model 2 is logically sound and uses a valid `ScoutingRecord` state machine (e.g., `SHORT_LIST`, `RECOMMENDED`), but it abstracts away some specific actor links (e.g., it lacks a direct link from `HeadScout` to `ScoutingAssignment` creation, instead connecting `HeadScout` and `HeadCoach` generally to `ScoutingRecord`).
Total: Model 1 = 5, Model 2 = 4
Choice: A
Reason:
1. Alignment with given requirement and representation of essentials: Model 1 maps the textual requirements (verbs and actors) more faithfully into specific associations. For example, it explicitly models the joint decision for short-listing by linking both the `HeadCoach` and the `HeadScout` to the `ShortListEntry`, and it directly links the `HeadScout` to the creation of the `ScoutingAssignment`. Model 2 abstracts these specific interactions behind a general `ScoutingRecord` class, which slightly dilutes the precise business rules and responsibilities outlined in the prompt. Both models accurately capture attributes, enums (e.g., `Recommendation`), and the inheritance hierarchy for `Employee`.
2. Rejected or checked issues: I did not penalize Model 2 for using two opposite unidirectional associations (`produces` and `fulfills` between `ScoutingAssignment` and `ScoutingReport`), nor for using a single-quote PlantUML comment (`'opposite produces`), as these are semantically valid and explicitly protected by the forbidden penalties. Model 2's introduction of the `ScoutingRecord` class was also not penalized as a hallucination, as introducing traceable workflow/record classes is allowed; the score difference stems strictly from the missing precision in actor-to-action associations.
3. Overall judgment: Both models provide excellent, highly accurate UML diagrams that capture the core domain. Model 1 is chosen as the winner because its structural choices, specific classes (`ShortListEntry`), and labeled associations more directly and explicitly capture the responsibilities assigned to each employee role in the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</si>
  <si>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</si>
  <si>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key entities required by the domain, including the employee hierarchy (`HeadCoach`, `Director`, `Scout`, `HeadScout`), `TargetProfile`, `Player`, `ScoutingAssignment`, `ScoutingReport`, and entities representing lists and offers. Model 1 uses a `ScoutingRecord` state machine for list transitions, while Model 2 models explicit `LongListEntry` and `ShortListEntry` classes. Both are excellent approaches.
2. Associations/Multiplicities between classes for domain reasoning: Model 1 = 4, Model 2 = 5; Evidence: Model 2 accurately captures specific domain reasoning constraints from the prompt, such as the `HeadScout` creating `ScoutingAssignment`s (`HeadScout "1" -- "0..*" ScoutingAssignment : creates &gt;`) and both the `HeadCoach` and `HeadScout` deciding on the short list (`HeadCoach` and `HeadScout` linked to `ShortListEntry`). Model 1 misses the explicit link of the `HeadScout` setting up assignments and the joint decision for the short list, relying generically on `ScoutingRecord` relationships.
3. Model attributes with appropriate data types: Model 1 = 5, Model 2 = 5; Evidence: Both models accurately capture attributes such as player attributes (name and value), target positions, and scouting report details (`pros`, `cons`, `recommendation`). Data types are appropriate (e.g., enums for recommendation statuses, `String`, `Date`). 
4. Consistencies of Terminology with given context: Model 1 = 5, Model 2 = 5; Evidence: Both models strictly adhere to the terminology in the prompt, using terms like "TargetProfile", "ScoutingAssignment", "ScoutingReport", "LongList", "ShortList", and correct recommendation values.
5. Adherence of UML class diagram standards: Model 1 = 5, Model 2 = 5; Evidence: Both models use valid PlantUML syntax, correct inheritance arrows (`&lt;|--`), and proper association notations. Model 2 effectively uses role labels and reading directions. 
Total: Model 1 = 24, Model 2 = 25
Choice: B
Reason:
1. Appropriate conceptual classes aligned with the domain: Both models perfectly identify the necessary classes, including the employee roles, player profiles, reports, and offers.
2. Associations/Multiplicities between classes for domain reasoning: Model 2 is slightly better because it explicitly models the domain relationships described in the prompt, specifically that the `HeadScout` creates the scouting assignments, and that both the `HeadCoach` and `HeadScout` approve moves to the short list. Model 1 abstracts these into a generic `ScoutingRecord` state, losing some of the explicit actor-action mappings requested in the text.
3. Model attributes with appropriate data types: Both models do an excellent job capturing the required attributes like `pros`, `cons`, `recommendation`, and player profile names/values with appropriate data types and enums.
4. Consistencies of Terminology with given context: Both models are perfectly aligned with the prompt's vocabulary.
5. Adherence of UML class diagram standards: Both models follow proper PlantUML/UML syntax for generalizations and associations.
6. Overall judgment: Model 2 provides a marginally more precise mapping of associations between specific employee roles and their respective actions (e.g., HeadScout setting up assignments, joint approval for the short list), making it slightly better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</si>
  <si>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</si>
  <si>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both `LongListEntry` and `ShortListEntry` as classes, perfectly capturing the parallel list structures described in the domain. Model 2 models `LongListEntry` as a class but reduces the "short list" to just an enumeration literal (`SHORT_LIST` in `ScoutingState`) managed by a `ScoutingRecord`, resulting in a slightly disjointed representation of the two lists.
2. Associations/Multiplicities between classes for domain reasoning: Model 1 = 5, Model 2 = 4; Evidence: Model 1 defines complete bidirectional multiplicities for all associations (e.g., `ScoutingAssignment "0..*" -- "1" Scout`), fully capturing the domain constraints. Model 2 only specifies multiplicities on the target end of its directed associations (e.g., `Scout --&gt; "*" LongListEntry`), leaving the source multiplicities (how many Scouts per LongListEntry) undefined in the diagram.
3. Model attributes with appropriate data types: Model 1 = 5, Model 2 = 5; Evidence: Both models successfully identify appropriate attributes and assign valid data types. Model 1 uses types like `UUID`, `String`, `Decimal`, and `Date` (e.g., `ContractOffer.amount: Decimal`). Model 2 uses `int`, `String`, `Date`, `double`, and collection generics (e.g., `targetPositions: List&lt;Position&gt;`).
4. Consistencies of Terminology with given context: Model 1 = 5, Model 2 = 4; Evidence: Model 1 closely mirrors the exact terminology of the prompt (`TargetProfile`, `ShortListEntry`, `ContractOffer`, `ProfileAttribute`). Model 2 uses mostly aligned terms but diverges slightly by abbreviating "official offer" to `Offer` and using a generalized `ScoutingRecord` instead of using explicit "short list" terminology for the object.
5. Adherence of UML class diagram standards: Model 1 = 5, Model 2 = 5; Evidence: Both models use correct PlantUML syntax for classes, enumerations, and inheritance (e.g., `Employee &lt;|-- Scout`). Model 1 uses standard bidirectional associations, while Model 2 correctly applies directed associations and composition (`TargetProfile *-- "*" Attribute`).
Total: Model 1 = 25, Model 2 = 22
Choice: A
Reason:
1. Appropriate conceptual classes: Model 1 captures the domain better by explicitly modeling both the long list and short list as conceptual entities (`LongListEntry`, `ShortListEntry`). Model 2 creates a structural imbalance by modeling the long list as a class but treating the short list merely as a state within a `ScoutingRecord`.
2. Associations/Multiplicities: Model 1 is more precise, explicitly defining multiplicities on both ends of its relationships. Model 2 uses an abbreviated syntax that only defines the target multiplicity, missing out on formalizing the reverse constraints (e.g., how many players are in a single assignment).
3. Rejected or checked issues: Model 2 includes single-quote comments (`'opposite produces`), which are standard PlantUML comment markers; this was ignored for scoring as per the strict guidelines. Model 2's use of a `List` type for attributes and directed arrows are valid structural choices and were not penalized under UML standards.
4. Overall judgment: Model 1 is better. It provides a more balanced and semantically complete representation of the domain logic, utilizing explicit classes for key domain artifacts (both lists) and providing rigorous bidirectional multiplicities to capture cardinality constraints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</si>
  <si>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</si>
  <si>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an `Employee` hierarchy to separate roles (`HeadCoach`, `HeadScout`, `Scout`, `Director`). Model 1 centralizes the lifecycle into a `ScoutingRecord` which couples various stages but keeps high cohesion for the tracking process. Model 2 decouples the stages into `LongListEntry` and `ShortListEntry`, keeping individual concepts independent.
2. Complexity: Model 1 = 4, Model 2 = 4; Evidence: Model 1 has 12 classes and 3 enums, using a `ScoutingState` enum to manage list progression. Model 2 has 13 classes and 2 enums, creating explicit classes for `ShortListEntry` and `TargetPosition`. Both maintain an appropriate depth of inheritance (maximum 2 levels) and a reasonable number of attributes per class.
3. Practicability: Model 1 = 5, Model 2 = 4; Evidence: Model 1 introduces a `ScoutingRecord` to track the state transition of a player through the pipeline (from long list to short list to offer), which is highly practical for an application managing workflows. Model 2 relies on separate entries (`LongListEntry`, `ShortListEntry`) which makes it slightly harder to trace the entire history of a single player's scouting process without a unifying entity, but it is still highly readable and modular.
Total: Model 1 = 13, Model 2 = 12
Choice: C
Reason:
1. Cohesion and Decoupling: Both models successfully decouple the different actors and their specific responsibilities. Model 1's use of a central `ScoutingRecord` is highly cohesive for workflow management, while Model 2's separation of lists maintains low coupling.
2. Complexity: Both models accurately reflect the domain complexity without over-engineering. They correctly use generalization for the employee roles and keep class attributes focused.
3. Practicability: Model 1 is slightly more practical because the `ScoutingRecord` allows the system to easily track a player's progression through the various scouting stages (long list -&gt; under investigation -&gt; short list -&gt; recommended -&gt; offer). Model 2's approach of using separate entities for lists is also valid and readable but slightly less cohesive for end-to-end tracking.
4. Overall judgment: Both models provide excellent, highly readable, and domain-accurate representations of the requirement. The meaningful quality difference is very small, as both approaches (state tracking vs. separate list entities) are valid architectural choices.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</si>
  <si>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</si>
  <si>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and low coupling. Model 1 achieves this by separating `LongListEntry` and `ShortListEntry` as distinct conceptual entities. Model 2 achieves this by centralizing the tracking lifecycle into a `ScoutingRecord` class that aggregates assignments and tracks the `ScoutingState`.
2. Complexity: Model 1 = 5, Model 2 = 5; Evidence: Model 1 contains 15 classes/enums, using intermediate entities like `TargetPosition` and `ProfileAttribute` to structure the profile requirements. Model 2 contains 13 classes/enums, using a `Position` enum and standardizing the lifecycle through `ScoutingState`. Both are appropriately complex for the domain.
3. Practicability: Model 1 = 5, Model 2 = 5; Evidence: Model 1 maps very directly to the noun concepts in the requirements (e.g., explicitly defining `ShortListEntry` and linking it to the approvals). Model 2 uses a state-driven approach (`ScoutingRecord` with `ScoutingState`) which is a highly practical design pattern for tracking a workflow from long list to short list and offer.
Total: Model 1 = 15, Model 2 = 15
Choice: C
Reason:
1. Cohesion and Decoupling: Both models successfully decouple the core concepts. Model 1 separates the phases into independent entities (`LongListEntry`, `ShortListEntry`), while Model 2 uses a well-encapsulated `ScoutingRecord` to track the state transitions. Both approaches are valid and maintain high cohesion.
2. Complexity: Both models keep the number of classes and methods well-balanced. Model 1 breaks down positions into a class, whereas Model 2 uses an Enum and a collection attribute, which are both acceptable levels of complexity for the given requirements.
3. Practicability: Both designs are highly practical and implementable. Model 1's direct mapping of short list entries is easy to query and test, while Model 2's state machine approach accurately reflects the real-world tracking of a player's scouting lifecycle. 
4. Overall judgment: The two models represent two different but equally valid software engineering paradigms (entity-per-phase vs. state-driven tracking record). Both satisfy the requirements perfectly without introducing unnecessary complexity or structural flaws,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</si>
  <si>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</si>
  <si>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2; Evidence: Model 1 correctly models inheritance (`Employee &lt;|-- HeadCoach`), includes clear entities for domain concepts like `LongListEntry`, `ScoutingAssignment`, `ScoutingReport`, and `Offer`, and uses explicit associations. Model 2 reverses the inheritance direction (`Employee --|&gt; HeadCoach` implies Employee extends HeadCoach), completely misses the "long list" entity, mistakenly places `shortList` as an attribute inside `ScoutingAssignment` (even though assignments are for specific players), and omits the `Offer` class.
Total: Model 1 = 5, Model 2 = 2
Choice: A
Reason:
1. Alignment with requirement: Model 1 demonstrates an excellent understanding of the domain. It correctly structures the roles with proper inheritance (`Employee &lt;|-- HeadCoach` means HeadCoach inherits from Employee). It captures the target profiles, positions, and attributes perfectly. The workflow from `LongListEntry` to `ScoutingAssignment` to `ScoutingReport` and finally to an `Offer` is logically sound and completely faithful to the text. Model 2, on the other hand, fundamentally breaks UML inheritance rules by reversing the arrows (`Employee --|&gt; HeadCoach`, making Employee a subclass of the specific roles). Furthermore, Model 2 fails to properly model the long list, incorrectly places the short list inside a scouting assignment (a scouting assignment is for a specific player, not a container for the short list), and lacks an explicit class for the official offer.
2. Rejected or checked issues: I ignored Model 1's use of single quotes (`'opposite produces`) as it is standard tooling annotation. I also did not penalize either model for their choice of using Enums vs Strings for recommendations or positions, as both represent the domain adequately (though Model 1's enums are more robust).
3. Overall judgment: Model 1 is significantly better. It accurately translates a complex business workflow into a semantically correct and highly detailed UML class diagram. Model 2 suffers from invalid inheritance semantics and poor structural placement of domain concepts (like the short list). Therefore, Model 1 is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</si>
  <si>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</si>
  <si>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lacks a clear representation of the "long list" (only linking Scout to Player) and incorrectly places `shortList` as an attribute inside `ScoutingAssignment`. It also incorrectly links `ScoutingAssignment` and `ScoutingReport` directly to `PlayerProfile` rather than the specific `Player` being investigated. Model 2 accurately models the "long list" via `LongListEntry` linking a `Player` to a `TargetProfile`. It correctly uses a `ScoutingState` enum to manage the transitions from LONG_LIST to SHORT_LIST, and correctly maps `ScoutingAssignment` to a specific `Player` and `Scout`.
Total: Model 1 = 2, Model 2 = 5
Choice: B
Reason:
1. Alignment with requirements: Model 2 strictly follows the domain logic. It accurately captures the long list requirement by using a `LongListEntry` that bridges a `Player` with a `TargetProfile`. Model 1 completely misses the long list context, only providing a basic "notes" association between `Scout` and `Player` without linking it to the target profile. 
Furthermore, Model 2 correctly models `ScoutingAssignment` as investigating a specific `Player` and producing a `ScoutingReport` about that player. Model 1 wrongly associates `ScoutingAssignment` and `ScoutingReport` with `PlayerProfile`, which contradicts the requirement to "investigate a specific player more thoroughly". 
Model 2 elegantly handles the short list and overall workflow progression using `ScoutingRecord` and `ScoutingState` (LONG_LIST, SHORT_LIST, RECOMMENDED), whereas Model 1 wrongly embeds `shortList : List&lt;Player&gt;` as an attribute inside a single `ScoutingAssignment`. 
Model 2 also perfectly captures the specific enumerations mentioned in the text (target positions and recommendation types), making it highly accurate to the requirements.
2. Rejected or checked issues: I noted the single-quote comment (`'opposite produces`) in Model 2 and the bidirectional vs. unidirectional association styles, but correctly ignored them per the forbidden penalties rule. The use of a workflow class (`ScoutingRecord`) in Model 2 was not penalized, as it is a valid and traceable refinement for tracking the status progression mentioned in the text.
3. Overall judgment: Model 2 is vastly superior because its conceptual classes and relationships accurately mirror the complex business logic, associations, and workflow progression (long list -&gt; assignment -&gt; report -&gt; short list -&gt; offer) detailed in the requirements, whereas Model 1 contains structural flaws and incorrect domain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</si>
  <si>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</si>
  <si>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extracts `TargetProfile`, `Attribute`, `LongListEntry`, `ScoutingAssignment`, `ScoutingReport`, and `Offer`. Model 2 misses `Long List` and `Offer` entirely (reducing it to just a relationship) and treats `shortList` conceptually as a property of an assignment rather than a distinct state or list entity.
2. Associations/Multiplicities between classes for domain reasoning: Model 1 = 5, Model 2 = 2; Evidence: Model 1 accurately links `ScoutingAssignment` to `Player` and `Scout`. Model 2 incorrectly models inheritance backward (`Employee --|&gt; HeadCoach` dictates that `HeadCoach` is the superclass of `Employee`) and maps `ScoutingAssignment` to investigate `PlayerProfile` instead of a `Player`. 
3. Model attributes with appropriate data types: Model 1 = 5, Model 2 = 2; Evidence: Model 1 captures detailed attributes perfectly, utilizing Enums for `Recommendation` (e.g., KEY_PLAYER, FIRST_TEAM) and `Position`. Model 2 incorrectly places `targetPosition` directly inside the `Player` class instead of the profile, incorrectly assigns `shortList : List&lt;Player&gt;` as an attribute of `ScoutingAssignment`, and lacks detailed `Offer` attributes.
4. Consistencies of Terminology with given context: Model 1 = 5, Model 2 = 3; Evidence: Model 1 uses the exact terminology provided in the requirement, such as `TargetProfile`, `LongListEntry`, `ScoutingAssignment`, and specific recommendation names. Model 2 alters terminology to `PlayerProfile`, misses `Long List`, and uses generic strings for decisions.
5. Adherence of UML class diagram standards: Model 1 = 5, Model 2 = 3; Evidence: Model 1 uses correct PlantUML inheritance syntax (`Employee &lt;|-- HeadCoach` meaning HeadCoach extends Employee). Model 2 has backward inheritance arrows and creates an invalid association targeting an attribute name (`ScoutingReport --&gt; "1" relatedAssignment : linkedAssignment`), which will cause PlantUML to incorrectly generate a new class named `relatedAssignment`.
Total: Model 1 = 25, Model 2 = 12
Choice: A
Reason:
1. Appropriate conceptual classes aligned with the domain: Model 1 successfully abstracts all requested entities, including representing the Long List and Offers as dedicated classes. Model 2 lacks the Long List and Offer classes, weakening its domain representation.
2. Associations/Multiplicities between classes for domain reasoning: Model 1 logically connects scouts, assignments, and players. Model 2 struggles significantly with basic UML relationship directions (making Employee inherit from HeadCoach) and assigns investigations to profiles rather than the actual players.
3. Model attributes with appropriate data types: Model 1 accurately uses Enums to capture the exact domain values mentioned in the prompt (positions, recommendations). Model 2 inappropriately embeds the short list inside a single scouting assignment and places the target position property on the Player class.
4. Consistencies of Terminology with given context: Model 1 perfectly adheres to the text's terminology. Model 2 deviates by using "PlayerProfile" instead of target profile and omitting long list phrasing.
5. Adherence of UML class diagram standards: Model 1 displays flawless PlantUML usage. Model 2 contains syntax and notation errors, most notably the reversed inheritance arrows and defining an association pointing to an attribute reference rather than a class.
6. Overall judgment: Model 1 is an exceptional and comprehensive representation of the domain, fully covering the workflow states, specific terminology, and relationships. Model 2 suffers from severe domain misinterpretations, misplaced attributes, and fundamental UML syntax errors. Therefore, Model 1 is much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</si>
  <si>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</si>
  <si>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core entities like `Player`, `PlayerProfile`, and `ScoutingAssignment`, but lacks conceptual classes for offers and lists (it places `shortList` as an attribute inside `ScoutingAssignment`, which fails to model a list of players across assignments). Model 2 correctly introduces `LongListEntry`, `ScoutingRecord` (to handle states like long list and short list), and `Offer` to capture all domain concepts fully.
2. Associations/Multiplicities between classes for domain reasoning: Model 1 = 2, Model 2 = 5; Evidence: Model 1 has fundamentally flawed domain reasoning in its associations, such as `ScoutingAssignment --&gt; "*" PlayerProfile` (assignments should investigate specific players, not profiles) and `HeadScout --&gt; "*" PlayerProfile : recommends` (scouts recommend players, not profiles). Model 2 correctly associates `ScoutingAssignment --&gt; "1" Player`, `LongListEntry --&gt; "1" Player`, and connects `Offer` to both `Player` and `ScoutingRecord`. 
3. Model attributes with appropriate data types: Model 1 = 3, Model 2 = 5; Evidence: Model 1 primarily uses generic `String` types and lists (e.g., `pros : List&lt;String&gt;`). Model 2 excellently utilizes enums that strictly reflect the requirements, such as `Recommendation` (`KEY_PLAYER`, `FIRST_TEAM`, etc.) and `ScoutingState` (`LONG_LIST`, `SHORT_LIST`), alongside appropriate data types like `Date` and `double`.
4. Consistencies of Terminology with given context: Model 1 = 4, Model 2 = 5; Evidence: Model 1 uses terms from the text like `targetPosition`, `pros`, `cons`, and `recommendation`. Model 2 goes further by perfectly mapping the specific examples from the prompt into the design, including exact positions (`GK`, `LB`), specific recommendation values, and official terminology like "Offer" and "Long List".
5. Adherence of UML class diagram standards: Model 1 = 2, Model 2 = 5; Evidence: Model 1 has backward inheritance arrows (`Employee --|&gt; HeadCoach` means `Employee` inherits from `HeadCoach`). It also treats an attribute as a class in its association (`ScoutingReport --&gt; "1" relatedAssignment`), which generates a dummy class in PlantUML. Model 2 properly uses valid syntax for inheritance (`Employee &lt;|-- HeadCoach`) and composition (`TargetProfile *-- "*" Attribute`).
Total: Model 1 = 14, Model 2 = 25
Choice: B
Reason:
1. Appropriate conceptual classes aligned with the domain: Model 2 introduces necessary intermediate concepts like `LongListEntry`, `ScoutingRecord`, and `Offer` that reflect the real-world workflow requested, whereas Model 1 crams lists as simple attributes inside assignments, which breaks domain logic.
2. Associations/Multiplicities between classes for domain reasoning: Model 2 connects players to their assignments, entries, and offers accurately. Model 1 incorrectly points assignments and recommendations to the `PlayerProfile` rather than the `Player`, breaking the logical flow of scouting a specific person.
3. Adherence of UML class diagram standards: Model 1 suffers from major PlantUML syntax violations, primarily the inverted inheritance direction that implies all Employees are subclasses of specific roles, and invalid association targets. Model 2 is syntactically sound.
4. Rejected or checked issues: Model 2 uses a PlantUML comment (`'opposite produces`) and common primitive types (`int`, `double`); following the evaluation guidelines, these are completely valid and no penalties were applied. 
5. Overall judgment: Model 2 is significantly superior. It comprehensively translates the business requirements into precise conceptual classes, enums, and relationships while strictly adhering to UML standards. Model 1 struggles with basic UML syntax (reversed inheritance) and makes critical domain reasoning errors by linking actions to profiles instead of players.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</si>
  <si>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</si>
  <si>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segregating responsibilities into dedicated classes: `LongListEntry` distinctly connects a `Player` to a `TargetProfile`, while `ScoutingRecord` tracks the overall lifecycle. Model 2 exhibits poor cohesion by blending concerns; for example, `ScoutingAssignment` contains `+ shortList : List&lt;Player&gt;`, conflating a specific scouting task with the overarching list of short-listed players. Furthermore, Model 2 models inheritance backwards (`Employee --|&gt; HeadCoach`), making the base `Employee` class depend on/inherit from specific roles, which creates a highly coupled and illogical structure.
2. Complexity: Model 1 = 5, Model 2 = 2; Evidence: Model 1 balances domain complexity perfectly by utilizing 13 classes and 3 enumerations that map directly to the text (e.g., `ScoutingRecord` for the multi-round scouting process, `Offer` for the official offer). Model 2 under-represents the required complexity; it omits the "Long List" and "Offer" as concrete concepts, instead reducing the offer to a mere association (`Director --&gt; "*" Player : makesOffer`) and treating the short list as a nested list attribute.
3. Practicability: Model 1 = 5, Model 2 = 2; Evidence: Model 1 is highly practical, employing strong typing via Enums (`Recommendation`, `Position`, `ScoutingState`) to represent fixed domain values, which facilitates robust testing and maintenance. Model 2 relies heavily on raw strings (`+ status : String`, `+ recommendation : String`, `+ targetPosition : String`). Additionally, Model 2 contains a flawed association: `ScoutingReport --&gt; "1" relatedAssignment : linkedAssignment` targets the attribute name `relatedAssignment` rather than the actual `ScoutingAssignment` class, which would generate an erroneous ghost class in UML generation tools.
Total: Model 1 = 15, Model 2 = 6
Choice: A
Reason:
1. Cohesion and Decoupling: Model 1 effectively decouples the workflow using well-defined intermediate classes (`LongListEntry`, `ScoutingRecord`). Model 2 suffers from structural flaws, notably embedding the `shortList` inside `ScoutingAssignment` and utilizing backward inheritance arrows (e.g., `Employee --|&gt; HeadCoach`).
2. Complexity: Model 1 captures the multi-stage scouting and offering process through appropriate class abstractions. Model 2 oversimplifies the domain, lacking dedicated classes for offers and lists, and failing to model the iterative scouting rounds properly.
3. Practicability: Model 1 is implementation-ready, leveraging precise multiplicities and enumerations for data integrity. Model 2 uses a string-heavy approach and includes a syntactically confusing association that targets an attribute name instead of a class, severely limiting its real-world viability.
4. Rejected or checked issues: Model 1 uses the comment `'opposite produces` in one of its associations. As per the strict guidelines, this is a standard tooling annotation and was entirely ignored during the evaluation.
5. Overall judgment: Model 1 provides a highly accurate, cohesive, and syntactically sound representation of the domain requirements. Model 2 is fundamentally flawed in its structural mapping (backward inheritance), lacks necessary domain abstractions, and suffers from poor typing and association targeting. Therefore, Model 1 is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</si>
  <si>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</si>
  <si>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the short list to `ScoutingAssignment` as an attribute `shortList : List&lt;Player&gt;`, which contradicts the requirement that short-listed players get multiple assignments. Model 2 decouples the scouting workflow by using a `ScoutingRecord` to manage states (long list, short list) and links multiple `ScoutingAssignment`s to it. Model 2 also uses `LongListEntry` to cleanly associate a `Player`, a `Scout` ("logs"), and a `TargetProfile`, whereas Model 1 uses ambiguous direct associations (`Scout --&gt; Player : notes`).
2. Complexity: Model 1 = 3, Model 2 = 5; Evidence: Model 1 has 11 classes with an inheritance depth of 1, heavily relying on `String` types for attributes like `targetPosition`, `status`, and `recommendation`. Model 2 has 13 classes and 3 enums, with an inheritance depth of 2 (`Employee` -&gt; `Scout` -&gt; `HeadScout`). Model 2 correctly introduces conceptual classes like `LongListEntry`, `ScoutingRecord`, and `Offer` to capture business concepts without over-complicating, while using Enums (`Position`, `Recommendation`, `ScoutingState`) to strictly define allowed values.
3. Practicability: Model 1 = 3, Model 2 = 5; Evidence: Model 2 is highly practical and readable, modeling the official offer as an explicit `Offer` class (with `amount` and `date`) and providing type-safe Enums matching the requirement's exact values (e.g., `KEY_PLAYER`, `FIRST_TEAM`). Model 1 represents an offer merely as an association `Director --&gt; Player : makesOffer` without any way to store offer details. Model 2's structure supports robust testing and state management through `ScoutingRecord`, accurately reflecting the real-world workflow.
Total: Model 1 = 9, Model 2 = 15
Choice: B
Reason:
1. Cohesion and Decoupling: Model 2 provides a much better separation of concerns by introducing `ScoutingRecord` and `LongListEntry` to handle the player tracking workflow, preventing the assignment class from inappropriately holding the short list as seen in Model 1.
2. Complexity: Model 2 introduces a slightly higher class count but extracts exactly the right domain concepts (lists, records, offers) and utilizes Enums to manage state and types properly. Model 1 overuses strings and conflates responsibilities.
3. Rejected or checked issues: I did not penalize Model 1 for missing the `abstract` keyword on `Employee`, nor did I penalize the use of single quotes for comments in Model 2 (`'opposite produces`), as per the forbidden penalties.
4. Overall judgment: Model 2 aligns exceptionally well with the detailed domain requirements, capturing the nuances of the long list, short list, target profiles, and the final offer process with appropriate classes and enumerations. Model 1 falls short by using primitive types for constrained concepts and misunderstanding the relationship between assignments and the short list.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</si>
  <si>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</si>
  <si>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Conceptual Modeling: Model 1 = 5, Model 2 = 2; Evidence: Model 1 accurately captures all domain concepts using distinct and logical classes like `LongListEntry`, `ShortListEntry`, `TargetProfile`, `ScoutingAssignment`, `ScoutingReport`, and `ContractOffer`, complete with correct associations and multiplicities. Model 2 misses the "Long List" concept entirely (only having a `notes` association from `Scout` to `Player`), incorrectly models `shortList` as an attribute of `ScoutingAssignment` rather than a standalone concept that triggers subsequent assignments, and associates `ScoutingReport` with `PlayerProfile` rather than the actual `Player` investigated. Model 2 also lacks an explicit official offer class, using just a `makesOffer` association.
Total: Model 1 = 5, Model 2 = 2
Choice: A
Reason:
1. Alignment with Requirements and Conceptual Modeling: Model 1 comprehensively aligns with the workflow described in the prompt. It clearly distinguishes between target profiles, long lists, scouting assignments, scouting reports, short lists, and contract offers through well-defined conceptual classes. Its use of inheritance (`Employee` -&gt; `Scout` -&gt; `HeadScout`) and specific enumerations (`Recommendation`) perfectly matches the text. Model 2 fails to properly represent the domain workflow. Putting `shortList` as a list attribute inside `ScoutingAssignment` fundamentally contradicts the requirement, where players are moved to a short list *after* an initial assignment and report, which then triggers further assignments. Furthermore, Model 2 lacks a structural representation for the long list and official offers.
2. Rejected or checked issues: Both models use valid UML associations and primitive type aliases (e.g., `String`, `Date`). Model 2's addition of a `Team` class is a minor hallucination, but the primary reason for its lower score is its structural failure in modeling the core workflow entities (lists and assignments).
3. Overall judgment: Model 1 is vastly superior because it successfully translates a complex domain workflow into an accurate and highly readable object-oriented conceptual model, whereas Model 2 misses crucial business entities and misplaces attributes, breaking the required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</si>
  <si>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</si>
  <si>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Accuracy: Model 1 = 3, Model 2 = 5; Evidence: Model 2 correctly makes `HeadScout` a subclass of `Scout` (`Scout &lt;|-- HeadScout`), which aligns with the requirement that the head scout can carry out scouting assignments. Model 1 makes `HeadScout` a direct subclass of `Employee`. Model 2 explicitly models the "long list" and "short list" via `LongListEntry` and `ShortListEntry` classes that accurately link a `Player` to a `TargetProfile` and involve the appropriate actors (e.g., `HeadCoach` and `HeadScout` approving the short list). Model 1 merely adds a `shortList : List&lt;Player&gt;` attribute inside `ScoutingAssignment`, which misrepresents the domain logic since the short list is evaluated after assignments. Furthermore, Model 2 links `ScoutingAssignment` to `Player` to satisfy "investigate a specific player", whereas Model 1 incorrectly links `ScoutingAssignment` to `PlayerProfile`. Model 2 also captures the "official offer" concept gracefully with a `ContractOffer` class, while Model 1 only uses a basic association.
Total: Model 1 = 3, Model 2 = 5
Choice: B
Reason:
1. Alignment with Requirements and Domain Accuracy: Model 2 is highly accurate in translating the business requirements into UML concepts. It properly uses intermediate entry classes (`LongListEntry`, `ShortListEntry`) to handle the many-to-many logic of noting/shortlisting players against profiles, correctly models `HeadScout` as a type of `Scout` so they can participate in assignments, and uses accurate enumerations for the recommendations. Model 1 makes several domain mapping errors, such as placing the short list as an attribute inside `ScoutingAssignment`, pointing assignments to profiles rather than specific players, and failing to model the inheritance relationship between head scout and scout. 
2. Rejected or checked issues: Both models use string/String types and standard UML conventions appropriately; neither was penalized for their choice of multiplicity notation or bidirectional vs. unidirectional associations, strictly following the evaluation guidelines.
3. Overall judgment: Model 2 is significantly better because it captures the domain workflow (long list -&gt; assignments -&gt; reports -&gt; short list -&gt; offers) with precise conceptual classes and relationships, whereas Model 1 struggles to represent the intermediate states and explicitly contradicts the requirement regarding what a scouting assignment investigates.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</si>
  <si>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</si>
  <si>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distinct conceptual classes for domain entities such as `TargetProfile`, `LongListEntry`, `ShortListEntry`, and `ContractOffer`. Model 2 completely misses classes for "long list" and "official offer", and incorrectly models the "short list" as an attribute (`shortList : List&lt;Player&gt;`) inside `ScoutingAssignment`.
2. Associations/Multiplicities between classes for domain reasoning: Model 1 = 5, Model 2 = 1; Evidence: Model 1 accurately connects its list entry classes to `Player` and `TargetProfile` with valid bi-directional multiplicities (e.g., `LongListEntry "0..*" -- "1" Player`). Model 2 maps inheritance backwards (`Employee --|&gt; HeadCoach` means `Employee` is a subclass of `HeadCoach`) and misassigns the investigation relationship (`ScoutingAssignment --&gt; "*" PlayerProfile` investigates the profile instead of the `Player`).
3. Model attributes with appropriate data types: Model 1 = 5, Model 2 = 3; Evidence: Model 1 uses appropriate Enums (`Recommendation` containing exact requirement values like `KEY_PLAYER`, `NOT_A_GOOD_SIGNING`) and standard types (`Date` for deadlines, `Decimal` for amounts). Model 2 relies entirely on generic strings (`recommendation: String`) and improperly declares associations as complex attributes (`shortList: List&lt;Player&gt;`, `relatedAssignment: ScoutingAssignment`).
4. Consistencies of Terminology with given context: Model 1 = 5, Model 2 = 3; Evidence: Model 1 uses terminology perfectly aligned with the prompt, such as `LongListEntry`, `ShortListEntry`, `TargetProfile`, and `ContractOffer`. Model 2 omits "long list" entirely, alters designated player profile to `PlayerProfile`, and uses `makesOffer` as a relationship label rather than treating the offer as an explicit terminology concept.
5. Adherence of UML class diagram standards: Model 1 = 5, Model 2 = 2; Evidence: Model 1 accurately applies standard PlantUML inheritance notation (`Employee &lt;|-- HeadCoach`, arrow pointing to the parent). Model 2 breaks inheritance semantics by pointing the generalization arrow to the specific roles (`Employee --|&gt; HeadCoach`), and redundantly models structural relationships both as inline collection attributes and drawn associations.
Total: Model 1 = 25, Model 2 = 11
Choice: A
Reason:
1. Appropriate conceptual classes aligned with the domain: Model 1 brilliantly captures the core workflow by abstracting intermediate concepts into classes (`LongListEntry`, `ShortListEntry`, `ContractOffer`, `ScoutingReport`). Model 2 fails to encapsulate these, completely omitting the long list and embedding the short list as a simple list attribute inside an assignment.
2. Associations/Multiplicities between classes for domain reasoning: Model 1 logically links players, profiles, and assignments with comprehensive multiplicities. Model 2 fails domain reasoning by investigating `PlayerProfile` instead of a `Player`, and severely compromises the domain hierarchy by reversing the inheritance flow (`Employee` extending `HeadCoach`).
3. Model attributes with appropriate data types: Model 1 excels by extracting the specific recommendation categories explicitly stated in the prompt into a precise `Recommendation` enumeration. Model 2 falls back to weak data types (`String`) and improperly duplicates UML associations into textual attributes.
4. Consistencies of Terminology with given context: Model 1 perfectly mirrors the requirement's vocabulary ("target profile", "long list", "short list"). Model 2 strays from the provided text, omitting critical operational terms.
5. Adherence of UML class diagram standards: Model 1 strictly follows proper UML syntax and valid structural patterns. Model 2 struggles with PlantUML notation (backwards inheritance arrows) and duplicates object references in attributes rather than keeping them solely as structural lines.
6. Rejected or checked issues: Primitive type variations (`String` vs `string`) were ignored per the evaluation guidelines without penalty.
7. Overall judgment: Model 1 is an excellent, domain-accurate representation that carefully uses enums, relationship tracking, and correct UML standard notation to meet all complex requirements. Model 2 suffers from fatal OOP modeling flaws (reversed inheritance) and misses critical domain concepts, making Model 1 significantly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</si>
  <si>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</si>
  <si>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explicit classes for "Long List", "Short List", and "Offer", incorrectly shoving the short list as a `List&lt;Player&gt;` attribute into `ScoutingAssignment`. Model 2 explicitly models `LongListEntry`, `ShortListEntry`, and `ContractOffer`, perfectly capturing the domain concepts required for the workflow.
2. Associations/Multiplicities between classes for domain reasoning: Model 1 = 2, Model 2 = 5; Evidence: Model 1 incorrectly associates `ScoutingAssignment` with `PlayerProfile` (assignments should investigate a specific `Player`), lacks a direct association to assign a `Scout` to a `ScoutingAssignment`, and uses vague `*` multiplicities. Model 2 correctly links `ScoutingAssignment` to `Scout` and `Player`, and correctly ties list entries to both `Player` and `TargetProfile`, with comprehensive `0..*` and `1` multiplicities.
3. Model attributes with appropriate data types: Model 1 = 2, Model 2 = 5; Evidence: Model 1 relies almost entirely on `String` (even for `status` and `recommendation`) and wrongly uses arrays like `List&lt;Player&gt;` instead of modeling relationships. Model 2 uses appropriate types like `Date`, `UUID`, and `Decimal`, and explicitly captures the requirement's recommendation types in an `enum Recommendation` containing `KEY_PLAYER`, `FIRST_TEAM_PLAYER`, etc.
4. Consistencies of Terminology with given context: Model 1 = 3, Model 2 = 5; Evidence: Model 1 uses some correct terminology (e.g., `ScoutingReport`, `PlayerProfile`) but completely omits "Long list" and misplaces "Short list". Model 2 accurately reflects all required terms, including `LongListEntry`, `ShortListEntry`, `TargetProfile`, and the exact exact recommendation outcomes specified in the text.
5. Adherence of UML class diagram standards: Model 1 = 3, Model 2 = 5; Evidence: Model 1 redundantly defines attributes and associations for the exact same relationship (e.g., `relatedAssignment : ScoutingAssignment` as an attribute in `ScoutingReport`, alongside an explicit `ScoutingReport --&gt; "1" relatedAssignment` association). Model 2 correctly adheres to UML conventions, properly utilizing inheritance (`&lt;|--`), enums, and clean association mappings without redundancy.
Total: Model 1 = 12, Model 2 = 25
Choice: B
Reason:
1. Appropriate conceptual classes aligned with the domain: Model 2 correctly extracts intermediate entities like `LongListEntry`, `ShortListEntry`, and `ContractOffer` based on the domain workflow, whereas Model 1 misses these concepts and uses inappropriate list attributes.
2. Associations/Multiplicities between classes for domain reasoning: Model 2 builds an accurate network mapping list entries to both profiles and players, and assignments to scouts and players. Model 1 misaligns assignments to profiles instead of players and lacks an assignment-scout link.
3. Model attributes with appropriate data types: Model 2 excellently uses `enum` for strictly defined statuses/recommendations and strong typing, while Model 1 relies on primitive strings and redundant list attributes.
4. Consistencies of Terminology with given context: Model 2 incorporates the exact recommendation values and list terminologies given in the prompt, whereas Model 1 leaves out the long list terminology entirely.
5. Adherence of UML class diagram standards: Model 2 produces a clean, standard-compliant diagram, while Model 1 violates best practices by duplicating structural associations as inline class attributes.
6. Overall judgment: Model 2 is vastly superior. It correctly models the domain logic with proper intermediate classes, accurate associations, well-typed enums, and full alignment with the requirement's terminology, whereas Model 1 struggles with basic conceptual modeling and UML redundancies.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</si>
  <si>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</si>
  <si>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separating domain concepts into distinct classes like `LongListEntry`, `ShortListEntry`, and `ContractOffer`, decoupling actors from entities via clear associations (e.g., `HeadScout "1" -- "0..*" ScoutingAssignment : creates &gt;`). Model 2 suffers from low cohesion by embedding `shortList : List&lt;Player&gt;` directly as an attribute within `ScoutingAssignment`, and awkwardly couples `ScoutingReport` to `PlayerProfile` (`reportsOn`) instead of the `Player` being evaluated.
2. Complexity: Model 1 = 5, Model 2 = 3; Evidence: Model 1 balances complexity appropriately with 14 classes and 2 enums, correctly using a deeper inheritance tree (`Employee &lt;|-- Scout`, `Scout &lt;|-- HeadScout`) and breaking down concepts (e.g., `TargetProfile` relates to `TargetPosition` and `ProfileAttribute`). Model 2 has fewer classes (11) but hides necessary structural complexity inside attributes (e.g., `scoutingResults : List&lt;String&gt;`, `shortList : List&lt;Player&gt;`), and uses a flatter inheritance tree where `HeadScout` directly extends `Employee`.
3. Practicability: Model 1 = 5, Model 2 = 2; Evidence: Model 1 is highly practical, capturing the entire workflow: `Scout` creates `LongListEntry`, `HeadCoach` and `HeadScout` approve `ShortListEntry`, resulting in a `ScoutingReport` with a clear `Recommendation` enum, leading to a `ContractOffer` from the `Director`. Model 2 is less practical as it completely omits a Long List entity (only showing `Scout --&gt; "*" Player : notes`), incorrectly places the short list inside `ScoutingAssignment`, and has `HeadScout` recommend a `PlayerProfile` (`HeadScout --&gt; "*" PlayerProfile : recommends`) rather than recommending a player for signing.
Total: Model 1 = 15, Model 2 = 7
Choice: A
Reason:
1. Cohesion and Decoupling: Model 1 isolates domain concerns by creating specific mapping classes for list entries and offers. Model 2 improperly bundles lists into attributes (like `shortList` inside `ScoutingAssignment`) and mislinks reports to profiles instead of specific players.
2. Complexity: Model 1 provides the exact level of structural detail needed for the domain, utilizing enums and multi-level inheritance to manage complexity. Model 2 improperly hides necessary structural relationships behind generic list attributes.
3. Practicability: Model 1 accurately traces the business process described in the prompt (long list evaluation -&gt; short list decision -&gt; assignments -&gt; reports -&gt; offers) making it highly implementable. Model 2 misses key workflow steps (no explicit long list entity, no explicit contract offer entity) and misinterprets others (recommending a profile instead of a player).
4. Rejected or checked issues: I checked the inheritance structures; while both are valid UML, Model 1's `Scout &lt;|-- HeadScout` is more reflective of the domain logic than Model 2's flat `Employee` inheritance. I did not penalize Model 2 for not using `abstract` keywords or specific multiplicity syntax.
5. Overall judgment: Model 1 is significantly better because it accurately and practically models the required workflow with highly cohesive classes and appropriate complexity, whereas Model 2 oversimplifies the design, resulting in poor domain mapping and missing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</si>
  <si>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</si>
  <si>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clumps `shortList : List&lt;Player&gt;` and `scoutingResults : List&lt;String&gt;` directly inside `ScoutingAssignment`, which hurts cohesion since assignments should not own the shortlist. Model 2 decouples these concepts by creating dedicated `LongListEntry` and `ShortListEntry` classes that independently link a `Player` to a `TargetProfile` and respective actors.
2. Complexity: Model 1 = 3, Model 2 = 5; Evidence: Model 1 uses 11 classes with a shallow inheritance tree (`Employee &lt;|-- Scout` and `Employee &lt;|-- HeadScout` as siblings). Model 2 uses 12 classes and 2 enums with a slightly deeper inheritance tree (`Employee &lt;|-- Scout &lt;|-- HeadScout`), which correctly balances the requirement's complexity by allowing the `HeadScout` to inherit `Scout` relationships (like taking on scouting assignments).
3. Practicability: Model 1 = 2, Model 2 = 5; Evidence: Model 1 represents the recommendation as a plain primitive type (`recommendation : String` in `ScoutingReport`), which is error-prone and ignores the closed list in the requirement. It also fails to practically model the long list, using a vague `Scout --&gt; "*" Player : notes` association. Model 2 is highly practical, modeling `Recommendation` as a precise Enum (`KEY_PLAYER`, `FIRST_TEAM_PLAYER`, etc.) and using `LongListEntry` and `ContractOffer` to record real-world workflow data like `dateAdded` and `amount`.
Total: Model 1 = 7, Model 2 = 15
Choice: B
Reason:
1. Cohesion and Decoupling: Model 2 achieves much better cohesion by representing workflow states (long list, short list) as distinct association classes (`LongListEntry`, `ShortListEntry`), whereas Model 1 improperly embeds the `shortList` inside `ScoutingAssignment` and overloads `PlayerProfile` with numerous direct associations.
2. Complexity: Model 2 accurately captures the domain's complexity without over-engineering. By making `HeadScout` a subclass of `Scout`, Model 2 elegantly fulfills the requirement that "some of which is carried out by the head scout himself" without duplicating the `Scout`'s association to `ScoutingAssignment`. Model 1 treats them as siblings, missing this structural nuance.
3. Practicability: Model 2 translates the requirement text perfectly into practical software constructs. It uses enums for `Recommendation` and `AssignmentStatus` to enforce valid states, and objectifies the `ContractOffer` and lists so that important metadata (like dates and notes) can be tracked. Model 1 relies too heavily on raw Strings and basic lists, making it less robust for a real system.
4. Rejected or checked issues: No penalties were applied for Model 2's use of UUIDs instead of Strings for IDs, nor for its unidirectional associations with role labels (`creates &gt;`, `approves &gt;`), as these are semantically valid and standardized UML practices.
5. Overall judgment: Model 2 provides a significantly superior, production-ready UML design. It meticulously maps business requirements into well-structured, cohesive classes, leverages inheritance correctly, and uses enums to enforce data integrity. Model 1 falls short by missing key workflow concepts and improperly embedding lists inside unrelated classes.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</si>
  <si>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</si>
  <si>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</si>
  <si>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</si>
  <si>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(Conceptual classes, associations, cardinalities): Model 1 = 4, Model 2 = 3; Evidence: Model 1 includes precise UML cardinalities on its associations (e.g., `Game "1" *-- "2..4" Player`, `Deck "1" *-- "32" ActionCard`, and `0..1` for Tile connections). Model 2 has excellent conceptual classes (e.g., explicit `ConnectionPiece`, `Tile` subclasses, `TileColor` enum for white/black), but it completely omits cardinalities on its diagram associations (e.g., `Game --&gt; Player`, `Deck *- ActionCard`), relying instead on unannotated lines and array attributes.
Total: Model 1 = 4, Model 2 = 3
Choice: A
Reason:
1. Alignment with requirements: Both models correctly capture the core game mechanics, the 5 specific action card types, and the turn-based nature of the game. They both achieve the functional requirements but execute the UML modeling differently.
2. Conceptual classes and attributes: Model 2 provides a slightly more literal domain abstraction by defining an explicit `ConnectionPiece` class, a `ConnectionPiecePile`, and a `TileColor` enum (WHITE, BLACK), which perfectly maps to the physical board game description. Model 1 abstracts the connection pieces into a `spareConnectionPieces: int` counter and directional tile references (`rightTile`, `leftTile`, etc.), which is a standard graph-based software design choice. Model 1 also smartly adds an `isRevealed: boolean` attribute to `ActionTile` to explicitly handle the requirement that "Players do not know whether a tile is an action tile until a player lands on it."
3. Cardinalities and associations: The prompt explicitly demands a "detailed focus on the associations between classes, their cardinalities". Model 1 excels in this regard, applying strict and accurate UML multiplicities across the board (`2..4` players, `32` action cards, `0..1` for adjacent tiles). Model 2 completely neglects standard UML multiplicities on its relationship arrows, opting to use array notations inside the class definitions (`cards : ActionCard[]`) without defining the mandated bounds (like 2 to 4 players or 32 cards) on the connections.
4. Overall judgment: While Model 2 has a very clean and literal object-oriented domain structure, Model 1 is the superior response because it strictly adheres to the prompt's instruction to detail the cardinalities and relationships in the UML format. Model 1's logical abstraction of the board and connections is functionally complete and properly annotated, making it the better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</si>
  <si>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</si>
  <si>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Relationships, Cardinalities): Model 1 = 3, Model 2 = 5; Evidence: Model 1 lacks cardinalities on its associations (missing the 2-4 player limit, the 32 action card limit, and the 1 connection per side limit). Model 2 explicitly provides accurate cardinalities, such as `Game "1" *-- "2..4" Player`, `Deck "1" *-- "32" ActionCard`, and `Tile --&gt; "0..1" Tile` for the four sides.
Total: Model 1 = 3, Model 2 = 5
Choice: B
Reason:
1. Alignment with Requirements (Classes, Relationships, Cardinalities): Model 2 excels at capturing the exact structural constraints outlined in the requirement through its use of cardinalities. It correctly models the "2 to 4 players" requirement (`2..4`), the "deck of 32 action cards" (`32`), and the rule that "At the most one tile can be connected on each side" by using four self-associations on `Tile` with `0..1` multiplicity. Model 1 completely omits these crucial cardinalities, using generic associations without multiplicity, which fails to structurally enforce the game's limits.
2. Rejected or checked issues: Model 1 explicitly creates a `ConnectionPiece` and `ConnectionPiecePile` class, whereas Model 2 abstracts this into a `spareConnectionPieces: int` attribute and direct `0..1` tile-to-tile associations. I did not penalize Model 2 for this abstraction because its approach successfully and strictly enforces the connection rules per side, while Model 1's explicit classes fail to constrain the connections to a maximum of one per side due to the lack of multiplicities.
3. Overall judgment: Model 2 is much better. It strictly follows the requirement's numerical constraints and translates them into precise UML cardinalities and structural relationships, whereas Model 1 offers a generic structure that misses critical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</si>
  <si>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</si>
  <si>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core classes like `Game`, `Player`, `Tile`, and `ActionCard`, but abstracts connection pieces as an integer (`spareConnectionPieces: int` in `Game`) and topological associations between tiles. Model 2 explicitly defines `ConnectionPiece` and `ConnectionPiecePile` as conceptual classes, which slightly better aligns with the physical domain action of moving connection pieces between the board and the spare pile.
2. Associations/Multiplicities between classes for domain reasoning: Model 1 = 5, Model 2 = 2; Evidence: Model 1 includes critical domain multiplicities explicitly stated in the requirements, such as `Game "1" *-- "2..4" Player`, `Deck "1" *-- "32" ActionCard`, and `Tile --&gt; "0..1" Tile` for four directional connections. Model 2 entirely omits multiplicities on its associations (e.g., `Game --&gt; Player : has players`, `Deck *- ActionCard : contains`), completely missing the 2-4 players, 32 action cards, and exactly-one connection constraints.
3. Model attributes with appropriate data types: Model 1 = 5, Model 2 = 5; Evidence: Model 1 uses appropriate types like the `ActionCardType` enum and `turnsRemaining: int` to capture state transitions. Model 2 effectively uses custom enums like `TileColor` and `PlayingPieceColor`, alongside accurate attributes like `cooldownTurns: int` to represent the action tile behavior.
4. Consistencies of Terminology with given context: Model 1 = 5, Model 2 = 5; Evidence: Both models consistently use exact terminology from the requirements, including `ActionTile`, `PlayingPiece`, `Designer` / `GameDesigner`, and accurate phrasing for the five action card types.
5. Adherence of UML class diagram standards: Model 1 = 5, Model 2 = 4; Evidence: Model 1 uses standard PlantUML syntax with clean, labelled associations and correct aggregation/composition. Model 2 redundantly models collections as both array attributes (`cards : ActionCard[]`) and composition associations (`Deck *- ActionCard`), and includes two identical, unlabelled `ConnectionPiece --&gt; Tile` associations, which is syntactically valid but visually confusing without explicit role labels.
Total: Model 1 = 24, Model 2 = 21
Choice: A
Reason:
1. Appropriate conceptual classes aligned with the domain: Model 2 is slightly stronger here by explicitly modeling the `ConnectionPiece` and `ConnectionPiecePile` as distinct classes, whereas Model 1 relies on integer counters and direct tile-to-tile associations to represent the same concept. 
2. Associations/Multiplicities between classes for domain reasoning: Model 1 is significantly superior in capturing domain rules. It enforces the strict limits outlined in the prompt (2 to 4 players, 32 action cards, and at most 1 connection per tile side) via precise UML multiplicities. Model 2 fails to supply any multiplicities across its diagram.
3. Adherence of UML class diagram standards: Model 1 provides a structurally cleaner UML diagram, while Model 2 introduces redundancy by declaring arrays as attributes while simultaneously drawing composition lines for the same relationships.
4. Rejected or checked issues: Model 1's use of single-quote comments (e.g., `'opposite leftTile`) and the lack of a `ConnectionPiece` class were not heavily penalized, as standard UML allows annotating implicit opposite relationships, and an integer combined with associations adequately handles the mechanical state of the connections without strictly requiring a distinct class.
5. Overall judgment: Model 1 is chosen as the better response because a class diagram without multiplicities (Model 2) fails to convey essential domain constraints. Model 1's explicit enforcement of the player counts, deck sizes, and board connectivity limits makes it a much more functional and accurate representation of the given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</si>
  <si>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</si>
  <si>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includes `ConnectionPiece` and `ConnectionPiecePile`, which are critical for representing the 32 spare connection pieces and the action of removing/placing them. Model 2 abstracts connection pieces into an integer `spareConnectionPieces` and boolean flags (e.g., `isConnectedRight`) on `Tile`, which fails to accurately capture the physical nature of the pieces moving between the board and the pile.
2. Associations/Multiplicities between classes for domain reasoning: Model 1 = 2, Model 2 = 4; Evidence: Model 1 completely omits almost all multiplicities (e.g., no `2..4` for players, no `32` for action cards or spare pieces). Model 2 correctly applies multiplicities such as `2..4` Players, `32` ActionCards, and `0..1` for adjacent tiles.
3. Model attributes with appropriate data types: Model 1 = 4, Model 2 = 4; Evidence: Both models identify appropriate attributes. Model 1 uses custom enums like `TileColor` and `Side`, whereas Model 2 uses basic `String` types for `color` but correctly includes cooldown/turns attributes for `ActionTile`.
4. Consistencies of Terminology with given context: Model 1 = 5, Model 2 = 4; Evidence: Both models use terms straight from the text (`ActionTile`, `ActionCard`, `PlayingPiece`). Model 1 aligns slightly better by using `HiddenTile` as a class rather than just an `isHidden` boolean, matching the text's reference to "the hidden tile".
5. Adherence of UML class diagram standards: Model 1 = 4, Model 2 = 5; Evidence: Both use valid PlantUML. Model 2 is more rigorous with standard multiplicity notation at the association ends, while Model 1 relies on directional arrows without multiplicities.
Total: Model 1 = 20, Model 2 = 20
Choice: C
Reason:
1. Appropriate conceptual classes aligned with the domain: Model 1 is superior because it correctly identifies `ConnectionPiece` and `ConnectionPiecePile` as explicit concepts, which is necessary to model the action cards that move pieces between the board and the pile. Model 2 abstracts this away into basic primitives.
2. Associations/Multiplicities between classes for domain reasoning: Model 2 is much better as it actually implements the required multiplicities (`2..4` players, `32` cards, `0..1` tile connections), whereas Model 1 omits almost all numerical constraints.
3. Model attributes and Terminology: Both models capture the core attributes and terminology reasonably well, with Model 1 having a slight edge due to its use of Enums for fixed sets (like colors and sides).
4. Overall judgment: The models have perfectly balancing flaws. Model 1 has excellent domain classes but completely fails to model multiplicities. Model 2 has excellent multiplicities but abstracts away a crucial physical domain entity (`ConnectionPiece`).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</si>
  <si>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</si>
  <si>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2 introduces a distinct `ConnectionPiece` class and `ConnectionPiecePile` to manage the connections between tiles and the spare pile, which aligns perfectly with the domain requirements and delegates responsibilities cleanly. Model 1 clumps spare connection pieces as a simple `int` inside `Game` and handles connections purely via `isConnectedRight`, `isConnectedLeft`, etc. and self-associations on `Tile`, which slightly bloats `Tile` and reduces cohesion.
2. Complexity: Model 1 = 4, Model 2 = 4; Evidence: Both models maintain a reasonable level of complexity. Model 1 has 12 classes/enums and keeps things simpler by using attributes for some concepts (e.g., `spareConnectionPieces: int`). Model 2 has 15 classes/enums, but the additional classes (`ConnectionPiece`, `ConnectionPiecePile`, `HiddenTile`) are directly mapped to nouns explicitly stated in the requirement ("pile of 32 spare connection pieces"), avoiding unnecessary over-engineering while staying faithful to the domain.
3. Practicability: Model 1 = 3, Model 2 = 5; Evidence: Model 2 is highly practical because it specifies rich behavioral methods across its classes (e.g., `startGame()`, `move(steps: int)`, `executeActionCard(card: ActionCard)`, `drawCard()`), making it a clear blueprint for implementation. Model 1 acts almost entirely as a static data model, lacking nearly all behavioral methods (only `roll(): int` on `Die`), which limits its usefulness for developers needing to understand how the system's components interact.
Total: Model 1 = 11, Model 2 = 14
Choice: B
Reason:
1. Cohesion and Decoupling: Model 2 provides better encapsulation by giving `ConnectionPiece` and `ConnectionPiecePile` their own classes, explicitly handling the domain's requirement to connect tiles and manage the pile of 32 spare pieces, whereas Model 1 crams this logic into `Game` and `Tile`.
2. Complexity: Both models balance complexity well. While Model 2 has a deeper class structure and more classes, these are directly justified by the detailed domain requirements and do not represent unjustifiable over-engineering.
3. Practicability: Model 2 significantly outperforms Model 1 by defining the operational behaviors and methods of the classes. Model 1's omission of structural methods makes it less practical for real-world software engineering, where behavior is just as important as state.
4. Overall judgment: Model 2 is the superior design because it effectively balances accurate domain modeling with practical object-oriented design, particularly through the inclusion of necessary behaviors and highly cohesive class structures. Model 1 is a decent data model but falls short as a comprehensive software design blueprint.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</si>
  <si>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</si>
  <si>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concept of connections into a `ConnectionPiece` class and a `ConnectionPiecePile`, which encapsulates the logic of connections and spare pieces well. Model 2 places `spareConnectionPieces` as an integer attribute in `Game` and adds redundant boolean flags (`isConnectedRight`, etc.) alongside direct associations (`rightTile`, etc.) in `Tile`, lowering cohesion.
2. Complexity: Model 1 = 4, Model 2 = 4; Evidence: Model 1 contains 15 classes and 4 enums with a moderate depth of inheritance (`Tile` hierarchy). Model 2 has 10 classes and 2 enums, keeping things simpler by avoiding inheritance for `HiddenTile` (using an `isHidden` boolean instead). Both balance the domain requirements reasonably well.
3. Practicability: Model 1 = 4, Model 2 = 4; Evidence: Model 1 provides rich behavioral methods (`startGame()`, `triggerAction()`, `move(steps: int)`) which makes it highly practical for understanding the software's operations. Model 2 lacks methods but provides precise and practical multiplicities that strictly enforce the domain rules (e.g., `"2..4" Player`, `"32" ActionCard`), which Model 1 omits. 
Total: Model 1 = 12, Model 2 = 11
Choice: A
Reason:
1. Cohesion and Decoupling: Model 1 demonstrates better object-oriented design by properly encapsulating connection pieces (`ConnectionPiece`) and the pile (`ConnectionPiecePile`). Model 2 conflates tile connections by using both boolean flags (`isConnectedRight`) and recursive associations (`rightTile`), and treats the spare piece pile as a simple integer in `Game`, which reduces decoupling.
2. Complexity: Both models handle the complexity of the requirements well. Model 1 uses inheritance for tiles (`RegularTile`, `ActionTile`, `HiddenTile`), while Model 2 flattens some of this into boolean attributes but keeps `ActionTile` as a subclass. Neither is overly complex.
3. Practicability: Both models have distinct practical strengths. Model 1 clearly defines the behaviors and operations (methods) needed to run the game, making it easier to implement the logic. Model 2 excels at structural constraints, providing exact multiplicities (2..4 players, 32 cards) that directly align with the text, whereas Model 1 leaves these unspecified.
4. Overall judgment: Model 1 is better because its structural choices (modeling connection pieces as classes rather than integers/booleans) result in better cohesion and a more extensible design, and its inclusion of methods provides a clearer picture of how the system operates. Model 2's strict multiplicities are good, but its handling of connections and spare pieces is too primitive for a robust object-oriented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</si>
  <si>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</si>
  <si>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Conceptual Modeling: Model 1 = 4, Model 2 = 5; Evidence: Model 2 explicitly models a `ConnectionPiece` class with structural relationships (`Tile "1" o-- "0..1" ConnectionPiece` for each direction, and `ConnectionPiece --&gt; "2" Tile : connects`). This directly fulfills the requirement that designers connect tiles with connection pieces and action cards can add/remove them. Model 1 lacks a `ConnectionPiece` class entirely, relying instead on direct tile-to-tile associations (e.g., `Tile --&gt; "0..1" Tile : rightTile`), which fails to represent the connection pieces as distinct, removable entities. Additionally, Model 2 strictly defines the tile color transition using a `TileColor` enum (`WHITE`, `BLACK`), whereas Model 1 uses a generic `String` alongside an `isVisited: boolean`. Model 2 also uses a clean inheritance hierarchy for tiles (`RegularTile`, `HiddenTile`, `ActionTile`), whereas Model 1 mixes subclassing (`ActionTile`) with boolean flags (`isHidden: boolean`). 
Total: Model 1 = 4, Model 2 = 5
Choice: B
Reason:
1. Alignment with Requirements and Conceptual Modeling: Model 2 provides a much more faithful conceptual representation of the domain. The requirement explicitly discusses connection pieces as physical entities that can be placed on the board or removed to a spare pile. Model 2's inclusion of the `ConnectionPiece` class perfectly captures this, while Model 1's direct tile-to-tile relationships make it difficult to model the removal or addition of a physical connection piece. 
2. Furthermore, Model 2's domain constraints are tighter and more accurate: it models the exact white/black tile states using an enum, whereas Model 1 leaves color as a generic string. Model 2 also models the 5 action card types as subclasses implementing an abstract `execute` behavior, which is a robust object-oriented approach compared to Model 1's simple enum attribute.
3. Rejected or checked issues: Both models represent the 32 spare connection pieces as an integer attribute (`spareConnectionPieces: int`) on the `Game` class rather than explicitly instantiating 32 objects, which is a perfectly acceptable level of abstraction for a conceptual model. Model 1's use of single-quote comments for opposite sides (e.g., `'opposite leftTile`) was ignored per the forbidden penalties rule.
4. Overall judgment: Model 2 is superior because it accurately captures all domain entities—most notably the connection pieces—and uses more precise data types (enums and subclasses) to enforce the game's rules and states. Model 1 is decent but takes shortcuts that weaken its alignment with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</si>
  <si>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</si>
  <si>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Conceptual Modeling: Model 1 = 5, Model 2 = 4; Evidence: Model 1 explicitly models the `ConnectionPiece` as a class with an association to `Tile` (`ConnectionPiece --&gt; "2" Tile : connects`), which accurately reflects the requirement to manipulate physical connection pieces (e.g., placing them from a pile or removing them). Model 2 omits the `ConnectionPiece` class, instead using direct associations between tiles (e.g., `Tile --&gt; "0..1" Tile : rightTile`), which loses the physical concept of the piece itself. Model 1 also precisely captures the white/black tile color change using an enum (`TileColor`), whereas Model 2 uses a generic `String` and a boolean `isVisited`. Both correctly capture the 32 action cards (`Deck "1" *-- "32" ActionCard`) and the 2 to 4 players (`2..4`).
Total: Model 1 = 5, Model 2 = 4
Choice: A
Reason:
1. Requirements Alignment and Conceptual Modeling: Model 1 provides a more domain-accurate representation of the board mechanics. The requirement frequently refers to "connection pieces" as physical entities that can be added from a pile or removed from the board. Model 1 captures this perfectly with a dedicated `ConnectionPiece` class and appropriate associations to `Tile`. Model 2 abstracts this away into direct tile-to-tile associations, which makes it conceptually harder to represent the action of removing a specific connection piece and putting it back in a spare pile.
2. Additionally, Model 1 leverages inheritance cleanly for `RegularTile`, `HiddenTile`, and `ActionTile`, and clearly maps the required action card types to subclasses, making the execution of card behaviors logical. Model 2's attribute-heavy approach (`isHidden`, `isStartingPosition`) is acceptable but less robust conceptually than Model 1's class and relationship structures.
3. Rejected or checked issues: I did not penalize Model 1 for using an aggregation (`o--`) for players while Model 2 uses composition (`*--`), as both correctly enforce the `2..4` multiplicity requirement. I also did not penalize Model 2 for using an enum for action cards instead of subclasses, as both are valid ways to capture the 5 card types.
4. Overall judgment: Model 1 is strictly better because it captures the crucial domain concept of `ConnectionPiece` as an independent entity, ensuring all required mechanics involving these pieces can be fully implemented without hallucination or abstraction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</si>
  <si>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</si>
  <si>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(`Game`, `Board`, `Tile`) but represents connection pieces as implicit associations rather than a class. Model 2 explicitly models `ConnectionPiece`, as well as `HiddenTile` and specific `ActionCard` subclasses, aligning perfectly with the physical domain objects manipulated by the rules.
2. Associations/Multiplicities between classes for domain reasoning: Model 1 = 4, Model 2 = 5; Evidence: Model 1 uses direct tile-to-tile associations (`Tile --&gt; "0..1" Tile`) to represent board connections. Model 2 correctly places `ConnectionPiece` between tiles (`Tile "1" o-- "0..1" ConnectionPiece` and `ConnectionPiece --&gt; "2" Tile`), accurately reflecting how the designer connects adjacent tiles using physical pieces.
3. Model attributes with appropriate data types: Model 1 = 4, Model 2 = 5; Evidence: Model 1 uses a generic `color: String` for tiles, while Model 2 uses a precise `TileColor` enum (WHITE, BLACK), strictly enforcing the text's rule that a tile's color changes from white to black. Both accurately use an integer for `spareConnectionPieces`.
4. Consistencies of Terminology with given context: Model 1 = 5, Model 2 = 5; Evidence: Both models adopt terminology directly from the text, using exact names like `ActionTile`, `spareConnectionPieces`, `PlayingPiece`, and `Designer`/`GameDesigner`.
5. Adherence of UML class diagram standards: Model 1 = 5, Model 2 = 5; Evidence: Both models demonstrate excellent adherence to PlantUML syntax, correctly applying composition (`*--`), aggregation (`o--`), inheritance (`&lt;|--`), and clear multiplicities.
Total: Model 1 = 22, Model 2 = 25
Choice: B
Reason:
1. Appropriate conceptual classes aligned with the domain: Model 2 excels by explicitly capturing `ConnectionPiece` as a conceptual class. Since the rules state these pieces can be physically removed from the board and placed into a spare pile, treating them as distinct entities rather than just direct associations (as Model 1 does) is much more accurate.
2. Associations/Multiplicities between classes for domain reasoning: Model 2 accurately models the connectivity mechanic by linking `Tile` to `ConnectionPiece` (up to 1 on each of the 4 sides) and mapping each `ConnectionPiece` to exactly 2 tiles. Model 1's direct `Tile` to `Tile` links abstract away the tangible connection mechanism entirely.
3. Model attributes with appropriate data types: Model 2 uses appropriate Enums (`TileColor` with WHITE/BLACK) to enforce the binary color change of visited tiles described in the prompt. Model 1's use of a generic `String` for color is functionally weaker.
4. Rejected or checked issues: Model 1's use of single-quote comments (e.g., `'opposite leftTile`) was correctly ignored per the evaluation guidelines, as they are standard tooling annotations. Additionally, the choice of using an enum for `ActionCardType` (Model 1) versus abstract/subclasses for `ActionCard` (Model 2) was treated as a valid stylistic difference without penalizing either model, as both successfully capture the predefined card choices. 
5. Overall judgment: Model 2 offers a more precise, domain-faithful structural representation. Its handling of physical connection pieces and strongly-typed enums for specific state changes makes it the superior design.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</si>
  <si>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</si>
  <si>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`ConnectionPiece` as a class, which aligns well with the domain requirement of manipulating physical pieces from a "pile of 32 spare connection pieces". It also cleanly models `RegularTile` and `HiddenTile` as subclasses. Model 2 omits the `ConnectionPiece` class, abstracting it away, and relies on booleans like `isHidden` instead of subclassing for the hidden tile.
2. Associations/Multiplicities between classes for domain reasoning: Model 1 = 5, Model 2 = 4; Evidence: Both models correctly capture constraints like `2..4` players in a game and `32` action cards in a deck. Model 1 correctly delegates tile connections through the `ConnectionPiece` class (`ConnectionPiece --&gt; "2" Tile` and `Tile "1" o-- "0..1" ConnectionPiece`), fully satisfying the connection piece constraints. Model 2 links tiles directly (`Tile --&gt; "0..1" Tile : rightTile`), which makes it difficult to reason about the physical connection pieces being removed or placed. 
3. Model attributes with appropriate data types: Model 1 = 5, Model 2 = 4; Evidence: Model 1 uses precise enums like `TileColor { WHITE, BLACK }` that perfectly match the requirement "changes from white to black", and `PieceColor` for playing pieces. Model 2 uses generic `String` types for colors and includes several redundant boolean attributes on `Tile` (e.g., `isConnectedRight`, `isConnectedLeft`, `isStartingPosition`) that directly overlap with its own association links (`rightTile`, `startingTile`).
4. Consistencies of Terminology with given context: Model 1 = 5, Model 2 = 5; Evidence: Both models consistently use terminology from the prompt, such as `Player`, `PlayingPiece`, `Board`, `Die`, `ActionCard`, and `ActionTile`.
5. Adherence of UML class diagram standards: Model 1 = 5, Model 2 = 5; Evidence: Both models display proper PlantUML syntax, valid class structures, associations, inheritances, and multiplicities. (Model 2's use of single quotes for end-of-line comments is a standard PlantUML feature and fully acceptable).
Total: Model 1 = 25, Model 2 = 22
Choice: A
Reason:
1. Appropriate conceptual classes: Model 1 captures the `ConnectionPiece` as a distinct concept, which is important since the prompt mentions removing and placing them from a pile of 32 spare pieces. Model 2 misses this class entirely.
2. Associations &amp; Attributes: Model 1 models the relationships between tiles and connection pieces clearly and avoids redundant attributes. Model 2 clutters the `Tile` class with boolean attributes (`isConnectedRight`) that unnecessarily duplicate the semantic meaning of its associations (`rightTile`).
3. Rejected or checked issues: Model 2's usage of opposite unidirectional associations with single-quote comments (e.g., `Tile --&gt; "0..1" Tile : rightTile 'opposite leftTile`) was NOT penalized, as it is semantically acceptable and the comments are valid PlantUML syntax. The score difference is purely driven by domain alignment and attribute redundancy.
4. Overall judgment: Model 1 is better because it offers a more faithful, structurally sound representation of the game's physical pieces and mechanics, avoiding the attribute bloat and minor conceptual omissions present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</si>
  <si>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</si>
  <si>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relies on an enum (`ActionCardType`) and a single `ActionCard` class, which will force action logic to be coupled within a central class. Model 1 also handles connections via direct associations and booleans (`isConnectedRight`) inside `Tile`. Model 2 uses polymorphism with an abstract `ActionCard` class and 5 specialized subclasses, achieving high cohesion. It also decouples connection representation by introducing a dedicated `ConnectionPiece` class.
2. Complexity: Model 1 = 3, Model 2 = 5; Evidence: Model 1 artificially minimizes complexity (10 classes) by overloading `Tile` with multiple conceptual state flags (`isHidden`, `isStartingPosition`, `isConnectedRight`). Model 2 has a higher total number of classes (17) and utilizes an inheritance tree for both `Tile` (`RegularTile`, `HiddenTile`, `ActionTile`) and `ActionCard`. This increased complexity correctly aligns with the specific requirements of the different game components.
3. Practicability: Model 1 = 3, Model 2 = 5; Evidence: Model 2 is highly modular and supports robust testing strategies. It defines clear behavioral methods like `execute(game: Game, player: Player)` in `ActionCard`, and `tickCooldown()` in `ActionTile`, which streamline development. Model 1 lacks behavioral methods across its classes (except `roll()`), meaning a central class would likely need to implement all tile and card logic, making maintenance and testing less practical.
Total: Model 1 = 9, Model 2 = 15
Choice: B
Reason:
1. Cohesion and Decoupling: Model 2 exhibits superior cohesion and decoupling by leveraging polymorphism. The abstract `ActionCard` and its subclasses handle their own distinct logic, whereas Model 1's `enum ActionCardType` suggests an implementation that tightly couples all card behaviors. Model 2 also correctly separates `ConnectionPiece` into its own class, while Model 1 conflates connection state into `Tile` using boolean flags.
2. Complexity: Model 1 reduces important domain concepts into overloaded attributes within `Tile` (e.g., `isHidden`, `isStartingPosition`). Model 2 balances complexity perfectly with the requirements, using an appropriate depth of inheritance to distinguish between `RegularTile`, `HiddenTile`, and `ActionTile`, as well as the 5 distinct action cards, correctly mapping to the domain's conceptual classes rather than just attributes.
3. Practicability: Model 2's design is highly actionable for real-world programming. Interfaces and behaviors are well-defined (e.g., `execute(game: Game, player: Player)` in `ActionCard`, `tickCooldown()` in `ActionTile`), which strongly supports modular development and unit testing. Model 1 is primarily a data-holder design (only providing a `roll()` method), lacking methods to demonstrate how the software's behaviors will be managed.
4. Rejected or checked issues: Model 1 uses single-quote comments (`'opposite leftTile`) and pairs of opposite unidirectional associations for tile directions. As per the strict guidelines, these are semantically valid modeling practices and were not penalized.
5. Overall judgment: Model 2 is significantly better. It correctly applies object-oriented principles such as inheritance and polymorphism to capture the game's rules, yielding a more extensible, testable, and maintainable architecture compared to Model 1's attribute-heavy, procedural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</si>
  <si>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</si>
  <si>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polymorphism for card behaviors with an abstract `ActionCard` class providing an `execute(game: Game, player: Player)` method to its subclasses (e.g., `ExtraTurnCard`), promoting high cohesion. Model 2 uses an `ActionCardType` enum inside `ActionCard`, which typically forces external coupling via a centralized switch statement. Additionally, Model 1 subclasses `Tile` (`ActionTile`, `HiddenTile`) to separate concerns, while Model 2 couples orthogonal states using multiple boolean flags (`isHidden`, `isStartingPosition`) in a single `Tile` class.
2. Complexity: Model 1 = 4, Model 2 = 3; Evidence: Model 1 has a higher number of classes (18) and an inheritance tree depth of 1, but this complexity is conceptually justified by the domain rules. Model 2 reduces class count (10) but shifts the complexity into attribute clutter and redundancy within the `Tile` class, where it simultaneously models connections/adjacency with boolean flags (`isConnectedRight: boolean`) and structural associations (`Tile --&gt; "0..1" Tile : rightTile`).
3. Practicability: Model 1 = 5, Model 2 = 2; Evidence: Model 1 includes clear behavioral methods that make the design highly readable and testable for developers (e.g., `tickCooldown()` and `deactivate()` in `ActionTile`, `execute()` in `ActionCard`, `nextTurn()` in `Game`). Model 2 is practically devoid of behavioral methods (only listing `roll()` in `Die`), acting merely as an anemic data model, which obscures how the software will execute workflows and makes validation/testing strategies unclear.
Total: Model 1 = 14, Model 2 = 8
Choice: A
Reason:
1. Cohesion and Decoupling: Model 1 achieves superior cohesion and loose coupling by distributing card instructions into dedicated subclass objects with a common `execute` interface. Model 2's reliance on enums for card types centralizes and convolutes the logic.
2. Complexity: Model 1 balances its class count by cleanly mapping physical domain concepts (like `ConnectionPiece`) to distinct entities. Model 2 struggles with internal complexity in the `Tile` class, mixing boolean state flags with direct object associations.
3. Practicability: Model 1 provides a comprehensive blueprint of the software's behavior by exposing necessary methods (`start`, `markVisited`, `tickCooldown`). This directly supports modular programming and unit testing. Model 2 omits almost all methods, drastically reducing its usefulness as an implementation guide. 
4. Overall judgment: Model 1 is the better response. It successfully applies object-oriented design principles to encapsulate states and behaviors into cohesive, testable components, whereas Model 2 behaves too much like a static database schema without detailing the software's functional mechanics.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</si>
  <si>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</si>
  <si>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Structural Detail: Model 1 = 3, Model 2 = 5; Evidence: Model 1 lacks any cardinalities, missing the 2-4 players constraint (`Game --&gt; Player`), the 32 action cards constraint (`Deck *- ActionCard`), and the 1-per-side connection limit. It models starting positions and hidden tiles merely as method parameters in `GameDesigner`. Model 2 explicitly defines all required cardinalities: `"2..4" Player`, `"32" ActionCard`, and `"0..1" ConnectionPiece` for each side of a `Tile` (`rightConnection`, `leftConnection`, etc.). Model 2 also structuralizes the starting position (`Player --&gt; "1" Tile`) and hidden tile (`Board "1" --&gt; "1" HiddenTile`).
Total: Model 1 = 3, Model 2 = 5
Choice: B
Reason:
1. Requirement Alignment and Structural Detail: The instruction explicitly requires "a detailed focus on the associations between classes, their cardinalities". Model 2 perfectly captures the numerical constraints described in the requirements using UML multiplicities, such as `"2..4" Player`, `"32" ActionCard`, and specifically assigning `"0..1"` `ConnectionPiece` to the four sides of a `Tile`. It also structurally captures the `HiddenTile` and the starting positions via associations. Model 1 omits all cardinalities, failing to enforce the 2-4 player limit, the 32 card limit, or the 1-per-side connection limits. Model 1 relies too heavily on methods in `GameDesigner` rather than modeling the resulting game state structure.
2. Rejected or checked issues: Model 1 models the pile of spare connection pieces as a separate class (`ConnectionPiecePile`), which is a literal translation of the text. Model 2 simplifies this to an integer attribute `spareConnectionPieces: int` in `Game`. While Model 1's approach is slightly more literal for the spare pile, Model 2's overwhelming superiority in capturing the required cardinalities and structural associations makes it the definitively better choice.
3. Overall judgment: Model 2 is much stronger because it utilizes cardinalities and clear associations to structurally enforce the business rules outlined in the requirements, whereas Model 1 leaves these rules unrepresented in the diagram's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</si>
  <si>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</si>
  <si>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associations, and cardinalities: Model 1 = 5, Model 2 = 3; Evidence: Model 1 explicitly captures the specific numbers and constraints detailed in the requirements via cardinalities. For example, it models `"2..4" Player` aggregated in `Game`, `"32" ActionCard` composed in `Deck`, and perfectly translates "at most one tile can be connected on each side" by defining four directional associations (`rightConnection`, `leftConnection`, `topConnection`, `bottomConnection`), each with a `"0..1"` cardinality between `Tile` and `ConnectionPiece`. Model 1 also effectively uses inheritance to represent the 5 distinct `ActionCard` behaviors. In contrast, Model 2 omits almost all essential multiplicities (e.g., `Game --&gt; Player` lacks `2..4`, `Deck *- ActionCard` lacks `32`), and fails to structurally enforce the one-connection-per-side constraint, using a generic `ConnectionPiece --&gt; Tile` association without limits.
Total: Model 1 = 5, Model 2 = 3
Choice: A
Reason:
1. Alignment with requirements, associations, and cardinalities: Model 1 strictly adheres to the prompt's instruction to maintain a "detailed focus on the associations between classes, their cardinalities, and the types of relationships". It accurately translates business rules into UML multiplicities (2..4 players, 32 action cards, 0..1 connections per tile side). Model 2 is overly generic, missing critical cardinalities and failing to map the spatial tile connection constraints into precise UML associations.
2. Rejected or checked issues: Model 1 models the "pile of 32 spare connection pieces" as an integer attribute (`spareConnectionPieces: int`) inside `Game` rather than a dedicated `Pile` class like Model 2 does (`ConnectionPiecePile`). While a dedicated class might be more object-oriented, Model 1's approach is acceptable as an abstraction and does not outweigh Model 2's severe lack of multiplicities across the entire diagram.
3. Overall judgment: Model 1 is significantly better because it successfully translates the precise numerical constraints and relational rules of the game's domain into standard UML cardinalities and structural associations, whereas Model 2 provides a loose semantic sketch lacking structural enforcement.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</si>
  <si>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</si>
  <si>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key domain concepts. Model 1 identifies classes like `Game`, `GameDesigner`, `Player`, `ConnectionPiecePile`, and `ActionTile`. Model 2 similarly identifies `Game`, `GameDesigner`, `Player`, `ConnectionPiece`, and explicitly models `ActionCard` subclasses for the different actions.
2. Associations/Multiplicities between classes for domain reasoning: Model 1 = 2, Model 2 = 5; Evidence: Model 1 completely omits multiplicities on its associations (e.g., `Game --&gt; Player`, `Deck *- ActionCard`), missing explicit constraints for 2-4 players and 32 action cards. Model 2 accurately captures domain constraints using multiplicities (e.g., `Game "1" o-- "2..4" Player`, `Deck "1" *-- "32" ActionCard`) and specifically models the connection constraints on four sides (`Tile "1" o-- "0..1" ConnectionPiece : rightConnection`, etc.).
3. Model attributes with appropriate data types: Model 1 = 5, Model 2 = 5; Evidence: Both models define appropriate attributes and data types. Model 1 includes `skippedTurns : int`, `cardsRemaining : int`, and uses enums like `color : TileColor`. Model 2 includes `spareConnectionPieces: int`, `turnNumber: int`, and `skipNextTurn: boolean`.
4. Consistencies of Terminology with given context: Model 1 = 5, Model 2 = 5; Evidence: Both models accurately reflect the terminology from the requirement, such as `RegularTile`, `HiddenTile`, `ActionTile`, `ConnectionPiece`, and the 5 specific action choices (Model 1 uses an enum `ActionCardType`, Model 2 uses subclasses of `ActionCard` like `ExtraTurnCard`).
5. Adherence of UML class diagram standards: Model 1 = 3, Model 2 = 5; Evidence: Model 1 uses valid PlantUML syntax but ignores the standard practice of defining multiplicities on associations, which leaves major representations missing. Model 2 fully adheres to UML standards, properly formatting aggregations, compositions, generalisations, and multiplicities.
Total: Model 1 = 20, Model 2 = 25
Choice: B
Reason:
1. Appropriate conceptual classes aligned with the domain: Both models successfully extract the necessary conceptual classes. Model 1 uses an enum for action types (`ActionCardType`) and a dedicated pile class (`ConnectionPiecePile`), while Model 2 uses inheritance for action types (e.g., `ExtraTurnCard`). Both approaches accurately model the domain.
2. Associations/Multiplicities between classes for domain reasoning: Model 2 is vastly superior. It includes essential multiplicities that enforce the game's rules (e.g., `2..4` players, `32` action cards, and `0..1` connection pieces per side of a tile). Model 1 completely lacks multiplicities, failing to model these critical numerical constraints.
3. Model attributes with appropriate data types: Both models assign logical attributes and correctly type them using primitives and enums (e.g., Model 1's `cooldownTurns : int`; Model 2's `skipNextTurn: boolean`).
4. Consistencies of Terminology with given context: Both models use terms directly taken from the requirements, perfectly aligning with the Tile-O game context (e.g., `HiddenTile`, `ConnectionPiece`).
5. Adherence of UML class diagram standards: Model 2 provides a fully standard-compliant UML class diagram with multiplicities, inheritance, and relationship types. Model 1 is syntactically valid in PlantUML but its total omission of multiplicities makes it lacking according to standard UML practices.
6. Overall judgment: Model 2 is clearly the better diagram. The complete absence of multiplicities in Model 1 means it fails to capture fundamental domain constraints (like the exact number of players, cards, or board tile connections), whereas Model 2 explicitly and correctly models all of these numeric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</si>
  <si>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</si>
  <si>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core domain concepts, including `Game`, `GameDesigner`, `Player`, `PlayingPiece`, `Tile` (with `RegularTile`, `HiddenTile`, `ActionTile` subclasses), `ConnectionPiece`, `ActionCard`, `Deck`, and `Die`. Model 1 uses specific subclasses for different action cards, while Model 2 introduces a `ConnectionPiecePile` class and uses an `ActionCardType` enum. Both approaches are valid and well-aligned with the domain.
2. Associations/Multiplicities between classes for domain reasoning: Model 1 = 5, Model 2 = 2; Evidence: Model 1 explicitly captures the domain constraints using precise multiplicities: "2..4" for Players (`Game "1" o-- "2..4" Player`), "32" for ActionCards (`Deck "1" *-- "32" ActionCard`), and effectively enforces "at the most one tile can be connected on each side" by defining 4 separate associations with "0..1" multiplicity (`rightConnection`, `leftConnection`, `topConnection`, `bottomConnection`). Model 2 completely omits multiplicities from its association lines (e.g., `Game --&gt; Player : has players`, `Deck *- ActionCard : contains`), failing to capture the 2-4 players or 32 cards rules. It also fails to structurally restrict the connections per side.
3. Model attributes with appropriate data types: Model 1 = 5, Model 2 = 5; Evidence: Both models define logical attributes with proper data types. Model 1 includes `cooldownTurns: int` for `ActionTile`, `spareConnectionPieces: int` for `Game`, and uses enums for colors. Model 2 similarly uses `currentCooldown: int`, `skippedTurns: int`, and appropriate enums like `TileColor` and `Side`.
4. Consistencies of Terminology with given context: Model 1 = 5, Model 2 = 5; Evidence: Both models consistently use terminology provided in the prompt, such as `HiddenTile`, `ActionTile`, `ConnectionPiece`, `PlayingPiece`, and `Deck`.
5. Adherence of UML class diagram standards: Model 1 = 5, Model 2 = 4; Evidence: Both models use valid PlantUML syntax. Model 1 makes full use of standard UML notation by properly placing multiplicities and role names on the association ends. Model 2 uses basic associative arrows but relies entirely on string labels instead of formal UML multiplicity notation, making it slightly less standard for a detailed domain model.
Total: Model 1 = 25, Model 2 = 21
Choice: A
Reason:
1. Appropriate conceptual classes: Both models successfully identify the core classes required to represent the game elements and players.
2. Associations/Multiplicities: Model 1 is vastly superior here. The requirement explicitly states constraints like "Two to four players", a deck of "32 action cards", and "At the most one tile can be connected on each side." Model 1 seamlessly translates these into accurate UML multiplicities (`2..4`, `32`, `0..1` for each of the four directions). Model 2 draws association arrows but leaves off all cardinalities, failing to represent these vital domain rules.
3. Rejected or checked issues: I did not penalize Model 1 for modeling action cards as subclasses versus Model 2's enum approach, nor did I penalize Model 2's explicit `ConnectionPiecePile` class vs Model 1's integer attribute, as both are acceptable semantic choices.
4. Overall judgment: Model 1 is the better response because it fully leverages UML multiplicities and specific role associations to accurately model the precise constraints described in the text, whereas Model 2's associations are purely directional and lack numeric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</si>
  <si>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</si>
  <si>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lumps all action card logic into a single `ActionCard` class using an `ActionCardType` enum, which centralizes unrelated behaviors and reduces cohesion. Model 2 achieves high cohesion and low coupling through polymorphism, utilizing an `abstract class ActionCard` with 5 specific subclasses (e.g., `class ExtraTurnCard`, `class ConnectTilesCard`) to separate the execution logic for each action type.
2. Complexity: Model 1 = 4, Model 2 = 4; Evidence: Model 1 defines 14 classes, utilizing a dedicated `ConnectionPiecePile` class and keeping action cards as an enum. Model 2 defines 18 classes, expanding the action cards into an inheritance tree while simplifying the spare pile into a `spareConnectionPieces: int` attribute within the `Game` class. Both models appropriately balance conceptual classes without making every domain noun an unnecessary class.
3. Practicability: Model 1 = 3, Model 2 = 5; Evidence: Model 2 explicitly defines critical domain constraints using UML multiplicities, such as `Game "1" o-- "2..4" Player`, `Deck "1" *-- "32" ActionCard`, and `Tile "1" o-- "0..1" ConnectionPiece` for each of the four sides (e.g., `rightConnection`, `leftConnection`). Model 1 omits numeric multiplicities entirely, relying on imprecise association labels like `Game --&gt; Player : has players` and `ConnectionPiece --&gt; Tile : connects`, which makes the design less robust for implementation and testing.
Total: Model 1 = 10, Model 2 = 14
Choice: B
Reason:
1. Cohesion and Decoupling: Model 2 is superior because it applies object-oriented polymorphism to the action cards, keeping the behavior of each card type highly cohesive and decoupled. Model 1's enum-based approach would require a large conditional structure inside the `execute` method, lowering cohesion.
2. Complexity: Both models demonstrate an appropriate level of complexity. Model 2's slightly higher class count is well-justified by the structural benefits of its inheritance tree, while Model 1's use of a separate class for the piece pile is also a valid interpretation of the requirements.
3. Practicability: Model 2 significantly outperforms Model 1 by explicitly capturing the numerical constraints of the game (2 to 4 players, 32 action cards, at most 1 connection per side). Model 1's lack of numeric multiplicities leaves important business rules undefined in the structure, reducing its readiness for real-world programming and validation.
4. Overall judgment: Model 2 provides a more precise, maintainable, and object-oriented design. Its use of accurate multiplicities and polymorphic action cards makes it a much better blueprint for the software.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</si>
  <si>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</si>
  <si>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passes both `game: Game` and `player: Player` into `ActionCard`'s `execute` method, providing the necessary context for board-level actions without tangling classes. Model 1 also assigns the four connection sides directly to `Tile` (`rightConnection`, `leftConnection`, etc.). Model 2 only passes `player: Player` into `ActionCard.execute()`, forcing the `Player` class to handle board-altering operations (like connecting tiles) which reduces cohesion. Furthermore, Model 2 places `side1` and `side2` on `ConnectionPiece` rather than on `Tile`, worsening coupling.
2. Complexity: Model 1 = 5, Model 2 = 4; Evidence: Model 1 creates an abstract `ActionCard` with 5 specific subclasses (e.g., `ExtraTurnCard`, `ConnectTilesCard`), balancing complexity by utilizing polymorphism instead of complex conditional logic. Model 1 also correctly discerns that identical spare pieces don't need a dedicated class, using a simple `spareConnectionPieces: int` attribute in `Game`. Model 2 relies on a single `ActionCard` with an `ActionCardType` enum, which pushes complexity into method implementations, and unnecessarily models a `ConnectionPiecePile` class to manage identical pieces.
3. Practicability: Model 1 = 5, Model 2 = 3; Evidence: Model 1 translates the textual requirements into strict UML multiplicities that enforce game rules structurally. It uses `Game "1" o-- "2..4" Player` (for 2 to 4 players), `Deck "1" *-- "32" ActionCard` (for 32 cards), and `Tile "1" o-- "0..1" ConnectionPiece` for each specific side (enforcing "At the most one tile can be connected on each side"). Model 2 uses unconstrained associations (e.g., `Game --&gt; Player`, `Deck *- ActionCard`, `ConnectionPiece --&gt; Tile`), failing to capture these critical numeric boundaries.
Total: Model 1 = 15, Model 2 = 10
Choice: A
Reason:
1. Cohesion and Decoupling: Model 1 achieves excellent decoupling by ensuring `ActionCard` has access to both `Game` and `Player` to execute game-altering instructions. Model 2 tightly couples board-manipulation logic to the `Player` by only passing a player reference to the action cards.
2. Complexity: Model 1 follows the instruction to discern between conceptual classes and attributes by tracking the pile of connection pieces as an integer (`spareConnectionPieces: int`). It uses an elegant inheritance tree for the predefined action cards, avoiding the switch-statement complexity that would arise from Model 2's `ActionCardType` enum. 
3. Practicability: Model 1 leverages UML multiplicities exceptionally well to enforce the domain constraints outlined in the prompt (2-4 players, exactly 32 action cards, and a strict 0..1 connection per side). Model 2 completely misses these hard constraints, producing open-ended relationships that would require manual programmatic validation.
4. Overall judgment: Model 1 is the significantly better design. It provides a readable, modular, and highly practical architectural blueprint that utilizes both object-oriented principles (polymorphism for cards) and UML features (strict multiplicities) to enforce the game's rules.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</si>
  <si>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</si>
  <si>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</si>
  <si>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</si>
  <si>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explicitly includes the `ResearchAssistant` class inheriting from `ResearchStaff`, and uses an intermediate class `ProjectInvolvement` to correctly model the `hours` attribute for the many-to-many relationship between RAs and Projects. Model 2 completely omits the `ResearchAssistant` class (merging its properties into `ResearchStaff`) and improperly models the `hours` attribute merely as text inside an association label (`involved in (hours : int)`).
Total: Model 1 = 5, Model 2 = 3
Choice: A
Reason:
1. Alignment with requirements: Model 1 successfully translates all domain concepts into valid UML constructs. It captures the distinct concepts of `ResearchStaff`, `ResearchAssistant`, and `Lecturer` using a clear inheritance hierarchy, while also handling the association attribute `hours` through an explicit intermediate class (`ProjectInvolvement`). Model 2 fails to include the `ResearchAssistant` class, violating the requirement that states "Research assistants (RA) are assigned...". Furthermore, Model 2's approach to the `hours` attribute is structurally invalid in UML, as it just appends it to the association name label. 
2. Rejected or checked issues: Model 1 uses pairs of opposite unidirectional associations (e.g., `Faculty --&gt; Employee` and `Employee --&gt; Faculty`) along with single-quote comments (e.g., `'opposite headedFaculty`). Following the evaluation guidelines, these are treated as semantically valid and standard tooling annotations, so no penalty was applied to Model 1 for this style.
3. Overall judgment: Model 1 is significantly better because it strictly and accurately represents all the required classes, inheritances, and relationship attributes outlined in the prompt, whereas Model 2 misses a key class and fails to properly model a relationship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</si>
  <si>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</si>
  <si>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merges the concepts of 'ResearchStaff' and 'Research assistant', assigning RA properties directly to 'ResearchStaff', whereas Model 2 accurately models 'ResearchAssistant' as a subclass of 'ResearchStaff'. For the project involvement hours, Model 1 improperly places '(hours : int)' as plain text on the association label between staff and project, which lacks structural UML semantics. Model 2 correctly creates an intermediate/association class 'ProjectInvolvement' to hold the 'hours' attribute. Both models accurately capture the composition relationships for faculties and institutes, as well as the 'Lecturer' inheritance and course teaching relationships.
Total: Model 1 = 4, Model 2 = 5
Choice: B
Reason:
1. Alignment with requirements: Model 2 is superior because it accurately distinguishes between 'ResearchStaff' and 'ResearchAssistant' through proper inheritance hierarchies, whereas Model 1 conflates them. Furthermore, Model 2 correctly utilizes an intermediate class ('ProjectInvolvement') to hold the 'hours' attribute for the many-to-many relationship between RAs and Projects. Model 1 merely adds a text label to the association line, which fails to structurally model the association attribute.
2. Rejected or checked issues: Model 2 includes opposite-direction associations and single-quote comments (e.g., `'opposite dean`), which are explicitly allowed by the General Rules and must not be penalized. Model 2 also adds a 'name' attribute to 'University' which is not explicitly requested, but this is a minor assumption that does not detract from its significant structural advantages over Model 1. 
3. Overall judgment: Model 2 provides a much more structurally sound and domain-accurate UML representation, particularly in its handling of the association attribute (hours) and the precise employee role hierarchy (Employee -&gt; ResearchStaff -&gt; ResearchAssistant -&gt; Lecturer). Model 1 takes structural shortcuts that result in lost UML semantics.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</si>
  <si>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</si>
  <si>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accurately identifies `ResearchStaff`, `ResearchAssistant`, and an intermediate `ProjectInvolvement` class to capture association data. Model 2 misses a class for Research Assistants and lacks a class or association class to capture project involvement, incorrectly merging RA concepts into `ResearchStaff`.
2. Associations/Multiplicities between classes for domain reasoning: Model 1 = 5, Model 2 = 3; Evidence: Model 1 uses appropriate structural associations and standard multiplicities (e.g., `1..*`, `*`). Model 2 uses non-standard multiplicity literals like `"many"` and attempts to model project involvement merely as text on an association label (`involved in (hours : int)`) rather than a proper structural relationship.
3. Model attributes with appropriate data types: Model 1 = 5, Model 2 = 3; Evidence: Model 1 correctly places `fieldOfResearch` in `ResearchAssistant` and `hours : int` in `ProjectInvolvement`. Model 2 incorrectly places `fieldOfResearch` in `ResearchStaff` and completely fails to model `hours` as a structural attribute.
4. Consistencies of Terminology with given context: Model 1 = 5, Model 2 = 3; Evidence: Model 1 perfectly reflects the requirement's terminology by including both `ResearchStaff` and `ResearchAssistant`. Model 2 completely omits the term "Research assistant" (RA) from its classes, using `ResearchStaff` in its place.
5. Adherence of UML class diagram standards: Model 1 = 5, Model 2 = 3; Evidence: Model 1 uses standard UML notations, standard multiplicity formats, and properly reifies the many-to-many relationship with an intermediate class. Model 2 uses non-standard UML multiplicities (`"many"`) and improperly tries to declare an attribute inside an association string label (`: involved in (hours : int)`).
Total: Model 1 = 25, Model 2 = 15
Choice: A
Reason:
1. Appropriate conceptual classes aligned with the domain: Model 1 correctly distinguishes between `ResearchStaff` and `ResearchAssistant`, reflecting the requirement that RAs are a specific subset of staff. Model 2 conflates them, omitting the RA class entirely.
2. Model attributes with appropriate data types: Model 1 properly models the "hours" an RA is involved in a project by creating an intermediate concept class (`ProjectInvolvement`), whereas Model 2 just writes it as plain text on the association arrow (`involved in (hours : int)`), failing to formally model the data point.
3. Rejected or checked issues: I did not penalize Model 1 for using two opposite unidirectional associations (e.g., `Faculty --&gt; "1" Employee` and `Employee --&gt; "0..1" Faculty`) or for its use of PlantUML single-quote comments (`'opposite ...`), as these are semantically valid and standard tooling practices.
4. Overall judgment: Model 1 is significantly better because it accurately captures all domain concepts, cleanly handles attributes belonging to many-to-many relationships, uses precise domain terminology, and fully adheres to UML standards. Model 2 suffers from missing classes, misplaced attributes, and non-standard syntax.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</si>
  <si>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</si>
  <si>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merges the concepts of "research staff" and "research assistants" into a single `ResearchStaff` class and lacks an intermediate class to handle project hours. Model 2 correctly identifies `ResearchStaff`, `AdministrativeStaff`, and `ResearchAssistant` as distinct classes, and adds a `ProjectInvolvement` class to properly handle the hours requirement for project participation.
2. Associations/Multiplicities between classes for domain reasoning: Model 1 = 2, Model 2 = 5; Evidence: Model 1 uses the non-standard multiplicity literal `"many"` (e.g., `University "1" *-- "many" Faculty`) and fails to properly model the project involvement relationship by placing the data inside the relationship label. Model 2 correctly establishes standard multiplicities (`1..*`, `*`, `0..*`) and models the RA-to-Project relationship with a proper intermediate mapping class.
3. Model attributes with appropriate data types: Model 1 = 3, Model 2 = 5; Evidence: Model 1 fails to properly model the `hours` attribute for projects, improperly placing it in an association string `involved in (hours : int)` instead of as a class attribute. Model 2 correctly assigns `hours : int` to the `ProjectInvolvement` class and properly types all other attributes, such as `Course.weeklyDurationHours` as `double` and `Course.id` as `int`.
4. Consistencies of Terminology with given context: Model 1 = 3, Model 2 = 5; Evidence: Model 1 misses the specific term `ResearchAssistant` from the text, using only `ResearchStaff`. Model 2 accurately includes and distinguishes `ResearchStaff` and `ResearchAssistant` as dictated by the prompt's distinction requirement.
5. Adherence of UML class diagram standards: Model 1 = 2, Model 2 = 5; Evidence: Model 1 violates UML/PlantUML standards by using the string `"many"` for multiplicities instead of standard notations (`*`, `0..*`, etc.) and by illegally embedding an attribute definition inside an association label `(hours : int)`. Model 2 fully adheres to standards (its use of single-quote comments and opposite associations is valid per the evaluation guidelines).
Total: Model 1 = 13, Model 2 = 25
Choice: B
Reason:
1. Appropriate conceptual classes aligned with the domain: Model 2 is superior because it accurately captures `ResearchAssistant` as a separate concept from `ResearchStaff` and provides a `ProjectInvolvement` class to handle the hours constraint. Model 1 is missing both.
2. Associations/Multiplicities between classes for domain reasoning: Model 2 uses correct and standard UML multiplicities (`1..*`, `0..*`) and properly maps the many-to-many relationship using an association class equivalent. Model 1 improperly relies on the text literal `"many"` and fails to construct a valid association for project hours.
3. Model attributes with appropriate data types: Model 2 successfully models all attributes within valid classes, including the `hours` worked on projects. Model 1 incorrectly attempts to attach the `hours` attribute to an association label, which is not a valid way to assign attributes.
4. Consistencies of Terminology with given context: Model 2 aligns perfectly with the requirement's terminology, distinguishing between research staff and research assistants. Model 1 ignores the term `ResearchAssistant` entirely.
5. Adherence of UML class diagram standards: Model 2 is fully compliant with UML/PlantUML syntax. Model 1 uses invalid multiplicity notations and invalid syntax for defining association attributes.
6. Rejected or checked issues: As explicitly stated in the guidelines, Model 2's use of two opposite unidirectional associations and PlantUML single-quote comments (`'opposite ...`) are perfectly valid and semantically equivalent to standard bidirectional associations. No penalties were applied for these features.
7. Overall judgment: Model 2 is significantly better across all dimensions. It faithfully represents the domain concepts, constraints, and terminologies while strictly adhering to standard UML and PlantUML conventions. Model 1 struggles with invalid syntax, merged concepts, and unstandardized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</si>
  <si>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</si>
  <si>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decouples the many-to-many relationship between research assistants and projects by introducing the `ProjectInvolvement` class to hold the `hours` attribute, ensuring high cohesion. Model 2 incorrectly embeds `(hours : int)` within the association text label `involved in (hours : int)` between `ResearchStaff` and `Project`, failing to structuralize this data. Model 1 also correctly separates `ResearchStaff` and `ResearchAssistant`, whereas Model 2 merges them.
2. Complexity: Model 1 = 5, Model 2 = 3; Evidence: Model 1 captures the appropriate level of complexity with 11 classes and an inheritance depth of 3 (`Employee` &lt;|-- `ResearchStaff` &lt;|-- `ResearchAssistant` &lt;|-- `Lecturer`), faithfully representing the requirements. Model 2 is overly simplistic (9 classes, depth 2), completely omitting the `ResearchAssistant` class and an intermediate class for project involvement. 
3. Practicability: Model 1 = 5, Model 2 = 2; Evidence: Model 1 is highly practical and easy to translate into code or a database schema because the `ProjectInvolvement` class (`hours : int`) explicitly handles the association attribute. Model 2 is impractical because placing `(hours : int)` inside an association label `involved in (hours : int)` is non-standard and cannot be directly programmed or tested as a structural component.
Total: Model 1 = 15, Model 2 = 8
Choice: A
Reason:
1. Cohesion and Decoupling: Model 1 demonstrates strong structural decoupling by using an intermediate class (`ProjectInvolvement`) for association attributes. Model 2 relies on an unparsed text label for the involvement hours and awkwardly conflates the `ResearchStaff` and `ResearchAssistant` concepts.
2. Complexity: Model 1 accurately maps the nouns and workflows from the requirements to classes, reflecting the domain's true complexity. Model 2 under-represents the system by omitting `ResearchAssistant` and the project involvement concept entirely.
3. Practicability: Model 1 offers a highly implementable structure where association attributes are explicitly modeled as classes, facilitating easy object-oriented programming and database design. Model 2's approach to the `hours` attribute is a mere string annotation, severely limiting its readiness for real-world development.
4. Rejected or checked issues: I did not penalize Model 1 for using two opposite unidirectional associations with single-quote comments (e.g., `Faculty --&gt; "1" Employee` and `Employee --&gt; "0..1" Faculty`). This is explicitly protected by the evaluation guidelines and is semantically equivalent to a single bidirectional association. I also did not penalize Model 2 for defining `Course.id` as a `String` rather than an `int`.
5. Overall judgment: Model 1 is vastly superior because it successfully models all domain constraints, particularly association attributes and accurate inheritance hierarchies. Model 2 takes shortcuts that break UML structural semantics (putting attributes in relationship names) and misses key domain classes, making it fundamentally less useful for software engineering.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</si>
  <si>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</si>
  <si>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places the association attribute `hours` merely as a text label on the relationship (`ResearchStaff "many" --&gt; "0..*" Project : involved in (hours : int)`), which hurts cohesion as there is no structural entity to hold this data. Model 2 introduces a `ProjectInvolvement` class containing `hours : int` to properly decouple the many-to-many relationship between `ResearchAssistant` and `Project` and cohesively encapsulate the relationship attribute. Furthermore, Model 2 correctly separates the broader `ResearchStaff` concept from the specific `ResearchAssistant` role.
2. Complexity: Model 1 = 4, Model 2 = 5; Evidence: Model 1 has 10 classes and an inheritance depth of 2 (`Employee` -&gt; `ResearchStaff` -&gt; `Lecturer`), completely merging "Research assistants" into `ResearchStaff`. Model 2 has 12 classes and an inheritance depth of 3 (`Employee` -&gt; `ResearchStaff` -&gt; `ResearchAssistant` -&gt; `Lecturer`), which slightly increases complexity but precisely matches the domain requirements ("distinction is made between research and administrative staff", "Research assistants (RA) are assigned..."). Model 2's complexity is well-justified by the requirement.
3. Practicability: Model 1 = 3, Model 2 = 5; Evidence: Model 1's use of a string label `(hours : int)` on an association cannot be directly translated into practical, readable code or database schemas. Model 2's use of the intermediate class `ProjectInvolvement` provides a highly practical, code-ready structure for tracking the hours an RA spends on a project. Additionally, Model 2's explicit bidirectional associations (e.g., `taughtCourses` and `lecturers`) make navigability and implementation straightforward.
Total: Model 1 = 10, Model 2 = 15
Choice: B
Reason:
1. Cohesion and Decoupling: Model 2 exhibits superior design by using the `ProjectInvolvement` class to capture the relationship attribute (`hours`), keeping classes cohesive. Model 1 attempts to represent this with a mere string label on the association arrow, lacking structural integrity. Model 2 also correctly distinguishes between `ResearchStaff` and `ResearchAssistant`.
2. Complexity: While Model 2 has a deeper inheritance tree and more classes (12 vs. 10), this complexity strictly adheres to the stated domain requirements. Model 1 oversimplifies by omitting the `ResearchAssistant` concept, making it less accurate. 
3. Practicability: Model 2 is much more practical for real-world implementation. The `ProjectInvolvement` class acts as a standard association/mapping table or object, which is essential for actual programming and database design. Model 1's text label approach is structurally unimplementable.
4. Rejected or checked issues: Model 2 uses two opposite unidirectional arrows to represent bidirectional relationships (e.g., `Faculty --&gt; Employee` and `Employee --&gt; Faculty`). Following the guidelines, this is semantically equivalent to a single bidirectional line and was not penalized.
5. Overall judgment: Model 2 is significantly better. It accurately maps the domain's inheritance hierarchy and employs a practical, implementable design for relationship properties (hours worked on a project), whereas Model 1 misses key domain concepts and relies on non-structural text labels for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</si>
  <si>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</si>
  <si>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capture the core entities and attributes (University, Faculty, Institute, Employee types, Project, Course). Model 1 correctly models the intermediate class `ProjectInvolvement` (which holds the `hours` attribute) by associating it with a single `Project` and (implicitly via its opposite) a single `ResearchAssistant`. Model 2 incorrectly assigns a many-to-many multiplicity (`"0..*" -- "0..*"`) between `ResearchAssistant` and `ProjectInvolvement`, which fundamentally defeats the purpose of an intermediate entity representing a single involvement record. Additionally, Model 1 uses `1..*` for the composition of faculties and institutes, which better aligns with the requirement's use of "several" and "various" compared to Model 2's `0..*`. Model 1 also correctly establishes a relationship between `University` and `Employee`.
Total: Model 1 = 5, Model 2 = 4
Choice: A
Reason:
1. Alignment with requirements: Model 1 demonstrates a more precise understanding of domain modeling, specifically regarding how to model an association class/intermediate entity. By assigning `ProjectInvolvement` to a many-to-many relationship with `ResearchAssistant`, Model 2 makes a conceptual error. Model 1 handles this correctly. Model 1 also uses slightly more accurate multiplicities (`1..*`) for compositions based on the text ("several", "various"). 
2. Rejected or checked issues: Model 1 heavily uses pairs of opposite unidirectional associations (e.g., `Faculty --&gt; "1" Employee` and `Employee --&gt; "0..1" Faculty`) along with single-quote comments (`'opposite headedFaculty`). As per the strict evaluation guidelines, these are 100% semantically equivalent to bidirectional associations and standard tooling annotations, so they were entirely ignored as penalty factors.
3. Overall judgment: Model 1 is better because it correctly models the multiplicities for the `ProjectInvolvement` intermediate entity and provides tighter, more accurate multiplicities for the University's compositions.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</si>
  <si>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</si>
  <si>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capture the required entities, attributes, and relationships. However, Model 1 incorrectly models the reified association class `ProjectInvolvement` with many-to-many multiplicities (`ResearchAssistant "0..*" -- "0..*" ProjectInvolvement`), which implies a single involvement record could belong to multiple RAs. Model 2 correctly models this as an RA having multiple involvements, and each involvement pointing to one project.
Total: Model 1 = 4, Model 2 = 5
Choice: B
Reason:
1. Alignment with Requirements: Model 2 is slightly more accurate in its structural representation of the `ProjectInvolvement` association class. By defining the relationship as `ResearchAssistant --&gt; "0..*" ProjectInvolvement` and `ProjectInvolvement --&gt; "1" Project`, Model 2 correctly handles the assignment of hours per RA per project. Model 1 uses a many-to-many relationship between `ResearchAssistant` and `ProjectInvolvement`, which breaks the semantics of an association entity.
2. Rejected or checked issues: Model 2 uses paired opposite unidirectional associations (e.g., `A --&gt; B` and `B --&gt; A`) and single-quote comments. As per the evaluation guidelines, these are strictly forbidden penalties and are treated as 100% semantically equivalent to bidirectional associations, thus not affecting Model 2's score.
3. Overall judgment: Model 2 provides a more structurally sound representation of the intermediate `ProjectInvolvement` class and strictly adheres to the domain requirements without semantic errors,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</si>
  <si>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</si>
  <si>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required entities (University, Faculty, Institute, Employee, ResearchStaff, AdministrativeStaff, ResearchAssistant, Lecturer, Project, Course). Model 1 includes ProjectInvolvement to handle the association class requirements, and Model 2 does the same while also legitimately extracting Address into a separate class.
2. Associations/Multiplicities between classes for domain reasoning: Model 1 = 5, Model 2 = 3; Evidence: The requirement states "Research assistants (RA) are assigned to at least one institute." Model 1 correctly models this with `ResearchAssistant --&gt; "1..*" Institute`. Model 2 incorrectly models the Institute side as `0..*` in `ResearchAssistant "1..*" -- "0..*" Institute` (meaning an RA is assigned to 0 or more Institutes). Additionally, Model 2 uses a many-to-many relationship for `ProjectInvolvement` (`ResearchAssistant "0..*" -- "0..*" ProjectInvolvement`), which incorrectly implies a single involvement record can be shared by multiple RAs. Model 1 correctly structures the involvement.
3. Model attributes with appropriate data types: Model 1 = 5, Model 2 = 5; Evidence: Both models correctly assign attributes to the respective classes (e.g., totalEmployees, SSN, name, email, fieldOfResearch, project dates, course ID/duration) with sensible data types like String, int, and Date.
4. Consistencies of Terminology with given context: Model 1 = 5, Model 2 = 5; Evidence: Both models use terminology perfectly aligned with the prompt (e.g., Dean, Lecturer, AdministrativeStaff, ResearchAssistant, Project, Course).
5. Adherence of UML class diagram standards: Model 1 = 5, Model 2 = 5; Evidence: Both models use valid PlantUML syntax. Model 1 uses paired unidirectional arrows with opposite comments, which is a fully valid workaround for bidirectional associations in PlantUML. Model 2 properly utilizes inheritance (`&lt;|--`) and aggregation/composition.
Total: Model 1 = 25, Model 2 = 23
Choice: A
Reason:
1. Associations/Multiplicities between classes for domain reasoning: Model 1 correctly captures the business rule that a Research Assistant must be assigned to at least one institute (`1..*`), whereas Model 2 specifies `0..*`. Furthermore, Model 1 correctly treats `ProjectInvolvement` as resolving a many-to-many relationship, linking one RA and one Project per instance. Model 2 mistakenly models the association to `ProjectInvolvement` as many-to-many (`0..* -- 0..*`), which breaks the semantics of an intermediate association class.
2. Rejected or checked issues: Model 1 uses paired unidirectional associations with `'opposite` comments instead of single bidirectional lines. As per the strict evaluation guidelines, these are semantically equivalent and were not penalized. Model 2 extracting `Address` into its own class is perfectly valid domain modeling and was not penalized.
3. Overall judgment: Both models provide excellent coverage of the classes, attributes, and terminology. However, Model 1 is significantly more accurate with its multiplicities and the structural modeling of the `ProjectInvolvement` intermediate class.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</si>
  <si>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</si>
  <si>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An analysis of the two models based on the provided criteria:
**1. Appropriate conceptual classes aligned with the domain**
- **Model 1**: Correctly identifies all main domain entities: `University`, `Faculty`, `Institute`, `Employee` (and its subclasses), `Project`, `Course`, and `ProjectInvolvement`. It extracts `Address` into a separate class, which is a valid modeling choice. 
- **Model 2**: Correctly identifies the same core classes. It keeps `address` as an attribute within `Institute`. Both effectively capture the required domain concepts.
- **Score**: Model 1 = 5, Model 2 = 5
**2. Associations/Multiplicities between classes for domain reasoning**
- **Model 1**: Captures most associations, but errs in mapping the `ProjectInvolvement` intermediate class. It defines `ResearchAssistant "0..*" -- "0..*" ProjectInvolvement`, which incorrectly states that a single `ProjectInvolvement` record (tracking hours) could be shared among multiple `ResearchAssistant` instances. A record tracking a specific RA's hours on a project should belong to exactly 1 RA.
- **Model 2**: Uses opposite unidirectional associations (which are semantically valid and exempt from penalty). However, it defines `ResearchAssistant --&gt; "0..*" ProjectInvolvement` and `ProjectInvolvement --&gt; "1" Project`, but skips explicitly defining the multiplicity of the `ProjectInvolvement` back to `ResearchAssistant` (though structurally implied as 1). Overall, Model 2's structure avoids the incorrect Many-to-Many pitfall on the associative entity that Model 1 fell into. Model 2 also explicitly links `Employee` to `University`.
- **Score**: Model 1 = 3, Model 2 = 4
**3. Model attributes with appropriate data types**
- **Model 1**: All attributes accurately reflect the prompt (`totalEmployees`, `name`, `socialSecurityNumber`, etc.). It correctly maps `startDate` and `endDate` to a `Date` type. 
- **Model 2**: Correctly attributes `University` with `name` (even though not explicitly requested, it is reasonable), `totalEmployees`, etc. `Course` uses `id : int` and `weeklyDurationHours : double`, which are perfectly acceptable types for those attributes.
- **Score**: Model 1 = 5, Model 2 = 5
**4. Consistencies of Terminology with given context**
- **Both Models**: Use terminology precisely matching the prompt (`AdministrativeStaff`, `ResearchAssistant`, `Lecturer`, `socialSecurityNumber`, `dean`, `weeklyDurationHours`). 
- **Score**: Model 1 = 5, Model 2 = 5
**5. Adherence of UML class diagram standards**
- **Model 1**: Standard PlantUML syntax. Syntactically clean.
- **Model 2**: Standard PlantUML syntax. The use of opposite unidirectional arrows with end-of-line comments (`'opposite`) is valid PlantUML and permitted per the instructions. 
- **Score**: Model 1 = 5, Model 2 = 5
```result
Scores:
1. Appropriate conceptual classes aligned with the domain: Model 1 = 5, Model 2 = 5; Evidence: Both correctly capture all domain concepts like University, Faculty, Institute, Employee subtypes, Project, and Course. M1 extracts Address as a class while M2 keeps it as an attribute.
2. Associations/Multiplicities between classes for domain reasoning: Model 1 = 3, Model 2 = 4; Evidence: M1 incorrectly defines a Many-to-Many relationship between ResearchAssistant and the intermediate class ProjectInvolvement ('ResearchAssistant "0..*" -- "0..*" ProjectInvolvement'). M2 avoids this error, though it leaves the explicit reverse association from ProjectInvolvement to ResearchAssistant implied.
3. Model attributes with appropriate data types: Model 1 = 5, Model 2 = 5; Evidence: Both models identify all required attributes with sensible data types (e.g., Dates for project start/end, strings for SSN/email).
4. Consistencies of Terminology with given context: Model 1 = 5, Model 2 = 5; Evidence: Terminology strictly adheres to the prompt (e.g., weeklyDurationHours, socialSecurityNumber, Lecturer).
5. Adherence of UML class diagram standards: Model 1 = 5, Model 2 = 5; Evidence: Both models use valid PlantUML syntax. M2's use of single-quote comments and opposite unidirectional associations are standard tooling annotations and fully valid.
Total: Model 1 = 23, Model 2 = 24
Choice: B
Reason:
1. Associations/Multiplicities: Model 2 is better because it avoids the critical logical error made by Model 1 regarding the intermediate association class. Model 1 specifies that multiple Research Assistants can share the exact same 'ProjectInvolvement' instance (`"0..*" -- "0..*"`), which breaks the fundamental rule of tracking individual RA hours.
2. Rejected or checked issues: Model 2's usage of opposite unidirectional associations (`A --&gt; B` and `B --&gt; A`) and end-of-line comments (`'opposite`) are explicitly protected from penalty by the evaluation guidelines, so they do not negatively impact its score. 
3. Overall judgment: While both models are highly accurate regarding classes, attributes, and terminology, Model 2 provides a more semantically accurate representation of the multiplicities surrounding the `ProjectInvolvement`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</si>
  <si>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</si>
  <si>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properly distribute attributes to their respective conceptual classes (e.g., `Project` holds `name`, `startDate`, `endDate`, while `ProjectInvolvement` holds `hours`). Dependencies are appropriately managed through composition for parts (University-Faculty-Institute) and association for roles.
2. Complexity: Model 1 = 5, Model 2 = 4; Evidence: Model 1 models the `address` of an `Institute` as an attribute (`address : String`), which perfectly aligns with the simple requirement ("The address of each institute is known"). Model 2 extracts `Address` into a separate class with `street`, `city`, and `zipCode`, which adds unnecessary complexity (not every noun needs to be a class) without requirement justification. Both models appropriately manage the inheritance hierarchy (`Employee` -&gt; `ResearchStaff` -&gt; `ResearchAssistant` -&gt; `Lecturer`).
3. Practicability: Model 1 = 5, Model 2 = 5; Evidence: Both designs are highly readable, testable, and modular. Model 1 accurately captures "several faculties" with a `1..*` multiplicity, whereas Model 2 uses `0..*`. Model 1's use of directional opposite associations (e.g., `Faculty --&gt; Employee` and `Employee --&gt; Faculty`) is perfectly valid and provides clear navigability. 
Total: Model 1 = 15, Model 2 = 14
Choice: A
Reason:
1. Cohesion and Decoupling: Both models demonstrate excellent separation of concerns. The introduction of an association class concept (`ProjectInvolvement`) effectively decouples the many-to-many relationship between `ResearchAssistant` and `Project` while capturing the `hours` attribute in both designs.
2. Complexity: Model 1 strikes a slightly better balance by keeping `address` as a simple string attribute, directly answering the requirement. Model 2 over-engineers the address by creating a new `Address` class with assumed attributes (`street`, `city`, `zipCode`) that were not requested. 
3. Practicability: Both models are practical and well-structured. Model 1 captures the structural multiplicities slightly better by using `1..*` for the compositions (a university consists of *several* faculties), while Model 2 allows empty universities (`0..*`). 
4. Rejected or checked issues: Model 1 uses paired unidirectional associations with single-quote comments for opposite roles. Following the explicit evaluation guidelines, this is structurally equivalent to a single bidirectional line and was strictly not penalized.
5. Overall judgment: Model 1 is slightly better because it perfectly balances the complexity of the domain without introducing unrequested classes (like `Address`), and it provides slightly more accurate multiplicities for the institutional hierarchy aggregations.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</si>
  <si>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</si>
  <si>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properly separate responsibilities into domain concepts (University, Faculty, Institute, Employee, Project, Course). Model 1 extracts `Address` into a separate class, which is a valid cohesive choice, while Model 2 keeps it as a cohesive string attribute in `Institute`.
2. Complexity: Model 1 = 5, Model 2 = 5; Evidence: Both models maintain an appropriate level of complexity. The inheritance depth is the same (Employee -&gt; ResearchStaff -&gt; ResearchAssistant -&gt; Lecturer). Model 1 has 13 classes, Model 2 has 12 classes. Both efficiently model `ProjectInvolvement` to handle the many-to-many relationship with hours.
3. Practicability: Model 1 = 4, Model 2 = 5; Evidence: Both models are readable and modular. However, Model 1 maps `ResearchAssistant` to `ProjectInvolvement` with a many-to-many multiplicity (`"0..*" -- "0..*"`), which is technically incorrect for an intermediate association class (it should be 1-to-many from RA to Involvement). Model 2 correctly models the navigability from RA to `ProjectInvolvement` and `ProjectInvolvement` to `Project`. Model 2 is slightly more practical for implementation.
Total: Model 1 = 14, Model 2 = 15
Choice: B
Reason:
1. Cohesion and Decoupling: Both models exhibit excellent cohesion and decoupling. They both correctly distinguish between staff types and use inheritance appropriately.
2. Complexity: Both models have a balanced complexity level, accurately reflecting the requirements without over-engineering.
3. Practicability: Model 2 is slightly more practical because it correctly models the relationship multiplicities around the intermediate `ProjectInvolvement` class. Model 1 incorrectly uses a many-to-many multiplicity (`"0..*" -- "0..*"`) between `ResearchAssistant` and `ProjectInvolvement`.
4. Rejected or checked issues: I did not penalize Model 2 for using two opposite unidirectional associations with single-quote comments instead of single bidirectional lines, as they are semantically equivalent in UML representation.
5. Overall judgment: Model 2 is slightly better due to a more accurate representation of multiplicities in the intermediate association class, whereas Model 1 makes a minor structural error there.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</si>
  <si>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</si>
  <si>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requirement alignment, conceptual classes, relationships, cardinalities, relationship types, class names, and optional attributes: Model 1 = 3, Model 2 = 4; Evidence: Model 1 identifies many required concepts: University, Faculty, Institute, Employee, AdministrativeStaff, ResearchStaff, Lecturer, Project, and Course. It stores University.totalEmployees, Faculty.name, Institute.name/address, Employee socialSecurityNumber/name/email, research field on ResearchStaff, Project name/startDate/endDate, and Course id/name/weeklyDurationHours. However, it does not model ResearchAssistant explicitly even though the requirement specifically says research assistants are assigned to institutes and can become lecturers. It also represents project hours as an association label `(hours : int)` rather than as a proper association class or class attribute, which is semantically weak for a job-style involvement record. Model 2 includes University, Faculty, Institute, Address, Employee, AdministrativeStaff, ResearchStaff, ResearchAssistant, Lecturer, Project, Course, and ProjectInvolvement. It better captures the RA concept, lecturer as a subtype of ResearchAssistant, and project hours via ProjectInvolvement.hours. However, its `ResearchAssistant "0..*" -- "0..*" ProjectInvolvement` association permits a ProjectInvolvement without exactly one RA unless interpreted loosely, and `University "1" *-- "0..*" Faculty` / `Faculty "1" *-- "0..*" Institute` are weaker than “several” faculties and “various” institutes.
Total: Model 1 = 3, Model 2 = 4
Choice: B
Reason:
1. Strict requirement alignment: Model 2 is stronger because it explicitly includes ResearchAssistant, Lecturer as a subtype of ResearchAssistant, and ProjectInvolvement with hours. Model 1 uses ResearchStaff where the requirement calls out RAs specifically, and stores involvement hours only as an association annotation.
2. Associations and cardinalities: Model 1 is better on minimum composition counts by using University "1" *-- "many" Faculty and Faculty "1" *-- "many" Institute, and it assigns ResearchStaff to "1..*" Institute. Model 2 weakens these with "0..*" faculties and institutes, but it better models RA-project involvement as a separate class connected to Project and ResearchAssistant.
3. Rejected or checked issues: I did not penalize Model 1 for using `many` instead of `*` as a multiplicity literal unless it affects interpretability, and I did not penalize Model 2 for using an Address class rather than a string attribute for institute address. I also did not reward Model 2 for marking Employee abstract, because optional abstractness should not affect scoring without requirement evidence.
4. Overall judgment: Model 2 is better overall. Its RA/Lecturer hierarchy and ProjectInvolvement class more accurately represent the central domain rules, while Model 1 misses the explicit ResearchAssistant concept and handles project hours less cleanly.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</si>
  <si>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</si>
  <si>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Model 1 explicitly includes the `ResearchAssistant` class, models its inheritance from `ResearchStaff`, makes `Lecturer` a subclass of `ResearchAssistant`, and captures the involvement hours via a `ProjectInvolvement` class. Model 1 has slight multiplicity inaccuracies (e.g., assigning `0..*` instead of `1..*` on the Institute side for RA assignments, and `0..*` on the RA side of `ProjectInvolvement`). Model 2 completely omits the `ResearchAssistant` class, merging its `fieldOfResearch` attribute and relationships into `ResearchStaff`. Model 2 also uses an informal string label `involved in (hours : int)` rather than a valid structural UML construct for association attributes.
Total: Model 1 = 4, Model 2 = 2
Choice: A
Reason:
1. Alignment with requirements (Conceptual classes): Model 1 successfully captures all the entities described in the prompt, distinguishing between `ResearchStaff` and `ResearchAssistant`, and accurately showing that `Lecturer` is a specific role/subclass of `ResearchAssistant`. Model 2 misses the `ResearchAssistant` class entirely, conflating it with the broader `ResearchStaff` class and misplacing its attributes and associations.
2. Alignment with requirements (Association Attributes): Model 1 correctly introduces an intermediate class `ProjectInvolvement` to capture the "hours" an RA spends on a project, which is standard practice when association classes aren't natively supported by basic arrows. Model 2 attempts to define this attribute inside an association text label `involved in (hours : int)`, which is not valid UML syntax for defining attributes. 
3. Rejected or checked issues: Model 1 models "Address" as a separate class, whereas Model 2 models it as a String attribute. Both are valid interpretations of "The address of each institute is known" and neither was penalized. Model 1's multiplicities on the `ProjectInvolvement` side (`0..*` to `0..*`) are semantically loose, but Model 2's complete omission of a core domain class (Research Assistant) is a much more severe conceptual error.
4. Overall judgment: Model 1 is vastly superior because it faithfully models all the required domain concepts, inheritance hierarchies, and properties outlined in the prompt, whereas Model 2 misses a key class and relies on invalid syntax for relationship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</si>
  <si>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</si>
  <si>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maps the "Research assistants (RA)" requirements directly onto `ResearchStaff` and lacks an association class or intermediate class to capture project involvement. Model 2 correctly creates `ResearchAssistant` as a distinct subclass and introduces `ProjectInvolvement` to handle the many-to-many project relationship and its attributes.
2. Associations/Multiplicities between classes for domain reasoning: Model 1 = 3, Model 2 = 3; Evidence: Model 1 correctly identifies `1..*` on the Institute side for RA assignments but uses a mere text label for the project involvement. Model 2 creates the intermediate class but has faulty multiplicities: `ResearchAssistant "1..*" -- "0..*" Institute` contradicts the "at least one institute" requirement by placing `0..*` on the Institute side, and `ResearchAssistant "0..*" -- "0..*" ProjectInvolvement` improperly defines a many-to-many relationship connecting to an intermediate class.
3. Model attributes with appropriate data types: Model 1 = 3, Model 2 = 5; Evidence: Model 1 includes most basic attributes but completely misses modeling `hours` as a proper class attribute, instead placing it as text `(hours : int)` in a relationship label. Model 2 correctly models all attributes in classes, including `hours : int` in `ProjectInvolvement`.
4. Consistencies of Terminology with given context: Model 1 = 3, Model 2 = 5; Evidence: Model 1 inaccurately applies the term `ResearchStaff` to relationships and attributes meant specifically for "Research assistants (RA)". Model 2 perfectly aligns with the prompt's specific terminology, correctly distinguishing `ResearchStaff`, `ResearchAssistant`, and `Lecturer`.
5. Adherence of UML class diagram standards: Model 1 = 3, Model 2 = 5; Evidence: Model 1 violates standard UML notation by using the arbitrary string `"many"` for multiplicity bounds and by stuffing an association attribute into an association name label. Model 2 correctly adheres to UML syntax using standard numeric bounds (`0..*`, `1..*`) and structurally valid intermediate classes.
Total: Model 1 = 15, Model 2 = 23
Choice: B
Reason:
1. Appropriate conceptual classes aligned with the domain: Model 2 is superior because it accurately extracts all the distinct conceptual classes requested (including `ResearchAssistant`) and sets up an intermediate class `ProjectInvolvement`. Model 1 oversimplifies by omitting the RA class entirely and failing to structure the association class.
2. Associations/Multiplicities between classes for domain reasoning: Both models have noticeable flaws. Model 1 struggles with properly capturing the structural relationship for project hours, while Model 2 misrepresents the multiplicity of RA's assignment to Institutes (`0..*` instead of `1..*`) and the linkage to `ProjectInvolvement`. They are tied here.
3. Model attributes with appropriate data types: Model 2 properly encapsulates all attributes within standard classes, including `hours`. Model 1 fails to model `hours` as a valid attribute.
4. Consistencies of Terminology with given context: Model 2 correctly uses the terminology `ResearchAssistant` and `Lecturer` exactly as described in the text, whereas Model 1 lazily reuses `ResearchStaff`.
5. Adherence of UML class diagram standards: Model 2 follows UML syntax conventions perfectly. Model 1 uses invalid strings like `"many"` and attempts to embed attributes directly into relationship lines.
6. Rejected or checked issues: Model 2 introduces a separate `Address` class rather than keeping it as a string attribute in `Institute`. Since extracting addresses into an object type is a standard and valid domain modeling technique, this was not penalized.
7. Overall judgment: Model 2 provides a much more comprehensive, well-structured, and syntactically correct UML representation of the requirements. Despite a logical error in specific multiplicity bounds, its structural completeness, accurate terminology, and proper handling of attributes make it significantly better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</si>
  <si>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</si>
  <si>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distinct classes for `ResearchStaff`, `ResearchAssistant`, and an association class `ProjectInvolvement` to handle the project hours. Model 2 merges the RA concept into `ResearchStaff` (missing `ResearchAssistant` entirely) and lacks a dedicated class to resolve the project involvement.
2. Associations/Multiplicities between classes for domain reasoning: Model 1 = 3, Model 2 = 3; Evidence: Model 1 misses the "at least one institute" constraint by using `0..*` on the Institute side (`ResearchAssistant "1..*" -- "0..*" Institute`) and incorrectly models the link to `ProjectInvolvement` as many-to-many (`"0..*" -- "0..*"`). Model 2 correctly captures the `1..*` assignment (`ResearchStaff "many" --&gt; "1..*" Institute`) but completely fails to structurally model the project hours association, improperly leaving it as an association label.
3. Model attributes with appropriate data types: Model 1 = 5, Model 2 = 3; Evidence: Model 1 correctly models all attributes with proper types, specifically capturing `hours : int` inside the `ProjectInvolvement` class. Model 2 is missing `hours` as a proper structural class attribute.
4. Consistencies of Terminology with given context: Model 1 = 5, Model 2 = 3; Evidence: Model 1 accurately uses the exact terminology from the text (`ResearchStaff`, `ResearchAssistant`, `Lecturer`). Model 2 omits `ResearchAssistant` and incorrectly uses `ResearchStaff` for RA-specific roles and assignments.
5. Adherence of UML class diagram standards: Model 1 = 4, Model 2 = 2; Evidence: Model 1 uses standard UML notation (`0..*`, `1..*`) but has minor logical errors in its linkage class multiplicities. Model 2 violates UML standards by embedding the attribute definition `(hours : int)` inside an association text label and using the non-standard literal `"many"` for multiplicity.
Total: Model 1 = 22, Model 2 = 14
Choice: A
Reason:
1. Appropriate conceptual classes aligned with the domain: Model 1 perfectly identifies all necessary domain classes, including `ResearchAssistant` and `ProjectInvolvement`. Model 2 misses the `ResearchAssistant` class and lacks an association class for project hours.
2. Associations/Multiplicities between classes for domain reasoning: Both models have flaws. Model 1 misses the "at least one" constraint for institutes and uses an incorrect many-to-many relationship for its involvement class. Model 2 successfully captures the `1..*` institute constraint but fails to structurally associate the project hours.
3. Model attributes with appropriate data types: Model 1 correctly includes all attributes required by the domain (like `hours: int` in an association class). Model 2 completely misses `hours` as an actual class attribute.
4. Consistencies of Terminology with given context: Model 1 adheres strictly to the provided terminology. Model 2 inaccurately substitutes `ResearchStaff` for `ResearchAssistant`.
5. Adherence of UML class diagram standards: Model 1 generally adheres to UML standards with valid standard multiplicities. Model 2 explicitly violates UML structural standards by writing `(hours : int)` within an association text label and using the non-standard string `"many"` instead of standard multiplicity notation.
6. Rejected or checked issues: I did not penalize either model for using lower-case primitive types like `int` instead of `Integer`, and I treated `address : String` in Model 2 as a perfectly valid alternative to Model 1's `Address` class, in line with the strict evaluation guidelines regarding primitive types and abstractions.
7. Overall judgment: Model 1 is significantly better. It correctly identifies the required conceptual classes, follows the terminology, accurately places attributes, and mostly adheres to UML notation standards. Model 2 merges distinct concepts, misses attributes structurally, and violates fundamental UML class diagram notation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</si>
  <si>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</si>
  <si>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embeds the `hours` attribute as informal text within the association label (`"many" --&gt; "0..*" Project : involved in (hours : int)`), which fails to structurally decouple the association data. Model 2 achieves higher cohesion by introducing a `ProjectInvolvement` class to properly encapsulate the `hours : int` attribute, and an `Address` class (`Institute "1" *-- "1" Address`) to cleanly separate location data.
2. Complexity: Model 1 = 3, Model 2 = 5; Evidence: Model 1 has 10 classes and simplifies the hierarchy by conflating research staff with research assistants (`Employee &lt;|-- ResearchStaff`, `ResearchStaff &lt;|-- Lecturer`). Model 2 introduces 13 classes with a more detailed inheritance tree (`Employee &lt;|-- ResearchStaff`, `ResearchStaff &lt;|-- ResearchAssistant`) that accurately captures the requirement's distinction between general "research staff" and specific "Research assistants (RA)".
3. Practicability: Model 1 = 4, Model 2 = 3; Evidence: Model 1 correctly enforces the "at least one institute" constraint (`ResearchStaff "many" --&gt; "1..*" Institute`), although its informal text label for `hours` is impractical for implementation. Model 2 provides a highly practical relational mapping pattern with `ProjectInvolvement`, but it explicitly models an invalid multiplicity that contradicts the hard constraint by using `0..*` on the Institute side (`ResearchAssistant "1..*" -- "0..*" Institute`).
Total: Model 1 = 10, Model 2 = 13
Choice: B
Reason:
1. Cohesion and Decoupling: Model 2 is superior because it structurally resolves the many-to-many relationship's attribute (`hours`) via the `ProjectInvolvement` intermediate class. Model 1 relies on an informal, non-standard text label on the association arrow, which is poor structural design.
2. Complexity: Model 2 handles domain complexity much better by correctly distinguishing between `ResearchStaff` and `ResearchAssistant`, precisely aligning with the requirement text. Model 1 oversimplifies the domain by conflating the two concepts.
3. Practicability: Model 1 is slightly more accurate regarding domain constraints because it correctly models the `1..*` multiplicity for the institute assignment. Model 2 explicitly contradicts this with a `0..*` multiplicity. However, Model 2's overall structural maturity for OOP and database design (using intermediate classes) keeps it highly viable.
4. Rejected or checked issues: I did not reward Model 2 for marking the `Employee` superclass as `abstract`, as the requirement does not specify whether direct instantiation of generic employees is restricted or allowed.
5. Overall judgment: Model 2 represents a much more structurally sound and professional UML design. The use of a dedicated intermediate class to encapsulate relationship attributes and a more accurate class hierarchy easily outweighs its minor multiplicity error, making it the better choice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</si>
  <si>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</si>
  <si>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 dedicated `ProjectInvolvement` class to hold the `hours` attribute, properly decoupling the many-to-many relationship between RA and Project, and separates `Address` into its own class. Model 2 places `(hours : int)` on the association label `ResearchStaff "many" --&gt; "0..*" Project`, lacking a cohesive structural element for the relationship data.
2. Complexity: Model 1 = 5, Model 2 = 3; Evidence: Model 1 correctly models the conceptual classes with 14 classes and a logical inheritance chain (`Employee` -&gt; `ResearchStaff` -&gt; `ResearchAssistant` -&gt; `Lecturer`). Model 2 has 10 classes but oversimplifies the domain by entirely missing the `ResearchAssistant` concept, instead assigning `fieldOfResearch` directly to `ResearchStaff`.
3. Practicability: Model 1 = 5, Model 2 = 3; Evidence: Model 1 is highly practical and implementable, with `ProjectInvolvement` providing a clear blueprint for a relationship table/class. Model 2's use of `involved in (hours : int)` on a standard association line is not standard UML syntax for an association class, reducing readability and implementability. Model 2 also fails to capture the explicitly required RA terminology.
Total: Model 1 = 15, Model 2 = 9
Choice: A
Reason:
1. Cohesion and Decoupling: Model 1 structurally separates the `hours` attribute of the involvement into the `ProjectInvolvement` class and extracts `Address`, leading to high cohesion. Model 2 attempts to place `hours` on an association label, which weakens structural cohesion.
2. Complexity: Model 1 maintains an appropriate level of complexity by including all required conceptual classes, such as distinguishing `ResearchAssistant` from `ResearchStaff`. Model 2 is simpler but achieves this by erroneously omitting the explicitly required `ResearchAssistant` concept.
3. Practicability: Model 1 offers a highly readable and implementable design using standard OOP/UML practices for N:M relationship attributes. Model 2 uses non-standard label syntax `(hours : int)` for an association attribute, making it difficult to translate into code or a database schema.
4. Rejected or checked issues: I did not penalize Model 2 for using `many` instead of `*` or `0..*`, nor did I penalize either model for primitive types, as these are explicitly forbidden penalties. The abstractness of `Employee` in Model 1 is also noted but not rewarded or penalized.
5. Overall judgment: Model 1 is significantly better because it accurately models all domain concepts (including Research Assistant), properly resolves the many-to-many relationship attribute with an intermediate class, and uses standard, implementable UML semantics. Model 2 omits a key class and uses non-standard syntax for an association attribute.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</si>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</sst>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7">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23">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0" fillId="0" borderId="0" xfId="0" applyFill="1"/>
    <xf numFmtId="0" fontId="5" fillId="0" borderId="0" xfId="0" applyFont="1" applyAlignment="1">
      <alignment vertical="center"/>
    </xf>
    <xf numFmtId="0" fontId="5" fillId="0" borderId="0" xfId="0" applyFont="1" applyFill="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Font="1" applyFill="1" applyAlignment="1"/>
    <xf numFmtId="0" fontId="0" fillId="0" borderId="0" xfId="0" applyAlignment="1">
      <alignment wrapText="1"/>
    </xf>
    <xf numFmtId="0" fontId="0" fillId="0" borderId="0" xfId="0" applyFont="1" applyFill="1" applyAlignment="1">
      <alignment vertical="top"/>
    </xf>
    <xf numFmtId="0" fontId="0" fillId="0" borderId="0" xfId="0" applyFont="1" applyFill="1" applyAlignment="1">
      <alignment wrapText="1"/>
    </xf>
    <xf numFmtId="0" fontId="7" fillId="0" borderId="0" xfId="0" applyFont="1" applyFill="1" applyAlignment="1">
      <alignment vertical="center"/>
    </xf>
    <xf numFmtId="0" fontId="7" fillId="0" borderId="0" xfId="0" applyFont="1" applyFill="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style="11" customWidth="1"/>
    <col min="6" max="6" width="80" customWidth="1"/>
    <col min="7" max="8" width="9.56637168141593" customWidth="1"/>
    <col min="9" max="9" width="11.1061946902655" customWidth="1"/>
    <col min="10" max="11" width="6.56637168141593" customWidth="1"/>
    <col min="12" max="12" width="16.8141592920354" customWidth="1"/>
    <col min="13" max="13" width="11.6017699115044" customWidth="1"/>
  </cols>
  <sheetData>
    <row r="1" ht="13" customHeight="1" spans="1:13">
      <c r="A1" s="12" t="s">
        <v>0</v>
      </c>
      <c r="B1" s="12" t="s">
        <v>1</v>
      </c>
      <c r="C1" s="12" t="s">
        <v>2</v>
      </c>
      <c r="D1" s="12" t="s">
        <v>3</v>
      </c>
      <c r="E1" s="13" t="s">
        <v>4</v>
      </c>
      <c r="F1" s="14" t="s">
        <v>5</v>
      </c>
      <c r="G1" s="12" t="s">
        <v>6</v>
      </c>
      <c r="H1" s="12" t="s">
        <v>7</v>
      </c>
      <c r="I1" s="14" t="s">
        <v>8</v>
      </c>
      <c r="J1" s="12" t="s">
        <v>9</v>
      </c>
      <c r="K1" s="14" t="s">
        <v>10</v>
      </c>
      <c r="L1" s="12" t="s">
        <v>11</v>
      </c>
      <c r="M1" s="12" t="s">
        <v>12</v>
      </c>
    </row>
    <row r="2" ht="13" customHeight="1" spans="1:13">
      <c r="A2" t="s">
        <v>13</v>
      </c>
      <c r="B2" s="15" t="s">
        <v>14</v>
      </c>
      <c r="C2" t="s">
        <v>15</v>
      </c>
      <c r="D2" t="s">
        <v>16</v>
      </c>
      <c r="E2" s="11" t="s">
        <v>17</v>
      </c>
      <c r="F2" s="15" t="s">
        <v>18</v>
      </c>
      <c r="G2" t="s">
        <v>19</v>
      </c>
      <c r="H2" t="s">
        <v>20</v>
      </c>
      <c r="I2" t="s">
        <v>21</v>
      </c>
      <c r="J2" t="s">
        <v>22</v>
      </c>
      <c r="K2" t="str">
        <f t="shared" ref="K2:K65" si="0">IF(OR(J2="",C2="",E2=""),"",IF(J2="C","D(平局)",IF(J2=IF(E2="l2r","A","B"),LEFT(C2,1),RIGHT(C2,1))))</f>
        <v>A</v>
      </c>
      <c r="L2" t="s">
        <v>22</v>
      </c>
      <c r="M2">
        <f t="shared" ref="M2:M65" si="1">IF(OR(K2="",L2=""),"",--(K2=L2))</f>
        <v>1</v>
      </c>
    </row>
    <row r="3" ht="13" customHeight="1" spans="1:13">
      <c r="A3" t="s">
        <v>13</v>
      </c>
      <c r="B3" s="15" t="s">
        <v>14</v>
      </c>
      <c r="C3" t="s">
        <v>15</v>
      </c>
      <c r="D3" t="s">
        <v>16</v>
      </c>
      <c r="E3" s="11" t="s">
        <v>23</v>
      </c>
      <c r="F3" s="15" t="s">
        <v>24</v>
      </c>
      <c r="G3" t="s">
        <v>19</v>
      </c>
      <c r="H3" t="s">
        <v>20</v>
      </c>
      <c r="I3" t="s">
        <v>25</v>
      </c>
      <c r="J3" t="s">
        <v>26</v>
      </c>
      <c r="K3" t="str">
        <f t="shared" si="0"/>
        <v>A</v>
      </c>
      <c r="L3" t="s">
        <v>22</v>
      </c>
      <c r="M3">
        <f t="shared" si="1"/>
        <v>1</v>
      </c>
    </row>
    <row r="4" ht="13" customHeight="1" spans="1:13">
      <c r="A4" t="s">
        <v>13</v>
      </c>
      <c r="B4" s="15" t="s">
        <v>14</v>
      </c>
      <c r="C4" t="s">
        <v>15</v>
      </c>
      <c r="D4" t="s">
        <v>27</v>
      </c>
      <c r="E4" s="11" t="s">
        <v>17</v>
      </c>
      <c r="F4" s="16" t="s">
        <v>28</v>
      </c>
      <c r="G4" t="s">
        <v>19</v>
      </c>
      <c r="H4" t="s">
        <v>20</v>
      </c>
      <c r="I4" t="s">
        <v>29</v>
      </c>
      <c r="J4" t="s">
        <v>22</v>
      </c>
      <c r="K4" t="str">
        <f t="shared" si="0"/>
        <v>A</v>
      </c>
      <c r="L4" t="s">
        <v>22</v>
      </c>
      <c r="M4">
        <f t="shared" si="1"/>
        <v>1</v>
      </c>
    </row>
    <row r="5" ht="13" customHeight="1" spans="1:13">
      <c r="A5" t="s">
        <v>13</v>
      </c>
      <c r="B5" s="15" t="s">
        <v>14</v>
      </c>
      <c r="C5" t="s">
        <v>15</v>
      </c>
      <c r="D5" t="s">
        <v>27</v>
      </c>
      <c r="E5" s="11" t="s">
        <v>23</v>
      </c>
      <c r="F5" s="15" t="s">
        <v>30</v>
      </c>
      <c r="G5" t="s">
        <v>19</v>
      </c>
      <c r="H5" t="s">
        <v>20</v>
      </c>
      <c r="I5" t="s">
        <v>31</v>
      </c>
      <c r="J5" t="s">
        <v>26</v>
      </c>
      <c r="K5" t="str">
        <f t="shared" si="0"/>
        <v>A</v>
      </c>
      <c r="L5" t="s">
        <v>22</v>
      </c>
      <c r="M5">
        <f t="shared" si="1"/>
        <v>1</v>
      </c>
    </row>
    <row r="6" ht="13" customHeight="1" spans="1:13">
      <c r="A6" t="s">
        <v>13</v>
      </c>
      <c r="B6" s="15" t="s">
        <v>14</v>
      </c>
      <c r="C6" t="s">
        <v>15</v>
      </c>
      <c r="D6" t="s">
        <v>32</v>
      </c>
      <c r="E6" s="11" t="s">
        <v>17</v>
      </c>
      <c r="F6" s="15" t="s">
        <v>33</v>
      </c>
      <c r="G6" t="s">
        <v>19</v>
      </c>
      <c r="H6" t="s">
        <v>20</v>
      </c>
      <c r="I6" t="s">
        <v>34</v>
      </c>
      <c r="J6" t="s">
        <v>22</v>
      </c>
      <c r="K6" t="str">
        <f t="shared" si="0"/>
        <v>A</v>
      </c>
      <c r="L6" t="s">
        <v>22</v>
      </c>
      <c r="M6">
        <f t="shared" si="1"/>
        <v>1</v>
      </c>
    </row>
    <row r="7" ht="13" customHeight="1" spans="1:13">
      <c r="A7" t="s">
        <v>13</v>
      </c>
      <c r="B7" s="15" t="s">
        <v>14</v>
      </c>
      <c r="C7" t="s">
        <v>15</v>
      </c>
      <c r="D7" t="s">
        <v>32</v>
      </c>
      <c r="E7" s="11" t="s">
        <v>23</v>
      </c>
      <c r="F7" s="15" t="s">
        <v>35</v>
      </c>
      <c r="G7" t="s">
        <v>19</v>
      </c>
      <c r="H7" t="s">
        <v>20</v>
      </c>
      <c r="I7" t="s">
        <v>36</v>
      </c>
      <c r="J7" t="s">
        <v>26</v>
      </c>
      <c r="K7" t="str">
        <f t="shared" si="0"/>
        <v>A</v>
      </c>
      <c r="L7" t="s">
        <v>22</v>
      </c>
      <c r="M7">
        <f t="shared" si="1"/>
        <v>1</v>
      </c>
    </row>
    <row r="8" ht="13" customHeight="1" spans="1:13">
      <c r="A8" t="s">
        <v>13</v>
      </c>
      <c r="B8" s="15" t="s">
        <v>14</v>
      </c>
      <c r="C8" t="s">
        <v>37</v>
      </c>
      <c r="D8" t="s">
        <v>16</v>
      </c>
      <c r="E8" s="11" t="s">
        <v>17</v>
      </c>
      <c r="F8" s="15" t="s">
        <v>38</v>
      </c>
      <c r="G8" t="s">
        <v>19</v>
      </c>
      <c r="H8" t="s">
        <v>20</v>
      </c>
      <c r="I8" t="s">
        <v>39</v>
      </c>
      <c r="J8" t="s">
        <v>22</v>
      </c>
      <c r="K8" t="str">
        <f t="shared" si="0"/>
        <v>A</v>
      </c>
      <c r="L8" t="s">
        <v>22</v>
      </c>
      <c r="M8">
        <f t="shared" si="1"/>
        <v>1</v>
      </c>
    </row>
    <row r="9" ht="13" customHeight="1" spans="1:13">
      <c r="A9" t="s">
        <v>13</v>
      </c>
      <c r="B9" s="15" t="s">
        <v>14</v>
      </c>
      <c r="C9" t="s">
        <v>37</v>
      </c>
      <c r="D9" t="s">
        <v>16</v>
      </c>
      <c r="E9" s="11" t="s">
        <v>23</v>
      </c>
      <c r="F9" s="15" t="s">
        <v>40</v>
      </c>
      <c r="G9" t="s">
        <v>19</v>
      </c>
      <c r="H9" t="s">
        <v>20</v>
      </c>
      <c r="I9" t="s">
        <v>41</v>
      </c>
      <c r="J9" t="s">
        <v>26</v>
      </c>
      <c r="K9" t="str">
        <f t="shared" si="0"/>
        <v>A</v>
      </c>
      <c r="L9" t="s">
        <v>22</v>
      </c>
      <c r="M9">
        <f t="shared" si="1"/>
        <v>1</v>
      </c>
    </row>
    <row r="10" ht="13" customHeight="1" spans="1:13">
      <c r="A10" t="s">
        <v>13</v>
      </c>
      <c r="B10" s="15" t="s">
        <v>14</v>
      </c>
      <c r="C10" t="s">
        <v>37</v>
      </c>
      <c r="D10" t="s">
        <v>27</v>
      </c>
      <c r="E10" s="11" t="s">
        <v>17</v>
      </c>
      <c r="F10" s="15" t="s">
        <v>42</v>
      </c>
      <c r="G10" t="s">
        <v>19</v>
      </c>
      <c r="H10" t="s">
        <v>20</v>
      </c>
      <c r="I10" t="s">
        <v>43</v>
      </c>
      <c r="J10" t="s">
        <v>22</v>
      </c>
      <c r="K10" t="str">
        <f t="shared" si="0"/>
        <v>A</v>
      </c>
      <c r="L10" t="s">
        <v>22</v>
      </c>
      <c r="M10">
        <f t="shared" si="1"/>
        <v>1</v>
      </c>
    </row>
    <row r="11" ht="13" customHeight="1" spans="1:13">
      <c r="A11" t="s">
        <v>13</v>
      </c>
      <c r="B11" s="15" t="s">
        <v>14</v>
      </c>
      <c r="C11" t="s">
        <v>37</v>
      </c>
      <c r="D11" t="s">
        <v>27</v>
      </c>
      <c r="E11" s="11" t="s">
        <v>23</v>
      </c>
      <c r="F11" s="15" t="s">
        <v>44</v>
      </c>
      <c r="G11" t="s">
        <v>19</v>
      </c>
      <c r="H11" t="s">
        <v>20</v>
      </c>
      <c r="I11" t="s">
        <v>45</v>
      </c>
      <c r="J11" t="s">
        <v>26</v>
      </c>
      <c r="K11" t="str">
        <f t="shared" si="0"/>
        <v>A</v>
      </c>
      <c r="L11" t="s">
        <v>22</v>
      </c>
      <c r="M11">
        <f t="shared" si="1"/>
        <v>1</v>
      </c>
    </row>
    <row r="12" ht="13" customHeight="1" spans="1:13">
      <c r="A12" t="s">
        <v>13</v>
      </c>
      <c r="B12" s="15" t="s">
        <v>14</v>
      </c>
      <c r="C12" t="s">
        <v>37</v>
      </c>
      <c r="D12" t="s">
        <v>32</v>
      </c>
      <c r="E12" s="11" t="s">
        <v>17</v>
      </c>
      <c r="F12" s="15" t="s">
        <v>46</v>
      </c>
      <c r="G12" t="s">
        <v>19</v>
      </c>
      <c r="H12" t="s">
        <v>20</v>
      </c>
      <c r="I12" t="s">
        <v>47</v>
      </c>
      <c r="J12" t="s">
        <v>22</v>
      </c>
      <c r="K12" t="str">
        <f t="shared" si="0"/>
        <v>A</v>
      </c>
      <c r="L12" t="s">
        <v>22</v>
      </c>
      <c r="M12">
        <f t="shared" si="1"/>
        <v>1</v>
      </c>
    </row>
    <row r="13" ht="13" customHeight="1" spans="1:13">
      <c r="A13" t="s">
        <v>13</v>
      </c>
      <c r="B13" s="15" t="s">
        <v>14</v>
      </c>
      <c r="C13" t="s">
        <v>37</v>
      </c>
      <c r="D13" t="s">
        <v>32</v>
      </c>
      <c r="E13" s="11" t="s">
        <v>23</v>
      </c>
      <c r="F13" s="15" t="s">
        <v>48</v>
      </c>
      <c r="G13" t="s">
        <v>19</v>
      </c>
      <c r="H13" t="s">
        <v>20</v>
      </c>
      <c r="I13" t="s">
        <v>49</v>
      </c>
      <c r="J13" t="s">
        <v>26</v>
      </c>
      <c r="K13" t="str">
        <f t="shared" si="0"/>
        <v>A</v>
      </c>
      <c r="L13" t="s">
        <v>22</v>
      </c>
      <c r="M13">
        <f t="shared" si="1"/>
        <v>1</v>
      </c>
    </row>
    <row r="14" ht="13" customHeight="1" spans="1:13">
      <c r="A14" t="s">
        <v>13</v>
      </c>
      <c r="B14" s="15" t="s">
        <v>14</v>
      </c>
      <c r="C14" t="s">
        <v>50</v>
      </c>
      <c r="D14" t="s">
        <v>16</v>
      </c>
      <c r="E14" s="11" t="s">
        <v>17</v>
      </c>
      <c r="F14" s="15" t="s">
        <v>51</v>
      </c>
      <c r="G14" t="s">
        <v>19</v>
      </c>
      <c r="H14" t="s">
        <v>20</v>
      </c>
      <c r="I14" t="s">
        <v>52</v>
      </c>
      <c r="J14" t="s">
        <v>22</v>
      </c>
      <c r="K14" t="str">
        <f t="shared" si="0"/>
        <v>B</v>
      </c>
      <c r="L14" t="s">
        <v>26</v>
      </c>
      <c r="M14">
        <f t="shared" si="1"/>
        <v>1</v>
      </c>
    </row>
    <row r="15" ht="13" customHeight="1" spans="1:13">
      <c r="A15" t="s">
        <v>13</v>
      </c>
      <c r="B15" s="15" t="s">
        <v>14</v>
      </c>
      <c r="C15" t="s">
        <v>50</v>
      </c>
      <c r="D15" t="s">
        <v>16</v>
      </c>
      <c r="E15" s="11" t="s">
        <v>23</v>
      </c>
      <c r="F15" s="15" t="s">
        <v>53</v>
      </c>
      <c r="G15" t="s">
        <v>19</v>
      </c>
      <c r="H15" t="s">
        <v>20</v>
      </c>
      <c r="I15" t="s">
        <v>54</v>
      </c>
      <c r="J15" t="s">
        <v>26</v>
      </c>
      <c r="K15" t="str">
        <f t="shared" si="0"/>
        <v>B</v>
      </c>
      <c r="L15" t="s">
        <v>26</v>
      </c>
      <c r="M15">
        <f t="shared" si="1"/>
        <v>1</v>
      </c>
    </row>
    <row r="16" ht="13" customHeight="1" spans="1:13">
      <c r="A16" t="s">
        <v>13</v>
      </c>
      <c r="B16" s="15" t="s">
        <v>14</v>
      </c>
      <c r="C16" t="s">
        <v>50</v>
      </c>
      <c r="D16" t="s">
        <v>27</v>
      </c>
      <c r="E16" s="11" t="s">
        <v>17</v>
      </c>
      <c r="F16" s="15" t="s">
        <v>55</v>
      </c>
      <c r="G16" t="s">
        <v>19</v>
      </c>
      <c r="H16" t="s">
        <v>20</v>
      </c>
      <c r="I16" t="s">
        <v>56</v>
      </c>
      <c r="J16" t="s">
        <v>22</v>
      </c>
      <c r="K16" t="str">
        <f t="shared" si="0"/>
        <v>B</v>
      </c>
      <c r="L16" t="s">
        <v>26</v>
      </c>
      <c r="M16">
        <f t="shared" si="1"/>
        <v>1</v>
      </c>
    </row>
    <row r="17" ht="13" customHeight="1" spans="1:13">
      <c r="A17" t="s">
        <v>13</v>
      </c>
      <c r="B17" s="15" t="s">
        <v>14</v>
      </c>
      <c r="C17" t="s">
        <v>50</v>
      </c>
      <c r="D17" t="s">
        <v>27</v>
      </c>
      <c r="E17" s="11" t="s">
        <v>23</v>
      </c>
      <c r="F17" s="15" t="s">
        <v>57</v>
      </c>
      <c r="G17" t="s">
        <v>19</v>
      </c>
      <c r="H17" t="s">
        <v>20</v>
      </c>
      <c r="I17" t="s">
        <v>58</v>
      </c>
      <c r="J17" t="s">
        <v>26</v>
      </c>
      <c r="K17" t="str">
        <f t="shared" si="0"/>
        <v>B</v>
      </c>
      <c r="L17" t="s">
        <v>26</v>
      </c>
      <c r="M17">
        <f t="shared" si="1"/>
        <v>1</v>
      </c>
    </row>
    <row r="18" ht="13" customHeight="1" spans="1:13">
      <c r="A18" t="s">
        <v>13</v>
      </c>
      <c r="B18" s="15" t="s">
        <v>14</v>
      </c>
      <c r="C18" t="s">
        <v>50</v>
      </c>
      <c r="D18" t="s">
        <v>32</v>
      </c>
      <c r="E18" s="11" t="s">
        <v>17</v>
      </c>
      <c r="F18" s="15" t="s">
        <v>59</v>
      </c>
      <c r="G18" t="s">
        <v>19</v>
      </c>
      <c r="H18" t="s">
        <v>20</v>
      </c>
      <c r="I18" t="s">
        <v>60</v>
      </c>
      <c r="J18" t="s">
        <v>22</v>
      </c>
      <c r="K18" t="str">
        <f t="shared" si="0"/>
        <v>B</v>
      </c>
      <c r="L18" t="s">
        <v>26</v>
      </c>
      <c r="M18">
        <f t="shared" si="1"/>
        <v>1</v>
      </c>
    </row>
    <row r="19" ht="13" customHeight="1" spans="1:13">
      <c r="A19" t="s">
        <v>13</v>
      </c>
      <c r="B19" s="15" t="s">
        <v>14</v>
      </c>
      <c r="C19" t="s">
        <v>50</v>
      </c>
      <c r="D19" t="s">
        <v>32</v>
      </c>
      <c r="E19" s="11" t="s">
        <v>23</v>
      </c>
      <c r="F19" s="15" t="s">
        <v>61</v>
      </c>
      <c r="G19" t="s">
        <v>19</v>
      </c>
      <c r="H19" t="s">
        <v>20</v>
      </c>
      <c r="I19" t="s">
        <v>62</v>
      </c>
      <c r="J19" t="s">
        <v>26</v>
      </c>
      <c r="K19" t="str">
        <f t="shared" si="0"/>
        <v>B</v>
      </c>
      <c r="L19" t="s">
        <v>26</v>
      </c>
      <c r="M19">
        <f t="shared" si="1"/>
        <v>1</v>
      </c>
    </row>
    <row r="20" ht="13" customHeight="1" spans="1:13">
      <c r="A20" t="s">
        <v>63</v>
      </c>
      <c r="B20" s="15" t="s">
        <v>64</v>
      </c>
      <c r="C20" t="s">
        <v>15</v>
      </c>
      <c r="D20" t="s">
        <v>16</v>
      </c>
      <c r="E20" s="11" t="s">
        <v>17</v>
      </c>
      <c r="F20" s="15" t="s">
        <v>65</v>
      </c>
      <c r="G20" t="s">
        <v>19</v>
      </c>
      <c r="H20" t="s">
        <v>20</v>
      </c>
      <c r="I20" t="s">
        <v>66</v>
      </c>
      <c r="J20" t="s">
        <v>22</v>
      </c>
      <c r="K20" t="str">
        <f t="shared" si="0"/>
        <v>A</v>
      </c>
      <c r="L20" t="s">
        <v>22</v>
      </c>
      <c r="M20">
        <f t="shared" si="1"/>
        <v>1</v>
      </c>
    </row>
    <row r="21" ht="13" customHeight="1" spans="1:13">
      <c r="A21" t="s">
        <v>63</v>
      </c>
      <c r="B21" s="15" t="s">
        <v>64</v>
      </c>
      <c r="C21" t="s">
        <v>15</v>
      </c>
      <c r="D21" t="s">
        <v>16</v>
      </c>
      <c r="E21" s="11" t="s">
        <v>23</v>
      </c>
      <c r="F21" s="16" t="s">
        <v>67</v>
      </c>
      <c r="G21" t="s">
        <v>19</v>
      </c>
      <c r="H21" t="s">
        <v>20</v>
      </c>
      <c r="I21" s="18" t="s">
        <v>68</v>
      </c>
      <c r="J21" t="s">
        <v>26</v>
      </c>
      <c r="K21" t="str">
        <f t="shared" si="0"/>
        <v>A</v>
      </c>
      <c r="L21" t="s">
        <v>22</v>
      </c>
      <c r="M21">
        <f t="shared" si="1"/>
        <v>1</v>
      </c>
    </row>
    <row r="22" ht="13" customHeight="1" spans="1:13">
      <c r="A22" t="s">
        <v>63</v>
      </c>
      <c r="B22" s="15" t="s">
        <v>64</v>
      </c>
      <c r="C22" t="s">
        <v>15</v>
      </c>
      <c r="D22" t="s">
        <v>27</v>
      </c>
      <c r="E22" s="11" t="s">
        <v>17</v>
      </c>
      <c r="F22" s="15" t="s">
        <v>69</v>
      </c>
      <c r="G22" t="s">
        <v>19</v>
      </c>
      <c r="H22" t="s">
        <v>20</v>
      </c>
      <c r="I22" t="s">
        <v>70</v>
      </c>
      <c r="J22" t="s">
        <v>22</v>
      </c>
      <c r="K22" t="str">
        <f t="shared" si="0"/>
        <v>A</v>
      </c>
      <c r="L22" t="s">
        <v>22</v>
      </c>
      <c r="M22">
        <f t="shared" si="1"/>
        <v>1</v>
      </c>
    </row>
    <row r="23" ht="13" customHeight="1" spans="1:13">
      <c r="A23" t="s">
        <v>63</v>
      </c>
      <c r="B23" s="15" t="s">
        <v>64</v>
      </c>
      <c r="C23" t="s">
        <v>15</v>
      </c>
      <c r="D23" t="s">
        <v>27</v>
      </c>
      <c r="E23" s="11" t="s">
        <v>23</v>
      </c>
      <c r="F23" s="15" t="s">
        <v>71</v>
      </c>
      <c r="G23" t="s">
        <v>19</v>
      </c>
      <c r="H23" t="s">
        <v>20</v>
      </c>
      <c r="I23" t="s">
        <v>72</v>
      </c>
      <c r="J23" t="s">
        <v>26</v>
      </c>
      <c r="K23" t="str">
        <f t="shared" si="0"/>
        <v>A</v>
      </c>
      <c r="L23" t="s">
        <v>22</v>
      </c>
      <c r="M23">
        <f t="shared" si="1"/>
        <v>1</v>
      </c>
    </row>
    <row r="24" ht="13" customHeight="1" spans="1:13">
      <c r="A24" t="s">
        <v>63</v>
      </c>
      <c r="B24" s="15" t="s">
        <v>64</v>
      </c>
      <c r="C24" t="s">
        <v>15</v>
      </c>
      <c r="D24" t="s">
        <v>32</v>
      </c>
      <c r="E24" s="11" t="s">
        <v>17</v>
      </c>
      <c r="F24" s="15" t="s">
        <v>73</v>
      </c>
      <c r="G24" t="s">
        <v>19</v>
      </c>
      <c r="H24" t="s">
        <v>20</v>
      </c>
      <c r="I24" t="s">
        <v>74</v>
      </c>
      <c r="J24" t="s">
        <v>22</v>
      </c>
      <c r="K24" t="str">
        <f t="shared" si="0"/>
        <v>A</v>
      </c>
      <c r="L24" t="s">
        <v>22</v>
      </c>
      <c r="M24">
        <f t="shared" si="1"/>
        <v>1</v>
      </c>
    </row>
    <row r="25" ht="13" customHeight="1" spans="1:13">
      <c r="A25" t="s">
        <v>63</v>
      </c>
      <c r="B25" s="15" t="s">
        <v>64</v>
      </c>
      <c r="C25" t="s">
        <v>15</v>
      </c>
      <c r="D25" t="s">
        <v>32</v>
      </c>
      <c r="E25" s="11" t="s">
        <v>23</v>
      </c>
      <c r="F25" s="15" t="s">
        <v>75</v>
      </c>
      <c r="G25" t="s">
        <v>19</v>
      </c>
      <c r="H25" t="s">
        <v>20</v>
      </c>
      <c r="I25" t="s">
        <v>76</v>
      </c>
      <c r="J25" t="s">
        <v>26</v>
      </c>
      <c r="K25" t="str">
        <f t="shared" si="0"/>
        <v>A</v>
      </c>
      <c r="L25" t="s">
        <v>22</v>
      </c>
      <c r="M25">
        <f t="shared" si="1"/>
        <v>1</v>
      </c>
    </row>
    <row r="26" ht="13" customHeight="1" spans="1:13">
      <c r="A26" t="s">
        <v>63</v>
      </c>
      <c r="B26" s="15" t="s">
        <v>64</v>
      </c>
      <c r="C26" t="s">
        <v>37</v>
      </c>
      <c r="D26" t="s">
        <v>16</v>
      </c>
      <c r="E26" s="11" t="s">
        <v>17</v>
      </c>
      <c r="F26" s="15" t="s">
        <v>77</v>
      </c>
      <c r="G26" t="s">
        <v>19</v>
      </c>
      <c r="H26" t="s">
        <v>20</v>
      </c>
      <c r="I26" t="s">
        <v>78</v>
      </c>
      <c r="J26" t="s">
        <v>22</v>
      </c>
      <c r="K26" t="str">
        <f t="shared" si="0"/>
        <v>A</v>
      </c>
      <c r="L26" t="s">
        <v>22</v>
      </c>
      <c r="M26">
        <f t="shared" si="1"/>
        <v>1</v>
      </c>
    </row>
    <row r="27" ht="13" customHeight="1" spans="1:13">
      <c r="A27" t="s">
        <v>63</v>
      </c>
      <c r="B27" s="15" t="s">
        <v>64</v>
      </c>
      <c r="C27" t="s">
        <v>37</v>
      </c>
      <c r="D27" t="s">
        <v>16</v>
      </c>
      <c r="E27" s="11" t="s">
        <v>23</v>
      </c>
      <c r="F27" s="15" t="s">
        <v>79</v>
      </c>
      <c r="G27" t="s">
        <v>19</v>
      </c>
      <c r="H27" t="s">
        <v>20</v>
      </c>
      <c r="I27" t="s">
        <v>80</v>
      </c>
      <c r="J27" t="s">
        <v>26</v>
      </c>
      <c r="K27" t="str">
        <f t="shared" si="0"/>
        <v>A</v>
      </c>
      <c r="L27" t="s">
        <v>22</v>
      </c>
      <c r="M27">
        <f t="shared" si="1"/>
        <v>1</v>
      </c>
    </row>
    <row r="28" ht="13" customHeight="1" spans="1:13">
      <c r="A28" t="s">
        <v>63</v>
      </c>
      <c r="B28" s="15" t="s">
        <v>64</v>
      </c>
      <c r="C28" t="s">
        <v>37</v>
      </c>
      <c r="D28" t="s">
        <v>27</v>
      </c>
      <c r="E28" s="11" t="s">
        <v>17</v>
      </c>
      <c r="F28" s="15" t="s">
        <v>81</v>
      </c>
      <c r="G28" t="s">
        <v>19</v>
      </c>
      <c r="H28" t="s">
        <v>20</v>
      </c>
      <c r="I28" t="s">
        <v>82</v>
      </c>
      <c r="J28" t="s">
        <v>22</v>
      </c>
      <c r="K28" t="str">
        <f t="shared" si="0"/>
        <v>A</v>
      </c>
      <c r="L28" t="s">
        <v>22</v>
      </c>
      <c r="M28">
        <f t="shared" si="1"/>
        <v>1</v>
      </c>
    </row>
    <row r="29" ht="13" customHeight="1" spans="1:13">
      <c r="A29" t="s">
        <v>63</v>
      </c>
      <c r="B29" s="15" t="s">
        <v>64</v>
      </c>
      <c r="C29" t="s">
        <v>37</v>
      </c>
      <c r="D29" t="s">
        <v>27</v>
      </c>
      <c r="E29" s="11" t="s">
        <v>23</v>
      </c>
      <c r="F29" s="15" t="s">
        <v>83</v>
      </c>
      <c r="G29" t="s">
        <v>19</v>
      </c>
      <c r="H29" t="s">
        <v>20</v>
      </c>
      <c r="I29" t="s">
        <v>84</v>
      </c>
      <c r="J29" t="s">
        <v>26</v>
      </c>
      <c r="K29" t="str">
        <f t="shared" si="0"/>
        <v>A</v>
      </c>
      <c r="L29" t="s">
        <v>22</v>
      </c>
      <c r="M29">
        <f t="shared" si="1"/>
        <v>1</v>
      </c>
    </row>
    <row r="30" ht="13" customHeight="1" spans="1:13">
      <c r="A30" t="s">
        <v>63</v>
      </c>
      <c r="B30" s="15" t="s">
        <v>64</v>
      </c>
      <c r="C30" t="s">
        <v>37</v>
      </c>
      <c r="D30" t="s">
        <v>32</v>
      </c>
      <c r="E30" s="11" t="s">
        <v>17</v>
      </c>
      <c r="F30" s="15" t="s">
        <v>85</v>
      </c>
      <c r="G30" t="s">
        <v>19</v>
      </c>
      <c r="H30" t="s">
        <v>20</v>
      </c>
      <c r="I30" t="s">
        <v>86</v>
      </c>
      <c r="J30" t="s">
        <v>22</v>
      </c>
      <c r="K30" t="str">
        <f t="shared" si="0"/>
        <v>A</v>
      </c>
      <c r="L30" t="s">
        <v>22</v>
      </c>
      <c r="M30">
        <f t="shared" si="1"/>
        <v>1</v>
      </c>
    </row>
    <row r="31" ht="13" customHeight="1" spans="1:13">
      <c r="A31" t="s">
        <v>63</v>
      </c>
      <c r="B31" s="15" t="s">
        <v>64</v>
      </c>
      <c r="C31" t="s">
        <v>37</v>
      </c>
      <c r="D31" t="s">
        <v>32</v>
      </c>
      <c r="E31" s="11" t="s">
        <v>23</v>
      </c>
      <c r="F31" s="15" t="s">
        <v>87</v>
      </c>
      <c r="G31" t="s">
        <v>19</v>
      </c>
      <c r="H31" t="s">
        <v>20</v>
      </c>
      <c r="I31" t="s">
        <v>88</v>
      </c>
      <c r="J31" t="s">
        <v>26</v>
      </c>
      <c r="K31" t="str">
        <f t="shared" si="0"/>
        <v>A</v>
      </c>
      <c r="L31" t="s">
        <v>22</v>
      </c>
      <c r="M31">
        <f t="shared" si="1"/>
        <v>1</v>
      </c>
    </row>
    <row r="32" ht="13" customHeight="1" spans="1:13">
      <c r="A32" t="s">
        <v>63</v>
      </c>
      <c r="B32" s="15" t="s">
        <v>64</v>
      </c>
      <c r="C32" t="s">
        <v>50</v>
      </c>
      <c r="D32" t="s">
        <v>16</v>
      </c>
      <c r="E32" s="11" t="s">
        <v>17</v>
      </c>
      <c r="F32" s="15" t="s">
        <v>89</v>
      </c>
      <c r="G32" t="s">
        <v>19</v>
      </c>
      <c r="H32" t="s">
        <v>20</v>
      </c>
      <c r="I32" t="s">
        <v>90</v>
      </c>
      <c r="J32" t="s">
        <v>22</v>
      </c>
      <c r="K32" t="str">
        <f t="shared" si="0"/>
        <v>B</v>
      </c>
      <c r="L32" t="s">
        <v>26</v>
      </c>
      <c r="M32">
        <f t="shared" si="1"/>
        <v>1</v>
      </c>
    </row>
    <row r="33" ht="13" customHeight="1" spans="1:13">
      <c r="A33" t="s">
        <v>63</v>
      </c>
      <c r="B33" s="15" t="s">
        <v>64</v>
      </c>
      <c r="C33" t="s">
        <v>50</v>
      </c>
      <c r="D33" t="s">
        <v>16</v>
      </c>
      <c r="E33" s="11" t="s">
        <v>23</v>
      </c>
      <c r="F33" s="15" t="s">
        <v>91</v>
      </c>
      <c r="G33" t="s">
        <v>19</v>
      </c>
      <c r="H33" t="s">
        <v>20</v>
      </c>
      <c r="I33" t="s">
        <v>92</v>
      </c>
      <c r="J33" t="s">
        <v>26</v>
      </c>
      <c r="K33" t="str">
        <f t="shared" si="0"/>
        <v>B</v>
      </c>
      <c r="L33" t="s">
        <v>26</v>
      </c>
      <c r="M33">
        <f t="shared" si="1"/>
        <v>1</v>
      </c>
    </row>
    <row r="34" ht="13" customHeight="1" spans="1:13">
      <c r="A34" t="s">
        <v>63</v>
      </c>
      <c r="B34" s="15" t="s">
        <v>64</v>
      </c>
      <c r="C34" t="s">
        <v>50</v>
      </c>
      <c r="D34" t="s">
        <v>27</v>
      </c>
      <c r="E34" s="11" t="s">
        <v>17</v>
      </c>
      <c r="F34" s="15" t="s">
        <v>93</v>
      </c>
      <c r="G34" t="s">
        <v>19</v>
      </c>
      <c r="H34" t="s">
        <v>20</v>
      </c>
      <c r="I34" t="s">
        <v>94</v>
      </c>
      <c r="J34" t="s">
        <v>22</v>
      </c>
      <c r="K34" t="str">
        <f t="shared" si="0"/>
        <v>B</v>
      </c>
      <c r="L34" t="s">
        <v>26</v>
      </c>
      <c r="M34">
        <f t="shared" si="1"/>
        <v>1</v>
      </c>
    </row>
    <row r="35" ht="13" customHeight="1" spans="1:13">
      <c r="A35" t="s">
        <v>63</v>
      </c>
      <c r="B35" s="15" t="s">
        <v>64</v>
      </c>
      <c r="C35" t="s">
        <v>50</v>
      </c>
      <c r="D35" t="s">
        <v>27</v>
      </c>
      <c r="E35" s="11" t="s">
        <v>23</v>
      </c>
      <c r="F35" s="15" t="s">
        <v>95</v>
      </c>
      <c r="G35" t="s">
        <v>19</v>
      </c>
      <c r="H35" t="s">
        <v>20</v>
      </c>
      <c r="I35" t="s">
        <v>96</v>
      </c>
      <c r="J35" t="s">
        <v>26</v>
      </c>
      <c r="K35" t="str">
        <f t="shared" si="0"/>
        <v>B</v>
      </c>
      <c r="L35" t="s">
        <v>26</v>
      </c>
      <c r="M35">
        <f t="shared" si="1"/>
        <v>1</v>
      </c>
    </row>
    <row r="36" ht="13" customHeight="1" spans="1:13">
      <c r="A36" t="s">
        <v>63</v>
      </c>
      <c r="B36" s="15" t="s">
        <v>64</v>
      </c>
      <c r="C36" t="s">
        <v>50</v>
      </c>
      <c r="D36" t="s">
        <v>32</v>
      </c>
      <c r="E36" s="11" t="s">
        <v>17</v>
      </c>
      <c r="F36" s="15" t="s">
        <v>97</v>
      </c>
      <c r="G36" t="s">
        <v>19</v>
      </c>
      <c r="H36" t="s">
        <v>20</v>
      </c>
      <c r="I36" t="s">
        <v>98</v>
      </c>
      <c r="J36" t="s">
        <v>22</v>
      </c>
      <c r="K36" t="str">
        <f t="shared" si="0"/>
        <v>B</v>
      </c>
      <c r="L36" t="s">
        <v>26</v>
      </c>
      <c r="M36">
        <f t="shared" si="1"/>
        <v>1</v>
      </c>
    </row>
    <row r="37" ht="13" customHeight="1" spans="1:13">
      <c r="A37" t="s">
        <v>63</v>
      </c>
      <c r="B37" s="15" t="s">
        <v>64</v>
      </c>
      <c r="C37" t="s">
        <v>50</v>
      </c>
      <c r="D37" t="s">
        <v>32</v>
      </c>
      <c r="E37" s="11" t="s">
        <v>23</v>
      </c>
      <c r="F37" s="15" t="s">
        <v>99</v>
      </c>
      <c r="G37" t="s">
        <v>19</v>
      </c>
      <c r="H37" t="s">
        <v>20</v>
      </c>
      <c r="I37" t="s">
        <v>100</v>
      </c>
      <c r="J37" t="s">
        <v>26</v>
      </c>
      <c r="K37" t="str">
        <f t="shared" si="0"/>
        <v>B</v>
      </c>
      <c r="L37" t="s">
        <v>26</v>
      </c>
      <c r="M37">
        <f t="shared" si="1"/>
        <v>1</v>
      </c>
    </row>
    <row r="38" ht="18" customHeight="1" spans="1:13">
      <c r="A38" t="s">
        <v>101</v>
      </c>
      <c r="B38" s="15" t="s">
        <v>102</v>
      </c>
      <c r="C38" t="s">
        <v>15</v>
      </c>
      <c r="D38" t="s">
        <v>16</v>
      </c>
      <c r="E38" s="11" t="s">
        <v>17</v>
      </c>
      <c r="F38" s="15" t="s">
        <v>103</v>
      </c>
      <c r="G38" t="s">
        <v>19</v>
      </c>
      <c r="H38" t="s">
        <v>20</v>
      </c>
      <c r="I38" s="19" t="s">
        <v>104</v>
      </c>
      <c r="J38" s="19" t="s">
        <v>105</v>
      </c>
      <c r="K38" s="19" t="str">
        <f t="shared" si="0"/>
        <v>D(平局)</v>
      </c>
      <c r="L38" t="s">
        <v>106</v>
      </c>
      <c r="M38">
        <f t="shared" si="1"/>
        <v>1</v>
      </c>
    </row>
    <row r="39" ht="18" customHeight="1" spans="1:13">
      <c r="A39" t="s">
        <v>101</v>
      </c>
      <c r="B39" s="15" t="s">
        <v>102</v>
      </c>
      <c r="C39" t="s">
        <v>15</v>
      </c>
      <c r="D39" t="s">
        <v>16</v>
      </c>
      <c r="E39" s="11" t="s">
        <v>23</v>
      </c>
      <c r="F39" s="15" t="s">
        <v>107</v>
      </c>
      <c r="G39" t="s">
        <v>19</v>
      </c>
      <c r="H39" t="s">
        <v>20</v>
      </c>
      <c r="I39" s="19" t="s">
        <v>108</v>
      </c>
      <c r="J39" s="19" t="s">
        <v>26</v>
      </c>
      <c r="K39" s="19" t="str">
        <f t="shared" si="0"/>
        <v>A</v>
      </c>
      <c r="L39" t="s">
        <v>106</v>
      </c>
      <c r="M39">
        <f t="shared" si="1"/>
        <v>0</v>
      </c>
    </row>
    <row r="40" ht="18" customHeight="1" spans="1:13">
      <c r="A40" t="s">
        <v>101</v>
      </c>
      <c r="B40" s="15" t="s">
        <v>102</v>
      </c>
      <c r="C40" t="s">
        <v>15</v>
      </c>
      <c r="D40" t="s">
        <v>27</v>
      </c>
      <c r="E40" s="11" t="s">
        <v>17</v>
      </c>
      <c r="F40" s="15" t="s">
        <v>109</v>
      </c>
      <c r="G40" t="s">
        <v>19</v>
      </c>
      <c r="H40" t="s">
        <v>20</v>
      </c>
      <c r="I40" s="19" t="s">
        <v>110</v>
      </c>
      <c r="J40" s="19" t="s">
        <v>22</v>
      </c>
      <c r="K40" s="19" t="str">
        <f t="shared" si="0"/>
        <v>A</v>
      </c>
      <c r="L40" t="s">
        <v>106</v>
      </c>
      <c r="M40">
        <f t="shared" si="1"/>
        <v>0</v>
      </c>
    </row>
    <row r="41" ht="18" customHeight="1" spans="1:13">
      <c r="A41" t="s">
        <v>101</v>
      </c>
      <c r="B41" s="15" t="s">
        <v>102</v>
      </c>
      <c r="C41" t="s">
        <v>15</v>
      </c>
      <c r="D41" t="s">
        <v>27</v>
      </c>
      <c r="E41" s="11" t="s">
        <v>23</v>
      </c>
      <c r="F41" s="15" t="s">
        <v>111</v>
      </c>
      <c r="G41" t="s">
        <v>19</v>
      </c>
      <c r="H41" t="s">
        <v>20</v>
      </c>
      <c r="I41" s="19" t="s">
        <v>112</v>
      </c>
      <c r="J41" s="19" t="s">
        <v>105</v>
      </c>
      <c r="K41" s="19" t="str">
        <f t="shared" si="0"/>
        <v>D(平局)</v>
      </c>
      <c r="L41" t="s">
        <v>106</v>
      </c>
      <c r="M41">
        <f t="shared" si="1"/>
        <v>1</v>
      </c>
    </row>
    <row r="42" ht="18" customHeight="1" spans="1:13">
      <c r="A42" t="s">
        <v>101</v>
      </c>
      <c r="B42" s="15" t="s">
        <v>102</v>
      </c>
      <c r="C42" t="s">
        <v>15</v>
      </c>
      <c r="D42" t="s">
        <v>32</v>
      </c>
      <c r="E42" s="11" t="s">
        <v>17</v>
      </c>
      <c r="F42" s="15" t="s">
        <v>113</v>
      </c>
      <c r="G42" t="s">
        <v>19</v>
      </c>
      <c r="H42" t="s">
        <v>20</v>
      </c>
      <c r="I42" s="19" t="s">
        <v>114</v>
      </c>
      <c r="J42" s="19" t="s">
        <v>22</v>
      </c>
      <c r="K42" s="19" t="str">
        <f t="shared" si="0"/>
        <v>A</v>
      </c>
      <c r="L42" t="s">
        <v>106</v>
      </c>
      <c r="M42">
        <f t="shared" si="1"/>
        <v>0</v>
      </c>
    </row>
    <row r="43" ht="18" customHeight="1" spans="1:13">
      <c r="A43" t="s">
        <v>101</v>
      </c>
      <c r="B43" s="15" t="s">
        <v>102</v>
      </c>
      <c r="C43" t="s">
        <v>15</v>
      </c>
      <c r="D43" t="s">
        <v>32</v>
      </c>
      <c r="E43" s="11" t="s">
        <v>23</v>
      </c>
      <c r="F43" s="15" t="s">
        <v>115</v>
      </c>
      <c r="G43" t="s">
        <v>19</v>
      </c>
      <c r="H43" t="s">
        <v>20</v>
      </c>
      <c r="I43" s="19" t="s">
        <v>116</v>
      </c>
      <c r="J43" s="19" t="s">
        <v>105</v>
      </c>
      <c r="K43" s="19" t="str">
        <f t="shared" si="0"/>
        <v>D(平局)</v>
      </c>
      <c r="L43" t="s">
        <v>106</v>
      </c>
      <c r="M43">
        <f t="shared" si="1"/>
        <v>1</v>
      </c>
    </row>
    <row r="44" ht="18" customHeight="1" spans="1:13">
      <c r="A44" t="s">
        <v>101</v>
      </c>
      <c r="B44" s="15" t="s">
        <v>102</v>
      </c>
      <c r="C44" t="s">
        <v>37</v>
      </c>
      <c r="D44" t="s">
        <v>16</v>
      </c>
      <c r="E44" s="11" t="s">
        <v>17</v>
      </c>
      <c r="F44" s="15" t="s">
        <v>117</v>
      </c>
      <c r="G44" t="s">
        <v>19</v>
      </c>
      <c r="H44" t="s">
        <v>20</v>
      </c>
      <c r="I44" t="s">
        <v>118</v>
      </c>
      <c r="J44" t="s">
        <v>22</v>
      </c>
      <c r="K44" t="str">
        <f t="shared" si="0"/>
        <v>A</v>
      </c>
      <c r="L44" t="s">
        <v>22</v>
      </c>
      <c r="M44">
        <f t="shared" si="1"/>
        <v>1</v>
      </c>
    </row>
    <row r="45" ht="18" customHeight="1" spans="1:13">
      <c r="A45" t="s">
        <v>101</v>
      </c>
      <c r="B45" s="15" t="s">
        <v>102</v>
      </c>
      <c r="C45" t="s">
        <v>37</v>
      </c>
      <c r="D45" t="s">
        <v>16</v>
      </c>
      <c r="E45" s="11" t="s">
        <v>23</v>
      </c>
      <c r="F45" s="15" t="s">
        <v>119</v>
      </c>
      <c r="G45" t="s">
        <v>19</v>
      </c>
      <c r="H45" t="s">
        <v>20</v>
      </c>
      <c r="I45" t="s">
        <v>120</v>
      </c>
      <c r="J45" t="s">
        <v>26</v>
      </c>
      <c r="K45" t="str">
        <f t="shared" si="0"/>
        <v>A</v>
      </c>
      <c r="L45" t="s">
        <v>22</v>
      </c>
      <c r="M45">
        <f t="shared" si="1"/>
        <v>1</v>
      </c>
    </row>
    <row r="46" ht="18" customHeight="1" spans="1:13">
      <c r="A46" t="s">
        <v>101</v>
      </c>
      <c r="B46" s="15" t="s">
        <v>102</v>
      </c>
      <c r="C46" t="s">
        <v>37</v>
      </c>
      <c r="D46" t="s">
        <v>27</v>
      </c>
      <c r="E46" s="11" t="s">
        <v>17</v>
      </c>
      <c r="F46" s="15" t="s">
        <v>121</v>
      </c>
      <c r="G46" t="s">
        <v>19</v>
      </c>
      <c r="H46" t="s">
        <v>20</v>
      </c>
      <c r="I46" t="s">
        <v>122</v>
      </c>
      <c r="J46" t="s">
        <v>22</v>
      </c>
      <c r="K46" t="str">
        <f t="shared" si="0"/>
        <v>A</v>
      </c>
      <c r="L46" t="s">
        <v>22</v>
      </c>
      <c r="M46">
        <f t="shared" si="1"/>
        <v>1</v>
      </c>
    </row>
    <row r="47" ht="18" customHeight="1" spans="1:13">
      <c r="A47" t="s">
        <v>101</v>
      </c>
      <c r="B47" s="15" t="s">
        <v>102</v>
      </c>
      <c r="C47" t="s">
        <v>37</v>
      </c>
      <c r="D47" t="s">
        <v>27</v>
      </c>
      <c r="E47" s="11" t="s">
        <v>23</v>
      </c>
      <c r="F47" s="15" t="s">
        <v>123</v>
      </c>
      <c r="G47" t="s">
        <v>19</v>
      </c>
      <c r="H47" t="s">
        <v>20</v>
      </c>
      <c r="I47" t="s">
        <v>124</v>
      </c>
      <c r="J47" t="s">
        <v>26</v>
      </c>
      <c r="K47" t="str">
        <f t="shared" si="0"/>
        <v>A</v>
      </c>
      <c r="L47" t="s">
        <v>22</v>
      </c>
      <c r="M47">
        <f t="shared" si="1"/>
        <v>1</v>
      </c>
    </row>
    <row r="48" ht="18" customHeight="1" spans="1:13">
      <c r="A48" t="s">
        <v>101</v>
      </c>
      <c r="B48" s="15" t="s">
        <v>102</v>
      </c>
      <c r="C48" t="s">
        <v>37</v>
      </c>
      <c r="D48" t="s">
        <v>32</v>
      </c>
      <c r="E48" s="11" t="s">
        <v>17</v>
      </c>
      <c r="F48" s="15" t="s">
        <v>125</v>
      </c>
      <c r="G48" t="s">
        <v>19</v>
      </c>
      <c r="H48" t="s">
        <v>20</v>
      </c>
      <c r="I48" t="s">
        <v>126</v>
      </c>
      <c r="J48" t="s">
        <v>22</v>
      </c>
      <c r="K48" t="str">
        <f t="shared" si="0"/>
        <v>A</v>
      </c>
      <c r="L48" t="s">
        <v>22</v>
      </c>
      <c r="M48">
        <f t="shared" si="1"/>
        <v>1</v>
      </c>
    </row>
    <row r="49" ht="18" customHeight="1" spans="1:13">
      <c r="A49" t="s">
        <v>101</v>
      </c>
      <c r="B49" s="15" t="s">
        <v>102</v>
      </c>
      <c r="C49" t="s">
        <v>37</v>
      </c>
      <c r="D49" t="s">
        <v>32</v>
      </c>
      <c r="E49" s="11" t="s">
        <v>23</v>
      </c>
      <c r="F49" s="15" t="s">
        <v>127</v>
      </c>
      <c r="G49" t="s">
        <v>19</v>
      </c>
      <c r="H49" t="s">
        <v>20</v>
      </c>
      <c r="I49" t="s">
        <v>128</v>
      </c>
      <c r="J49" t="s">
        <v>26</v>
      </c>
      <c r="K49" t="str">
        <f t="shared" si="0"/>
        <v>A</v>
      </c>
      <c r="L49" t="s">
        <v>22</v>
      </c>
      <c r="M49">
        <f t="shared" si="1"/>
        <v>1</v>
      </c>
    </row>
    <row r="50" ht="18" customHeight="1" spans="1:13">
      <c r="A50" t="s">
        <v>101</v>
      </c>
      <c r="B50" s="15" t="s">
        <v>102</v>
      </c>
      <c r="C50" t="s">
        <v>50</v>
      </c>
      <c r="D50" t="s">
        <v>16</v>
      </c>
      <c r="E50" s="11" t="s">
        <v>17</v>
      </c>
      <c r="F50" s="15" t="s">
        <v>129</v>
      </c>
      <c r="G50" t="s">
        <v>19</v>
      </c>
      <c r="H50" t="s">
        <v>20</v>
      </c>
      <c r="I50" t="s">
        <v>130</v>
      </c>
      <c r="J50" t="s">
        <v>22</v>
      </c>
      <c r="K50" t="str">
        <f t="shared" si="0"/>
        <v>B</v>
      </c>
      <c r="L50" t="s">
        <v>26</v>
      </c>
      <c r="M50">
        <f t="shared" si="1"/>
        <v>1</v>
      </c>
    </row>
    <row r="51" ht="18" customHeight="1" spans="1:13">
      <c r="A51" t="s">
        <v>101</v>
      </c>
      <c r="B51" s="15" t="s">
        <v>102</v>
      </c>
      <c r="C51" t="s">
        <v>50</v>
      </c>
      <c r="D51" t="s">
        <v>16</v>
      </c>
      <c r="E51" s="11" t="s">
        <v>23</v>
      </c>
      <c r="F51" s="15" t="s">
        <v>131</v>
      </c>
      <c r="G51" t="s">
        <v>19</v>
      </c>
      <c r="H51" t="s">
        <v>20</v>
      </c>
      <c r="I51" t="s">
        <v>132</v>
      </c>
      <c r="J51" t="s">
        <v>26</v>
      </c>
      <c r="K51" t="str">
        <f t="shared" si="0"/>
        <v>B</v>
      </c>
      <c r="L51" t="s">
        <v>26</v>
      </c>
      <c r="M51">
        <f t="shared" si="1"/>
        <v>1</v>
      </c>
    </row>
    <row r="52" ht="18" customHeight="1" spans="1:13">
      <c r="A52" t="s">
        <v>101</v>
      </c>
      <c r="B52" s="15" t="s">
        <v>102</v>
      </c>
      <c r="C52" t="s">
        <v>50</v>
      </c>
      <c r="D52" t="s">
        <v>27</v>
      </c>
      <c r="E52" s="11" t="s">
        <v>17</v>
      </c>
      <c r="F52" s="15" t="s">
        <v>133</v>
      </c>
      <c r="G52" t="s">
        <v>19</v>
      </c>
      <c r="H52" t="s">
        <v>20</v>
      </c>
      <c r="I52" t="s">
        <v>134</v>
      </c>
      <c r="J52" t="s">
        <v>22</v>
      </c>
      <c r="K52" t="str">
        <f t="shared" si="0"/>
        <v>B</v>
      </c>
      <c r="L52" t="s">
        <v>26</v>
      </c>
      <c r="M52">
        <f t="shared" si="1"/>
        <v>1</v>
      </c>
    </row>
    <row r="53" ht="18" customHeight="1" spans="1:13">
      <c r="A53" t="s">
        <v>101</v>
      </c>
      <c r="B53" s="15" t="s">
        <v>102</v>
      </c>
      <c r="C53" t="s">
        <v>50</v>
      </c>
      <c r="D53" t="s">
        <v>27</v>
      </c>
      <c r="E53" s="11" t="s">
        <v>23</v>
      </c>
      <c r="F53" s="15" t="s">
        <v>135</v>
      </c>
      <c r="G53" t="s">
        <v>19</v>
      </c>
      <c r="H53" t="s">
        <v>20</v>
      </c>
      <c r="I53" t="s">
        <v>136</v>
      </c>
      <c r="J53" t="s">
        <v>26</v>
      </c>
      <c r="K53" t="str">
        <f t="shared" si="0"/>
        <v>B</v>
      </c>
      <c r="L53" t="s">
        <v>26</v>
      </c>
      <c r="M53">
        <f t="shared" si="1"/>
        <v>1</v>
      </c>
    </row>
    <row r="54" ht="18" customHeight="1" spans="1:13">
      <c r="A54" t="s">
        <v>101</v>
      </c>
      <c r="B54" s="15" t="s">
        <v>102</v>
      </c>
      <c r="C54" t="s">
        <v>50</v>
      </c>
      <c r="D54" t="s">
        <v>32</v>
      </c>
      <c r="E54" s="11" t="s">
        <v>17</v>
      </c>
      <c r="F54" s="15" t="s">
        <v>137</v>
      </c>
      <c r="G54" t="s">
        <v>19</v>
      </c>
      <c r="H54" t="s">
        <v>20</v>
      </c>
      <c r="I54" t="s">
        <v>138</v>
      </c>
      <c r="J54" t="s">
        <v>22</v>
      </c>
      <c r="K54" t="str">
        <f t="shared" si="0"/>
        <v>B</v>
      </c>
      <c r="L54" t="s">
        <v>26</v>
      </c>
      <c r="M54">
        <f t="shared" si="1"/>
        <v>1</v>
      </c>
    </row>
    <row r="55" ht="18" customHeight="1" spans="1:13">
      <c r="A55" t="s">
        <v>101</v>
      </c>
      <c r="B55" s="15" t="s">
        <v>102</v>
      </c>
      <c r="C55" t="s">
        <v>50</v>
      </c>
      <c r="D55" t="s">
        <v>32</v>
      </c>
      <c r="E55" s="11" t="s">
        <v>23</v>
      </c>
      <c r="F55" s="15" t="s">
        <v>139</v>
      </c>
      <c r="G55" t="s">
        <v>19</v>
      </c>
      <c r="H55" t="s">
        <v>20</v>
      </c>
      <c r="I55" t="s">
        <v>140</v>
      </c>
      <c r="J55" t="s">
        <v>26</v>
      </c>
      <c r="K55" t="str">
        <f t="shared" si="0"/>
        <v>B</v>
      </c>
      <c r="L55" t="s">
        <v>26</v>
      </c>
      <c r="M55">
        <f t="shared" si="1"/>
        <v>1</v>
      </c>
    </row>
    <row r="56" ht="18" customHeight="1" spans="1:13">
      <c r="A56" s="17" t="s">
        <v>141</v>
      </c>
      <c r="B56" s="15" t="s">
        <v>142</v>
      </c>
      <c r="C56" s="17" t="s">
        <v>15</v>
      </c>
      <c r="D56" s="17" t="s">
        <v>16</v>
      </c>
      <c r="E56" s="17" t="s">
        <v>17</v>
      </c>
      <c r="F56" s="15" t="s">
        <v>143</v>
      </c>
      <c r="G56" t="s">
        <v>19</v>
      </c>
      <c r="H56" s="17" t="s">
        <v>20</v>
      </c>
      <c r="I56" s="20" t="s">
        <v>144</v>
      </c>
      <c r="J56" s="21" t="s">
        <v>105</v>
      </c>
      <c r="K56" s="21" t="str">
        <f t="shared" si="0"/>
        <v>D(平局)</v>
      </c>
      <c r="L56" t="s">
        <v>106</v>
      </c>
      <c r="M56">
        <f t="shared" si="1"/>
        <v>1</v>
      </c>
    </row>
    <row r="57" ht="18" customHeight="1" spans="1:13">
      <c r="A57" s="17" t="s">
        <v>141</v>
      </c>
      <c r="B57" s="15" t="s">
        <v>142</v>
      </c>
      <c r="C57" s="17" t="s">
        <v>15</v>
      </c>
      <c r="D57" s="17" t="s">
        <v>16</v>
      </c>
      <c r="E57" s="17" t="s">
        <v>23</v>
      </c>
      <c r="F57" s="16" t="s">
        <v>145</v>
      </c>
      <c r="G57" t="s">
        <v>19</v>
      </c>
      <c r="H57" s="17" t="s">
        <v>20</v>
      </c>
      <c r="I57" s="20" t="s">
        <v>146</v>
      </c>
      <c r="J57" s="21" t="s">
        <v>105</v>
      </c>
      <c r="K57" s="21" t="str">
        <f t="shared" si="0"/>
        <v>D(平局)</v>
      </c>
      <c r="L57" t="s">
        <v>106</v>
      </c>
      <c r="M57">
        <f t="shared" si="1"/>
        <v>1</v>
      </c>
    </row>
    <row r="58" ht="18" customHeight="1" spans="1:13">
      <c r="A58" s="17" t="s">
        <v>141</v>
      </c>
      <c r="B58" s="15" t="s">
        <v>142</v>
      </c>
      <c r="C58" s="17" t="s">
        <v>15</v>
      </c>
      <c r="D58" s="17" t="s">
        <v>27</v>
      </c>
      <c r="E58" s="17" t="s">
        <v>17</v>
      </c>
      <c r="F58" s="15" t="s">
        <v>147</v>
      </c>
      <c r="G58" t="s">
        <v>19</v>
      </c>
      <c r="H58" s="17" t="s">
        <v>20</v>
      </c>
      <c r="I58" s="17" t="s">
        <v>148</v>
      </c>
      <c r="J58" s="21" t="s">
        <v>105</v>
      </c>
      <c r="K58" s="21" t="str">
        <f t="shared" si="0"/>
        <v>D(平局)</v>
      </c>
      <c r="L58" t="s">
        <v>106</v>
      </c>
      <c r="M58">
        <f t="shared" si="1"/>
        <v>1</v>
      </c>
    </row>
    <row r="59" ht="18" customHeight="1" spans="1:13">
      <c r="A59" s="17" t="s">
        <v>141</v>
      </c>
      <c r="B59" s="15" t="s">
        <v>142</v>
      </c>
      <c r="C59" s="17" t="s">
        <v>15</v>
      </c>
      <c r="D59" s="17" t="s">
        <v>27</v>
      </c>
      <c r="E59" s="17" t="s">
        <v>23</v>
      </c>
      <c r="F59" s="15" t="s">
        <v>149</v>
      </c>
      <c r="G59" t="s">
        <v>19</v>
      </c>
      <c r="H59" s="17" t="s">
        <v>20</v>
      </c>
      <c r="I59" s="17" t="s">
        <v>150</v>
      </c>
      <c r="J59" s="21" t="s">
        <v>105</v>
      </c>
      <c r="K59" s="21" t="str">
        <f t="shared" si="0"/>
        <v>D(平局)</v>
      </c>
      <c r="L59" t="s">
        <v>106</v>
      </c>
      <c r="M59">
        <f t="shared" si="1"/>
        <v>1</v>
      </c>
    </row>
    <row r="60" ht="18" customHeight="1" spans="1:13">
      <c r="A60" s="17" t="s">
        <v>141</v>
      </c>
      <c r="B60" s="15" t="s">
        <v>142</v>
      </c>
      <c r="C60" s="17" t="s">
        <v>15</v>
      </c>
      <c r="D60" s="17" t="s">
        <v>32</v>
      </c>
      <c r="E60" s="17" t="s">
        <v>17</v>
      </c>
      <c r="F60" s="15" t="s">
        <v>151</v>
      </c>
      <c r="G60" t="s">
        <v>19</v>
      </c>
      <c r="H60" s="17" t="s">
        <v>20</v>
      </c>
      <c r="I60" s="17" t="s">
        <v>152</v>
      </c>
      <c r="J60" s="21" t="s">
        <v>105</v>
      </c>
      <c r="K60" s="21" t="str">
        <f t="shared" si="0"/>
        <v>D(平局)</v>
      </c>
      <c r="L60" t="s">
        <v>106</v>
      </c>
      <c r="M60">
        <f t="shared" si="1"/>
        <v>1</v>
      </c>
    </row>
    <row r="61" ht="18" customHeight="1" spans="1:13">
      <c r="A61" s="17" t="s">
        <v>141</v>
      </c>
      <c r="B61" s="15" t="s">
        <v>142</v>
      </c>
      <c r="C61" s="17" t="s">
        <v>15</v>
      </c>
      <c r="D61" s="17" t="s">
        <v>32</v>
      </c>
      <c r="E61" s="17" t="s">
        <v>23</v>
      </c>
      <c r="F61" s="15" t="s">
        <v>153</v>
      </c>
      <c r="G61" t="s">
        <v>19</v>
      </c>
      <c r="H61" s="17" t="s">
        <v>20</v>
      </c>
      <c r="I61" s="20" t="s">
        <v>154</v>
      </c>
      <c r="J61" s="21" t="s">
        <v>105</v>
      </c>
      <c r="K61" s="21" t="str">
        <f t="shared" si="0"/>
        <v>D(平局)</v>
      </c>
      <c r="L61" t="s">
        <v>106</v>
      </c>
      <c r="M61">
        <f t="shared" si="1"/>
        <v>1</v>
      </c>
    </row>
    <row r="62" ht="18" customHeight="1" spans="1:13">
      <c r="A62" s="17" t="s">
        <v>141</v>
      </c>
      <c r="B62" s="15" t="s">
        <v>142</v>
      </c>
      <c r="C62" s="17" t="s">
        <v>37</v>
      </c>
      <c r="D62" s="17" t="s">
        <v>16</v>
      </c>
      <c r="E62" s="17" t="s">
        <v>17</v>
      </c>
      <c r="F62" s="15" t="s">
        <v>155</v>
      </c>
      <c r="G62" t="s">
        <v>19</v>
      </c>
      <c r="H62" s="17" t="s">
        <v>20</v>
      </c>
      <c r="I62" s="17" t="s">
        <v>156</v>
      </c>
      <c r="J62" s="21" t="s">
        <v>22</v>
      </c>
      <c r="K62" s="21" t="str">
        <f t="shared" si="0"/>
        <v>A</v>
      </c>
      <c r="L62" t="s">
        <v>22</v>
      </c>
      <c r="M62">
        <f t="shared" si="1"/>
        <v>1</v>
      </c>
    </row>
    <row r="63" ht="18" customHeight="1" spans="1:13">
      <c r="A63" s="17" t="s">
        <v>141</v>
      </c>
      <c r="B63" s="15" t="s">
        <v>142</v>
      </c>
      <c r="C63" s="17" t="s">
        <v>37</v>
      </c>
      <c r="D63" s="17" t="s">
        <v>16</v>
      </c>
      <c r="E63" s="17" t="s">
        <v>23</v>
      </c>
      <c r="F63" s="16" t="s">
        <v>157</v>
      </c>
      <c r="G63" t="s">
        <v>19</v>
      </c>
      <c r="H63" s="17" t="s">
        <v>20</v>
      </c>
      <c r="I63" s="20" t="s">
        <v>158</v>
      </c>
      <c r="J63" s="21" t="s">
        <v>26</v>
      </c>
      <c r="K63" s="21" t="str">
        <f t="shared" si="0"/>
        <v>A</v>
      </c>
      <c r="L63" t="s">
        <v>22</v>
      </c>
      <c r="M63">
        <f t="shared" si="1"/>
        <v>1</v>
      </c>
    </row>
    <row r="64" ht="18" customHeight="1" spans="1:13">
      <c r="A64" s="17" t="s">
        <v>141</v>
      </c>
      <c r="B64" s="15" t="s">
        <v>142</v>
      </c>
      <c r="C64" s="17" t="s">
        <v>37</v>
      </c>
      <c r="D64" s="17" t="s">
        <v>27</v>
      </c>
      <c r="E64" s="17" t="s">
        <v>17</v>
      </c>
      <c r="F64" s="15" t="s">
        <v>159</v>
      </c>
      <c r="G64" t="s">
        <v>19</v>
      </c>
      <c r="H64" s="17" t="s">
        <v>20</v>
      </c>
      <c r="I64" s="17" t="s">
        <v>160</v>
      </c>
      <c r="J64" s="21" t="s">
        <v>22</v>
      </c>
      <c r="K64" s="21" t="str">
        <f t="shared" si="0"/>
        <v>A</v>
      </c>
      <c r="L64" t="s">
        <v>22</v>
      </c>
      <c r="M64">
        <f t="shared" si="1"/>
        <v>1</v>
      </c>
    </row>
    <row r="65" ht="18" customHeight="1" spans="1:13">
      <c r="A65" s="17" t="s">
        <v>141</v>
      </c>
      <c r="B65" s="15" t="s">
        <v>142</v>
      </c>
      <c r="C65" s="17" t="s">
        <v>37</v>
      </c>
      <c r="D65" s="17" t="s">
        <v>27</v>
      </c>
      <c r="E65" s="17" t="s">
        <v>23</v>
      </c>
      <c r="F65" s="15" t="s">
        <v>161</v>
      </c>
      <c r="G65" t="s">
        <v>19</v>
      </c>
      <c r="H65" s="17" t="s">
        <v>20</v>
      </c>
      <c r="I65" s="17" t="s">
        <v>162</v>
      </c>
      <c r="J65" s="21" t="s">
        <v>26</v>
      </c>
      <c r="K65" s="21" t="str">
        <f t="shared" si="0"/>
        <v>A</v>
      </c>
      <c r="L65" t="s">
        <v>22</v>
      </c>
      <c r="M65">
        <f t="shared" si="1"/>
        <v>1</v>
      </c>
    </row>
    <row r="66" ht="18" customHeight="1" spans="1:13">
      <c r="A66" s="17" t="s">
        <v>141</v>
      </c>
      <c r="B66" s="15" t="s">
        <v>142</v>
      </c>
      <c r="C66" s="17" t="s">
        <v>37</v>
      </c>
      <c r="D66" s="17" t="s">
        <v>32</v>
      </c>
      <c r="E66" s="17" t="s">
        <v>17</v>
      </c>
      <c r="F66" s="15" t="s">
        <v>163</v>
      </c>
      <c r="G66" t="s">
        <v>19</v>
      </c>
      <c r="H66" s="17" t="s">
        <v>20</v>
      </c>
      <c r="I66" s="17" t="s">
        <v>164</v>
      </c>
      <c r="J66" s="21" t="s">
        <v>22</v>
      </c>
      <c r="K66" s="21" t="str">
        <f t="shared" ref="K66:K129" si="2">IF(OR(J66="",C66="",E66=""),"",IF(J66="C","D(平局)",IF(J66=IF(E66="l2r","A","B"),LEFT(C66,1),RIGHT(C66,1))))</f>
        <v>A</v>
      </c>
      <c r="L66" t="s">
        <v>22</v>
      </c>
      <c r="M66">
        <f t="shared" ref="M66:M129" si="3">IF(OR(K66="",L66=""),"",--(K66=L66))</f>
        <v>1</v>
      </c>
    </row>
    <row r="67" ht="18" customHeight="1" spans="1:13">
      <c r="A67" s="17" t="s">
        <v>141</v>
      </c>
      <c r="B67" s="15" t="s">
        <v>142</v>
      </c>
      <c r="C67" s="17" t="s">
        <v>37</v>
      </c>
      <c r="D67" s="17" t="s">
        <v>32</v>
      </c>
      <c r="E67" s="17" t="s">
        <v>23</v>
      </c>
      <c r="F67" s="15" t="s">
        <v>165</v>
      </c>
      <c r="G67" t="s">
        <v>19</v>
      </c>
      <c r="H67" s="17" t="s">
        <v>20</v>
      </c>
      <c r="I67" s="17" t="s">
        <v>166</v>
      </c>
      <c r="J67" s="21" t="s">
        <v>26</v>
      </c>
      <c r="K67" s="21" t="str">
        <f t="shared" si="2"/>
        <v>A</v>
      </c>
      <c r="L67" t="s">
        <v>22</v>
      </c>
      <c r="M67">
        <f t="shared" si="3"/>
        <v>1</v>
      </c>
    </row>
    <row r="68" ht="18" customHeight="1" spans="1:13">
      <c r="A68" s="17" t="s">
        <v>141</v>
      </c>
      <c r="B68" s="15" t="s">
        <v>142</v>
      </c>
      <c r="C68" s="17" t="s">
        <v>50</v>
      </c>
      <c r="D68" s="17" t="s">
        <v>16</v>
      </c>
      <c r="E68" s="17" t="s">
        <v>17</v>
      </c>
      <c r="F68" s="16" t="s">
        <v>167</v>
      </c>
      <c r="G68" t="s">
        <v>19</v>
      </c>
      <c r="H68" s="17" t="s">
        <v>20</v>
      </c>
      <c r="I68" s="17" t="s">
        <v>168</v>
      </c>
      <c r="J68" s="21" t="s">
        <v>22</v>
      </c>
      <c r="K68" s="21" t="str">
        <f t="shared" si="2"/>
        <v>B</v>
      </c>
      <c r="L68" t="s">
        <v>26</v>
      </c>
      <c r="M68">
        <f t="shared" si="3"/>
        <v>1</v>
      </c>
    </row>
    <row r="69" ht="18" customHeight="1" spans="1:13">
      <c r="A69" s="17" t="s">
        <v>141</v>
      </c>
      <c r="B69" s="15" t="s">
        <v>142</v>
      </c>
      <c r="C69" s="17" t="s">
        <v>50</v>
      </c>
      <c r="D69" s="17" t="s">
        <v>16</v>
      </c>
      <c r="E69" s="17" t="s">
        <v>23</v>
      </c>
      <c r="F69" s="15" t="s">
        <v>169</v>
      </c>
      <c r="G69" t="s">
        <v>19</v>
      </c>
      <c r="H69" s="17" t="s">
        <v>20</v>
      </c>
      <c r="I69" s="17" t="s">
        <v>170</v>
      </c>
      <c r="J69" s="21" t="s">
        <v>26</v>
      </c>
      <c r="K69" s="21" t="str">
        <f t="shared" si="2"/>
        <v>B</v>
      </c>
      <c r="L69" t="s">
        <v>26</v>
      </c>
      <c r="M69">
        <f t="shared" si="3"/>
        <v>1</v>
      </c>
    </row>
    <row r="70" ht="18" customHeight="1" spans="1:13">
      <c r="A70" s="17" t="s">
        <v>141</v>
      </c>
      <c r="B70" s="15" t="s">
        <v>142</v>
      </c>
      <c r="C70" s="17" t="s">
        <v>50</v>
      </c>
      <c r="D70" s="17" t="s">
        <v>27</v>
      </c>
      <c r="E70" s="17" t="s">
        <v>17</v>
      </c>
      <c r="F70" s="15" t="s">
        <v>171</v>
      </c>
      <c r="G70" t="s">
        <v>19</v>
      </c>
      <c r="H70" s="17" t="s">
        <v>20</v>
      </c>
      <c r="I70" s="17" t="s">
        <v>172</v>
      </c>
      <c r="J70" s="21" t="s">
        <v>22</v>
      </c>
      <c r="K70" s="21" t="str">
        <f t="shared" si="2"/>
        <v>B</v>
      </c>
      <c r="L70" t="s">
        <v>26</v>
      </c>
      <c r="M70">
        <f t="shared" si="3"/>
        <v>1</v>
      </c>
    </row>
    <row r="71" ht="18" customHeight="1" spans="1:13">
      <c r="A71" s="17" t="s">
        <v>141</v>
      </c>
      <c r="B71" s="15" t="s">
        <v>142</v>
      </c>
      <c r="C71" s="17" t="s">
        <v>50</v>
      </c>
      <c r="D71" s="17" t="s">
        <v>27</v>
      </c>
      <c r="E71" s="17" t="s">
        <v>23</v>
      </c>
      <c r="F71" s="15" t="s">
        <v>173</v>
      </c>
      <c r="G71" t="s">
        <v>19</v>
      </c>
      <c r="H71" s="17" t="s">
        <v>20</v>
      </c>
      <c r="I71" s="17" t="s">
        <v>174</v>
      </c>
      <c r="J71" s="21" t="s">
        <v>26</v>
      </c>
      <c r="K71" s="21" t="str">
        <f t="shared" si="2"/>
        <v>B</v>
      </c>
      <c r="L71" t="s">
        <v>26</v>
      </c>
      <c r="M71">
        <f t="shared" si="3"/>
        <v>1</v>
      </c>
    </row>
    <row r="72" ht="18" customHeight="1" spans="1:13">
      <c r="A72" s="17" t="s">
        <v>141</v>
      </c>
      <c r="B72" s="15" t="s">
        <v>142</v>
      </c>
      <c r="C72" s="17" t="s">
        <v>50</v>
      </c>
      <c r="D72" s="17" t="s">
        <v>32</v>
      </c>
      <c r="E72" s="17" t="s">
        <v>17</v>
      </c>
      <c r="F72" s="15" t="s">
        <v>175</v>
      </c>
      <c r="G72" t="s">
        <v>19</v>
      </c>
      <c r="H72" s="17" t="s">
        <v>20</v>
      </c>
      <c r="I72" s="17" t="s">
        <v>176</v>
      </c>
      <c r="J72" s="21" t="s">
        <v>22</v>
      </c>
      <c r="K72" s="21" t="str">
        <f t="shared" si="2"/>
        <v>B</v>
      </c>
      <c r="L72" t="s">
        <v>26</v>
      </c>
      <c r="M72">
        <f t="shared" si="3"/>
        <v>1</v>
      </c>
    </row>
    <row r="73" ht="18" customHeight="1" spans="1:13">
      <c r="A73" s="17" t="s">
        <v>141</v>
      </c>
      <c r="B73" s="15" t="s">
        <v>142</v>
      </c>
      <c r="C73" s="17" t="s">
        <v>50</v>
      </c>
      <c r="D73" s="17" t="s">
        <v>32</v>
      </c>
      <c r="E73" s="17" t="s">
        <v>23</v>
      </c>
      <c r="F73" s="15" t="s">
        <v>177</v>
      </c>
      <c r="G73" t="s">
        <v>19</v>
      </c>
      <c r="H73" s="17" t="s">
        <v>20</v>
      </c>
      <c r="I73" s="17" t="s">
        <v>178</v>
      </c>
      <c r="J73" s="21" t="s">
        <v>26</v>
      </c>
      <c r="K73" s="21" t="str">
        <f t="shared" si="2"/>
        <v>B</v>
      </c>
      <c r="L73" t="s">
        <v>26</v>
      </c>
      <c r="M73">
        <f t="shared" si="3"/>
        <v>1</v>
      </c>
    </row>
    <row r="74" ht="18" customHeight="1" spans="1:13">
      <c r="A74" t="s">
        <v>179</v>
      </c>
      <c r="B74" s="15" t="s">
        <v>180</v>
      </c>
      <c r="C74" t="s">
        <v>15</v>
      </c>
      <c r="D74" t="s">
        <v>16</v>
      </c>
      <c r="E74" s="11" t="s">
        <v>17</v>
      </c>
      <c r="F74" s="15" t="s">
        <v>181</v>
      </c>
      <c r="G74" t="s">
        <v>19</v>
      </c>
      <c r="H74" t="s">
        <v>20</v>
      </c>
      <c r="I74" s="19" t="s">
        <v>182</v>
      </c>
      <c r="J74" s="19" t="s">
        <v>22</v>
      </c>
      <c r="K74" s="19" t="str">
        <f t="shared" si="2"/>
        <v>A</v>
      </c>
      <c r="L74" t="s">
        <v>26</v>
      </c>
      <c r="M74">
        <f t="shared" si="3"/>
        <v>0</v>
      </c>
    </row>
    <row r="75" ht="18" customHeight="1" spans="1:13">
      <c r="A75" t="s">
        <v>179</v>
      </c>
      <c r="B75" s="15" t="s">
        <v>180</v>
      </c>
      <c r="C75" t="s">
        <v>15</v>
      </c>
      <c r="D75" t="s">
        <v>16</v>
      </c>
      <c r="E75" s="11" t="s">
        <v>23</v>
      </c>
      <c r="F75" s="15" t="s">
        <v>183</v>
      </c>
      <c r="G75" t="s">
        <v>19</v>
      </c>
      <c r="H75" t="s">
        <v>20</v>
      </c>
      <c r="I75" t="s">
        <v>184</v>
      </c>
      <c r="J75" t="s">
        <v>22</v>
      </c>
      <c r="K75" t="str">
        <f t="shared" si="2"/>
        <v>B</v>
      </c>
      <c r="L75" t="s">
        <v>26</v>
      </c>
      <c r="M75">
        <f t="shared" si="3"/>
        <v>1</v>
      </c>
    </row>
    <row r="76" ht="18" customHeight="1" spans="1:13">
      <c r="A76" t="s">
        <v>179</v>
      </c>
      <c r="B76" s="15" t="s">
        <v>180</v>
      </c>
      <c r="C76" t="s">
        <v>15</v>
      </c>
      <c r="D76" t="s">
        <v>27</v>
      </c>
      <c r="E76" s="11" t="s">
        <v>17</v>
      </c>
      <c r="F76" s="15" t="s">
        <v>185</v>
      </c>
      <c r="G76" t="s">
        <v>19</v>
      </c>
      <c r="H76" t="s">
        <v>20</v>
      </c>
      <c r="I76" t="s">
        <v>186</v>
      </c>
      <c r="J76" t="s">
        <v>26</v>
      </c>
      <c r="K76" t="str">
        <f t="shared" si="2"/>
        <v>B</v>
      </c>
      <c r="L76" t="s">
        <v>26</v>
      </c>
      <c r="M76">
        <f t="shared" si="3"/>
        <v>1</v>
      </c>
    </row>
    <row r="77" ht="18" customHeight="1" spans="1:13">
      <c r="A77" t="s">
        <v>179</v>
      </c>
      <c r="B77" s="15" t="s">
        <v>180</v>
      </c>
      <c r="C77" t="s">
        <v>15</v>
      </c>
      <c r="D77" t="s">
        <v>27</v>
      </c>
      <c r="E77" s="11" t="s">
        <v>23</v>
      </c>
      <c r="F77" s="15" t="s">
        <v>187</v>
      </c>
      <c r="G77" t="s">
        <v>19</v>
      </c>
      <c r="H77" t="s">
        <v>20</v>
      </c>
      <c r="I77" t="s">
        <v>188</v>
      </c>
      <c r="J77" t="s">
        <v>22</v>
      </c>
      <c r="K77" t="str">
        <f t="shared" si="2"/>
        <v>B</v>
      </c>
      <c r="L77" t="s">
        <v>26</v>
      </c>
      <c r="M77">
        <f t="shared" si="3"/>
        <v>1</v>
      </c>
    </row>
    <row r="78" ht="18" customHeight="1" spans="1:13">
      <c r="A78" t="s">
        <v>179</v>
      </c>
      <c r="B78" s="15" t="s">
        <v>180</v>
      </c>
      <c r="C78" t="s">
        <v>15</v>
      </c>
      <c r="D78" t="s">
        <v>32</v>
      </c>
      <c r="E78" s="11" t="s">
        <v>17</v>
      </c>
      <c r="F78" s="15" t="s">
        <v>189</v>
      </c>
      <c r="G78" t="s">
        <v>19</v>
      </c>
      <c r="H78" t="s">
        <v>20</v>
      </c>
      <c r="I78" t="s">
        <v>190</v>
      </c>
      <c r="J78" t="s">
        <v>26</v>
      </c>
      <c r="K78" t="str">
        <f t="shared" si="2"/>
        <v>B</v>
      </c>
      <c r="L78" t="s">
        <v>26</v>
      </c>
      <c r="M78">
        <f t="shared" si="3"/>
        <v>1</v>
      </c>
    </row>
    <row r="79" ht="18" customHeight="1" spans="1:13">
      <c r="A79" t="s">
        <v>179</v>
      </c>
      <c r="B79" s="15" t="s">
        <v>180</v>
      </c>
      <c r="C79" t="s">
        <v>15</v>
      </c>
      <c r="D79" t="s">
        <v>32</v>
      </c>
      <c r="E79" s="11" t="s">
        <v>23</v>
      </c>
      <c r="F79" s="15" t="s">
        <v>191</v>
      </c>
      <c r="G79" t="s">
        <v>19</v>
      </c>
      <c r="H79" t="s">
        <v>20</v>
      </c>
      <c r="I79" t="s">
        <v>192</v>
      </c>
      <c r="J79" t="s">
        <v>22</v>
      </c>
      <c r="K79" t="str">
        <f t="shared" si="2"/>
        <v>B</v>
      </c>
      <c r="L79" t="s">
        <v>26</v>
      </c>
      <c r="M79">
        <f t="shared" si="3"/>
        <v>1</v>
      </c>
    </row>
    <row r="80" ht="18" customHeight="1" spans="1:13">
      <c r="A80" t="s">
        <v>179</v>
      </c>
      <c r="B80" s="15" t="s">
        <v>180</v>
      </c>
      <c r="C80" t="s">
        <v>37</v>
      </c>
      <c r="D80" t="s">
        <v>16</v>
      </c>
      <c r="E80" s="11" t="s">
        <v>17</v>
      </c>
      <c r="F80" s="15" t="s">
        <v>193</v>
      </c>
      <c r="G80" t="s">
        <v>19</v>
      </c>
      <c r="H80" t="s">
        <v>20</v>
      </c>
      <c r="I80" t="s">
        <v>194</v>
      </c>
      <c r="J80" t="s">
        <v>22</v>
      </c>
      <c r="K80" t="str">
        <f t="shared" si="2"/>
        <v>A</v>
      </c>
      <c r="L80" t="s">
        <v>22</v>
      </c>
      <c r="M80">
        <f t="shared" si="3"/>
        <v>1</v>
      </c>
    </row>
    <row r="81" ht="18" customHeight="1" spans="1:13">
      <c r="A81" t="s">
        <v>179</v>
      </c>
      <c r="B81" s="15" t="s">
        <v>180</v>
      </c>
      <c r="C81" t="s">
        <v>37</v>
      </c>
      <c r="D81" t="s">
        <v>16</v>
      </c>
      <c r="E81" s="11" t="s">
        <v>23</v>
      </c>
      <c r="F81" s="15" t="s">
        <v>195</v>
      </c>
      <c r="G81" t="s">
        <v>19</v>
      </c>
      <c r="H81" t="s">
        <v>20</v>
      </c>
      <c r="I81" s="19" t="s">
        <v>196</v>
      </c>
      <c r="J81" s="19" t="s">
        <v>22</v>
      </c>
      <c r="K81" s="19" t="str">
        <f t="shared" si="2"/>
        <v>C</v>
      </c>
      <c r="L81" t="s">
        <v>22</v>
      </c>
      <c r="M81">
        <f t="shared" si="3"/>
        <v>0</v>
      </c>
    </row>
    <row r="82" ht="18" customHeight="1" spans="1:13">
      <c r="A82" t="s">
        <v>179</v>
      </c>
      <c r="B82" s="15" t="s">
        <v>180</v>
      </c>
      <c r="C82" t="s">
        <v>37</v>
      </c>
      <c r="D82" t="s">
        <v>27</v>
      </c>
      <c r="E82" s="11" t="s">
        <v>17</v>
      </c>
      <c r="F82" s="15" t="s">
        <v>197</v>
      </c>
      <c r="G82" t="s">
        <v>19</v>
      </c>
      <c r="H82" t="s">
        <v>20</v>
      </c>
      <c r="I82" t="s">
        <v>198</v>
      </c>
      <c r="J82" t="s">
        <v>22</v>
      </c>
      <c r="K82" t="str">
        <f t="shared" si="2"/>
        <v>A</v>
      </c>
      <c r="L82" t="s">
        <v>22</v>
      </c>
      <c r="M82">
        <f t="shared" si="3"/>
        <v>1</v>
      </c>
    </row>
    <row r="83" ht="18" customHeight="1" spans="1:13">
      <c r="A83" t="s">
        <v>179</v>
      </c>
      <c r="B83" s="15" t="s">
        <v>180</v>
      </c>
      <c r="C83" t="s">
        <v>37</v>
      </c>
      <c r="D83" t="s">
        <v>27</v>
      </c>
      <c r="E83" s="11" t="s">
        <v>23</v>
      </c>
      <c r="F83" s="15" t="s">
        <v>199</v>
      </c>
      <c r="G83" t="s">
        <v>19</v>
      </c>
      <c r="H83" t="s">
        <v>20</v>
      </c>
      <c r="I83" s="19" t="s">
        <v>200</v>
      </c>
      <c r="J83" s="19" t="s">
        <v>22</v>
      </c>
      <c r="K83" s="19" t="str">
        <f t="shared" si="2"/>
        <v>C</v>
      </c>
      <c r="L83" t="s">
        <v>22</v>
      </c>
      <c r="M83">
        <f t="shared" si="3"/>
        <v>0</v>
      </c>
    </row>
    <row r="84" ht="18" customHeight="1" spans="1:13">
      <c r="A84" t="s">
        <v>179</v>
      </c>
      <c r="B84" s="15" t="s">
        <v>180</v>
      </c>
      <c r="C84" t="s">
        <v>37</v>
      </c>
      <c r="D84" t="s">
        <v>32</v>
      </c>
      <c r="E84" s="11" t="s">
        <v>17</v>
      </c>
      <c r="F84" s="15" t="s">
        <v>201</v>
      </c>
      <c r="G84" t="s">
        <v>19</v>
      </c>
      <c r="H84" t="s">
        <v>20</v>
      </c>
      <c r="I84" s="19" t="s">
        <v>202</v>
      </c>
      <c r="J84" s="19" t="s">
        <v>26</v>
      </c>
      <c r="K84" s="19" t="str">
        <f t="shared" si="2"/>
        <v>C</v>
      </c>
      <c r="L84" t="s">
        <v>22</v>
      </c>
      <c r="M84">
        <f t="shared" si="3"/>
        <v>0</v>
      </c>
    </row>
    <row r="85" ht="18" customHeight="1" spans="1:13">
      <c r="A85" t="s">
        <v>179</v>
      </c>
      <c r="B85" s="15" t="s">
        <v>180</v>
      </c>
      <c r="C85" t="s">
        <v>37</v>
      </c>
      <c r="D85" t="s">
        <v>32</v>
      </c>
      <c r="E85" s="11" t="s">
        <v>23</v>
      </c>
      <c r="F85" s="15" t="s">
        <v>203</v>
      </c>
      <c r="G85" t="s">
        <v>19</v>
      </c>
      <c r="H85" t="s">
        <v>20</v>
      </c>
      <c r="I85" s="19" t="s">
        <v>204</v>
      </c>
      <c r="J85" s="19" t="s">
        <v>22</v>
      </c>
      <c r="K85" s="19" t="str">
        <f t="shared" si="2"/>
        <v>C</v>
      </c>
      <c r="L85" t="s">
        <v>22</v>
      </c>
      <c r="M85">
        <f t="shared" si="3"/>
        <v>0</v>
      </c>
    </row>
    <row r="86" ht="18" customHeight="1" spans="1:13">
      <c r="A86" t="s">
        <v>179</v>
      </c>
      <c r="B86" s="15" t="s">
        <v>180</v>
      </c>
      <c r="C86" t="s">
        <v>50</v>
      </c>
      <c r="D86" t="s">
        <v>16</v>
      </c>
      <c r="E86" s="11" t="s">
        <v>17</v>
      </c>
      <c r="F86" s="15" t="s">
        <v>205</v>
      </c>
      <c r="G86" t="s">
        <v>19</v>
      </c>
      <c r="H86" t="s">
        <v>20</v>
      </c>
      <c r="I86" t="s">
        <v>206</v>
      </c>
      <c r="J86" t="s">
        <v>22</v>
      </c>
      <c r="K86" t="str">
        <f t="shared" si="2"/>
        <v>B</v>
      </c>
      <c r="L86" t="s">
        <v>26</v>
      </c>
      <c r="M86">
        <f t="shared" si="3"/>
        <v>1</v>
      </c>
    </row>
    <row r="87" ht="18" customHeight="1" spans="1:13">
      <c r="A87" t="s">
        <v>179</v>
      </c>
      <c r="B87" s="15" t="s">
        <v>180</v>
      </c>
      <c r="C87" t="s">
        <v>50</v>
      </c>
      <c r="D87" t="s">
        <v>16</v>
      </c>
      <c r="E87" s="11" t="s">
        <v>23</v>
      </c>
      <c r="F87" s="15" t="s">
        <v>207</v>
      </c>
      <c r="G87" t="s">
        <v>19</v>
      </c>
      <c r="H87" t="s">
        <v>20</v>
      </c>
      <c r="I87" s="19" t="s">
        <v>208</v>
      </c>
      <c r="J87" s="19" t="s">
        <v>26</v>
      </c>
      <c r="K87" s="19" t="str">
        <f t="shared" si="2"/>
        <v>B</v>
      </c>
      <c r="L87" t="s">
        <v>26</v>
      </c>
      <c r="M87">
        <f t="shared" si="3"/>
        <v>1</v>
      </c>
    </row>
    <row r="88" ht="18" customHeight="1" spans="1:13">
      <c r="A88" t="s">
        <v>179</v>
      </c>
      <c r="B88" s="15" t="s">
        <v>180</v>
      </c>
      <c r="C88" t="s">
        <v>50</v>
      </c>
      <c r="D88" t="s">
        <v>27</v>
      </c>
      <c r="E88" s="11" t="s">
        <v>17</v>
      </c>
      <c r="F88" s="15" t="s">
        <v>209</v>
      </c>
      <c r="G88" t="s">
        <v>19</v>
      </c>
      <c r="H88" t="s">
        <v>20</v>
      </c>
      <c r="I88" t="s">
        <v>210</v>
      </c>
      <c r="J88" t="s">
        <v>22</v>
      </c>
      <c r="K88" t="str">
        <f t="shared" si="2"/>
        <v>B</v>
      </c>
      <c r="L88" t="s">
        <v>26</v>
      </c>
      <c r="M88">
        <f t="shared" si="3"/>
        <v>1</v>
      </c>
    </row>
    <row r="89" ht="18" customHeight="1" spans="1:13">
      <c r="A89" t="s">
        <v>179</v>
      </c>
      <c r="B89" s="15" t="s">
        <v>180</v>
      </c>
      <c r="C89" t="s">
        <v>50</v>
      </c>
      <c r="D89" t="s">
        <v>27</v>
      </c>
      <c r="E89" s="11" t="s">
        <v>23</v>
      </c>
      <c r="F89" s="15" t="s">
        <v>211</v>
      </c>
      <c r="G89" t="s">
        <v>19</v>
      </c>
      <c r="H89" t="s">
        <v>20</v>
      </c>
      <c r="I89" s="19" t="s">
        <v>212</v>
      </c>
      <c r="J89" s="19" t="s">
        <v>26</v>
      </c>
      <c r="K89" s="19" t="str">
        <f t="shared" si="2"/>
        <v>B</v>
      </c>
      <c r="L89" t="s">
        <v>26</v>
      </c>
      <c r="M89">
        <f t="shared" si="3"/>
        <v>1</v>
      </c>
    </row>
    <row r="90" ht="18" customHeight="1" spans="1:13">
      <c r="A90" t="s">
        <v>179</v>
      </c>
      <c r="B90" s="15" t="s">
        <v>180</v>
      </c>
      <c r="C90" t="s">
        <v>50</v>
      </c>
      <c r="D90" t="s">
        <v>32</v>
      </c>
      <c r="E90" s="11" t="s">
        <v>17</v>
      </c>
      <c r="F90" s="15" t="s">
        <v>213</v>
      </c>
      <c r="G90" t="s">
        <v>19</v>
      </c>
      <c r="H90" t="s">
        <v>20</v>
      </c>
      <c r="I90" t="s">
        <v>214</v>
      </c>
      <c r="J90" t="s">
        <v>22</v>
      </c>
      <c r="K90" t="str">
        <f t="shared" si="2"/>
        <v>B</v>
      </c>
      <c r="L90" t="s">
        <v>26</v>
      </c>
      <c r="M90">
        <f t="shared" si="3"/>
        <v>1</v>
      </c>
    </row>
    <row r="91" ht="18" customHeight="1" spans="1:13">
      <c r="A91" t="s">
        <v>179</v>
      </c>
      <c r="B91" s="15" t="s">
        <v>180</v>
      </c>
      <c r="C91" t="s">
        <v>50</v>
      </c>
      <c r="D91" t="s">
        <v>32</v>
      </c>
      <c r="E91" s="11" t="s">
        <v>23</v>
      </c>
      <c r="F91" s="15" t="s">
        <v>215</v>
      </c>
      <c r="G91" t="s">
        <v>19</v>
      </c>
      <c r="H91" t="s">
        <v>20</v>
      </c>
      <c r="I91" s="19" t="s">
        <v>216</v>
      </c>
      <c r="J91" s="19" t="s">
        <v>26</v>
      </c>
      <c r="K91" s="19" t="str">
        <f t="shared" si="2"/>
        <v>B</v>
      </c>
      <c r="L91" t="s">
        <v>26</v>
      </c>
      <c r="M91">
        <f t="shared" si="3"/>
        <v>1</v>
      </c>
    </row>
    <row r="92" ht="18" customHeight="1" spans="1:13">
      <c r="A92" t="s">
        <v>217</v>
      </c>
      <c r="B92" s="15" t="s">
        <v>218</v>
      </c>
      <c r="C92" t="s">
        <v>15</v>
      </c>
      <c r="D92" t="s">
        <v>16</v>
      </c>
      <c r="E92" s="11" t="s">
        <v>17</v>
      </c>
      <c r="F92" s="15" t="s">
        <v>219</v>
      </c>
      <c r="G92" t="s">
        <v>19</v>
      </c>
      <c r="H92" t="s">
        <v>20</v>
      </c>
      <c r="I92" t="s">
        <v>220</v>
      </c>
      <c r="J92" t="s">
        <v>22</v>
      </c>
      <c r="K92" t="str">
        <f t="shared" si="2"/>
        <v>A</v>
      </c>
      <c r="L92" t="s">
        <v>22</v>
      </c>
      <c r="M92">
        <f t="shared" si="3"/>
        <v>1</v>
      </c>
    </row>
    <row r="93" ht="18" customHeight="1" spans="1:13">
      <c r="A93" t="s">
        <v>217</v>
      </c>
      <c r="B93" s="15" t="s">
        <v>218</v>
      </c>
      <c r="C93" t="s">
        <v>15</v>
      </c>
      <c r="D93" t="s">
        <v>16</v>
      </c>
      <c r="E93" s="11" t="s">
        <v>23</v>
      </c>
      <c r="F93" s="15" t="s">
        <v>221</v>
      </c>
      <c r="G93" t="s">
        <v>19</v>
      </c>
      <c r="H93" t="s">
        <v>20</v>
      </c>
      <c r="I93" t="s">
        <v>222</v>
      </c>
      <c r="J93" t="s">
        <v>26</v>
      </c>
      <c r="K93" t="str">
        <f t="shared" si="2"/>
        <v>A</v>
      </c>
      <c r="L93" t="s">
        <v>22</v>
      </c>
      <c r="M93">
        <f t="shared" si="3"/>
        <v>1</v>
      </c>
    </row>
    <row r="94" ht="18" customHeight="1" spans="1:13">
      <c r="A94" t="s">
        <v>217</v>
      </c>
      <c r="B94" s="15" t="s">
        <v>218</v>
      </c>
      <c r="C94" t="s">
        <v>15</v>
      </c>
      <c r="D94" t="s">
        <v>27</v>
      </c>
      <c r="E94" s="11" t="s">
        <v>17</v>
      </c>
      <c r="F94" s="15" t="s">
        <v>223</v>
      </c>
      <c r="G94" t="s">
        <v>19</v>
      </c>
      <c r="H94" t="s">
        <v>20</v>
      </c>
      <c r="I94" t="s">
        <v>224</v>
      </c>
      <c r="J94" t="s">
        <v>22</v>
      </c>
      <c r="K94" t="str">
        <f t="shared" si="2"/>
        <v>A</v>
      </c>
      <c r="L94" t="s">
        <v>22</v>
      </c>
      <c r="M94">
        <f t="shared" si="3"/>
        <v>1</v>
      </c>
    </row>
    <row r="95" ht="18" customHeight="1" spans="1:13">
      <c r="A95" t="s">
        <v>217</v>
      </c>
      <c r="B95" s="15" t="s">
        <v>218</v>
      </c>
      <c r="C95" t="s">
        <v>15</v>
      </c>
      <c r="D95" t="s">
        <v>27</v>
      </c>
      <c r="E95" s="11" t="s">
        <v>23</v>
      </c>
      <c r="F95" s="15" t="s">
        <v>225</v>
      </c>
      <c r="G95" t="s">
        <v>19</v>
      </c>
      <c r="H95" t="s">
        <v>20</v>
      </c>
      <c r="I95" t="s">
        <v>226</v>
      </c>
      <c r="J95" t="s">
        <v>26</v>
      </c>
      <c r="K95" t="str">
        <f t="shared" si="2"/>
        <v>A</v>
      </c>
      <c r="L95" t="s">
        <v>22</v>
      </c>
      <c r="M95">
        <f t="shared" si="3"/>
        <v>1</v>
      </c>
    </row>
    <row r="96" ht="18" customHeight="1" spans="1:13">
      <c r="A96" t="s">
        <v>217</v>
      </c>
      <c r="B96" s="15" t="s">
        <v>218</v>
      </c>
      <c r="C96" t="s">
        <v>15</v>
      </c>
      <c r="D96" t="s">
        <v>32</v>
      </c>
      <c r="E96" s="11" t="s">
        <v>17</v>
      </c>
      <c r="F96" s="15" t="s">
        <v>227</v>
      </c>
      <c r="G96" t="s">
        <v>19</v>
      </c>
      <c r="H96" t="s">
        <v>20</v>
      </c>
      <c r="I96" t="s">
        <v>228</v>
      </c>
      <c r="J96" t="s">
        <v>22</v>
      </c>
      <c r="K96" t="str">
        <f t="shared" si="2"/>
        <v>A</v>
      </c>
      <c r="L96" t="s">
        <v>22</v>
      </c>
      <c r="M96">
        <f t="shared" si="3"/>
        <v>1</v>
      </c>
    </row>
    <row r="97" ht="18" customHeight="1" spans="1:13">
      <c r="A97" t="s">
        <v>217</v>
      </c>
      <c r="B97" s="15" t="s">
        <v>218</v>
      </c>
      <c r="C97" t="s">
        <v>15</v>
      </c>
      <c r="D97" t="s">
        <v>32</v>
      </c>
      <c r="E97" s="11" t="s">
        <v>23</v>
      </c>
      <c r="F97" s="15" t="s">
        <v>229</v>
      </c>
      <c r="G97" t="s">
        <v>19</v>
      </c>
      <c r="H97" t="s">
        <v>20</v>
      </c>
      <c r="I97" t="s">
        <v>230</v>
      </c>
      <c r="J97" t="s">
        <v>26</v>
      </c>
      <c r="K97" t="str">
        <f t="shared" si="2"/>
        <v>A</v>
      </c>
      <c r="L97" t="s">
        <v>22</v>
      </c>
      <c r="M97">
        <f t="shared" si="3"/>
        <v>1</v>
      </c>
    </row>
    <row r="98" ht="18" customHeight="1" spans="1:13">
      <c r="A98" t="s">
        <v>217</v>
      </c>
      <c r="B98" s="15" t="s">
        <v>218</v>
      </c>
      <c r="C98" t="s">
        <v>37</v>
      </c>
      <c r="D98" t="s">
        <v>16</v>
      </c>
      <c r="E98" s="11" t="s">
        <v>17</v>
      </c>
      <c r="F98" s="15" t="s">
        <v>231</v>
      </c>
      <c r="G98" t="s">
        <v>19</v>
      </c>
      <c r="H98" t="s">
        <v>20</v>
      </c>
      <c r="I98" t="s">
        <v>232</v>
      </c>
      <c r="J98" t="s">
        <v>22</v>
      </c>
      <c r="K98" t="str">
        <f t="shared" si="2"/>
        <v>A</v>
      </c>
      <c r="L98" t="s">
        <v>22</v>
      </c>
      <c r="M98">
        <f t="shared" si="3"/>
        <v>1</v>
      </c>
    </row>
    <row r="99" ht="18" customHeight="1" spans="1:13">
      <c r="A99" t="s">
        <v>217</v>
      </c>
      <c r="B99" s="15" t="s">
        <v>218</v>
      </c>
      <c r="C99" t="s">
        <v>37</v>
      </c>
      <c r="D99" t="s">
        <v>16</v>
      </c>
      <c r="E99" s="11" t="s">
        <v>23</v>
      </c>
      <c r="F99" s="15" t="s">
        <v>233</v>
      </c>
      <c r="G99" t="s">
        <v>19</v>
      </c>
      <c r="H99" t="s">
        <v>20</v>
      </c>
      <c r="I99" t="s">
        <v>234</v>
      </c>
      <c r="J99" t="s">
        <v>26</v>
      </c>
      <c r="K99" t="str">
        <f t="shared" si="2"/>
        <v>A</v>
      </c>
      <c r="L99" t="s">
        <v>22</v>
      </c>
      <c r="M99">
        <f t="shared" si="3"/>
        <v>1</v>
      </c>
    </row>
    <row r="100" ht="18" customHeight="1" spans="1:13">
      <c r="A100" t="s">
        <v>217</v>
      </c>
      <c r="B100" s="15" t="s">
        <v>218</v>
      </c>
      <c r="C100" t="s">
        <v>37</v>
      </c>
      <c r="D100" t="s">
        <v>27</v>
      </c>
      <c r="E100" s="11" t="s">
        <v>17</v>
      </c>
      <c r="F100" s="15" t="s">
        <v>235</v>
      </c>
      <c r="G100" t="s">
        <v>19</v>
      </c>
      <c r="H100" t="s">
        <v>20</v>
      </c>
      <c r="I100" t="s">
        <v>236</v>
      </c>
      <c r="J100" t="s">
        <v>22</v>
      </c>
      <c r="K100" t="str">
        <f t="shared" si="2"/>
        <v>A</v>
      </c>
      <c r="L100" t="s">
        <v>22</v>
      </c>
      <c r="M100">
        <f t="shared" si="3"/>
        <v>1</v>
      </c>
    </row>
    <row r="101" ht="18" customHeight="1" spans="1:13">
      <c r="A101" t="s">
        <v>217</v>
      </c>
      <c r="B101" s="15" t="s">
        <v>218</v>
      </c>
      <c r="C101" t="s">
        <v>37</v>
      </c>
      <c r="D101" t="s">
        <v>27</v>
      </c>
      <c r="E101" s="11" t="s">
        <v>23</v>
      </c>
      <c r="F101" s="15" t="s">
        <v>237</v>
      </c>
      <c r="G101" t="s">
        <v>19</v>
      </c>
      <c r="H101" t="s">
        <v>20</v>
      </c>
      <c r="I101" t="s">
        <v>238</v>
      </c>
      <c r="J101" t="s">
        <v>26</v>
      </c>
      <c r="K101" t="str">
        <f t="shared" si="2"/>
        <v>A</v>
      </c>
      <c r="L101" t="s">
        <v>22</v>
      </c>
      <c r="M101">
        <f t="shared" si="3"/>
        <v>1</v>
      </c>
    </row>
    <row r="102" ht="18" customHeight="1" spans="1:13">
      <c r="A102" t="s">
        <v>217</v>
      </c>
      <c r="B102" s="15" t="s">
        <v>218</v>
      </c>
      <c r="C102" t="s">
        <v>37</v>
      </c>
      <c r="D102" t="s">
        <v>32</v>
      </c>
      <c r="E102" s="11" t="s">
        <v>17</v>
      </c>
      <c r="F102" s="15" t="s">
        <v>239</v>
      </c>
      <c r="G102" t="s">
        <v>19</v>
      </c>
      <c r="H102" t="s">
        <v>20</v>
      </c>
      <c r="I102" t="s">
        <v>240</v>
      </c>
      <c r="J102" t="s">
        <v>22</v>
      </c>
      <c r="K102" t="str">
        <f t="shared" si="2"/>
        <v>A</v>
      </c>
      <c r="L102" t="s">
        <v>22</v>
      </c>
      <c r="M102">
        <f t="shared" si="3"/>
        <v>1</v>
      </c>
    </row>
    <row r="103" ht="18" customHeight="1" spans="1:13">
      <c r="A103" t="s">
        <v>217</v>
      </c>
      <c r="B103" s="15" t="s">
        <v>218</v>
      </c>
      <c r="C103" t="s">
        <v>37</v>
      </c>
      <c r="D103" t="s">
        <v>32</v>
      </c>
      <c r="E103" s="11" t="s">
        <v>23</v>
      </c>
      <c r="F103" s="15" t="s">
        <v>241</v>
      </c>
      <c r="G103" t="s">
        <v>19</v>
      </c>
      <c r="H103" t="s">
        <v>20</v>
      </c>
      <c r="I103" t="s">
        <v>242</v>
      </c>
      <c r="J103" t="s">
        <v>26</v>
      </c>
      <c r="K103" t="str">
        <f t="shared" si="2"/>
        <v>A</v>
      </c>
      <c r="L103" t="s">
        <v>22</v>
      </c>
      <c r="M103">
        <f t="shared" si="3"/>
        <v>1</v>
      </c>
    </row>
    <row r="104" ht="18" customHeight="1" spans="1:13">
      <c r="A104" t="s">
        <v>217</v>
      </c>
      <c r="B104" s="15" t="s">
        <v>218</v>
      </c>
      <c r="C104" t="s">
        <v>50</v>
      </c>
      <c r="D104" t="s">
        <v>16</v>
      </c>
      <c r="E104" s="11" t="s">
        <v>17</v>
      </c>
      <c r="F104" s="15" t="s">
        <v>243</v>
      </c>
      <c r="G104" t="s">
        <v>19</v>
      </c>
      <c r="H104" t="s">
        <v>20</v>
      </c>
      <c r="I104" t="s">
        <v>244</v>
      </c>
      <c r="J104" t="s">
        <v>22</v>
      </c>
      <c r="K104" t="str">
        <f t="shared" si="2"/>
        <v>B</v>
      </c>
      <c r="L104" t="s">
        <v>26</v>
      </c>
      <c r="M104">
        <f t="shared" si="3"/>
        <v>1</v>
      </c>
    </row>
    <row r="105" ht="18" customHeight="1" spans="1:13">
      <c r="A105" t="s">
        <v>217</v>
      </c>
      <c r="B105" s="15" t="s">
        <v>218</v>
      </c>
      <c r="C105" t="s">
        <v>50</v>
      </c>
      <c r="D105" t="s">
        <v>16</v>
      </c>
      <c r="E105" s="11" t="s">
        <v>23</v>
      </c>
      <c r="F105" s="15" t="s">
        <v>245</v>
      </c>
      <c r="G105" t="s">
        <v>19</v>
      </c>
      <c r="H105" t="s">
        <v>20</v>
      </c>
      <c r="I105" t="s">
        <v>246</v>
      </c>
      <c r="J105" t="s">
        <v>26</v>
      </c>
      <c r="K105" t="str">
        <f t="shared" si="2"/>
        <v>B</v>
      </c>
      <c r="L105" t="s">
        <v>26</v>
      </c>
      <c r="M105">
        <f t="shared" si="3"/>
        <v>1</v>
      </c>
    </row>
    <row r="106" ht="18" customHeight="1" spans="1:13">
      <c r="A106" t="s">
        <v>217</v>
      </c>
      <c r="B106" s="15" t="s">
        <v>218</v>
      </c>
      <c r="C106" t="s">
        <v>50</v>
      </c>
      <c r="D106" t="s">
        <v>27</v>
      </c>
      <c r="E106" s="11" t="s">
        <v>17</v>
      </c>
      <c r="F106" s="15" t="s">
        <v>247</v>
      </c>
      <c r="G106" t="s">
        <v>19</v>
      </c>
      <c r="H106" t="s">
        <v>20</v>
      </c>
      <c r="I106" t="s">
        <v>248</v>
      </c>
      <c r="J106" t="s">
        <v>22</v>
      </c>
      <c r="K106" t="str">
        <f t="shared" si="2"/>
        <v>B</v>
      </c>
      <c r="L106" t="s">
        <v>26</v>
      </c>
      <c r="M106">
        <f t="shared" si="3"/>
        <v>1</v>
      </c>
    </row>
    <row r="107" ht="18" customHeight="1" spans="1:13">
      <c r="A107" t="s">
        <v>217</v>
      </c>
      <c r="B107" s="15" t="s">
        <v>218</v>
      </c>
      <c r="C107" t="s">
        <v>50</v>
      </c>
      <c r="D107" t="s">
        <v>27</v>
      </c>
      <c r="E107" s="11" t="s">
        <v>23</v>
      </c>
      <c r="F107" s="15" t="s">
        <v>249</v>
      </c>
      <c r="G107" t="s">
        <v>19</v>
      </c>
      <c r="H107" t="s">
        <v>20</v>
      </c>
      <c r="I107" t="s">
        <v>250</v>
      </c>
      <c r="J107" t="s">
        <v>26</v>
      </c>
      <c r="K107" t="str">
        <f t="shared" si="2"/>
        <v>B</v>
      </c>
      <c r="L107" t="s">
        <v>26</v>
      </c>
      <c r="M107">
        <f t="shared" si="3"/>
        <v>1</v>
      </c>
    </row>
    <row r="108" ht="18" customHeight="1" spans="1:13">
      <c r="A108" t="s">
        <v>217</v>
      </c>
      <c r="B108" s="15" t="s">
        <v>218</v>
      </c>
      <c r="C108" t="s">
        <v>50</v>
      </c>
      <c r="D108" t="s">
        <v>32</v>
      </c>
      <c r="E108" s="11" t="s">
        <v>17</v>
      </c>
      <c r="F108" s="15" t="s">
        <v>251</v>
      </c>
      <c r="G108" t="s">
        <v>19</v>
      </c>
      <c r="H108" t="s">
        <v>20</v>
      </c>
      <c r="I108" t="s">
        <v>252</v>
      </c>
      <c r="J108" t="s">
        <v>22</v>
      </c>
      <c r="K108" t="str">
        <f t="shared" si="2"/>
        <v>B</v>
      </c>
      <c r="L108" t="s">
        <v>26</v>
      </c>
      <c r="M108">
        <f t="shared" si="3"/>
        <v>1</v>
      </c>
    </row>
    <row r="109" ht="18" customHeight="1" spans="1:13">
      <c r="A109" t="s">
        <v>217</v>
      </c>
      <c r="B109" s="15" t="s">
        <v>218</v>
      </c>
      <c r="C109" t="s">
        <v>50</v>
      </c>
      <c r="D109" t="s">
        <v>32</v>
      </c>
      <c r="E109" s="11" t="s">
        <v>23</v>
      </c>
      <c r="F109" s="15" t="s">
        <v>253</v>
      </c>
      <c r="G109" t="s">
        <v>19</v>
      </c>
      <c r="H109" t="s">
        <v>20</v>
      </c>
      <c r="I109" t="s">
        <v>254</v>
      </c>
      <c r="J109" t="s">
        <v>26</v>
      </c>
      <c r="K109" t="str">
        <f t="shared" si="2"/>
        <v>B</v>
      </c>
      <c r="L109" t="s">
        <v>26</v>
      </c>
      <c r="M109">
        <f t="shared" si="3"/>
        <v>1</v>
      </c>
    </row>
    <row r="110" ht="18" customHeight="1" spans="1:13">
      <c r="A110" s="17" t="s">
        <v>255</v>
      </c>
      <c r="B110" s="15" t="s">
        <v>256</v>
      </c>
      <c r="C110" s="17" t="s">
        <v>15</v>
      </c>
      <c r="D110" s="17" t="s">
        <v>16</v>
      </c>
      <c r="E110" s="17" t="s">
        <v>17</v>
      </c>
      <c r="F110" s="15" t="s">
        <v>257</v>
      </c>
      <c r="G110" t="s">
        <v>19</v>
      </c>
      <c r="H110" s="17" t="s">
        <v>20</v>
      </c>
      <c r="I110" s="17" t="s">
        <v>258</v>
      </c>
      <c r="J110" s="21" t="s">
        <v>22</v>
      </c>
      <c r="K110" s="21" t="str">
        <f t="shared" si="2"/>
        <v>A</v>
      </c>
      <c r="L110" t="s">
        <v>22</v>
      </c>
      <c r="M110">
        <f t="shared" si="3"/>
        <v>1</v>
      </c>
    </row>
    <row r="111" ht="18" customHeight="1" spans="1:13">
      <c r="A111" s="17" t="s">
        <v>255</v>
      </c>
      <c r="B111" s="15" t="s">
        <v>256</v>
      </c>
      <c r="C111" s="17" t="s">
        <v>15</v>
      </c>
      <c r="D111" s="17" t="s">
        <v>16</v>
      </c>
      <c r="E111" s="17" t="s">
        <v>23</v>
      </c>
      <c r="F111" s="15" t="s">
        <v>259</v>
      </c>
      <c r="G111" t="s">
        <v>19</v>
      </c>
      <c r="H111" s="17" t="s">
        <v>20</v>
      </c>
      <c r="I111" s="17" t="s">
        <v>260</v>
      </c>
      <c r="J111" s="21" t="s">
        <v>26</v>
      </c>
      <c r="K111" s="21" t="str">
        <f t="shared" si="2"/>
        <v>A</v>
      </c>
      <c r="L111" t="s">
        <v>22</v>
      </c>
      <c r="M111">
        <f t="shared" si="3"/>
        <v>1</v>
      </c>
    </row>
    <row r="112" ht="18" customHeight="1" spans="1:13">
      <c r="A112" s="17" t="s">
        <v>255</v>
      </c>
      <c r="B112" s="15" t="s">
        <v>256</v>
      </c>
      <c r="C112" s="17" t="s">
        <v>15</v>
      </c>
      <c r="D112" s="17" t="s">
        <v>27</v>
      </c>
      <c r="E112" s="17" t="s">
        <v>17</v>
      </c>
      <c r="F112" s="15" t="s">
        <v>261</v>
      </c>
      <c r="G112" t="s">
        <v>19</v>
      </c>
      <c r="H112" s="17" t="s">
        <v>20</v>
      </c>
      <c r="I112" s="17" t="s">
        <v>262</v>
      </c>
      <c r="J112" s="21" t="s">
        <v>22</v>
      </c>
      <c r="K112" s="21" t="str">
        <f t="shared" si="2"/>
        <v>A</v>
      </c>
      <c r="L112" t="s">
        <v>22</v>
      </c>
      <c r="M112">
        <f t="shared" si="3"/>
        <v>1</v>
      </c>
    </row>
    <row r="113" ht="18" customHeight="1" spans="1:13">
      <c r="A113" s="17" t="s">
        <v>255</v>
      </c>
      <c r="B113" s="15" t="s">
        <v>256</v>
      </c>
      <c r="C113" s="17" t="s">
        <v>15</v>
      </c>
      <c r="D113" s="17" t="s">
        <v>27</v>
      </c>
      <c r="E113" s="17" t="s">
        <v>23</v>
      </c>
      <c r="F113" s="15" t="s">
        <v>263</v>
      </c>
      <c r="G113" t="s">
        <v>19</v>
      </c>
      <c r="H113" s="17" t="s">
        <v>20</v>
      </c>
      <c r="I113" s="17" t="s">
        <v>264</v>
      </c>
      <c r="J113" s="21" t="s">
        <v>26</v>
      </c>
      <c r="K113" s="21" t="str">
        <f t="shared" si="2"/>
        <v>A</v>
      </c>
      <c r="L113" t="s">
        <v>22</v>
      </c>
      <c r="M113">
        <f t="shared" si="3"/>
        <v>1</v>
      </c>
    </row>
    <row r="114" ht="18" customHeight="1" spans="1:13">
      <c r="A114" s="17" t="s">
        <v>255</v>
      </c>
      <c r="B114" s="15" t="s">
        <v>256</v>
      </c>
      <c r="C114" s="17" t="s">
        <v>15</v>
      </c>
      <c r="D114" s="17" t="s">
        <v>32</v>
      </c>
      <c r="E114" s="17" t="s">
        <v>17</v>
      </c>
      <c r="F114" s="15" t="s">
        <v>265</v>
      </c>
      <c r="G114" t="s">
        <v>19</v>
      </c>
      <c r="H114" s="17" t="s">
        <v>20</v>
      </c>
      <c r="I114" s="17" t="s">
        <v>266</v>
      </c>
      <c r="J114" s="21" t="s">
        <v>22</v>
      </c>
      <c r="K114" s="21" t="str">
        <f t="shared" si="2"/>
        <v>A</v>
      </c>
      <c r="L114" t="s">
        <v>22</v>
      </c>
      <c r="M114">
        <f t="shared" si="3"/>
        <v>1</v>
      </c>
    </row>
    <row r="115" ht="18" customHeight="1" spans="1:13">
      <c r="A115" s="17" t="s">
        <v>255</v>
      </c>
      <c r="B115" s="15" t="s">
        <v>256</v>
      </c>
      <c r="C115" s="17" t="s">
        <v>15</v>
      </c>
      <c r="D115" s="17" t="s">
        <v>32</v>
      </c>
      <c r="E115" s="17" t="s">
        <v>23</v>
      </c>
      <c r="F115" s="15" t="s">
        <v>267</v>
      </c>
      <c r="G115" t="s">
        <v>19</v>
      </c>
      <c r="H115" s="17" t="s">
        <v>20</v>
      </c>
      <c r="I115" s="17" t="s">
        <v>268</v>
      </c>
      <c r="J115" s="21" t="s">
        <v>26</v>
      </c>
      <c r="K115" s="21" t="str">
        <f t="shared" si="2"/>
        <v>A</v>
      </c>
      <c r="L115" t="s">
        <v>22</v>
      </c>
      <c r="M115">
        <f t="shared" si="3"/>
        <v>1</v>
      </c>
    </row>
    <row r="116" ht="18" customHeight="1" spans="1:13">
      <c r="A116" s="17" t="s">
        <v>255</v>
      </c>
      <c r="B116" s="15" t="s">
        <v>256</v>
      </c>
      <c r="C116" s="17" t="s">
        <v>37</v>
      </c>
      <c r="D116" s="17" t="s">
        <v>16</v>
      </c>
      <c r="E116" s="17" t="s">
        <v>17</v>
      </c>
      <c r="F116" s="15" t="s">
        <v>269</v>
      </c>
      <c r="G116" t="s">
        <v>19</v>
      </c>
      <c r="H116" s="17" t="s">
        <v>20</v>
      </c>
      <c r="I116" s="17" t="s">
        <v>270</v>
      </c>
      <c r="J116" s="21" t="s">
        <v>22</v>
      </c>
      <c r="K116" s="21" t="str">
        <f t="shared" si="2"/>
        <v>A</v>
      </c>
      <c r="L116" t="s">
        <v>22</v>
      </c>
      <c r="M116">
        <f t="shared" si="3"/>
        <v>1</v>
      </c>
    </row>
    <row r="117" ht="18" customHeight="1" spans="1:13">
      <c r="A117" s="17" t="s">
        <v>255</v>
      </c>
      <c r="B117" s="15" t="s">
        <v>256</v>
      </c>
      <c r="C117" s="17" t="s">
        <v>37</v>
      </c>
      <c r="D117" s="17" t="s">
        <v>16</v>
      </c>
      <c r="E117" s="17" t="s">
        <v>23</v>
      </c>
      <c r="F117" s="15" t="s">
        <v>271</v>
      </c>
      <c r="G117" t="s">
        <v>19</v>
      </c>
      <c r="H117" s="17" t="s">
        <v>20</v>
      </c>
      <c r="I117" s="17" t="s">
        <v>272</v>
      </c>
      <c r="J117" s="21" t="s">
        <v>26</v>
      </c>
      <c r="K117" s="21" t="str">
        <f t="shared" si="2"/>
        <v>A</v>
      </c>
      <c r="L117" t="s">
        <v>22</v>
      </c>
      <c r="M117">
        <f t="shared" si="3"/>
        <v>1</v>
      </c>
    </row>
    <row r="118" ht="18" customHeight="1" spans="1:13">
      <c r="A118" s="17" t="s">
        <v>255</v>
      </c>
      <c r="B118" s="15" t="s">
        <v>256</v>
      </c>
      <c r="C118" s="17" t="s">
        <v>37</v>
      </c>
      <c r="D118" s="17" t="s">
        <v>27</v>
      </c>
      <c r="E118" s="17" t="s">
        <v>17</v>
      </c>
      <c r="F118" s="15" t="s">
        <v>273</v>
      </c>
      <c r="G118" t="s">
        <v>19</v>
      </c>
      <c r="H118" s="17" t="s">
        <v>20</v>
      </c>
      <c r="I118" s="17" t="s">
        <v>274</v>
      </c>
      <c r="J118" s="21" t="s">
        <v>22</v>
      </c>
      <c r="K118" s="21" t="str">
        <f t="shared" si="2"/>
        <v>A</v>
      </c>
      <c r="L118" t="s">
        <v>22</v>
      </c>
      <c r="M118">
        <f t="shared" si="3"/>
        <v>1</v>
      </c>
    </row>
    <row r="119" ht="18" customHeight="1" spans="1:13">
      <c r="A119" s="17" t="s">
        <v>255</v>
      </c>
      <c r="B119" s="15" t="s">
        <v>256</v>
      </c>
      <c r="C119" s="17" t="s">
        <v>37</v>
      </c>
      <c r="D119" s="17" t="s">
        <v>27</v>
      </c>
      <c r="E119" s="17" t="s">
        <v>23</v>
      </c>
      <c r="F119" s="15" t="s">
        <v>275</v>
      </c>
      <c r="G119" t="s">
        <v>19</v>
      </c>
      <c r="H119" s="17" t="s">
        <v>20</v>
      </c>
      <c r="I119" s="17" t="s">
        <v>276</v>
      </c>
      <c r="J119" s="21" t="s">
        <v>26</v>
      </c>
      <c r="K119" s="21" t="str">
        <f t="shared" si="2"/>
        <v>A</v>
      </c>
      <c r="L119" t="s">
        <v>22</v>
      </c>
      <c r="M119">
        <f t="shared" si="3"/>
        <v>1</v>
      </c>
    </row>
    <row r="120" ht="18" customHeight="1" spans="1:13">
      <c r="A120" s="17" t="s">
        <v>255</v>
      </c>
      <c r="B120" s="15" t="s">
        <v>256</v>
      </c>
      <c r="C120" s="17" t="s">
        <v>37</v>
      </c>
      <c r="D120" s="17" t="s">
        <v>32</v>
      </c>
      <c r="E120" s="17" t="s">
        <v>17</v>
      </c>
      <c r="F120" s="15" t="s">
        <v>277</v>
      </c>
      <c r="G120" t="s">
        <v>19</v>
      </c>
      <c r="H120" s="17" t="s">
        <v>20</v>
      </c>
      <c r="I120" s="17" t="s">
        <v>278</v>
      </c>
      <c r="J120" s="21" t="s">
        <v>22</v>
      </c>
      <c r="K120" s="21" t="str">
        <f t="shared" si="2"/>
        <v>A</v>
      </c>
      <c r="L120" t="s">
        <v>22</v>
      </c>
      <c r="M120">
        <f t="shared" si="3"/>
        <v>1</v>
      </c>
    </row>
    <row r="121" ht="18" customHeight="1" spans="1:13">
      <c r="A121" s="17" t="s">
        <v>255</v>
      </c>
      <c r="B121" s="15" t="s">
        <v>256</v>
      </c>
      <c r="C121" s="17" t="s">
        <v>37</v>
      </c>
      <c r="D121" s="17" t="s">
        <v>32</v>
      </c>
      <c r="E121" s="17" t="s">
        <v>23</v>
      </c>
      <c r="F121" s="15" t="s">
        <v>279</v>
      </c>
      <c r="G121" t="s">
        <v>19</v>
      </c>
      <c r="H121" s="17" t="s">
        <v>20</v>
      </c>
      <c r="I121" s="17" t="s">
        <v>280</v>
      </c>
      <c r="J121" s="21" t="s">
        <v>26</v>
      </c>
      <c r="K121" s="21" t="str">
        <f t="shared" si="2"/>
        <v>A</v>
      </c>
      <c r="L121" t="s">
        <v>22</v>
      </c>
      <c r="M121">
        <f t="shared" si="3"/>
        <v>1</v>
      </c>
    </row>
    <row r="122" ht="18" customHeight="1" spans="1:13">
      <c r="A122" s="17" t="s">
        <v>255</v>
      </c>
      <c r="B122" s="15" t="s">
        <v>256</v>
      </c>
      <c r="C122" s="17" t="s">
        <v>50</v>
      </c>
      <c r="D122" s="17" t="s">
        <v>16</v>
      </c>
      <c r="E122" s="17" t="s">
        <v>17</v>
      </c>
      <c r="F122" s="15" t="s">
        <v>281</v>
      </c>
      <c r="G122" t="s">
        <v>19</v>
      </c>
      <c r="H122" s="17" t="s">
        <v>20</v>
      </c>
      <c r="I122" s="17" t="s">
        <v>282</v>
      </c>
      <c r="J122" s="21" t="s">
        <v>26</v>
      </c>
      <c r="K122" s="21" t="str">
        <f t="shared" si="2"/>
        <v>C</v>
      </c>
      <c r="L122" t="s">
        <v>105</v>
      </c>
      <c r="M122">
        <f t="shared" si="3"/>
        <v>1</v>
      </c>
    </row>
    <row r="123" ht="18" customHeight="1" spans="1:13">
      <c r="A123" s="17" t="s">
        <v>255</v>
      </c>
      <c r="B123" s="15" t="s">
        <v>256</v>
      </c>
      <c r="C123" s="17" t="s">
        <v>50</v>
      </c>
      <c r="D123" s="17" t="s">
        <v>16</v>
      </c>
      <c r="E123" s="17" t="s">
        <v>23</v>
      </c>
      <c r="F123" s="15" t="s">
        <v>283</v>
      </c>
      <c r="G123" t="s">
        <v>19</v>
      </c>
      <c r="H123" s="17" t="s">
        <v>20</v>
      </c>
      <c r="I123" s="17" t="s">
        <v>284</v>
      </c>
      <c r="J123" s="21" t="s">
        <v>22</v>
      </c>
      <c r="K123" s="21" t="str">
        <f t="shared" si="2"/>
        <v>C</v>
      </c>
      <c r="L123" t="s">
        <v>105</v>
      </c>
      <c r="M123">
        <f t="shared" si="3"/>
        <v>1</v>
      </c>
    </row>
    <row r="124" ht="18" customHeight="1" spans="1:13">
      <c r="A124" s="17" t="s">
        <v>255</v>
      </c>
      <c r="B124" s="15" t="s">
        <v>256</v>
      </c>
      <c r="C124" s="17" t="s">
        <v>50</v>
      </c>
      <c r="D124" s="17" t="s">
        <v>27</v>
      </c>
      <c r="E124" s="17" t="s">
        <v>17</v>
      </c>
      <c r="F124" s="15" t="s">
        <v>285</v>
      </c>
      <c r="G124" t="s">
        <v>19</v>
      </c>
      <c r="H124" s="17" t="s">
        <v>20</v>
      </c>
      <c r="I124" s="19" t="s">
        <v>286</v>
      </c>
      <c r="J124" s="22" t="s">
        <v>26</v>
      </c>
      <c r="K124" s="22" t="str">
        <f t="shared" si="2"/>
        <v>C</v>
      </c>
      <c r="L124" t="s">
        <v>105</v>
      </c>
      <c r="M124">
        <f t="shared" si="3"/>
        <v>1</v>
      </c>
    </row>
    <row r="125" ht="18" customHeight="1" spans="1:13">
      <c r="A125" s="17" t="s">
        <v>255</v>
      </c>
      <c r="B125" s="15" t="s">
        <v>256</v>
      </c>
      <c r="C125" s="17" t="s">
        <v>50</v>
      </c>
      <c r="D125" s="17" t="s">
        <v>27</v>
      </c>
      <c r="E125" s="17" t="s">
        <v>23</v>
      </c>
      <c r="F125" s="15" t="s">
        <v>287</v>
      </c>
      <c r="G125" t="s">
        <v>19</v>
      </c>
      <c r="H125" s="17" t="s">
        <v>20</v>
      </c>
      <c r="I125" s="17" t="s">
        <v>288</v>
      </c>
      <c r="J125" s="21" t="s">
        <v>22</v>
      </c>
      <c r="K125" s="21" t="str">
        <f t="shared" si="2"/>
        <v>C</v>
      </c>
      <c r="L125" t="s">
        <v>105</v>
      </c>
      <c r="M125">
        <f t="shared" si="3"/>
        <v>1</v>
      </c>
    </row>
    <row r="126" ht="18" customHeight="1" spans="1:13">
      <c r="A126" s="17" t="s">
        <v>255</v>
      </c>
      <c r="B126" s="15" t="s">
        <v>256</v>
      </c>
      <c r="C126" s="17" t="s">
        <v>50</v>
      </c>
      <c r="D126" s="17" t="s">
        <v>32</v>
      </c>
      <c r="E126" s="17" t="s">
        <v>17</v>
      </c>
      <c r="F126" s="15" t="s">
        <v>289</v>
      </c>
      <c r="G126" t="s">
        <v>19</v>
      </c>
      <c r="H126" s="17" t="s">
        <v>20</v>
      </c>
      <c r="I126" s="17" t="s">
        <v>290</v>
      </c>
      <c r="J126" s="21" t="s">
        <v>26</v>
      </c>
      <c r="K126" s="21" t="str">
        <f t="shared" si="2"/>
        <v>C</v>
      </c>
      <c r="L126" t="s">
        <v>105</v>
      </c>
      <c r="M126">
        <f t="shared" si="3"/>
        <v>1</v>
      </c>
    </row>
    <row r="127" ht="18" customHeight="1" spans="1:13">
      <c r="A127" s="17" t="s">
        <v>255</v>
      </c>
      <c r="B127" s="15" t="s">
        <v>256</v>
      </c>
      <c r="C127" s="17" t="s">
        <v>50</v>
      </c>
      <c r="D127" s="17" t="s">
        <v>32</v>
      </c>
      <c r="E127" s="17" t="s">
        <v>23</v>
      </c>
      <c r="F127" s="15" t="s">
        <v>291</v>
      </c>
      <c r="G127" t="s">
        <v>19</v>
      </c>
      <c r="H127" s="17" t="s">
        <v>20</v>
      </c>
      <c r="I127" s="17" t="s">
        <v>292</v>
      </c>
      <c r="J127" s="21" t="s">
        <v>22</v>
      </c>
      <c r="K127" s="21" t="str">
        <f t="shared" si="2"/>
        <v>C</v>
      </c>
      <c r="L127" t="s">
        <v>105</v>
      </c>
      <c r="M127">
        <f t="shared" si="3"/>
        <v>1</v>
      </c>
    </row>
    <row r="128" ht="18" customHeight="1" spans="1:13">
      <c r="A128" t="s">
        <v>293</v>
      </c>
      <c r="B128" s="15" t="s">
        <v>294</v>
      </c>
      <c r="C128" t="s">
        <v>15</v>
      </c>
      <c r="D128" t="s">
        <v>16</v>
      </c>
      <c r="E128" s="11" t="s">
        <v>17</v>
      </c>
      <c r="F128" s="16" t="s">
        <v>295</v>
      </c>
      <c r="G128" t="s">
        <v>19</v>
      </c>
      <c r="H128" t="s">
        <v>20</v>
      </c>
      <c r="I128" s="19" t="s">
        <v>296</v>
      </c>
      <c r="J128" s="19" t="s">
        <v>26</v>
      </c>
      <c r="K128" s="19" t="str">
        <f t="shared" si="2"/>
        <v>B</v>
      </c>
      <c r="L128" t="s">
        <v>22</v>
      </c>
      <c r="M128">
        <f t="shared" si="3"/>
        <v>0</v>
      </c>
    </row>
    <row r="129" ht="18" customHeight="1" spans="1:13">
      <c r="A129" t="s">
        <v>293</v>
      </c>
      <c r="B129" s="15" t="s">
        <v>294</v>
      </c>
      <c r="C129" t="s">
        <v>15</v>
      </c>
      <c r="D129" t="s">
        <v>16</v>
      </c>
      <c r="E129" s="11" t="s">
        <v>23</v>
      </c>
      <c r="F129" s="15" t="s">
        <v>297</v>
      </c>
      <c r="G129" t="s">
        <v>19</v>
      </c>
      <c r="H129" t="s">
        <v>20</v>
      </c>
      <c r="I129" s="19" t="s">
        <v>298</v>
      </c>
      <c r="J129" s="19" t="s">
        <v>22</v>
      </c>
      <c r="K129" s="19" t="str">
        <f t="shared" si="2"/>
        <v>B</v>
      </c>
      <c r="L129" t="s">
        <v>22</v>
      </c>
      <c r="M129">
        <f t="shared" si="3"/>
        <v>0</v>
      </c>
    </row>
    <row r="130" ht="18" customHeight="1" spans="1:13">
      <c r="A130" t="s">
        <v>293</v>
      </c>
      <c r="B130" s="15" t="s">
        <v>294</v>
      </c>
      <c r="C130" t="s">
        <v>15</v>
      </c>
      <c r="D130" t="s">
        <v>27</v>
      </c>
      <c r="E130" s="11" t="s">
        <v>17</v>
      </c>
      <c r="F130" s="16" t="s">
        <v>299</v>
      </c>
      <c r="G130" t="s">
        <v>19</v>
      </c>
      <c r="H130" t="s">
        <v>20</v>
      </c>
      <c r="I130" s="19" t="s">
        <v>300</v>
      </c>
      <c r="J130" s="19" t="s">
        <v>26</v>
      </c>
      <c r="K130" s="19" t="str">
        <f t="shared" ref="K130:K133" si="4">IF(OR(J130="",C130="",E130=""),"",IF(J130="C","D(平局)",IF(J130=IF(E130="l2r","A","B"),LEFT(C130,1),RIGHT(C130,1))))</f>
        <v>B</v>
      </c>
      <c r="L130" t="s">
        <v>22</v>
      </c>
      <c r="M130">
        <f t="shared" ref="M130:M193" si="5">IF(OR(K130="",L130=""),"",--(K130=L130))</f>
        <v>0</v>
      </c>
    </row>
    <row r="131" ht="18" customHeight="1" spans="1:13">
      <c r="A131" t="s">
        <v>293</v>
      </c>
      <c r="B131" s="15" t="s">
        <v>294</v>
      </c>
      <c r="C131" t="s">
        <v>15</v>
      </c>
      <c r="D131" t="s">
        <v>27</v>
      </c>
      <c r="E131" s="11" t="s">
        <v>23</v>
      </c>
      <c r="F131" s="15" t="s">
        <v>301</v>
      </c>
      <c r="G131" t="s">
        <v>19</v>
      </c>
      <c r="H131" t="s">
        <v>20</v>
      </c>
      <c r="I131" s="19" t="s">
        <v>302</v>
      </c>
      <c r="J131" s="19" t="s">
        <v>105</v>
      </c>
      <c r="K131" s="19" t="str">
        <f t="shared" si="4"/>
        <v>D(平局)</v>
      </c>
      <c r="L131" t="s">
        <v>22</v>
      </c>
      <c r="M131">
        <f t="shared" si="5"/>
        <v>0</v>
      </c>
    </row>
    <row r="132" ht="18" customHeight="1" spans="1:13">
      <c r="A132" t="s">
        <v>293</v>
      </c>
      <c r="B132" s="15" t="s">
        <v>294</v>
      </c>
      <c r="C132" t="s">
        <v>15</v>
      </c>
      <c r="D132" t="s">
        <v>32</v>
      </c>
      <c r="E132" s="11" t="s">
        <v>17</v>
      </c>
      <c r="F132" s="15" t="s">
        <v>303</v>
      </c>
      <c r="G132" t="s">
        <v>19</v>
      </c>
      <c r="H132" t="s">
        <v>20</v>
      </c>
      <c r="I132" s="19" t="s">
        <v>304</v>
      </c>
      <c r="J132" s="19" t="s">
        <v>26</v>
      </c>
      <c r="K132" s="19" t="str">
        <f t="shared" si="4"/>
        <v>B</v>
      </c>
      <c r="L132" t="s">
        <v>22</v>
      </c>
      <c r="M132">
        <f t="shared" si="5"/>
        <v>0</v>
      </c>
    </row>
    <row r="133" ht="18" customHeight="1" spans="1:13">
      <c r="A133" t="s">
        <v>293</v>
      </c>
      <c r="B133" s="15" t="s">
        <v>294</v>
      </c>
      <c r="C133" t="s">
        <v>15</v>
      </c>
      <c r="D133" t="s">
        <v>32</v>
      </c>
      <c r="E133" s="11" t="s">
        <v>23</v>
      </c>
      <c r="F133" s="15" t="s">
        <v>305</v>
      </c>
      <c r="G133" t="s">
        <v>19</v>
      </c>
      <c r="H133" t="s">
        <v>20</v>
      </c>
      <c r="I133" s="19" t="s">
        <v>306</v>
      </c>
      <c r="J133" s="19" t="s">
        <v>26</v>
      </c>
      <c r="K133" s="19" t="str">
        <f t="shared" si="4"/>
        <v>A</v>
      </c>
      <c r="L133" t="s">
        <v>22</v>
      </c>
      <c r="M133">
        <f t="shared" si="5"/>
        <v>1</v>
      </c>
    </row>
    <row r="134" ht="18" customHeight="1" spans="1:13">
      <c r="A134" t="s">
        <v>293</v>
      </c>
      <c r="B134" s="15" t="s">
        <v>294</v>
      </c>
      <c r="C134" t="s">
        <v>37</v>
      </c>
      <c r="D134" t="s">
        <v>16</v>
      </c>
      <c r="E134" s="11" t="s">
        <v>17</v>
      </c>
      <c r="F134" s="15" t="s">
        <v>307</v>
      </c>
      <c r="G134" t="s">
        <v>19</v>
      </c>
      <c r="H134" t="s">
        <v>20</v>
      </c>
      <c r="I134" t="s">
        <v>308</v>
      </c>
      <c r="J134" t="s">
        <v>22</v>
      </c>
      <c r="K134" t="str">
        <f t="shared" ref="K134:K193" si="6">IF(OR(J134="",C134="",E134=""),"",IF(J134="C","D(平局)",IF(J134=IF(E134="l2r","A","B"),LEFT(C134,1),RIGHT(C134,1))))</f>
        <v>A</v>
      </c>
      <c r="L134" t="s">
        <v>22</v>
      </c>
      <c r="M134">
        <f t="shared" si="5"/>
        <v>1</v>
      </c>
    </row>
    <row r="135" ht="18" customHeight="1" spans="1:13">
      <c r="A135" t="s">
        <v>293</v>
      </c>
      <c r="B135" s="15" t="s">
        <v>294</v>
      </c>
      <c r="C135" t="s">
        <v>37</v>
      </c>
      <c r="D135" t="s">
        <v>16</v>
      </c>
      <c r="E135" s="11" t="s">
        <v>23</v>
      </c>
      <c r="F135" s="15" t="s">
        <v>309</v>
      </c>
      <c r="G135" t="s">
        <v>19</v>
      </c>
      <c r="H135" t="s">
        <v>20</v>
      </c>
      <c r="I135" t="s">
        <v>310</v>
      </c>
      <c r="J135" t="s">
        <v>26</v>
      </c>
      <c r="K135" t="str">
        <f t="shared" si="6"/>
        <v>A</v>
      </c>
      <c r="L135" t="s">
        <v>22</v>
      </c>
      <c r="M135">
        <f t="shared" si="5"/>
        <v>1</v>
      </c>
    </row>
    <row r="136" ht="18" customHeight="1" spans="1:13">
      <c r="A136" t="s">
        <v>293</v>
      </c>
      <c r="B136" s="15" t="s">
        <v>294</v>
      </c>
      <c r="C136" t="s">
        <v>37</v>
      </c>
      <c r="D136" t="s">
        <v>27</v>
      </c>
      <c r="E136" s="11" t="s">
        <v>17</v>
      </c>
      <c r="F136" s="15" t="s">
        <v>311</v>
      </c>
      <c r="G136" t="s">
        <v>19</v>
      </c>
      <c r="H136" t="s">
        <v>20</v>
      </c>
      <c r="I136" t="s">
        <v>312</v>
      </c>
      <c r="J136" t="s">
        <v>22</v>
      </c>
      <c r="K136" t="str">
        <f t="shared" si="6"/>
        <v>A</v>
      </c>
      <c r="L136" t="s">
        <v>22</v>
      </c>
      <c r="M136">
        <f t="shared" si="5"/>
        <v>1</v>
      </c>
    </row>
    <row r="137" ht="18" customHeight="1" spans="1:13">
      <c r="A137" t="s">
        <v>293</v>
      </c>
      <c r="B137" s="15" t="s">
        <v>294</v>
      </c>
      <c r="C137" t="s">
        <v>37</v>
      </c>
      <c r="D137" t="s">
        <v>27</v>
      </c>
      <c r="E137" s="11" t="s">
        <v>23</v>
      </c>
      <c r="F137" s="15" t="s">
        <v>313</v>
      </c>
      <c r="G137" t="s">
        <v>19</v>
      </c>
      <c r="H137" t="s">
        <v>20</v>
      </c>
      <c r="I137" t="s">
        <v>314</v>
      </c>
      <c r="J137" t="s">
        <v>26</v>
      </c>
      <c r="K137" t="str">
        <f t="shared" si="6"/>
        <v>A</v>
      </c>
      <c r="L137" t="s">
        <v>22</v>
      </c>
      <c r="M137">
        <f t="shared" si="5"/>
        <v>1</v>
      </c>
    </row>
    <row r="138" ht="18" customHeight="1" spans="1:13">
      <c r="A138" t="s">
        <v>293</v>
      </c>
      <c r="B138" s="15" t="s">
        <v>294</v>
      </c>
      <c r="C138" t="s">
        <v>37</v>
      </c>
      <c r="D138" t="s">
        <v>32</v>
      </c>
      <c r="E138" s="11" t="s">
        <v>17</v>
      </c>
      <c r="F138" s="15" t="s">
        <v>315</v>
      </c>
      <c r="G138" t="s">
        <v>19</v>
      </c>
      <c r="H138" t="s">
        <v>20</v>
      </c>
      <c r="I138" t="s">
        <v>316</v>
      </c>
      <c r="J138" t="s">
        <v>22</v>
      </c>
      <c r="K138" t="str">
        <f t="shared" si="6"/>
        <v>A</v>
      </c>
      <c r="L138" t="s">
        <v>22</v>
      </c>
      <c r="M138">
        <f t="shared" si="5"/>
        <v>1</v>
      </c>
    </row>
    <row r="139" ht="18" customHeight="1" spans="1:13">
      <c r="A139" t="s">
        <v>293</v>
      </c>
      <c r="B139" s="15" t="s">
        <v>294</v>
      </c>
      <c r="C139" t="s">
        <v>37</v>
      </c>
      <c r="D139" t="s">
        <v>32</v>
      </c>
      <c r="E139" s="11" t="s">
        <v>23</v>
      </c>
      <c r="F139" s="15" t="s">
        <v>317</v>
      </c>
      <c r="G139" t="s">
        <v>19</v>
      </c>
      <c r="H139" t="s">
        <v>20</v>
      </c>
      <c r="I139" t="s">
        <v>318</v>
      </c>
      <c r="J139" t="s">
        <v>26</v>
      </c>
      <c r="K139" t="str">
        <f t="shared" si="6"/>
        <v>A</v>
      </c>
      <c r="L139" t="s">
        <v>22</v>
      </c>
      <c r="M139">
        <f t="shared" si="5"/>
        <v>1</v>
      </c>
    </row>
    <row r="140" ht="18" customHeight="1" spans="1:13">
      <c r="A140" t="s">
        <v>293</v>
      </c>
      <c r="B140" s="15" t="s">
        <v>294</v>
      </c>
      <c r="C140" t="s">
        <v>50</v>
      </c>
      <c r="D140" t="s">
        <v>16</v>
      </c>
      <c r="E140" s="11" t="s">
        <v>17</v>
      </c>
      <c r="F140" s="15" t="s">
        <v>319</v>
      </c>
      <c r="G140" t="s">
        <v>19</v>
      </c>
      <c r="H140" t="s">
        <v>20</v>
      </c>
      <c r="I140" t="s">
        <v>320</v>
      </c>
      <c r="J140" t="s">
        <v>22</v>
      </c>
      <c r="K140" t="str">
        <f t="shared" si="6"/>
        <v>B</v>
      </c>
      <c r="L140" t="s">
        <v>26</v>
      </c>
      <c r="M140">
        <f t="shared" si="5"/>
        <v>1</v>
      </c>
    </row>
    <row r="141" ht="18" customHeight="1" spans="1:13">
      <c r="A141" t="s">
        <v>293</v>
      </c>
      <c r="B141" s="15" t="s">
        <v>294</v>
      </c>
      <c r="C141" t="s">
        <v>50</v>
      </c>
      <c r="D141" t="s">
        <v>16</v>
      </c>
      <c r="E141" s="11" t="s">
        <v>23</v>
      </c>
      <c r="F141" s="15" t="s">
        <v>321</v>
      </c>
      <c r="G141" t="s">
        <v>19</v>
      </c>
      <c r="H141" t="s">
        <v>20</v>
      </c>
      <c r="I141" t="s">
        <v>322</v>
      </c>
      <c r="J141" t="s">
        <v>26</v>
      </c>
      <c r="K141" t="str">
        <f t="shared" si="6"/>
        <v>B</v>
      </c>
      <c r="L141" t="s">
        <v>26</v>
      </c>
      <c r="M141">
        <f t="shared" si="5"/>
        <v>1</v>
      </c>
    </row>
    <row r="142" ht="18" customHeight="1" spans="1:13">
      <c r="A142" t="s">
        <v>293</v>
      </c>
      <c r="B142" s="15" t="s">
        <v>294</v>
      </c>
      <c r="C142" t="s">
        <v>50</v>
      </c>
      <c r="D142" t="s">
        <v>27</v>
      </c>
      <c r="E142" s="11" t="s">
        <v>17</v>
      </c>
      <c r="F142" s="15" t="s">
        <v>323</v>
      </c>
      <c r="G142" t="s">
        <v>19</v>
      </c>
      <c r="H142" t="s">
        <v>20</v>
      </c>
      <c r="I142" t="s">
        <v>324</v>
      </c>
      <c r="J142" t="s">
        <v>22</v>
      </c>
      <c r="K142" t="str">
        <f t="shared" si="6"/>
        <v>B</v>
      </c>
      <c r="L142" t="s">
        <v>26</v>
      </c>
      <c r="M142">
        <f t="shared" si="5"/>
        <v>1</v>
      </c>
    </row>
    <row r="143" ht="18" customHeight="1" spans="1:13">
      <c r="A143" t="s">
        <v>293</v>
      </c>
      <c r="B143" s="15" t="s">
        <v>294</v>
      </c>
      <c r="C143" t="s">
        <v>50</v>
      </c>
      <c r="D143" t="s">
        <v>27</v>
      </c>
      <c r="E143" s="11" t="s">
        <v>23</v>
      </c>
      <c r="F143" s="15" t="s">
        <v>325</v>
      </c>
      <c r="G143" t="s">
        <v>19</v>
      </c>
      <c r="H143" t="s">
        <v>20</v>
      </c>
      <c r="I143" t="s">
        <v>326</v>
      </c>
      <c r="J143" t="s">
        <v>26</v>
      </c>
      <c r="K143" t="str">
        <f t="shared" si="6"/>
        <v>B</v>
      </c>
      <c r="L143" t="s">
        <v>26</v>
      </c>
      <c r="M143">
        <f t="shared" si="5"/>
        <v>1</v>
      </c>
    </row>
    <row r="144" ht="18" customHeight="1" spans="1:13">
      <c r="A144" t="s">
        <v>293</v>
      </c>
      <c r="B144" s="15" t="s">
        <v>294</v>
      </c>
      <c r="C144" t="s">
        <v>50</v>
      </c>
      <c r="D144" t="s">
        <v>32</v>
      </c>
      <c r="E144" s="11" t="s">
        <v>17</v>
      </c>
      <c r="F144" s="15" t="s">
        <v>327</v>
      </c>
      <c r="G144" t="s">
        <v>19</v>
      </c>
      <c r="H144" t="s">
        <v>20</v>
      </c>
      <c r="I144" t="s">
        <v>328</v>
      </c>
      <c r="J144" t="s">
        <v>22</v>
      </c>
      <c r="K144" t="str">
        <f t="shared" si="6"/>
        <v>B</v>
      </c>
      <c r="L144" t="s">
        <v>26</v>
      </c>
      <c r="M144">
        <f t="shared" si="5"/>
        <v>1</v>
      </c>
    </row>
    <row r="145" ht="18" customHeight="1" spans="1:13">
      <c r="A145" t="s">
        <v>293</v>
      </c>
      <c r="B145" s="15" t="s">
        <v>294</v>
      </c>
      <c r="C145" t="s">
        <v>50</v>
      </c>
      <c r="D145" t="s">
        <v>32</v>
      </c>
      <c r="E145" s="11" t="s">
        <v>23</v>
      </c>
      <c r="F145" s="15" t="s">
        <v>329</v>
      </c>
      <c r="G145" t="s">
        <v>19</v>
      </c>
      <c r="H145" t="s">
        <v>20</v>
      </c>
      <c r="I145" t="s">
        <v>330</v>
      </c>
      <c r="J145" t="s">
        <v>26</v>
      </c>
      <c r="K145" t="str">
        <f t="shared" si="6"/>
        <v>B</v>
      </c>
      <c r="L145" t="s">
        <v>26</v>
      </c>
      <c r="M145">
        <f t="shared" si="5"/>
        <v>1</v>
      </c>
    </row>
    <row r="146" ht="18" customHeight="1" spans="1:13">
      <c r="A146" t="s">
        <v>331</v>
      </c>
      <c r="B146" s="15" t="s">
        <v>332</v>
      </c>
      <c r="C146" t="s">
        <v>15</v>
      </c>
      <c r="D146" t="s">
        <v>16</v>
      </c>
      <c r="E146" s="11" t="s">
        <v>17</v>
      </c>
      <c r="F146" s="16" t="s">
        <v>333</v>
      </c>
      <c r="G146" t="s">
        <v>19</v>
      </c>
      <c r="H146" t="s">
        <v>20</v>
      </c>
      <c r="I146" s="19" t="s">
        <v>334</v>
      </c>
      <c r="J146" s="19" t="s">
        <v>26</v>
      </c>
      <c r="K146" s="19" t="str">
        <f t="shared" si="6"/>
        <v>B</v>
      </c>
      <c r="L146" t="s">
        <v>106</v>
      </c>
      <c r="M146">
        <f t="shared" si="5"/>
        <v>0</v>
      </c>
    </row>
    <row r="147" ht="18" customHeight="1" spans="1:13">
      <c r="A147" t="s">
        <v>331</v>
      </c>
      <c r="B147" s="15" t="s">
        <v>332</v>
      </c>
      <c r="C147" t="s">
        <v>15</v>
      </c>
      <c r="D147" t="s">
        <v>16</v>
      </c>
      <c r="E147" s="11" t="s">
        <v>23</v>
      </c>
      <c r="F147" s="15" t="s">
        <v>335</v>
      </c>
      <c r="G147" t="s">
        <v>19</v>
      </c>
      <c r="H147" t="s">
        <v>20</v>
      </c>
      <c r="I147" s="19" t="s">
        <v>336</v>
      </c>
      <c r="J147" s="19" t="s">
        <v>22</v>
      </c>
      <c r="K147" s="19" t="str">
        <f t="shared" si="6"/>
        <v>B</v>
      </c>
      <c r="L147" t="s">
        <v>106</v>
      </c>
      <c r="M147">
        <f t="shared" si="5"/>
        <v>0</v>
      </c>
    </row>
    <row r="148" ht="18" customHeight="1" spans="1:13">
      <c r="A148" t="s">
        <v>331</v>
      </c>
      <c r="B148" s="15" t="s">
        <v>332</v>
      </c>
      <c r="C148" t="s">
        <v>15</v>
      </c>
      <c r="D148" t="s">
        <v>27</v>
      </c>
      <c r="E148" s="11" t="s">
        <v>17</v>
      </c>
      <c r="F148" s="16" t="s">
        <v>337</v>
      </c>
      <c r="G148" t="s">
        <v>19</v>
      </c>
      <c r="H148" t="s">
        <v>20</v>
      </c>
      <c r="I148" s="19" t="s">
        <v>338</v>
      </c>
      <c r="J148" s="19" t="s">
        <v>26</v>
      </c>
      <c r="K148" s="19" t="str">
        <f t="shared" si="6"/>
        <v>B</v>
      </c>
      <c r="L148" t="s">
        <v>106</v>
      </c>
      <c r="M148">
        <f t="shared" si="5"/>
        <v>0</v>
      </c>
    </row>
    <row r="149" ht="18" customHeight="1" spans="1:13">
      <c r="A149" t="s">
        <v>331</v>
      </c>
      <c r="B149" s="15" t="s">
        <v>332</v>
      </c>
      <c r="C149" t="s">
        <v>15</v>
      </c>
      <c r="D149" t="s">
        <v>27</v>
      </c>
      <c r="E149" s="11" t="s">
        <v>23</v>
      </c>
      <c r="F149" s="15" t="s">
        <v>339</v>
      </c>
      <c r="G149" t="s">
        <v>19</v>
      </c>
      <c r="H149" t="s">
        <v>20</v>
      </c>
      <c r="I149" s="19" t="s">
        <v>340</v>
      </c>
      <c r="J149" s="19" t="s">
        <v>22</v>
      </c>
      <c r="K149" s="19" t="str">
        <f t="shared" si="6"/>
        <v>B</v>
      </c>
      <c r="L149" t="s">
        <v>106</v>
      </c>
      <c r="M149">
        <f t="shared" si="5"/>
        <v>0</v>
      </c>
    </row>
    <row r="150" ht="18" customHeight="1" spans="1:13">
      <c r="A150" t="s">
        <v>331</v>
      </c>
      <c r="B150" s="15" t="s">
        <v>332</v>
      </c>
      <c r="C150" t="s">
        <v>15</v>
      </c>
      <c r="D150" t="s">
        <v>32</v>
      </c>
      <c r="E150" s="11" t="s">
        <v>17</v>
      </c>
      <c r="F150" s="15" t="s">
        <v>341</v>
      </c>
      <c r="G150" t="s">
        <v>19</v>
      </c>
      <c r="H150" t="s">
        <v>20</v>
      </c>
      <c r="I150" s="19" t="s">
        <v>342</v>
      </c>
      <c r="J150" s="19" t="s">
        <v>26</v>
      </c>
      <c r="K150" s="19" t="str">
        <f t="shared" si="6"/>
        <v>B</v>
      </c>
      <c r="L150" t="s">
        <v>106</v>
      </c>
      <c r="M150">
        <f t="shared" si="5"/>
        <v>0</v>
      </c>
    </row>
    <row r="151" ht="18" customHeight="1" spans="1:13">
      <c r="A151" t="s">
        <v>331</v>
      </c>
      <c r="B151" s="15" t="s">
        <v>332</v>
      </c>
      <c r="C151" t="s">
        <v>15</v>
      </c>
      <c r="D151" t="s">
        <v>32</v>
      </c>
      <c r="E151" s="11" t="s">
        <v>23</v>
      </c>
      <c r="F151" s="15" t="s">
        <v>343</v>
      </c>
      <c r="G151" t="s">
        <v>19</v>
      </c>
      <c r="H151" t="s">
        <v>20</v>
      </c>
      <c r="I151" s="19" t="s">
        <v>344</v>
      </c>
      <c r="J151" s="19" t="s">
        <v>22</v>
      </c>
      <c r="K151" s="19" t="str">
        <f t="shared" si="6"/>
        <v>B</v>
      </c>
      <c r="L151" t="s">
        <v>106</v>
      </c>
      <c r="M151">
        <f t="shared" si="5"/>
        <v>0</v>
      </c>
    </row>
    <row r="152" ht="18" customHeight="1" spans="1:13">
      <c r="A152" t="s">
        <v>331</v>
      </c>
      <c r="B152" s="15" t="s">
        <v>332</v>
      </c>
      <c r="C152" t="s">
        <v>37</v>
      </c>
      <c r="D152" t="s">
        <v>16</v>
      </c>
      <c r="E152" s="11" t="s">
        <v>17</v>
      </c>
      <c r="F152" s="15" t="s">
        <v>345</v>
      </c>
      <c r="G152" t="s">
        <v>19</v>
      </c>
      <c r="H152" t="s">
        <v>20</v>
      </c>
      <c r="I152" t="s">
        <v>346</v>
      </c>
      <c r="J152" t="s">
        <v>22</v>
      </c>
      <c r="K152" t="str">
        <f t="shared" si="6"/>
        <v>A</v>
      </c>
      <c r="L152" t="s">
        <v>22</v>
      </c>
      <c r="M152">
        <f t="shared" si="5"/>
        <v>1</v>
      </c>
    </row>
    <row r="153" ht="18" customHeight="1" spans="1:13">
      <c r="A153" t="s">
        <v>331</v>
      </c>
      <c r="B153" s="15" t="s">
        <v>332</v>
      </c>
      <c r="C153" t="s">
        <v>37</v>
      </c>
      <c r="D153" t="s">
        <v>16</v>
      </c>
      <c r="E153" s="11" t="s">
        <v>23</v>
      </c>
      <c r="F153" s="15" t="s">
        <v>347</v>
      </c>
      <c r="G153" t="s">
        <v>19</v>
      </c>
      <c r="H153" t="s">
        <v>20</v>
      </c>
      <c r="I153" t="s">
        <v>348</v>
      </c>
      <c r="J153" t="s">
        <v>26</v>
      </c>
      <c r="K153" t="str">
        <f t="shared" si="6"/>
        <v>A</v>
      </c>
      <c r="L153" t="s">
        <v>22</v>
      </c>
      <c r="M153">
        <f t="shared" si="5"/>
        <v>1</v>
      </c>
    </row>
    <row r="154" ht="18" customHeight="1" spans="1:13">
      <c r="A154" t="s">
        <v>331</v>
      </c>
      <c r="B154" s="15" t="s">
        <v>332</v>
      </c>
      <c r="C154" t="s">
        <v>37</v>
      </c>
      <c r="D154" t="s">
        <v>27</v>
      </c>
      <c r="E154" s="11" t="s">
        <v>17</v>
      </c>
      <c r="F154" s="15" t="s">
        <v>349</v>
      </c>
      <c r="G154" t="s">
        <v>19</v>
      </c>
      <c r="H154" t="s">
        <v>20</v>
      </c>
      <c r="I154" t="s">
        <v>350</v>
      </c>
      <c r="J154" t="s">
        <v>22</v>
      </c>
      <c r="K154" t="str">
        <f t="shared" si="6"/>
        <v>A</v>
      </c>
      <c r="L154" t="s">
        <v>22</v>
      </c>
      <c r="M154">
        <f t="shared" si="5"/>
        <v>1</v>
      </c>
    </row>
    <row r="155" ht="18" customHeight="1" spans="1:13">
      <c r="A155" t="s">
        <v>331</v>
      </c>
      <c r="B155" s="15" t="s">
        <v>332</v>
      </c>
      <c r="C155" t="s">
        <v>37</v>
      </c>
      <c r="D155" t="s">
        <v>27</v>
      </c>
      <c r="E155" s="11" t="s">
        <v>23</v>
      </c>
      <c r="F155" s="15" t="s">
        <v>351</v>
      </c>
      <c r="G155" t="s">
        <v>19</v>
      </c>
      <c r="H155" t="s">
        <v>20</v>
      </c>
      <c r="I155" t="s">
        <v>352</v>
      </c>
      <c r="J155" t="s">
        <v>26</v>
      </c>
      <c r="K155" t="str">
        <f t="shared" si="6"/>
        <v>A</v>
      </c>
      <c r="L155" t="s">
        <v>22</v>
      </c>
      <c r="M155">
        <f t="shared" si="5"/>
        <v>1</v>
      </c>
    </row>
    <row r="156" ht="18" customHeight="1" spans="1:13">
      <c r="A156" t="s">
        <v>331</v>
      </c>
      <c r="B156" s="15" t="s">
        <v>332</v>
      </c>
      <c r="C156" t="s">
        <v>37</v>
      </c>
      <c r="D156" t="s">
        <v>32</v>
      </c>
      <c r="E156" s="11" t="s">
        <v>17</v>
      </c>
      <c r="F156" s="15" t="s">
        <v>353</v>
      </c>
      <c r="G156" t="s">
        <v>19</v>
      </c>
      <c r="H156" t="s">
        <v>20</v>
      </c>
      <c r="I156" t="s">
        <v>354</v>
      </c>
      <c r="J156" t="s">
        <v>22</v>
      </c>
      <c r="K156" t="str">
        <f t="shared" si="6"/>
        <v>A</v>
      </c>
      <c r="L156" t="s">
        <v>22</v>
      </c>
      <c r="M156">
        <f t="shared" si="5"/>
        <v>1</v>
      </c>
    </row>
    <row r="157" ht="18" customHeight="1" spans="1:13">
      <c r="A157" t="s">
        <v>331</v>
      </c>
      <c r="B157" s="15" t="s">
        <v>332</v>
      </c>
      <c r="C157" t="s">
        <v>37</v>
      </c>
      <c r="D157" t="s">
        <v>32</v>
      </c>
      <c r="E157" s="11" t="s">
        <v>23</v>
      </c>
      <c r="F157" s="16" t="s">
        <v>355</v>
      </c>
      <c r="G157" t="s">
        <v>19</v>
      </c>
      <c r="H157" t="s">
        <v>20</v>
      </c>
      <c r="I157" s="18" t="s">
        <v>356</v>
      </c>
      <c r="J157" t="s">
        <v>26</v>
      </c>
      <c r="K157" t="str">
        <f t="shared" si="6"/>
        <v>A</v>
      </c>
      <c r="L157" t="s">
        <v>22</v>
      </c>
      <c r="M157">
        <f t="shared" si="5"/>
        <v>1</v>
      </c>
    </row>
    <row r="158" ht="18" customHeight="1" spans="1:13">
      <c r="A158" t="s">
        <v>331</v>
      </c>
      <c r="B158" s="15" t="s">
        <v>332</v>
      </c>
      <c r="C158" t="s">
        <v>50</v>
      </c>
      <c r="D158" t="s">
        <v>16</v>
      </c>
      <c r="E158" s="11" t="s">
        <v>17</v>
      </c>
      <c r="F158" s="15" t="s">
        <v>357</v>
      </c>
      <c r="G158" t="s">
        <v>19</v>
      </c>
      <c r="H158" t="s">
        <v>20</v>
      </c>
      <c r="I158" t="s">
        <v>358</v>
      </c>
      <c r="J158" t="s">
        <v>22</v>
      </c>
      <c r="K158" t="str">
        <f t="shared" si="6"/>
        <v>B</v>
      </c>
      <c r="L158" t="s">
        <v>26</v>
      </c>
      <c r="M158">
        <f t="shared" si="5"/>
        <v>1</v>
      </c>
    </row>
    <row r="159" ht="18" customHeight="1" spans="1:13">
      <c r="A159" t="s">
        <v>331</v>
      </c>
      <c r="B159" s="15" t="s">
        <v>332</v>
      </c>
      <c r="C159" t="s">
        <v>50</v>
      </c>
      <c r="D159" t="s">
        <v>16</v>
      </c>
      <c r="E159" s="11" t="s">
        <v>23</v>
      </c>
      <c r="F159" s="15" t="s">
        <v>359</v>
      </c>
      <c r="G159" t="s">
        <v>19</v>
      </c>
      <c r="H159" t="s">
        <v>20</v>
      </c>
      <c r="I159" t="s">
        <v>360</v>
      </c>
      <c r="J159" t="s">
        <v>26</v>
      </c>
      <c r="K159" t="str">
        <f t="shared" si="6"/>
        <v>B</v>
      </c>
      <c r="L159" t="s">
        <v>26</v>
      </c>
      <c r="M159">
        <f t="shared" si="5"/>
        <v>1</v>
      </c>
    </row>
    <row r="160" ht="18" customHeight="1" spans="1:13">
      <c r="A160" t="s">
        <v>331</v>
      </c>
      <c r="B160" s="15" t="s">
        <v>332</v>
      </c>
      <c r="C160" t="s">
        <v>50</v>
      </c>
      <c r="D160" t="s">
        <v>27</v>
      </c>
      <c r="E160" s="11" t="s">
        <v>17</v>
      </c>
      <c r="F160" s="15" t="s">
        <v>361</v>
      </c>
      <c r="G160" t="s">
        <v>19</v>
      </c>
      <c r="H160" t="s">
        <v>20</v>
      </c>
      <c r="I160" t="s">
        <v>362</v>
      </c>
      <c r="J160" t="s">
        <v>22</v>
      </c>
      <c r="K160" t="str">
        <f t="shared" si="6"/>
        <v>B</v>
      </c>
      <c r="L160" t="s">
        <v>26</v>
      </c>
      <c r="M160">
        <f t="shared" si="5"/>
        <v>1</v>
      </c>
    </row>
    <row r="161" ht="18" customHeight="1" spans="1:13">
      <c r="A161" t="s">
        <v>331</v>
      </c>
      <c r="B161" s="15" t="s">
        <v>332</v>
      </c>
      <c r="C161" t="s">
        <v>50</v>
      </c>
      <c r="D161" t="s">
        <v>27</v>
      </c>
      <c r="E161" s="11" t="s">
        <v>23</v>
      </c>
      <c r="F161" s="15" t="s">
        <v>363</v>
      </c>
      <c r="G161" t="s">
        <v>19</v>
      </c>
      <c r="H161" t="s">
        <v>20</v>
      </c>
      <c r="I161" t="s">
        <v>364</v>
      </c>
      <c r="J161" t="s">
        <v>26</v>
      </c>
      <c r="K161" t="str">
        <f t="shared" si="6"/>
        <v>B</v>
      </c>
      <c r="L161" t="s">
        <v>26</v>
      </c>
      <c r="M161">
        <f t="shared" si="5"/>
        <v>1</v>
      </c>
    </row>
    <row r="162" ht="18" customHeight="1" spans="1:13">
      <c r="A162" t="s">
        <v>331</v>
      </c>
      <c r="B162" s="15" t="s">
        <v>332</v>
      </c>
      <c r="C162" t="s">
        <v>50</v>
      </c>
      <c r="D162" t="s">
        <v>32</v>
      </c>
      <c r="E162" s="11" t="s">
        <v>17</v>
      </c>
      <c r="F162" s="15" t="s">
        <v>365</v>
      </c>
      <c r="G162" t="s">
        <v>19</v>
      </c>
      <c r="H162" t="s">
        <v>20</v>
      </c>
      <c r="I162" t="s">
        <v>366</v>
      </c>
      <c r="J162" t="s">
        <v>22</v>
      </c>
      <c r="K162" t="str">
        <f t="shared" si="6"/>
        <v>B</v>
      </c>
      <c r="L162" t="s">
        <v>26</v>
      </c>
      <c r="M162">
        <f t="shared" si="5"/>
        <v>1</v>
      </c>
    </row>
    <row r="163" ht="18" customHeight="1" spans="1:13">
      <c r="A163" t="s">
        <v>331</v>
      </c>
      <c r="B163" s="15" t="s">
        <v>332</v>
      </c>
      <c r="C163" t="s">
        <v>50</v>
      </c>
      <c r="D163" t="s">
        <v>32</v>
      </c>
      <c r="E163" s="11" t="s">
        <v>23</v>
      </c>
      <c r="F163" s="15" t="s">
        <v>367</v>
      </c>
      <c r="G163" t="s">
        <v>19</v>
      </c>
      <c r="H163" t="s">
        <v>20</v>
      </c>
      <c r="I163" t="s">
        <v>368</v>
      </c>
      <c r="J163" t="s">
        <v>26</v>
      </c>
      <c r="K163" t="str">
        <f t="shared" si="6"/>
        <v>B</v>
      </c>
      <c r="L163" t="s">
        <v>26</v>
      </c>
      <c r="M163">
        <f t="shared" si="5"/>
        <v>1</v>
      </c>
    </row>
    <row r="164" ht="18" customHeight="1" spans="1:13">
      <c r="A164" t="s">
        <v>369</v>
      </c>
      <c r="B164" s="15" t="s">
        <v>370</v>
      </c>
      <c r="C164" t="s">
        <v>15</v>
      </c>
      <c r="D164" t="s">
        <v>16</v>
      </c>
      <c r="E164" s="11" t="s">
        <v>17</v>
      </c>
      <c r="F164" s="15" t="s">
        <v>371</v>
      </c>
      <c r="G164" t="s">
        <v>19</v>
      </c>
      <c r="H164" t="s">
        <v>20</v>
      </c>
      <c r="I164" s="19" t="s">
        <v>372</v>
      </c>
      <c r="J164" s="19" t="s">
        <v>26</v>
      </c>
      <c r="K164" s="19" t="str">
        <f t="shared" si="6"/>
        <v>B</v>
      </c>
      <c r="L164" t="s">
        <v>26</v>
      </c>
      <c r="M164">
        <f t="shared" si="5"/>
        <v>1</v>
      </c>
    </row>
    <row r="165" ht="18" customHeight="1" spans="1:13">
      <c r="A165" t="s">
        <v>369</v>
      </c>
      <c r="B165" s="15" t="s">
        <v>370</v>
      </c>
      <c r="C165" t="s">
        <v>15</v>
      </c>
      <c r="D165" t="s">
        <v>16</v>
      </c>
      <c r="E165" s="11" t="s">
        <v>23</v>
      </c>
      <c r="F165" s="15" t="s">
        <v>373</v>
      </c>
      <c r="G165" t="s">
        <v>19</v>
      </c>
      <c r="H165" t="s">
        <v>20</v>
      </c>
      <c r="I165" t="s">
        <v>374</v>
      </c>
      <c r="J165" t="s">
        <v>22</v>
      </c>
      <c r="K165" t="str">
        <f t="shared" si="6"/>
        <v>B</v>
      </c>
      <c r="L165" t="s">
        <v>26</v>
      </c>
      <c r="M165">
        <f t="shared" si="5"/>
        <v>1</v>
      </c>
    </row>
    <row r="166" ht="18" customHeight="1" spans="1:13">
      <c r="A166" t="s">
        <v>369</v>
      </c>
      <c r="B166" s="15" t="s">
        <v>370</v>
      </c>
      <c r="C166" t="s">
        <v>15</v>
      </c>
      <c r="D166" t="s">
        <v>27</v>
      </c>
      <c r="E166" s="11" t="s">
        <v>17</v>
      </c>
      <c r="F166" s="15" t="s">
        <v>375</v>
      </c>
      <c r="G166" t="s">
        <v>19</v>
      </c>
      <c r="H166" t="s">
        <v>20</v>
      </c>
      <c r="I166" s="19" t="s">
        <v>376</v>
      </c>
      <c r="J166" s="19" t="s">
        <v>26</v>
      </c>
      <c r="K166" s="19" t="str">
        <f t="shared" si="6"/>
        <v>B</v>
      </c>
      <c r="L166" t="s">
        <v>26</v>
      </c>
      <c r="M166">
        <f t="shared" si="5"/>
        <v>1</v>
      </c>
    </row>
    <row r="167" ht="18" customHeight="1" spans="1:13">
      <c r="A167" t="s">
        <v>369</v>
      </c>
      <c r="B167" s="15" t="s">
        <v>370</v>
      </c>
      <c r="C167" t="s">
        <v>15</v>
      </c>
      <c r="D167" t="s">
        <v>27</v>
      </c>
      <c r="E167" s="11" t="s">
        <v>23</v>
      </c>
      <c r="F167" s="15" t="s">
        <v>377</v>
      </c>
      <c r="G167" t="s">
        <v>19</v>
      </c>
      <c r="H167" t="s">
        <v>20</v>
      </c>
      <c r="I167" t="s">
        <v>378</v>
      </c>
      <c r="J167" t="s">
        <v>22</v>
      </c>
      <c r="K167" t="str">
        <f t="shared" si="6"/>
        <v>B</v>
      </c>
      <c r="L167" t="s">
        <v>26</v>
      </c>
      <c r="M167">
        <f t="shared" si="5"/>
        <v>1</v>
      </c>
    </row>
    <row r="168" ht="18" customHeight="1" spans="1:13">
      <c r="A168" t="s">
        <v>369</v>
      </c>
      <c r="B168" s="15" t="s">
        <v>370</v>
      </c>
      <c r="C168" t="s">
        <v>15</v>
      </c>
      <c r="D168" t="s">
        <v>32</v>
      </c>
      <c r="E168" s="11" t="s">
        <v>17</v>
      </c>
      <c r="F168" s="15" t="s">
        <v>379</v>
      </c>
      <c r="G168" t="s">
        <v>19</v>
      </c>
      <c r="H168" t="s">
        <v>20</v>
      </c>
      <c r="I168" s="19" t="s">
        <v>380</v>
      </c>
      <c r="J168" s="19" t="s">
        <v>105</v>
      </c>
      <c r="K168" s="19" t="str">
        <f t="shared" si="6"/>
        <v>D(平局)</v>
      </c>
      <c r="L168" t="s">
        <v>26</v>
      </c>
      <c r="M168">
        <f t="shared" si="5"/>
        <v>0</v>
      </c>
    </row>
    <row r="169" ht="18" customHeight="1" spans="1:13">
      <c r="A169" t="s">
        <v>369</v>
      </c>
      <c r="B169" s="15" t="s">
        <v>370</v>
      </c>
      <c r="C169" t="s">
        <v>15</v>
      </c>
      <c r="D169" t="s">
        <v>32</v>
      </c>
      <c r="E169" s="11" t="s">
        <v>23</v>
      </c>
      <c r="F169" s="15" t="s">
        <v>381</v>
      </c>
      <c r="G169" t="s">
        <v>19</v>
      </c>
      <c r="H169" t="s">
        <v>20</v>
      </c>
      <c r="I169" s="19" t="s">
        <v>382</v>
      </c>
      <c r="J169" s="19" t="s">
        <v>105</v>
      </c>
      <c r="K169" s="19" t="str">
        <f t="shared" si="6"/>
        <v>D(平局)</v>
      </c>
      <c r="L169" t="s">
        <v>26</v>
      </c>
      <c r="M169">
        <f t="shared" si="5"/>
        <v>0</v>
      </c>
    </row>
    <row r="170" ht="18" customHeight="1" spans="1:13">
      <c r="A170" t="s">
        <v>369</v>
      </c>
      <c r="B170" s="15" t="s">
        <v>370</v>
      </c>
      <c r="C170" t="s">
        <v>37</v>
      </c>
      <c r="D170" t="s">
        <v>16</v>
      </c>
      <c r="E170" s="11" t="s">
        <v>17</v>
      </c>
      <c r="F170" s="15" t="s">
        <v>383</v>
      </c>
      <c r="G170" t="s">
        <v>19</v>
      </c>
      <c r="H170" t="s">
        <v>20</v>
      </c>
      <c r="I170" t="s">
        <v>384</v>
      </c>
      <c r="J170" t="s">
        <v>22</v>
      </c>
      <c r="K170" t="str">
        <f t="shared" si="6"/>
        <v>A</v>
      </c>
      <c r="L170" t="s">
        <v>22</v>
      </c>
      <c r="M170">
        <f t="shared" si="5"/>
        <v>1</v>
      </c>
    </row>
    <row r="171" ht="18" customHeight="1" spans="1:13">
      <c r="A171" t="s">
        <v>369</v>
      </c>
      <c r="B171" s="15" t="s">
        <v>370</v>
      </c>
      <c r="C171" t="s">
        <v>37</v>
      </c>
      <c r="D171" t="s">
        <v>16</v>
      </c>
      <c r="E171" s="11" t="s">
        <v>23</v>
      </c>
      <c r="F171" s="15" t="s">
        <v>385</v>
      </c>
      <c r="G171" t="s">
        <v>19</v>
      </c>
      <c r="H171" t="s">
        <v>20</v>
      </c>
      <c r="I171" t="s">
        <v>386</v>
      </c>
      <c r="J171" t="s">
        <v>26</v>
      </c>
      <c r="K171" t="str">
        <f t="shared" si="6"/>
        <v>A</v>
      </c>
      <c r="L171" t="s">
        <v>22</v>
      </c>
      <c r="M171">
        <f t="shared" si="5"/>
        <v>1</v>
      </c>
    </row>
    <row r="172" ht="18" customHeight="1" spans="1:13">
      <c r="A172" t="s">
        <v>369</v>
      </c>
      <c r="B172" s="15" t="s">
        <v>370</v>
      </c>
      <c r="C172" t="s">
        <v>37</v>
      </c>
      <c r="D172" t="s">
        <v>27</v>
      </c>
      <c r="E172" s="11" t="s">
        <v>17</v>
      </c>
      <c r="F172" s="15" t="s">
        <v>387</v>
      </c>
      <c r="G172" t="s">
        <v>19</v>
      </c>
      <c r="H172" t="s">
        <v>20</v>
      </c>
      <c r="I172" t="s">
        <v>388</v>
      </c>
      <c r="J172" t="s">
        <v>22</v>
      </c>
      <c r="K172" t="str">
        <f t="shared" si="6"/>
        <v>A</v>
      </c>
      <c r="L172" t="s">
        <v>22</v>
      </c>
      <c r="M172">
        <f t="shared" si="5"/>
        <v>1</v>
      </c>
    </row>
    <row r="173" ht="18" customHeight="1" spans="1:13">
      <c r="A173" t="s">
        <v>369</v>
      </c>
      <c r="B173" s="15" t="s">
        <v>370</v>
      </c>
      <c r="C173" t="s">
        <v>37</v>
      </c>
      <c r="D173" t="s">
        <v>27</v>
      </c>
      <c r="E173" s="11" t="s">
        <v>23</v>
      </c>
      <c r="F173" s="15" t="s">
        <v>389</v>
      </c>
      <c r="G173" t="s">
        <v>19</v>
      </c>
      <c r="H173" t="s">
        <v>20</v>
      </c>
      <c r="I173" t="s">
        <v>390</v>
      </c>
      <c r="J173" t="s">
        <v>26</v>
      </c>
      <c r="K173" t="str">
        <f t="shared" si="6"/>
        <v>A</v>
      </c>
      <c r="L173" t="s">
        <v>22</v>
      </c>
      <c r="M173">
        <f t="shared" si="5"/>
        <v>1</v>
      </c>
    </row>
    <row r="174" ht="18" customHeight="1" spans="1:13">
      <c r="A174" t="s">
        <v>369</v>
      </c>
      <c r="B174" s="15" t="s">
        <v>370</v>
      </c>
      <c r="C174" t="s">
        <v>37</v>
      </c>
      <c r="D174" t="s">
        <v>32</v>
      </c>
      <c r="E174" s="11" t="s">
        <v>17</v>
      </c>
      <c r="F174" s="15" t="s">
        <v>391</v>
      </c>
      <c r="G174" t="s">
        <v>19</v>
      </c>
      <c r="H174" t="s">
        <v>20</v>
      </c>
      <c r="I174" t="s">
        <v>392</v>
      </c>
      <c r="J174" t="s">
        <v>22</v>
      </c>
      <c r="K174" t="str">
        <f t="shared" si="6"/>
        <v>A</v>
      </c>
      <c r="L174" t="s">
        <v>22</v>
      </c>
      <c r="M174">
        <f t="shared" si="5"/>
        <v>1</v>
      </c>
    </row>
    <row r="175" ht="18" customHeight="1" spans="1:13">
      <c r="A175" t="s">
        <v>369</v>
      </c>
      <c r="B175" s="15" t="s">
        <v>370</v>
      </c>
      <c r="C175" t="s">
        <v>37</v>
      </c>
      <c r="D175" t="s">
        <v>32</v>
      </c>
      <c r="E175" s="11" t="s">
        <v>23</v>
      </c>
      <c r="F175" s="15" t="s">
        <v>393</v>
      </c>
      <c r="G175" t="s">
        <v>19</v>
      </c>
      <c r="H175" t="s">
        <v>20</v>
      </c>
      <c r="I175" t="s">
        <v>394</v>
      </c>
      <c r="J175" t="s">
        <v>26</v>
      </c>
      <c r="K175" t="str">
        <f t="shared" si="6"/>
        <v>A</v>
      </c>
      <c r="L175" t="s">
        <v>22</v>
      </c>
      <c r="M175">
        <f t="shared" si="5"/>
        <v>1</v>
      </c>
    </row>
    <row r="176" ht="18" customHeight="1" spans="1:13">
      <c r="A176" t="s">
        <v>369</v>
      </c>
      <c r="B176" s="15" t="s">
        <v>370</v>
      </c>
      <c r="C176" t="s">
        <v>50</v>
      </c>
      <c r="D176" t="s">
        <v>16</v>
      </c>
      <c r="E176" s="11" t="s">
        <v>17</v>
      </c>
      <c r="F176" s="15" t="s">
        <v>395</v>
      </c>
      <c r="G176" t="s">
        <v>19</v>
      </c>
      <c r="H176" t="s">
        <v>20</v>
      </c>
      <c r="I176" t="s">
        <v>396</v>
      </c>
      <c r="J176" t="s">
        <v>22</v>
      </c>
      <c r="K176" t="str">
        <f t="shared" si="6"/>
        <v>B</v>
      </c>
      <c r="L176" t="s">
        <v>26</v>
      </c>
      <c r="M176">
        <f t="shared" si="5"/>
        <v>1</v>
      </c>
    </row>
    <row r="177" ht="18" customHeight="1" spans="1:13">
      <c r="A177" t="s">
        <v>369</v>
      </c>
      <c r="B177" s="15" t="s">
        <v>370</v>
      </c>
      <c r="C177" t="s">
        <v>50</v>
      </c>
      <c r="D177" t="s">
        <v>16</v>
      </c>
      <c r="E177" s="11" t="s">
        <v>23</v>
      </c>
      <c r="F177" s="15" t="s">
        <v>397</v>
      </c>
      <c r="G177" t="s">
        <v>19</v>
      </c>
      <c r="H177" t="s">
        <v>20</v>
      </c>
      <c r="I177" t="s">
        <v>398</v>
      </c>
      <c r="J177" t="s">
        <v>26</v>
      </c>
      <c r="K177" t="str">
        <f t="shared" si="6"/>
        <v>B</v>
      </c>
      <c r="L177" t="s">
        <v>26</v>
      </c>
      <c r="M177">
        <f t="shared" si="5"/>
        <v>1</v>
      </c>
    </row>
    <row r="178" ht="18" customHeight="1" spans="1:13">
      <c r="A178" t="s">
        <v>369</v>
      </c>
      <c r="B178" s="15" t="s">
        <v>370</v>
      </c>
      <c r="C178" t="s">
        <v>50</v>
      </c>
      <c r="D178" t="s">
        <v>27</v>
      </c>
      <c r="E178" s="11" t="s">
        <v>17</v>
      </c>
      <c r="F178" s="15" t="s">
        <v>399</v>
      </c>
      <c r="G178" t="s">
        <v>19</v>
      </c>
      <c r="H178" t="s">
        <v>20</v>
      </c>
      <c r="I178" t="s">
        <v>400</v>
      </c>
      <c r="J178" t="s">
        <v>22</v>
      </c>
      <c r="K178" t="str">
        <f t="shared" si="6"/>
        <v>B</v>
      </c>
      <c r="L178" t="s">
        <v>26</v>
      </c>
      <c r="M178">
        <f t="shared" si="5"/>
        <v>1</v>
      </c>
    </row>
    <row r="179" ht="18" customHeight="1" spans="1:13">
      <c r="A179" t="s">
        <v>369</v>
      </c>
      <c r="B179" s="15" t="s">
        <v>370</v>
      </c>
      <c r="C179" t="s">
        <v>50</v>
      </c>
      <c r="D179" t="s">
        <v>27</v>
      </c>
      <c r="E179" s="11" t="s">
        <v>23</v>
      </c>
      <c r="F179" s="15" t="s">
        <v>401</v>
      </c>
      <c r="G179" t="s">
        <v>19</v>
      </c>
      <c r="H179" t="s">
        <v>20</v>
      </c>
      <c r="I179" t="s">
        <v>402</v>
      </c>
      <c r="J179" t="s">
        <v>26</v>
      </c>
      <c r="K179" t="str">
        <f t="shared" si="6"/>
        <v>B</v>
      </c>
      <c r="L179" t="s">
        <v>26</v>
      </c>
      <c r="M179">
        <f t="shared" si="5"/>
        <v>1</v>
      </c>
    </row>
    <row r="180" ht="18" customHeight="1" spans="1:13">
      <c r="A180" t="s">
        <v>369</v>
      </c>
      <c r="B180" s="15" t="s">
        <v>370</v>
      </c>
      <c r="C180" t="s">
        <v>50</v>
      </c>
      <c r="D180" t="s">
        <v>32</v>
      </c>
      <c r="E180" s="11" t="s">
        <v>17</v>
      </c>
      <c r="F180" s="15" t="s">
        <v>403</v>
      </c>
      <c r="G180" t="s">
        <v>19</v>
      </c>
      <c r="H180" t="s">
        <v>20</v>
      </c>
      <c r="I180" t="s">
        <v>404</v>
      </c>
      <c r="J180" t="s">
        <v>22</v>
      </c>
      <c r="K180" t="str">
        <f t="shared" si="6"/>
        <v>B</v>
      </c>
      <c r="L180" t="s">
        <v>26</v>
      </c>
      <c r="M180">
        <f t="shared" si="5"/>
        <v>1</v>
      </c>
    </row>
    <row r="181" ht="18" customHeight="1" spans="1:13">
      <c r="A181" t="s">
        <v>369</v>
      </c>
      <c r="B181" s="15" t="s">
        <v>370</v>
      </c>
      <c r="C181" t="s">
        <v>50</v>
      </c>
      <c r="D181" t="s">
        <v>32</v>
      </c>
      <c r="E181" s="11" t="s">
        <v>23</v>
      </c>
      <c r="F181" s="15" t="s">
        <v>405</v>
      </c>
      <c r="G181" t="s">
        <v>19</v>
      </c>
      <c r="H181" t="s">
        <v>20</v>
      </c>
      <c r="I181" t="s">
        <v>406</v>
      </c>
      <c r="J181" t="s">
        <v>26</v>
      </c>
      <c r="K181" t="str">
        <f t="shared" si="6"/>
        <v>B</v>
      </c>
      <c r="L181" t="s">
        <v>26</v>
      </c>
      <c r="M181">
        <f t="shared" si="5"/>
        <v>1</v>
      </c>
    </row>
    <row r="182" ht="18" customHeight="1" spans="1:13">
      <c r="A182" t="s">
        <v>407</v>
      </c>
      <c r="B182" s="15" t="s">
        <v>408</v>
      </c>
      <c r="C182" t="s">
        <v>15</v>
      </c>
      <c r="D182" t="s">
        <v>16</v>
      </c>
      <c r="E182" s="11" t="s">
        <v>17</v>
      </c>
      <c r="F182" s="15" t="s">
        <v>409</v>
      </c>
      <c r="G182" t="s">
        <v>19</v>
      </c>
      <c r="H182" t="s">
        <v>20</v>
      </c>
      <c r="I182" t="s">
        <v>410</v>
      </c>
      <c r="J182" t="s">
        <v>22</v>
      </c>
      <c r="K182" t="str">
        <f t="shared" si="6"/>
        <v>A</v>
      </c>
      <c r="L182" t="s">
        <v>22</v>
      </c>
      <c r="M182">
        <f t="shared" si="5"/>
        <v>1</v>
      </c>
    </row>
    <row r="183" ht="18" customHeight="1" spans="1:13">
      <c r="A183" t="s">
        <v>407</v>
      </c>
      <c r="B183" s="15" t="s">
        <v>408</v>
      </c>
      <c r="C183" t="s">
        <v>15</v>
      </c>
      <c r="D183" t="s">
        <v>16</v>
      </c>
      <c r="E183" s="11" t="s">
        <v>23</v>
      </c>
      <c r="F183" s="15" t="s">
        <v>411</v>
      </c>
      <c r="G183" t="s">
        <v>19</v>
      </c>
      <c r="H183" t="s">
        <v>20</v>
      </c>
      <c r="I183" t="s">
        <v>412</v>
      </c>
      <c r="J183" t="s">
        <v>26</v>
      </c>
      <c r="K183" t="str">
        <f t="shared" si="6"/>
        <v>A</v>
      </c>
      <c r="L183" t="s">
        <v>22</v>
      </c>
      <c r="M183">
        <f t="shared" si="5"/>
        <v>1</v>
      </c>
    </row>
    <row r="184" ht="18" customHeight="1" spans="1:13">
      <c r="A184" t="s">
        <v>407</v>
      </c>
      <c r="B184" s="15" t="s">
        <v>408</v>
      </c>
      <c r="C184" t="s">
        <v>15</v>
      </c>
      <c r="D184" t="s">
        <v>27</v>
      </c>
      <c r="E184" s="11" t="s">
        <v>17</v>
      </c>
      <c r="F184" s="15" t="s">
        <v>413</v>
      </c>
      <c r="G184" t="s">
        <v>19</v>
      </c>
      <c r="H184" t="s">
        <v>20</v>
      </c>
      <c r="I184" t="s">
        <v>414</v>
      </c>
      <c r="J184" t="s">
        <v>22</v>
      </c>
      <c r="K184" t="str">
        <f t="shared" si="6"/>
        <v>A</v>
      </c>
      <c r="L184" t="s">
        <v>22</v>
      </c>
      <c r="M184">
        <f t="shared" si="5"/>
        <v>1</v>
      </c>
    </row>
    <row r="185" ht="18" customHeight="1" spans="1:13">
      <c r="A185" t="s">
        <v>407</v>
      </c>
      <c r="B185" s="15" t="s">
        <v>408</v>
      </c>
      <c r="C185" t="s">
        <v>15</v>
      </c>
      <c r="D185" t="s">
        <v>27</v>
      </c>
      <c r="E185" s="11" t="s">
        <v>23</v>
      </c>
      <c r="F185" s="15" t="s">
        <v>415</v>
      </c>
      <c r="G185" t="s">
        <v>19</v>
      </c>
      <c r="H185" t="s">
        <v>20</v>
      </c>
      <c r="I185" s="19" t="s">
        <v>416</v>
      </c>
      <c r="J185" s="19" t="s">
        <v>105</v>
      </c>
      <c r="K185" s="19" t="str">
        <f t="shared" si="6"/>
        <v>D(平局)</v>
      </c>
      <c r="L185" t="s">
        <v>22</v>
      </c>
      <c r="M185">
        <f t="shared" si="5"/>
        <v>0</v>
      </c>
    </row>
    <row r="186" ht="18" customHeight="1" spans="1:13">
      <c r="A186" t="s">
        <v>407</v>
      </c>
      <c r="B186" s="15" t="s">
        <v>408</v>
      </c>
      <c r="C186" t="s">
        <v>15</v>
      </c>
      <c r="D186" t="s">
        <v>32</v>
      </c>
      <c r="E186" s="11" t="s">
        <v>17</v>
      </c>
      <c r="F186" s="16" t="s">
        <v>417</v>
      </c>
      <c r="G186" t="s">
        <v>19</v>
      </c>
      <c r="H186" t="s">
        <v>20</v>
      </c>
      <c r="I186" s="19" t="s">
        <v>418</v>
      </c>
      <c r="J186" s="19" t="s">
        <v>26</v>
      </c>
      <c r="K186" s="19" t="str">
        <f t="shared" si="6"/>
        <v>B</v>
      </c>
      <c r="L186" t="s">
        <v>22</v>
      </c>
      <c r="M186">
        <f t="shared" si="5"/>
        <v>0</v>
      </c>
    </row>
    <row r="187" ht="18" customHeight="1" spans="1:13">
      <c r="A187" t="s">
        <v>407</v>
      </c>
      <c r="B187" s="15" t="s">
        <v>408</v>
      </c>
      <c r="C187" t="s">
        <v>15</v>
      </c>
      <c r="D187" t="s">
        <v>32</v>
      </c>
      <c r="E187" s="11" t="s">
        <v>23</v>
      </c>
      <c r="F187" s="15" t="s">
        <v>419</v>
      </c>
      <c r="G187" t="s">
        <v>19</v>
      </c>
      <c r="H187" t="s">
        <v>20</v>
      </c>
      <c r="I187" s="19" t="s">
        <v>420</v>
      </c>
      <c r="J187" s="19" t="s">
        <v>22</v>
      </c>
      <c r="K187" s="19" t="str">
        <f t="shared" si="6"/>
        <v>B</v>
      </c>
      <c r="L187" t="s">
        <v>22</v>
      </c>
      <c r="M187">
        <f t="shared" si="5"/>
        <v>0</v>
      </c>
    </row>
    <row r="188" ht="18" customHeight="1" spans="1:13">
      <c r="A188" t="s">
        <v>407</v>
      </c>
      <c r="B188" s="15" t="s">
        <v>408</v>
      </c>
      <c r="C188" t="s">
        <v>37</v>
      </c>
      <c r="D188" t="s">
        <v>16</v>
      </c>
      <c r="E188" s="11" t="s">
        <v>17</v>
      </c>
      <c r="F188" s="15" t="s">
        <v>421</v>
      </c>
      <c r="G188" t="s">
        <v>19</v>
      </c>
      <c r="H188" t="s">
        <v>20</v>
      </c>
      <c r="I188" t="s">
        <v>422</v>
      </c>
      <c r="J188" t="s">
        <v>26</v>
      </c>
      <c r="K188" t="str">
        <f t="shared" si="6"/>
        <v>C</v>
      </c>
      <c r="L188" t="s">
        <v>105</v>
      </c>
      <c r="M188">
        <f t="shared" si="5"/>
        <v>1</v>
      </c>
    </row>
    <row r="189" ht="18" customHeight="1" spans="1:13">
      <c r="A189" t="s">
        <v>407</v>
      </c>
      <c r="B189" s="15" t="s">
        <v>408</v>
      </c>
      <c r="C189" t="s">
        <v>37</v>
      </c>
      <c r="D189" t="s">
        <v>16</v>
      </c>
      <c r="E189" s="11" t="s">
        <v>23</v>
      </c>
      <c r="F189" s="15" t="s">
        <v>423</v>
      </c>
      <c r="G189" t="s">
        <v>19</v>
      </c>
      <c r="H189" t="s">
        <v>20</v>
      </c>
      <c r="I189" t="s">
        <v>424</v>
      </c>
      <c r="J189" t="s">
        <v>22</v>
      </c>
      <c r="K189" t="str">
        <f t="shared" si="6"/>
        <v>C</v>
      </c>
      <c r="L189" t="s">
        <v>105</v>
      </c>
      <c r="M189">
        <f t="shared" si="5"/>
        <v>1</v>
      </c>
    </row>
    <row r="190" ht="18" customHeight="1" spans="1:13">
      <c r="A190" t="s">
        <v>407</v>
      </c>
      <c r="B190" s="15" t="s">
        <v>408</v>
      </c>
      <c r="C190" t="s">
        <v>37</v>
      </c>
      <c r="D190" t="s">
        <v>27</v>
      </c>
      <c r="E190" s="11" t="s">
        <v>17</v>
      </c>
      <c r="F190" s="15" t="s">
        <v>425</v>
      </c>
      <c r="G190" t="s">
        <v>19</v>
      </c>
      <c r="H190" t="s">
        <v>20</v>
      </c>
      <c r="I190" t="s">
        <v>426</v>
      </c>
      <c r="J190" t="s">
        <v>26</v>
      </c>
      <c r="K190" t="str">
        <f t="shared" si="6"/>
        <v>C</v>
      </c>
      <c r="L190" t="s">
        <v>105</v>
      </c>
      <c r="M190">
        <f t="shared" si="5"/>
        <v>1</v>
      </c>
    </row>
    <row r="191" ht="18" customHeight="1" spans="1:13">
      <c r="A191" t="s">
        <v>407</v>
      </c>
      <c r="B191" s="15" t="s">
        <v>408</v>
      </c>
      <c r="C191" t="s">
        <v>37</v>
      </c>
      <c r="D191" t="s">
        <v>27</v>
      </c>
      <c r="E191" s="11" t="s">
        <v>23</v>
      </c>
      <c r="F191" s="15" t="s">
        <v>427</v>
      </c>
      <c r="G191" t="s">
        <v>19</v>
      </c>
      <c r="H191" t="s">
        <v>20</v>
      </c>
      <c r="I191" t="s">
        <v>428</v>
      </c>
      <c r="J191" t="s">
        <v>22</v>
      </c>
      <c r="K191" t="str">
        <f t="shared" si="6"/>
        <v>C</v>
      </c>
      <c r="L191" t="s">
        <v>105</v>
      </c>
      <c r="M191">
        <f t="shared" si="5"/>
        <v>1</v>
      </c>
    </row>
    <row r="192" ht="18" customHeight="1" spans="1:13">
      <c r="A192" t="s">
        <v>407</v>
      </c>
      <c r="B192" s="15" t="s">
        <v>408</v>
      </c>
      <c r="C192" t="s">
        <v>37</v>
      </c>
      <c r="D192" t="s">
        <v>32</v>
      </c>
      <c r="E192" s="11" t="s">
        <v>17</v>
      </c>
      <c r="F192" s="15" t="s">
        <v>429</v>
      </c>
      <c r="G192" t="s">
        <v>19</v>
      </c>
      <c r="H192" t="s">
        <v>20</v>
      </c>
      <c r="I192" t="s">
        <v>430</v>
      </c>
      <c r="J192" t="s">
        <v>26</v>
      </c>
      <c r="K192" t="str">
        <f t="shared" si="6"/>
        <v>C</v>
      </c>
      <c r="L192" t="s">
        <v>105</v>
      </c>
      <c r="M192">
        <f t="shared" si="5"/>
        <v>1</v>
      </c>
    </row>
    <row r="193" ht="18" customHeight="1" spans="1:13">
      <c r="A193" t="s">
        <v>407</v>
      </c>
      <c r="B193" s="15" t="s">
        <v>408</v>
      </c>
      <c r="C193" t="s">
        <v>37</v>
      </c>
      <c r="D193" t="s">
        <v>32</v>
      </c>
      <c r="E193" s="11" t="s">
        <v>23</v>
      </c>
      <c r="F193" s="15" t="s">
        <v>431</v>
      </c>
      <c r="G193" t="s">
        <v>19</v>
      </c>
      <c r="H193" t="s">
        <v>20</v>
      </c>
      <c r="I193" t="s">
        <v>432</v>
      </c>
      <c r="J193" t="s">
        <v>22</v>
      </c>
      <c r="K193" t="str">
        <f t="shared" si="6"/>
        <v>C</v>
      </c>
      <c r="L193" t="s">
        <v>105</v>
      </c>
      <c r="M193">
        <f t="shared" si="5"/>
        <v>1</v>
      </c>
    </row>
    <row r="194" ht="18" customHeight="1" spans="1:13">
      <c r="A194" t="s">
        <v>407</v>
      </c>
      <c r="B194" s="15" t="s">
        <v>408</v>
      </c>
      <c r="C194" t="s">
        <v>50</v>
      </c>
      <c r="D194" t="s">
        <v>16</v>
      </c>
      <c r="E194" s="11" t="s">
        <v>17</v>
      </c>
      <c r="F194" s="15" t="s">
        <v>433</v>
      </c>
      <c r="G194" t="s">
        <v>19</v>
      </c>
      <c r="H194" t="s">
        <v>20</v>
      </c>
      <c r="I194" t="s">
        <v>434</v>
      </c>
      <c r="J194" t="s">
        <v>26</v>
      </c>
      <c r="K194" t="str">
        <f t="shared" ref="K194:K217" si="7">IF(OR(J194="",C194="",E194=""),"",IF(J194="C","D(平局)",IF(J194=IF(E194="l2r","A","B"),LEFT(C194,1),RIGHT(C194,1))))</f>
        <v>C</v>
      </c>
      <c r="L194" t="s">
        <v>105</v>
      </c>
      <c r="M194">
        <f t="shared" ref="M194:M217" si="8">IF(OR(K194="",L194=""),"",--(K194=L194))</f>
        <v>1</v>
      </c>
    </row>
    <row r="195" ht="18" customHeight="1" spans="1:13">
      <c r="A195" t="s">
        <v>407</v>
      </c>
      <c r="B195" s="15" t="s">
        <v>408</v>
      </c>
      <c r="C195" t="s">
        <v>50</v>
      </c>
      <c r="D195" t="s">
        <v>16</v>
      </c>
      <c r="E195" s="11" t="s">
        <v>23</v>
      </c>
      <c r="F195" s="15" t="s">
        <v>435</v>
      </c>
      <c r="G195" t="s">
        <v>19</v>
      </c>
      <c r="H195" t="s">
        <v>20</v>
      </c>
      <c r="I195" t="s">
        <v>436</v>
      </c>
      <c r="J195" t="s">
        <v>22</v>
      </c>
      <c r="K195" t="str">
        <f t="shared" si="7"/>
        <v>C</v>
      </c>
      <c r="L195" t="s">
        <v>105</v>
      </c>
      <c r="M195">
        <f t="shared" si="8"/>
        <v>1</v>
      </c>
    </row>
    <row r="196" ht="18" customHeight="1" spans="1:13">
      <c r="A196" t="s">
        <v>407</v>
      </c>
      <c r="B196" s="15" t="s">
        <v>408</v>
      </c>
      <c r="C196" t="s">
        <v>50</v>
      </c>
      <c r="D196" t="s">
        <v>27</v>
      </c>
      <c r="E196" s="11" t="s">
        <v>17</v>
      </c>
      <c r="F196" s="15" t="s">
        <v>437</v>
      </c>
      <c r="G196" t="s">
        <v>19</v>
      </c>
      <c r="H196" t="s">
        <v>20</v>
      </c>
      <c r="I196" t="s">
        <v>438</v>
      </c>
      <c r="J196" t="s">
        <v>26</v>
      </c>
      <c r="K196" t="str">
        <f t="shared" si="7"/>
        <v>C</v>
      </c>
      <c r="L196" t="s">
        <v>105</v>
      </c>
      <c r="M196">
        <f t="shared" si="8"/>
        <v>1</v>
      </c>
    </row>
    <row r="197" ht="18" customHeight="1" spans="1:13">
      <c r="A197" t="s">
        <v>407</v>
      </c>
      <c r="B197" s="15" t="s">
        <v>408</v>
      </c>
      <c r="C197" t="s">
        <v>50</v>
      </c>
      <c r="D197" t="s">
        <v>27</v>
      </c>
      <c r="E197" s="11" t="s">
        <v>23</v>
      </c>
      <c r="F197" s="15" t="s">
        <v>439</v>
      </c>
      <c r="G197" t="s">
        <v>19</v>
      </c>
      <c r="H197" t="s">
        <v>20</v>
      </c>
      <c r="I197" t="s">
        <v>440</v>
      </c>
      <c r="J197" t="s">
        <v>22</v>
      </c>
      <c r="K197" t="str">
        <f t="shared" si="7"/>
        <v>C</v>
      </c>
      <c r="L197" t="s">
        <v>105</v>
      </c>
      <c r="M197">
        <f t="shared" si="8"/>
        <v>1</v>
      </c>
    </row>
    <row r="198" ht="18" customHeight="1" spans="1:13">
      <c r="A198" t="s">
        <v>407</v>
      </c>
      <c r="B198" s="15" t="s">
        <v>408</v>
      </c>
      <c r="C198" t="s">
        <v>50</v>
      </c>
      <c r="D198" t="s">
        <v>32</v>
      </c>
      <c r="E198" s="11" t="s">
        <v>17</v>
      </c>
      <c r="F198" s="15" t="s">
        <v>441</v>
      </c>
      <c r="G198" t="s">
        <v>19</v>
      </c>
      <c r="H198" t="s">
        <v>20</v>
      </c>
      <c r="I198" t="s">
        <v>442</v>
      </c>
      <c r="J198" t="s">
        <v>26</v>
      </c>
      <c r="K198" t="str">
        <f t="shared" si="7"/>
        <v>C</v>
      </c>
      <c r="L198" t="s">
        <v>105</v>
      </c>
      <c r="M198">
        <f t="shared" si="8"/>
        <v>1</v>
      </c>
    </row>
    <row r="199" ht="18" customHeight="1" spans="1:13">
      <c r="A199" t="s">
        <v>407</v>
      </c>
      <c r="B199" s="15" t="s">
        <v>408</v>
      </c>
      <c r="C199" t="s">
        <v>50</v>
      </c>
      <c r="D199" t="s">
        <v>32</v>
      </c>
      <c r="E199" s="11" t="s">
        <v>23</v>
      </c>
      <c r="F199" s="15" t="s">
        <v>443</v>
      </c>
      <c r="G199" t="s">
        <v>19</v>
      </c>
      <c r="H199" t="s">
        <v>20</v>
      </c>
      <c r="I199" t="s">
        <v>444</v>
      </c>
      <c r="J199" t="s">
        <v>22</v>
      </c>
      <c r="K199" t="str">
        <f t="shared" si="7"/>
        <v>C</v>
      </c>
      <c r="L199" t="s">
        <v>105</v>
      </c>
      <c r="M199">
        <f t="shared" si="8"/>
        <v>1</v>
      </c>
    </row>
    <row r="200" ht="18" customHeight="1" spans="1:13">
      <c r="A200" t="s">
        <v>445</v>
      </c>
      <c r="B200" s="15" t="s">
        <v>446</v>
      </c>
      <c r="C200" t="s">
        <v>15</v>
      </c>
      <c r="D200" t="s">
        <v>16</v>
      </c>
      <c r="E200" s="11" t="s">
        <v>17</v>
      </c>
      <c r="F200" s="15" t="s">
        <v>447</v>
      </c>
      <c r="G200" t="s">
        <v>19</v>
      </c>
      <c r="H200" t="s">
        <v>20</v>
      </c>
      <c r="I200" t="s">
        <v>448</v>
      </c>
      <c r="J200" t="s">
        <v>22</v>
      </c>
      <c r="K200" t="str">
        <f t="shared" si="7"/>
        <v>A</v>
      </c>
      <c r="L200" t="s">
        <v>22</v>
      </c>
      <c r="M200">
        <f t="shared" si="8"/>
        <v>1</v>
      </c>
    </row>
    <row r="201" ht="18" customHeight="1" spans="1:13">
      <c r="A201" t="s">
        <v>445</v>
      </c>
      <c r="B201" s="15" t="s">
        <v>446</v>
      </c>
      <c r="C201" t="s">
        <v>15</v>
      </c>
      <c r="D201" t="s">
        <v>16</v>
      </c>
      <c r="E201" s="11" t="s">
        <v>23</v>
      </c>
      <c r="F201" s="15" t="s">
        <v>449</v>
      </c>
      <c r="G201" t="s">
        <v>19</v>
      </c>
      <c r="H201" t="s">
        <v>20</v>
      </c>
      <c r="I201" t="s">
        <v>450</v>
      </c>
      <c r="J201" t="s">
        <v>26</v>
      </c>
      <c r="K201" t="str">
        <f t="shared" si="7"/>
        <v>A</v>
      </c>
      <c r="L201" t="s">
        <v>22</v>
      </c>
      <c r="M201">
        <f t="shared" si="8"/>
        <v>1</v>
      </c>
    </row>
    <row r="202" ht="18" customHeight="1" spans="1:13">
      <c r="A202" t="s">
        <v>445</v>
      </c>
      <c r="B202" s="15" t="s">
        <v>446</v>
      </c>
      <c r="C202" t="s">
        <v>15</v>
      </c>
      <c r="D202" t="s">
        <v>27</v>
      </c>
      <c r="E202" s="11" t="s">
        <v>17</v>
      </c>
      <c r="F202" s="15" t="s">
        <v>451</v>
      </c>
      <c r="G202" t="s">
        <v>19</v>
      </c>
      <c r="H202" t="s">
        <v>20</v>
      </c>
      <c r="I202" t="s">
        <v>452</v>
      </c>
      <c r="J202" t="s">
        <v>22</v>
      </c>
      <c r="K202" t="str">
        <f t="shared" si="7"/>
        <v>A</v>
      </c>
      <c r="L202" t="s">
        <v>22</v>
      </c>
      <c r="M202">
        <f t="shared" si="8"/>
        <v>1</v>
      </c>
    </row>
    <row r="203" ht="18" customHeight="1" spans="1:13">
      <c r="A203" t="s">
        <v>445</v>
      </c>
      <c r="B203" s="15" t="s">
        <v>446</v>
      </c>
      <c r="C203" t="s">
        <v>15</v>
      </c>
      <c r="D203" t="s">
        <v>27</v>
      </c>
      <c r="E203" s="11" t="s">
        <v>23</v>
      </c>
      <c r="F203" s="15" t="s">
        <v>453</v>
      </c>
      <c r="G203" t="s">
        <v>19</v>
      </c>
      <c r="H203" t="s">
        <v>20</v>
      </c>
      <c r="I203" t="s">
        <v>454</v>
      </c>
      <c r="J203" t="s">
        <v>26</v>
      </c>
      <c r="K203" t="str">
        <f t="shared" si="7"/>
        <v>A</v>
      </c>
      <c r="L203" t="s">
        <v>22</v>
      </c>
      <c r="M203">
        <f t="shared" si="8"/>
        <v>1</v>
      </c>
    </row>
    <row r="204" ht="18" customHeight="1" spans="1:13">
      <c r="A204" t="s">
        <v>445</v>
      </c>
      <c r="B204" s="15" t="s">
        <v>446</v>
      </c>
      <c r="C204" t="s">
        <v>15</v>
      </c>
      <c r="D204" t="s">
        <v>32</v>
      </c>
      <c r="E204" s="11" t="s">
        <v>17</v>
      </c>
      <c r="F204" s="15" t="s">
        <v>455</v>
      </c>
      <c r="G204" t="s">
        <v>19</v>
      </c>
      <c r="H204" t="s">
        <v>20</v>
      </c>
      <c r="I204" t="s">
        <v>456</v>
      </c>
      <c r="J204" t="s">
        <v>22</v>
      </c>
      <c r="K204" t="str">
        <f t="shared" si="7"/>
        <v>A</v>
      </c>
      <c r="L204" t="s">
        <v>22</v>
      </c>
      <c r="M204">
        <f t="shared" si="8"/>
        <v>1</v>
      </c>
    </row>
    <row r="205" ht="18" customHeight="1" spans="1:13">
      <c r="A205" t="s">
        <v>445</v>
      </c>
      <c r="B205" s="15" t="s">
        <v>446</v>
      </c>
      <c r="C205" t="s">
        <v>15</v>
      </c>
      <c r="D205" t="s">
        <v>32</v>
      </c>
      <c r="E205" s="11" t="s">
        <v>23</v>
      </c>
      <c r="F205" s="15" t="s">
        <v>457</v>
      </c>
      <c r="G205" t="s">
        <v>19</v>
      </c>
      <c r="H205" t="s">
        <v>20</v>
      </c>
      <c r="I205" t="s">
        <v>458</v>
      </c>
      <c r="J205" t="s">
        <v>26</v>
      </c>
      <c r="K205" t="str">
        <f t="shared" si="7"/>
        <v>A</v>
      </c>
      <c r="L205" t="s">
        <v>22</v>
      </c>
      <c r="M205">
        <f t="shared" si="8"/>
        <v>1</v>
      </c>
    </row>
    <row r="206" ht="18" customHeight="1" spans="1:13">
      <c r="A206" t="s">
        <v>445</v>
      </c>
      <c r="B206" s="15" t="s">
        <v>446</v>
      </c>
      <c r="C206" t="s">
        <v>37</v>
      </c>
      <c r="D206" t="s">
        <v>16</v>
      </c>
      <c r="E206" s="11" t="s">
        <v>17</v>
      </c>
      <c r="F206" s="15" t="s">
        <v>459</v>
      </c>
      <c r="G206" t="s">
        <v>19</v>
      </c>
      <c r="H206" t="s">
        <v>20</v>
      </c>
      <c r="I206" s="19" t="s">
        <v>460</v>
      </c>
      <c r="J206" s="19" t="s">
        <v>22</v>
      </c>
      <c r="K206" s="19" t="str">
        <f t="shared" si="7"/>
        <v>A</v>
      </c>
      <c r="L206" t="s">
        <v>106</v>
      </c>
      <c r="M206">
        <f t="shared" si="8"/>
        <v>0</v>
      </c>
    </row>
    <row r="207" ht="18" customHeight="1" spans="1:13">
      <c r="A207" t="s">
        <v>445</v>
      </c>
      <c r="B207" s="15" t="s">
        <v>446</v>
      </c>
      <c r="C207" t="s">
        <v>37</v>
      </c>
      <c r="D207" t="s">
        <v>16</v>
      </c>
      <c r="E207" s="11" t="s">
        <v>23</v>
      </c>
      <c r="F207" s="15" t="s">
        <v>461</v>
      </c>
      <c r="G207" t="s">
        <v>19</v>
      </c>
      <c r="H207" t="s">
        <v>20</v>
      </c>
      <c r="I207" s="19" t="s">
        <v>462</v>
      </c>
      <c r="J207" s="19" t="s">
        <v>26</v>
      </c>
      <c r="K207" s="19" t="str">
        <f t="shared" si="7"/>
        <v>A</v>
      </c>
      <c r="L207" t="s">
        <v>106</v>
      </c>
      <c r="M207">
        <f t="shared" si="8"/>
        <v>0</v>
      </c>
    </row>
    <row r="208" ht="18" customHeight="1" spans="1:13">
      <c r="A208" t="s">
        <v>445</v>
      </c>
      <c r="B208" s="15" t="s">
        <v>446</v>
      </c>
      <c r="C208" t="s">
        <v>37</v>
      </c>
      <c r="D208" t="s">
        <v>27</v>
      </c>
      <c r="E208" s="11" t="s">
        <v>17</v>
      </c>
      <c r="F208" s="15" t="s">
        <v>463</v>
      </c>
      <c r="G208" t="s">
        <v>19</v>
      </c>
      <c r="H208" t="s">
        <v>20</v>
      </c>
      <c r="I208" s="19" t="s">
        <v>464</v>
      </c>
      <c r="J208" s="19" t="s">
        <v>22</v>
      </c>
      <c r="K208" s="19" t="str">
        <f t="shared" si="7"/>
        <v>A</v>
      </c>
      <c r="L208" t="s">
        <v>106</v>
      </c>
      <c r="M208">
        <f t="shared" si="8"/>
        <v>0</v>
      </c>
    </row>
    <row r="209" ht="18" customHeight="1" spans="1:13">
      <c r="A209" t="s">
        <v>445</v>
      </c>
      <c r="B209" s="15" t="s">
        <v>446</v>
      </c>
      <c r="C209" t="s">
        <v>37</v>
      </c>
      <c r="D209" t="s">
        <v>27</v>
      </c>
      <c r="E209" s="11" t="s">
        <v>23</v>
      </c>
      <c r="F209" s="15" t="s">
        <v>465</v>
      </c>
      <c r="G209" t="s">
        <v>19</v>
      </c>
      <c r="H209" t="s">
        <v>20</v>
      </c>
      <c r="I209" s="19" t="s">
        <v>466</v>
      </c>
      <c r="J209" s="19" t="s">
        <v>26</v>
      </c>
      <c r="K209" s="19" t="str">
        <f t="shared" si="7"/>
        <v>A</v>
      </c>
      <c r="L209" t="s">
        <v>106</v>
      </c>
      <c r="M209">
        <f t="shared" si="8"/>
        <v>0</v>
      </c>
    </row>
    <row r="210" ht="18" customHeight="1" spans="1:13">
      <c r="A210" t="s">
        <v>445</v>
      </c>
      <c r="B210" s="15" t="s">
        <v>446</v>
      </c>
      <c r="C210" t="s">
        <v>37</v>
      </c>
      <c r="D210" t="s">
        <v>32</v>
      </c>
      <c r="E210" s="11" t="s">
        <v>17</v>
      </c>
      <c r="F210" s="16" t="s">
        <v>467</v>
      </c>
      <c r="G210" t="s">
        <v>19</v>
      </c>
      <c r="H210" t="s">
        <v>20</v>
      </c>
      <c r="I210" s="19" t="s">
        <v>468</v>
      </c>
      <c r="J210" s="19" t="s">
        <v>22</v>
      </c>
      <c r="K210" s="19" t="str">
        <f t="shared" si="7"/>
        <v>A</v>
      </c>
      <c r="L210" t="s">
        <v>106</v>
      </c>
      <c r="M210">
        <f t="shared" si="8"/>
        <v>0</v>
      </c>
    </row>
    <row r="211" ht="18" customHeight="1" spans="1:13">
      <c r="A211" t="s">
        <v>445</v>
      </c>
      <c r="B211" s="15" t="s">
        <v>446</v>
      </c>
      <c r="C211" t="s">
        <v>37</v>
      </c>
      <c r="D211" t="s">
        <v>32</v>
      </c>
      <c r="E211" s="11" t="s">
        <v>23</v>
      </c>
      <c r="F211" s="15" t="s">
        <v>469</v>
      </c>
      <c r="G211" t="s">
        <v>19</v>
      </c>
      <c r="H211" t="s">
        <v>20</v>
      </c>
      <c r="I211" s="19" t="s">
        <v>470</v>
      </c>
      <c r="J211" s="19" t="s">
        <v>26</v>
      </c>
      <c r="K211" s="19" t="str">
        <f t="shared" si="7"/>
        <v>A</v>
      </c>
      <c r="L211" t="s">
        <v>106</v>
      </c>
      <c r="M211">
        <f t="shared" si="8"/>
        <v>0</v>
      </c>
    </row>
    <row r="212" ht="18" customHeight="1" spans="1:13">
      <c r="A212" t="s">
        <v>445</v>
      </c>
      <c r="B212" s="15" t="s">
        <v>446</v>
      </c>
      <c r="C212" t="s">
        <v>50</v>
      </c>
      <c r="D212" t="s">
        <v>16</v>
      </c>
      <c r="E212" s="11" t="s">
        <v>17</v>
      </c>
      <c r="F212" s="16" t="s">
        <v>471</v>
      </c>
      <c r="G212" t="s">
        <v>19</v>
      </c>
      <c r="H212" t="s">
        <v>20</v>
      </c>
      <c r="I212" s="18" t="s">
        <v>472</v>
      </c>
      <c r="J212" t="s">
        <v>26</v>
      </c>
      <c r="K212" t="str">
        <f t="shared" si="7"/>
        <v>C</v>
      </c>
      <c r="L212" t="s">
        <v>105</v>
      </c>
      <c r="M212">
        <f t="shared" si="8"/>
        <v>1</v>
      </c>
    </row>
    <row r="213" ht="18" customHeight="1" spans="1:13">
      <c r="A213" t="s">
        <v>445</v>
      </c>
      <c r="B213" s="15" t="s">
        <v>446</v>
      </c>
      <c r="C213" t="s">
        <v>50</v>
      </c>
      <c r="D213" t="s">
        <v>16</v>
      </c>
      <c r="E213" s="11" t="s">
        <v>23</v>
      </c>
      <c r="F213" s="15" t="s">
        <v>473</v>
      </c>
      <c r="G213" t="s">
        <v>19</v>
      </c>
      <c r="H213" t="s">
        <v>20</v>
      </c>
      <c r="I213" t="s">
        <v>474</v>
      </c>
      <c r="J213" t="s">
        <v>22</v>
      </c>
      <c r="K213" t="str">
        <f t="shared" si="7"/>
        <v>C</v>
      </c>
      <c r="L213" t="s">
        <v>105</v>
      </c>
      <c r="M213">
        <f t="shared" si="8"/>
        <v>1</v>
      </c>
    </row>
    <row r="214" ht="18" customHeight="1" spans="1:13">
      <c r="A214" t="s">
        <v>445</v>
      </c>
      <c r="B214" s="15" t="s">
        <v>446</v>
      </c>
      <c r="C214" t="s">
        <v>50</v>
      </c>
      <c r="D214" t="s">
        <v>27</v>
      </c>
      <c r="E214" s="11" t="s">
        <v>17</v>
      </c>
      <c r="F214" s="15" t="s">
        <v>475</v>
      </c>
      <c r="G214" t="s">
        <v>19</v>
      </c>
      <c r="H214" t="s">
        <v>20</v>
      </c>
      <c r="I214" t="s">
        <v>476</v>
      </c>
      <c r="J214" t="s">
        <v>26</v>
      </c>
      <c r="K214" t="str">
        <f t="shared" si="7"/>
        <v>C</v>
      </c>
      <c r="L214" t="s">
        <v>105</v>
      </c>
      <c r="M214">
        <f t="shared" si="8"/>
        <v>1</v>
      </c>
    </row>
    <row r="215" ht="18" customHeight="1" spans="1:13">
      <c r="A215" t="s">
        <v>445</v>
      </c>
      <c r="B215" s="15" t="s">
        <v>446</v>
      </c>
      <c r="C215" t="s">
        <v>50</v>
      </c>
      <c r="D215" t="s">
        <v>27</v>
      </c>
      <c r="E215" s="11" t="s">
        <v>23</v>
      </c>
      <c r="F215" s="15" t="s">
        <v>477</v>
      </c>
      <c r="G215" t="s">
        <v>19</v>
      </c>
      <c r="H215" t="s">
        <v>20</v>
      </c>
      <c r="I215" t="s">
        <v>478</v>
      </c>
      <c r="J215" t="s">
        <v>22</v>
      </c>
      <c r="K215" t="str">
        <f t="shared" si="7"/>
        <v>C</v>
      </c>
      <c r="L215" t="s">
        <v>105</v>
      </c>
      <c r="M215">
        <f t="shared" si="8"/>
        <v>1</v>
      </c>
    </row>
    <row r="216" ht="18" customHeight="1" spans="1:13">
      <c r="A216" t="s">
        <v>445</v>
      </c>
      <c r="B216" s="15" t="s">
        <v>446</v>
      </c>
      <c r="C216" t="s">
        <v>50</v>
      </c>
      <c r="D216" t="s">
        <v>32</v>
      </c>
      <c r="E216" s="11" t="s">
        <v>17</v>
      </c>
      <c r="F216" s="15" t="s">
        <v>479</v>
      </c>
      <c r="G216" t="s">
        <v>19</v>
      </c>
      <c r="H216" t="s">
        <v>20</v>
      </c>
      <c r="I216" t="s">
        <v>480</v>
      </c>
      <c r="J216" t="s">
        <v>26</v>
      </c>
      <c r="K216" t="str">
        <f t="shared" si="7"/>
        <v>C</v>
      </c>
      <c r="L216" t="s">
        <v>105</v>
      </c>
      <c r="M216">
        <f t="shared" si="8"/>
        <v>1</v>
      </c>
    </row>
    <row r="217" ht="18" customHeight="1" spans="1:13">
      <c r="A217" t="s">
        <v>445</v>
      </c>
      <c r="B217" s="15" t="s">
        <v>446</v>
      </c>
      <c r="C217" t="s">
        <v>50</v>
      </c>
      <c r="D217" t="s">
        <v>32</v>
      </c>
      <c r="E217" s="11" t="s">
        <v>23</v>
      </c>
      <c r="F217" s="15" t="s">
        <v>481</v>
      </c>
      <c r="G217" t="s">
        <v>19</v>
      </c>
      <c r="H217" t="s">
        <v>20</v>
      </c>
      <c r="I217" t="s">
        <v>482</v>
      </c>
      <c r="J217" t="s">
        <v>22</v>
      </c>
      <c r="K217" t="str">
        <f t="shared" si="7"/>
        <v>C</v>
      </c>
      <c r="L217" t="s">
        <v>105</v>
      </c>
      <c r="M217">
        <f t="shared" si="8"/>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K2:K37 K175:L217">
      <formula1>"A,B,C,D(平局)"</formula1>
    </dataValidation>
    <dataValidation type="list" sqref="L2:L174">
      <formula1>"是,否"</formula1>
    </dataValidation>
    <dataValidation type="list" sqref="J38: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topLeftCell="E2" workbookViewId="0">
      <selection activeCell="G2" sqref="G2"/>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13</v>
      </c>
      <c r="B2" s="2" t="s">
        <v>15</v>
      </c>
      <c r="C2" s="2" t="s">
        <v>17</v>
      </c>
      <c r="D2" s="2">
        <v>1</v>
      </c>
      <c r="E2" s="6" t="s">
        <v>497</v>
      </c>
      <c r="F2" s="2" t="str">
        <f>IF(C2="l2r",LEFT(B2,1),RIGHT(B2,1))</f>
        <v>A</v>
      </c>
      <c r="G2" s="2">
        <v>5</v>
      </c>
      <c r="H2" s="2" t="str">
        <f t="shared" ref="H2:H65" si="0">IF(C2="l2r",RIGHT(B2,1),LEFT(B2,1))</f>
        <v>B</v>
      </c>
      <c r="I2" s="2">
        <v>4</v>
      </c>
      <c r="J2" s="2">
        <f t="shared" ref="J2:J65" si="1">G2-I2</f>
        <v>1</v>
      </c>
      <c r="K2" s="2" t="str">
        <f t="shared" ref="K2:K65" si="2">IF(J2=0,"C",IF(J2&gt;0,"A","B"))</f>
        <v>A</v>
      </c>
      <c r="L2" s="2" t="str">
        <f t="shared" ref="L2:L65" si="3">IF(J2=0,"D(平局)",IF(J2&gt;0,F2,H2))</f>
        <v>A</v>
      </c>
      <c r="M2" s="2" t="s">
        <v>22</v>
      </c>
      <c r="N2" s="2">
        <f t="shared" ref="N2:N65" si="4">--(L2=M2)</f>
        <v>1</v>
      </c>
      <c r="O2" s="2" t="s">
        <v>22</v>
      </c>
      <c r="P2" s="2">
        <v>4</v>
      </c>
    </row>
    <row r="3" ht="23" customHeight="1" spans="1:16">
      <c r="A3" s="6" t="s">
        <v>13</v>
      </c>
      <c r="B3" s="2" t="s">
        <v>15</v>
      </c>
      <c r="C3" s="2" t="s">
        <v>23</v>
      </c>
      <c r="D3" s="2">
        <v>1</v>
      </c>
      <c r="E3" s="6" t="s">
        <v>497</v>
      </c>
      <c r="F3" s="2" t="str">
        <f t="shared" ref="F2:F65" si="5">IF(C3="l2r",LEFT(B3,1),RIGHT(B3,1))</f>
        <v>B</v>
      </c>
      <c r="G3" s="2">
        <v>4</v>
      </c>
      <c r="H3" s="2" t="str">
        <f t="shared" si="0"/>
        <v>A</v>
      </c>
      <c r="I3" s="2">
        <v>5</v>
      </c>
      <c r="J3" s="2">
        <f t="shared" si="1"/>
        <v>-1</v>
      </c>
      <c r="K3" s="2" t="str">
        <f t="shared" si="2"/>
        <v>B</v>
      </c>
      <c r="L3" s="2" t="str">
        <f t="shared" si="3"/>
        <v>A</v>
      </c>
      <c r="M3" s="2" t="s">
        <v>22</v>
      </c>
      <c r="N3" s="2">
        <f t="shared" si="4"/>
        <v>1</v>
      </c>
      <c r="O3" s="2" t="s">
        <v>26</v>
      </c>
      <c r="P3" s="2">
        <v>5</v>
      </c>
    </row>
    <row r="4" ht="23" customHeight="1" spans="1:16">
      <c r="A4" s="6" t="s">
        <v>13</v>
      </c>
      <c r="B4" s="2" t="s">
        <v>15</v>
      </c>
      <c r="C4" s="2" t="s">
        <v>17</v>
      </c>
      <c r="D4" s="2">
        <v>2</v>
      </c>
      <c r="E4" s="6" t="s">
        <v>498</v>
      </c>
      <c r="F4" s="2" t="str">
        <f t="shared" si="5"/>
        <v>A</v>
      </c>
      <c r="G4" s="2">
        <v>5</v>
      </c>
      <c r="H4" s="2" t="str">
        <f t="shared" si="0"/>
        <v>B</v>
      </c>
      <c r="I4" s="2">
        <v>3</v>
      </c>
      <c r="J4" s="2">
        <f t="shared" si="1"/>
        <v>2</v>
      </c>
      <c r="K4" s="2" t="str">
        <f t="shared" si="2"/>
        <v>A</v>
      </c>
      <c r="L4" s="2" t="str">
        <f t="shared" si="3"/>
        <v>A</v>
      </c>
      <c r="M4" s="2" t="s">
        <v>22</v>
      </c>
      <c r="N4" s="2">
        <f t="shared" si="4"/>
        <v>1</v>
      </c>
      <c r="O4" s="2" t="s">
        <v>22</v>
      </c>
      <c r="P4" s="2">
        <v>4</v>
      </c>
    </row>
    <row r="5" ht="23" customHeight="1" spans="1:16">
      <c r="A5" s="6" t="s">
        <v>13</v>
      </c>
      <c r="B5" s="2" t="s">
        <v>15</v>
      </c>
      <c r="C5" s="2" t="s">
        <v>23</v>
      </c>
      <c r="D5" s="2">
        <v>2</v>
      </c>
      <c r="E5" s="6" t="s">
        <v>498</v>
      </c>
      <c r="F5" s="2" t="str">
        <f t="shared" si="5"/>
        <v>B</v>
      </c>
      <c r="G5" s="2">
        <v>3</v>
      </c>
      <c r="H5" s="2" t="str">
        <f t="shared" si="0"/>
        <v>A</v>
      </c>
      <c r="I5" s="2">
        <v>5</v>
      </c>
      <c r="J5" s="2">
        <f t="shared" si="1"/>
        <v>-2</v>
      </c>
      <c r="K5" s="2" t="str">
        <f t="shared" si="2"/>
        <v>B</v>
      </c>
      <c r="L5" s="2" t="str">
        <f t="shared" si="3"/>
        <v>A</v>
      </c>
      <c r="M5" s="2" t="s">
        <v>22</v>
      </c>
      <c r="N5" s="2">
        <f t="shared" si="4"/>
        <v>1</v>
      </c>
      <c r="O5" s="2" t="s">
        <v>26</v>
      </c>
      <c r="P5" s="2">
        <v>5</v>
      </c>
    </row>
    <row r="6" ht="23" customHeight="1" spans="1:16">
      <c r="A6" s="6" t="s">
        <v>13</v>
      </c>
      <c r="B6" s="2" t="s">
        <v>15</v>
      </c>
      <c r="C6" s="2" t="s">
        <v>17</v>
      </c>
      <c r="D6" s="2">
        <v>3</v>
      </c>
      <c r="E6" s="6" t="s">
        <v>499</v>
      </c>
      <c r="F6" s="2" t="str">
        <f t="shared" si="5"/>
        <v>A</v>
      </c>
      <c r="G6" s="2">
        <v>5</v>
      </c>
      <c r="H6" s="2" t="str">
        <f t="shared" si="0"/>
        <v>B</v>
      </c>
      <c r="I6" s="2">
        <v>3</v>
      </c>
      <c r="J6" s="2">
        <f t="shared" si="1"/>
        <v>2</v>
      </c>
      <c r="K6" s="2" t="str">
        <f t="shared" si="2"/>
        <v>A</v>
      </c>
      <c r="L6" s="2" t="str">
        <f t="shared" si="3"/>
        <v>A</v>
      </c>
      <c r="M6" s="2" t="s">
        <v>22</v>
      </c>
      <c r="N6" s="2">
        <f t="shared" si="4"/>
        <v>1</v>
      </c>
      <c r="O6" s="2" t="s">
        <v>22</v>
      </c>
      <c r="P6" s="2">
        <v>4</v>
      </c>
    </row>
    <row r="7" ht="23" customHeight="1" spans="1:16">
      <c r="A7" s="6" t="s">
        <v>13</v>
      </c>
      <c r="B7" s="2" t="s">
        <v>15</v>
      </c>
      <c r="C7" s="2" t="s">
        <v>23</v>
      </c>
      <c r="D7" s="2">
        <v>3</v>
      </c>
      <c r="E7" s="6" t="s">
        <v>499</v>
      </c>
      <c r="F7" s="2" t="str">
        <f t="shared" si="5"/>
        <v>B</v>
      </c>
      <c r="G7" s="2">
        <v>3</v>
      </c>
      <c r="H7" s="2" t="str">
        <f t="shared" si="0"/>
        <v>A</v>
      </c>
      <c r="I7" s="2">
        <v>5</v>
      </c>
      <c r="J7" s="2">
        <f t="shared" si="1"/>
        <v>-2</v>
      </c>
      <c r="K7" s="2" t="str">
        <f t="shared" si="2"/>
        <v>B</v>
      </c>
      <c r="L7" s="2" t="str">
        <f t="shared" si="3"/>
        <v>A</v>
      </c>
      <c r="M7" s="2" t="s">
        <v>22</v>
      </c>
      <c r="N7" s="2">
        <f t="shared" si="4"/>
        <v>1</v>
      </c>
      <c r="O7" s="2" t="s">
        <v>26</v>
      </c>
      <c r="P7" s="2">
        <v>5</v>
      </c>
    </row>
    <row r="8" ht="23" customHeight="1" spans="1:16">
      <c r="A8" s="6" t="s">
        <v>13</v>
      </c>
      <c r="B8" s="2" t="s">
        <v>15</v>
      </c>
      <c r="C8" s="2" t="s">
        <v>17</v>
      </c>
      <c r="D8" s="2">
        <v>4</v>
      </c>
      <c r="E8" s="6" t="s">
        <v>500</v>
      </c>
      <c r="F8" s="2" t="str">
        <f t="shared" si="5"/>
        <v>A</v>
      </c>
      <c r="G8" s="2">
        <v>5</v>
      </c>
      <c r="H8" s="2" t="str">
        <f t="shared" si="0"/>
        <v>B</v>
      </c>
      <c r="I8" s="2">
        <v>4</v>
      </c>
      <c r="J8" s="2">
        <f t="shared" si="1"/>
        <v>1</v>
      </c>
      <c r="K8" s="2" t="str">
        <f t="shared" si="2"/>
        <v>A</v>
      </c>
      <c r="L8" s="2" t="str">
        <f t="shared" si="3"/>
        <v>A</v>
      </c>
      <c r="M8" s="2" t="s">
        <v>22</v>
      </c>
      <c r="N8" s="2">
        <f t="shared" si="4"/>
        <v>1</v>
      </c>
      <c r="O8" s="2" t="s">
        <v>22</v>
      </c>
      <c r="P8" s="2">
        <v>4</v>
      </c>
    </row>
    <row r="9" ht="23" customHeight="1" spans="1:16">
      <c r="A9" s="6" t="s">
        <v>13</v>
      </c>
      <c r="B9" s="2" t="s">
        <v>15</v>
      </c>
      <c r="C9" s="2" t="s">
        <v>23</v>
      </c>
      <c r="D9" s="2">
        <v>4</v>
      </c>
      <c r="E9" s="6" t="s">
        <v>500</v>
      </c>
      <c r="F9" s="2" t="str">
        <f t="shared" si="5"/>
        <v>B</v>
      </c>
      <c r="G9" s="2">
        <v>4</v>
      </c>
      <c r="H9" s="2" t="str">
        <f t="shared" si="0"/>
        <v>A</v>
      </c>
      <c r="I9" s="2">
        <v>5</v>
      </c>
      <c r="J9" s="2">
        <f t="shared" si="1"/>
        <v>-1</v>
      </c>
      <c r="K9" s="2" t="str">
        <f t="shared" si="2"/>
        <v>B</v>
      </c>
      <c r="L9" s="2" t="str">
        <f t="shared" si="3"/>
        <v>A</v>
      </c>
      <c r="M9" s="2" t="s">
        <v>22</v>
      </c>
      <c r="N9" s="2">
        <f t="shared" si="4"/>
        <v>1</v>
      </c>
      <c r="O9" s="2" t="s">
        <v>26</v>
      </c>
      <c r="P9" s="2">
        <v>5</v>
      </c>
    </row>
    <row r="10" ht="23" customHeight="1" spans="1:16">
      <c r="A10" s="6" t="s">
        <v>13</v>
      </c>
      <c r="B10" s="2" t="s">
        <v>15</v>
      </c>
      <c r="C10" s="2" t="s">
        <v>17</v>
      </c>
      <c r="D10" s="2">
        <v>5</v>
      </c>
      <c r="E10" s="6" t="s">
        <v>501</v>
      </c>
      <c r="F10" s="2" t="str">
        <f t="shared" si="5"/>
        <v>A</v>
      </c>
      <c r="G10" s="2">
        <v>5</v>
      </c>
      <c r="H10" s="2" t="str">
        <f t="shared" si="0"/>
        <v>B</v>
      </c>
      <c r="I10" s="2">
        <v>5</v>
      </c>
      <c r="J10" s="2">
        <f t="shared" si="1"/>
        <v>0</v>
      </c>
      <c r="K10" s="2" t="str">
        <f t="shared" si="2"/>
        <v>C</v>
      </c>
      <c r="L10" s="2" t="str">
        <f t="shared" si="3"/>
        <v>D(平局)</v>
      </c>
      <c r="M10" s="2" t="s">
        <v>22</v>
      </c>
      <c r="N10" s="2">
        <f t="shared" si="4"/>
        <v>0</v>
      </c>
      <c r="O10" s="2" t="s">
        <v>22</v>
      </c>
      <c r="P10" s="2">
        <v>4</v>
      </c>
    </row>
    <row r="11" ht="23" customHeight="1" spans="1:16">
      <c r="A11" s="6" t="s">
        <v>13</v>
      </c>
      <c r="B11" s="2" t="s">
        <v>15</v>
      </c>
      <c r="C11" s="2" t="s">
        <v>23</v>
      </c>
      <c r="D11" s="2">
        <v>5</v>
      </c>
      <c r="E11" s="6" t="s">
        <v>501</v>
      </c>
      <c r="F11" s="2" t="str">
        <f t="shared" si="5"/>
        <v>B</v>
      </c>
      <c r="G11" s="2">
        <v>4</v>
      </c>
      <c r="H11" s="2" t="str">
        <f t="shared" si="0"/>
        <v>A</v>
      </c>
      <c r="I11" s="2">
        <v>5</v>
      </c>
      <c r="J11" s="2">
        <f t="shared" si="1"/>
        <v>-1</v>
      </c>
      <c r="K11" s="2" t="str">
        <f t="shared" si="2"/>
        <v>B</v>
      </c>
      <c r="L11" s="2" t="str">
        <f t="shared" si="3"/>
        <v>A</v>
      </c>
      <c r="M11" s="2" t="s">
        <v>22</v>
      </c>
      <c r="N11" s="2">
        <f t="shared" si="4"/>
        <v>1</v>
      </c>
      <c r="O11" s="2" t="s">
        <v>26</v>
      </c>
      <c r="P11" s="2">
        <v>5</v>
      </c>
    </row>
    <row r="12" ht="23" customHeight="1" spans="1:16">
      <c r="A12" s="6" t="s">
        <v>13</v>
      </c>
      <c r="B12" s="2" t="s">
        <v>37</v>
      </c>
      <c r="C12" s="2" t="s">
        <v>17</v>
      </c>
      <c r="D12" s="2">
        <v>1</v>
      </c>
      <c r="E12" s="6" t="s">
        <v>497</v>
      </c>
      <c r="F12" s="2" t="str">
        <f>IF(C12="l2r",LEFT(B12,1),RIGHT(B12,1))</f>
        <v>A</v>
      </c>
      <c r="G12" s="2">
        <v>5</v>
      </c>
      <c r="H12" s="2" t="str">
        <f t="shared" si="0"/>
        <v>C</v>
      </c>
      <c r="I12" s="2">
        <v>2</v>
      </c>
      <c r="J12" s="2">
        <f t="shared" si="1"/>
        <v>3</v>
      </c>
      <c r="K12" s="2" t="str">
        <f t="shared" si="2"/>
        <v>A</v>
      </c>
      <c r="L12" s="2" t="str">
        <f t="shared" si="3"/>
        <v>A</v>
      </c>
      <c r="M12" s="2" t="s">
        <v>22</v>
      </c>
      <c r="N12" s="2">
        <f t="shared" si="4"/>
        <v>1</v>
      </c>
      <c r="O12" s="2" t="s">
        <v>22</v>
      </c>
      <c r="P12" s="2">
        <v>10</v>
      </c>
    </row>
    <row r="13" ht="23" customHeight="1" spans="1:16">
      <c r="A13" s="6" t="s">
        <v>13</v>
      </c>
      <c r="B13" s="2" t="s">
        <v>37</v>
      </c>
      <c r="C13" s="2" t="s">
        <v>23</v>
      </c>
      <c r="D13" s="2">
        <v>1</v>
      </c>
      <c r="E13" s="6" t="s">
        <v>497</v>
      </c>
      <c r="F13" s="2" t="str">
        <f t="shared" si="5"/>
        <v>C</v>
      </c>
      <c r="G13" s="2">
        <v>3</v>
      </c>
      <c r="H13" s="2" t="str">
        <f t="shared" si="0"/>
        <v>A</v>
      </c>
      <c r="I13" s="2">
        <v>5</v>
      </c>
      <c r="J13" s="2">
        <f t="shared" si="1"/>
        <v>-2</v>
      </c>
      <c r="K13" s="2" t="str">
        <f t="shared" si="2"/>
        <v>B</v>
      </c>
      <c r="L13" s="2" t="str">
        <f t="shared" si="3"/>
        <v>A</v>
      </c>
      <c r="M13" s="2" t="s">
        <v>22</v>
      </c>
      <c r="N13" s="2">
        <f t="shared" si="4"/>
        <v>1</v>
      </c>
      <c r="O13" s="2" t="s">
        <v>26</v>
      </c>
      <c r="P13" s="2">
        <v>11</v>
      </c>
    </row>
    <row r="14" ht="23" customHeight="1" spans="1:16">
      <c r="A14" s="6" t="s">
        <v>13</v>
      </c>
      <c r="B14" s="2" t="s">
        <v>37</v>
      </c>
      <c r="C14" s="2" t="s">
        <v>17</v>
      </c>
      <c r="D14" s="2">
        <v>2</v>
      </c>
      <c r="E14" s="6" t="s">
        <v>498</v>
      </c>
      <c r="F14" s="2" t="str">
        <f t="shared" si="5"/>
        <v>A</v>
      </c>
      <c r="G14" s="2">
        <v>5</v>
      </c>
      <c r="H14" s="2" t="str">
        <f t="shared" si="0"/>
        <v>C</v>
      </c>
      <c r="I14" s="2">
        <v>1</v>
      </c>
      <c r="J14" s="2">
        <f t="shared" si="1"/>
        <v>4</v>
      </c>
      <c r="K14" s="2" t="str">
        <f t="shared" si="2"/>
        <v>A</v>
      </c>
      <c r="L14" s="2" t="str">
        <f t="shared" si="3"/>
        <v>A</v>
      </c>
      <c r="M14" s="2" t="s">
        <v>22</v>
      </c>
      <c r="N14" s="2">
        <f t="shared" si="4"/>
        <v>1</v>
      </c>
      <c r="O14" s="2" t="s">
        <v>22</v>
      </c>
      <c r="P14" s="2">
        <v>10</v>
      </c>
    </row>
    <row r="15" ht="23" customHeight="1" spans="1:16">
      <c r="A15" s="6" t="s">
        <v>13</v>
      </c>
      <c r="B15" s="2" t="s">
        <v>37</v>
      </c>
      <c r="C15" s="2" t="s">
        <v>23</v>
      </c>
      <c r="D15" s="2">
        <v>2</v>
      </c>
      <c r="E15" s="6" t="s">
        <v>498</v>
      </c>
      <c r="F15" s="2" t="str">
        <f t="shared" si="5"/>
        <v>C</v>
      </c>
      <c r="G15" s="2">
        <v>1</v>
      </c>
      <c r="H15" s="2" t="str">
        <f t="shared" si="0"/>
        <v>A</v>
      </c>
      <c r="I15" s="2">
        <v>5</v>
      </c>
      <c r="J15" s="2">
        <f t="shared" si="1"/>
        <v>-4</v>
      </c>
      <c r="K15" s="2" t="str">
        <f t="shared" si="2"/>
        <v>B</v>
      </c>
      <c r="L15" s="2" t="str">
        <f t="shared" si="3"/>
        <v>A</v>
      </c>
      <c r="M15" s="2" t="s">
        <v>22</v>
      </c>
      <c r="N15" s="2">
        <f t="shared" si="4"/>
        <v>1</v>
      </c>
      <c r="O15" s="2" t="s">
        <v>26</v>
      </c>
      <c r="P15" s="2">
        <v>11</v>
      </c>
    </row>
    <row r="16" ht="23" customHeight="1" spans="1:16">
      <c r="A16" s="6" t="s">
        <v>13</v>
      </c>
      <c r="B16" s="2" t="s">
        <v>37</v>
      </c>
      <c r="C16" s="2" t="s">
        <v>17</v>
      </c>
      <c r="D16" s="2">
        <v>3</v>
      </c>
      <c r="E16" s="6" t="s">
        <v>499</v>
      </c>
      <c r="F16" s="2" t="str">
        <f t="shared" si="5"/>
        <v>A</v>
      </c>
      <c r="G16" s="2">
        <v>5</v>
      </c>
      <c r="H16" s="2" t="str">
        <f t="shared" si="0"/>
        <v>C</v>
      </c>
      <c r="I16" s="2">
        <v>2</v>
      </c>
      <c r="J16" s="2">
        <f t="shared" si="1"/>
        <v>3</v>
      </c>
      <c r="K16" s="2" t="str">
        <f t="shared" si="2"/>
        <v>A</v>
      </c>
      <c r="L16" s="2" t="str">
        <f t="shared" si="3"/>
        <v>A</v>
      </c>
      <c r="M16" s="2" t="s">
        <v>22</v>
      </c>
      <c r="N16" s="2">
        <f t="shared" si="4"/>
        <v>1</v>
      </c>
      <c r="O16" s="2" t="s">
        <v>22</v>
      </c>
      <c r="P16" s="2">
        <v>10</v>
      </c>
    </row>
    <row r="17" ht="23" customHeight="1" spans="1:16">
      <c r="A17" s="6" t="s">
        <v>13</v>
      </c>
      <c r="B17" s="2" t="s">
        <v>37</v>
      </c>
      <c r="C17" s="2" t="s">
        <v>23</v>
      </c>
      <c r="D17" s="2">
        <v>3</v>
      </c>
      <c r="E17" s="6" t="s">
        <v>499</v>
      </c>
      <c r="F17" s="2" t="str">
        <f t="shared" si="5"/>
        <v>C</v>
      </c>
      <c r="G17" s="2">
        <v>1</v>
      </c>
      <c r="H17" s="2" t="str">
        <f t="shared" si="0"/>
        <v>A</v>
      </c>
      <c r="I17" s="2">
        <v>5</v>
      </c>
      <c r="J17" s="2">
        <f t="shared" si="1"/>
        <v>-4</v>
      </c>
      <c r="K17" s="2" t="str">
        <f t="shared" si="2"/>
        <v>B</v>
      </c>
      <c r="L17" s="2" t="str">
        <f t="shared" si="3"/>
        <v>A</v>
      </c>
      <c r="M17" s="2" t="s">
        <v>22</v>
      </c>
      <c r="N17" s="2">
        <f t="shared" si="4"/>
        <v>1</v>
      </c>
      <c r="O17" s="2" t="s">
        <v>26</v>
      </c>
      <c r="P17" s="2">
        <v>11</v>
      </c>
    </row>
    <row r="18" ht="23" customHeight="1" spans="1:16">
      <c r="A18" s="6" t="s">
        <v>13</v>
      </c>
      <c r="B18" s="2" t="s">
        <v>37</v>
      </c>
      <c r="C18" s="2" t="s">
        <v>17</v>
      </c>
      <c r="D18" s="2">
        <v>4</v>
      </c>
      <c r="E18" s="6" t="s">
        <v>500</v>
      </c>
      <c r="F18" s="2" t="str">
        <f t="shared" si="5"/>
        <v>A</v>
      </c>
      <c r="G18" s="2">
        <v>5</v>
      </c>
      <c r="H18" s="2" t="str">
        <f t="shared" si="0"/>
        <v>C</v>
      </c>
      <c r="I18" s="2">
        <v>3</v>
      </c>
      <c r="J18" s="2">
        <f t="shared" si="1"/>
        <v>2</v>
      </c>
      <c r="K18" s="2" t="str">
        <f t="shared" si="2"/>
        <v>A</v>
      </c>
      <c r="L18" s="2" t="str">
        <f t="shared" si="3"/>
        <v>A</v>
      </c>
      <c r="M18" s="2" t="s">
        <v>22</v>
      </c>
      <c r="N18" s="2">
        <f t="shared" si="4"/>
        <v>1</v>
      </c>
      <c r="O18" s="2" t="s">
        <v>22</v>
      </c>
      <c r="P18" s="2">
        <v>10</v>
      </c>
    </row>
    <row r="19" ht="23" customHeight="1" spans="1:16">
      <c r="A19" s="6" t="s">
        <v>13</v>
      </c>
      <c r="B19" s="2" t="s">
        <v>37</v>
      </c>
      <c r="C19" s="2" t="s">
        <v>23</v>
      </c>
      <c r="D19" s="2">
        <v>4</v>
      </c>
      <c r="E19" s="6" t="s">
        <v>500</v>
      </c>
      <c r="F19" s="2" t="str">
        <f t="shared" si="5"/>
        <v>C</v>
      </c>
      <c r="G19" s="2">
        <v>3</v>
      </c>
      <c r="H19" s="2" t="str">
        <f t="shared" si="0"/>
        <v>A</v>
      </c>
      <c r="I19" s="2">
        <v>5</v>
      </c>
      <c r="J19" s="2">
        <f t="shared" si="1"/>
        <v>-2</v>
      </c>
      <c r="K19" s="2" t="str">
        <f t="shared" si="2"/>
        <v>B</v>
      </c>
      <c r="L19" s="2" t="str">
        <f t="shared" si="3"/>
        <v>A</v>
      </c>
      <c r="M19" s="2" t="s">
        <v>22</v>
      </c>
      <c r="N19" s="2">
        <f t="shared" si="4"/>
        <v>1</v>
      </c>
      <c r="O19" s="2" t="s">
        <v>26</v>
      </c>
      <c r="P19" s="2">
        <v>11</v>
      </c>
    </row>
    <row r="20" ht="23" customHeight="1" spans="1:16">
      <c r="A20" s="6" t="s">
        <v>13</v>
      </c>
      <c r="B20" s="2" t="s">
        <v>37</v>
      </c>
      <c r="C20" s="2" t="s">
        <v>17</v>
      </c>
      <c r="D20" s="2">
        <v>5</v>
      </c>
      <c r="E20" s="6" t="s">
        <v>501</v>
      </c>
      <c r="F20" s="2" t="str">
        <f t="shared" si="5"/>
        <v>A</v>
      </c>
      <c r="G20" s="2">
        <v>5</v>
      </c>
      <c r="H20" s="2" t="str">
        <f t="shared" si="0"/>
        <v>C</v>
      </c>
      <c r="I20" s="2">
        <v>2</v>
      </c>
      <c r="J20" s="2">
        <f t="shared" si="1"/>
        <v>3</v>
      </c>
      <c r="K20" s="2" t="str">
        <f t="shared" si="2"/>
        <v>A</v>
      </c>
      <c r="L20" s="2" t="str">
        <f t="shared" si="3"/>
        <v>A</v>
      </c>
      <c r="M20" s="2" t="s">
        <v>22</v>
      </c>
      <c r="N20" s="2">
        <f t="shared" si="4"/>
        <v>1</v>
      </c>
      <c r="O20" s="2" t="s">
        <v>22</v>
      </c>
      <c r="P20" s="2">
        <v>10</v>
      </c>
    </row>
    <row r="21" ht="23" customHeight="1" spans="1:16">
      <c r="A21" s="6" t="s">
        <v>13</v>
      </c>
      <c r="B21" s="2" t="s">
        <v>37</v>
      </c>
      <c r="C21" s="2" t="s">
        <v>23</v>
      </c>
      <c r="D21" s="2">
        <v>5</v>
      </c>
      <c r="E21" s="6" t="s">
        <v>501</v>
      </c>
      <c r="F21" s="2" t="str">
        <f t="shared" si="5"/>
        <v>C</v>
      </c>
      <c r="G21" s="2">
        <v>3</v>
      </c>
      <c r="H21" s="2" t="str">
        <f t="shared" si="0"/>
        <v>A</v>
      </c>
      <c r="I21" s="2">
        <v>5</v>
      </c>
      <c r="J21" s="2">
        <f t="shared" si="1"/>
        <v>-2</v>
      </c>
      <c r="K21" s="2" t="str">
        <f t="shared" si="2"/>
        <v>B</v>
      </c>
      <c r="L21" s="2" t="str">
        <f t="shared" si="3"/>
        <v>A</v>
      </c>
      <c r="M21" s="2" t="s">
        <v>22</v>
      </c>
      <c r="N21" s="2">
        <f t="shared" si="4"/>
        <v>1</v>
      </c>
      <c r="O21" s="2" t="s">
        <v>26</v>
      </c>
      <c r="P21" s="2">
        <v>11</v>
      </c>
    </row>
    <row r="22" ht="23" customHeight="1" spans="1:16">
      <c r="A22" s="6" t="s">
        <v>13</v>
      </c>
      <c r="B22" s="2" t="s">
        <v>50</v>
      </c>
      <c r="C22" s="2" t="s">
        <v>17</v>
      </c>
      <c r="D22" s="2">
        <v>1</v>
      </c>
      <c r="E22" s="6" t="s">
        <v>497</v>
      </c>
      <c r="F22" s="2" t="str">
        <f t="shared" si="5"/>
        <v>B</v>
      </c>
      <c r="G22" s="2">
        <v>5</v>
      </c>
      <c r="H22" s="2" t="str">
        <f t="shared" si="0"/>
        <v>C</v>
      </c>
      <c r="I22" s="2">
        <v>4</v>
      </c>
      <c r="J22" s="2">
        <f t="shared" si="1"/>
        <v>1</v>
      </c>
      <c r="K22" s="2" t="str">
        <f t="shared" si="2"/>
        <v>A</v>
      </c>
      <c r="L22" s="2" t="str">
        <f t="shared" si="3"/>
        <v>B</v>
      </c>
      <c r="M22" s="2" t="s">
        <v>26</v>
      </c>
      <c r="N22" s="2">
        <f t="shared" si="4"/>
        <v>1</v>
      </c>
      <c r="O22" s="2" t="s">
        <v>22</v>
      </c>
      <c r="P22" s="2">
        <v>16</v>
      </c>
    </row>
    <row r="23" ht="23" customHeight="1" spans="1:16">
      <c r="A23" s="6" t="s">
        <v>13</v>
      </c>
      <c r="B23" s="2" t="s">
        <v>50</v>
      </c>
      <c r="C23" s="2" t="s">
        <v>23</v>
      </c>
      <c r="D23" s="2">
        <v>1</v>
      </c>
      <c r="E23" s="6" t="s">
        <v>497</v>
      </c>
      <c r="F23" s="2" t="str">
        <f t="shared" si="5"/>
        <v>C</v>
      </c>
      <c r="G23" s="2">
        <v>4</v>
      </c>
      <c r="H23" s="2" t="str">
        <f t="shared" si="0"/>
        <v>B</v>
      </c>
      <c r="I23" s="2">
        <v>5</v>
      </c>
      <c r="J23" s="2">
        <f t="shared" si="1"/>
        <v>-1</v>
      </c>
      <c r="K23" s="2" t="str">
        <f t="shared" si="2"/>
        <v>B</v>
      </c>
      <c r="L23" s="2" t="str">
        <f t="shared" si="3"/>
        <v>B</v>
      </c>
      <c r="M23" s="2" t="s">
        <v>26</v>
      </c>
      <c r="N23" s="2">
        <f t="shared" si="4"/>
        <v>1</v>
      </c>
      <c r="O23" s="2" t="s">
        <v>26</v>
      </c>
      <c r="P23" s="2">
        <v>17</v>
      </c>
    </row>
    <row r="24" ht="23" customHeight="1" spans="1:16">
      <c r="A24" s="6" t="s">
        <v>13</v>
      </c>
      <c r="B24" s="2" t="s">
        <v>50</v>
      </c>
      <c r="C24" s="2" t="s">
        <v>17</v>
      </c>
      <c r="D24" s="2">
        <v>2</v>
      </c>
      <c r="E24" s="6" t="s">
        <v>498</v>
      </c>
      <c r="F24" s="2" t="str">
        <f t="shared" si="5"/>
        <v>B</v>
      </c>
      <c r="G24" s="2">
        <v>5</v>
      </c>
      <c r="H24" s="2" t="str">
        <f t="shared" si="0"/>
        <v>C</v>
      </c>
      <c r="I24" s="2">
        <v>2</v>
      </c>
      <c r="J24" s="2">
        <f t="shared" si="1"/>
        <v>3</v>
      </c>
      <c r="K24" s="2" t="str">
        <f t="shared" si="2"/>
        <v>A</v>
      </c>
      <c r="L24" s="2" t="str">
        <f t="shared" si="3"/>
        <v>B</v>
      </c>
      <c r="M24" s="2" t="s">
        <v>26</v>
      </c>
      <c r="N24" s="2">
        <f t="shared" si="4"/>
        <v>1</v>
      </c>
      <c r="O24" s="2" t="s">
        <v>22</v>
      </c>
      <c r="P24" s="2">
        <v>16</v>
      </c>
    </row>
    <row r="25" ht="23" customHeight="1" spans="1:16">
      <c r="A25" s="6" t="s">
        <v>13</v>
      </c>
      <c r="B25" s="2" t="s">
        <v>50</v>
      </c>
      <c r="C25" s="2" t="s">
        <v>23</v>
      </c>
      <c r="D25" s="2">
        <v>2</v>
      </c>
      <c r="E25" s="6" t="s">
        <v>498</v>
      </c>
      <c r="F25" s="2" t="str">
        <f t="shared" si="5"/>
        <v>C</v>
      </c>
      <c r="G25" s="2">
        <v>2</v>
      </c>
      <c r="H25" s="2" t="str">
        <f t="shared" si="0"/>
        <v>B</v>
      </c>
      <c r="I25" s="2">
        <v>5</v>
      </c>
      <c r="J25" s="2">
        <f t="shared" si="1"/>
        <v>-3</v>
      </c>
      <c r="K25" s="2" t="str">
        <f t="shared" si="2"/>
        <v>B</v>
      </c>
      <c r="L25" s="2" t="str">
        <f t="shared" si="3"/>
        <v>B</v>
      </c>
      <c r="M25" s="2" t="s">
        <v>26</v>
      </c>
      <c r="N25" s="2">
        <f t="shared" si="4"/>
        <v>1</v>
      </c>
      <c r="O25" s="2" t="s">
        <v>26</v>
      </c>
      <c r="P25" s="2">
        <v>17</v>
      </c>
    </row>
    <row r="26" ht="23" customHeight="1" spans="1:16">
      <c r="A26" s="6" t="s">
        <v>13</v>
      </c>
      <c r="B26" s="2" t="s">
        <v>50</v>
      </c>
      <c r="C26" s="2" t="s">
        <v>17</v>
      </c>
      <c r="D26" s="2">
        <v>3</v>
      </c>
      <c r="E26" s="6" t="s">
        <v>499</v>
      </c>
      <c r="F26" s="2" t="str">
        <f t="shared" si="5"/>
        <v>B</v>
      </c>
      <c r="G26" s="2">
        <v>5</v>
      </c>
      <c r="H26" s="2" t="str">
        <f t="shared" si="0"/>
        <v>C</v>
      </c>
      <c r="I26" s="2">
        <v>2</v>
      </c>
      <c r="J26" s="2">
        <f t="shared" si="1"/>
        <v>3</v>
      </c>
      <c r="K26" s="2" t="str">
        <f t="shared" si="2"/>
        <v>A</v>
      </c>
      <c r="L26" s="2" t="str">
        <f t="shared" si="3"/>
        <v>B</v>
      </c>
      <c r="M26" s="2" t="s">
        <v>26</v>
      </c>
      <c r="N26" s="2">
        <f t="shared" si="4"/>
        <v>1</v>
      </c>
      <c r="O26" s="2" t="s">
        <v>22</v>
      </c>
      <c r="P26" s="2">
        <v>16</v>
      </c>
    </row>
    <row r="27" ht="23" customHeight="1" spans="1:16">
      <c r="A27" s="6" t="s">
        <v>13</v>
      </c>
      <c r="B27" s="2" t="s">
        <v>50</v>
      </c>
      <c r="C27" s="2" t="s">
        <v>23</v>
      </c>
      <c r="D27" s="2">
        <v>3</v>
      </c>
      <c r="E27" s="6" t="s">
        <v>499</v>
      </c>
      <c r="F27" s="2" t="str">
        <f t="shared" si="5"/>
        <v>C</v>
      </c>
      <c r="G27" s="2">
        <v>2</v>
      </c>
      <c r="H27" s="2" t="str">
        <f t="shared" si="0"/>
        <v>B</v>
      </c>
      <c r="I27" s="2">
        <v>4</v>
      </c>
      <c r="J27" s="2">
        <f t="shared" si="1"/>
        <v>-2</v>
      </c>
      <c r="K27" s="2" t="str">
        <f t="shared" si="2"/>
        <v>B</v>
      </c>
      <c r="L27" s="2" t="str">
        <f t="shared" si="3"/>
        <v>B</v>
      </c>
      <c r="M27" s="2" t="s">
        <v>26</v>
      </c>
      <c r="N27" s="2">
        <f t="shared" si="4"/>
        <v>1</v>
      </c>
      <c r="O27" s="2" t="s">
        <v>26</v>
      </c>
      <c r="P27" s="2">
        <v>17</v>
      </c>
    </row>
    <row r="28" ht="23" customHeight="1" spans="1:16">
      <c r="A28" s="6" t="s">
        <v>13</v>
      </c>
      <c r="B28" s="2" t="s">
        <v>50</v>
      </c>
      <c r="C28" s="2" t="s">
        <v>17</v>
      </c>
      <c r="D28" s="2">
        <v>4</v>
      </c>
      <c r="E28" s="6" t="s">
        <v>500</v>
      </c>
      <c r="F28" s="2" t="str">
        <f t="shared" si="5"/>
        <v>B</v>
      </c>
      <c r="G28" s="2">
        <v>5</v>
      </c>
      <c r="H28" s="2" t="str">
        <f t="shared" si="0"/>
        <v>C</v>
      </c>
      <c r="I28" s="2">
        <v>3</v>
      </c>
      <c r="J28" s="2">
        <f t="shared" si="1"/>
        <v>2</v>
      </c>
      <c r="K28" s="2" t="str">
        <f t="shared" si="2"/>
        <v>A</v>
      </c>
      <c r="L28" s="2" t="str">
        <f t="shared" si="3"/>
        <v>B</v>
      </c>
      <c r="M28" s="2" t="s">
        <v>26</v>
      </c>
      <c r="N28" s="2">
        <f t="shared" si="4"/>
        <v>1</v>
      </c>
      <c r="O28" s="2" t="s">
        <v>22</v>
      </c>
      <c r="P28" s="2">
        <v>16</v>
      </c>
    </row>
    <row r="29" ht="23" customHeight="1" spans="1:16">
      <c r="A29" s="6" t="s">
        <v>13</v>
      </c>
      <c r="B29" s="2" t="s">
        <v>50</v>
      </c>
      <c r="C29" s="2" t="s">
        <v>23</v>
      </c>
      <c r="D29" s="2">
        <v>4</v>
      </c>
      <c r="E29" s="6" t="s">
        <v>500</v>
      </c>
      <c r="F29" s="2" t="str">
        <f t="shared" si="5"/>
        <v>C</v>
      </c>
      <c r="G29" s="2">
        <v>3</v>
      </c>
      <c r="H29" s="2" t="str">
        <f t="shared" si="0"/>
        <v>B</v>
      </c>
      <c r="I29" s="2">
        <v>5</v>
      </c>
      <c r="J29" s="2">
        <f t="shared" si="1"/>
        <v>-2</v>
      </c>
      <c r="K29" s="2" t="str">
        <f t="shared" si="2"/>
        <v>B</v>
      </c>
      <c r="L29" s="2" t="str">
        <f t="shared" si="3"/>
        <v>B</v>
      </c>
      <c r="M29" s="2" t="s">
        <v>26</v>
      </c>
      <c r="N29" s="2">
        <f t="shared" si="4"/>
        <v>1</v>
      </c>
      <c r="O29" s="2" t="s">
        <v>26</v>
      </c>
      <c r="P29" s="2">
        <v>17</v>
      </c>
    </row>
    <row r="30" ht="23" customHeight="1" spans="1:16">
      <c r="A30" s="6" t="s">
        <v>13</v>
      </c>
      <c r="B30" s="2" t="s">
        <v>50</v>
      </c>
      <c r="C30" s="2" t="s">
        <v>17</v>
      </c>
      <c r="D30" s="2">
        <v>5</v>
      </c>
      <c r="E30" s="6" t="s">
        <v>501</v>
      </c>
      <c r="F30" s="2" t="str">
        <f t="shared" si="5"/>
        <v>B</v>
      </c>
      <c r="G30" s="2">
        <v>5</v>
      </c>
      <c r="H30" s="2" t="str">
        <f t="shared" si="0"/>
        <v>C</v>
      </c>
      <c r="I30" s="2">
        <v>4</v>
      </c>
      <c r="J30" s="2">
        <f t="shared" si="1"/>
        <v>1</v>
      </c>
      <c r="K30" s="2" t="str">
        <f t="shared" si="2"/>
        <v>A</v>
      </c>
      <c r="L30" s="2" t="str">
        <f t="shared" si="3"/>
        <v>B</v>
      </c>
      <c r="M30" s="2" t="s">
        <v>26</v>
      </c>
      <c r="N30" s="2">
        <f t="shared" si="4"/>
        <v>1</v>
      </c>
      <c r="O30" s="2" t="s">
        <v>22</v>
      </c>
      <c r="P30" s="2">
        <v>16</v>
      </c>
    </row>
    <row r="31" ht="23" customHeight="1" spans="1:16">
      <c r="A31" s="6" t="s">
        <v>13</v>
      </c>
      <c r="B31" s="2" t="s">
        <v>50</v>
      </c>
      <c r="C31" s="2" t="s">
        <v>23</v>
      </c>
      <c r="D31" s="2">
        <v>5</v>
      </c>
      <c r="E31" s="6" t="s">
        <v>501</v>
      </c>
      <c r="F31" s="2" t="str">
        <f t="shared" si="5"/>
        <v>C</v>
      </c>
      <c r="G31" s="2">
        <v>5</v>
      </c>
      <c r="H31" s="2" t="str">
        <f t="shared" si="0"/>
        <v>B</v>
      </c>
      <c r="I31" s="2">
        <v>5</v>
      </c>
      <c r="J31" s="2">
        <f t="shared" si="1"/>
        <v>0</v>
      </c>
      <c r="K31" s="2" t="str">
        <f t="shared" si="2"/>
        <v>C</v>
      </c>
      <c r="L31" s="2" t="str">
        <f t="shared" si="3"/>
        <v>D(平局)</v>
      </c>
      <c r="M31" s="2" t="s">
        <v>26</v>
      </c>
      <c r="N31" s="2">
        <f t="shared" si="4"/>
        <v>0</v>
      </c>
      <c r="O31" s="2" t="s">
        <v>26</v>
      </c>
      <c r="P31" s="2">
        <v>17</v>
      </c>
    </row>
    <row r="32" ht="23" customHeight="1" spans="1:16">
      <c r="A32" s="6" t="s">
        <v>63</v>
      </c>
      <c r="B32" s="2" t="s">
        <v>15</v>
      </c>
      <c r="C32" s="2" t="s">
        <v>17</v>
      </c>
      <c r="D32" s="2">
        <v>1</v>
      </c>
      <c r="E32" s="6" t="s">
        <v>497</v>
      </c>
      <c r="F32" s="2" t="str">
        <f t="shared" si="5"/>
        <v>A</v>
      </c>
      <c r="G32" s="2">
        <v>5</v>
      </c>
      <c r="H32" s="2" t="str">
        <f t="shared" si="0"/>
        <v>B</v>
      </c>
      <c r="I32" s="2">
        <v>4</v>
      </c>
      <c r="J32" s="2">
        <f t="shared" si="1"/>
        <v>1</v>
      </c>
      <c r="K32" s="2" t="str">
        <f t="shared" si="2"/>
        <v>A</v>
      </c>
      <c r="L32" s="2" t="str">
        <f t="shared" si="3"/>
        <v>A</v>
      </c>
      <c r="M32" s="2" t="s">
        <v>22</v>
      </c>
      <c r="N32" s="2">
        <f t="shared" si="4"/>
        <v>1</v>
      </c>
      <c r="O32" s="2" t="s">
        <v>22</v>
      </c>
      <c r="P32" s="2">
        <v>22</v>
      </c>
    </row>
    <row r="33" ht="23" customHeight="1" spans="1:16">
      <c r="A33" s="6" t="s">
        <v>63</v>
      </c>
      <c r="B33" s="2" t="s">
        <v>15</v>
      </c>
      <c r="C33" s="2" t="s">
        <v>23</v>
      </c>
      <c r="D33" s="2">
        <v>1</v>
      </c>
      <c r="E33" s="6" t="s">
        <v>497</v>
      </c>
      <c r="F33" s="2" t="str">
        <f t="shared" si="5"/>
        <v>B</v>
      </c>
      <c r="G33" s="2">
        <v>4</v>
      </c>
      <c r="H33" s="2" t="str">
        <f t="shared" si="0"/>
        <v>A</v>
      </c>
      <c r="I33" s="2">
        <v>5</v>
      </c>
      <c r="J33" s="2">
        <f t="shared" si="1"/>
        <v>-1</v>
      </c>
      <c r="K33" s="2" t="str">
        <f t="shared" si="2"/>
        <v>B</v>
      </c>
      <c r="L33" s="2" t="str">
        <f t="shared" si="3"/>
        <v>A</v>
      </c>
      <c r="M33" s="2" t="s">
        <v>22</v>
      </c>
      <c r="N33" s="2">
        <f t="shared" si="4"/>
        <v>1</v>
      </c>
      <c r="O33" s="2" t="s">
        <v>26</v>
      </c>
      <c r="P33" s="2">
        <v>23</v>
      </c>
    </row>
    <row r="34" ht="23" customHeight="1" spans="1:16">
      <c r="A34" s="6" t="s">
        <v>63</v>
      </c>
      <c r="B34" s="2" t="s">
        <v>15</v>
      </c>
      <c r="C34" s="2" t="s">
        <v>17</v>
      </c>
      <c r="D34" s="2">
        <v>2</v>
      </c>
      <c r="E34" s="6" t="s">
        <v>498</v>
      </c>
      <c r="F34" s="2" t="str">
        <f t="shared" si="5"/>
        <v>A</v>
      </c>
      <c r="G34" s="2">
        <v>5</v>
      </c>
      <c r="H34" s="2" t="str">
        <f t="shared" si="0"/>
        <v>B</v>
      </c>
      <c r="I34" s="2">
        <v>4</v>
      </c>
      <c r="J34" s="2">
        <f t="shared" si="1"/>
        <v>1</v>
      </c>
      <c r="K34" s="2" t="str">
        <f t="shared" si="2"/>
        <v>A</v>
      </c>
      <c r="L34" s="2" t="str">
        <f t="shared" si="3"/>
        <v>A</v>
      </c>
      <c r="M34" s="2" t="s">
        <v>22</v>
      </c>
      <c r="N34" s="2">
        <f t="shared" si="4"/>
        <v>1</v>
      </c>
      <c r="O34" s="2" t="s">
        <v>22</v>
      </c>
      <c r="P34" s="2">
        <v>22</v>
      </c>
    </row>
    <row r="35" ht="23" customHeight="1" spans="1:16">
      <c r="A35" s="6" t="s">
        <v>63</v>
      </c>
      <c r="B35" s="2" t="s">
        <v>15</v>
      </c>
      <c r="C35" s="2" t="s">
        <v>23</v>
      </c>
      <c r="D35" s="2">
        <v>2</v>
      </c>
      <c r="E35" s="6" t="s">
        <v>498</v>
      </c>
      <c r="F35" s="2" t="str">
        <f t="shared" si="5"/>
        <v>B</v>
      </c>
      <c r="G35" s="2">
        <v>4</v>
      </c>
      <c r="H35" s="2" t="str">
        <f t="shared" si="0"/>
        <v>A</v>
      </c>
      <c r="I35" s="2">
        <v>5</v>
      </c>
      <c r="J35" s="2">
        <f t="shared" si="1"/>
        <v>-1</v>
      </c>
      <c r="K35" s="2" t="str">
        <f t="shared" si="2"/>
        <v>B</v>
      </c>
      <c r="L35" s="2" t="str">
        <f t="shared" si="3"/>
        <v>A</v>
      </c>
      <c r="M35" s="2" t="s">
        <v>22</v>
      </c>
      <c r="N35" s="2">
        <f t="shared" si="4"/>
        <v>1</v>
      </c>
      <c r="O35" s="2" t="s">
        <v>26</v>
      </c>
      <c r="P35" s="2">
        <v>23</v>
      </c>
    </row>
    <row r="36" ht="23" customHeight="1" spans="1:16">
      <c r="A36" s="6" t="s">
        <v>63</v>
      </c>
      <c r="B36" s="2" t="s">
        <v>15</v>
      </c>
      <c r="C36" s="2" t="s">
        <v>17</v>
      </c>
      <c r="D36" s="2">
        <v>3</v>
      </c>
      <c r="E36" s="6" t="s">
        <v>499</v>
      </c>
      <c r="F36" s="2" t="str">
        <f t="shared" si="5"/>
        <v>A</v>
      </c>
      <c r="G36" s="2">
        <v>5</v>
      </c>
      <c r="H36" s="2" t="str">
        <f t="shared" si="0"/>
        <v>B</v>
      </c>
      <c r="I36" s="2">
        <v>4</v>
      </c>
      <c r="J36" s="2">
        <f t="shared" si="1"/>
        <v>1</v>
      </c>
      <c r="K36" s="2" t="str">
        <f t="shared" si="2"/>
        <v>A</v>
      </c>
      <c r="L36" s="2" t="str">
        <f t="shared" si="3"/>
        <v>A</v>
      </c>
      <c r="M36" s="2" t="s">
        <v>22</v>
      </c>
      <c r="N36" s="2">
        <f t="shared" si="4"/>
        <v>1</v>
      </c>
      <c r="O36" s="2" t="s">
        <v>22</v>
      </c>
      <c r="P36" s="2">
        <v>22</v>
      </c>
    </row>
    <row r="37" ht="23" customHeight="1" spans="1:16">
      <c r="A37" s="6" t="s">
        <v>63</v>
      </c>
      <c r="B37" s="2" t="s">
        <v>15</v>
      </c>
      <c r="C37" s="2" t="s">
        <v>23</v>
      </c>
      <c r="D37" s="2">
        <v>3</v>
      </c>
      <c r="E37" s="6" t="s">
        <v>499</v>
      </c>
      <c r="F37" s="2" t="str">
        <f t="shared" si="5"/>
        <v>B</v>
      </c>
      <c r="G37" s="2">
        <v>5</v>
      </c>
      <c r="H37" s="2" t="str">
        <f t="shared" si="0"/>
        <v>A</v>
      </c>
      <c r="I37" s="2">
        <v>5</v>
      </c>
      <c r="J37" s="2">
        <f t="shared" si="1"/>
        <v>0</v>
      </c>
      <c r="K37" s="2" t="str">
        <f t="shared" si="2"/>
        <v>C</v>
      </c>
      <c r="L37" s="2" t="str">
        <f t="shared" si="3"/>
        <v>D(平局)</v>
      </c>
      <c r="M37" s="2" t="s">
        <v>22</v>
      </c>
      <c r="N37" s="2">
        <f t="shared" si="4"/>
        <v>0</v>
      </c>
      <c r="O37" s="2" t="s">
        <v>26</v>
      </c>
      <c r="P37" s="2">
        <v>23</v>
      </c>
    </row>
    <row r="38" ht="23" customHeight="1" spans="1:16">
      <c r="A38" s="6" t="s">
        <v>63</v>
      </c>
      <c r="B38" s="2" t="s">
        <v>15</v>
      </c>
      <c r="C38" s="2" t="s">
        <v>17</v>
      </c>
      <c r="D38" s="2">
        <v>4</v>
      </c>
      <c r="E38" s="6" t="s">
        <v>500</v>
      </c>
      <c r="F38" s="2" t="str">
        <f t="shared" si="5"/>
        <v>A</v>
      </c>
      <c r="G38" s="2">
        <v>5</v>
      </c>
      <c r="H38" s="2" t="str">
        <f t="shared" si="0"/>
        <v>B</v>
      </c>
      <c r="I38" s="2">
        <v>5</v>
      </c>
      <c r="J38" s="2">
        <f t="shared" si="1"/>
        <v>0</v>
      </c>
      <c r="K38" s="2" t="str">
        <f t="shared" si="2"/>
        <v>C</v>
      </c>
      <c r="L38" s="2" t="str">
        <f t="shared" si="3"/>
        <v>D(平局)</v>
      </c>
      <c r="M38" s="2" t="s">
        <v>22</v>
      </c>
      <c r="N38" s="2">
        <f t="shared" si="4"/>
        <v>0</v>
      </c>
      <c r="O38" s="2" t="s">
        <v>22</v>
      </c>
      <c r="P38" s="2">
        <v>22</v>
      </c>
    </row>
    <row r="39" ht="23" customHeight="1" spans="1:16">
      <c r="A39" s="6" t="s">
        <v>63</v>
      </c>
      <c r="B39" s="2" t="s">
        <v>15</v>
      </c>
      <c r="C39" s="2" t="s">
        <v>23</v>
      </c>
      <c r="D39" s="2">
        <v>4</v>
      </c>
      <c r="E39" s="6" t="s">
        <v>500</v>
      </c>
      <c r="F39" s="2" t="str">
        <f t="shared" si="5"/>
        <v>B</v>
      </c>
      <c r="G39" s="2">
        <v>4</v>
      </c>
      <c r="H39" s="2" t="str">
        <f t="shared" si="0"/>
        <v>A</v>
      </c>
      <c r="I39" s="2">
        <v>5</v>
      </c>
      <c r="J39" s="2">
        <f t="shared" si="1"/>
        <v>-1</v>
      </c>
      <c r="K39" s="2" t="str">
        <f t="shared" si="2"/>
        <v>B</v>
      </c>
      <c r="L39" s="2" t="str">
        <f t="shared" si="3"/>
        <v>A</v>
      </c>
      <c r="M39" s="2" t="s">
        <v>22</v>
      </c>
      <c r="N39" s="2">
        <f t="shared" si="4"/>
        <v>1</v>
      </c>
      <c r="O39" s="2" t="s">
        <v>26</v>
      </c>
      <c r="P39" s="2">
        <v>23</v>
      </c>
    </row>
    <row r="40" ht="23" customHeight="1" spans="1:16">
      <c r="A40" s="6" t="s">
        <v>63</v>
      </c>
      <c r="B40" s="2" t="s">
        <v>15</v>
      </c>
      <c r="C40" s="2" t="s">
        <v>17</v>
      </c>
      <c r="D40" s="2">
        <v>5</v>
      </c>
      <c r="E40" s="6" t="s">
        <v>501</v>
      </c>
      <c r="F40" s="2" t="str">
        <f t="shared" si="5"/>
        <v>A</v>
      </c>
      <c r="G40" s="2">
        <v>5</v>
      </c>
      <c r="H40" s="2" t="str">
        <f t="shared" si="0"/>
        <v>B</v>
      </c>
      <c r="I40" s="2">
        <v>5</v>
      </c>
      <c r="J40" s="2">
        <f t="shared" si="1"/>
        <v>0</v>
      </c>
      <c r="K40" s="2" t="str">
        <f t="shared" si="2"/>
        <v>C</v>
      </c>
      <c r="L40" s="2" t="str">
        <f t="shared" si="3"/>
        <v>D(平局)</v>
      </c>
      <c r="M40" s="2" t="s">
        <v>22</v>
      </c>
      <c r="N40" s="2">
        <f t="shared" si="4"/>
        <v>0</v>
      </c>
      <c r="O40" s="2" t="s">
        <v>22</v>
      </c>
      <c r="P40" s="2">
        <v>22</v>
      </c>
    </row>
    <row r="41" ht="23" customHeight="1" spans="1:16">
      <c r="A41" s="6" t="s">
        <v>63</v>
      </c>
      <c r="B41" s="2" t="s">
        <v>15</v>
      </c>
      <c r="C41" s="2" t="s">
        <v>23</v>
      </c>
      <c r="D41" s="2">
        <v>5</v>
      </c>
      <c r="E41" s="6" t="s">
        <v>501</v>
      </c>
      <c r="F41" s="2" t="str">
        <f t="shared" si="5"/>
        <v>B</v>
      </c>
      <c r="G41" s="2">
        <v>5</v>
      </c>
      <c r="H41" s="2" t="str">
        <f t="shared" si="0"/>
        <v>A</v>
      </c>
      <c r="I41" s="2">
        <v>5</v>
      </c>
      <c r="J41" s="2">
        <f t="shared" si="1"/>
        <v>0</v>
      </c>
      <c r="K41" s="2" t="str">
        <f t="shared" si="2"/>
        <v>C</v>
      </c>
      <c r="L41" s="2" t="str">
        <f t="shared" si="3"/>
        <v>D(平局)</v>
      </c>
      <c r="M41" s="2" t="s">
        <v>22</v>
      </c>
      <c r="N41" s="2">
        <f t="shared" si="4"/>
        <v>0</v>
      </c>
      <c r="O41" s="2" t="s">
        <v>26</v>
      </c>
      <c r="P41" s="2">
        <v>23</v>
      </c>
    </row>
    <row r="42" ht="23" customHeight="1" spans="1:16">
      <c r="A42" s="6" t="s">
        <v>63</v>
      </c>
      <c r="B42" s="2" t="s">
        <v>37</v>
      </c>
      <c r="C42" s="2" t="s">
        <v>17</v>
      </c>
      <c r="D42" s="2">
        <v>1</v>
      </c>
      <c r="E42" s="6" t="s">
        <v>497</v>
      </c>
      <c r="F42" s="2" t="str">
        <f t="shared" si="5"/>
        <v>A</v>
      </c>
      <c r="G42" s="2">
        <v>5</v>
      </c>
      <c r="H42" s="2" t="str">
        <f t="shared" si="0"/>
        <v>C</v>
      </c>
      <c r="I42" s="2">
        <v>2</v>
      </c>
      <c r="J42" s="2">
        <f t="shared" si="1"/>
        <v>3</v>
      </c>
      <c r="K42" s="2" t="str">
        <f t="shared" si="2"/>
        <v>A</v>
      </c>
      <c r="L42" s="2" t="str">
        <f t="shared" si="3"/>
        <v>A</v>
      </c>
      <c r="M42" s="2" t="s">
        <v>22</v>
      </c>
      <c r="N42" s="2">
        <f t="shared" si="4"/>
        <v>1</v>
      </c>
      <c r="O42" s="2" t="s">
        <v>22</v>
      </c>
      <c r="P42" s="2">
        <v>28</v>
      </c>
    </row>
    <row r="43" ht="23" customHeight="1" spans="1:16">
      <c r="A43" s="6" t="s">
        <v>63</v>
      </c>
      <c r="B43" s="2" t="s">
        <v>37</v>
      </c>
      <c r="C43" s="2" t="s">
        <v>23</v>
      </c>
      <c r="D43" s="2">
        <v>1</v>
      </c>
      <c r="E43" s="6" t="s">
        <v>497</v>
      </c>
      <c r="F43" s="2" t="str">
        <f t="shared" si="5"/>
        <v>C</v>
      </c>
      <c r="G43" s="2">
        <v>2</v>
      </c>
      <c r="H43" s="2" t="str">
        <f t="shared" si="0"/>
        <v>A</v>
      </c>
      <c r="I43" s="2">
        <v>5</v>
      </c>
      <c r="J43" s="2">
        <f t="shared" si="1"/>
        <v>-3</v>
      </c>
      <c r="K43" s="2" t="str">
        <f t="shared" si="2"/>
        <v>B</v>
      </c>
      <c r="L43" s="2" t="str">
        <f t="shared" si="3"/>
        <v>A</v>
      </c>
      <c r="M43" s="2" t="s">
        <v>22</v>
      </c>
      <c r="N43" s="2">
        <f t="shared" si="4"/>
        <v>1</v>
      </c>
      <c r="O43" s="2" t="s">
        <v>26</v>
      </c>
      <c r="P43" s="2">
        <v>29</v>
      </c>
    </row>
    <row r="44" ht="23" customHeight="1" spans="1:16">
      <c r="A44" s="6" t="s">
        <v>63</v>
      </c>
      <c r="B44" s="2" t="s">
        <v>37</v>
      </c>
      <c r="C44" s="2" t="s">
        <v>17</v>
      </c>
      <c r="D44" s="2">
        <v>2</v>
      </c>
      <c r="E44" s="6" t="s">
        <v>498</v>
      </c>
      <c r="F44" s="2" t="str">
        <f t="shared" si="5"/>
        <v>A</v>
      </c>
      <c r="G44" s="2">
        <v>5</v>
      </c>
      <c r="H44" s="2" t="str">
        <f t="shared" si="0"/>
        <v>C</v>
      </c>
      <c r="I44" s="2">
        <v>1</v>
      </c>
      <c r="J44" s="2">
        <f t="shared" si="1"/>
        <v>4</v>
      </c>
      <c r="K44" s="2" t="str">
        <f t="shared" si="2"/>
        <v>A</v>
      </c>
      <c r="L44" s="2" t="str">
        <f t="shared" si="3"/>
        <v>A</v>
      </c>
      <c r="M44" s="2" t="s">
        <v>22</v>
      </c>
      <c r="N44" s="2">
        <f t="shared" si="4"/>
        <v>1</v>
      </c>
      <c r="O44" s="2" t="s">
        <v>22</v>
      </c>
      <c r="P44" s="2">
        <v>28</v>
      </c>
    </row>
    <row r="45" ht="23" customHeight="1" spans="1:16">
      <c r="A45" s="6" t="s">
        <v>63</v>
      </c>
      <c r="B45" s="2" t="s">
        <v>37</v>
      </c>
      <c r="C45" s="2" t="s">
        <v>23</v>
      </c>
      <c r="D45" s="2">
        <v>2</v>
      </c>
      <c r="E45" s="6" t="s">
        <v>498</v>
      </c>
      <c r="F45" s="2" t="str">
        <f t="shared" si="5"/>
        <v>C</v>
      </c>
      <c r="G45" s="2">
        <v>1</v>
      </c>
      <c r="H45" s="2" t="str">
        <f t="shared" si="0"/>
        <v>A</v>
      </c>
      <c r="I45" s="2">
        <v>5</v>
      </c>
      <c r="J45" s="2">
        <f t="shared" si="1"/>
        <v>-4</v>
      </c>
      <c r="K45" s="2" t="str">
        <f t="shared" si="2"/>
        <v>B</v>
      </c>
      <c r="L45" s="2" t="str">
        <f t="shared" si="3"/>
        <v>A</v>
      </c>
      <c r="M45" s="2" t="s">
        <v>22</v>
      </c>
      <c r="N45" s="2">
        <f t="shared" si="4"/>
        <v>1</v>
      </c>
      <c r="O45" s="2" t="s">
        <v>26</v>
      </c>
      <c r="P45" s="2">
        <v>29</v>
      </c>
    </row>
    <row r="46" ht="23" customHeight="1" spans="1:16">
      <c r="A46" s="6" t="s">
        <v>63</v>
      </c>
      <c r="B46" s="2" t="s">
        <v>37</v>
      </c>
      <c r="C46" s="2" t="s">
        <v>17</v>
      </c>
      <c r="D46" s="2">
        <v>3</v>
      </c>
      <c r="E46" s="6" t="s">
        <v>499</v>
      </c>
      <c r="F46" s="2" t="str">
        <f t="shared" si="5"/>
        <v>A</v>
      </c>
      <c r="G46" s="2">
        <v>5</v>
      </c>
      <c r="H46" s="2" t="str">
        <f t="shared" si="0"/>
        <v>C</v>
      </c>
      <c r="I46" s="2">
        <v>2</v>
      </c>
      <c r="J46" s="2">
        <f t="shared" si="1"/>
        <v>3</v>
      </c>
      <c r="K46" s="2" t="str">
        <f t="shared" si="2"/>
        <v>A</v>
      </c>
      <c r="L46" s="2" t="str">
        <f t="shared" si="3"/>
        <v>A</v>
      </c>
      <c r="M46" s="2" t="s">
        <v>22</v>
      </c>
      <c r="N46" s="2">
        <f t="shared" si="4"/>
        <v>1</v>
      </c>
      <c r="O46" s="2" t="s">
        <v>22</v>
      </c>
      <c r="P46" s="2">
        <v>28</v>
      </c>
    </row>
    <row r="47" ht="23" customHeight="1" spans="1:16">
      <c r="A47" s="6" t="s">
        <v>63</v>
      </c>
      <c r="B47" s="2" t="s">
        <v>37</v>
      </c>
      <c r="C47" s="2" t="s">
        <v>23</v>
      </c>
      <c r="D47" s="2">
        <v>3</v>
      </c>
      <c r="E47" s="6" t="s">
        <v>499</v>
      </c>
      <c r="F47" s="2" t="str">
        <f t="shared" si="5"/>
        <v>C</v>
      </c>
      <c r="G47" s="2">
        <v>2</v>
      </c>
      <c r="H47" s="2" t="str">
        <f t="shared" si="0"/>
        <v>A</v>
      </c>
      <c r="I47" s="2">
        <v>5</v>
      </c>
      <c r="J47" s="2">
        <f t="shared" si="1"/>
        <v>-3</v>
      </c>
      <c r="K47" s="2" t="str">
        <f t="shared" si="2"/>
        <v>B</v>
      </c>
      <c r="L47" s="2" t="str">
        <f t="shared" si="3"/>
        <v>A</v>
      </c>
      <c r="M47" s="2" t="s">
        <v>22</v>
      </c>
      <c r="N47" s="2">
        <f t="shared" si="4"/>
        <v>1</v>
      </c>
      <c r="O47" s="2" t="s">
        <v>26</v>
      </c>
      <c r="P47" s="2">
        <v>29</v>
      </c>
    </row>
    <row r="48" ht="23" customHeight="1" spans="1:16">
      <c r="A48" s="6" t="s">
        <v>63</v>
      </c>
      <c r="B48" s="2" t="s">
        <v>37</v>
      </c>
      <c r="C48" s="2" t="s">
        <v>17</v>
      </c>
      <c r="D48" s="2">
        <v>4</v>
      </c>
      <c r="E48" s="6" t="s">
        <v>500</v>
      </c>
      <c r="F48" s="2" t="str">
        <f t="shared" si="5"/>
        <v>A</v>
      </c>
      <c r="G48" s="2">
        <v>5</v>
      </c>
      <c r="H48" s="2" t="str">
        <f t="shared" si="0"/>
        <v>C</v>
      </c>
      <c r="I48" s="2">
        <v>3</v>
      </c>
      <c r="J48" s="2">
        <f t="shared" si="1"/>
        <v>2</v>
      </c>
      <c r="K48" s="2" t="str">
        <f t="shared" si="2"/>
        <v>A</v>
      </c>
      <c r="L48" s="2" t="str">
        <f t="shared" si="3"/>
        <v>A</v>
      </c>
      <c r="M48" s="2" t="s">
        <v>22</v>
      </c>
      <c r="N48" s="2">
        <f t="shared" si="4"/>
        <v>1</v>
      </c>
      <c r="O48" s="2" t="s">
        <v>22</v>
      </c>
      <c r="P48" s="2">
        <v>28</v>
      </c>
    </row>
    <row r="49" ht="23" customHeight="1" spans="1:16">
      <c r="A49" s="6" t="s">
        <v>63</v>
      </c>
      <c r="B49" s="2" t="s">
        <v>37</v>
      </c>
      <c r="C49" s="2" t="s">
        <v>23</v>
      </c>
      <c r="D49" s="2">
        <v>4</v>
      </c>
      <c r="E49" s="6" t="s">
        <v>500</v>
      </c>
      <c r="F49" s="2" t="str">
        <f t="shared" si="5"/>
        <v>C</v>
      </c>
      <c r="G49" s="2">
        <v>2</v>
      </c>
      <c r="H49" s="2" t="str">
        <f t="shared" si="0"/>
        <v>A</v>
      </c>
      <c r="I49" s="2">
        <v>5</v>
      </c>
      <c r="J49" s="2">
        <f t="shared" si="1"/>
        <v>-3</v>
      </c>
      <c r="K49" s="2" t="str">
        <f t="shared" si="2"/>
        <v>B</v>
      </c>
      <c r="L49" s="2" t="str">
        <f t="shared" si="3"/>
        <v>A</v>
      </c>
      <c r="M49" s="2" t="s">
        <v>22</v>
      </c>
      <c r="N49" s="2">
        <f t="shared" si="4"/>
        <v>1</v>
      </c>
      <c r="O49" s="2" t="s">
        <v>26</v>
      </c>
      <c r="P49" s="2">
        <v>29</v>
      </c>
    </row>
    <row r="50" ht="23" customHeight="1" spans="1:16">
      <c r="A50" s="6" t="s">
        <v>63</v>
      </c>
      <c r="B50" s="2" t="s">
        <v>37</v>
      </c>
      <c r="C50" s="2" t="s">
        <v>17</v>
      </c>
      <c r="D50" s="2">
        <v>5</v>
      </c>
      <c r="E50" s="6" t="s">
        <v>501</v>
      </c>
      <c r="F50" s="2" t="str">
        <f t="shared" si="5"/>
        <v>A</v>
      </c>
      <c r="G50" s="2">
        <v>5</v>
      </c>
      <c r="H50" s="2" t="str">
        <f t="shared" si="0"/>
        <v>C</v>
      </c>
      <c r="I50" s="2">
        <v>4</v>
      </c>
      <c r="J50" s="2">
        <f t="shared" si="1"/>
        <v>1</v>
      </c>
      <c r="K50" s="2" t="str">
        <f t="shared" si="2"/>
        <v>A</v>
      </c>
      <c r="L50" s="2" t="str">
        <f t="shared" si="3"/>
        <v>A</v>
      </c>
      <c r="M50" s="2" t="s">
        <v>22</v>
      </c>
      <c r="N50" s="2">
        <f t="shared" si="4"/>
        <v>1</v>
      </c>
      <c r="O50" s="2" t="s">
        <v>22</v>
      </c>
      <c r="P50" s="2">
        <v>28</v>
      </c>
    </row>
    <row r="51" ht="23" customHeight="1" spans="1:16">
      <c r="A51" s="6" t="s">
        <v>63</v>
      </c>
      <c r="B51" s="2" t="s">
        <v>37</v>
      </c>
      <c r="C51" s="2" t="s">
        <v>23</v>
      </c>
      <c r="D51" s="2">
        <v>5</v>
      </c>
      <c r="E51" s="6" t="s">
        <v>501</v>
      </c>
      <c r="F51" s="2" t="str">
        <f t="shared" si="5"/>
        <v>C</v>
      </c>
      <c r="G51" s="2">
        <v>4</v>
      </c>
      <c r="H51" s="2" t="str">
        <f t="shared" si="0"/>
        <v>A</v>
      </c>
      <c r="I51" s="2">
        <v>5</v>
      </c>
      <c r="J51" s="2">
        <f t="shared" si="1"/>
        <v>-1</v>
      </c>
      <c r="K51" s="2" t="str">
        <f t="shared" si="2"/>
        <v>B</v>
      </c>
      <c r="L51" s="2" t="str">
        <f t="shared" si="3"/>
        <v>A</v>
      </c>
      <c r="M51" s="2" t="s">
        <v>22</v>
      </c>
      <c r="N51" s="2">
        <f t="shared" si="4"/>
        <v>1</v>
      </c>
      <c r="O51" s="2" t="s">
        <v>26</v>
      </c>
      <c r="P51" s="2">
        <v>29</v>
      </c>
    </row>
    <row r="52" ht="23" customHeight="1" spans="1:16">
      <c r="A52" s="6" t="s">
        <v>63</v>
      </c>
      <c r="B52" s="2" t="s">
        <v>50</v>
      </c>
      <c r="C52" s="2" t="s">
        <v>17</v>
      </c>
      <c r="D52" s="2">
        <v>1</v>
      </c>
      <c r="E52" s="6" t="s">
        <v>497</v>
      </c>
      <c r="F52" s="2" t="str">
        <f t="shared" si="5"/>
        <v>B</v>
      </c>
      <c r="G52" s="2">
        <v>5</v>
      </c>
      <c r="H52" s="2" t="str">
        <f t="shared" si="0"/>
        <v>C</v>
      </c>
      <c r="I52" s="2">
        <v>2</v>
      </c>
      <c r="J52" s="2">
        <f t="shared" si="1"/>
        <v>3</v>
      </c>
      <c r="K52" s="2" t="str">
        <f t="shared" si="2"/>
        <v>A</v>
      </c>
      <c r="L52" s="2" t="str">
        <f t="shared" si="3"/>
        <v>B</v>
      </c>
      <c r="M52" s="2" t="s">
        <v>26</v>
      </c>
      <c r="N52" s="2">
        <f t="shared" si="4"/>
        <v>1</v>
      </c>
      <c r="O52" s="2" t="s">
        <v>22</v>
      </c>
      <c r="P52" s="2">
        <v>34</v>
      </c>
    </row>
    <row r="53" ht="23" customHeight="1" spans="1:16">
      <c r="A53" s="6" t="s">
        <v>63</v>
      </c>
      <c r="B53" s="2" t="s">
        <v>50</v>
      </c>
      <c r="C53" s="2" t="s">
        <v>23</v>
      </c>
      <c r="D53" s="2">
        <v>1</v>
      </c>
      <c r="E53" s="6" t="s">
        <v>497</v>
      </c>
      <c r="F53" s="2" t="str">
        <f t="shared" si="5"/>
        <v>C</v>
      </c>
      <c r="G53" s="2">
        <v>2</v>
      </c>
      <c r="H53" s="2" t="str">
        <f t="shared" si="0"/>
        <v>B</v>
      </c>
      <c r="I53" s="2">
        <v>5</v>
      </c>
      <c r="J53" s="2">
        <f t="shared" si="1"/>
        <v>-3</v>
      </c>
      <c r="K53" s="2" t="str">
        <f t="shared" si="2"/>
        <v>B</v>
      </c>
      <c r="L53" s="2" t="str">
        <f t="shared" si="3"/>
        <v>B</v>
      </c>
      <c r="M53" s="2" t="s">
        <v>26</v>
      </c>
      <c r="N53" s="2">
        <f t="shared" si="4"/>
        <v>1</v>
      </c>
      <c r="O53" s="2" t="s">
        <v>26</v>
      </c>
      <c r="P53" s="2">
        <v>35</v>
      </c>
    </row>
    <row r="54" ht="23" customHeight="1" spans="1:16">
      <c r="A54" s="6" t="s">
        <v>63</v>
      </c>
      <c r="B54" s="2" t="s">
        <v>50</v>
      </c>
      <c r="C54" s="2" t="s">
        <v>17</v>
      </c>
      <c r="D54" s="2">
        <v>2</v>
      </c>
      <c r="E54" s="6" t="s">
        <v>498</v>
      </c>
      <c r="F54" s="2" t="str">
        <f t="shared" si="5"/>
        <v>B</v>
      </c>
      <c r="G54" s="2">
        <v>5</v>
      </c>
      <c r="H54" s="2" t="str">
        <f t="shared" si="0"/>
        <v>C</v>
      </c>
      <c r="I54" s="2">
        <v>1</v>
      </c>
      <c r="J54" s="2">
        <f t="shared" si="1"/>
        <v>4</v>
      </c>
      <c r="K54" s="2" t="str">
        <f t="shared" si="2"/>
        <v>A</v>
      </c>
      <c r="L54" s="2" t="str">
        <f t="shared" si="3"/>
        <v>B</v>
      </c>
      <c r="M54" s="2" t="s">
        <v>26</v>
      </c>
      <c r="N54" s="2">
        <f t="shared" si="4"/>
        <v>1</v>
      </c>
      <c r="O54" s="2" t="s">
        <v>22</v>
      </c>
      <c r="P54" s="2">
        <v>34</v>
      </c>
    </row>
    <row r="55" ht="23" customHeight="1" spans="1:16">
      <c r="A55" s="6" t="s">
        <v>63</v>
      </c>
      <c r="B55" s="2" t="s">
        <v>50</v>
      </c>
      <c r="C55" s="2" t="s">
        <v>23</v>
      </c>
      <c r="D55" s="2">
        <v>2</v>
      </c>
      <c r="E55" s="6" t="s">
        <v>498</v>
      </c>
      <c r="F55" s="2" t="str">
        <f t="shared" si="5"/>
        <v>C</v>
      </c>
      <c r="G55" s="2">
        <v>1</v>
      </c>
      <c r="H55" s="2" t="str">
        <f t="shared" si="0"/>
        <v>B</v>
      </c>
      <c r="I55" s="2">
        <v>5</v>
      </c>
      <c r="J55" s="2">
        <f t="shared" si="1"/>
        <v>-4</v>
      </c>
      <c r="K55" s="2" t="str">
        <f t="shared" si="2"/>
        <v>B</v>
      </c>
      <c r="L55" s="2" t="str">
        <f t="shared" si="3"/>
        <v>B</v>
      </c>
      <c r="M55" s="2" t="s">
        <v>26</v>
      </c>
      <c r="N55" s="2">
        <f t="shared" si="4"/>
        <v>1</v>
      </c>
      <c r="O55" s="2" t="s">
        <v>26</v>
      </c>
      <c r="P55" s="2">
        <v>35</v>
      </c>
    </row>
    <row r="56" ht="23" customHeight="1" spans="1:16">
      <c r="A56" s="6" t="s">
        <v>63</v>
      </c>
      <c r="B56" s="2" t="s">
        <v>50</v>
      </c>
      <c r="C56" s="2" t="s">
        <v>17</v>
      </c>
      <c r="D56" s="2">
        <v>3</v>
      </c>
      <c r="E56" s="6" t="s">
        <v>499</v>
      </c>
      <c r="F56" s="2" t="str">
        <f t="shared" si="5"/>
        <v>B</v>
      </c>
      <c r="G56" s="2">
        <v>5</v>
      </c>
      <c r="H56" s="2" t="str">
        <f t="shared" si="0"/>
        <v>C</v>
      </c>
      <c r="I56" s="2">
        <v>2</v>
      </c>
      <c r="J56" s="2">
        <f t="shared" si="1"/>
        <v>3</v>
      </c>
      <c r="K56" s="2" t="str">
        <f t="shared" si="2"/>
        <v>A</v>
      </c>
      <c r="L56" s="2" t="str">
        <f t="shared" si="3"/>
        <v>B</v>
      </c>
      <c r="M56" s="2" t="s">
        <v>26</v>
      </c>
      <c r="N56" s="2">
        <f t="shared" si="4"/>
        <v>1</v>
      </c>
      <c r="O56" s="2" t="s">
        <v>22</v>
      </c>
      <c r="P56" s="2">
        <v>34</v>
      </c>
    </row>
    <row r="57" ht="23" customHeight="1" spans="1:16">
      <c r="A57" s="6" t="s">
        <v>63</v>
      </c>
      <c r="B57" s="2" t="s">
        <v>50</v>
      </c>
      <c r="C57" s="2" t="s">
        <v>23</v>
      </c>
      <c r="D57" s="2">
        <v>3</v>
      </c>
      <c r="E57" s="6" t="s">
        <v>499</v>
      </c>
      <c r="F57" s="2" t="str">
        <f t="shared" si="5"/>
        <v>C</v>
      </c>
      <c r="G57" s="2">
        <v>2</v>
      </c>
      <c r="H57" s="2" t="str">
        <f t="shared" si="0"/>
        <v>B</v>
      </c>
      <c r="I57" s="2">
        <v>5</v>
      </c>
      <c r="J57" s="2">
        <f t="shared" si="1"/>
        <v>-3</v>
      </c>
      <c r="K57" s="2" t="str">
        <f t="shared" si="2"/>
        <v>B</v>
      </c>
      <c r="L57" s="2" t="str">
        <f t="shared" si="3"/>
        <v>B</v>
      </c>
      <c r="M57" s="2" t="s">
        <v>26</v>
      </c>
      <c r="N57" s="2">
        <f t="shared" si="4"/>
        <v>1</v>
      </c>
      <c r="O57" s="2" t="s">
        <v>26</v>
      </c>
      <c r="P57" s="2">
        <v>35</v>
      </c>
    </row>
    <row r="58" ht="23" customHeight="1" spans="1:16">
      <c r="A58" s="6" t="s">
        <v>63</v>
      </c>
      <c r="B58" s="2" t="s">
        <v>50</v>
      </c>
      <c r="C58" s="2" t="s">
        <v>17</v>
      </c>
      <c r="D58" s="2">
        <v>4</v>
      </c>
      <c r="E58" s="6" t="s">
        <v>500</v>
      </c>
      <c r="F58" s="2" t="str">
        <f t="shared" si="5"/>
        <v>B</v>
      </c>
      <c r="G58" s="2">
        <v>5</v>
      </c>
      <c r="H58" s="2" t="str">
        <f t="shared" si="0"/>
        <v>C</v>
      </c>
      <c r="I58" s="2">
        <v>2</v>
      </c>
      <c r="J58" s="2">
        <f t="shared" si="1"/>
        <v>3</v>
      </c>
      <c r="K58" s="2" t="str">
        <f t="shared" si="2"/>
        <v>A</v>
      </c>
      <c r="L58" s="2" t="str">
        <f t="shared" si="3"/>
        <v>B</v>
      </c>
      <c r="M58" s="2" t="s">
        <v>26</v>
      </c>
      <c r="N58" s="2">
        <f t="shared" si="4"/>
        <v>1</v>
      </c>
      <c r="O58" s="2" t="s">
        <v>22</v>
      </c>
      <c r="P58" s="2">
        <v>34</v>
      </c>
    </row>
    <row r="59" ht="23" customHeight="1" spans="1:16">
      <c r="A59" s="6" t="s">
        <v>63</v>
      </c>
      <c r="B59" s="2" t="s">
        <v>50</v>
      </c>
      <c r="C59" s="2" t="s">
        <v>23</v>
      </c>
      <c r="D59" s="2">
        <v>4</v>
      </c>
      <c r="E59" s="6" t="s">
        <v>500</v>
      </c>
      <c r="F59" s="2" t="str">
        <f t="shared" si="5"/>
        <v>C</v>
      </c>
      <c r="G59" s="2">
        <v>3</v>
      </c>
      <c r="H59" s="2" t="str">
        <f t="shared" si="0"/>
        <v>B</v>
      </c>
      <c r="I59" s="2">
        <v>5</v>
      </c>
      <c r="J59" s="2">
        <f t="shared" si="1"/>
        <v>-2</v>
      </c>
      <c r="K59" s="2" t="str">
        <f t="shared" si="2"/>
        <v>B</v>
      </c>
      <c r="L59" s="2" t="str">
        <f t="shared" si="3"/>
        <v>B</v>
      </c>
      <c r="M59" s="2" t="s">
        <v>26</v>
      </c>
      <c r="N59" s="2">
        <f t="shared" si="4"/>
        <v>1</v>
      </c>
      <c r="O59" s="2" t="s">
        <v>26</v>
      </c>
      <c r="P59" s="2">
        <v>35</v>
      </c>
    </row>
    <row r="60" ht="23" customHeight="1" spans="1:16">
      <c r="A60" s="6" t="s">
        <v>63</v>
      </c>
      <c r="B60" s="2" t="s">
        <v>50</v>
      </c>
      <c r="C60" s="2" t="s">
        <v>17</v>
      </c>
      <c r="D60" s="2">
        <v>5</v>
      </c>
      <c r="E60" s="6" t="s">
        <v>501</v>
      </c>
      <c r="F60" s="2" t="str">
        <f t="shared" si="5"/>
        <v>B</v>
      </c>
      <c r="G60" s="2">
        <v>5</v>
      </c>
      <c r="H60" s="2" t="str">
        <f t="shared" si="0"/>
        <v>C</v>
      </c>
      <c r="I60" s="2">
        <v>4</v>
      </c>
      <c r="J60" s="2">
        <f t="shared" si="1"/>
        <v>1</v>
      </c>
      <c r="K60" s="2" t="str">
        <f t="shared" si="2"/>
        <v>A</v>
      </c>
      <c r="L60" s="2" t="str">
        <f t="shared" si="3"/>
        <v>B</v>
      </c>
      <c r="M60" s="2" t="s">
        <v>26</v>
      </c>
      <c r="N60" s="2">
        <f t="shared" si="4"/>
        <v>1</v>
      </c>
      <c r="O60" s="2" t="s">
        <v>22</v>
      </c>
      <c r="P60" s="2">
        <v>34</v>
      </c>
    </row>
    <row r="61" ht="23" customHeight="1" spans="1:16">
      <c r="A61" s="6" t="s">
        <v>63</v>
      </c>
      <c r="B61" s="2" t="s">
        <v>50</v>
      </c>
      <c r="C61" s="2" t="s">
        <v>23</v>
      </c>
      <c r="D61" s="2">
        <v>5</v>
      </c>
      <c r="E61" s="6" t="s">
        <v>501</v>
      </c>
      <c r="F61" s="2" t="str">
        <f t="shared" si="5"/>
        <v>C</v>
      </c>
      <c r="G61" s="2">
        <v>3</v>
      </c>
      <c r="H61" s="2" t="str">
        <f t="shared" si="0"/>
        <v>B</v>
      </c>
      <c r="I61" s="2">
        <v>5</v>
      </c>
      <c r="J61" s="2">
        <f t="shared" si="1"/>
        <v>-2</v>
      </c>
      <c r="K61" s="2" t="str">
        <f t="shared" si="2"/>
        <v>B</v>
      </c>
      <c r="L61" s="2" t="str">
        <f t="shared" si="3"/>
        <v>B</v>
      </c>
      <c r="M61" s="2" t="s">
        <v>26</v>
      </c>
      <c r="N61" s="2">
        <f t="shared" si="4"/>
        <v>1</v>
      </c>
      <c r="O61" s="2" t="s">
        <v>26</v>
      </c>
      <c r="P61" s="2">
        <v>35</v>
      </c>
    </row>
    <row r="62" ht="23" customHeight="1" spans="1:16">
      <c r="A62" s="6" t="s">
        <v>101</v>
      </c>
      <c r="B62" s="2" t="s">
        <v>15</v>
      </c>
      <c r="C62" s="2" t="s">
        <v>17</v>
      </c>
      <c r="D62" s="2">
        <v>1</v>
      </c>
      <c r="E62" s="6" t="s">
        <v>497</v>
      </c>
      <c r="F62" s="2" t="str">
        <f t="shared" si="5"/>
        <v>A</v>
      </c>
      <c r="G62" s="2">
        <v>5</v>
      </c>
      <c r="H62" s="2" t="str">
        <f t="shared" si="0"/>
        <v>B</v>
      </c>
      <c r="I62" s="2">
        <v>5</v>
      </c>
      <c r="J62" s="2">
        <f t="shared" si="1"/>
        <v>0</v>
      </c>
      <c r="K62" s="2" t="str">
        <f t="shared" si="2"/>
        <v>C</v>
      </c>
      <c r="L62" s="2" t="str">
        <f t="shared" si="3"/>
        <v>D(平局)</v>
      </c>
      <c r="M62" s="2" t="s">
        <v>106</v>
      </c>
      <c r="N62" s="2">
        <f t="shared" si="4"/>
        <v>1</v>
      </c>
      <c r="O62" s="2" t="s">
        <v>22</v>
      </c>
      <c r="P62" s="2">
        <v>40</v>
      </c>
    </row>
    <row r="63" ht="23" customHeight="1" spans="1:16">
      <c r="A63" s="6" t="s">
        <v>101</v>
      </c>
      <c r="B63" s="2" t="s">
        <v>15</v>
      </c>
      <c r="C63" s="2" t="s">
        <v>23</v>
      </c>
      <c r="D63" s="2">
        <v>1</v>
      </c>
      <c r="E63" s="6" t="s">
        <v>497</v>
      </c>
      <c r="F63" s="2" t="str">
        <f t="shared" si="5"/>
        <v>B</v>
      </c>
      <c r="G63" s="2">
        <v>5</v>
      </c>
      <c r="H63" s="2" t="str">
        <f t="shared" si="0"/>
        <v>A</v>
      </c>
      <c r="I63" s="2">
        <v>5</v>
      </c>
      <c r="J63" s="2">
        <f t="shared" si="1"/>
        <v>0</v>
      </c>
      <c r="K63" s="2" t="str">
        <f t="shared" si="2"/>
        <v>C</v>
      </c>
      <c r="L63" s="2" t="str">
        <f t="shared" si="3"/>
        <v>D(平局)</v>
      </c>
      <c r="M63" s="2" t="s">
        <v>106</v>
      </c>
      <c r="N63" s="2">
        <f t="shared" si="4"/>
        <v>1</v>
      </c>
      <c r="O63" s="2" t="s">
        <v>105</v>
      </c>
      <c r="P63" s="2">
        <v>41</v>
      </c>
    </row>
    <row r="64" ht="23" customHeight="1" spans="1:16">
      <c r="A64" s="6" t="s">
        <v>101</v>
      </c>
      <c r="B64" s="2" t="s">
        <v>15</v>
      </c>
      <c r="C64" s="2" t="s">
        <v>17</v>
      </c>
      <c r="D64" s="2">
        <v>2</v>
      </c>
      <c r="E64" s="6" t="s">
        <v>498</v>
      </c>
      <c r="F64" s="2" t="str">
        <f t="shared" si="5"/>
        <v>A</v>
      </c>
      <c r="G64" s="2">
        <v>5</v>
      </c>
      <c r="H64" s="2" t="str">
        <f t="shared" si="0"/>
        <v>B</v>
      </c>
      <c r="I64" s="2">
        <v>5</v>
      </c>
      <c r="J64" s="2">
        <f t="shared" si="1"/>
        <v>0</v>
      </c>
      <c r="K64" s="2" t="str">
        <f t="shared" si="2"/>
        <v>C</v>
      </c>
      <c r="L64" s="2" t="str">
        <f t="shared" si="3"/>
        <v>D(平局)</v>
      </c>
      <c r="M64" s="2" t="s">
        <v>106</v>
      </c>
      <c r="N64" s="2">
        <f t="shared" si="4"/>
        <v>1</v>
      </c>
      <c r="O64" s="2" t="s">
        <v>22</v>
      </c>
      <c r="P64" s="2">
        <v>40</v>
      </c>
    </row>
    <row r="65" ht="23" customHeight="1" spans="1:16">
      <c r="A65" s="6" t="s">
        <v>101</v>
      </c>
      <c r="B65" s="2" t="s">
        <v>15</v>
      </c>
      <c r="C65" s="2" t="s">
        <v>23</v>
      </c>
      <c r="D65" s="2">
        <v>2</v>
      </c>
      <c r="E65" s="6" t="s">
        <v>498</v>
      </c>
      <c r="F65" s="2" t="str">
        <f t="shared" si="5"/>
        <v>B</v>
      </c>
      <c r="G65" s="2">
        <v>5</v>
      </c>
      <c r="H65" s="2" t="str">
        <f t="shared" si="0"/>
        <v>A</v>
      </c>
      <c r="I65" s="2">
        <v>5</v>
      </c>
      <c r="J65" s="2">
        <f t="shared" si="1"/>
        <v>0</v>
      </c>
      <c r="K65" s="2" t="str">
        <f t="shared" si="2"/>
        <v>C</v>
      </c>
      <c r="L65" s="2" t="str">
        <f t="shared" si="3"/>
        <v>D(平局)</v>
      </c>
      <c r="M65" s="2" t="s">
        <v>106</v>
      </c>
      <c r="N65" s="2">
        <f t="shared" si="4"/>
        <v>1</v>
      </c>
      <c r="O65" s="2" t="s">
        <v>105</v>
      </c>
      <c r="P65" s="2">
        <v>41</v>
      </c>
    </row>
    <row r="66" ht="23" customHeight="1" spans="1:16">
      <c r="A66" s="6" t="s">
        <v>101</v>
      </c>
      <c r="B66" s="2" t="s">
        <v>15</v>
      </c>
      <c r="C66" s="2" t="s">
        <v>17</v>
      </c>
      <c r="D66" s="2">
        <v>3</v>
      </c>
      <c r="E66" s="6" t="s">
        <v>499</v>
      </c>
      <c r="F66" s="2" t="str">
        <f t="shared" ref="F66:F129" si="6">IF(C66="l2r",LEFT(B66,1),RIGHT(B66,1))</f>
        <v>A</v>
      </c>
      <c r="G66" s="2">
        <v>5</v>
      </c>
      <c r="H66" s="2" t="str">
        <f t="shared" ref="H66:H129" si="7">IF(C66="l2r",RIGHT(B66,1),LEFT(B66,1))</f>
        <v>B</v>
      </c>
      <c r="I66" s="2">
        <v>3</v>
      </c>
      <c r="J66" s="2">
        <f t="shared" ref="J66:J129" si="8">G66-I66</f>
        <v>2</v>
      </c>
      <c r="K66" s="2" t="str">
        <f t="shared" ref="K66:K129" si="9">IF(J66=0,"C",IF(J66&gt;0,"A","B"))</f>
        <v>A</v>
      </c>
      <c r="L66" s="2" t="str">
        <f t="shared" ref="L66:L129" si="10">IF(J66=0,"D(平局)",IF(J66&gt;0,F66,H66))</f>
        <v>A</v>
      </c>
      <c r="M66" s="2" t="s">
        <v>106</v>
      </c>
      <c r="N66" s="2">
        <f t="shared" ref="N66:N129" si="11">--(L66=M66)</f>
        <v>0</v>
      </c>
      <c r="O66" s="2" t="s">
        <v>22</v>
      </c>
      <c r="P66" s="2">
        <v>40</v>
      </c>
    </row>
    <row r="67" ht="23" customHeight="1" spans="1:16">
      <c r="A67" s="6" t="s">
        <v>101</v>
      </c>
      <c r="B67" s="2" t="s">
        <v>15</v>
      </c>
      <c r="C67" s="2" t="s">
        <v>23</v>
      </c>
      <c r="D67" s="2">
        <v>3</v>
      </c>
      <c r="E67" s="6" t="s">
        <v>499</v>
      </c>
      <c r="F67" s="2" t="str">
        <f t="shared" si="6"/>
        <v>B</v>
      </c>
      <c r="G67" s="2">
        <v>4</v>
      </c>
      <c r="H67" s="2" t="str">
        <f t="shared" si="7"/>
        <v>A</v>
      </c>
      <c r="I67" s="2">
        <v>4</v>
      </c>
      <c r="J67" s="2">
        <f t="shared" si="8"/>
        <v>0</v>
      </c>
      <c r="K67" s="2" t="str">
        <f t="shared" si="9"/>
        <v>C</v>
      </c>
      <c r="L67" s="2" t="str">
        <f t="shared" si="10"/>
        <v>D(平局)</v>
      </c>
      <c r="M67" s="2" t="s">
        <v>106</v>
      </c>
      <c r="N67" s="2">
        <f t="shared" si="11"/>
        <v>1</v>
      </c>
      <c r="O67" s="2" t="s">
        <v>105</v>
      </c>
      <c r="P67" s="2">
        <v>41</v>
      </c>
    </row>
    <row r="68" ht="23" customHeight="1" spans="1:16">
      <c r="A68" s="6" t="s">
        <v>101</v>
      </c>
      <c r="B68" s="2" t="s">
        <v>15</v>
      </c>
      <c r="C68" s="2" t="s">
        <v>17</v>
      </c>
      <c r="D68" s="2">
        <v>4</v>
      </c>
      <c r="E68" s="6" t="s">
        <v>500</v>
      </c>
      <c r="F68" s="2" t="str">
        <f t="shared" si="6"/>
        <v>A</v>
      </c>
      <c r="G68" s="2">
        <v>5</v>
      </c>
      <c r="H68" s="2" t="str">
        <f t="shared" si="7"/>
        <v>B</v>
      </c>
      <c r="I68" s="2">
        <v>5</v>
      </c>
      <c r="J68" s="2">
        <f t="shared" si="8"/>
        <v>0</v>
      </c>
      <c r="K68" s="2" t="str">
        <f t="shared" si="9"/>
        <v>C</v>
      </c>
      <c r="L68" s="2" t="str">
        <f t="shared" si="10"/>
        <v>D(平局)</v>
      </c>
      <c r="M68" s="2" t="s">
        <v>106</v>
      </c>
      <c r="N68" s="2">
        <f t="shared" si="11"/>
        <v>1</v>
      </c>
      <c r="O68" s="2" t="s">
        <v>22</v>
      </c>
      <c r="P68" s="2">
        <v>40</v>
      </c>
    </row>
    <row r="69" ht="23" customHeight="1" spans="1:16">
      <c r="A69" s="6" t="s">
        <v>101</v>
      </c>
      <c r="B69" s="2" t="s">
        <v>15</v>
      </c>
      <c r="C69" s="2" t="s">
        <v>23</v>
      </c>
      <c r="D69" s="2">
        <v>4</v>
      </c>
      <c r="E69" s="6" t="s">
        <v>500</v>
      </c>
      <c r="F69" s="2" t="str">
        <f t="shared" si="6"/>
        <v>B</v>
      </c>
      <c r="G69" s="2">
        <v>5</v>
      </c>
      <c r="H69" s="2" t="str">
        <f t="shared" si="7"/>
        <v>A</v>
      </c>
      <c r="I69" s="2">
        <v>4</v>
      </c>
      <c r="J69" s="2">
        <f t="shared" si="8"/>
        <v>1</v>
      </c>
      <c r="K69" s="2" t="str">
        <f t="shared" si="9"/>
        <v>A</v>
      </c>
      <c r="L69" s="2" t="str">
        <f t="shared" si="10"/>
        <v>B</v>
      </c>
      <c r="M69" s="2" t="s">
        <v>106</v>
      </c>
      <c r="N69" s="2">
        <f t="shared" si="11"/>
        <v>0</v>
      </c>
      <c r="O69" s="2" t="s">
        <v>105</v>
      </c>
      <c r="P69" s="2">
        <v>41</v>
      </c>
    </row>
    <row r="70" ht="23" customHeight="1" spans="1:16">
      <c r="A70" s="6" t="s">
        <v>101</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106</v>
      </c>
      <c r="N70" s="2">
        <f t="shared" si="11"/>
        <v>1</v>
      </c>
      <c r="O70" s="2" t="s">
        <v>22</v>
      </c>
      <c r="P70" s="2">
        <v>40</v>
      </c>
    </row>
    <row r="71" ht="23" customHeight="1" spans="1:16">
      <c r="A71" s="6" t="s">
        <v>101</v>
      </c>
      <c r="B71" s="2" t="s">
        <v>15</v>
      </c>
      <c r="C71" s="2" t="s">
        <v>23</v>
      </c>
      <c r="D71" s="2">
        <v>5</v>
      </c>
      <c r="E71" s="6" t="s">
        <v>501</v>
      </c>
      <c r="F71" s="2" t="str">
        <f t="shared" si="6"/>
        <v>B</v>
      </c>
      <c r="G71" s="2">
        <v>5</v>
      </c>
      <c r="H71" s="2" t="str">
        <f t="shared" si="7"/>
        <v>A</v>
      </c>
      <c r="I71" s="2">
        <v>5</v>
      </c>
      <c r="J71" s="2">
        <f t="shared" si="8"/>
        <v>0</v>
      </c>
      <c r="K71" s="2" t="str">
        <f t="shared" si="9"/>
        <v>C</v>
      </c>
      <c r="L71" s="2" t="str">
        <f t="shared" si="10"/>
        <v>D(平局)</v>
      </c>
      <c r="M71" s="2" t="s">
        <v>106</v>
      </c>
      <c r="N71" s="2">
        <f t="shared" si="11"/>
        <v>1</v>
      </c>
      <c r="O71" s="2" t="s">
        <v>105</v>
      </c>
      <c r="P71" s="2">
        <v>41</v>
      </c>
    </row>
    <row r="72" ht="23" customHeight="1" spans="1:16">
      <c r="A72" s="6" t="s">
        <v>101</v>
      </c>
      <c r="B72" s="2" t="s">
        <v>37</v>
      </c>
      <c r="C72" s="2" t="s">
        <v>17</v>
      </c>
      <c r="D72" s="2">
        <v>1</v>
      </c>
      <c r="E72" s="6" t="s">
        <v>497</v>
      </c>
      <c r="F72" s="2" t="str">
        <f t="shared" si="6"/>
        <v>A</v>
      </c>
      <c r="G72" s="2">
        <v>5</v>
      </c>
      <c r="H72" s="2" t="str">
        <f t="shared" si="7"/>
        <v>C</v>
      </c>
      <c r="I72" s="2">
        <v>2</v>
      </c>
      <c r="J72" s="2">
        <f t="shared" si="8"/>
        <v>3</v>
      </c>
      <c r="K72" s="2" t="str">
        <f t="shared" si="9"/>
        <v>A</v>
      </c>
      <c r="L72" s="2" t="str">
        <f t="shared" si="10"/>
        <v>A</v>
      </c>
      <c r="M72" s="2" t="s">
        <v>22</v>
      </c>
      <c r="N72" s="2">
        <f t="shared" si="11"/>
        <v>1</v>
      </c>
      <c r="O72" s="2" t="s">
        <v>22</v>
      </c>
      <c r="P72" s="2">
        <v>46</v>
      </c>
    </row>
    <row r="73" ht="23" customHeight="1" spans="1:16">
      <c r="A73" s="6" t="s">
        <v>101</v>
      </c>
      <c r="B73" s="2" t="s">
        <v>37</v>
      </c>
      <c r="C73" s="2" t="s">
        <v>23</v>
      </c>
      <c r="D73" s="2">
        <v>1</v>
      </c>
      <c r="E73" s="6" t="s">
        <v>497</v>
      </c>
      <c r="F73" s="2" t="str">
        <f t="shared" si="6"/>
        <v>C</v>
      </c>
      <c r="G73" s="2">
        <v>3</v>
      </c>
      <c r="H73" s="2" t="str">
        <f t="shared" si="7"/>
        <v>A</v>
      </c>
      <c r="I73" s="2">
        <v>5</v>
      </c>
      <c r="J73" s="2">
        <f t="shared" si="8"/>
        <v>-2</v>
      </c>
      <c r="K73" s="2" t="str">
        <f t="shared" si="9"/>
        <v>B</v>
      </c>
      <c r="L73" s="2" t="str">
        <f t="shared" si="10"/>
        <v>A</v>
      </c>
      <c r="M73" s="2" t="s">
        <v>22</v>
      </c>
      <c r="N73" s="2">
        <f t="shared" si="11"/>
        <v>1</v>
      </c>
      <c r="O73" s="2" t="s">
        <v>26</v>
      </c>
      <c r="P73" s="2">
        <v>47</v>
      </c>
    </row>
    <row r="74" ht="23" customHeight="1" spans="1:16">
      <c r="A74" s="6" t="s">
        <v>101</v>
      </c>
      <c r="B74" s="2" t="s">
        <v>37</v>
      </c>
      <c r="C74" s="2" t="s">
        <v>17</v>
      </c>
      <c r="D74" s="2">
        <v>2</v>
      </c>
      <c r="E74" s="6" t="s">
        <v>498</v>
      </c>
      <c r="F74" s="2" t="str">
        <f t="shared" si="6"/>
        <v>A</v>
      </c>
      <c r="G74" s="2">
        <v>5</v>
      </c>
      <c r="H74" s="2" t="str">
        <f t="shared" si="7"/>
        <v>C</v>
      </c>
      <c r="I74" s="2">
        <v>1</v>
      </c>
      <c r="J74" s="2">
        <f t="shared" si="8"/>
        <v>4</v>
      </c>
      <c r="K74" s="2" t="str">
        <f t="shared" si="9"/>
        <v>A</v>
      </c>
      <c r="L74" s="2" t="str">
        <f t="shared" si="10"/>
        <v>A</v>
      </c>
      <c r="M74" s="2" t="s">
        <v>22</v>
      </c>
      <c r="N74" s="2">
        <f t="shared" si="11"/>
        <v>1</v>
      </c>
      <c r="O74" s="2" t="s">
        <v>22</v>
      </c>
      <c r="P74" s="2">
        <v>46</v>
      </c>
    </row>
    <row r="75" ht="23" customHeight="1" spans="1:16">
      <c r="A75" s="6" t="s">
        <v>101</v>
      </c>
      <c r="B75" s="2" t="s">
        <v>37</v>
      </c>
      <c r="C75" s="2" t="s">
        <v>23</v>
      </c>
      <c r="D75" s="2">
        <v>2</v>
      </c>
      <c r="E75" s="6" t="s">
        <v>498</v>
      </c>
      <c r="F75" s="2" t="str">
        <f t="shared" si="6"/>
        <v>C</v>
      </c>
      <c r="G75" s="2">
        <v>1</v>
      </c>
      <c r="H75" s="2" t="str">
        <f t="shared" si="7"/>
        <v>A</v>
      </c>
      <c r="I75" s="2">
        <v>5</v>
      </c>
      <c r="J75" s="2">
        <f t="shared" si="8"/>
        <v>-4</v>
      </c>
      <c r="K75" s="2" t="str">
        <f t="shared" si="9"/>
        <v>B</v>
      </c>
      <c r="L75" s="2" t="str">
        <f t="shared" si="10"/>
        <v>A</v>
      </c>
      <c r="M75" s="2" t="s">
        <v>22</v>
      </c>
      <c r="N75" s="2">
        <f t="shared" si="11"/>
        <v>1</v>
      </c>
      <c r="O75" s="2" t="s">
        <v>26</v>
      </c>
      <c r="P75" s="2">
        <v>47</v>
      </c>
    </row>
    <row r="76" ht="23" customHeight="1" spans="1:16">
      <c r="A76" s="6" t="s">
        <v>101</v>
      </c>
      <c r="B76" s="2" t="s">
        <v>37</v>
      </c>
      <c r="C76" s="2" t="s">
        <v>17</v>
      </c>
      <c r="D76" s="2">
        <v>3</v>
      </c>
      <c r="E76" s="6" t="s">
        <v>499</v>
      </c>
      <c r="F76" s="2" t="str">
        <f t="shared" si="6"/>
        <v>A</v>
      </c>
      <c r="G76" s="2">
        <v>5</v>
      </c>
      <c r="H76" s="2" t="str">
        <f t="shared" si="7"/>
        <v>C</v>
      </c>
      <c r="I76" s="2">
        <v>2</v>
      </c>
      <c r="J76" s="2">
        <f t="shared" si="8"/>
        <v>3</v>
      </c>
      <c r="K76" s="2" t="str">
        <f t="shared" si="9"/>
        <v>A</v>
      </c>
      <c r="L76" s="2" t="str">
        <f t="shared" si="10"/>
        <v>A</v>
      </c>
      <c r="M76" s="2" t="s">
        <v>22</v>
      </c>
      <c r="N76" s="2">
        <f t="shared" si="11"/>
        <v>1</v>
      </c>
      <c r="O76" s="2" t="s">
        <v>22</v>
      </c>
      <c r="P76" s="2">
        <v>46</v>
      </c>
    </row>
    <row r="77" ht="23" customHeight="1" spans="1:16">
      <c r="A77" s="6" t="s">
        <v>101</v>
      </c>
      <c r="B77" s="2" t="s">
        <v>37</v>
      </c>
      <c r="C77" s="2" t="s">
        <v>23</v>
      </c>
      <c r="D77" s="2">
        <v>3</v>
      </c>
      <c r="E77" s="6" t="s">
        <v>499</v>
      </c>
      <c r="F77" s="2" t="str">
        <f t="shared" si="6"/>
        <v>C</v>
      </c>
      <c r="G77" s="2">
        <v>3</v>
      </c>
      <c r="H77" s="2" t="str">
        <f t="shared" si="7"/>
        <v>A</v>
      </c>
      <c r="I77" s="2">
        <v>5</v>
      </c>
      <c r="J77" s="2">
        <f t="shared" si="8"/>
        <v>-2</v>
      </c>
      <c r="K77" s="2" t="str">
        <f t="shared" si="9"/>
        <v>B</v>
      </c>
      <c r="L77" s="2" t="str">
        <f t="shared" si="10"/>
        <v>A</v>
      </c>
      <c r="M77" s="2" t="s">
        <v>22</v>
      </c>
      <c r="N77" s="2">
        <f t="shared" si="11"/>
        <v>1</v>
      </c>
      <c r="O77" s="2" t="s">
        <v>26</v>
      </c>
      <c r="P77" s="2">
        <v>47</v>
      </c>
    </row>
    <row r="78" ht="23" customHeight="1" spans="1:16">
      <c r="A78" s="6" t="s">
        <v>101</v>
      </c>
      <c r="B78" s="2" t="s">
        <v>37</v>
      </c>
      <c r="C78" s="2" t="s">
        <v>17</v>
      </c>
      <c r="D78" s="2">
        <v>4</v>
      </c>
      <c r="E78" s="6" t="s">
        <v>500</v>
      </c>
      <c r="F78" s="2" t="str">
        <f t="shared" si="6"/>
        <v>A</v>
      </c>
      <c r="G78" s="2">
        <v>5</v>
      </c>
      <c r="H78" s="2" t="str">
        <f t="shared" si="7"/>
        <v>C</v>
      </c>
      <c r="I78" s="2">
        <v>2</v>
      </c>
      <c r="J78" s="2">
        <f t="shared" si="8"/>
        <v>3</v>
      </c>
      <c r="K78" s="2" t="str">
        <f t="shared" si="9"/>
        <v>A</v>
      </c>
      <c r="L78" s="2" t="str">
        <f t="shared" si="10"/>
        <v>A</v>
      </c>
      <c r="M78" s="2" t="s">
        <v>22</v>
      </c>
      <c r="N78" s="2">
        <f t="shared" si="11"/>
        <v>1</v>
      </c>
      <c r="O78" s="2" t="s">
        <v>22</v>
      </c>
      <c r="P78" s="2">
        <v>46</v>
      </c>
    </row>
    <row r="79" ht="23" customHeight="1" spans="1:16">
      <c r="A79" s="6" t="s">
        <v>101</v>
      </c>
      <c r="B79" s="2" t="s">
        <v>37</v>
      </c>
      <c r="C79" s="2" t="s">
        <v>23</v>
      </c>
      <c r="D79" s="2">
        <v>4</v>
      </c>
      <c r="E79" s="6" t="s">
        <v>500</v>
      </c>
      <c r="F79" s="2" t="str">
        <f t="shared" si="6"/>
        <v>C</v>
      </c>
      <c r="G79" s="2">
        <v>3</v>
      </c>
      <c r="H79" s="2" t="str">
        <f t="shared" si="7"/>
        <v>A</v>
      </c>
      <c r="I79" s="2">
        <v>5</v>
      </c>
      <c r="J79" s="2">
        <f t="shared" si="8"/>
        <v>-2</v>
      </c>
      <c r="K79" s="2" t="str">
        <f t="shared" si="9"/>
        <v>B</v>
      </c>
      <c r="L79" s="2" t="str">
        <f t="shared" si="10"/>
        <v>A</v>
      </c>
      <c r="M79" s="2" t="s">
        <v>22</v>
      </c>
      <c r="N79" s="2">
        <f t="shared" si="11"/>
        <v>1</v>
      </c>
      <c r="O79" s="2" t="s">
        <v>26</v>
      </c>
      <c r="P79" s="2">
        <v>47</v>
      </c>
    </row>
    <row r="80" ht="23" customHeight="1" spans="1:16">
      <c r="A80" s="6" t="s">
        <v>101</v>
      </c>
      <c r="B80" s="2" t="s">
        <v>37</v>
      </c>
      <c r="C80" s="2" t="s">
        <v>17</v>
      </c>
      <c r="D80" s="2">
        <v>5</v>
      </c>
      <c r="E80" s="6" t="s">
        <v>501</v>
      </c>
      <c r="F80" s="2" t="str">
        <f t="shared" si="6"/>
        <v>A</v>
      </c>
      <c r="G80" s="2">
        <v>5</v>
      </c>
      <c r="H80" s="2" t="str">
        <f t="shared" si="7"/>
        <v>C</v>
      </c>
      <c r="I80" s="2">
        <v>3</v>
      </c>
      <c r="J80" s="2">
        <f t="shared" si="8"/>
        <v>2</v>
      </c>
      <c r="K80" s="2" t="str">
        <f t="shared" si="9"/>
        <v>A</v>
      </c>
      <c r="L80" s="2" t="str">
        <f t="shared" si="10"/>
        <v>A</v>
      </c>
      <c r="M80" s="2" t="s">
        <v>22</v>
      </c>
      <c r="N80" s="2">
        <f t="shared" si="11"/>
        <v>1</v>
      </c>
      <c r="O80" s="2" t="s">
        <v>22</v>
      </c>
      <c r="P80" s="2">
        <v>46</v>
      </c>
    </row>
    <row r="81" ht="23" customHeight="1" spans="1:16">
      <c r="A81" s="6" t="s">
        <v>101</v>
      </c>
      <c r="B81" s="2" t="s">
        <v>37</v>
      </c>
      <c r="C81" s="2" t="s">
        <v>23</v>
      </c>
      <c r="D81" s="2">
        <v>5</v>
      </c>
      <c r="E81" s="6" t="s">
        <v>501</v>
      </c>
      <c r="F81" s="2" t="str">
        <f t="shared" si="6"/>
        <v>C</v>
      </c>
      <c r="G81" s="2">
        <v>3</v>
      </c>
      <c r="H81" s="2" t="str">
        <f t="shared" si="7"/>
        <v>A</v>
      </c>
      <c r="I81" s="2">
        <v>5</v>
      </c>
      <c r="J81" s="2">
        <f t="shared" si="8"/>
        <v>-2</v>
      </c>
      <c r="K81" s="2" t="str">
        <f t="shared" si="9"/>
        <v>B</v>
      </c>
      <c r="L81" s="2" t="str">
        <f t="shared" si="10"/>
        <v>A</v>
      </c>
      <c r="M81" s="2" t="s">
        <v>22</v>
      </c>
      <c r="N81" s="2">
        <f t="shared" si="11"/>
        <v>1</v>
      </c>
      <c r="O81" s="2" t="s">
        <v>26</v>
      </c>
      <c r="P81" s="2">
        <v>47</v>
      </c>
    </row>
    <row r="82" ht="23" customHeight="1" spans="1:16">
      <c r="A82" s="6" t="s">
        <v>101</v>
      </c>
      <c r="B82" s="2" t="s">
        <v>50</v>
      </c>
      <c r="C82" s="2" t="s">
        <v>17</v>
      </c>
      <c r="D82" s="2">
        <v>1</v>
      </c>
      <c r="E82" s="6" t="s">
        <v>497</v>
      </c>
      <c r="F82" s="2" t="str">
        <f t="shared" si="6"/>
        <v>B</v>
      </c>
      <c r="G82" s="2">
        <v>5</v>
      </c>
      <c r="H82" s="2" t="str">
        <f t="shared" si="7"/>
        <v>C</v>
      </c>
      <c r="I82" s="2">
        <v>3</v>
      </c>
      <c r="J82" s="2">
        <f t="shared" si="8"/>
        <v>2</v>
      </c>
      <c r="K82" s="2" t="str">
        <f t="shared" si="9"/>
        <v>A</v>
      </c>
      <c r="L82" s="2" t="str">
        <f t="shared" si="10"/>
        <v>B</v>
      </c>
      <c r="M82" s="2" t="s">
        <v>26</v>
      </c>
      <c r="N82" s="2">
        <f t="shared" si="11"/>
        <v>1</v>
      </c>
      <c r="O82" s="2" t="s">
        <v>22</v>
      </c>
      <c r="P82" s="2">
        <v>52</v>
      </c>
    </row>
    <row r="83" ht="23" customHeight="1" spans="1:16">
      <c r="A83" s="6" t="s">
        <v>101</v>
      </c>
      <c r="B83" s="2" t="s">
        <v>50</v>
      </c>
      <c r="C83" s="2" t="s">
        <v>23</v>
      </c>
      <c r="D83" s="2">
        <v>1</v>
      </c>
      <c r="E83" s="6" t="s">
        <v>497</v>
      </c>
      <c r="F83" s="2" t="str">
        <f t="shared" si="6"/>
        <v>C</v>
      </c>
      <c r="G83" s="2">
        <v>3</v>
      </c>
      <c r="H83" s="2" t="str">
        <f t="shared" si="7"/>
        <v>B</v>
      </c>
      <c r="I83" s="2">
        <v>5</v>
      </c>
      <c r="J83" s="2">
        <f t="shared" si="8"/>
        <v>-2</v>
      </c>
      <c r="K83" s="2" t="str">
        <f t="shared" si="9"/>
        <v>B</v>
      </c>
      <c r="L83" s="2" t="str">
        <f t="shared" si="10"/>
        <v>B</v>
      </c>
      <c r="M83" s="2" t="s">
        <v>26</v>
      </c>
      <c r="N83" s="2">
        <f t="shared" si="11"/>
        <v>1</v>
      </c>
      <c r="O83" s="2" t="s">
        <v>26</v>
      </c>
      <c r="P83" s="2">
        <v>53</v>
      </c>
    </row>
    <row r="84" ht="23" customHeight="1" spans="1:16">
      <c r="A84" s="6" t="s">
        <v>101</v>
      </c>
      <c r="B84" s="2" t="s">
        <v>50</v>
      </c>
      <c r="C84" s="2" t="s">
        <v>17</v>
      </c>
      <c r="D84" s="2">
        <v>2</v>
      </c>
      <c r="E84" s="6" t="s">
        <v>498</v>
      </c>
      <c r="F84" s="2" t="str">
        <f t="shared" si="6"/>
        <v>B</v>
      </c>
      <c r="G84" s="2">
        <v>5</v>
      </c>
      <c r="H84" s="2" t="str">
        <f t="shared" si="7"/>
        <v>C</v>
      </c>
      <c r="I84" s="2">
        <v>1</v>
      </c>
      <c r="J84" s="2">
        <f t="shared" si="8"/>
        <v>4</v>
      </c>
      <c r="K84" s="2" t="str">
        <f t="shared" si="9"/>
        <v>A</v>
      </c>
      <c r="L84" s="2" t="str">
        <f t="shared" si="10"/>
        <v>B</v>
      </c>
      <c r="M84" s="2" t="s">
        <v>26</v>
      </c>
      <c r="N84" s="2">
        <f t="shared" si="11"/>
        <v>1</v>
      </c>
      <c r="O84" s="2" t="s">
        <v>22</v>
      </c>
      <c r="P84" s="2">
        <v>52</v>
      </c>
    </row>
    <row r="85" ht="23" customHeight="1" spans="1:16">
      <c r="A85" s="6" t="s">
        <v>101</v>
      </c>
      <c r="B85" s="2" t="s">
        <v>50</v>
      </c>
      <c r="C85" s="2" t="s">
        <v>23</v>
      </c>
      <c r="D85" s="2">
        <v>2</v>
      </c>
      <c r="E85" s="6" t="s">
        <v>498</v>
      </c>
      <c r="F85" s="2" t="str">
        <f t="shared" si="6"/>
        <v>C</v>
      </c>
      <c r="G85" s="2">
        <v>1</v>
      </c>
      <c r="H85" s="2" t="str">
        <f t="shared" si="7"/>
        <v>B</v>
      </c>
      <c r="I85" s="2">
        <v>5</v>
      </c>
      <c r="J85" s="2">
        <f t="shared" si="8"/>
        <v>-4</v>
      </c>
      <c r="K85" s="2" t="str">
        <f t="shared" si="9"/>
        <v>B</v>
      </c>
      <c r="L85" s="2" t="str">
        <f t="shared" si="10"/>
        <v>B</v>
      </c>
      <c r="M85" s="2" t="s">
        <v>26</v>
      </c>
      <c r="N85" s="2">
        <f t="shared" si="11"/>
        <v>1</v>
      </c>
      <c r="O85" s="2" t="s">
        <v>26</v>
      </c>
      <c r="P85" s="2">
        <v>53</v>
      </c>
    </row>
    <row r="86" ht="23" customHeight="1" spans="1:16">
      <c r="A86" s="6" t="s">
        <v>101</v>
      </c>
      <c r="B86" s="2" t="s">
        <v>50</v>
      </c>
      <c r="C86" s="2" t="s">
        <v>17</v>
      </c>
      <c r="D86" s="2">
        <v>3</v>
      </c>
      <c r="E86" s="6" t="s">
        <v>499</v>
      </c>
      <c r="F86" s="2" t="str">
        <f t="shared" si="6"/>
        <v>B</v>
      </c>
      <c r="G86" s="2">
        <v>5</v>
      </c>
      <c r="H86" s="2" t="str">
        <f t="shared" si="7"/>
        <v>C</v>
      </c>
      <c r="I86" s="2">
        <v>2</v>
      </c>
      <c r="J86" s="2">
        <f t="shared" si="8"/>
        <v>3</v>
      </c>
      <c r="K86" s="2" t="str">
        <f t="shared" si="9"/>
        <v>A</v>
      </c>
      <c r="L86" s="2" t="str">
        <f t="shared" si="10"/>
        <v>B</v>
      </c>
      <c r="M86" s="2" t="s">
        <v>26</v>
      </c>
      <c r="N86" s="2">
        <f t="shared" si="11"/>
        <v>1</v>
      </c>
      <c r="O86" s="2" t="s">
        <v>22</v>
      </c>
      <c r="P86" s="2">
        <v>52</v>
      </c>
    </row>
    <row r="87" ht="23" customHeight="1" spans="1:16">
      <c r="A87" s="6" t="s">
        <v>101</v>
      </c>
      <c r="B87" s="2" t="s">
        <v>50</v>
      </c>
      <c r="C87" s="2" t="s">
        <v>23</v>
      </c>
      <c r="D87" s="2">
        <v>3</v>
      </c>
      <c r="E87" s="6" t="s">
        <v>499</v>
      </c>
      <c r="F87" s="2" t="str">
        <f t="shared" si="6"/>
        <v>C</v>
      </c>
      <c r="G87" s="2">
        <v>3</v>
      </c>
      <c r="H87" s="2" t="str">
        <f t="shared" si="7"/>
        <v>B</v>
      </c>
      <c r="I87" s="2">
        <v>5</v>
      </c>
      <c r="J87" s="2">
        <f t="shared" si="8"/>
        <v>-2</v>
      </c>
      <c r="K87" s="2" t="str">
        <f t="shared" si="9"/>
        <v>B</v>
      </c>
      <c r="L87" s="2" t="str">
        <f t="shared" si="10"/>
        <v>B</v>
      </c>
      <c r="M87" s="2" t="s">
        <v>26</v>
      </c>
      <c r="N87" s="2">
        <f t="shared" si="11"/>
        <v>1</v>
      </c>
      <c r="O87" s="2" t="s">
        <v>26</v>
      </c>
      <c r="P87" s="2">
        <v>53</v>
      </c>
    </row>
    <row r="88" ht="23" customHeight="1" spans="1:16">
      <c r="A88" s="6" t="s">
        <v>101</v>
      </c>
      <c r="B88" s="2" t="s">
        <v>50</v>
      </c>
      <c r="C88" s="2" t="s">
        <v>17</v>
      </c>
      <c r="D88" s="2">
        <v>4</v>
      </c>
      <c r="E88" s="6" t="s">
        <v>500</v>
      </c>
      <c r="F88" s="2" t="str">
        <f t="shared" si="6"/>
        <v>B</v>
      </c>
      <c r="G88" s="2">
        <v>5</v>
      </c>
      <c r="H88" s="2" t="str">
        <f t="shared" si="7"/>
        <v>C</v>
      </c>
      <c r="I88" s="2">
        <v>2</v>
      </c>
      <c r="J88" s="2">
        <f t="shared" si="8"/>
        <v>3</v>
      </c>
      <c r="K88" s="2" t="str">
        <f t="shared" si="9"/>
        <v>A</v>
      </c>
      <c r="L88" s="2" t="str">
        <f t="shared" si="10"/>
        <v>B</v>
      </c>
      <c r="M88" s="2" t="s">
        <v>26</v>
      </c>
      <c r="N88" s="2">
        <f t="shared" si="11"/>
        <v>1</v>
      </c>
      <c r="O88" s="2" t="s">
        <v>22</v>
      </c>
      <c r="P88" s="2">
        <v>52</v>
      </c>
    </row>
    <row r="89" ht="23" customHeight="1" spans="1:16">
      <c r="A89" s="6" t="s">
        <v>101</v>
      </c>
      <c r="B89" s="2" t="s">
        <v>50</v>
      </c>
      <c r="C89" s="2" t="s">
        <v>23</v>
      </c>
      <c r="D89" s="2">
        <v>4</v>
      </c>
      <c r="E89" s="6" t="s">
        <v>500</v>
      </c>
      <c r="F89" s="2" t="str">
        <f t="shared" si="6"/>
        <v>C</v>
      </c>
      <c r="G89" s="2">
        <v>2</v>
      </c>
      <c r="H89" s="2" t="str">
        <f t="shared" si="7"/>
        <v>B</v>
      </c>
      <c r="I89" s="2">
        <v>5</v>
      </c>
      <c r="J89" s="2">
        <f t="shared" si="8"/>
        <v>-3</v>
      </c>
      <c r="K89" s="2" t="str">
        <f t="shared" si="9"/>
        <v>B</v>
      </c>
      <c r="L89" s="2" t="str">
        <f t="shared" si="10"/>
        <v>B</v>
      </c>
      <c r="M89" s="2" t="s">
        <v>26</v>
      </c>
      <c r="N89" s="2">
        <f t="shared" si="11"/>
        <v>1</v>
      </c>
      <c r="O89" s="2" t="s">
        <v>26</v>
      </c>
      <c r="P89" s="2">
        <v>53</v>
      </c>
    </row>
    <row r="90" ht="23" customHeight="1" spans="1:16">
      <c r="A90" s="6" t="s">
        <v>101</v>
      </c>
      <c r="B90" s="2" t="s">
        <v>50</v>
      </c>
      <c r="C90" s="2" t="s">
        <v>17</v>
      </c>
      <c r="D90" s="2">
        <v>5</v>
      </c>
      <c r="E90" s="6" t="s">
        <v>501</v>
      </c>
      <c r="F90" s="2" t="str">
        <f t="shared" si="6"/>
        <v>B</v>
      </c>
      <c r="G90" s="2">
        <v>5</v>
      </c>
      <c r="H90" s="2" t="str">
        <f t="shared" si="7"/>
        <v>C</v>
      </c>
      <c r="I90" s="2">
        <v>4</v>
      </c>
      <c r="J90" s="2">
        <f t="shared" si="8"/>
        <v>1</v>
      </c>
      <c r="K90" s="2" t="str">
        <f t="shared" si="9"/>
        <v>A</v>
      </c>
      <c r="L90" s="2" t="str">
        <f t="shared" si="10"/>
        <v>B</v>
      </c>
      <c r="M90" s="2" t="s">
        <v>26</v>
      </c>
      <c r="N90" s="2">
        <f t="shared" si="11"/>
        <v>1</v>
      </c>
      <c r="O90" s="2" t="s">
        <v>22</v>
      </c>
      <c r="P90" s="2">
        <v>52</v>
      </c>
    </row>
    <row r="91" ht="23" customHeight="1" spans="1:16">
      <c r="A91" s="6" t="s">
        <v>101</v>
      </c>
      <c r="B91" s="2" t="s">
        <v>50</v>
      </c>
      <c r="C91" s="2" t="s">
        <v>23</v>
      </c>
      <c r="D91" s="2">
        <v>5</v>
      </c>
      <c r="E91" s="6" t="s">
        <v>501</v>
      </c>
      <c r="F91" s="2" t="str">
        <f t="shared" si="6"/>
        <v>C</v>
      </c>
      <c r="G91" s="2">
        <v>3</v>
      </c>
      <c r="H91" s="2" t="str">
        <f t="shared" si="7"/>
        <v>B</v>
      </c>
      <c r="I91" s="2">
        <v>5</v>
      </c>
      <c r="J91" s="2">
        <f t="shared" si="8"/>
        <v>-2</v>
      </c>
      <c r="K91" s="2" t="str">
        <f t="shared" si="9"/>
        <v>B</v>
      </c>
      <c r="L91" s="2" t="str">
        <f t="shared" si="10"/>
        <v>B</v>
      </c>
      <c r="M91" s="2" t="s">
        <v>26</v>
      </c>
      <c r="N91" s="2">
        <f t="shared" si="11"/>
        <v>1</v>
      </c>
      <c r="O91" s="2" t="s">
        <v>26</v>
      </c>
      <c r="P91" s="2">
        <v>53</v>
      </c>
    </row>
    <row r="92" ht="23" customHeight="1" spans="1:16">
      <c r="A92" s="6" t="s">
        <v>141</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106</v>
      </c>
      <c r="N92" s="2">
        <f t="shared" si="11"/>
        <v>1</v>
      </c>
      <c r="O92" s="2" t="s">
        <v>105</v>
      </c>
      <c r="P92" s="2">
        <v>58</v>
      </c>
    </row>
    <row r="93" ht="23" customHeight="1" spans="1:16">
      <c r="A93" s="6" t="s">
        <v>141</v>
      </c>
      <c r="B93" s="2" t="s">
        <v>15</v>
      </c>
      <c r="C93" s="2" t="s">
        <v>23</v>
      </c>
      <c r="D93" s="2">
        <v>1</v>
      </c>
      <c r="E93" s="6" t="s">
        <v>497</v>
      </c>
      <c r="F93" s="2" t="str">
        <f t="shared" si="6"/>
        <v>B</v>
      </c>
      <c r="G93" s="2">
        <v>5</v>
      </c>
      <c r="H93" s="2" t="str">
        <f t="shared" si="7"/>
        <v>A</v>
      </c>
      <c r="I93" s="2">
        <v>5</v>
      </c>
      <c r="J93" s="2">
        <f t="shared" si="8"/>
        <v>0</v>
      </c>
      <c r="K93" s="2" t="str">
        <f t="shared" si="9"/>
        <v>C</v>
      </c>
      <c r="L93" s="2" t="str">
        <f t="shared" si="10"/>
        <v>D(平局)</v>
      </c>
      <c r="M93" s="2" t="s">
        <v>106</v>
      </c>
      <c r="N93" s="2">
        <f t="shared" si="11"/>
        <v>1</v>
      </c>
      <c r="O93" s="2" t="s">
        <v>105</v>
      </c>
      <c r="P93" s="2">
        <v>59</v>
      </c>
    </row>
    <row r="94" ht="23" customHeight="1" spans="1:16">
      <c r="A94" s="6" t="s">
        <v>141</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106</v>
      </c>
      <c r="N94" s="2">
        <f t="shared" si="11"/>
        <v>1</v>
      </c>
      <c r="O94" s="2" t="s">
        <v>105</v>
      </c>
      <c r="P94" s="2">
        <v>58</v>
      </c>
    </row>
    <row r="95" ht="23" customHeight="1" spans="1:16">
      <c r="A95" s="6" t="s">
        <v>141</v>
      </c>
      <c r="B95" s="2" t="s">
        <v>15</v>
      </c>
      <c r="C95" s="2" t="s">
        <v>23</v>
      </c>
      <c r="D95" s="2">
        <v>2</v>
      </c>
      <c r="E95" s="6" t="s">
        <v>498</v>
      </c>
      <c r="F95" s="2" t="str">
        <f t="shared" si="6"/>
        <v>B</v>
      </c>
      <c r="G95" s="2">
        <v>5</v>
      </c>
      <c r="H95" s="2" t="str">
        <f t="shared" si="7"/>
        <v>A</v>
      </c>
      <c r="I95" s="2">
        <v>5</v>
      </c>
      <c r="J95" s="2">
        <f t="shared" si="8"/>
        <v>0</v>
      </c>
      <c r="K95" s="2" t="str">
        <f t="shared" si="9"/>
        <v>C</v>
      </c>
      <c r="L95" s="2" t="str">
        <f t="shared" si="10"/>
        <v>D(平局)</v>
      </c>
      <c r="M95" s="2" t="s">
        <v>106</v>
      </c>
      <c r="N95" s="2">
        <f t="shared" si="11"/>
        <v>1</v>
      </c>
      <c r="O95" s="2" t="s">
        <v>105</v>
      </c>
      <c r="P95" s="2">
        <v>59</v>
      </c>
    </row>
    <row r="96" ht="23" customHeight="1" spans="1:16">
      <c r="A96" s="6" t="s">
        <v>141</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106</v>
      </c>
      <c r="N96" s="2">
        <f t="shared" si="11"/>
        <v>1</v>
      </c>
      <c r="O96" s="2" t="s">
        <v>105</v>
      </c>
      <c r="P96" s="2">
        <v>58</v>
      </c>
    </row>
    <row r="97" ht="23" customHeight="1" spans="1:16">
      <c r="A97" s="6" t="s">
        <v>141</v>
      </c>
      <c r="B97" s="2" t="s">
        <v>15</v>
      </c>
      <c r="C97" s="2" t="s">
        <v>23</v>
      </c>
      <c r="D97" s="2">
        <v>3</v>
      </c>
      <c r="E97" s="6" t="s">
        <v>499</v>
      </c>
      <c r="F97" s="2" t="str">
        <f t="shared" si="6"/>
        <v>B</v>
      </c>
      <c r="G97" s="2">
        <v>5</v>
      </c>
      <c r="H97" s="2" t="str">
        <f t="shared" si="7"/>
        <v>A</v>
      </c>
      <c r="I97" s="2">
        <v>5</v>
      </c>
      <c r="J97" s="2">
        <f t="shared" si="8"/>
        <v>0</v>
      </c>
      <c r="K97" s="2" t="str">
        <f t="shared" si="9"/>
        <v>C</v>
      </c>
      <c r="L97" s="2" t="str">
        <f t="shared" si="10"/>
        <v>D(平局)</v>
      </c>
      <c r="M97" s="2" t="s">
        <v>106</v>
      </c>
      <c r="N97" s="2">
        <f t="shared" si="11"/>
        <v>1</v>
      </c>
      <c r="O97" s="2" t="s">
        <v>105</v>
      </c>
      <c r="P97" s="2">
        <v>59</v>
      </c>
    </row>
    <row r="98" ht="23" customHeight="1" spans="1:16">
      <c r="A98" s="6" t="s">
        <v>141</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106</v>
      </c>
      <c r="N98" s="2">
        <f t="shared" si="11"/>
        <v>1</v>
      </c>
      <c r="O98" s="2" t="s">
        <v>105</v>
      </c>
      <c r="P98" s="2">
        <v>58</v>
      </c>
    </row>
    <row r="99" ht="23" customHeight="1" spans="1:16">
      <c r="A99" s="6" t="s">
        <v>141</v>
      </c>
      <c r="B99" s="2" t="s">
        <v>15</v>
      </c>
      <c r="C99" s="2" t="s">
        <v>23</v>
      </c>
      <c r="D99" s="2">
        <v>4</v>
      </c>
      <c r="E99" s="6" t="s">
        <v>500</v>
      </c>
      <c r="F99" s="2" t="str">
        <f t="shared" si="6"/>
        <v>B</v>
      </c>
      <c r="G99" s="2">
        <v>5</v>
      </c>
      <c r="H99" s="2" t="str">
        <f t="shared" si="7"/>
        <v>A</v>
      </c>
      <c r="I99" s="2">
        <v>5</v>
      </c>
      <c r="J99" s="2">
        <f t="shared" si="8"/>
        <v>0</v>
      </c>
      <c r="K99" s="2" t="str">
        <f t="shared" si="9"/>
        <v>C</v>
      </c>
      <c r="L99" s="2" t="str">
        <f t="shared" si="10"/>
        <v>D(平局)</v>
      </c>
      <c r="M99" s="2" t="s">
        <v>106</v>
      </c>
      <c r="N99" s="2">
        <f t="shared" si="11"/>
        <v>1</v>
      </c>
      <c r="O99" s="2" t="s">
        <v>105</v>
      </c>
      <c r="P99" s="2">
        <v>59</v>
      </c>
    </row>
    <row r="100" ht="23" customHeight="1" spans="1:16">
      <c r="A100" s="6" t="s">
        <v>141</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106</v>
      </c>
      <c r="N100" s="2">
        <f t="shared" si="11"/>
        <v>1</v>
      </c>
      <c r="O100" s="2" t="s">
        <v>105</v>
      </c>
      <c r="P100" s="2">
        <v>58</v>
      </c>
    </row>
    <row r="101" ht="23" customHeight="1" spans="1:16">
      <c r="A101" s="6" t="s">
        <v>141</v>
      </c>
      <c r="B101" s="2" t="s">
        <v>15</v>
      </c>
      <c r="C101" s="2" t="s">
        <v>23</v>
      </c>
      <c r="D101" s="2">
        <v>5</v>
      </c>
      <c r="E101" s="6" t="s">
        <v>501</v>
      </c>
      <c r="F101" s="2" t="str">
        <f t="shared" si="6"/>
        <v>B</v>
      </c>
      <c r="G101" s="2">
        <v>5</v>
      </c>
      <c r="H101" s="2" t="str">
        <f t="shared" si="7"/>
        <v>A</v>
      </c>
      <c r="I101" s="2">
        <v>5</v>
      </c>
      <c r="J101" s="2">
        <f t="shared" si="8"/>
        <v>0</v>
      </c>
      <c r="K101" s="2" t="str">
        <f t="shared" si="9"/>
        <v>C</v>
      </c>
      <c r="L101" s="2" t="str">
        <f t="shared" si="10"/>
        <v>D(平局)</v>
      </c>
      <c r="M101" s="2" t="s">
        <v>106</v>
      </c>
      <c r="N101" s="2">
        <f t="shared" si="11"/>
        <v>1</v>
      </c>
      <c r="O101" s="2" t="s">
        <v>105</v>
      </c>
      <c r="P101" s="2">
        <v>59</v>
      </c>
    </row>
    <row r="102" ht="23" customHeight="1" spans="1:16">
      <c r="A102" s="6" t="s">
        <v>141</v>
      </c>
      <c r="B102" s="2" t="s">
        <v>37</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22</v>
      </c>
      <c r="N102" s="2">
        <f t="shared" si="11"/>
        <v>0</v>
      </c>
      <c r="O102" s="2" t="s">
        <v>22</v>
      </c>
      <c r="P102" s="2">
        <v>64</v>
      </c>
    </row>
    <row r="103" ht="23" customHeight="1" spans="1:16">
      <c r="A103" s="6" t="s">
        <v>141</v>
      </c>
      <c r="B103" s="2" t="s">
        <v>37</v>
      </c>
      <c r="C103" s="2" t="s">
        <v>23</v>
      </c>
      <c r="D103" s="2">
        <v>1</v>
      </c>
      <c r="E103" s="6" t="s">
        <v>497</v>
      </c>
      <c r="F103" s="2" t="str">
        <f t="shared" si="6"/>
        <v>C</v>
      </c>
      <c r="G103" s="2">
        <v>5</v>
      </c>
      <c r="H103" s="2" t="str">
        <f t="shared" si="7"/>
        <v>A</v>
      </c>
      <c r="I103" s="2">
        <v>5</v>
      </c>
      <c r="J103" s="2">
        <f t="shared" si="8"/>
        <v>0</v>
      </c>
      <c r="K103" s="2" t="str">
        <f t="shared" si="9"/>
        <v>C</v>
      </c>
      <c r="L103" s="2" t="str">
        <f t="shared" si="10"/>
        <v>D(平局)</v>
      </c>
      <c r="M103" s="2" t="s">
        <v>22</v>
      </c>
      <c r="N103" s="2">
        <f t="shared" si="11"/>
        <v>0</v>
      </c>
      <c r="O103" s="2" t="s">
        <v>26</v>
      </c>
      <c r="P103" s="2">
        <v>65</v>
      </c>
    </row>
    <row r="104" ht="23" customHeight="1" spans="1:16">
      <c r="A104" s="6" t="s">
        <v>141</v>
      </c>
      <c r="B104" s="2" t="s">
        <v>37</v>
      </c>
      <c r="C104" s="2" t="s">
        <v>17</v>
      </c>
      <c r="D104" s="2">
        <v>2</v>
      </c>
      <c r="E104" s="6" t="s">
        <v>498</v>
      </c>
      <c r="F104" s="2" t="str">
        <f t="shared" si="6"/>
        <v>A</v>
      </c>
      <c r="G104" s="2">
        <v>5</v>
      </c>
      <c r="H104" s="2" t="str">
        <f t="shared" si="7"/>
        <v>C</v>
      </c>
      <c r="I104" s="2">
        <v>3</v>
      </c>
      <c r="J104" s="2">
        <f t="shared" si="8"/>
        <v>2</v>
      </c>
      <c r="K104" s="2" t="str">
        <f t="shared" si="9"/>
        <v>A</v>
      </c>
      <c r="L104" s="2" t="str">
        <f t="shared" si="10"/>
        <v>A</v>
      </c>
      <c r="M104" s="2" t="s">
        <v>22</v>
      </c>
      <c r="N104" s="2">
        <f t="shared" si="11"/>
        <v>1</v>
      </c>
      <c r="O104" s="2" t="s">
        <v>22</v>
      </c>
      <c r="P104" s="2">
        <v>64</v>
      </c>
    </row>
    <row r="105" ht="23" customHeight="1" spans="1:16">
      <c r="A105" s="6" t="s">
        <v>141</v>
      </c>
      <c r="B105" s="2" t="s">
        <v>37</v>
      </c>
      <c r="C105" s="2" t="s">
        <v>23</v>
      </c>
      <c r="D105" s="2">
        <v>2</v>
      </c>
      <c r="E105" s="6" t="s">
        <v>498</v>
      </c>
      <c r="F105" s="2" t="str">
        <f t="shared" si="6"/>
        <v>C</v>
      </c>
      <c r="G105" s="2">
        <v>3</v>
      </c>
      <c r="H105" s="2" t="str">
        <f t="shared" si="7"/>
        <v>A</v>
      </c>
      <c r="I105" s="2">
        <v>5</v>
      </c>
      <c r="J105" s="2">
        <f t="shared" si="8"/>
        <v>-2</v>
      </c>
      <c r="K105" s="2" t="str">
        <f t="shared" si="9"/>
        <v>B</v>
      </c>
      <c r="L105" s="2" t="str">
        <f t="shared" si="10"/>
        <v>A</v>
      </c>
      <c r="M105" s="2" t="s">
        <v>22</v>
      </c>
      <c r="N105" s="2">
        <f t="shared" si="11"/>
        <v>1</v>
      </c>
      <c r="O105" s="2" t="s">
        <v>26</v>
      </c>
      <c r="P105" s="2">
        <v>65</v>
      </c>
    </row>
    <row r="106" ht="23" customHeight="1" spans="1:16">
      <c r="A106" s="6" t="s">
        <v>141</v>
      </c>
      <c r="B106" s="2" t="s">
        <v>37</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22</v>
      </c>
      <c r="N106" s="2">
        <f t="shared" si="11"/>
        <v>0</v>
      </c>
      <c r="O106" s="2" t="s">
        <v>22</v>
      </c>
      <c r="P106" s="2">
        <v>64</v>
      </c>
    </row>
    <row r="107" ht="23" customHeight="1" spans="1:16">
      <c r="A107" s="6" t="s">
        <v>141</v>
      </c>
      <c r="B107" s="2" t="s">
        <v>37</v>
      </c>
      <c r="C107" s="2" t="s">
        <v>23</v>
      </c>
      <c r="D107" s="2">
        <v>3</v>
      </c>
      <c r="E107" s="6" t="s">
        <v>499</v>
      </c>
      <c r="F107" s="2" t="str">
        <f t="shared" si="6"/>
        <v>C</v>
      </c>
      <c r="G107" s="2">
        <v>5</v>
      </c>
      <c r="H107" s="2" t="str">
        <f t="shared" si="7"/>
        <v>A</v>
      </c>
      <c r="I107" s="2">
        <v>5</v>
      </c>
      <c r="J107" s="2">
        <f t="shared" si="8"/>
        <v>0</v>
      </c>
      <c r="K107" s="2" t="str">
        <f t="shared" si="9"/>
        <v>C</v>
      </c>
      <c r="L107" s="2" t="str">
        <f t="shared" si="10"/>
        <v>D(平局)</v>
      </c>
      <c r="M107" s="2" t="s">
        <v>22</v>
      </c>
      <c r="N107" s="2">
        <f t="shared" si="11"/>
        <v>0</v>
      </c>
      <c r="O107" s="2" t="s">
        <v>26</v>
      </c>
      <c r="P107" s="2">
        <v>65</v>
      </c>
    </row>
    <row r="108" ht="23" customHeight="1" spans="1:16">
      <c r="A108" s="6" t="s">
        <v>141</v>
      </c>
      <c r="B108" s="2" t="s">
        <v>37</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22</v>
      </c>
      <c r="N108" s="2">
        <f t="shared" si="11"/>
        <v>0</v>
      </c>
      <c r="O108" s="2" t="s">
        <v>22</v>
      </c>
      <c r="P108" s="2">
        <v>64</v>
      </c>
    </row>
    <row r="109" ht="23" customHeight="1" spans="1:16">
      <c r="A109" s="6" t="s">
        <v>141</v>
      </c>
      <c r="B109" s="2" t="s">
        <v>37</v>
      </c>
      <c r="C109" s="2" t="s">
        <v>23</v>
      </c>
      <c r="D109" s="2">
        <v>4</v>
      </c>
      <c r="E109" s="6" t="s">
        <v>500</v>
      </c>
      <c r="F109" s="2" t="str">
        <f t="shared" si="6"/>
        <v>C</v>
      </c>
      <c r="G109" s="2">
        <v>5</v>
      </c>
      <c r="H109" s="2" t="str">
        <f t="shared" si="7"/>
        <v>A</v>
      </c>
      <c r="I109" s="2">
        <v>5</v>
      </c>
      <c r="J109" s="2">
        <f t="shared" si="8"/>
        <v>0</v>
      </c>
      <c r="K109" s="2" t="str">
        <f t="shared" si="9"/>
        <v>C</v>
      </c>
      <c r="L109" s="2" t="str">
        <f t="shared" si="10"/>
        <v>D(平局)</v>
      </c>
      <c r="M109" s="2" t="s">
        <v>22</v>
      </c>
      <c r="N109" s="2">
        <f t="shared" si="11"/>
        <v>0</v>
      </c>
      <c r="O109" s="2" t="s">
        <v>26</v>
      </c>
      <c r="P109" s="2">
        <v>65</v>
      </c>
    </row>
    <row r="110" ht="23" customHeight="1" spans="1:16">
      <c r="A110" s="6" t="s">
        <v>141</v>
      </c>
      <c r="B110" s="2" t="s">
        <v>37</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22</v>
      </c>
      <c r="N110" s="2">
        <f t="shared" si="11"/>
        <v>0</v>
      </c>
      <c r="O110" s="2" t="s">
        <v>22</v>
      </c>
      <c r="P110" s="2">
        <v>64</v>
      </c>
    </row>
    <row r="111" ht="23" customHeight="1" spans="1:16">
      <c r="A111" s="6" t="s">
        <v>141</v>
      </c>
      <c r="B111" s="2" t="s">
        <v>37</v>
      </c>
      <c r="C111" s="2" t="s">
        <v>23</v>
      </c>
      <c r="D111" s="2">
        <v>5</v>
      </c>
      <c r="E111" s="6" t="s">
        <v>501</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26</v>
      </c>
      <c r="P111" s="2">
        <v>65</v>
      </c>
    </row>
    <row r="112" ht="23" customHeight="1" spans="1:16">
      <c r="A112" s="6" t="s">
        <v>141</v>
      </c>
      <c r="B112" s="2" t="s">
        <v>50</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26</v>
      </c>
      <c r="N112" s="2">
        <f t="shared" si="11"/>
        <v>0</v>
      </c>
      <c r="O112" s="2" t="s">
        <v>22</v>
      </c>
      <c r="P112" s="2">
        <v>70</v>
      </c>
    </row>
    <row r="113" ht="23" customHeight="1" spans="1:16">
      <c r="A113" s="6" t="s">
        <v>141</v>
      </c>
      <c r="B113" s="2" t="s">
        <v>50</v>
      </c>
      <c r="C113" s="2" t="s">
        <v>23</v>
      </c>
      <c r="D113" s="2">
        <v>1</v>
      </c>
      <c r="E113" s="6" t="s">
        <v>497</v>
      </c>
      <c r="F113" s="2" t="str">
        <f t="shared" si="6"/>
        <v>C</v>
      </c>
      <c r="G113" s="2">
        <v>5</v>
      </c>
      <c r="H113" s="2" t="str">
        <f t="shared" si="7"/>
        <v>B</v>
      </c>
      <c r="I113" s="2">
        <v>5</v>
      </c>
      <c r="J113" s="2">
        <f t="shared" si="8"/>
        <v>0</v>
      </c>
      <c r="K113" s="2" t="str">
        <f t="shared" si="9"/>
        <v>C</v>
      </c>
      <c r="L113" s="2" t="str">
        <f t="shared" si="10"/>
        <v>D(平局)</v>
      </c>
      <c r="M113" s="2" t="s">
        <v>26</v>
      </c>
      <c r="N113" s="2">
        <f t="shared" si="11"/>
        <v>0</v>
      </c>
      <c r="O113" s="2" t="s">
        <v>26</v>
      </c>
      <c r="P113" s="2">
        <v>71</v>
      </c>
    </row>
    <row r="114" ht="23" customHeight="1" spans="1:16">
      <c r="A114" s="6" t="s">
        <v>141</v>
      </c>
      <c r="B114" s="2" t="s">
        <v>50</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26</v>
      </c>
      <c r="N114" s="2">
        <f t="shared" si="11"/>
        <v>1</v>
      </c>
      <c r="O114" s="2" t="s">
        <v>22</v>
      </c>
      <c r="P114" s="2">
        <v>70</v>
      </c>
    </row>
    <row r="115" ht="23" customHeight="1" spans="1:16">
      <c r="A115" s="6" t="s">
        <v>141</v>
      </c>
      <c r="B115" s="2" t="s">
        <v>50</v>
      </c>
      <c r="C115" s="2" t="s">
        <v>23</v>
      </c>
      <c r="D115" s="2">
        <v>2</v>
      </c>
      <c r="E115" s="6" t="s">
        <v>498</v>
      </c>
      <c r="F115" s="2" t="str">
        <f t="shared" si="6"/>
        <v>C</v>
      </c>
      <c r="G115" s="2">
        <v>3</v>
      </c>
      <c r="H115" s="2" t="str">
        <f t="shared" si="7"/>
        <v>B</v>
      </c>
      <c r="I115" s="2">
        <v>5</v>
      </c>
      <c r="J115" s="2">
        <f t="shared" si="8"/>
        <v>-2</v>
      </c>
      <c r="K115" s="2" t="str">
        <f t="shared" si="9"/>
        <v>B</v>
      </c>
      <c r="L115" s="2" t="str">
        <f t="shared" si="10"/>
        <v>B</v>
      </c>
      <c r="M115" s="2" t="s">
        <v>26</v>
      </c>
      <c r="N115" s="2">
        <f t="shared" si="11"/>
        <v>1</v>
      </c>
      <c r="O115" s="2" t="s">
        <v>26</v>
      </c>
      <c r="P115" s="2">
        <v>71</v>
      </c>
    </row>
    <row r="116" ht="23" customHeight="1" spans="1:16">
      <c r="A116" s="6" t="s">
        <v>141</v>
      </c>
      <c r="B116" s="2" t="s">
        <v>50</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26</v>
      </c>
      <c r="N116" s="2">
        <f t="shared" si="11"/>
        <v>0</v>
      </c>
      <c r="O116" s="2" t="s">
        <v>22</v>
      </c>
      <c r="P116" s="2">
        <v>70</v>
      </c>
    </row>
    <row r="117" ht="23" customHeight="1" spans="1:16">
      <c r="A117" s="6" t="s">
        <v>141</v>
      </c>
      <c r="B117" s="2" t="s">
        <v>50</v>
      </c>
      <c r="C117" s="2" t="s">
        <v>23</v>
      </c>
      <c r="D117" s="2">
        <v>3</v>
      </c>
      <c r="E117" s="6" t="s">
        <v>499</v>
      </c>
      <c r="F117" s="2" t="str">
        <f t="shared" si="6"/>
        <v>C</v>
      </c>
      <c r="G117" s="2">
        <v>5</v>
      </c>
      <c r="H117" s="2" t="str">
        <f t="shared" si="7"/>
        <v>B</v>
      </c>
      <c r="I117" s="2">
        <v>5</v>
      </c>
      <c r="J117" s="2">
        <f t="shared" si="8"/>
        <v>0</v>
      </c>
      <c r="K117" s="2" t="str">
        <f t="shared" si="9"/>
        <v>C</v>
      </c>
      <c r="L117" s="2" t="str">
        <f t="shared" si="10"/>
        <v>D(平局)</v>
      </c>
      <c r="M117" s="2" t="s">
        <v>26</v>
      </c>
      <c r="N117" s="2">
        <f t="shared" si="11"/>
        <v>0</v>
      </c>
      <c r="O117" s="2" t="s">
        <v>26</v>
      </c>
      <c r="P117" s="2">
        <v>71</v>
      </c>
    </row>
    <row r="118" ht="23" customHeight="1" spans="1:16">
      <c r="A118" s="6" t="s">
        <v>141</v>
      </c>
      <c r="B118" s="2" t="s">
        <v>50</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26</v>
      </c>
      <c r="N118" s="2">
        <f t="shared" si="11"/>
        <v>0</v>
      </c>
      <c r="O118" s="2" t="s">
        <v>22</v>
      </c>
      <c r="P118" s="2">
        <v>70</v>
      </c>
    </row>
    <row r="119" ht="23" customHeight="1" spans="1:16">
      <c r="A119" s="6" t="s">
        <v>141</v>
      </c>
      <c r="B119" s="2" t="s">
        <v>50</v>
      </c>
      <c r="C119" s="2" t="s">
        <v>23</v>
      </c>
      <c r="D119" s="2">
        <v>4</v>
      </c>
      <c r="E119" s="6" t="s">
        <v>500</v>
      </c>
      <c r="F119" s="2" t="str">
        <f t="shared" si="6"/>
        <v>C</v>
      </c>
      <c r="G119" s="2">
        <v>5</v>
      </c>
      <c r="H119" s="2" t="str">
        <f t="shared" si="7"/>
        <v>B</v>
      </c>
      <c r="I119" s="2">
        <v>5</v>
      </c>
      <c r="J119" s="2">
        <f t="shared" si="8"/>
        <v>0</v>
      </c>
      <c r="K119" s="2" t="str">
        <f t="shared" si="9"/>
        <v>C</v>
      </c>
      <c r="L119" s="2" t="str">
        <f t="shared" si="10"/>
        <v>D(平局)</v>
      </c>
      <c r="M119" s="2" t="s">
        <v>26</v>
      </c>
      <c r="N119" s="2">
        <f t="shared" si="11"/>
        <v>0</v>
      </c>
      <c r="O119" s="2" t="s">
        <v>26</v>
      </c>
      <c r="P119" s="2">
        <v>71</v>
      </c>
    </row>
    <row r="120" ht="23" customHeight="1" spans="1:16">
      <c r="A120" s="6" t="s">
        <v>141</v>
      </c>
      <c r="B120" s="2" t="s">
        <v>50</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26</v>
      </c>
      <c r="N120" s="2">
        <f t="shared" si="11"/>
        <v>0</v>
      </c>
      <c r="O120" s="2" t="s">
        <v>22</v>
      </c>
      <c r="P120" s="2">
        <v>70</v>
      </c>
    </row>
    <row r="121" ht="23" customHeight="1" spans="1:16">
      <c r="A121" s="6" t="s">
        <v>141</v>
      </c>
      <c r="B121" s="2" t="s">
        <v>50</v>
      </c>
      <c r="C121" s="2" t="s">
        <v>23</v>
      </c>
      <c r="D121" s="2">
        <v>5</v>
      </c>
      <c r="E121" s="6" t="s">
        <v>501</v>
      </c>
      <c r="F121" s="2" t="str">
        <f t="shared" si="6"/>
        <v>C</v>
      </c>
      <c r="G121" s="2">
        <v>5</v>
      </c>
      <c r="H121" s="2" t="str">
        <f t="shared" si="7"/>
        <v>B</v>
      </c>
      <c r="I121" s="2">
        <v>5</v>
      </c>
      <c r="J121" s="2">
        <f t="shared" si="8"/>
        <v>0</v>
      </c>
      <c r="K121" s="2" t="str">
        <f t="shared" si="9"/>
        <v>C</v>
      </c>
      <c r="L121" s="2" t="str">
        <f t="shared" si="10"/>
        <v>D(平局)</v>
      </c>
      <c r="M121" s="2" t="s">
        <v>26</v>
      </c>
      <c r="N121" s="2">
        <f t="shared" si="11"/>
        <v>0</v>
      </c>
      <c r="O121" s="2" t="s">
        <v>26</v>
      </c>
      <c r="P121" s="2">
        <v>71</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26</v>
      </c>
      <c r="N122" s="2">
        <f t="shared" si="11"/>
        <v>0</v>
      </c>
      <c r="O122" s="2" t="s">
        <v>26</v>
      </c>
      <c r="P122" s="2">
        <v>76</v>
      </c>
    </row>
    <row r="123" ht="23" customHeight="1" spans="1:16">
      <c r="A123" s="6" t="s">
        <v>179</v>
      </c>
      <c r="B123" s="2" t="s">
        <v>15</v>
      </c>
      <c r="C123" s="2" t="s">
        <v>23</v>
      </c>
      <c r="D123" s="2">
        <v>1</v>
      </c>
      <c r="E123" s="6" t="s">
        <v>497</v>
      </c>
      <c r="F123" s="2" t="str">
        <f t="shared" si="6"/>
        <v>B</v>
      </c>
      <c r="G123" s="2">
        <v>5</v>
      </c>
      <c r="H123" s="2" t="str">
        <f t="shared" si="7"/>
        <v>A</v>
      </c>
      <c r="I123" s="2">
        <v>5</v>
      </c>
      <c r="J123" s="2">
        <f t="shared" si="8"/>
        <v>0</v>
      </c>
      <c r="K123" s="2" t="str">
        <f t="shared" si="9"/>
        <v>C</v>
      </c>
      <c r="L123" s="2" t="str">
        <f t="shared" si="10"/>
        <v>D(平局)</v>
      </c>
      <c r="M123" s="2" t="s">
        <v>26</v>
      </c>
      <c r="N123" s="2">
        <f t="shared" si="11"/>
        <v>0</v>
      </c>
      <c r="O123" s="2" t="s">
        <v>22</v>
      </c>
      <c r="P123" s="2">
        <v>77</v>
      </c>
    </row>
    <row r="124" ht="23" customHeight="1" spans="1:16">
      <c r="A124" s="6" t="s">
        <v>179</v>
      </c>
      <c r="B124" s="2" t="s">
        <v>15</v>
      </c>
      <c r="C124" s="2" t="s">
        <v>17</v>
      </c>
      <c r="D124" s="2">
        <v>2</v>
      </c>
      <c r="E124" s="6" t="s">
        <v>498</v>
      </c>
      <c r="F124" s="2" t="str">
        <f t="shared" si="6"/>
        <v>A</v>
      </c>
      <c r="G124" s="2">
        <v>3</v>
      </c>
      <c r="H124" s="2" t="str">
        <f t="shared" si="7"/>
        <v>B</v>
      </c>
      <c r="I124" s="2">
        <v>5</v>
      </c>
      <c r="J124" s="2">
        <f t="shared" si="8"/>
        <v>-2</v>
      </c>
      <c r="K124" s="2" t="str">
        <f t="shared" si="9"/>
        <v>B</v>
      </c>
      <c r="L124" s="2" t="str">
        <f t="shared" si="10"/>
        <v>B</v>
      </c>
      <c r="M124" s="2" t="s">
        <v>26</v>
      </c>
      <c r="N124" s="2">
        <f t="shared" si="11"/>
        <v>1</v>
      </c>
      <c r="O124" s="2" t="s">
        <v>26</v>
      </c>
      <c r="P124" s="2">
        <v>76</v>
      </c>
    </row>
    <row r="125" ht="23" customHeight="1" spans="1:16">
      <c r="A125" s="6" t="s">
        <v>179</v>
      </c>
      <c r="B125" s="2" t="s">
        <v>15</v>
      </c>
      <c r="C125" s="2" t="s">
        <v>23</v>
      </c>
      <c r="D125" s="2">
        <v>2</v>
      </c>
      <c r="E125" s="6" t="s">
        <v>498</v>
      </c>
      <c r="F125" s="2" t="str">
        <f t="shared" si="6"/>
        <v>B</v>
      </c>
      <c r="G125" s="2">
        <v>5</v>
      </c>
      <c r="H125" s="2" t="str">
        <f t="shared" si="7"/>
        <v>A</v>
      </c>
      <c r="I125" s="2">
        <v>3</v>
      </c>
      <c r="J125" s="2">
        <f t="shared" si="8"/>
        <v>2</v>
      </c>
      <c r="K125" s="2" t="str">
        <f t="shared" si="9"/>
        <v>A</v>
      </c>
      <c r="L125" s="2" t="str">
        <f t="shared" si="10"/>
        <v>B</v>
      </c>
      <c r="M125" s="2" t="s">
        <v>26</v>
      </c>
      <c r="N125" s="2">
        <f t="shared" si="11"/>
        <v>1</v>
      </c>
      <c r="O125" s="2" t="s">
        <v>22</v>
      </c>
      <c r="P125" s="2">
        <v>77</v>
      </c>
    </row>
    <row r="126" ht="23" customHeight="1" spans="1:16">
      <c r="A126" s="6" t="s">
        <v>179</v>
      </c>
      <c r="B126" s="2" t="s">
        <v>15</v>
      </c>
      <c r="C126" s="2" t="s">
        <v>17</v>
      </c>
      <c r="D126" s="2">
        <v>3</v>
      </c>
      <c r="E126" s="6" t="s">
        <v>499</v>
      </c>
      <c r="F126" s="2" t="str">
        <f t="shared" si="6"/>
        <v>A</v>
      </c>
      <c r="G126" s="2">
        <v>4</v>
      </c>
      <c r="H126" s="2" t="str">
        <f t="shared" si="7"/>
        <v>B</v>
      </c>
      <c r="I126" s="2">
        <v>5</v>
      </c>
      <c r="J126" s="2">
        <f t="shared" si="8"/>
        <v>-1</v>
      </c>
      <c r="K126" s="2" t="str">
        <f t="shared" si="9"/>
        <v>B</v>
      </c>
      <c r="L126" s="2" t="str">
        <f t="shared" si="10"/>
        <v>B</v>
      </c>
      <c r="M126" s="2" t="s">
        <v>26</v>
      </c>
      <c r="N126" s="2">
        <f t="shared" si="11"/>
        <v>1</v>
      </c>
      <c r="O126" s="2" t="s">
        <v>26</v>
      </c>
      <c r="P126" s="2">
        <v>76</v>
      </c>
    </row>
    <row r="127" ht="23" customHeight="1" spans="1:16">
      <c r="A127" s="6" t="s">
        <v>179</v>
      </c>
      <c r="B127" s="2" t="s">
        <v>15</v>
      </c>
      <c r="C127" s="2" t="s">
        <v>23</v>
      </c>
      <c r="D127" s="2">
        <v>3</v>
      </c>
      <c r="E127" s="6" t="s">
        <v>499</v>
      </c>
      <c r="F127" s="2" t="str">
        <f t="shared" si="6"/>
        <v>B</v>
      </c>
      <c r="G127" s="2">
        <v>5</v>
      </c>
      <c r="H127" s="2" t="str">
        <f t="shared" si="7"/>
        <v>A</v>
      </c>
      <c r="I127" s="2">
        <v>4</v>
      </c>
      <c r="J127" s="2">
        <f t="shared" si="8"/>
        <v>1</v>
      </c>
      <c r="K127" s="2" t="str">
        <f t="shared" si="9"/>
        <v>A</v>
      </c>
      <c r="L127" s="2" t="str">
        <f t="shared" si="10"/>
        <v>B</v>
      </c>
      <c r="M127" s="2" t="s">
        <v>26</v>
      </c>
      <c r="N127" s="2">
        <f t="shared" si="11"/>
        <v>1</v>
      </c>
      <c r="O127" s="2" t="s">
        <v>22</v>
      </c>
      <c r="P127" s="2">
        <v>77</v>
      </c>
    </row>
    <row r="128" ht="23" customHeight="1" spans="1:16">
      <c r="A128" s="6" t="s">
        <v>179</v>
      </c>
      <c r="B128" s="2" t="s">
        <v>15</v>
      </c>
      <c r="C128" s="2" t="s">
        <v>17</v>
      </c>
      <c r="D128" s="2">
        <v>4</v>
      </c>
      <c r="E128" s="6" t="s">
        <v>500</v>
      </c>
      <c r="F128" s="2" t="str">
        <f t="shared" si="6"/>
        <v>A</v>
      </c>
      <c r="G128" s="2">
        <v>5</v>
      </c>
      <c r="H128" s="2" t="str">
        <f t="shared" si="7"/>
        <v>B</v>
      </c>
      <c r="I128" s="2">
        <v>5</v>
      </c>
      <c r="J128" s="2">
        <f t="shared" si="8"/>
        <v>0</v>
      </c>
      <c r="K128" s="2" t="str">
        <f t="shared" si="9"/>
        <v>C</v>
      </c>
      <c r="L128" s="2" t="str">
        <f t="shared" si="10"/>
        <v>D(平局)</v>
      </c>
      <c r="M128" s="2" t="s">
        <v>26</v>
      </c>
      <c r="N128" s="2">
        <f t="shared" si="11"/>
        <v>0</v>
      </c>
      <c r="O128" s="2" t="s">
        <v>26</v>
      </c>
      <c r="P128" s="2">
        <v>76</v>
      </c>
    </row>
    <row r="129" ht="23" customHeight="1" spans="1:16">
      <c r="A129" s="6" t="s">
        <v>179</v>
      </c>
      <c r="B129" s="2" t="s">
        <v>15</v>
      </c>
      <c r="C129" s="2" t="s">
        <v>23</v>
      </c>
      <c r="D129" s="2">
        <v>4</v>
      </c>
      <c r="E129" s="6" t="s">
        <v>500</v>
      </c>
      <c r="F129" s="2" t="str">
        <f t="shared" si="6"/>
        <v>B</v>
      </c>
      <c r="G129" s="2">
        <v>5</v>
      </c>
      <c r="H129" s="2" t="str">
        <f t="shared" si="7"/>
        <v>A</v>
      </c>
      <c r="I129" s="2">
        <v>5</v>
      </c>
      <c r="J129" s="2">
        <f t="shared" si="8"/>
        <v>0</v>
      </c>
      <c r="K129" s="2" t="str">
        <f t="shared" si="9"/>
        <v>C</v>
      </c>
      <c r="L129" s="2" t="str">
        <f t="shared" si="10"/>
        <v>D(平局)</v>
      </c>
      <c r="M129" s="2" t="s">
        <v>26</v>
      </c>
      <c r="N129" s="2">
        <f t="shared" si="11"/>
        <v>0</v>
      </c>
      <c r="O129" s="2" t="s">
        <v>22</v>
      </c>
      <c r="P129" s="2">
        <v>77</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26</v>
      </c>
      <c r="N130" s="2">
        <f t="shared" ref="N130:N193" si="17">--(L130=M130)</f>
        <v>0</v>
      </c>
      <c r="O130" s="2" t="s">
        <v>26</v>
      </c>
      <c r="P130" s="2">
        <v>76</v>
      </c>
    </row>
    <row r="131" ht="23" customHeight="1" spans="1:16">
      <c r="A131" s="6" t="s">
        <v>179</v>
      </c>
      <c r="B131" s="2" t="s">
        <v>15</v>
      </c>
      <c r="C131" s="2" t="s">
        <v>23</v>
      </c>
      <c r="D131" s="2">
        <v>5</v>
      </c>
      <c r="E131" s="6" t="s">
        <v>501</v>
      </c>
      <c r="F131" s="2" t="str">
        <f t="shared" si="12"/>
        <v>B</v>
      </c>
      <c r="G131" s="2">
        <v>5</v>
      </c>
      <c r="H131" s="2" t="str">
        <f t="shared" si="13"/>
        <v>A</v>
      </c>
      <c r="I131" s="2">
        <v>5</v>
      </c>
      <c r="J131" s="2">
        <f t="shared" si="14"/>
        <v>0</v>
      </c>
      <c r="K131" s="2" t="str">
        <f t="shared" si="15"/>
        <v>C</v>
      </c>
      <c r="L131" s="2" t="str">
        <f t="shared" si="16"/>
        <v>D(平局)</v>
      </c>
      <c r="M131" s="2" t="s">
        <v>26</v>
      </c>
      <c r="N131" s="2">
        <f t="shared" si="17"/>
        <v>0</v>
      </c>
      <c r="O131" s="2" t="s">
        <v>22</v>
      </c>
      <c r="P131" s="2">
        <v>77</v>
      </c>
    </row>
    <row r="132" ht="23" customHeight="1" spans="1:16">
      <c r="A132" s="6" t="s">
        <v>179</v>
      </c>
      <c r="B132" s="2" t="s">
        <v>37</v>
      </c>
      <c r="C132" s="2" t="s">
        <v>17</v>
      </c>
      <c r="D132" s="2">
        <v>1</v>
      </c>
      <c r="E132" s="6" t="s">
        <v>497</v>
      </c>
      <c r="F132" s="2" t="str">
        <f t="shared" si="12"/>
        <v>A</v>
      </c>
      <c r="G132" s="2">
        <v>5</v>
      </c>
      <c r="H132" s="2" t="str">
        <f t="shared" si="13"/>
        <v>C</v>
      </c>
      <c r="I132" s="2">
        <v>5</v>
      </c>
      <c r="J132" s="2">
        <f t="shared" si="14"/>
        <v>0</v>
      </c>
      <c r="K132" s="2" t="str">
        <f t="shared" si="15"/>
        <v>C</v>
      </c>
      <c r="L132" s="2" t="str">
        <f t="shared" si="16"/>
        <v>D(平局)</v>
      </c>
      <c r="M132" s="2" t="s">
        <v>22</v>
      </c>
      <c r="N132" s="2">
        <f t="shared" si="17"/>
        <v>0</v>
      </c>
      <c r="O132" s="2" t="s">
        <v>22</v>
      </c>
      <c r="P132" s="2">
        <v>82</v>
      </c>
    </row>
    <row r="133" ht="23" customHeight="1" spans="1:16">
      <c r="A133" s="6" t="s">
        <v>179</v>
      </c>
      <c r="B133" s="2" t="s">
        <v>37</v>
      </c>
      <c r="C133" s="2" t="s">
        <v>23</v>
      </c>
      <c r="D133" s="2">
        <v>1</v>
      </c>
      <c r="E133" s="6" t="s">
        <v>497</v>
      </c>
      <c r="F133" s="2" t="str">
        <f t="shared" si="12"/>
        <v>C</v>
      </c>
      <c r="G133" s="2">
        <v>5</v>
      </c>
      <c r="H133" s="2" t="str">
        <f t="shared" si="13"/>
        <v>A</v>
      </c>
      <c r="I133" s="2">
        <v>5</v>
      </c>
      <c r="J133" s="2">
        <f t="shared" si="14"/>
        <v>0</v>
      </c>
      <c r="K133" s="2" t="str">
        <f t="shared" si="15"/>
        <v>C</v>
      </c>
      <c r="L133" s="2" t="str">
        <f t="shared" si="16"/>
        <v>D(平局)</v>
      </c>
      <c r="M133" s="2" t="s">
        <v>22</v>
      </c>
      <c r="N133" s="2">
        <f t="shared" si="17"/>
        <v>0</v>
      </c>
      <c r="O133" s="2" t="s">
        <v>22</v>
      </c>
      <c r="P133" s="2">
        <v>83</v>
      </c>
    </row>
    <row r="134" ht="23" customHeight="1" spans="1:16">
      <c r="A134" s="6" t="s">
        <v>179</v>
      </c>
      <c r="B134" s="2" t="s">
        <v>37</v>
      </c>
      <c r="C134" s="2" t="s">
        <v>17</v>
      </c>
      <c r="D134" s="2">
        <v>2</v>
      </c>
      <c r="E134" s="6" t="s">
        <v>498</v>
      </c>
      <c r="F134" s="2" t="str">
        <f t="shared" si="12"/>
        <v>A</v>
      </c>
      <c r="G134" s="2">
        <v>4</v>
      </c>
      <c r="H134" s="2" t="str">
        <f t="shared" si="13"/>
        <v>C</v>
      </c>
      <c r="I134" s="2">
        <v>4</v>
      </c>
      <c r="J134" s="2">
        <f t="shared" si="14"/>
        <v>0</v>
      </c>
      <c r="K134" s="2" t="str">
        <f t="shared" si="15"/>
        <v>C</v>
      </c>
      <c r="L134" s="2" t="str">
        <f t="shared" si="16"/>
        <v>D(平局)</v>
      </c>
      <c r="M134" s="2" t="s">
        <v>22</v>
      </c>
      <c r="N134" s="2">
        <f t="shared" si="17"/>
        <v>0</v>
      </c>
      <c r="O134" s="2" t="s">
        <v>22</v>
      </c>
      <c r="P134" s="2">
        <v>82</v>
      </c>
    </row>
    <row r="135" ht="23" customHeight="1" spans="1:16">
      <c r="A135" s="6" t="s">
        <v>179</v>
      </c>
      <c r="B135" s="2" t="s">
        <v>37</v>
      </c>
      <c r="C135" s="2" t="s">
        <v>23</v>
      </c>
      <c r="D135" s="2">
        <v>2</v>
      </c>
      <c r="E135" s="6" t="s">
        <v>498</v>
      </c>
      <c r="F135" s="2" t="str">
        <f t="shared" si="12"/>
        <v>C</v>
      </c>
      <c r="G135" s="2">
        <v>5</v>
      </c>
      <c r="H135" s="2" t="str">
        <f t="shared" si="13"/>
        <v>A</v>
      </c>
      <c r="I135" s="2">
        <v>4</v>
      </c>
      <c r="J135" s="2">
        <f t="shared" si="14"/>
        <v>1</v>
      </c>
      <c r="K135" s="2" t="str">
        <f t="shared" si="15"/>
        <v>A</v>
      </c>
      <c r="L135" s="2" t="str">
        <f t="shared" si="16"/>
        <v>C</v>
      </c>
      <c r="M135" s="2" t="s">
        <v>22</v>
      </c>
      <c r="N135" s="2">
        <f t="shared" si="17"/>
        <v>0</v>
      </c>
      <c r="O135" s="2" t="s">
        <v>22</v>
      </c>
      <c r="P135" s="2">
        <v>83</v>
      </c>
    </row>
    <row r="136" ht="23" customHeight="1" spans="1:16">
      <c r="A136" s="6" t="s">
        <v>179</v>
      </c>
      <c r="B136" s="2" t="s">
        <v>37</v>
      </c>
      <c r="C136" s="2" t="s">
        <v>17</v>
      </c>
      <c r="D136" s="2">
        <v>3</v>
      </c>
      <c r="E136" s="6" t="s">
        <v>499</v>
      </c>
      <c r="F136" s="2" t="str">
        <f t="shared" si="12"/>
        <v>A</v>
      </c>
      <c r="G136" s="2">
        <v>5</v>
      </c>
      <c r="H136" s="2" t="str">
        <f t="shared" si="13"/>
        <v>C</v>
      </c>
      <c r="I136" s="2">
        <v>5</v>
      </c>
      <c r="J136" s="2">
        <f t="shared" si="14"/>
        <v>0</v>
      </c>
      <c r="K136" s="2" t="str">
        <f t="shared" si="15"/>
        <v>C</v>
      </c>
      <c r="L136" s="2" t="str">
        <f t="shared" si="16"/>
        <v>D(平局)</v>
      </c>
      <c r="M136" s="2" t="s">
        <v>22</v>
      </c>
      <c r="N136" s="2">
        <f t="shared" si="17"/>
        <v>0</v>
      </c>
      <c r="O136" s="2" t="s">
        <v>22</v>
      </c>
      <c r="P136" s="2">
        <v>82</v>
      </c>
    </row>
    <row r="137" ht="23" customHeight="1" spans="1:16">
      <c r="A137" s="6" t="s">
        <v>179</v>
      </c>
      <c r="B137" s="2" t="s">
        <v>37</v>
      </c>
      <c r="C137" s="2" t="s">
        <v>23</v>
      </c>
      <c r="D137" s="2">
        <v>3</v>
      </c>
      <c r="E137" s="6" t="s">
        <v>499</v>
      </c>
      <c r="F137" s="2" t="str">
        <f t="shared" si="12"/>
        <v>C</v>
      </c>
      <c r="G137" s="2">
        <v>5</v>
      </c>
      <c r="H137" s="2" t="str">
        <f t="shared" si="13"/>
        <v>A</v>
      </c>
      <c r="I137" s="2">
        <v>5</v>
      </c>
      <c r="J137" s="2">
        <f t="shared" si="14"/>
        <v>0</v>
      </c>
      <c r="K137" s="2" t="str">
        <f t="shared" si="15"/>
        <v>C</v>
      </c>
      <c r="L137" s="2" t="str">
        <f t="shared" si="16"/>
        <v>D(平局)</v>
      </c>
      <c r="M137" s="2" t="s">
        <v>22</v>
      </c>
      <c r="N137" s="2">
        <f t="shared" si="17"/>
        <v>0</v>
      </c>
      <c r="O137" s="2" t="s">
        <v>22</v>
      </c>
      <c r="P137" s="2">
        <v>83</v>
      </c>
    </row>
    <row r="138" ht="23" customHeight="1" spans="1:16">
      <c r="A138" s="6" t="s">
        <v>179</v>
      </c>
      <c r="B138" s="2" t="s">
        <v>37</v>
      </c>
      <c r="C138" s="2" t="s">
        <v>17</v>
      </c>
      <c r="D138" s="2">
        <v>4</v>
      </c>
      <c r="E138" s="6" t="s">
        <v>500</v>
      </c>
      <c r="F138" s="2" t="str">
        <f t="shared" si="12"/>
        <v>A</v>
      </c>
      <c r="G138" s="2">
        <v>4</v>
      </c>
      <c r="H138" s="2" t="str">
        <f t="shared" si="13"/>
        <v>C</v>
      </c>
      <c r="I138" s="2">
        <v>5</v>
      </c>
      <c r="J138" s="2">
        <f t="shared" si="14"/>
        <v>-1</v>
      </c>
      <c r="K138" s="2" t="str">
        <f t="shared" si="15"/>
        <v>B</v>
      </c>
      <c r="L138" s="2" t="str">
        <f t="shared" si="16"/>
        <v>C</v>
      </c>
      <c r="M138" s="2" t="s">
        <v>22</v>
      </c>
      <c r="N138" s="2">
        <f t="shared" si="17"/>
        <v>0</v>
      </c>
      <c r="O138" s="2" t="s">
        <v>22</v>
      </c>
      <c r="P138" s="2">
        <v>82</v>
      </c>
    </row>
    <row r="139" ht="23" customHeight="1" spans="1:16">
      <c r="A139" s="6" t="s">
        <v>179</v>
      </c>
      <c r="B139" s="2" t="s">
        <v>37</v>
      </c>
      <c r="C139" s="2" t="s">
        <v>23</v>
      </c>
      <c r="D139" s="2">
        <v>4</v>
      </c>
      <c r="E139" s="6" t="s">
        <v>500</v>
      </c>
      <c r="F139" s="2" t="str">
        <f t="shared" si="12"/>
        <v>C</v>
      </c>
      <c r="G139" s="2">
        <v>5</v>
      </c>
      <c r="H139" s="2" t="str">
        <f t="shared" si="13"/>
        <v>A</v>
      </c>
      <c r="I139" s="2">
        <v>5</v>
      </c>
      <c r="J139" s="2">
        <f t="shared" si="14"/>
        <v>0</v>
      </c>
      <c r="K139" s="2" t="str">
        <f t="shared" si="15"/>
        <v>C</v>
      </c>
      <c r="L139" s="2" t="str">
        <f t="shared" si="16"/>
        <v>D(平局)</v>
      </c>
      <c r="M139" s="2" t="s">
        <v>22</v>
      </c>
      <c r="N139" s="2">
        <f t="shared" si="17"/>
        <v>0</v>
      </c>
      <c r="O139" s="2" t="s">
        <v>22</v>
      </c>
      <c r="P139" s="2">
        <v>83</v>
      </c>
    </row>
    <row r="140" ht="23" customHeight="1" spans="1:16">
      <c r="A140" s="6" t="s">
        <v>179</v>
      </c>
      <c r="B140" s="2" t="s">
        <v>37</v>
      </c>
      <c r="C140" s="2" t="s">
        <v>17</v>
      </c>
      <c r="D140" s="2">
        <v>5</v>
      </c>
      <c r="E140" s="6" t="s">
        <v>501</v>
      </c>
      <c r="F140" s="2" t="str">
        <f t="shared" si="12"/>
        <v>A</v>
      </c>
      <c r="G140" s="2">
        <v>5</v>
      </c>
      <c r="H140" s="2" t="str">
        <f t="shared" si="13"/>
        <v>C</v>
      </c>
      <c r="I140" s="2">
        <v>2</v>
      </c>
      <c r="J140" s="2">
        <f t="shared" si="14"/>
        <v>3</v>
      </c>
      <c r="K140" s="2" t="str">
        <f t="shared" si="15"/>
        <v>A</v>
      </c>
      <c r="L140" s="2" t="str">
        <f t="shared" si="16"/>
        <v>A</v>
      </c>
      <c r="M140" s="2" t="s">
        <v>22</v>
      </c>
      <c r="N140" s="2">
        <f t="shared" si="17"/>
        <v>1</v>
      </c>
      <c r="O140" s="2" t="s">
        <v>22</v>
      </c>
      <c r="P140" s="2">
        <v>82</v>
      </c>
    </row>
    <row r="141" ht="23" customHeight="1" spans="1:16">
      <c r="A141" s="6" t="s">
        <v>179</v>
      </c>
      <c r="B141" s="2" t="s">
        <v>37</v>
      </c>
      <c r="C141" s="2" t="s">
        <v>23</v>
      </c>
      <c r="D141" s="2">
        <v>5</v>
      </c>
      <c r="E141" s="6" t="s">
        <v>501</v>
      </c>
      <c r="F141" s="2" t="str">
        <f t="shared" si="12"/>
        <v>C</v>
      </c>
      <c r="G141" s="2">
        <v>5</v>
      </c>
      <c r="H141" s="2" t="str">
        <f t="shared" si="13"/>
        <v>A</v>
      </c>
      <c r="I141" s="2">
        <v>5</v>
      </c>
      <c r="J141" s="2">
        <f t="shared" si="14"/>
        <v>0</v>
      </c>
      <c r="K141" s="2" t="str">
        <f t="shared" si="15"/>
        <v>C</v>
      </c>
      <c r="L141" s="2" t="str">
        <f t="shared" si="16"/>
        <v>D(平局)</v>
      </c>
      <c r="M141" s="2" t="s">
        <v>22</v>
      </c>
      <c r="N141" s="2">
        <f t="shared" si="17"/>
        <v>0</v>
      </c>
      <c r="O141" s="2" t="s">
        <v>22</v>
      </c>
      <c r="P141" s="2">
        <v>83</v>
      </c>
    </row>
    <row r="142" ht="23" customHeight="1" spans="1:16">
      <c r="A142" s="6" t="s">
        <v>179</v>
      </c>
      <c r="B142" s="2" t="s">
        <v>50</v>
      </c>
      <c r="C142" s="2" t="s">
        <v>17</v>
      </c>
      <c r="D142" s="2">
        <v>1</v>
      </c>
      <c r="E142" s="6" t="s">
        <v>497</v>
      </c>
      <c r="F142" s="2" t="str">
        <f t="shared" si="12"/>
        <v>B</v>
      </c>
      <c r="G142" s="2">
        <v>5</v>
      </c>
      <c r="H142" s="2" t="str">
        <f t="shared" si="13"/>
        <v>C</v>
      </c>
      <c r="I142" s="2">
        <v>5</v>
      </c>
      <c r="J142" s="2">
        <f t="shared" si="14"/>
        <v>0</v>
      </c>
      <c r="K142" s="2" t="str">
        <f t="shared" si="15"/>
        <v>C</v>
      </c>
      <c r="L142" s="2" t="str">
        <f t="shared" si="16"/>
        <v>D(平局)</v>
      </c>
      <c r="M142" s="2" t="s">
        <v>26</v>
      </c>
      <c r="N142" s="2">
        <f t="shared" si="17"/>
        <v>0</v>
      </c>
      <c r="O142" s="2" t="s">
        <v>22</v>
      </c>
      <c r="P142" s="2">
        <v>88</v>
      </c>
    </row>
    <row r="143" ht="23" customHeight="1" spans="1:16">
      <c r="A143" s="6" t="s">
        <v>179</v>
      </c>
      <c r="B143" s="2" t="s">
        <v>50</v>
      </c>
      <c r="C143" s="2" t="s">
        <v>23</v>
      </c>
      <c r="D143" s="2">
        <v>1</v>
      </c>
      <c r="E143" s="6" t="s">
        <v>497</v>
      </c>
      <c r="F143" s="2" t="str">
        <f t="shared" si="12"/>
        <v>C</v>
      </c>
      <c r="G143" s="2">
        <v>5</v>
      </c>
      <c r="H143" s="2" t="str">
        <f t="shared" si="13"/>
        <v>B</v>
      </c>
      <c r="I143" s="2">
        <v>5</v>
      </c>
      <c r="J143" s="2">
        <f t="shared" si="14"/>
        <v>0</v>
      </c>
      <c r="K143" s="2" t="str">
        <f t="shared" si="15"/>
        <v>C</v>
      </c>
      <c r="L143" s="2" t="str">
        <f t="shared" si="16"/>
        <v>D(平局)</v>
      </c>
      <c r="M143" s="2" t="s">
        <v>26</v>
      </c>
      <c r="N143" s="2">
        <f t="shared" si="17"/>
        <v>0</v>
      </c>
      <c r="O143" s="2" t="s">
        <v>26</v>
      </c>
      <c r="P143" s="2">
        <v>89</v>
      </c>
    </row>
    <row r="144" ht="23" customHeight="1" spans="1:16">
      <c r="A144" s="6" t="s">
        <v>179</v>
      </c>
      <c r="B144" s="2" t="s">
        <v>50</v>
      </c>
      <c r="C144" s="2" t="s">
        <v>17</v>
      </c>
      <c r="D144" s="2">
        <v>2</v>
      </c>
      <c r="E144" s="6" t="s">
        <v>498</v>
      </c>
      <c r="F144" s="2" t="str">
        <f t="shared" si="12"/>
        <v>B</v>
      </c>
      <c r="G144" s="2">
        <v>4</v>
      </c>
      <c r="H144" s="2" t="str">
        <f t="shared" si="13"/>
        <v>C</v>
      </c>
      <c r="I144" s="2">
        <v>3</v>
      </c>
      <c r="J144" s="2">
        <f t="shared" si="14"/>
        <v>1</v>
      </c>
      <c r="K144" s="2" t="str">
        <f t="shared" si="15"/>
        <v>A</v>
      </c>
      <c r="L144" s="2" t="str">
        <f t="shared" si="16"/>
        <v>B</v>
      </c>
      <c r="M144" s="2" t="s">
        <v>26</v>
      </c>
      <c r="N144" s="2">
        <f t="shared" si="17"/>
        <v>1</v>
      </c>
      <c r="O144" s="2" t="s">
        <v>22</v>
      </c>
      <c r="P144" s="2">
        <v>88</v>
      </c>
    </row>
    <row r="145" ht="23" customHeight="1" spans="1:16">
      <c r="A145" s="6" t="s">
        <v>179</v>
      </c>
      <c r="B145" s="2" t="s">
        <v>50</v>
      </c>
      <c r="C145" s="2" t="s">
        <v>23</v>
      </c>
      <c r="D145" s="2">
        <v>2</v>
      </c>
      <c r="E145" s="6" t="s">
        <v>498</v>
      </c>
      <c r="F145" s="2" t="str">
        <f t="shared" si="12"/>
        <v>C</v>
      </c>
      <c r="G145" s="2">
        <v>4</v>
      </c>
      <c r="H145" s="2" t="str">
        <f t="shared" si="13"/>
        <v>B</v>
      </c>
      <c r="I145" s="2">
        <v>5</v>
      </c>
      <c r="J145" s="2">
        <f t="shared" si="14"/>
        <v>-1</v>
      </c>
      <c r="K145" s="2" t="str">
        <f t="shared" si="15"/>
        <v>B</v>
      </c>
      <c r="L145" s="2" t="str">
        <f t="shared" si="16"/>
        <v>B</v>
      </c>
      <c r="M145" s="2" t="s">
        <v>26</v>
      </c>
      <c r="N145" s="2">
        <f t="shared" si="17"/>
        <v>1</v>
      </c>
      <c r="O145" s="2" t="s">
        <v>26</v>
      </c>
      <c r="P145" s="2">
        <v>89</v>
      </c>
    </row>
    <row r="146" ht="23" customHeight="1" spans="1:16">
      <c r="A146" s="6" t="s">
        <v>179</v>
      </c>
      <c r="B146" s="2" t="s">
        <v>50</v>
      </c>
      <c r="C146" s="2" t="s">
        <v>17</v>
      </c>
      <c r="D146" s="2">
        <v>3</v>
      </c>
      <c r="E146" s="6" t="s">
        <v>499</v>
      </c>
      <c r="F146" s="2" t="str">
        <f t="shared" si="12"/>
        <v>B</v>
      </c>
      <c r="G146" s="2">
        <v>5</v>
      </c>
      <c r="H146" s="2" t="str">
        <f t="shared" si="13"/>
        <v>C</v>
      </c>
      <c r="I146" s="2">
        <v>4</v>
      </c>
      <c r="J146" s="2">
        <f t="shared" si="14"/>
        <v>1</v>
      </c>
      <c r="K146" s="2" t="str">
        <f t="shared" si="15"/>
        <v>A</v>
      </c>
      <c r="L146" s="2" t="str">
        <f t="shared" si="16"/>
        <v>B</v>
      </c>
      <c r="M146" s="2" t="s">
        <v>26</v>
      </c>
      <c r="N146" s="2">
        <f t="shared" si="17"/>
        <v>1</v>
      </c>
      <c r="O146" s="2" t="s">
        <v>22</v>
      </c>
      <c r="P146" s="2">
        <v>88</v>
      </c>
    </row>
    <row r="147" ht="23" customHeight="1" spans="1:16">
      <c r="A147" s="6" t="s">
        <v>179</v>
      </c>
      <c r="B147" s="2" t="s">
        <v>50</v>
      </c>
      <c r="C147" s="2" t="s">
        <v>23</v>
      </c>
      <c r="D147" s="2">
        <v>3</v>
      </c>
      <c r="E147" s="6" t="s">
        <v>499</v>
      </c>
      <c r="F147" s="2" t="str">
        <f t="shared" si="12"/>
        <v>C</v>
      </c>
      <c r="G147" s="2">
        <v>5</v>
      </c>
      <c r="H147" s="2" t="str">
        <f t="shared" si="13"/>
        <v>B</v>
      </c>
      <c r="I147" s="2">
        <v>5</v>
      </c>
      <c r="J147" s="2">
        <f t="shared" si="14"/>
        <v>0</v>
      </c>
      <c r="K147" s="2" t="str">
        <f t="shared" si="15"/>
        <v>C</v>
      </c>
      <c r="L147" s="2" t="str">
        <f t="shared" si="16"/>
        <v>D(平局)</v>
      </c>
      <c r="M147" s="2" t="s">
        <v>26</v>
      </c>
      <c r="N147" s="2">
        <f t="shared" si="17"/>
        <v>0</v>
      </c>
      <c r="O147" s="2" t="s">
        <v>26</v>
      </c>
      <c r="P147" s="2">
        <v>89</v>
      </c>
    </row>
    <row r="148" ht="23" customHeight="1" spans="1:16">
      <c r="A148" s="6" t="s">
        <v>179</v>
      </c>
      <c r="B148" s="2" t="s">
        <v>50</v>
      </c>
      <c r="C148" s="2" t="s">
        <v>17</v>
      </c>
      <c r="D148" s="2">
        <v>4</v>
      </c>
      <c r="E148" s="6" t="s">
        <v>500</v>
      </c>
      <c r="F148" s="2" t="str">
        <f t="shared" si="12"/>
        <v>B</v>
      </c>
      <c r="G148" s="2">
        <v>5</v>
      </c>
      <c r="H148" s="2" t="str">
        <f t="shared" si="13"/>
        <v>C</v>
      </c>
      <c r="I148" s="2">
        <v>5</v>
      </c>
      <c r="J148" s="2">
        <f t="shared" si="14"/>
        <v>0</v>
      </c>
      <c r="K148" s="2" t="str">
        <f t="shared" si="15"/>
        <v>C</v>
      </c>
      <c r="L148" s="2" t="str">
        <f t="shared" si="16"/>
        <v>D(平局)</v>
      </c>
      <c r="M148" s="2" t="s">
        <v>26</v>
      </c>
      <c r="N148" s="2">
        <f t="shared" si="17"/>
        <v>0</v>
      </c>
      <c r="O148" s="2" t="s">
        <v>22</v>
      </c>
      <c r="P148" s="2">
        <v>88</v>
      </c>
    </row>
    <row r="149" ht="23" customHeight="1" spans="1:16">
      <c r="A149" s="6" t="s">
        <v>179</v>
      </c>
      <c r="B149" s="2" t="s">
        <v>50</v>
      </c>
      <c r="C149" s="2" t="s">
        <v>23</v>
      </c>
      <c r="D149" s="2">
        <v>4</v>
      </c>
      <c r="E149" s="6" t="s">
        <v>500</v>
      </c>
      <c r="F149" s="2" t="str">
        <f t="shared" si="12"/>
        <v>C</v>
      </c>
      <c r="G149" s="2">
        <v>5</v>
      </c>
      <c r="H149" s="2" t="str">
        <f t="shared" si="13"/>
        <v>B</v>
      </c>
      <c r="I149" s="2">
        <v>5</v>
      </c>
      <c r="J149" s="2">
        <f t="shared" si="14"/>
        <v>0</v>
      </c>
      <c r="K149" s="2" t="str">
        <f t="shared" si="15"/>
        <v>C</v>
      </c>
      <c r="L149" s="2" t="str">
        <f t="shared" si="16"/>
        <v>D(平局)</v>
      </c>
      <c r="M149" s="2" t="s">
        <v>26</v>
      </c>
      <c r="N149" s="2">
        <f t="shared" si="17"/>
        <v>0</v>
      </c>
      <c r="O149" s="2" t="s">
        <v>26</v>
      </c>
      <c r="P149" s="2">
        <v>89</v>
      </c>
    </row>
    <row r="150" ht="23" customHeight="1" spans="1:16">
      <c r="A150" s="6" t="s">
        <v>179</v>
      </c>
      <c r="B150" s="2" t="s">
        <v>50</v>
      </c>
      <c r="C150" s="2" t="s">
        <v>17</v>
      </c>
      <c r="D150" s="2">
        <v>5</v>
      </c>
      <c r="E150" s="6" t="s">
        <v>501</v>
      </c>
      <c r="F150" s="2" t="str">
        <f t="shared" si="12"/>
        <v>B</v>
      </c>
      <c r="G150" s="2">
        <v>5</v>
      </c>
      <c r="H150" s="2" t="str">
        <f t="shared" si="13"/>
        <v>C</v>
      </c>
      <c r="I150" s="2">
        <v>2</v>
      </c>
      <c r="J150" s="2">
        <f t="shared" si="14"/>
        <v>3</v>
      </c>
      <c r="K150" s="2" t="str">
        <f t="shared" si="15"/>
        <v>A</v>
      </c>
      <c r="L150" s="2" t="str">
        <f t="shared" si="16"/>
        <v>B</v>
      </c>
      <c r="M150" s="2" t="s">
        <v>26</v>
      </c>
      <c r="N150" s="2">
        <f t="shared" si="17"/>
        <v>1</v>
      </c>
      <c r="O150" s="2" t="s">
        <v>22</v>
      </c>
      <c r="P150" s="2">
        <v>88</v>
      </c>
    </row>
    <row r="151" ht="23" customHeight="1" spans="1:16">
      <c r="A151" s="6" t="s">
        <v>179</v>
      </c>
      <c r="B151" s="2" t="s">
        <v>50</v>
      </c>
      <c r="C151" s="2" t="s">
        <v>23</v>
      </c>
      <c r="D151" s="2">
        <v>5</v>
      </c>
      <c r="E151" s="6" t="s">
        <v>501</v>
      </c>
      <c r="F151" s="2" t="str">
        <f t="shared" si="12"/>
        <v>C</v>
      </c>
      <c r="G151" s="2">
        <v>2</v>
      </c>
      <c r="H151" s="2" t="str">
        <f t="shared" si="13"/>
        <v>B</v>
      </c>
      <c r="I151" s="2">
        <v>5</v>
      </c>
      <c r="J151" s="2">
        <f t="shared" si="14"/>
        <v>-3</v>
      </c>
      <c r="K151" s="2" t="str">
        <f t="shared" si="15"/>
        <v>B</v>
      </c>
      <c r="L151" s="2" t="str">
        <f t="shared" si="16"/>
        <v>B</v>
      </c>
      <c r="M151" s="2" t="s">
        <v>26</v>
      </c>
      <c r="N151" s="2">
        <f t="shared" si="17"/>
        <v>1</v>
      </c>
      <c r="O151" s="2" t="s">
        <v>26</v>
      </c>
      <c r="P151" s="2">
        <v>89</v>
      </c>
    </row>
    <row r="152" ht="23" customHeight="1" spans="1:16">
      <c r="A152" s="6" t="s">
        <v>217</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22</v>
      </c>
      <c r="P152" s="2">
        <v>94</v>
      </c>
    </row>
    <row r="153" ht="23" customHeight="1" spans="1:16">
      <c r="A153" s="6" t="s">
        <v>217</v>
      </c>
      <c r="B153" s="2" t="s">
        <v>15</v>
      </c>
      <c r="C153" s="2" t="s">
        <v>23</v>
      </c>
      <c r="D153" s="2">
        <v>1</v>
      </c>
      <c r="E153" s="6" t="s">
        <v>497</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26</v>
      </c>
      <c r="P153" s="2">
        <v>95</v>
      </c>
    </row>
    <row r="154" ht="23" customHeight="1" spans="1:16">
      <c r="A154" s="6" t="s">
        <v>217</v>
      </c>
      <c r="B154" s="2" t="s">
        <v>15</v>
      </c>
      <c r="C154" s="2" t="s">
        <v>17</v>
      </c>
      <c r="D154" s="2">
        <v>2</v>
      </c>
      <c r="E154" s="6" t="s">
        <v>498</v>
      </c>
      <c r="F154" s="2" t="str">
        <f t="shared" si="12"/>
        <v>A</v>
      </c>
      <c r="G154" s="2">
        <v>5</v>
      </c>
      <c r="H154" s="2" t="str">
        <f t="shared" si="13"/>
        <v>B</v>
      </c>
      <c r="I154" s="2">
        <v>4</v>
      </c>
      <c r="J154" s="2">
        <f t="shared" si="14"/>
        <v>1</v>
      </c>
      <c r="K154" s="2" t="str">
        <f t="shared" si="15"/>
        <v>A</v>
      </c>
      <c r="L154" s="2" t="str">
        <f t="shared" si="16"/>
        <v>A</v>
      </c>
      <c r="M154" s="2" t="s">
        <v>22</v>
      </c>
      <c r="N154" s="2">
        <f t="shared" si="17"/>
        <v>1</v>
      </c>
      <c r="O154" s="2" t="s">
        <v>22</v>
      </c>
      <c r="P154" s="2">
        <v>94</v>
      </c>
    </row>
    <row r="155" ht="23" customHeight="1" spans="1:16">
      <c r="A155" s="6" t="s">
        <v>217</v>
      </c>
      <c r="B155" s="2" t="s">
        <v>15</v>
      </c>
      <c r="C155" s="2" t="s">
        <v>23</v>
      </c>
      <c r="D155" s="2">
        <v>2</v>
      </c>
      <c r="E155" s="6" t="s">
        <v>498</v>
      </c>
      <c r="F155" s="2" t="str">
        <f t="shared" si="12"/>
        <v>B</v>
      </c>
      <c r="G155" s="2">
        <v>4</v>
      </c>
      <c r="H155" s="2" t="str">
        <f t="shared" si="13"/>
        <v>A</v>
      </c>
      <c r="I155" s="2">
        <v>5</v>
      </c>
      <c r="J155" s="2">
        <f t="shared" si="14"/>
        <v>-1</v>
      </c>
      <c r="K155" s="2" t="str">
        <f t="shared" si="15"/>
        <v>B</v>
      </c>
      <c r="L155" s="2" t="str">
        <f t="shared" si="16"/>
        <v>A</v>
      </c>
      <c r="M155" s="2" t="s">
        <v>22</v>
      </c>
      <c r="N155" s="2">
        <f t="shared" si="17"/>
        <v>1</v>
      </c>
      <c r="O155" s="2" t="s">
        <v>26</v>
      </c>
      <c r="P155" s="2">
        <v>95</v>
      </c>
    </row>
    <row r="156" ht="23" customHeight="1" spans="1:16">
      <c r="A156" s="6" t="s">
        <v>217</v>
      </c>
      <c r="B156" s="2" t="s">
        <v>15</v>
      </c>
      <c r="C156" s="2" t="s">
        <v>17</v>
      </c>
      <c r="D156" s="2">
        <v>3</v>
      </c>
      <c r="E156" s="6" t="s">
        <v>499</v>
      </c>
      <c r="F156" s="2" t="str">
        <f t="shared" si="12"/>
        <v>A</v>
      </c>
      <c r="G156" s="2">
        <v>5</v>
      </c>
      <c r="H156" s="2" t="str">
        <f t="shared" si="13"/>
        <v>B</v>
      </c>
      <c r="I156" s="2">
        <v>5</v>
      </c>
      <c r="J156" s="2">
        <f t="shared" si="14"/>
        <v>0</v>
      </c>
      <c r="K156" s="2" t="str">
        <f t="shared" si="15"/>
        <v>C</v>
      </c>
      <c r="L156" s="2" t="str">
        <f t="shared" si="16"/>
        <v>D(平局)</v>
      </c>
      <c r="M156" s="2" t="s">
        <v>22</v>
      </c>
      <c r="N156" s="2">
        <f t="shared" si="17"/>
        <v>0</v>
      </c>
      <c r="O156" s="2" t="s">
        <v>22</v>
      </c>
      <c r="P156" s="2">
        <v>94</v>
      </c>
    </row>
    <row r="157" ht="23" customHeight="1" spans="1:16">
      <c r="A157" s="6" t="s">
        <v>217</v>
      </c>
      <c r="B157" s="2" t="s">
        <v>15</v>
      </c>
      <c r="C157" s="2" t="s">
        <v>23</v>
      </c>
      <c r="D157" s="2">
        <v>3</v>
      </c>
      <c r="E157" s="6" t="s">
        <v>499</v>
      </c>
      <c r="F157" s="2" t="str">
        <f t="shared" si="12"/>
        <v>B</v>
      </c>
      <c r="G157" s="2">
        <v>5</v>
      </c>
      <c r="H157" s="2" t="str">
        <f t="shared" si="13"/>
        <v>A</v>
      </c>
      <c r="I157" s="2">
        <v>5</v>
      </c>
      <c r="J157" s="2">
        <f t="shared" si="14"/>
        <v>0</v>
      </c>
      <c r="K157" s="2" t="str">
        <f t="shared" si="15"/>
        <v>C</v>
      </c>
      <c r="L157" s="2" t="str">
        <f t="shared" si="16"/>
        <v>D(平局)</v>
      </c>
      <c r="M157" s="2" t="s">
        <v>22</v>
      </c>
      <c r="N157" s="2">
        <f t="shared" si="17"/>
        <v>0</v>
      </c>
      <c r="O157" s="2" t="s">
        <v>26</v>
      </c>
      <c r="P157" s="2">
        <v>95</v>
      </c>
    </row>
    <row r="158" ht="23" customHeight="1" spans="1:16">
      <c r="A158" s="6" t="s">
        <v>217</v>
      </c>
      <c r="B158" s="2" t="s">
        <v>15</v>
      </c>
      <c r="C158" s="2" t="s">
        <v>17</v>
      </c>
      <c r="D158" s="2">
        <v>4</v>
      </c>
      <c r="E158" s="6" t="s">
        <v>500</v>
      </c>
      <c r="F158" s="2" t="str">
        <f t="shared" si="12"/>
        <v>A</v>
      </c>
      <c r="G158" s="2">
        <v>5</v>
      </c>
      <c r="H158" s="2" t="str">
        <f t="shared" si="13"/>
        <v>B</v>
      </c>
      <c r="I158" s="2">
        <v>5</v>
      </c>
      <c r="J158" s="2">
        <f t="shared" si="14"/>
        <v>0</v>
      </c>
      <c r="K158" s="2" t="str">
        <f t="shared" si="15"/>
        <v>C</v>
      </c>
      <c r="L158" s="2" t="str">
        <f t="shared" si="16"/>
        <v>D(平局)</v>
      </c>
      <c r="M158" s="2" t="s">
        <v>22</v>
      </c>
      <c r="N158" s="2">
        <f t="shared" si="17"/>
        <v>0</v>
      </c>
      <c r="O158" s="2" t="s">
        <v>22</v>
      </c>
      <c r="P158" s="2">
        <v>94</v>
      </c>
    </row>
    <row r="159" ht="23" customHeight="1" spans="1:16">
      <c r="A159" s="6" t="s">
        <v>217</v>
      </c>
      <c r="B159" s="2" t="s">
        <v>15</v>
      </c>
      <c r="C159" s="2" t="s">
        <v>23</v>
      </c>
      <c r="D159" s="2">
        <v>4</v>
      </c>
      <c r="E159" s="6" t="s">
        <v>500</v>
      </c>
      <c r="F159" s="2" t="str">
        <f t="shared" si="12"/>
        <v>B</v>
      </c>
      <c r="G159" s="2">
        <v>5</v>
      </c>
      <c r="H159" s="2" t="str">
        <f t="shared" si="13"/>
        <v>A</v>
      </c>
      <c r="I159" s="2">
        <v>5</v>
      </c>
      <c r="J159" s="2">
        <f t="shared" si="14"/>
        <v>0</v>
      </c>
      <c r="K159" s="2" t="str">
        <f t="shared" si="15"/>
        <v>C</v>
      </c>
      <c r="L159" s="2" t="str">
        <f t="shared" si="16"/>
        <v>D(平局)</v>
      </c>
      <c r="M159" s="2" t="s">
        <v>22</v>
      </c>
      <c r="N159" s="2">
        <f t="shared" si="17"/>
        <v>0</v>
      </c>
      <c r="O159" s="2" t="s">
        <v>26</v>
      </c>
      <c r="P159" s="2">
        <v>95</v>
      </c>
    </row>
    <row r="160" ht="23" customHeight="1" spans="1:16">
      <c r="A160" s="6" t="s">
        <v>217</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22</v>
      </c>
      <c r="N160" s="2">
        <f t="shared" si="17"/>
        <v>0</v>
      </c>
      <c r="O160" s="2" t="s">
        <v>22</v>
      </c>
      <c r="P160" s="2">
        <v>94</v>
      </c>
    </row>
    <row r="161" ht="23" customHeight="1" spans="1:16">
      <c r="A161" s="6" t="s">
        <v>217</v>
      </c>
      <c r="B161" s="2" t="s">
        <v>15</v>
      </c>
      <c r="C161" s="2" t="s">
        <v>23</v>
      </c>
      <c r="D161" s="2">
        <v>5</v>
      </c>
      <c r="E161" s="6" t="s">
        <v>501</v>
      </c>
      <c r="F161" s="2" t="str">
        <f t="shared" si="12"/>
        <v>B</v>
      </c>
      <c r="G161" s="2">
        <v>5</v>
      </c>
      <c r="H161" s="2" t="str">
        <f t="shared" si="13"/>
        <v>A</v>
      </c>
      <c r="I161" s="2">
        <v>5</v>
      </c>
      <c r="J161" s="2">
        <f t="shared" si="14"/>
        <v>0</v>
      </c>
      <c r="K161" s="2" t="str">
        <f t="shared" si="15"/>
        <v>C</v>
      </c>
      <c r="L161" s="2" t="str">
        <f t="shared" si="16"/>
        <v>D(平局)</v>
      </c>
      <c r="M161" s="2" t="s">
        <v>22</v>
      </c>
      <c r="N161" s="2">
        <f t="shared" si="17"/>
        <v>0</v>
      </c>
      <c r="O161" s="2" t="s">
        <v>26</v>
      </c>
      <c r="P161" s="2">
        <v>95</v>
      </c>
    </row>
    <row r="162" ht="23" customHeight="1" spans="1:16">
      <c r="A162" s="6" t="s">
        <v>217</v>
      </c>
      <c r="B162" s="2" t="s">
        <v>37</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22</v>
      </c>
      <c r="N162" s="2">
        <f t="shared" si="17"/>
        <v>0</v>
      </c>
      <c r="O162" s="2" t="s">
        <v>22</v>
      </c>
      <c r="P162" s="2">
        <v>100</v>
      </c>
    </row>
    <row r="163" ht="23" customHeight="1" spans="1:16">
      <c r="A163" s="6" t="s">
        <v>217</v>
      </c>
      <c r="B163" s="2" t="s">
        <v>37</v>
      </c>
      <c r="C163" s="2" t="s">
        <v>23</v>
      </c>
      <c r="D163" s="2">
        <v>1</v>
      </c>
      <c r="E163" s="6" t="s">
        <v>497</v>
      </c>
      <c r="F163" s="2" t="str">
        <f t="shared" si="12"/>
        <v>C</v>
      </c>
      <c r="G163" s="2">
        <v>5</v>
      </c>
      <c r="H163" s="2" t="str">
        <f t="shared" si="13"/>
        <v>A</v>
      </c>
      <c r="I163" s="2">
        <v>5</v>
      </c>
      <c r="J163" s="2">
        <f t="shared" si="14"/>
        <v>0</v>
      </c>
      <c r="K163" s="2" t="str">
        <f t="shared" si="15"/>
        <v>C</v>
      </c>
      <c r="L163" s="2" t="str">
        <f t="shared" si="16"/>
        <v>D(平局)</v>
      </c>
      <c r="M163" s="2" t="s">
        <v>22</v>
      </c>
      <c r="N163" s="2">
        <f t="shared" si="17"/>
        <v>0</v>
      </c>
      <c r="O163" s="2" t="s">
        <v>26</v>
      </c>
      <c r="P163" s="2">
        <v>101</v>
      </c>
    </row>
    <row r="164" ht="23" customHeight="1" spans="1:16">
      <c r="A164" s="6" t="s">
        <v>217</v>
      </c>
      <c r="B164" s="2" t="s">
        <v>37</v>
      </c>
      <c r="C164" s="2" t="s">
        <v>17</v>
      </c>
      <c r="D164" s="2">
        <v>2</v>
      </c>
      <c r="E164" s="6" t="s">
        <v>498</v>
      </c>
      <c r="F164" s="2" t="str">
        <f t="shared" si="12"/>
        <v>A</v>
      </c>
      <c r="G164" s="2">
        <v>5</v>
      </c>
      <c r="H164" s="2" t="str">
        <f t="shared" si="13"/>
        <v>C</v>
      </c>
      <c r="I164" s="2">
        <v>2</v>
      </c>
      <c r="J164" s="2">
        <f t="shared" si="14"/>
        <v>3</v>
      </c>
      <c r="K164" s="2" t="str">
        <f t="shared" si="15"/>
        <v>A</v>
      </c>
      <c r="L164" s="2" t="str">
        <f t="shared" si="16"/>
        <v>A</v>
      </c>
      <c r="M164" s="2" t="s">
        <v>22</v>
      </c>
      <c r="N164" s="2">
        <f t="shared" si="17"/>
        <v>1</v>
      </c>
      <c r="O164" s="2" t="s">
        <v>22</v>
      </c>
      <c r="P164" s="2">
        <v>100</v>
      </c>
    </row>
    <row r="165" ht="23" customHeight="1" spans="1:16">
      <c r="A165" s="6" t="s">
        <v>217</v>
      </c>
      <c r="B165" s="2" t="s">
        <v>37</v>
      </c>
      <c r="C165" s="2" t="s">
        <v>23</v>
      </c>
      <c r="D165" s="2">
        <v>2</v>
      </c>
      <c r="E165" s="6" t="s">
        <v>498</v>
      </c>
      <c r="F165" s="2" t="str">
        <f t="shared" si="12"/>
        <v>C</v>
      </c>
      <c r="G165" s="2">
        <v>2</v>
      </c>
      <c r="H165" s="2" t="str">
        <f t="shared" si="13"/>
        <v>A</v>
      </c>
      <c r="I165" s="2">
        <v>5</v>
      </c>
      <c r="J165" s="2">
        <f t="shared" si="14"/>
        <v>-3</v>
      </c>
      <c r="K165" s="2" t="str">
        <f t="shared" si="15"/>
        <v>B</v>
      </c>
      <c r="L165" s="2" t="str">
        <f t="shared" si="16"/>
        <v>A</v>
      </c>
      <c r="M165" s="2" t="s">
        <v>22</v>
      </c>
      <c r="N165" s="2">
        <f t="shared" si="17"/>
        <v>1</v>
      </c>
      <c r="O165" s="2" t="s">
        <v>26</v>
      </c>
      <c r="P165" s="2">
        <v>101</v>
      </c>
    </row>
    <row r="166" ht="23" customHeight="1" spans="1:16">
      <c r="A166" s="6" t="s">
        <v>217</v>
      </c>
      <c r="B166" s="2" t="s">
        <v>37</v>
      </c>
      <c r="C166" s="2" t="s">
        <v>17</v>
      </c>
      <c r="D166" s="2">
        <v>3</v>
      </c>
      <c r="E166" s="6" t="s">
        <v>499</v>
      </c>
      <c r="F166" s="2" t="str">
        <f t="shared" si="12"/>
        <v>A</v>
      </c>
      <c r="G166" s="2">
        <v>5</v>
      </c>
      <c r="H166" s="2" t="str">
        <f t="shared" si="13"/>
        <v>C</v>
      </c>
      <c r="I166" s="2">
        <v>5</v>
      </c>
      <c r="J166" s="2">
        <f t="shared" si="14"/>
        <v>0</v>
      </c>
      <c r="K166" s="2" t="str">
        <f t="shared" si="15"/>
        <v>C</v>
      </c>
      <c r="L166" s="2" t="str">
        <f t="shared" si="16"/>
        <v>D(平局)</v>
      </c>
      <c r="M166" s="2" t="s">
        <v>22</v>
      </c>
      <c r="N166" s="2">
        <f t="shared" si="17"/>
        <v>0</v>
      </c>
      <c r="O166" s="2" t="s">
        <v>22</v>
      </c>
      <c r="P166" s="2">
        <v>100</v>
      </c>
    </row>
    <row r="167" ht="23" customHeight="1" spans="1:16">
      <c r="A167" s="6" t="s">
        <v>217</v>
      </c>
      <c r="B167" s="2" t="s">
        <v>37</v>
      </c>
      <c r="C167" s="2" t="s">
        <v>23</v>
      </c>
      <c r="D167" s="2">
        <v>3</v>
      </c>
      <c r="E167" s="6" t="s">
        <v>499</v>
      </c>
      <c r="F167" s="2" t="str">
        <f t="shared" si="12"/>
        <v>C</v>
      </c>
      <c r="G167" s="2">
        <v>5</v>
      </c>
      <c r="H167" s="2" t="str">
        <f t="shared" si="13"/>
        <v>A</v>
      </c>
      <c r="I167" s="2">
        <v>5</v>
      </c>
      <c r="J167" s="2">
        <f t="shared" si="14"/>
        <v>0</v>
      </c>
      <c r="K167" s="2" t="str">
        <f t="shared" si="15"/>
        <v>C</v>
      </c>
      <c r="L167" s="2" t="str">
        <f t="shared" si="16"/>
        <v>D(平局)</v>
      </c>
      <c r="M167" s="2" t="s">
        <v>22</v>
      </c>
      <c r="N167" s="2">
        <f t="shared" si="17"/>
        <v>0</v>
      </c>
      <c r="O167" s="2" t="s">
        <v>26</v>
      </c>
      <c r="P167" s="2">
        <v>101</v>
      </c>
    </row>
    <row r="168" ht="23" customHeight="1" spans="1:16">
      <c r="A168" s="6" t="s">
        <v>217</v>
      </c>
      <c r="B168" s="2" t="s">
        <v>37</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22</v>
      </c>
      <c r="N168" s="2">
        <f t="shared" si="17"/>
        <v>0</v>
      </c>
      <c r="O168" s="2" t="s">
        <v>22</v>
      </c>
      <c r="P168" s="2">
        <v>100</v>
      </c>
    </row>
    <row r="169" ht="23" customHeight="1" spans="1:16">
      <c r="A169" s="6" t="s">
        <v>217</v>
      </c>
      <c r="B169" s="2" t="s">
        <v>37</v>
      </c>
      <c r="C169" s="2" t="s">
        <v>23</v>
      </c>
      <c r="D169" s="2">
        <v>4</v>
      </c>
      <c r="E169" s="6" t="s">
        <v>500</v>
      </c>
      <c r="F169" s="2" t="str">
        <f t="shared" si="12"/>
        <v>C</v>
      </c>
      <c r="G169" s="2">
        <v>5</v>
      </c>
      <c r="H169" s="2" t="str">
        <f t="shared" si="13"/>
        <v>A</v>
      </c>
      <c r="I169" s="2">
        <v>5</v>
      </c>
      <c r="J169" s="2">
        <f t="shared" si="14"/>
        <v>0</v>
      </c>
      <c r="K169" s="2" t="str">
        <f t="shared" si="15"/>
        <v>C</v>
      </c>
      <c r="L169" s="2" t="str">
        <f t="shared" si="16"/>
        <v>D(平局)</v>
      </c>
      <c r="M169" s="2" t="s">
        <v>22</v>
      </c>
      <c r="N169" s="2">
        <f t="shared" si="17"/>
        <v>0</v>
      </c>
      <c r="O169" s="2" t="s">
        <v>26</v>
      </c>
      <c r="P169" s="2">
        <v>101</v>
      </c>
    </row>
    <row r="170" ht="23" customHeight="1" spans="1:16">
      <c r="A170" s="6" t="s">
        <v>217</v>
      </c>
      <c r="B170" s="2" t="s">
        <v>37</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22</v>
      </c>
      <c r="N170" s="2">
        <f t="shared" si="17"/>
        <v>0</v>
      </c>
      <c r="O170" s="2" t="s">
        <v>22</v>
      </c>
      <c r="P170" s="2">
        <v>100</v>
      </c>
    </row>
    <row r="171" ht="23" customHeight="1" spans="1:16">
      <c r="A171" s="6" t="s">
        <v>217</v>
      </c>
      <c r="B171" s="2" t="s">
        <v>37</v>
      </c>
      <c r="C171" s="2" t="s">
        <v>23</v>
      </c>
      <c r="D171" s="2">
        <v>5</v>
      </c>
      <c r="E171" s="6" t="s">
        <v>501</v>
      </c>
      <c r="F171" s="2" t="str">
        <f t="shared" si="12"/>
        <v>C</v>
      </c>
      <c r="G171" s="2">
        <v>4</v>
      </c>
      <c r="H171" s="2" t="str">
        <f t="shared" si="13"/>
        <v>A</v>
      </c>
      <c r="I171" s="2">
        <v>5</v>
      </c>
      <c r="J171" s="2">
        <f t="shared" si="14"/>
        <v>-1</v>
      </c>
      <c r="K171" s="2" t="str">
        <f t="shared" si="15"/>
        <v>B</v>
      </c>
      <c r="L171" s="2" t="str">
        <f t="shared" si="16"/>
        <v>A</v>
      </c>
      <c r="M171" s="2" t="s">
        <v>22</v>
      </c>
      <c r="N171" s="2">
        <f t="shared" si="17"/>
        <v>1</v>
      </c>
      <c r="O171" s="2" t="s">
        <v>26</v>
      </c>
      <c r="P171" s="2">
        <v>101</v>
      </c>
    </row>
    <row r="172" ht="23" customHeight="1" spans="1:16">
      <c r="A172" s="6" t="s">
        <v>217</v>
      </c>
      <c r="B172" s="2" t="s">
        <v>50</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26</v>
      </c>
      <c r="N172" s="2">
        <f t="shared" si="17"/>
        <v>0</v>
      </c>
      <c r="O172" s="2" t="s">
        <v>22</v>
      </c>
      <c r="P172" s="2">
        <v>106</v>
      </c>
    </row>
    <row r="173" ht="23" customHeight="1" spans="1:16">
      <c r="A173" s="6" t="s">
        <v>217</v>
      </c>
      <c r="B173" s="2" t="s">
        <v>50</v>
      </c>
      <c r="C173" s="2" t="s">
        <v>23</v>
      </c>
      <c r="D173" s="2">
        <v>1</v>
      </c>
      <c r="E173" s="6" t="s">
        <v>497</v>
      </c>
      <c r="F173" s="2" t="str">
        <f t="shared" si="12"/>
        <v>C</v>
      </c>
      <c r="G173" s="2">
        <v>5</v>
      </c>
      <c r="H173" s="2" t="str">
        <f t="shared" si="13"/>
        <v>B</v>
      </c>
      <c r="I173" s="2">
        <v>5</v>
      </c>
      <c r="J173" s="2">
        <f t="shared" si="14"/>
        <v>0</v>
      </c>
      <c r="K173" s="2" t="str">
        <f t="shared" si="15"/>
        <v>C</v>
      </c>
      <c r="L173" s="2" t="str">
        <f t="shared" si="16"/>
        <v>D(平局)</v>
      </c>
      <c r="M173" s="2" t="s">
        <v>26</v>
      </c>
      <c r="N173" s="2">
        <f t="shared" si="17"/>
        <v>0</v>
      </c>
      <c r="O173" s="2" t="s">
        <v>26</v>
      </c>
      <c r="P173" s="2">
        <v>107</v>
      </c>
    </row>
    <row r="174" ht="23" customHeight="1" spans="1:16">
      <c r="A174" s="6" t="s">
        <v>217</v>
      </c>
      <c r="B174" s="2" t="s">
        <v>50</v>
      </c>
      <c r="C174" s="2" t="s">
        <v>17</v>
      </c>
      <c r="D174" s="2">
        <v>2</v>
      </c>
      <c r="E174" s="6" t="s">
        <v>498</v>
      </c>
      <c r="F174" s="2" t="str">
        <f t="shared" si="12"/>
        <v>B</v>
      </c>
      <c r="G174" s="2">
        <v>4</v>
      </c>
      <c r="H174" s="2" t="str">
        <f t="shared" si="13"/>
        <v>C</v>
      </c>
      <c r="I174" s="2">
        <v>2</v>
      </c>
      <c r="J174" s="2">
        <f t="shared" si="14"/>
        <v>2</v>
      </c>
      <c r="K174" s="2" t="str">
        <f t="shared" si="15"/>
        <v>A</v>
      </c>
      <c r="L174" s="2" t="str">
        <f t="shared" si="16"/>
        <v>B</v>
      </c>
      <c r="M174" s="2" t="s">
        <v>26</v>
      </c>
      <c r="N174" s="2">
        <f t="shared" si="17"/>
        <v>1</v>
      </c>
      <c r="O174" s="2" t="s">
        <v>22</v>
      </c>
      <c r="P174" s="2">
        <v>106</v>
      </c>
    </row>
    <row r="175" ht="23" customHeight="1" spans="1:16">
      <c r="A175" s="6" t="s">
        <v>217</v>
      </c>
      <c r="B175" s="2" t="s">
        <v>50</v>
      </c>
      <c r="C175" s="2" t="s">
        <v>23</v>
      </c>
      <c r="D175" s="2">
        <v>2</v>
      </c>
      <c r="E175" s="6" t="s">
        <v>498</v>
      </c>
      <c r="F175" s="2" t="str">
        <f t="shared" si="12"/>
        <v>C</v>
      </c>
      <c r="G175" s="2">
        <v>2</v>
      </c>
      <c r="H175" s="2" t="str">
        <f t="shared" si="13"/>
        <v>B</v>
      </c>
      <c r="I175" s="2">
        <v>4</v>
      </c>
      <c r="J175" s="2">
        <f t="shared" si="14"/>
        <v>-2</v>
      </c>
      <c r="K175" s="2" t="str">
        <f t="shared" si="15"/>
        <v>B</v>
      </c>
      <c r="L175" s="2" t="str">
        <f t="shared" si="16"/>
        <v>B</v>
      </c>
      <c r="M175" s="2" t="s">
        <v>26</v>
      </c>
      <c r="N175" s="2">
        <f t="shared" si="17"/>
        <v>1</v>
      </c>
      <c r="O175" s="2" t="s">
        <v>26</v>
      </c>
      <c r="P175" s="2">
        <v>107</v>
      </c>
    </row>
    <row r="176" ht="23" customHeight="1" spans="1:16">
      <c r="A176" s="6" t="s">
        <v>217</v>
      </c>
      <c r="B176" s="2" t="s">
        <v>50</v>
      </c>
      <c r="C176" s="2" t="s">
        <v>17</v>
      </c>
      <c r="D176" s="2">
        <v>3</v>
      </c>
      <c r="E176" s="6" t="s">
        <v>499</v>
      </c>
      <c r="F176" s="2" t="str">
        <f t="shared" si="12"/>
        <v>B</v>
      </c>
      <c r="G176" s="2">
        <v>5</v>
      </c>
      <c r="H176" s="2" t="str">
        <f t="shared" si="13"/>
        <v>C</v>
      </c>
      <c r="I176" s="2">
        <v>5</v>
      </c>
      <c r="J176" s="2">
        <f t="shared" si="14"/>
        <v>0</v>
      </c>
      <c r="K176" s="2" t="str">
        <f t="shared" si="15"/>
        <v>C</v>
      </c>
      <c r="L176" s="2" t="str">
        <f t="shared" si="16"/>
        <v>D(平局)</v>
      </c>
      <c r="M176" s="2" t="s">
        <v>26</v>
      </c>
      <c r="N176" s="2">
        <f t="shared" si="17"/>
        <v>0</v>
      </c>
      <c r="O176" s="2" t="s">
        <v>22</v>
      </c>
      <c r="P176" s="2">
        <v>106</v>
      </c>
    </row>
    <row r="177" ht="23" customHeight="1" spans="1:16">
      <c r="A177" s="6" t="s">
        <v>217</v>
      </c>
      <c r="B177" s="2" t="s">
        <v>50</v>
      </c>
      <c r="C177" s="2" t="s">
        <v>23</v>
      </c>
      <c r="D177" s="2">
        <v>3</v>
      </c>
      <c r="E177" s="6" t="s">
        <v>499</v>
      </c>
      <c r="F177" s="2" t="str">
        <f t="shared" si="12"/>
        <v>C</v>
      </c>
      <c r="G177" s="2">
        <v>5</v>
      </c>
      <c r="H177" s="2" t="str">
        <f t="shared" si="13"/>
        <v>B</v>
      </c>
      <c r="I177" s="2">
        <v>5</v>
      </c>
      <c r="J177" s="2">
        <f t="shared" si="14"/>
        <v>0</v>
      </c>
      <c r="K177" s="2" t="str">
        <f t="shared" si="15"/>
        <v>C</v>
      </c>
      <c r="L177" s="2" t="str">
        <f t="shared" si="16"/>
        <v>D(平局)</v>
      </c>
      <c r="M177" s="2" t="s">
        <v>26</v>
      </c>
      <c r="N177" s="2">
        <f t="shared" si="17"/>
        <v>0</v>
      </c>
      <c r="O177" s="2" t="s">
        <v>26</v>
      </c>
      <c r="P177" s="2">
        <v>107</v>
      </c>
    </row>
    <row r="178" ht="23" customHeight="1" spans="1:16">
      <c r="A178" s="6" t="s">
        <v>217</v>
      </c>
      <c r="B178" s="2" t="s">
        <v>50</v>
      </c>
      <c r="C178" s="2" t="s">
        <v>17</v>
      </c>
      <c r="D178" s="2">
        <v>4</v>
      </c>
      <c r="E178" s="6" t="s">
        <v>500</v>
      </c>
      <c r="F178" s="2" t="str">
        <f t="shared" si="12"/>
        <v>B</v>
      </c>
      <c r="G178" s="2">
        <v>4</v>
      </c>
      <c r="H178" s="2" t="str">
        <f t="shared" si="13"/>
        <v>C</v>
      </c>
      <c r="I178" s="2">
        <v>5</v>
      </c>
      <c r="J178" s="2">
        <f t="shared" si="14"/>
        <v>-1</v>
      </c>
      <c r="K178" s="2" t="str">
        <f t="shared" si="15"/>
        <v>B</v>
      </c>
      <c r="L178" s="2" t="str">
        <f t="shared" si="16"/>
        <v>C</v>
      </c>
      <c r="M178" s="2" t="s">
        <v>26</v>
      </c>
      <c r="N178" s="2">
        <f t="shared" si="17"/>
        <v>0</v>
      </c>
      <c r="O178" s="2" t="s">
        <v>22</v>
      </c>
      <c r="P178" s="2">
        <v>106</v>
      </c>
    </row>
    <row r="179" ht="23" customHeight="1" spans="1:16">
      <c r="A179" s="6" t="s">
        <v>217</v>
      </c>
      <c r="B179" s="2" t="s">
        <v>50</v>
      </c>
      <c r="C179" s="2" t="s">
        <v>23</v>
      </c>
      <c r="D179" s="2">
        <v>4</v>
      </c>
      <c r="E179" s="6" t="s">
        <v>500</v>
      </c>
      <c r="F179" s="2" t="str">
        <f t="shared" si="12"/>
        <v>C</v>
      </c>
      <c r="G179" s="2">
        <v>5</v>
      </c>
      <c r="H179" s="2" t="str">
        <f t="shared" si="13"/>
        <v>B</v>
      </c>
      <c r="I179" s="2">
        <v>5</v>
      </c>
      <c r="J179" s="2">
        <f t="shared" si="14"/>
        <v>0</v>
      </c>
      <c r="K179" s="2" t="str">
        <f t="shared" si="15"/>
        <v>C</v>
      </c>
      <c r="L179" s="2" t="str">
        <f t="shared" si="16"/>
        <v>D(平局)</v>
      </c>
      <c r="M179" s="2" t="s">
        <v>26</v>
      </c>
      <c r="N179" s="2">
        <f t="shared" si="17"/>
        <v>0</v>
      </c>
      <c r="O179" s="2" t="s">
        <v>26</v>
      </c>
      <c r="P179" s="2">
        <v>107</v>
      </c>
    </row>
    <row r="180" ht="23" customHeight="1" spans="1:16">
      <c r="A180" s="6" t="s">
        <v>217</v>
      </c>
      <c r="B180" s="2" t="s">
        <v>50</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26</v>
      </c>
      <c r="N180" s="2">
        <f t="shared" si="17"/>
        <v>0</v>
      </c>
      <c r="O180" s="2" t="s">
        <v>22</v>
      </c>
      <c r="P180" s="2">
        <v>106</v>
      </c>
    </row>
    <row r="181" ht="23" customHeight="1" spans="1:16">
      <c r="A181" s="6" t="s">
        <v>217</v>
      </c>
      <c r="B181" s="2" t="s">
        <v>50</v>
      </c>
      <c r="C181" s="2" t="s">
        <v>23</v>
      </c>
      <c r="D181" s="2">
        <v>5</v>
      </c>
      <c r="E181" s="6" t="s">
        <v>501</v>
      </c>
      <c r="F181" s="2" t="str">
        <f t="shared" si="12"/>
        <v>C</v>
      </c>
      <c r="G181" s="2">
        <v>3</v>
      </c>
      <c r="H181" s="2" t="str">
        <f t="shared" si="13"/>
        <v>B</v>
      </c>
      <c r="I181" s="2">
        <v>5</v>
      </c>
      <c r="J181" s="2">
        <f t="shared" si="14"/>
        <v>-2</v>
      </c>
      <c r="K181" s="2" t="str">
        <f t="shared" si="15"/>
        <v>B</v>
      </c>
      <c r="L181" s="2" t="str">
        <f t="shared" si="16"/>
        <v>B</v>
      </c>
      <c r="M181" s="2" t="s">
        <v>26</v>
      </c>
      <c r="N181" s="2">
        <f t="shared" si="17"/>
        <v>1</v>
      </c>
      <c r="O181" s="2" t="s">
        <v>26</v>
      </c>
      <c r="P181" s="2">
        <v>107</v>
      </c>
    </row>
    <row r="182" ht="23" customHeight="1" spans="1:16">
      <c r="A182" s="6" t="s">
        <v>255</v>
      </c>
      <c r="B182" s="2" t="s">
        <v>15</v>
      </c>
      <c r="C182" s="2" t="s">
        <v>17</v>
      </c>
      <c r="D182" s="2">
        <v>1</v>
      </c>
      <c r="E182" s="6" t="s">
        <v>497</v>
      </c>
      <c r="F182" s="2" t="str">
        <f t="shared" si="12"/>
        <v>A</v>
      </c>
      <c r="G182" s="2">
        <v>5</v>
      </c>
      <c r="H182" s="2" t="str">
        <f t="shared" si="13"/>
        <v>B</v>
      </c>
      <c r="I182" s="2">
        <v>5</v>
      </c>
      <c r="J182" s="2">
        <f t="shared" si="14"/>
        <v>0</v>
      </c>
      <c r="K182" s="2" t="str">
        <f t="shared" si="15"/>
        <v>C</v>
      </c>
      <c r="L182" s="2" t="str">
        <f t="shared" si="16"/>
        <v>D(平局)</v>
      </c>
      <c r="M182" s="2" t="s">
        <v>22</v>
      </c>
      <c r="N182" s="2">
        <f t="shared" si="17"/>
        <v>0</v>
      </c>
      <c r="O182" s="2" t="s">
        <v>22</v>
      </c>
      <c r="P182" s="2">
        <v>112</v>
      </c>
    </row>
    <row r="183" ht="23" customHeight="1" spans="1:16">
      <c r="A183" s="6" t="s">
        <v>255</v>
      </c>
      <c r="B183" s="2" t="s">
        <v>15</v>
      </c>
      <c r="C183" s="2" t="s">
        <v>23</v>
      </c>
      <c r="D183" s="2">
        <v>1</v>
      </c>
      <c r="E183" s="6" t="s">
        <v>497</v>
      </c>
      <c r="F183" s="2" t="str">
        <f t="shared" si="12"/>
        <v>B</v>
      </c>
      <c r="G183" s="2">
        <v>5</v>
      </c>
      <c r="H183" s="2" t="str">
        <f t="shared" si="13"/>
        <v>A</v>
      </c>
      <c r="I183" s="2">
        <v>5</v>
      </c>
      <c r="J183" s="2">
        <f t="shared" si="14"/>
        <v>0</v>
      </c>
      <c r="K183" s="2" t="str">
        <f t="shared" si="15"/>
        <v>C</v>
      </c>
      <c r="L183" s="2" t="str">
        <f t="shared" si="16"/>
        <v>D(平局)</v>
      </c>
      <c r="M183" s="2" t="s">
        <v>22</v>
      </c>
      <c r="N183" s="2">
        <f t="shared" si="17"/>
        <v>0</v>
      </c>
      <c r="O183" s="2" t="s">
        <v>26</v>
      </c>
      <c r="P183" s="2">
        <v>113</v>
      </c>
    </row>
    <row r="184" ht="23" customHeight="1" spans="1:16">
      <c r="A184" s="6" t="s">
        <v>255</v>
      </c>
      <c r="B184" s="2" t="s">
        <v>15</v>
      </c>
      <c r="C184" s="2" t="s">
        <v>17</v>
      </c>
      <c r="D184" s="2">
        <v>2</v>
      </c>
      <c r="E184" s="6" t="s">
        <v>498</v>
      </c>
      <c r="F184" s="2" t="str">
        <f t="shared" si="12"/>
        <v>A</v>
      </c>
      <c r="G184" s="2">
        <v>5</v>
      </c>
      <c r="H184" s="2" t="str">
        <f t="shared" si="13"/>
        <v>B</v>
      </c>
      <c r="I184" s="2">
        <v>3</v>
      </c>
      <c r="J184" s="2">
        <f t="shared" si="14"/>
        <v>2</v>
      </c>
      <c r="K184" s="2" t="str">
        <f t="shared" si="15"/>
        <v>A</v>
      </c>
      <c r="L184" s="2" t="str">
        <f t="shared" si="16"/>
        <v>A</v>
      </c>
      <c r="M184" s="2" t="s">
        <v>22</v>
      </c>
      <c r="N184" s="2">
        <f t="shared" si="17"/>
        <v>1</v>
      </c>
      <c r="O184" s="2" t="s">
        <v>22</v>
      </c>
      <c r="P184" s="2">
        <v>112</v>
      </c>
    </row>
    <row r="185" ht="23" customHeight="1" spans="1:16">
      <c r="A185" s="6" t="s">
        <v>255</v>
      </c>
      <c r="B185" s="2" t="s">
        <v>15</v>
      </c>
      <c r="C185" s="2" t="s">
        <v>23</v>
      </c>
      <c r="D185" s="2">
        <v>2</v>
      </c>
      <c r="E185" s="6" t="s">
        <v>498</v>
      </c>
      <c r="F185" s="2" t="str">
        <f t="shared" si="12"/>
        <v>B</v>
      </c>
      <c r="G185" s="2">
        <v>3</v>
      </c>
      <c r="H185" s="2" t="str">
        <f t="shared" si="13"/>
        <v>A</v>
      </c>
      <c r="I185" s="2">
        <v>5</v>
      </c>
      <c r="J185" s="2">
        <f t="shared" si="14"/>
        <v>-2</v>
      </c>
      <c r="K185" s="2" t="str">
        <f t="shared" si="15"/>
        <v>B</v>
      </c>
      <c r="L185" s="2" t="str">
        <f t="shared" si="16"/>
        <v>A</v>
      </c>
      <c r="M185" s="2" t="s">
        <v>22</v>
      </c>
      <c r="N185" s="2">
        <f t="shared" si="17"/>
        <v>1</v>
      </c>
      <c r="O185" s="2" t="s">
        <v>26</v>
      </c>
      <c r="P185" s="2">
        <v>113</v>
      </c>
    </row>
    <row r="186" ht="23" customHeight="1" spans="1:16">
      <c r="A186" s="6" t="s">
        <v>255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22</v>
      </c>
      <c r="N186" s="2">
        <f t="shared" si="17"/>
        <v>0</v>
      </c>
      <c r="O186" s="2" t="s">
        <v>22</v>
      </c>
      <c r="P186" s="2">
        <v>112</v>
      </c>
    </row>
    <row r="187" ht="23" customHeight="1" spans="1:16">
      <c r="A187" s="6" t="s">
        <v>255</v>
      </c>
      <c r="B187" s="2" t="s">
        <v>15</v>
      </c>
      <c r="C187" s="2" t="s">
        <v>23</v>
      </c>
      <c r="D187" s="2">
        <v>3</v>
      </c>
      <c r="E187" s="6" t="s">
        <v>499</v>
      </c>
      <c r="F187" s="2" t="str">
        <f t="shared" si="12"/>
        <v>B</v>
      </c>
      <c r="G187" s="2">
        <v>5</v>
      </c>
      <c r="H187" s="2" t="str">
        <f t="shared" si="13"/>
        <v>A</v>
      </c>
      <c r="I187" s="2">
        <v>5</v>
      </c>
      <c r="J187" s="2">
        <f t="shared" si="14"/>
        <v>0</v>
      </c>
      <c r="K187" s="2" t="str">
        <f t="shared" si="15"/>
        <v>C</v>
      </c>
      <c r="L187" s="2" t="str">
        <f t="shared" si="16"/>
        <v>D(平局)</v>
      </c>
      <c r="M187" s="2" t="s">
        <v>22</v>
      </c>
      <c r="N187" s="2">
        <f t="shared" si="17"/>
        <v>0</v>
      </c>
      <c r="O187" s="2" t="s">
        <v>26</v>
      </c>
      <c r="P187" s="2">
        <v>113</v>
      </c>
    </row>
    <row r="188" ht="23" customHeight="1" spans="1:16">
      <c r="A188" s="6" t="s">
        <v>255</v>
      </c>
      <c r="B188" s="2" t="s">
        <v>15</v>
      </c>
      <c r="C188" s="2" t="s">
        <v>17</v>
      </c>
      <c r="D188" s="2">
        <v>4</v>
      </c>
      <c r="E188" s="6" t="s">
        <v>500</v>
      </c>
      <c r="F188" s="2" t="str">
        <f t="shared" si="12"/>
        <v>A</v>
      </c>
      <c r="G188" s="2">
        <v>5</v>
      </c>
      <c r="H188" s="2" t="str">
        <f t="shared" si="13"/>
        <v>B</v>
      </c>
      <c r="I188" s="2">
        <v>5</v>
      </c>
      <c r="J188" s="2">
        <f t="shared" si="14"/>
        <v>0</v>
      </c>
      <c r="K188" s="2" t="str">
        <f t="shared" si="15"/>
        <v>C</v>
      </c>
      <c r="L188" s="2" t="str">
        <f t="shared" si="16"/>
        <v>D(平局)</v>
      </c>
      <c r="M188" s="2" t="s">
        <v>22</v>
      </c>
      <c r="N188" s="2">
        <f t="shared" si="17"/>
        <v>0</v>
      </c>
      <c r="O188" s="2" t="s">
        <v>22</v>
      </c>
      <c r="P188" s="2">
        <v>112</v>
      </c>
    </row>
    <row r="189" ht="23" customHeight="1" spans="1:16">
      <c r="A189" s="6" t="s">
        <v>255</v>
      </c>
      <c r="B189" s="2" t="s">
        <v>15</v>
      </c>
      <c r="C189" s="2" t="s">
        <v>23</v>
      </c>
      <c r="D189" s="2">
        <v>4</v>
      </c>
      <c r="E189" s="6" t="s">
        <v>500</v>
      </c>
      <c r="F189" s="2" t="str">
        <f t="shared" si="12"/>
        <v>B</v>
      </c>
      <c r="G189" s="2">
        <v>5</v>
      </c>
      <c r="H189" s="2" t="str">
        <f t="shared" si="13"/>
        <v>A</v>
      </c>
      <c r="I189" s="2">
        <v>5</v>
      </c>
      <c r="J189" s="2">
        <f t="shared" si="14"/>
        <v>0</v>
      </c>
      <c r="K189" s="2" t="str">
        <f t="shared" si="15"/>
        <v>C</v>
      </c>
      <c r="L189" s="2" t="str">
        <f t="shared" si="16"/>
        <v>D(平局)</v>
      </c>
      <c r="M189" s="2" t="s">
        <v>22</v>
      </c>
      <c r="N189" s="2">
        <f t="shared" si="17"/>
        <v>0</v>
      </c>
      <c r="O189" s="2" t="s">
        <v>26</v>
      </c>
      <c r="P189" s="2">
        <v>113</v>
      </c>
    </row>
    <row r="190" ht="23" customHeight="1" spans="1:16">
      <c r="A190" s="6" t="s">
        <v>255</v>
      </c>
      <c r="B190" s="2" t="s">
        <v>15</v>
      </c>
      <c r="C190" s="2" t="s">
        <v>17</v>
      </c>
      <c r="D190" s="2">
        <v>5</v>
      </c>
      <c r="E190" s="6" t="s">
        <v>501</v>
      </c>
      <c r="F190" s="2" t="str">
        <f t="shared" si="12"/>
        <v>A</v>
      </c>
      <c r="G190" s="2">
        <v>5</v>
      </c>
      <c r="H190" s="2" t="str">
        <f t="shared" si="13"/>
        <v>B</v>
      </c>
      <c r="I190" s="2">
        <v>5</v>
      </c>
      <c r="J190" s="2">
        <f t="shared" si="14"/>
        <v>0</v>
      </c>
      <c r="K190" s="2" t="str">
        <f t="shared" si="15"/>
        <v>C</v>
      </c>
      <c r="L190" s="2" t="str">
        <f t="shared" si="16"/>
        <v>D(平局)</v>
      </c>
      <c r="M190" s="2" t="s">
        <v>22</v>
      </c>
      <c r="N190" s="2">
        <f t="shared" si="17"/>
        <v>0</v>
      </c>
      <c r="O190" s="2" t="s">
        <v>22</v>
      </c>
      <c r="P190" s="2">
        <v>112</v>
      </c>
    </row>
    <row r="191" ht="23" customHeight="1" spans="1:16">
      <c r="A191" s="6" t="s">
        <v>255</v>
      </c>
      <c r="B191" s="2" t="s">
        <v>15</v>
      </c>
      <c r="C191" s="2" t="s">
        <v>23</v>
      </c>
      <c r="D191" s="2">
        <v>5</v>
      </c>
      <c r="E191" s="6" t="s">
        <v>501</v>
      </c>
      <c r="F191" s="2" t="str">
        <f t="shared" si="12"/>
        <v>B</v>
      </c>
      <c r="G191" s="2">
        <v>5</v>
      </c>
      <c r="H191" s="2" t="str">
        <f t="shared" si="13"/>
        <v>A</v>
      </c>
      <c r="I191" s="2">
        <v>5</v>
      </c>
      <c r="J191" s="2">
        <f t="shared" si="14"/>
        <v>0</v>
      </c>
      <c r="K191" s="2" t="str">
        <f t="shared" si="15"/>
        <v>C</v>
      </c>
      <c r="L191" s="2" t="str">
        <f t="shared" si="16"/>
        <v>D(平局)</v>
      </c>
      <c r="M191" s="2" t="s">
        <v>22</v>
      </c>
      <c r="N191" s="2">
        <f t="shared" si="17"/>
        <v>0</v>
      </c>
      <c r="O191" s="2" t="s">
        <v>26</v>
      </c>
      <c r="P191" s="2">
        <v>113</v>
      </c>
    </row>
    <row r="192" ht="23" customHeight="1" spans="1:16">
      <c r="A192" s="6" t="s">
        <v>255</v>
      </c>
      <c r="B192" s="2" t="s">
        <v>37</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22</v>
      </c>
      <c r="N192" s="2">
        <f t="shared" si="17"/>
        <v>0</v>
      </c>
      <c r="O192" s="2" t="s">
        <v>22</v>
      </c>
      <c r="P192" s="2">
        <v>118</v>
      </c>
    </row>
    <row r="193" ht="23" customHeight="1" spans="1:16">
      <c r="A193" s="6" t="s">
        <v>255</v>
      </c>
      <c r="B193" s="2" t="s">
        <v>37</v>
      </c>
      <c r="C193" s="2" t="s">
        <v>23</v>
      </c>
      <c r="D193" s="2">
        <v>1</v>
      </c>
      <c r="E193" s="6" t="s">
        <v>497</v>
      </c>
      <c r="F193" s="2" t="str">
        <f t="shared" si="12"/>
        <v>C</v>
      </c>
      <c r="G193" s="2">
        <v>5</v>
      </c>
      <c r="H193" s="2" t="str">
        <f t="shared" si="13"/>
        <v>A</v>
      </c>
      <c r="I193" s="2">
        <v>5</v>
      </c>
      <c r="J193" s="2">
        <f t="shared" si="14"/>
        <v>0</v>
      </c>
      <c r="K193" s="2" t="str">
        <f t="shared" si="15"/>
        <v>C</v>
      </c>
      <c r="L193" s="2" t="str">
        <f t="shared" si="16"/>
        <v>D(平局)</v>
      </c>
      <c r="M193" s="2" t="s">
        <v>22</v>
      </c>
      <c r="N193" s="2">
        <f t="shared" si="17"/>
        <v>0</v>
      </c>
      <c r="O193" s="2" t="s">
        <v>26</v>
      </c>
      <c r="P193" s="2">
        <v>119</v>
      </c>
    </row>
    <row r="194" ht="23" customHeight="1" spans="1:16">
      <c r="A194" s="6" t="s">
        <v>255</v>
      </c>
      <c r="B194" s="2" t="s">
        <v>37</v>
      </c>
      <c r="C194" s="2" t="s">
        <v>17</v>
      </c>
      <c r="D194" s="2">
        <v>2</v>
      </c>
      <c r="E194" s="6" t="s">
        <v>498</v>
      </c>
      <c r="F194" s="2" t="str">
        <f t="shared" ref="F194:F257" si="18">IF(C194="l2r",LEFT(B194,1),RIGHT(B194,1))</f>
        <v>A</v>
      </c>
      <c r="G194" s="2">
        <v>5</v>
      </c>
      <c r="H194" s="2" t="str">
        <f t="shared" ref="H194:H257" si="19">IF(C194="l2r",RIGHT(B194,1),LEFT(B194,1))</f>
        <v>C</v>
      </c>
      <c r="I194" s="2">
        <v>3</v>
      </c>
      <c r="J194" s="2">
        <f t="shared" ref="J194:J257" si="20">G194-I194</f>
        <v>2</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255</v>
      </c>
      <c r="B195" s="2" t="s">
        <v>37</v>
      </c>
      <c r="C195" s="2" t="s">
        <v>23</v>
      </c>
      <c r="D195" s="2">
        <v>2</v>
      </c>
      <c r="E195" s="6" t="s">
        <v>498</v>
      </c>
      <c r="F195" s="2" t="str">
        <f t="shared" si="18"/>
        <v>C</v>
      </c>
      <c r="G195" s="2">
        <v>2</v>
      </c>
      <c r="H195" s="2" t="str">
        <f t="shared" si="19"/>
        <v>A</v>
      </c>
      <c r="I195" s="2">
        <v>5</v>
      </c>
      <c r="J195" s="2">
        <f t="shared" si="20"/>
        <v>-3</v>
      </c>
      <c r="K195" s="2" t="str">
        <f t="shared" si="21"/>
        <v>B</v>
      </c>
      <c r="L195" s="2" t="str">
        <f t="shared" si="22"/>
        <v>A</v>
      </c>
      <c r="M195" s="2" t="s">
        <v>22</v>
      </c>
      <c r="N195" s="2">
        <f t="shared" si="23"/>
        <v>1</v>
      </c>
      <c r="O195" s="2" t="s">
        <v>26</v>
      </c>
      <c r="P195" s="2">
        <v>119</v>
      </c>
    </row>
    <row r="196" ht="23" customHeight="1" spans="1:16">
      <c r="A196" s="6" t="s">
        <v>255</v>
      </c>
      <c r="B196" s="2" t="s">
        <v>37</v>
      </c>
      <c r="C196" s="2" t="s">
        <v>17</v>
      </c>
      <c r="D196" s="2">
        <v>3</v>
      </c>
      <c r="E196" s="6" t="s">
        <v>499</v>
      </c>
      <c r="F196" s="2" t="str">
        <f t="shared" si="18"/>
        <v>A</v>
      </c>
      <c r="G196" s="2">
        <v>5</v>
      </c>
      <c r="H196" s="2" t="str">
        <f t="shared" si="19"/>
        <v>C</v>
      </c>
      <c r="I196" s="2">
        <v>5</v>
      </c>
      <c r="J196" s="2">
        <f t="shared" si="20"/>
        <v>0</v>
      </c>
      <c r="K196" s="2" t="str">
        <f t="shared" si="21"/>
        <v>C</v>
      </c>
      <c r="L196" s="2" t="str">
        <f t="shared" si="22"/>
        <v>D(平局)</v>
      </c>
      <c r="M196" s="2" t="s">
        <v>22</v>
      </c>
      <c r="N196" s="2">
        <f t="shared" si="23"/>
        <v>0</v>
      </c>
      <c r="O196" s="2" t="s">
        <v>22</v>
      </c>
      <c r="P196" s="2">
        <v>118</v>
      </c>
    </row>
    <row r="197" ht="23" customHeight="1" spans="1:16">
      <c r="A197" s="6" t="s">
        <v>255</v>
      </c>
      <c r="B197" s="2" t="s">
        <v>37</v>
      </c>
      <c r="C197" s="2" t="s">
        <v>23</v>
      </c>
      <c r="D197" s="2">
        <v>3</v>
      </c>
      <c r="E197" s="6" t="s">
        <v>499</v>
      </c>
      <c r="F197" s="2" t="str">
        <f t="shared" si="18"/>
        <v>C</v>
      </c>
      <c r="G197" s="2">
        <v>4</v>
      </c>
      <c r="H197" s="2" t="str">
        <f t="shared" si="19"/>
        <v>A</v>
      </c>
      <c r="I197" s="2">
        <v>5</v>
      </c>
      <c r="J197" s="2">
        <f t="shared" si="20"/>
        <v>-1</v>
      </c>
      <c r="K197" s="2" t="str">
        <f t="shared" si="21"/>
        <v>B</v>
      </c>
      <c r="L197" s="2" t="str">
        <f t="shared" si="22"/>
        <v>A</v>
      </c>
      <c r="M197" s="2" t="s">
        <v>22</v>
      </c>
      <c r="N197" s="2">
        <f t="shared" si="23"/>
        <v>1</v>
      </c>
      <c r="O197" s="2" t="s">
        <v>26</v>
      </c>
      <c r="P197" s="2">
        <v>119</v>
      </c>
    </row>
    <row r="198" ht="23" customHeight="1" spans="1:16">
      <c r="A198" s="6" t="s">
        <v>255</v>
      </c>
      <c r="B198" s="2" t="s">
        <v>37</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22</v>
      </c>
      <c r="N198" s="2">
        <f t="shared" si="23"/>
        <v>0</v>
      </c>
      <c r="O198" s="2" t="s">
        <v>22</v>
      </c>
      <c r="P198" s="2">
        <v>118</v>
      </c>
    </row>
    <row r="199" ht="23" customHeight="1" spans="1:16">
      <c r="A199" s="6" t="s">
        <v>255</v>
      </c>
      <c r="B199" s="2" t="s">
        <v>37</v>
      </c>
      <c r="C199" s="2" t="s">
        <v>23</v>
      </c>
      <c r="D199" s="2">
        <v>4</v>
      </c>
      <c r="E199" s="6" t="s">
        <v>500</v>
      </c>
      <c r="F199" s="2" t="str">
        <f t="shared" si="18"/>
        <v>C</v>
      </c>
      <c r="G199" s="2">
        <v>5</v>
      </c>
      <c r="H199" s="2" t="str">
        <f t="shared" si="19"/>
        <v>A</v>
      </c>
      <c r="I199" s="2">
        <v>5</v>
      </c>
      <c r="J199" s="2">
        <f t="shared" si="20"/>
        <v>0</v>
      </c>
      <c r="K199" s="2" t="str">
        <f t="shared" si="21"/>
        <v>C</v>
      </c>
      <c r="L199" s="2" t="str">
        <f t="shared" si="22"/>
        <v>D(平局)</v>
      </c>
      <c r="M199" s="2" t="s">
        <v>22</v>
      </c>
      <c r="N199" s="2">
        <f t="shared" si="23"/>
        <v>0</v>
      </c>
      <c r="O199" s="2" t="s">
        <v>26</v>
      </c>
      <c r="P199" s="2">
        <v>119</v>
      </c>
    </row>
    <row r="200" ht="23" customHeight="1" spans="1:16">
      <c r="A200" s="6" t="s">
        <v>255</v>
      </c>
      <c r="B200" s="2" t="s">
        <v>37</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22</v>
      </c>
      <c r="N200" s="2">
        <f t="shared" si="23"/>
        <v>0</v>
      </c>
      <c r="O200" s="2" t="s">
        <v>22</v>
      </c>
      <c r="P200" s="2">
        <v>118</v>
      </c>
    </row>
    <row r="201" ht="23" customHeight="1" spans="1:16">
      <c r="A201" s="6" t="s">
        <v>255</v>
      </c>
      <c r="B201" s="2" t="s">
        <v>37</v>
      </c>
      <c r="C201" s="2" t="s">
        <v>23</v>
      </c>
      <c r="D201" s="2">
        <v>5</v>
      </c>
      <c r="E201" s="6" t="s">
        <v>501</v>
      </c>
      <c r="F201" s="2" t="str">
        <f t="shared" si="18"/>
        <v>C</v>
      </c>
      <c r="G201" s="2">
        <v>5</v>
      </c>
      <c r="H201" s="2" t="str">
        <f t="shared" si="19"/>
        <v>A</v>
      </c>
      <c r="I201" s="2">
        <v>5</v>
      </c>
      <c r="J201" s="2">
        <f t="shared" si="20"/>
        <v>0</v>
      </c>
      <c r="K201" s="2" t="str">
        <f t="shared" si="21"/>
        <v>C</v>
      </c>
      <c r="L201" s="2" t="str">
        <f t="shared" si="22"/>
        <v>D(平局)</v>
      </c>
      <c r="M201" s="2" t="s">
        <v>22</v>
      </c>
      <c r="N201" s="2">
        <f t="shared" si="23"/>
        <v>0</v>
      </c>
      <c r="O201" s="2" t="s">
        <v>26</v>
      </c>
      <c r="P201" s="2">
        <v>119</v>
      </c>
    </row>
    <row r="202" ht="23" customHeight="1" spans="1:16">
      <c r="A202" s="6" t="s">
        <v>255</v>
      </c>
      <c r="B202" s="2" t="s">
        <v>50</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105</v>
      </c>
      <c r="N202" s="2">
        <f t="shared" si="23"/>
        <v>0</v>
      </c>
      <c r="O202" s="2" t="s">
        <v>26</v>
      </c>
      <c r="P202" s="2">
        <v>124</v>
      </c>
    </row>
    <row r="203" ht="23" customHeight="1" spans="1:16">
      <c r="A203" s="6" t="s">
        <v>255</v>
      </c>
      <c r="B203" s="2" t="s">
        <v>50</v>
      </c>
      <c r="C203" s="2" t="s">
        <v>23</v>
      </c>
      <c r="D203" s="2">
        <v>1</v>
      </c>
      <c r="E203" s="6" t="s">
        <v>497</v>
      </c>
      <c r="F203" s="2" t="str">
        <f t="shared" si="18"/>
        <v>C</v>
      </c>
      <c r="G203" s="2">
        <v>5</v>
      </c>
      <c r="H203" s="2" t="str">
        <f t="shared" si="19"/>
        <v>B</v>
      </c>
      <c r="I203" s="2">
        <v>5</v>
      </c>
      <c r="J203" s="2">
        <f t="shared" si="20"/>
        <v>0</v>
      </c>
      <c r="K203" s="2" t="str">
        <f t="shared" si="21"/>
        <v>C</v>
      </c>
      <c r="L203" s="2" t="str">
        <f t="shared" si="22"/>
        <v>D(平局)</v>
      </c>
      <c r="M203" s="2" t="s">
        <v>105</v>
      </c>
      <c r="N203" s="2">
        <f t="shared" si="23"/>
        <v>0</v>
      </c>
      <c r="O203" s="2" t="s">
        <v>22</v>
      </c>
      <c r="P203" s="2">
        <v>125</v>
      </c>
    </row>
    <row r="204" ht="23" customHeight="1" spans="1:16">
      <c r="A204" s="6" t="s">
        <v>255</v>
      </c>
      <c r="B204" s="2" t="s">
        <v>50</v>
      </c>
      <c r="C204" s="2" t="s">
        <v>17</v>
      </c>
      <c r="D204" s="2">
        <v>2</v>
      </c>
      <c r="E204" s="6" t="s">
        <v>498</v>
      </c>
      <c r="F204" s="2" t="str">
        <f t="shared" si="18"/>
        <v>B</v>
      </c>
      <c r="G204" s="2">
        <v>3</v>
      </c>
      <c r="H204" s="2" t="str">
        <f t="shared" si="19"/>
        <v>C</v>
      </c>
      <c r="I204" s="2">
        <v>4</v>
      </c>
      <c r="J204" s="2">
        <f t="shared" si="20"/>
        <v>-1</v>
      </c>
      <c r="K204" s="2" t="str">
        <f t="shared" si="21"/>
        <v>B</v>
      </c>
      <c r="L204" s="2" t="str">
        <f t="shared" si="22"/>
        <v>C</v>
      </c>
      <c r="M204" s="2" t="s">
        <v>105</v>
      </c>
      <c r="N204" s="2">
        <f t="shared" si="23"/>
        <v>1</v>
      </c>
      <c r="O204" s="2" t="s">
        <v>26</v>
      </c>
      <c r="P204" s="2">
        <v>124</v>
      </c>
    </row>
    <row r="205" ht="23" customHeight="1" spans="1:16">
      <c r="A205" s="6" t="s">
        <v>255</v>
      </c>
      <c r="B205" s="2" t="s">
        <v>50</v>
      </c>
      <c r="C205" s="2" t="s">
        <v>23</v>
      </c>
      <c r="D205" s="2">
        <v>2</v>
      </c>
      <c r="E205" s="6" t="s">
        <v>498</v>
      </c>
      <c r="F205" s="2" t="str">
        <f t="shared" si="18"/>
        <v>C</v>
      </c>
      <c r="G205" s="2">
        <v>4</v>
      </c>
      <c r="H205" s="2" t="str">
        <f t="shared" si="19"/>
        <v>B</v>
      </c>
      <c r="I205" s="2">
        <v>3</v>
      </c>
      <c r="J205" s="2">
        <f t="shared" si="20"/>
        <v>1</v>
      </c>
      <c r="K205" s="2" t="str">
        <f t="shared" si="21"/>
        <v>A</v>
      </c>
      <c r="L205" s="2" t="str">
        <f t="shared" si="22"/>
        <v>C</v>
      </c>
      <c r="M205" s="2" t="s">
        <v>105</v>
      </c>
      <c r="N205" s="2">
        <f t="shared" si="23"/>
        <v>1</v>
      </c>
      <c r="O205" s="2" t="s">
        <v>22</v>
      </c>
      <c r="P205" s="2">
        <v>125</v>
      </c>
    </row>
    <row r="206" ht="23" customHeight="1" spans="1:16">
      <c r="A206" s="6" t="s">
        <v>255</v>
      </c>
      <c r="B206" s="2" t="s">
        <v>50</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105</v>
      </c>
      <c r="N206" s="2">
        <f t="shared" si="23"/>
        <v>0</v>
      </c>
      <c r="O206" s="2" t="s">
        <v>26</v>
      </c>
      <c r="P206" s="2">
        <v>124</v>
      </c>
    </row>
    <row r="207" ht="23" customHeight="1" spans="1:16">
      <c r="A207" s="6" t="s">
        <v>255</v>
      </c>
      <c r="B207" s="2" t="s">
        <v>50</v>
      </c>
      <c r="C207" s="2" t="s">
        <v>23</v>
      </c>
      <c r="D207" s="2">
        <v>3</v>
      </c>
      <c r="E207" s="6" t="s">
        <v>499</v>
      </c>
      <c r="F207" s="2" t="str">
        <f t="shared" si="18"/>
        <v>C</v>
      </c>
      <c r="G207" s="2">
        <v>4</v>
      </c>
      <c r="H207" s="2" t="str">
        <f t="shared" si="19"/>
        <v>B</v>
      </c>
      <c r="I207" s="2">
        <v>5</v>
      </c>
      <c r="J207" s="2">
        <f t="shared" si="20"/>
        <v>-1</v>
      </c>
      <c r="K207" s="2" t="str">
        <f t="shared" si="21"/>
        <v>B</v>
      </c>
      <c r="L207" s="2" t="str">
        <f t="shared" si="22"/>
        <v>B</v>
      </c>
      <c r="M207" s="2" t="s">
        <v>105</v>
      </c>
      <c r="N207" s="2">
        <f t="shared" si="23"/>
        <v>0</v>
      </c>
      <c r="O207" s="2" t="s">
        <v>22</v>
      </c>
      <c r="P207" s="2">
        <v>125</v>
      </c>
    </row>
    <row r="208" ht="23" customHeight="1" spans="1:16">
      <c r="A208" s="6" t="s">
        <v>255</v>
      </c>
      <c r="B208" s="2" t="s">
        <v>50</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105</v>
      </c>
      <c r="N208" s="2">
        <f t="shared" si="23"/>
        <v>0</v>
      </c>
      <c r="O208" s="2" t="s">
        <v>26</v>
      </c>
      <c r="P208" s="2">
        <v>124</v>
      </c>
    </row>
    <row r="209" ht="23" customHeight="1" spans="1:16">
      <c r="A209" s="6" t="s">
        <v>255</v>
      </c>
      <c r="B209" s="2" t="s">
        <v>50</v>
      </c>
      <c r="C209" s="2" t="s">
        <v>23</v>
      </c>
      <c r="D209" s="2">
        <v>4</v>
      </c>
      <c r="E209" s="6" t="s">
        <v>500</v>
      </c>
      <c r="F209" s="2" t="str">
        <f t="shared" si="18"/>
        <v>C</v>
      </c>
      <c r="G209" s="2">
        <v>5</v>
      </c>
      <c r="H209" s="2" t="str">
        <f t="shared" si="19"/>
        <v>B</v>
      </c>
      <c r="I209" s="2">
        <v>5</v>
      </c>
      <c r="J209" s="2">
        <f t="shared" si="20"/>
        <v>0</v>
      </c>
      <c r="K209" s="2" t="str">
        <f t="shared" si="21"/>
        <v>C</v>
      </c>
      <c r="L209" s="2" t="str">
        <f t="shared" si="22"/>
        <v>D(平局)</v>
      </c>
      <c r="M209" s="2" t="s">
        <v>105</v>
      </c>
      <c r="N209" s="2">
        <f t="shared" si="23"/>
        <v>0</v>
      </c>
      <c r="O209" s="2" t="s">
        <v>22</v>
      </c>
      <c r="P209" s="2">
        <v>125</v>
      </c>
    </row>
    <row r="210" ht="23" customHeight="1" spans="1:16">
      <c r="A210" s="6" t="s">
        <v>255</v>
      </c>
      <c r="B210" s="2" t="s">
        <v>50</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105</v>
      </c>
      <c r="N210" s="2">
        <f t="shared" si="23"/>
        <v>0</v>
      </c>
      <c r="O210" s="2" t="s">
        <v>26</v>
      </c>
      <c r="P210" s="2">
        <v>124</v>
      </c>
    </row>
    <row r="211" ht="23" customHeight="1" spans="1:16">
      <c r="A211" s="6" t="s">
        <v>255</v>
      </c>
      <c r="B211" s="2" t="s">
        <v>50</v>
      </c>
      <c r="C211" s="2" t="s">
        <v>23</v>
      </c>
      <c r="D211" s="2">
        <v>5</v>
      </c>
      <c r="E211" s="6" t="s">
        <v>501</v>
      </c>
      <c r="F211" s="2" t="str">
        <f t="shared" si="18"/>
        <v>C</v>
      </c>
      <c r="G211" s="2">
        <v>5</v>
      </c>
      <c r="H211" s="2" t="str">
        <f t="shared" si="19"/>
        <v>B</v>
      </c>
      <c r="I211" s="2">
        <v>5</v>
      </c>
      <c r="J211" s="2">
        <f t="shared" si="20"/>
        <v>0</v>
      </c>
      <c r="K211" s="2" t="str">
        <f t="shared" si="21"/>
        <v>C</v>
      </c>
      <c r="L211" s="2" t="str">
        <f t="shared" si="22"/>
        <v>D(平局)</v>
      </c>
      <c r="M211" s="2" t="s">
        <v>105</v>
      </c>
      <c r="N211" s="2">
        <f t="shared" si="23"/>
        <v>0</v>
      </c>
      <c r="O211" s="2" t="s">
        <v>22</v>
      </c>
      <c r="P211" s="2">
        <v>125</v>
      </c>
    </row>
    <row r="212" ht="23" customHeight="1" spans="1:16">
      <c r="A212" s="6" t="s">
        <v>293</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22</v>
      </c>
      <c r="N212" s="2">
        <f t="shared" si="23"/>
        <v>0</v>
      </c>
      <c r="O212" s="2" t="s">
        <v>26</v>
      </c>
      <c r="P212" s="2">
        <v>130</v>
      </c>
    </row>
    <row r="213" ht="23" customHeight="1" spans="1:16">
      <c r="A213" s="6" t="s">
        <v>293</v>
      </c>
      <c r="B213" s="2" t="s">
        <v>15</v>
      </c>
      <c r="C213" s="2" t="s">
        <v>23</v>
      </c>
      <c r="D213" s="2">
        <v>1</v>
      </c>
      <c r="E213" s="6" t="s">
        <v>497</v>
      </c>
      <c r="F213" s="2" t="str">
        <f t="shared" si="18"/>
        <v>B</v>
      </c>
      <c r="G213" s="2">
        <v>5</v>
      </c>
      <c r="H213" s="2" t="str">
        <f t="shared" si="19"/>
        <v>A</v>
      </c>
      <c r="I213" s="2">
        <v>5</v>
      </c>
      <c r="J213" s="2">
        <f t="shared" si="20"/>
        <v>0</v>
      </c>
      <c r="K213" s="2" t="str">
        <f t="shared" si="21"/>
        <v>C</v>
      </c>
      <c r="L213" s="2" t="str">
        <f t="shared" si="22"/>
        <v>D(平局)</v>
      </c>
      <c r="M213" s="2" t="s">
        <v>22</v>
      </c>
      <c r="N213" s="2">
        <f t="shared" si="23"/>
        <v>0</v>
      </c>
      <c r="O213" s="2" t="s">
        <v>105</v>
      </c>
      <c r="P213" s="2">
        <v>131</v>
      </c>
    </row>
    <row r="214" ht="23" customHeight="1" spans="1:16">
      <c r="A214" s="6" t="s">
        <v>293</v>
      </c>
      <c r="B214" s="2" t="s">
        <v>15</v>
      </c>
      <c r="C214" s="2" t="s">
        <v>17</v>
      </c>
      <c r="D214" s="2">
        <v>2</v>
      </c>
      <c r="E214" s="6" t="s">
        <v>498</v>
      </c>
      <c r="F214" s="2" t="str">
        <f t="shared" si="18"/>
        <v>A</v>
      </c>
      <c r="G214" s="2">
        <v>4</v>
      </c>
      <c r="H214" s="2" t="str">
        <f t="shared" si="19"/>
        <v>B</v>
      </c>
      <c r="I214" s="2">
        <v>5</v>
      </c>
      <c r="J214" s="2">
        <f t="shared" si="20"/>
        <v>-1</v>
      </c>
      <c r="K214" s="2" t="str">
        <f t="shared" si="21"/>
        <v>B</v>
      </c>
      <c r="L214" s="2" t="str">
        <f t="shared" si="22"/>
        <v>B</v>
      </c>
      <c r="M214" s="2" t="s">
        <v>22</v>
      </c>
      <c r="N214" s="2">
        <f t="shared" si="23"/>
        <v>0</v>
      </c>
      <c r="O214" s="2" t="s">
        <v>26</v>
      </c>
      <c r="P214" s="2">
        <v>130</v>
      </c>
    </row>
    <row r="215" ht="23" customHeight="1" spans="1:16">
      <c r="A215" s="6" t="s">
        <v>293</v>
      </c>
      <c r="B215" s="2" t="s">
        <v>15</v>
      </c>
      <c r="C215" s="2" t="s">
        <v>23</v>
      </c>
      <c r="D215" s="2">
        <v>2</v>
      </c>
      <c r="E215" s="6" t="s">
        <v>498</v>
      </c>
      <c r="F215" s="2" t="str">
        <f t="shared" si="18"/>
        <v>B</v>
      </c>
      <c r="G215" s="2">
        <v>5</v>
      </c>
      <c r="H215" s="2" t="str">
        <f t="shared" si="19"/>
        <v>A</v>
      </c>
      <c r="I215" s="2">
        <v>5</v>
      </c>
      <c r="J215" s="2">
        <f t="shared" si="20"/>
        <v>0</v>
      </c>
      <c r="K215" s="2" t="str">
        <f t="shared" si="21"/>
        <v>C</v>
      </c>
      <c r="L215" s="2" t="str">
        <f t="shared" si="22"/>
        <v>D(平局)</v>
      </c>
      <c r="M215" s="2" t="s">
        <v>22</v>
      </c>
      <c r="N215" s="2">
        <f t="shared" si="23"/>
        <v>0</v>
      </c>
      <c r="O215" s="2" t="s">
        <v>105</v>
      </c>
      <c r="P215" s="2">
        <v>131</v>
      </c>
    </row>
    <row r="216" ht="23" customHeight="1" spans="1:16">
      <c r="A216" s="6" t="s">
        <v>293</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22</v>
      </c>
      <c r="N216" s="2">
        <f t="shared" si="23"/>
        <v>0</v>
      </c>
      <c r="O216" s="2" t="s">
        <v>26</v>
      </c>
      <c r="P216" s="2">
        <v>130</v>
      </c>
    </row>
    <row r="217" ht="23" customHeight="1" spans="1:16">
      <c r="A217" s="6" t="s">
        <v>293</v>
      </c>
      <c r="B217" s="2" t="s">
        <v>15</v>
      </c>
      <c r="C217" s="2" t="s">
        <v>23</v>
      </c>
      <c r="D217" s="2">
        <v>3</v>
      </c>
      <c r="E217" s="6" t="s">
        <v>499</v>
      </c>
      <c r="F217" s="2" t="str">
        <f t="shared" si="18"/>
        <v>B</v>
      </c>
      <c r="G217" s="2">
        <v>5</v>
      </c>
      <c r="H217" s="2" t="str">
        <f t="shared" si="19"/>
        <v>A</v>
      </c>
      <c r="I217" s="2">
        <v>5</v>
      </c>
      <c r="J217" s="2">
        <f t="shared" si="20"/>
        <v>0</v>
      </c>
      <c r="K217" s="2" t="str">
        <f t="shared" si="21"/>
        <v>C</v>
      </c>
      <c r="L217" s="2" t="str">
        <f t="shared" si="22"/>
        <v>D(平局)</v>
      </c>
      <c r="M217" s="2" t="s">
        <v>22</v>
      </c>
      <c r="N217" s="2">
        <f t="shared" si="23"/>
        <v>0</v>
      </c>
      <c r="O217" s="2" t="s">
        <v>105</v>
      </c>
      <c r="P217" s="2">
        <v>131</v>
      </c>
    </row>
    <row r="218" ht="23" customHeight="1" spans="1:16">
      <c r="A218" s="6" t="s">
        <v>293</v>
      </c>
      <c r="B218" s="2" t="s">
        <v>15</v>
      </c>
      <c r="C218" s="2" t="s">
        <v>17</v>
      </c>
      <c r="D218" s="2">
        <v>4</v>
      </c>
      <c r="E218" s="6" t="s">
        <v>500</v>
      </c>
      <c r="F218" s="2" t="str">
        <f t="shared" si="18"/>
        <v>A</v>
      </c>
      <c r="G218" s="2">
        <v>5</v>
      </c>
      <c r="H218" s="2" t="str">
        <f t="shared" si="19"/>
        <v>B</v>
      </c>
      <c r="I218" s="2">
        <v>5</v>
      </c>
      <c r="J218" s="2">
        <f t="shared" si="20"/>
        <v>0</v>
      </c>
      <c r="K218" s="2" t="str">
        <f t="shared" si="21"/>
        <v>C</v>
      </c>
      <c r="L218" s="2" t="str">
        <f t="shared" si="22"/>
        <v>D(平局)</v>
      </c>
      <c r="M218" s="2" t="s">
        <v>22</v>
      </c>
      <c r="N218" s="2">
        <f t="shared" si="23"/>
        <v>0</v>
      </c>
      <c r="O218" s="2" t="s">
        <v>26</v>
      </c>
      <c r="P218" s="2">
        <v>130</v>
      </c>
    </row>
    <row r="219" ht="23" customHeight="1" spans="1:16">
      <c r="A219" s="6" t="s">
        <v>293</v>
      </c>
      <c r="B219" s="2" t="s">
        <v>15</v>
      </c>
      <c r="C219" s="2" t="s">
        <v>23</v>
      </c>
      <c r="D219" s="2">
        <v>4</v>
      </c>
      <c r="E219" s="6" t="s">
        <v>500</v>
      </c>
      <c r="F219" s="2" t="str">
        <f t="shared" si="18"/>
        <v>B</v>
      </c>
      <c r="G219" s="2">
        <v>5</v>
      </c>
      <c r="H219" s="2" t="str">
        <f t="shared" si="19"/>
        <v>A</v>
      </c>
      <c r="I219" s="2">
        <v>5</v>
      </c>
      <c r="J219" s="2">
        <f t="shared" si="20"/>
        <v>0</v>
      </c>
      <c r="K219" s="2" t="str">
        <f t="shared" si="21"/>
        <v>C</v>
      </c>
      <c r="L219" s="2" t="str">
        <f t="shared" si="22"/>
        <v>D(平局)</v>
      </c>
      <c r="M219" s="2" t="s">
        <v>22</v>
      </c>
      <c r="N219" s="2">
        <f t="shared" si="23"/>
        <v>0</v>
      </c>
      <c r="O219" s="2" t="s">
        <v>105</v>
      </c>
      <c r="P219" s="2">
        <v>131</v>
      </c>
    </row>
    <row r="220" ht="23" customHeight="1" spans="1:16">
      <c r="A220" s="6" t="s">
        <v>293</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22</v>
      </c>
      <c r="N220" s="2">
        <f t="shared" si="23"/>
        <v>0</v>
      </c>
      <c r="O220" s="2" t="s">
        <v>26</v>
      </c>
      <c r="P220" s="2">
        <v>130</v>
      </c>
    </row>
    <row r="221" ht="23" customHeight="1" spans="1:16">
      <c r="A221" s="6" t="s">
        <v>293</v>
      </c>
      <c r="B221" s="2" t="s">
        <v>15</v>
      </c>
      <c r="C221" s="2" t="s">
        <v>23</v>
      </c>
      <c r="D221" s="2">
        <v>5</v>
      </c>
      <c r="E221" s="6" t="s">
        <v>501</v>
      </c>
      <c r="F221" s="2" t="str">
        <f t="shared" si="18"/>
        <v>B</v>
      </c>
      <c r="G221" s="2">
        <v>5</v>
      </c>
      <c r="H221" s="2" t="str">
        <f t="shared" si="19"/>
        <v>A</v>
      </c>
      <c r="I221" s="2">
        <v>5</v>
      </c>
      <c r="J221" s="2">
        <f t="shared" si="20"/>
        <v>0</v>
      </c>
      <c r="K221" s="2" t="str">
        <f t="shared" si="21"/>
        <v>C</v>
      </c>
      <c r="L221" s="2" t="str">
        <f t="shared" si="22"/>
        <v>D(平局)</v>
      </c>
      <c r="M221" s="2" t="s">
        <v>22</v>
      </c>
      <c r="N221" s="2">
        <f t="shared" si="23"/>
        <v>0</v>
      </c>
      <c r="O221" s="2" t="s">
        <v>105</v>
      </c>
      <c r="P221" s="2">
        <v>131</v>
      </c>
    </row>
    <row r="222" ht="23" customHeight="1" spans="1:16">
      <c r="A222" s="6" t="s">
        <v>293</v>
      </c>
      <c r="B222" s="2" t="s">
        <v>37</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22</v>
      </c>
      <c r="N222" s="2">
        <f t="shared" si="23"/>
        <v>1</v>
      </c>
      <c r="O222" s="2" t="s">
        <v>22</v>
      </c>
      <c r="P222" s="2">
        <v>136</v>
      </c>
    </row>
    <row r="223" ht="23" customHeight="1" spans="1:16">
      <c r="A223" s="6" t="s">
        <v>293</v>
      </c>
      <c r="B223" s="2" t="s">
        <v>37</v>
      </c>
      <c r="C223" s="2" t="s">
        <v>23</v>
      </c>
      <c r="D223" s="2">
        <v>1</v>
      </c>
      <c r="E223" s="6" t="s">
        <v>497</v>
      </c>
      <c r="F223" s="2" t="str">
        <f t="shared" si="18"/>
        <v>C</v>
      </c>
      <c r="G223" s="2">
        <v>5</v>
      </c>
      <c r="H223" s="2" t="str">
        <f t="shared" si="19"/>
        <v>A</v>
      </c>
      <c r="I223" s="2">
        <v>5</v>
      </c>
      <c r="J223" s="2">
        <f t="shared" si="20"/>
        <v>0</v>
      </c>
      <c r="K223" s="2" t="str">
        <f t="shared" si="21"/>
        <v>C</v>
      </c>
      <c r="L223" s="2" t="str">
        <f t="shared" si="22"/>
        <v>D(平局)</v>
      </c>
      <c r="M223" s="2" t="s">
        <v>22</v>
      </c>
      <c r="N223" s="2">
        <f t="shared" si="23"/>
        <v>0</v>
      </c>
      <c r="O223" s="2" t="s">
        <v>26</v>
      </c>
      <c r="P223" s="2">
        <v>137</v>
      </c>
    </row>
    <row r="224" ht="23" customHeight="1" spans="1:16">
      <c r="A224" s="6" t="s">
        <v>293</v>
      </c>
      <c r="B224" s="2" t="s">
        <v>37</v>
      </c>
      <c r="C224" s="2" t="s">
        <v>17</v>
      </c>
      <c r="D224" s="2">
        <v>2</v>
      </c>
      <c r="E224" s="6" t="s">
        <v>498</v>
      </c>
      <c r="F224" s="2" t="str">
        <f t="shared" si="18"/>
        <v>A</v>
      </c>
      <c r="G224" s="2">
        <v>5</v>
      </c>
      <c r="H224" s="2" t="str">
        <f t="shared" si="19"/>
        <v>C</v>
      </c>
      <c r="I224" s="2">
        <v>2</v>
      </c>
      <c r="J224" s="2">
        <f t="shared" si="20"/>
        <v>3</v>
      </c>
      <c r="K224" s="2" t="str">
        <f t="shared" si="21"/>
        <v>A</v>
      </c>
      <c r="L224" s="2" t="str">
        <f t="shared" si="22"/>
        <v>A</v>
      </c>
      <c r="M224" s="2" t="s">
        <v>22</v>
      </c>
      <c r="N224" s="2">
        <f t="shared" si="23"/>
        <v>1</v>
      </c>
      <c r="O224" s="2" t="s">
        <v>22</v>
      </c>
      <c r="P224" s="2">
        <v>136</v>
      </c>
    </row>
    <row r="225" ht="23" customHeight="1" spans="1:16">
      <c r="A225" s="6" t="s">
        <v>293</v>
      </c>
      <c r="B225" s="2" t="s">
        <v>37</v>
      </c>
      <c r="C225" s="2" t="s">
        <v>23</v>
      </c>
      <c r="D225" s="2">
        <v>2</v>
      </c>
      <c r="E225" s="6" t="s">
        <v>498</v>
      </c>
      <c r="F225" s="2" t="str">
        <f t="shared" si="18"/>
        <v>C</v>
      </c>
      <c r="G225" s="2">
        <v>2</v>
      </c>
      <c r="H225" s="2" t="str">
        <f t="shared" si="19"/>
        <v>A</v>
      </c>
      <c r="I225" s="2">
        <v>4</v>
      </c>
      <c r="J225" s="2">
        <f t="shared" si="20"/>
        <v>-2</v>
      </c>
      <c r="K225" s="2" t="str">
        <f t="shared" si="21"/>
        <v>B</v>
      </c>
      <c r="L225" s="2" t="str">
        <f t="shared" si="22"/>
        <v>A</v>
      </c>
      <c r="M225" s="2" t="s">
        <v>22</v>
      </c>
      <c r="N225" s="2">
        <f t="shared" si="23"/>
        <v>1</v>
      </c>
      <c r="O225" s="2" t="s">
        <v>26</v>
      </c>
      <c r="P225" s="2">
        <v>137</v>
      </c>
    </row>
    <row r="226" ht="23" customHeight="1" spans="1:16">
      <c r="A226" s="6" t="s">
        <v>293</v>
      </c>
      <c r="B226" s="2" t="s">
        <v>37</v>
      </c>
      <c r="C226" s="2" t="s">
        <v>17</v>
      </c>
      <c r="D226" s="2">
        <v>3</v>
      </c>
      <c r="E226" s="6" t="s">
        <v>499</v>
      </c>
      <c r="F226" s="2" t="str">
        <f t="shared" si="18"/>
        <v>A</v>
      </c>
      <c r="G226" s="2">
        <v>5</v>
      </c>
      <c r="H226" s="2" t="str">
        <f t="shared" si="19"/>
        <v>C</v>
      </c>
      <c r="I226" s="2">
        <v>4</v>
      </c>
      <c r="J226" s="2">
        <f t="shared" si="20"/>
        <v>1</v>
      </c>
      <c r="K226" s="2" t="str">
        <f t="shared" si="21"/>
        <v>A</v>
      </c>
      <c r="L226" s="2" t="str">
        <f t="shared" si="22"/>
        <v>A</v>
      </c>
      <c r="M226" s="2" t="s">
        <v>22</v>
      </c>
      <c r="N226" s="2">
        <f t="shared" si="23"/>
        <v>1</v>
      </c>
      <c r="O226" s="2" t="s">
        <v>22</v>
      </c>
      <c r="P226" s="2">
        <v>136</v>
      </c>
    </row>
    <row r="227" ht="23" customHeight="1" spans="1:16">
      <c r="A227" s="6" t="s">
        <v>293</v>
      </c>
      <c r="B227" s="2" t="s">
        <v>37</v>
      </c>
      <c r="C227" s="2" t="s">
        <v>23</v>
      </c>
      <c r="D227" s="2">
        <v>3</v>
      </c>
      <c r="E227" s="6" t="s">
        <v>499</v>
      </c>
      <c r="F227" s="2" t="str">
        <f t="shared" si="18"/>
        <v>C</v>
      </c>
      <c r="G227" s="2">
        <v>4</v>
      </c>
      <c r="H227" s="2" t="str">
        <f t="shared" si="19"/>
        <v>A</v>
      </c>
      <c r="I227" s="2">
        <v>5</v>
      </c>
      <c r="J227" s="2">
        <f t="shared" si="20"/>
        <v>-1</v>
      </c>
      <c r="K227" s="2" t="str">
        <f t="shared" si="21"/>
        <v>B</v>
      </c>
      <c r="L227" s="2" t="str">
        <f t="shared" si="22"/>
        <v>A</v>
      </c>
      <c r="M227" s="2" t="s">
        <v>22</v>
      </c>
      <c r="N227" s="2">
        <f t="shared" si="23"/>
        <v>1</v>
      </c>
      <c r="O227" s="2" t="s">
        <v>26</v>
      </c>
      <c r="P227" s="2">
        <v>137</v>
      </c>
    </row>
    <row r="228" ht="23" customHeight="1" spans="1:16">
      <c r="A228" s="6" t="s">
        <v>293</v>
      </c>
      <c r="B228" s="2" t="s">
        <v>37</v>
      </c>
      <c r="C228" s="2" t="s">
        <v>17</v>
      </c>
      <c r="D228" s="2">
        <v>4</v>
      </c>
      <c r="E228" s="6" t="s">
        <v>500</v>
      </c>
      <c r="F228" s="2" t="str">
        <f t="shared" si="18"/>
        <v>A</v>
      </c>
      <c r="G228" s="2">
        <v>5</v>
      </c>
      <c r="H228" s="2" t="str">
        <f t="shared" si="19"/>
        <v>C</v>
      </c>
      <c r="I228" s="2">
        <v>5</v>
      </c>
      <c r="J228" s="2">
        <f t="shared" si="20"/>
        <v>0</v>
      </c>
      <c r="K228" s="2" t="str">
        <f t="shared" si="21"/>
        <v>C</v>
      </c>
      <c r="L228" s="2" t="str">
        <f t="shared" si="22"/>
        <v>D(平局)</v>
      </c>
      <c r="M228" s="2" t="s">
        <v>22</v>
      </c>
      <c r="N228" s="2">
        <f t="shared" si="23"/>
        <v>0</v>
      </c>
      <c r="O228" s="2" t="s">
        <v>22</v>
      </c>
      <c r="P228" s="2">
        <v>136</v>
      </c>
    </row>
    <row r="229" ht="23" customHeight="1" spans="1:16">
      <c r="A229" s="6" t="s">
        <v>293</v>
      </c>
      <c r="B229" s="2" t="s">
        <v>37</v>
      </c>
      <c r="C229" s="2" t="s">
        <v>23</v>
      </c>
      <c r="D229" s="2">
        <v>4</v>
      </c>
      <c r="E229" s="6" t="s">
        <v>500</v>
      </c>
      <c r="F229" s="2" t="str">
        <f t="shared" si="18"/>
        <v>C</v>
      </c>
      <c r="G229" s="2">
        <v>5</v>
      </c>
      <c r="H229" s="2" t="str">
        <f t="shared" si="19"/>
        <v>A</v>
      </c>
      <c r="I229" s="2">
        <v>5</v>
      </c>
      <c r="J229" s="2">
        <f t="shared" si="20"/>
        <v>0</v>
      </c>
      <c r="K229" s="2" t="str">
        <f t="shared" si="21"/>
        <v>C</v>
      </c>
      <c r="L229" s="2" t="str">
        <f t="shared" si="22"/>
        <v>D(平局)</v>
      </c>
      <c r="M229" s="2" t="s">
        <v>22</v>
      </c>
      <c r="N229" s="2">
        <f t="shared" si="23"/>
        <v>0</v>
      </c>
      <c r="O229" s="2" t="s">
        <v>26</v>
      </c>
      <c r="P229" s="2">
        <v>137</v>
      </c>
    </row>
    <row r="230" ht="23" customHeight="1" spans="1:16">
      <c r="A230" s="6" t="s">
        <v>293</v>
      </c>
      <c r="B230" s="2" t="s">
        <v>37</v>
      </c>
      <c r="C230" s="2" t="s">
        <v>17</v>
      </c>
      <c r="D230" s="2">
        <v>5</v>
      </c>
      <c r="E230" s="6" t="s">
        <v>501</v>
      </c>
      <c r="F230" s="2" t="str">
        <f t="shared" si="18"/>
        <v>A</v>
      </c>
      <c r="G230" s="2">
        <v>5</v>
      </c>
      <c r="H230" s="2" t="str">
        <f t="shared" si="19"/>
        <v>C</v>
      </c>
      <c r="I230" s="2">
        <v>3</v>
      </c>
      <c r="J230" s="2">
        <f t="shared" si="20"/>
        <v>2</v>
      </c>
      <c r="K230" s="2" t="str">
        <f t="shared" si="21"/>
        <v>A</v>
      </c>
      <c r="L230" s="2" t="str">
        <f t="shared" si="22"/>
        <v>A</v>
      </c>
      <c r="M230" s="2" t="s">
        <v>22</v>
      </c>
      <c r="N230" s="2">
        <f t="shared" si="23"/>
        <v>1</v>
      </c>
      <c r="O230" s="2" t="s">
        <v>22</v>
      </c>
      <c r="P230" s="2">
        <v>136</v>
      </c>
    </row>
    <row r="231" ht="23" customHeight="1" spans="1:16">
      <c r="A231" s="6" t="s">
        <v>293</v>
      </c>
      <c r="B231" s="2" t="s">
        <v>37</v>
      </c>
      <c r="C231" s="2" t="s">
        <v>23</v>
      </c>
      <c r="D231" s="2">
        <v>5</v>
      </c>
      <c r="E231" s="6" t="s">
        <v>501</v>
      </c>
      <c r="F231" s="2" t="str">
        <f t="shared" si="18"/>
        <v>C</v>
      </c>
      <c r="G231" s="2">
        <v>4</v>
      </c>
      <c r="H231" s="2" t="str">
        <f t="shared" si="19"/>
        <v>A</v>
      </c>
      <c r="I231" s="2">
        <v>5</v>
      </c>
      <c r="J231" s="2">
        <f t="shared" si="20"/>
        <v>-1</v>
      </c>
      <c r="K231" s="2" t="str">
        <f t="shared" si="21"/>
        <v>B</v>
      </c>
      <c r="L231" s="2" t="str">
        <f t="shared" si="22"/>
        <v>A</v>
      </c>
      <c r="M231" s="2" t="s">
        <v>22</v>
      </c>
      <c r="N231" s="2">
        <f t="shared" si="23"/>
        <v>1</v>
      </c>
      <c r="O231" s="2" t="s">
        <v>26</v>
      </c>
      <c r="P231" s="2">
        <v>137</v>
      </c>
    </row>
    <row r="232" ht="23" customHeight="1" spans="1:16">
      <c r="A232" s="6" t="s">
        <v>293</v>
      </c>
      <c r="B232" s="2" t="s">
        <v>50</v>
      </c>
      <c r="C232" s="2" t="s">
        <v>17</v>
      </c>
      <c r="D232" s="2">
        <v>1</v>
      </c>
      <c r="E232" s="6" t="s">
        <v>497</v>
      </c>
      <c r="F232" s="2" t="str">
        <f t="shared" si="18"/>
        <v>B</v>
      </c>
      <c r="G232" s="2">
        <v>5</v>
      </c>
      <c r="H232" s="2" t="str">
        <f t="shared" si="19"/>
        <v>C</v>
      </c>
      <c r="I232" s="2">
        <v>5</v>
      </c>
      <c r="J232" s="2">
        <f t="shared" si="20"/>
        <v>0</v>
      </c>
      <c r="K232" s="2" t="str">
        <f t="shared" si="21"/>
        <v>C</v>
      </c>
      <c r="L232" s="2" t="str">
        <f t="shared" si="22"/>
        <v>D(平局)</v>
      </c>
      <c r="M232" s="2" t="s">
        <v>26</v>
      </c>
      <c r="N232" s="2">
        <f t="shared" si="23"/>
        <v>0</v>
      </c>
      <c r="O232" s="2" t="s">
        <v>22</v>
      </c>
      <c r="P232" s="2">
        <v>142</v>
      </c>
    </row>
    <row r="233" ht="23" customHeight="1" spans="1:16">
      <c r="A233" s="6" t="s">
        <v>293</v>
      </c>
      <c r="B233" s="2" t="s">
        <v>50</v>
      </c>
      <c r="C233" s="2" t="s">
        <v>23</v>
      </c>
      <c r="D233" s="2">
        <v>1</v>
      </c>
      <c r="E233" s="6" t="s">
        <v>497</v>
      </c>
      <c r="F233" s="2" t="str">
        <f t="shared" si="18"/>
        <v>C</v>
      </c>
      <c r="G233" s="2">
        <v>5</v>
      </c>
      <c r="H233" s="2" t="str">
        <f t="shared" si="19"/>
        <v>B</v>
      </c>
      <c r="I233" s="2">
        <v>5</v>
      </c>
      <c r="J233" s="2">
        <f t="shared" si="20"/>
        <v>0</v>
      </c>
      <c r="K233" s="2" t="str">
        <f t="shared" si="21"/>
        <v>C</v>
      </c>
      <c r="L233" s="2" t="str">
        <f t="shared" si="22"/>
        <v>D(平局)</v>
      </c>
      <c r="M233" s="2" t="s">
        <v>26</v>
      </c>
      <c r="N233" s="2">
        <f t="shared" si="23"/>
        <v>0</v>
      </c>
      <c r="O233" s="2" t="s">
        <v>26</v>
      </c>
      <c r="P233" s="2">
        <v>143</v>
      </c>
    </row>
    <row r="234" ht="23" customHeight="1" spans="1:16">
      <c r="A234" s="6" t="s">
        <v>293</v>
      </c>
      <c r="B234" s="2" t="s">
        <v>50</v>
      </c>
      <c r="C234" s="2" t="s">
        <v>17</v>
      </c>
      <c r="D234" s="2">
        <v>2</v>
      </c>
      <c r="E234" s="6" t="s">
        <v>498</v>
      </c>
      <c r="F234" s="2" t="str">
        <f t="shared" si="18"/>
        <v>B</v>
      </c>
      <c r="G234" s="2">
        <v>5</v>
      </c>
      <c r="H234" s="2" t="str">
        <f t="shared" si="19"/>
        <v>C</v>
      </c>
      <c r="I234" s="2">
        <v>2</v>
      </c>
      <c r="J234" s="2">
        <f t="shared" si="20"/>
        <v>3</v>
      </c>
      <c r="K234" s="2" t="str">
        <f t="shared" si="21"/>
        <v>A</v>
      </c>
      <c r="L234" s="2" t="str">
        <f t="shared" si="22"/>
        <v>B</v>
      </c>
      <c r="M234" s="2" t="s">
        <v>26</v>
      </c>
      <c r="N234" s="2">
        <f t="shared" si="23"/>
        <v>1</v>
      </c>
      <c r="O234" s="2" t="s">
        <v>22</v>
      </c>
      <c r="P234" s="2">
        <v>142</v>
      </c>
    </row>
    <row r="235" ht="23" customHeight="1" spans="1:16">
      <c r="A235" s="6" t="s">
        <v>293</v>
      </c>
      <c r="B235" s="2" t="s">
        <v>50</v>
      </c>
      <c r="C235" s="2" t="s">
        <v>23</v>
      </c>
      <c r="D235" s="2">
        <v>2</v>
      </c>
      <c r="E235" s="6" t="s">
        <v>498</v>
      </c>
      <c r="F235" s="2" t="str">
        <f t="shared" si="18"/>
        <v>C</v>
      </c>
      <c r="G235" s="2">
        <v>2</v>
      </c>
      <c r="H235" s="2" t="str">
        <f t="shared" si="19"/>
        <v>B</v>
      </c>
      <c r="I235" s="2">
        <v>5</v>
      </c>
      <c r="J235" s="2">
        <f t="shared" si="20"/>
        <v>-3</v>
      </c>
      <c r="K235" s="2" t="str">
        <f t="shared" si="21"/>
        <v>B</v>
      </c>
      <c r="L235" s="2" t="str">
        <f t="shared" si="22"/>
        <v>B</v>
      </c>
      <c r="M235" s="2" t="s">
        <v>26</v>
      </c>
      <c r="N235" s="2">
        <f t="shared" si="23"/>
        <v>1</v>
      </c>
      <c r="O235" s="2" t="s">
        <v>26</v>
      </c>
      <c r="P235" s="2">
        <v>143</v>
      </c>
    </row>
    <row r="236" ht="23" customHeight="1" spans="1:16">
      <c r="A236" s="6" t="s">
        <v>293</v>
      </c>
      <c r="B236" s="2" t="s">
        <v>50</v>
      </c>
      <c r="C236" s="2" t="s">
        <v>17</v>
      </c>
      <c r="D236" s="2">
        <v>3</v>
      </c>
      <c r="E236" s="6" t="s">
        <v>499</v>
      </c>
      <c r="F236" s="2" t="str">
        <f t="shared" si="18"/>
        <v>B</v>
      </c>
      <c r="G236" s="2">
        <v>5</v>
      </c>
      <c r="H236" s="2" t="str">
        <f t="shared" si="19"/>
        <v>C</v>
      </c>
      <c r="I236" s="2">
        <v>4</v>
      </c>
      <c r="J236" s="2">
        <f t="shared" si="20"/>
        <v>1</v>
      </c>
      <c r="K236" s="2" t="str">
        <f t="shared" si="21"/>
        <v>A</v>
      </c>
      <c r="L236" s="2" t="str">
        <f t="shared" si="22"/>
        <v>B</v>
      </c>
      <c r="M236" s="2" t="s">
        <v>26</v>
      </c>
      <c r="N236" s="2">
        <f t="shared" si="23"/>
        <v>1</v>
      </c>
      <c r="O236" s="2" t="s">
        <v>22</v>
      </c>
      <c r="P236" s="2">
        <v>142</v>
      </c>
    </row>
    <row r="237" ht="23" customHeight="1" spans="1:16">
      <c r="A237" s="6" t="s">
        <v>293</v>
      </c>
      <c r="B237" s="2" t="s">
        <v>50</v>
      </c>
      <c r="C237" s="2" t="s">
        <v>23</v>
      </c>
      <c r="D237" s="2">
        <v>3</v>
      </c>
      <c r="E237" s="6" t="s">
        <v>499</v>
      </c>
      <c r="F237" s="2" t="str">
        <f t="shared" si="18"/>
        <v>C</v>
      </c>
      <c r="G237" s="2">
        <v>4</v>
      </c>
      <c r="H237" s="2" t="str">
        <f t="shared" si="19"/>
        <v>B</v>
      </c>
      <c r="I237" s="2">
        <v>5</v>
      </c>
      <c r="J237" s="2">
        <f t="shared" si="20"/>
        <v>-1</v>
      </c>
      <c r="K237" s="2" t="str">
        <f t="shared" si="21"/>
        <v>B</v>
      </c>
      <c r="L237" s="2" t="str">
        <f t="shared" si="22"/>
        <v>B</v>
      </c>
      <c r="M237" s="2" t="s">
        <v>26</v>
      </c>
      <c r="N237" s="2">
        <f t="shared" si="23"/>
        <v>1</v>
      </c>
      <c r="O237" s="2" t="s">
        <v>26</v>
      </c>
      <c r="P237" s="2">
        <v>143</v>
      </c>
    </row>
    <row r="238" ht="23" customHeight="1" spans="1:16">
      <c r="A238" s="6" t="s">
        <v>293</v>
      </c>
      <c r="B238" s="2" t="s">
        <v>50</v>
      </c>
      <c r="C238" s="2" t="s">
        <v>17</v>
      </c>
      <c r="D238" s="2">
        <v>4</v>
      </c>
      <c r="E238" s="6" t="s">
        <v>500</v>
      </c>
      <c r="F238" s="2" t="str">
        <f t="shared" si="18"/>
        <v>B</v>
      </c>
      <c r="G238" s="2">
        <v>5</v>
      </c>
      <c r="H238" s="2" t="str">
        <f t="shared" si="19"/>
        <v>C</v>
      </c>
      <c r="I238" s="2">
        <v>5</v>
      </c>
      <c r="J238" s="2">
        <f t="shared" si="20"/>
        <v>0</v>
      </c>
      <c r="K238" s="2" t="str">
        <f t="shared" si="21"/>
        <v>C</v>
      </c>
      <c r="L238" s="2" t="str">
        <f t="shared" si="22"/>
        <v>D(平局)</v>
      </c>
      <c r="M238" s="2" t="s">
        <v>26</v>
      </c>
      <c r="N238" s="2">
        <f t="shared" si="23"/>
        <v>0</v>
      </c>
      <c r="O238" s="2" t="s">
        <v>22</v>
      </c>
      <c r="P238" s="2">
        <v>142</v>
      </c>
    </row>
    <row r="239" ht="23" customHeight="1" spans="1:16">
      <c r="A239" s="6" t="s">
        <v>293</v>
      </c>
      <c r="B239" s="2" t="s">
        <v>50</v>
      </c>
      <c r="C239" s="2" t="s">
        <v>23</v>
      </c>
      <c r="D239" s="2">
        <v>4</v>
      </c>
      <c r="E239" s="6" t="s">
        <v>500</v>
      </c>
      <c r="F239" s="2" t="str">
        <f t="shared" si="18"/>
        <v>C</v>
      </c>
      <c r="G239" s="2">
        <v>5</v>
      </c>
      <c r="H239" s="2" t="str">
        <f t="shared" si="19"/>
        <v>B</v>
      </c>
      <c r="I239" s="2">
        <v>5</v>
      </c>
      <c r="J239" s="2">
        <f t="shared" si="20"/>
        <v>0</v>
      </c>
      <c r="K239" s="2" t="str">
        <f t="shared" si="21"/>
        <v>C</v>
      </c>
      <c r="L239" s="2" t="str">
        <f t="shared" si="22"/>
        <v>D(平局)</v>
      </c>
      <c r="M239" s="2" t="s">
        <v>26</v>
      </c>
      <c r="N239" s="2">
        <f t="shared" si="23"/>
        <v>0</v>
      </c>
      <c r="O239" s="2" t="s">
        <v>26</v>
      </c>
      <c r="P239" s="2">
        <v>143</v>
      </c>
    </row>
    <row r="240" ht="23" customHeight="1" spans="1:16">
      <c r="A240" s="6" t="s">
        <v>293</v>
      </c>
      <c r="B240" s="2" t="s">
        <v>50</v>
      </c>
      <c r="C240" s="2" t="s">
        <v>17</v>
      </c>
      <c r="D240" s="2">
        <v>5</v>
      </c>
      <c r="E240" s="6" t="s">
        <v>501</v>
      </c>
      <c r="F240" s="2" t="str">
        <f t="shared" si="18"/>
        <v>B</v>
      </c>
      <c r="G240" s="2">
        <v>5</v>
      </c>
      <c r="H240" s="2" t="str">
        <f t="shared" si="19"/>
        <v>C</v>
      </c>
      <c r="I240" s="2">
        <v>4</v>
      </c>
      <c r="J240" s="2">
        <f t="shared" si="20"/>
        <v>1</v>
      </c>
      <c r="K240" s="2" t="str">
        <f t="shared" si="21"/>
        <v>A</v>
      </c>
      <c r="L240" s="2" t="str">
        <f t="shared" si="22"/>
        <v>B</v>
      </c>
      <c r="M240" s="2" t="s">
        <v>26</v>
      </c>
      <c r="N240" s="2">
        <f t="shared" si="23"/>
        <v>1</v>
      </c>
      <c r="O240" s="2" t="s">
        <v>22</v>
      </c>
      <c r="P240" s="2">
        <v>142</v>
      </c>
    </row>
    <row r="241" ht="23" customHeight="1" spans="1:16">
      <c r="A241" s="6" t="s">
        <v>293</v>
      </c>
      <c r="B241" s="2" t="s">
        <v>50</v>
      </c>
      <c r="C241" s="2" t="s">
        <v>23</v>
      </c>
      <c r="D241" s="2">
        <v>5</v>
      </c>
      <c r="E241" s="6" t="s">
        <v>501</v>
      </c>
      <c r="F241" s="2" t="str">
        <f t="shared" si="18"/>
        <v>C</v>
      </c>
      <c r="G241" s="2">
        <v>3</v>
      </c>
      <c r="H241" s="2" t="str">
        <f t="shared" si="19"/>
        <v>B</v>
      </c>
      <c r="I241" s="2">
        <v>5</v>
      </c>
      <c r="J241" s="2">
        <f t="shared" si="20"/>
        <v>-2</v>
      </c>
      <c r="K241" s="2" t="str">
        <f t="shared" si="21"/>
        <v>B</v>
      </c>
      <c r="L241" s="2" t="str">
        <f t="shared" si="22"/>
        <v>B</v>
      </c>
      <c r="M241" s="2" t="s">
        <v>26</v>
      </c>
      <c r="N241" s="2">
        <f t="shared" si="23"/>
        <v>1</v>
      </c>
      <c r="O241" s="2" t="s">
        <v>26</v>
      </c>
      <c r="P241" s="2">
        <v>143</v>
      </c>
    </row>
    <row r="242" ht="23" customHeight="1" spans="1:16">
      <c r="A242" s="6" t="s">
        <v>331</v>
      </c>
      <c r="B242" s="2" t="s">
        <v>15</v>
      </c>
      <c r="C242" s="2" t="s">
        <v>17</v>
      </c>
      <c r="D242" s="2">
        <v>1</v>
      </c>
      <c r="E242" s="6" t="s">
        <v>497</v>
      </c>
      <c r="F242" s="2" t="str">
        <f t="shared" si="18"/>
        <v>A</v>
      </c>
      <c r="G242" s="2">
        <v>4</v>
      </c>
      <c r="H242" s="2" t="str">
        <f t="shared" si="19"/>
        <v>B</v>
      </c>
      <c r="I242" s="2">
        <v>5</v>
      </c>
      <c r="J242" s="2">
        <f t="shared" si="20"/>
        <v>-1</v>
      </c>
      <c r="K242" s="2" t="str">
        <f t="shared" si="21"/>
        <v>B</v>
      </c>
      <c r="L242" s="2" t="str">
        <f t="shared" si="22"/>
        <v>B</v>
      </c>
      <c r="M242" s="2" t="s">
        <v>106</v>
      </c>
      <c r="N242" s="2">
        <f t="shared" si="23"/>
        <v>0</v>
      </c>
      <c r="O242" s="2" t="s">
        <v>26</v>
      </c>
      <c r="P242" s="2">
        <v>148</v>
      </c>
    </row>
    <row r="243" ht="23" customHeight="1" spans="1:16">
      <c r="A243" s="6" t="s">
        <v>331</v>
      </c>
      <c r="B243" s="2" t="s">
        <v>15</v>
      </c>
      <c r="C243" s="2" t="s">
        <v>23</v>
      </c>
      <c r="D243" s="2">
        <v>1</v>
      </c>
      <c r="E243" s="6" t="s">
        <v>497</v>
      </c>
      <c r="F243" s="2" t="str">
        <f t="shared" si="18"/>
        <v>B</v>
      </c>
      <c r="G243" s="2">
        <v>5</v>
      </c>
      <c r="H243" s="2" t="str">
        <f t="shared" si="19"/>
        <v>A</v>
      </c>
      <c r="I243" s="2">
        <v>4</v>
      </c>
      <c r="J243" s="2">
        <f t="shared" si="20"/>
        <v>1</v>
      </c>
      <c r="K243" s="2" t="str">
        <f t="shared" si="21"/>
        <v>A</v>
      </c>
      <c r="L243" s="2" t="str">
        <f t="shared" si="22"/>
        <v>B</v>
      </c>
      <c r="M243" s="2" t="s">
        <v>106</v>
      </c>
      <c r="N243" s="2">
        <f t="shared" si="23"/>
        <v>0</v>
      </c>
      <c r="O243" s="2" t="s">
        <v>22</v>
      </c>
      <c r="P243" s="2">
        <v>149</v>
      </c>
    </row>
    <row r="244" ht="23" customHeight="1" spans="1:16">
      <c r="A244" s="6" t="s">
        <v>331</v>
      </c>
      <c r="B244" s="2" t="s">
        <v>15</v>
      </c>
      <c r="C244" s="2" t="s">
        <v>17</v>
      </c>
      <c r="D244" s="2">
        <v>2</v>
      </c>
      <c r="E244" s="6" t="s">
        <v>498</v>
      </c>
      <c r="F244" s="2" t="str">
        <f t="shared" si="18"/>
        <v>A</v>
      </c>
      <c r="G244" s="2">
        <v>4</v>
      </c>
      <c r="H244" s="2" t="str">
        <f t="shared" si="19"/>
        <v>B</v>
      </c>
      <c r="I244" s="2">
        <v>5</v>
      </c>
      <c r="J244" s="2">
        <f t="shared" si="20"/>
        <v>-1</v>
      </c>
      <c r="K244" s="2" t="str">
        <f t="shared" si="21"/>
        <v>B</v>
      </c>
      <c r="L244" s="2" t="str">
        <f t="shared" si="22"/>
        <v>B</v>
      </c>
      <c r="M244" s="2" t="s">
        <v>106</v>
      </c>
      <c r="N244" s="2">
        <f t="shared" si="23"/>
        <v>0</v>
      </c>
      <c r="O244" s="2" t="s">
        <v>26</v>
      </c>
      <c r="P244" s="2">
        <v>148</v>
      </c>
    </row>
    <row r="245" ht="23" customHeight="1" spans="1:16">
      <c r="A245" s="6" t="s">
        <v>331</v>
      </c>
      <c r="B245" s="2" t="s">
        <v>15</v>
      </c>
      <c r="C245" s="2" t="s">
        <v>23</v>
      </c>
      <c r="D245" s="2">
        <v>2</v>
      </c>
      <c r="E245" s="6" t="s">
        <v>498</v>
      </c>
      <c r="F245" s="2" t="str">
        <f t="shared" si="18"/>
        <v>B</v>
      </c>
      <c r="G245" s="2">
        <v>5</v>
      </c>
      <c r="H245" s="2" t="str">
        <f t="shared" si="19"/>
        <v>A</v>
      </c>
      <c r="I245" s="2">
        <v>4</v>
      </c>
      <c r="J245" s="2">
        <f t="shared" si="20"/>
        <v>1</v>
      </c>
      <c r="K245" s="2" t="str">
        <f t="shared" si="21"/>
        <v>A</v>
      </c>
      <c r="L245" s="2" t="str">
        <f t="shared" si="22"/>
        <v>B</v>
      </c>
      <c r="M245" s="2" t="s">
        <v>106</v>
      </c>
      <c r="N245" s="2">
        <f t="shared" si="23"/>
        <v>0</v>
      </c>
      <c r="O245" s="2" t="s">
        <v>22</v>
      </c>
      <c r="P245" s="2">
        <v>149</v>
      </c>
    </row>
    <row r="246" ht="23" customHeight="1" spans="1:16">
      <c r="A246" s="6" t="s">
        <v>331</v>
      </c>
      <c r="B246" s="2" t="s">
        <v>15</v>
      </c>
      <c r="C246" s="2" t="s">
        <v>17</v>
      </c>
      <c r="D246" s="2">
        <v>3</v>
      </c>
      <c r="E246" s="6" t="s">
        <v>499</v>
      </c>
      <c r="F246" s="2" t="str">
        <f t="shared" si="18"/>
        <v>A</v>
      </c>
      <c r="G246" s="2">
        <v>5</v>
      </c>
      <c r="H246" s="2" t="str">
        <f t="shared" si="19"/>
        <v>B</v>
      </c>
      <c r="I246" s="2">
        <v>4</v>
      </c>
      <c r="J246" s="2">
        <f t="shared" si="20"/>
        <v>1</v>
      </c>
      <c r="K246" s="2" t="str">
        <f t="shared" si="21"/>
        <v>A</v>
      </c>
      <c r="L246" s="2" t="str">
        <f t="shared" si="22"/>
        <v>A</v>
      </c>
      <c r="M246" s="2" t="s">
        <v>106</v>
      </c>
      <c r="N246" s="2">
        <f t="shared" si="23"/>
        <v>0</v>
      </c>
      <c r="O246" s="2" t="s">
        <v>26</v>
      </c>
      <c r="P246" s="2">
        <v>148</v>
      </c>
    </row>
    <row r="247" ht="23" customHeight="1" spans="1:16">
      <c r="A247" s="6" t="s">
        <v>331</v>
      </c>
      <c r="B247" s="2" t="s">
        <v>15</v>
      </c>
      <c r="C247" s="2" t="s">
        <v>23</v>
      </c>
      <c r="D247" s="2">
        <v>3</v>
      </c>
      <c r="E247" s="6" t="s">
        <v>499</v>
      </c>
      <c r="F247" s="2" t="str">
        <f t="shared" si="18"/>
        <v>B</v>
      </c>
      <c r="G247" s="2">
        <v>5</v>
      </c>
      <c r="H247" s="2" t="str">
        <f t="shared" si="19"/>
        <v>A</v>
      </c>
      <c r="I247" s="2">
        <v>4</v>
      </c>
      <c r="J247" s="2">
        <f t="shared" si="20"/>
        <v>1</v>
      </c>
      <c r="K247" s="2" t="str">
        <f t="shared" si="21"/>
        <v>A</v>
      </c>
      <c r="L247" s="2" t="str">
        <f t="shared" si="22"/>
        <v>B</v>
      </c>
      <c r="M247" s="2" t="s">
        <v>106</v>
      </c>
      <c r="N247" s="2">
        <f t="shared" si="23"/>
        <v>0</v>
      </c>
      <c r="O247" s="2" t="s">
        <v>22</v>
      </c>
      <c r="P247" s="2">
        <v>149</v>
      </c>
    </row>
    <row r="248" ht="23" customHeight="1" spans="1:16">
      <c r="A248" s="6" t="s">
        <v>331</v>
      </c>
      <c r="B248" s="2" t="s">
        <v>15</v>
      </c>
      <c r="C248" s="2" t="s">
        <v>17</v>
      </c>
      <c r="D248" s="2">
        <v>4</v>
      </c>
      <c r="E248" s="6" t="s">
        <v>500</v>
      </c>
      <c r="F248" s="2" t="str">
        <f t="shared" si="18"/>
        <v>A</v>
      </c>
      <c r="G248" s="2">
        <v>5</v>
      </c>
      <c r="H248" s="2" t="str">
        <f t="shared" si="19"/>
        <v>B</v>
      </c>
      <c r="I248" s="2">
        <v>5</v>
      </c>
      <c r="J248" s="2">
        <f t="shared" si="20"/>
        <v>0</v>
      </c>
      <c r="K248" s="2" t="str">
        <f t="shared" si="21"/>
        <v>C</v>
      </c>
      <c r="L248" s="2" t="str">
        <f t="shared" si="22"/>
        <v>D(平局)</v>
      </c>
      <c r="M248" s="2" t="s">
        <v>106</v>
      </c>
      <c r="N248" s="2">
        <f t="shared" si="23"/>
        <v>1</v>
      </c>
      <c r="O248" s="2" t="s">
        <v>26</v>
      </c>
      <c r="P248" s="2">
        <v>148</v>
      </c>
    </row>
    <row r="249" ht="23" customHeight="1" spans="1:16">
      <c r="A249" s="6" t="s">
        <v>331</v>
      </c>
      <c r="B249" s="2" t="s">
        <v>15</v>
      </c>
      <c r="C249" s="2" t="s">
        <v>23</v>
      </c>
      <c r="D249" s="2">
        <v>4</v>
      </c>
      <c r="E249" s="6" t="s">
        <v>500</v>
      </c>
      <c r="F249" s="2" t="str">
        <f t="shared" si="18"/>
        <v>B</v>
      </c>
      <c r="G249" s="2">
        <v>5</v>
      </c>
      <c r="H249" s="2" t="str">
        <f t="shared" si="19"/>
        <v>A</v>
      </c>
      <c r="I249" s="2">
        <v>5</v>
      </c>
      <c r="J249" s="2">
        <f t="shared" si="20"/>
        <v>0</v>
      </c>
      <c r="K249" s="2" t="str">
        <f t="shared" si="21"/>
        <v>C</v>
      </c>
      <c r="L249" s="2" t="str">
        <f t="shared" si="22"/>
        <v>D(平局)</v>
      </c>
      <c r="M249" s="2" t="s">
        <v>106</v>
      </c>
      <c r="N249" s="2">
        <f t="shared" si="23"/>
        <v>1</v>
      </c>
      <c r="O249" s="2" t="s">
        <v>22</v>
      </c>
      <c r="P249" s="2">
        <v>149</v>
      </c>
    </row>
    <row r="250" ht="23" customHeight="1" spans="1:16">
      <c r="A250" s="6" t="s">
        <v>331</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106</v>
      </c>
      <c r="N250" s="2">
        <f t="shared" si="23"/>
        <v>1</v>
      </c>
      <c r="O250" s="2" t="s">
        <v>26</v>
      </c>
      <c r="P250" s="2">
        <v>148</v>
      </c>
    </row>
    <row r="251" ht="23" customHeight="1" spans="1:16">
      <c r="A251" s="6" t="s">
        <v>331</v>
      </c>
      <c r="B251" s="2" t="s">
        <v>15</v>
      </c>
      <c r="C251" s="2" t="s">
        <v>23</v>
      </c>
      <c r="D251" s="2">
        <v>5</v>
      </c>
      <c r="E251" s="6" t="s">
        <v>501</v>
      </c>
      <c r="F251" s="2" t="str">
        <f t="shared" si="18"/>
        <v>B</v>
      </c>
      <c r="G251" s="2">
        <v>5</v>
      </c>
      <c r="H251" s="2" t="str">
        <f t="shared" si="19"/>
        <v>A</v>
      </c>
      <c r="I251" s="2">
        <v>5</v>
      </c>
      <c r="J251" s="2">
        <f t="shared" si="20"/>
        <v>0</v>
      </c>
      <c r="K251" s="2" t="str">
        <f t="shared" si="21"/>
        <v>C</v>
      </c>
      <c r="L251" s="2" t="str">
        <f t="shared" si="22"/>
        <v>D(平局)</v>
      </c>
      <c r="M251" s="2" t="s">
        <v>106</v>
      </c>
      <c r="N251" s="2">
        <f t="shared" si="23"/>
        <v>1</v>
      </c>
      <c r="O251" s="2" t="s">
        <v>22</v>
      </c>
      <c r="P251" s="2">
        <v>149</v>
      </c>
    </row>
    <row r="252" ht="23" customHeight="1" spans="1:16">
      <c r="A252" s="6" t="s">
        <v>331</v>
      </c>
      <c r="B252" s="2" t="s">
        <v>37</v>
      </c>
      <c r="C252" s="2" t="s">
        <v>17</v>
      </c>
      <c r="D252" s="2">
        <v>1</v>
      </c>
      <c r="E252" s="6" t="s">
        <v>497</v>
      </c>
      <c r="F252" s="2" t="str">
        <f t="shared" si="18"/>
        <v>A</v>
      </c>
      <c r="G252" s="2">
        <v>5</v>
      </c>
      <c r="H252" s="2" t="str">
        <f t="shared" si="19"/>
        <v>C</v>
      </c>
      <c r="I252" s="2">
        <v>4</v>
      </c>
      <c r="J252" s="2">
        <f t="shared" si="20"/>
        <v>1</v>
      </c>
      <c r="K252" s="2" t="str">
        <f t="shared" si="21"/>
        <v>A</v>
      </c>
      <c r="L252" s="2" t="str">
        <f t="shared" si="22"/>
        <v>A</v>
      </c>
      <c r="M252" s="2" t="s">
        <v>22</v>
      </c>
      <c r="N252" s="2">
        <f t="shared" si="23"/>
        <v>1</v>
      </c>
      <c r="O252" s="2" t="s">
        <v>22</v>
      </c>
      <c r="P252" s="2">
        <v>154</v>
      </c>
    </row>
    <row r="253" ht="23" customHeight="1" spans="1:16">
      <c r="A253" s="6" t="s">
        <v>331</v>
      </c>
      <c r="B253" s="2" t="s">
        <v>37</v>
      </c>
      <c r="C253" s="2" t="s">
        <v>23</v>
      </c>
      <c r="D253" s="2">
        <v>1</v>
      </c>
      <c r="E253" s="6" t="s">
        <v>497</v>
      </c>
      <c r="F253" s="2" t="str">
        <f t="shared" si="18"/>
        <v>C</v>
      </c>
      <c r="G253" s="2">
        <v>4</v>
      </c>
      <c r="H253" s="2" t="str">
        <f t="shared" si="19"/>
        <v>A</v>
      </c>
      <c r="I253" s="2">
        <v>4</v>
      </c>
      <c r="J253" s="2">
        <f t="shared" si="20"/>
        <v>0</v>
      </c>
      <c r="K253" s="2" t="str">
        <f t="shared" si="21"/>
        <v>C</v>
      </c>
      <c r="L253" s="2" t="str">
        <f t="shared" si="22"/>
        <v>D(平局)</v>
      </c>
      <c r="M253" s="2" t="s">
        <v>22</v>
      </c>
      <c r="N253" s="2">
        <f t="shared" si="23"/>
        <v>0</v>
      </c>
      <c r="O253" s="2" t="s">
        <v>26</v>
      </c>
      <c r="P253" s="2">
        <v>155</v>
      </c>
    </row>
    <row r="254" ht="23" customHeight="1" spans="1:16">
      <c r="A254" s="6" t="s">
        <v>331</v>
      </c>
      <c r="B254" s="2" t="s">
        <v>37</v>
      </c>
      <c r="C254" s="2" t="s">
        <v>17</v>
      </c>
      <c r="D254" s="2">
        <v>2</v>
      </c>
      <c r="E254" s="6" t="s">
        <v>498</v>
      </c>
      <c r="F254" s="2" t="str">
        <f t="shared" si="18"/>
        <v>A</v>
      </c>
      <c r="G254" s="2">
        <v>5</v>
      </c>
      <c r="H254" s="2" t="str">
        <f t="shared" si="19"/>
        <v>C</v>
      </c>
      <c r="I254" s="2">
        <v>4</v>
      </c>
      <c r="J254" s="2">
        <f t="shared" si="20"/>
        <v>1</v>
      </c>
      <c r="K254" s="2" t="str">
        <f t="shared" si="21"/>
        <v>A</v>
      </c>
      <c r="L254" s="2" t="str">
        <f t="shared" si="22"/>
        <v>A</v>
      </c>
      <c r="M254" s="2" t="s">
        <v>22</v>
      </c>
      <c r="N254" s="2">
        <f t="shared" si="23"/>
        <v>1</v>
      </c>
      <c r="O254" s="2" t="s">
        <v>22</v>
      </c>
      <c r="P254" s="2">
        <v>154</v>
      </c>
    </row>
    <row r="255" ht="23" customHeight="1" spans="1:16">
      <c r="A255" s="6" t="s">
        <v>331</v>
      </c>
      <c r="B255" s="2" t="s">
        <v>37</v>
      </c>
      <c r="C255" s="2" t="s">
        <v>23</v>
      </c>
      <c r="D255" s="2">
        <v>2</v>
      </c>
      <c r="E255" s="6" t="s">
        <v>498</v>
      </c>
      <c r="F255" s="2" t="str">
        <f t="shared" si="18"/>
        <v>C</v>
      </c>
      <c r="G255" s="2">
        <v>3</v>
      </c>
      <c r="H255" s="2" t="str">
        <f t="shared" si="19"/>
        <v>A</v>
      </c>
      <c r="I255" s="2">
        <v>5</v>
      </c>
      <c r="J255" s="2">
        <f t="shared" si="20"/>
        <v>-2</v>
      </c>
      <c r="K255" s="2" t="str">
        <f t="shared" si="21"/>
        <v>B</v>
      </c>
      <c r="L255" s="2" t="str">
        <f t="shared" si="22"/>
        <v>A</v>
      </c>
      <c r="M255" s="2" t="s">
        <v>22</v>
      </c>
      <c r="N255" s="2">
        <f t="shared" si="23"/>
        <v>1</v>
      </c>
      <c r="O255" s="2" t="s">
        <v>26</v>
      </c>
      <c r="P255" s="2">
        <v>155</v>
      </c>
    </row>
    <row r="256" ht="23" customHeight="1" spans="1:16">
      <c r="A256" s="6" t="s">
        <v>331</v>
      </c>
      <c r="B256" s="2" t="s">
        <v>37</v>
      </c>
      <c r="C256" s="2" t="s">
        <v>17</v>
      </c>
      <c r="D256" s="2">
        <v>3</v>
      </c>
      <c r="E256" s="6" t="s">
        <v>499</v>
      </c>
      <c r="F256" s="2" t="str">
        <f t="shared" si="18"/>
        <v>A</v>
      </c>
      <c r="G256" s="2">
        <v>4</v>
      </c>
      <c r="H256" s="2" t="str">
        <f t="shared" si="19"/>
        <v>C</v>
      </c>
      <c r="I256" s="2">
        <v>3</v>
      </c>
      <c r="J256" s="2">
        <f t="shared" si="20"/>
        <v>1</v>
      </c>
      <c r="K256" s="2" t="str">
        <f t="shared" si="21"/>
        <v>A</v>
      </c>
      <c r="L256" s="2" t="str">
        <f t="shared" si="22"/>
        <v>A</v>
      </c>
      <c r="M256" s="2" t="s">
        <v>22</v>
      </c>
      <c r="N256" s="2">
        <f t="shared" si="23"/>
        <v>1</v>
      </c>
      <c r="O256" s="2" t="s">
        <v>22</v>
      </c>
      <c r="P256" s="2">
        <v>154</v>
      </c>
    </row>
    <row r="257" ht="23" customHeight="1" spans="1:16">
      <c r="A257" s="6" t="s">
        <v>331</v>
      </c>
      <c r="B257" s="2" t="s">
        <v>37</v>
      </c>
      <c r="C257" s="2" t="s">
        <v>23</v>
      </c>
      <c r="D257" s="2">
        <v>3</v>
      </c>
      <c r="E257" s="6" t="s">
        <v>499</v>
      </c>
      <c r="F257" s="2" t="str">
        <f t="shared" si="18"/>
        <v>C</v>
      </c>
      <c r="G257" s="2">
        <v>3</v>
      </c>
      <c r="H257" s="2" t="str">
        <f t="shared" si="19"/>
        <v>A</v>
      </c>
      <c r="I257" s="2">
        <v>3</v>
      </c>
      <c r="J257" s="2">
        <f t="shared" si="20"/>
        <v>0</v>
      </c>
      <c r="K257" s="2" t="str">
        <f t="shared" si="21"/>
        <v>C</v>
      </c>
      <c r="L257" s="2" t="str">
        <f t="shared" si="22"/>
        <v>D(平局)</v>
      </c>
      <c r="M257" s="2" t="s">
        <v>22</v>
      </c>
      <c r="N257" s="2">
        <f t="shared" si="23"/>
        <v>0</v>
      </c>
      <c r="O257" s="2" t="s">
        <v>26</v>
      </c>
      <c r="P257" s="2">
        <v>155</v>
      </c>
    </row>
    <row r="258" ht="23" customHeight="1" spans="1:16">
      <c r="A258" s="6" t="s">
        <v>331</v>
      </c>
      <c r="B258" s="2" t="s">
        <v>37</v>
      </c>
      <c r="C258" s="2" t="s">
        <v>17</v>
      </c>
      <c r="D258" s="2">
        <v>4</v>
      </c>
      <c r="E258" s="6" t="s">
        <v>500</v>
      </c>
      <c r="F258" s="2" t="str">
        <f t="shared" ref="F258:F321" si="24">IF(C258="l2r",LEFT(B258,1),RIGHT(B258,1))</f>
        <v>A</v>
      </c>
      <c r="G258" s="2">
        <v>5</v>
      </c>
      <c r="H258" s="2" t="str">
        <f t="shared" ref="H258:H321" si="25">IF(C258="l2r",RIGHT(B258,1),LEFT(B258,1))</f>
        <v>C</v>
      </c>
      <c r="I258" s="2">
        <v>5</v>
      </c>
      <c r="J258" s="2">
        <f t="shared" ref="J258:J321" si="26">G258-I258</f>
        <v>0</v>
      </c>
      <c r="K258" s="2" t="str">
        <f t="shared" ref="K258:K321" si="27">IF(J258=0,"C",IF(J258&gt;0,"A","B"))</f>
        <v>C</v>
      </c>
      <c r="L258" s="2" t="str">
        <f t="shared" ref="L258:L321" si="28">IF(J258=0,"D(平局)",IF(J258&gt;0,F258,H258))</f>
        <v>D(平局)</v>
      </c>
      <c r="M258" s="2" t="s">
        <v>22</v>
      </c>
      <c r="N258" s="2">
        <f t="shared" ref="N258:N321" si="29">--(L258=M258)</f>
        <v>0</v>
      </c>
      <c r="O258" s="2" t="s">
        <v>22</v>
      </c>
      <c r="P258" s="2">
        <v>154</v>
      </c>
    </row>
    <row r="259" ht="23" customHeight="1" spans="1:16">
      <c r="A259" s="6" t="s">
        <v>331</v>
      </c>
      <c r="B259" s="2" t="s">
        <v>37</v>
      </c>
      <c r="C259" s="2" t="s">
        <v>23</v>
      </c>
      <c r="D259" s="2">
        <v>4</v>
      </c>
      <c r="E259" s="6" t="s">
        <v>500</v>
      </c>
      <c r="F259" s="2" t="str">
        <f t="shared" si="24"/>
        <v>C</v>
      </c>
      <c r="G259" s="2">
        <v>4</v>
      </c>
      <c r="H259" s="2" t="str">
        <f t="shared" si="25"/>
        <v>A</v>
      </c>
      <c r="I259" s="2">
        <v>4</v>
      </c>
      <c r="J259" s="2">
        <f t="shared" si="26"/>
        <v>0</v>
      </c>
      <c r="K259" s="2" t="str">
        <f t="shared" si="27"/>
        <v>C</v>
      </c>
      <c r="L259" s="2" t="str">
        <f t="shared" si="28"/>
        <v>D(平局)</v>
      </c>
      <c r="M259" s="2" t="s">
        <v>22</v>
      </c>
      <c r="N259" s="2">
        <f t="shared" si="29"/>
        <v>0</v>
      </c>
      <c r="O259" s="2" t="s">
        <v>26</v>
      </c>
      <c r="P259" s="2">
        <v>155</v>
      </c>
    </row>
    <row r="260" ht="23" customHeight="1" spans="1:16">
      <c r="A260" s="6" t="s">
        <v>331</v>
      </c>
      <c r="B260" s="2" t="s">
        <v>37</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22</v>
      </c>
      <c r="N260" s="2">
        <f t="shared" si="29"/>
        <v>0</v>
      </c>
      <c r="O260" s="2" t="s">
        <v>22</v>
      </c>
      <c r="P260" s="2">
        <v>154</v>
      </c>
    </row>
    <row r="261" ht="23" customHeight="1" spans="1:16">
      <c r="A261" s="6" t="s">
        <v>331</v>
      </c>
      <c r="B261" s="2" t="s">
        <v>37</v>
      </c>
      <c r="C261" s="2" t="s">
        <v>23</v>
      </c>
      <c r="D261" s="2">
        <v>5</v>
      </c>
      <c r="E261" s="6" t="s">
        <v>501</v>
      </c>
      <c r="F261" s="2" t="str">
        <f t="shared" si="24"/>
        <v>C</v>
      </c>
      <c r="G261" s="2">
        <v>5</v>
      </c>
      <c r="H261" s="2" t="str">
        <f t="shared" si="25"/>
        <v>A</v>
      </c>
      <c r="I261" s="2">
        <v>5</v>
      </c>
      <c r="J261" s="2">
        <f t="shared" si="26"/>
        <v>0</v>
      </c>
      <c r="K261" s="2" t="str">
        <f t="shared" si="27"/>
        <v>C</v>
      </c>
      <c r="L261" s="2" t="str">
        <f t="shared" si="28"/>
        <v>D(平局)</v>
      </c>
      <c r="M261" s="2" t="s">
        <v>22</v>
      </c>
      <c r="N261" s="2">
        <f t="shared" si="29"/>
        <v>0</v>
      </c>
      <c r="O261" s="2" t="s">
        <v>26</v>
      </c>
      <c r="P261" s="2">
        <v>155</v>
      </c>
    </row>
    <row r="262" ht="23" customHeight="1" spans="1:16">
      <c r="A262" s="6" t="s">
        <v>331</v>
      </c>
      <c r="B262" s="2" t="s">
        <v>50</v>
      </c>
      <c r="C262" s="2" t="s">
        <v>17</v>
      </c>
      <c r="D262" s="2">
        <v>1</v>
      </c>
      <c r="E262" s="6" t="s">
        <v>497</v>
      </c>
      <c r="F262" s="2" t="str">
        <f t="shared" si="24"/>
        <v>B</v>
      </c>
      <c r="G262" s="2">
        <v>5</v>
      </c>
      <c r="H262" s="2" t="str">
        <f t="shared" si="25"/>
        <v>C</v>
      </c>
      <c r="I262" s="2">
        <v>3</v>
      </c>
      <c r="J262" s="2">
        <f t="shared" si="26"/>
        <v>2</v>
      </c>
      <c r="K262" s="2" t="str">
        <f t="shared" si="27"/>
        <v>A</v>
      </c>
      <c r="L262" s="2" t="str">
        <f t="shared" si="28"/>
        <v>B</v>
      </c>
      <c r="M262" s="2" t="s">
        <v>26</v>
      </c>
      <c r="N262" s="2">
        <f t="shared" si="29"/>
        <v>1</v>
      </c>
      <c r="O262" s="2" t="s">
        <v>22</v>
      </c>
      <c r="P262" s="2">
        <v>160</v>
      </c>
    </row>
    <row r="263" ht="23" customHeight="1" spans="1:16">
      <c r="A263" s="6" t="s">
        <v>331</v>
      </c>
      <c r="B263" s="2" t="s">
        <v>50</v>
      </c>
      <c r="C263" s="2" t="s">
        <v>23</v>
      </c>
      <c r="D263" s="2">
        <v>1</v>
      </c>
      <c r="E263" s="6" t="s">
        <v>497</v>
      </c>
      <c r="F263" s="2" t="str">
        <f t="shared" si="24"/>
        <v>C</v>
      </c>
      <c r="G263" s="2">
        <v>3</v>
      </c>
      <c r="H263" s="2" t="str">
        <f t="shared" si="25"/>
        <v>B</v>
      </c>
      <c r="I263" s="2">
        <v>5</v>
      </c>
      <c r="J263" s="2">
        <f t="shared" si="26"/>
        <v>-2</v>
      </c>
      <c r="K263" s="2" t="str">
        <f t="shared" si="27"/>
        <v>B</v>
      </c>
      <c r="L263" s="2" t="str">
        <f t="shared" si="28"/>
        <v>B</v>
      </c>
      <c r="M263" s="2" t="s">
        <v>26</v>
      </c>
      <c r="N263" s="2">
        <f t="shared" si="29"/>
        <v>1</v>
      </c>
      <c r="O263" s="2" t="s">
        <v>26</v>
      </c>
      <c r="P263" s="2">
        <v>161</v>
      </c>
    </row>
    <row r="264" ht="23" customHeight="1" spans="1:16">
      <c r="A264" s="6" t="s">
        <v>331</v>
      </c>
      <c r="B264" s="2" t="s">
        <v>50</v>
      </c>
      <c r="C264" s="2" t="s">
        <v>17</v>
      </c>
      <c r="D264" s="2">
        <v>2</v>
      </c>
      <c r="E264" s="6" t="s">
        <v>498</v>
      </c>
      <c r="F264" s="2" t="str">
        <f t="shared" si="24"/>
        <v>B</v>
      </c>
      <c r="G264" s="2">
        <v>5</v>
      </c>
      <c r="H264" s="2" t="str">
        <f t="shared" si="25"/>
        <v>C</v>
      </c>
      <c r="I264" s="2">
        <v>2</v>
      </c>
      <c r="J264" s="2">
        <f t="shared" si="26"/>
        <v>3</v>
      </c>
      <c r="K264" s="2" t="str">
        <f t="shared" si="27"/>
        <v>A</v>
      </c>
      <c r="L264" s="2" t="str">
        <f t="shared" si="28"/>
        <v>B</v>
      </c>
      <c r="M264" s="2" t="s">
        <v>26</v>
      </c>
      <c r="N264" s="2">
        <f t="shared" si="29"/>
        <v>1</v>
      </c>
      <c r="O264" s="2" t="s">
        <v>22</v>
      </c>
      <c r="P264" s="2">
        <v>160</v>
      </c>
    </row>
    <row r="265" ht="23" customHeight="1" spans="1:16">
      <c r="A265" s="6" t="s">
        <v>331</v>
      </c>
      <c r="B265" s="2" t="s">
        <v>50</v>
      </c>
      <c r="C265" s="2" t="s">
        <v>23</v>
      </c>
      <c r="D265" s="2">
        <v>2</v>
      </c>
      <c r="E265" s="6" t="s">
        <v>498</v>
      </c>
      <c r="F265" s="2" t="str">
        <f t="shared" si="24"/>
        <v>C</v>
      </c>
      <c r="G265" s="2">
        <v>2</v>
      </c>
      <c r="H265" s="2" t="str">
        <f t="shared" si="25"/>
        <v>B</v>
      </c>
      <c r="I265" s="2">
        <v>5</v>
      </c>
      <c r="J265" s="2">
        <f t="shared" si="26"/>
        <v>-3</v>
      </c>
      <c r="K265" s="2" t="str">
        <f t="shared" si="27"/>
        <v>B</v>
      </c>
      <c r="L265" s="2" t="str">
        <f t="shared" si="28"/>
        <v>B</v>
      </c>
      <c r="M265" s="2" t="s">
        <v>26</v>
      </c>
      <c r="N265" s="2">
        <f t="shared" si="29"/>
        <v>1</v>
      </c>
      <c r="O265" s="2" t="s">
        <v>26</v>
      </c>
      <c r="P265" s="2">
        <v>161</v>
      </c>
    </row>
    <row r="266" ht="23" customHeight="1" spans="1:16">
      <c r="A266" s="6" t="s">
        <v>331</v>
      </c>
      <c r="B266" s="2" t="s">
        <v>50</v>
      </c>
      <c r="C266" s="2" t="s">
        <v>17</v>
      </c>
      <c r="D266" s="2">
        <v>3</v>
      </c>
      <c r="E266" s="6" t="s">
        <v>499</v>
      </c>
      <c r="F266" s="2" t="str">
        <f t="shared" si="24"/>
        <v>B</v>
      </c>
      <c r="G266" s="2">
        <v>5</v>
      </c>
      <c r="H266" s="2" t="str">
        <f t="shared" si="25"/>
        <v>C</v>
      </c>
      <c r="I266" s="2">
        <v>3</v>
      </c>
      <c r="J266" s="2">
        <f t="shared" si="26"/>
        <v>2</v>
      </c>
      <c r="K266" s="2" t="str">
        <f t="shared" si="27"/>
        <v>A</v>
      </c>
      <c r="L266" s="2" t="str">
        <f t="shared" si="28"/>
        <v>B</v>
      </c>
      <c r="M266" s="2" t="s">
        <v>26</v>
      </c>
      <c r="N266" s="2">
        <f t="shared" si="29"/>
        <v>1</v>
      </c>
      <c r="O266" s="2" t="s">
        <v>22</v>
      </c>
      <c r="P266" s="2">
        <v>160</v>
      </c>
    </row>
    <row r="267" ht="23" customHeight="1" spans="1:16">
      <c r="A267" s="6" t="s">
        <v>331</v>
      </c>
      <c r="B267" s="2" t="s">
        <v>50</v>
      </c>
      <c r="C267" s="2" t="s">
        <v>23</v>
      </c>
      <c r="D267" s="2">
        <v>3</v>
      </c>
      <c r="E267" s="6" t="s">
        <v>499</v>
      </c>
      <c r="F267" s="2" t="str">
        <f t="shared" si="24"/>
        <v>C</v>
      </c>
      <c r="G267" s="2">
        <v>2</v>
      </c>
      <c r="H267" s="2" t="str">
        <f t="shared" si="25"/>
        <v>B</v>
      </c>
      <c r="I267" s="2">
        <v>5</v>
      </c>
      <c r="J267" s="2">
        <f t="shared" si="26"/>
        <v>-3</v>
      </c>
      <c r="K267" s="2" t="str">
        <f t="shared" si="27"/>
        <v>B</v>
      </c>
      <c r="L267" s="2" t="str">
        <f t="shared" si="28"/>
        <v>B</v>
      </c>
      <c r="M267" s="2" t="s">
        <v>26</v>
      </c>
      <c r="N267" s="2">
        <f t="shared" si="29"/>
        <v>1</v>
      </c>
      <c r="O267" s="2" t="s">
        <v>26</v>
      </c>
      <c r="P267" s="2">
        <v>161</v>
      </c>
    </row>
    <row r="268" ht="23" customHeight="1" spans="1:16">
      <c r="A268" s="6" t="s">
        <v>331</v>
      </c>
      <c r="B268" s="2" t="s">
        <v>50</v>
      </c>
      <c r="C268" s="2" t="s">
        <v>17</v>
      </c>
      <c r="D268" s="2">
        <v>4</v>
      </c>
      <c r="E268" s="6" t="s">
        <v>500</v>
      </c>
      <c r="F268" s="2" t="str">
        <f t="shared" si="24"/>
        <v>B</v>
      </c>
      <c r="G268" s="2">
        <v>5</v>
      </c>
      <c r="H268" s="2" t="str">
        <f t="shared" si="25"/>
        <v>C</v>
      </c>
      <c r="I268" s="2">
        <v>3</v>
      </c>
      <c r="J268" s="2">
        <f t="shared" si="26"/>
        <v>2</v>
      </c>
      <c r="K268" s="2" t="str">
        <f t="shared" si="27"/>
        <v>A</v>
      </c>
      <c r="L268" s="2" t="str">
        <f t="shared" si="28"/>
        <v>B</v>
      </c>
      <c r="M268" s="2" t="s">
        <v>26</v>
      </c>
      <c r="N268" s="2">
        <f t="shared" si="29"/>
        <v>1</v>
      </c>
      <c r="O268" s="2" t="s">
        <v>22</v>
      </c>
      <c r="P268" s="2">
        <v>160</v>
      </c>
    </row>
    <row r="269" ht="23" customHeight="1" spans="1:16">
      <c r="A269" s="6" t="s">
        <v>331</v>
      </c>
      <c r="B269" s="2" t="s">
        <v>50</v>
      </c>
      <c r="C269" s="2" t="s">
        <v>23</v>
      </c>
      <c r="D269" s="2">
        <v>4</v>
      </c>
      <c r="E269" s="6" t="s">
        <v>500</v>
      </c>
      <c r="F269" s="2" t="str">
        <f t="shared" si="24"/>
        <v>C</v>
      </c>
      <c r="G269" s="2">
        <v>3</v>
      </c>
      <c r="H269" s="2" t="str">
        <f t="shared" si="25"/>
        <v>B</v>
      </c>
      <c r="I269" s="2">
        <v>5</v>
      </c>
      <c r="J269" s="2">
        <f t="shared" si="26"/>
        <v>-2</v>
      </c>
      <c r="K269" s="2" t="str">
        <f t="shared" si="27"/>
        <v>B</v>
      </c>
      <c r="L269" s="2" t="str">
        <f t="shared" si="28"/>
        <v>B</v>
      </c>
      <c r="M269" s="2" t="s">
        <v>26</v>
      </c>
      <c r="N269" s="2">
        <f t="shared" si="29"/>
        <v>1</v>
      </c>
      <c r="O269" s="2" t="s">
        <v>26</v>
      </c>
      <c r="P269" s="2">
        <v>161</v>
      </c>
    </row>
    <row r="270" ht="23" customHeight="1" spans="1:16">
      <c r="A270" s="6" t="s">
        <v>331</v>
      </c>
      <c r="B270" s="2" t="s">
        <v>50</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26</v>
      </c>
      <c r="N270" s="2">
        <f t="shared" si="29"/>
        <v>0</v>
      </c>
      <c r="O270" s="2" t="s">
        <v>22</v>
      </c>
      <c r="P270" s="2">
        <v>160</v>
      </c>
    </row>
    <row r="271" ht="23" customHeight="1" spans="1:16">
      <c r="A271" s="6" t="s">
        <v>331</v>
      </c>
      <c r="B271" s="2" t="s">
        <v>50</v>
      </c>
      <c r="C271" s="2" t="s">
        <v>23</v>
      </c>
      <c r="D271" s="2">
        <v>5</v>
      </c>
      <c r="E271" s="6" t="s">
        <v>501</v>
      </c>
      <c r="F271" s="2" t="str">
        <f t="shared" si="24"/>
        <v>C</v>
      </c>
      <c r="G271" s="2">
        <v>5</v>
      </c>
      <c r="H271" s="2" t="str">
        <f t="shared" si="25"/>
        <v>B</v>
      </c>
      <c r="I271" s="2">
        <v>5</v>
      </c>
      <c r="J271" s="2">
        <f t="shared" si="26"/>
        <v>0</v>
      </c>
      <c r="K271" s="2" t="str">
        <f t="shared" si="27"/>
        <v>C</v>
      </c>
      <c r="L271" s="2" t="str">
        <f t="shared" si="28"/>
        <v>D(平局)</v>
      </c>
      <c r="M271" s="2" t="s">
        <v>26</v>
      </c>
      <c r="N271" s="2">
        <f t="shared" si="29"/>
        <v>0</v>
      </c>
      <c r="O271" s="2" t="s">
        <v>26</v>
      </c>
      <c r="P271" s="2">
        <v>161</v>
      </c>
    </row>
    <row r="272" ht="23" customHeight="1" spans="1:16">
      <c r="A272" s="6" t="s">
        <v>369</v>
      </c>
      <c r="B272" s="2" t="s">
        <v>15</v>
      </c>
      <c r="C272" s="2" t="s">
        <v>17</v>
      </c>
      <c r="D272" s="2">
        <v>1</v>
      </c>
      <c r="E272" s="6" t="s">
        <v>497</v>
      </c>
      <c r="F272" s="2" t="str">
        <f t="shared" si="24"/>
        <v>A</v>
      </c>
      <c r="G272" s="2">
        <v>5</v>
      </c>
      <c r="H272" s="2" t="str">
        <f t="shared" si="25"/>
        <v>B</v>
      </c>
      <c r="I272" s="2">
        <v>5</v>
      </c>
      <c r="J272" s="2">
        <f t="shared" si="26"/>
        <v>0</v>
      </c>
      <c r="K272" s="2" t="str">
        <f t="shared" si="27"/>
        <v>C</v>
      </c>
      <c r="L272" s="2" t="str">
        <f t="shared" si="28"/>
        <v>D(平局)</v>
      </c>
      <c r="M272" s="2" t="s">
        <v>26</v>
      </c>
      <c r="N272" s="2">
        <f t="shared" si="29"/>
        <v>0</v>
      </c>
      <c r="O272" s="2" t="s">
        <v>26</v>
      </c>
      <c r="P272" s="2">
        <v>166</v>
      </c>
    </row>
    <row r="273" ht="23" customHeight="1" spans="1:16">
      <c r="A273" s="6" t="s">
        <v>369</v>
      </c>
      <c r="B273" s="2" t="s">
        <v>15</v>
      </c>
      <c r="C273" s="2" t="s">
        <v>23</v>
      </c>
      <c r="D273" s="2">
        <v>1</v>
      </c>
      <c r="E273" s="6" t="s">
        <v>497</v>
      </c>
      <c r="F273" s="2" t="str">
        <f t="shared" si="24"/>
        <v>B</v>
      </c>
      <c r="G273" s="2">
        <v>5</v>
      </c>
      <c r="H273" s="2" t="str">
        <f t="shared" si="25"/>
        <v>A</v>
      </c>
      <c r="I273" s="2">
        <v>4</v>
      </c>
      <c r="J273" s="2">
        <f t="shared" si="26"/>
        <v>1</v>
      </c>
      <c r="K273" s="2" t="str">
        <f t="shared" si="27"/>
        <v>A</v>
      </c>
      <c r="L273" s="2" t="str">
        <f t="shared" si="28"/>
        <v>B</v>
      </c>
      <c r="M273" s="2" t="s">
        <v>26</v>
      </c>
      <c r="N273" s="2">
        <f t="shared" si="29"/>
        <v>1</v>
      </c>
      <c r="O273" s="2" t="s">
        <v>22</v>
      </c>
      <c r="P273" s="2">
        <v>167</v>
      </c>
    </row>
    <row r="274" ht="23" customHeight="1" spans="1:16">
      <c r="A274" s="6" t="s">
        <v>369</v>
      </c>
      <c r="B274" s="2" t="s">
        <v>15</v>
      </c>
      <c r="C274" s="2" t="s">
        <v>17</v>
      </c>
      <c r="D274" s="2">
        <v>2</v>
      </c>
      <c r="E274" s="6" t="s">
        <v>498</v>
      </c>
      <c r="F274" s="2" t="str">
        <f t="shared" si="24"/>
        <v>A</v>
      </c>
      <c r="G274" s="2">
        <v>4</v>
      </c>
      <c r="H274" s="2" t="str">
        <f t="shared" si="25"/>
        <v>B</v>
      </c>
      <c r="I274" s="2">
        <v>5</v>
      </c>
      <c r="J274" s="2">
        <f t="shared" si="26"/>
        <v>-1</v>
      </c>
      <c r="K274" s="2" t="str">
        <f t="shared" si="27"/>
        <v>B</v>
      </c>
      <c r="L274" s="2" t="str">
        <f t="shared" si="28"/>
        <v>B</v>
      </c>
      <c r="M274" s="2" t="s">
        <v>26</v>
      </c>
      <c r="N274" s="2">
        <f t="shared" si="29"/>
        <v>1</v>
      </c>
      <c r="O274" s="2" t="s">
        <v>26</v>
      </c>
      <c r="P274" s="2">
        <v>166</v>
      </c>
    </row>
    <row r="275" ht="23" customHeight="1" spans="1:16">
      <c r="A275" s="6" t="s">
        <v>369</v>
      </c>
      <c r="B275" s="2" t="s">
        <v>15</v>
      </c>
      <c r="C275" s="2" t="s">
        <v>23</v>
      </c>
      <c r="D275" s="2">
        <v>2</v>
      </c>
      <c r="E275" s="6" t="s">
        <v>498</v>
      </c>
      <c r="F275" s="2" t="str">
        <f t="shared" si="24"/>
        <v>B</v>
      </c>
      <c r="G275" s="2">
        <v>5</v>
      </c>
      <c r="H275" s="2" t="str">
        <f t="shared" si="25"/>
        <v>A</v>
      </c>
      <c r="I275" s="2">
        <v>4</v>
      </c>
      <c r="J275" s="2">
        <f t="shared" si="26"/>
        <v>1</v>
      </c>
      <c r="K275" s="2" t="str">
        <f t="shared" si="27"/>
        <v>A</v>
      </c>
      <c r="L275" s="2" t="str">
        <f t="shared" si="28"/>
        <v>B</v>
      </c>
      <c r="M275" s="2" t="s">
        <v>26</v>
      </c>
      <c r="N275" s="2">
        <f t="shared" si="29"/>
        <v>1</v>
      </c>
      <c r="O275" s="2" t="s">
        <v>22</v>
      </c>
      <c r="P275" s="2">
        <v>167</v>
      </c>
    </row>
    <row r="276" ht="23" customHeight="1" spans="1:16">
      <c r="A276" s="6" t="s">
        <v>369</v>
      </c>
      <c r="B276" s="2" t="s">
        <v>15</v>
      </c>
      <c r="C276" s="2" t="s">
        <v>17</v>
      </c>
      <c r="D276" s="2">
        <v>3</v>
      </c>
      <c r="E276" s="6" t="s">
        <v>499</v>
      </c>
      <c r="F276" s="2" t="str">
        <f t="shared" si="24"/>
        <v>A</v>
      </c>
      <c r="G276" s="2">
        <v>5</v>
      </c>
      <c r="H276" s="2" t="str">
        <f t="shared" si="25"/>
        <v>B</v>
      </c>
      <c r="I276" s="2">
        <v>5</v>
      </c>
      <c r="J276" s="2">
        <f t="shared" si="26"/>
        <v>0</v>
      </c>
      <c r="K276" s="2" t="str">
        <f t="shared" si="27"/>
        <v>C</v>
      </c>
      <c r="L276" s="2" t="str">
        <f t="shared" si="28"/>
        <v>D(平局)</v>
      </c>
      <c r="M276" s="2" t="s">
        <v>26</v>
      </c>
      <c r="N276" s="2">
        <f t="shared" si="29"/>
        <v>0</v>
      </c>
      <c r="O276" s="2" t="s">
        <v>26</v>
      </c>
      <c r="P276" s="2">
        <v>166</v>
      </c>
    </row>
    <row r="277" ht="23" customHeight="1" spans="1:16">
      <c r="A277" s="6" t="s">
        <v>369</v>
      </c>
      <c r="B277" s="2" t="s">
        <v>15</v>
      </c>
      <c r="C277" s="2" t="s">
        <v>23</v>
      </c>
      <c r="D277" s="2">
        <v>3</v>
      </c>
      <c r="E277" s="6" t="s">
        <v>499</v>
      </c>
      <c r="F277" s="2" t="str">
        <f t="shared" si="24"/>
        <v>B</v>
      </c>
      <c r="G277" s="2">
        <v>5</v>
      </c>
      <c r="H277" s="2" t="str">
        <f t="shared" si="25"/>
        <v>A</v>
      </c>
      <c r="I277" s="2">
        <v>5</v>
      </c>
      <c r="J277" s="2">
        <f t="shared" si="26"/>
        <v>0</v>
      </c>
      <c r="K277" s="2" t="str">
        <f t="shared" si="27"/>
        <v>C</v>
      </c>
      <c r="L277" s="2" t="str">
        <f t="shared" si="28"/>
        <v>D(平局)</v>
      </c>
      <c r="M277" s="2" t="s">
        <v>26</v>
      </c>
      <c r="N277" s="2">
        <f t="shared" si="29"/>
        <v>0</v>
      </c>
      <c r="O277" s="2" t="s">
        <v>22</v>
      </c>
      <c r="P277" s="2">
        <v>167</v>
      </c>
    </row>
    <row r="278" ht="23" customHeight="1" spans="1:16">
      <c r="A278" s="6" t="s">
        <v>369</v>
      </c>
      <c r="B278" s="2" t="s">
        <v>15</v>
      </c>
      <c r="C278" s="2" t="s">
        <v>17</v>
      </c>
      <c r="D278" s="2">
        <v>4</v>
      </c>
      <c r="E278" s="6" t="s">
        <v>500</v>
      </c>
      <c r="F278" s="2" t="str">
        <f t="shared" si="24"/>
        <v>A</v>
      </c>
      <c r="G278" s="2">
        <v>5</v>
      </c>
      <c r="H278" s="2" t="str">
        <f t="shared" si="25"/>
        <v>B</v>
      </c>
      <c r="I278" s="2">
        <v>5</v>
      </c>
      <c r="J278" s="2">
        <f t="shared" si="26"/>
        <v>0</v>
      </c>
      <c r="K278" s="2" t="str">
        <f t="shared" si="27"/>
        <v>C</v>
      </c>
      <c r="L278" s="2" t="str">
        <f t="shared" si="28"/>
        <v>D(平局)</v>
      </c>
      <c r="M278" s="2" t="s">
        <v>26</v>
      </c>
      <c r="N278" s="2">
        <f t="shared" si="29"/>
        <v>0</v>
      </c>
      <c r="O278" s="2" t="s">
        <v>26</v>
      </c>
      <c r="P278" s="2">
        <v>166</v>
      </c>
    </row>
    <row r="279" ht="23" customHeight="1" spans="1:16">
      <c r="A279" s="6" t="s">
        <v>369</v>
      </c>
      <c r="B279" s="2" t="s">
        <v>15</v>
      </c>
      <c r="C279" s="2" t="s">
        <v>23</v>
      </c>
      <c r="D279" s="2">
        <v>4</v>
      </c>
      <c r="E279" s="6" t="s">
        <v>500</v>
      </c>
      <c r="F279" s="2" t="str">
        <f t="shared" si="24"/>
        <v>B</v>
      </c>
      <c r="G279" s="2">
        <v>5</v>
      </c>
      <c r="H279" s="2" t="str">
        <f t="shared" si="25"/>
        <v>A</v>
      </c>
      <c r="I279" s="2">
        <v>4</v>
      </c>
      <c r="J279" s="2">
        <f t="shared" si="26"/>
        <v>1</v>
      </c>
      <c r="K279" s="2" t="str">
        <f t="shared" si="27"/>
        <v>A</v>
      </c>
      <c r="L279" s="2" t="str">
        <f t="shared" si="28"/>
        <v>B</v>
      </c>
      <c r="M279" s="2" t="s">
        <v>26</v>
      </c>
      <c r="N279" s="2">
        <f t="shared" si="29"/>
        <v>1</v>
      </c>
      <c r="O279" s="2" t="s">
        <v>22</v>
      </c>
      <c r="P279" s="2">
        <v>167</v>
      </c>
    </row>
    <row r="280" ht="23" customHeight="1" spans="1:16">
      <c r="A280" s="6" t="s">
        <v>369</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26</v>
      </c>
      <c r="N280" s="2">
        <f t="shared" si="29"/>
        <v>0</v>
      </c>
      <c r="O280" s="2" t="s">
        <v>26</v>
      </c>
      <c r="P280" s="2">
        <v>166</v>
      </c>
    </row>
    <row r="281" ht="23" customHeight="1" spans="1:16">
      <c r="A281" s="6" t="s">
        <v>369</v>
      </c>
      <c r="B281" s="2" t="s">
        <v>15</v>
      </c>
      <c r="C281" s="2" t="s">
        <v>23</v>
      </c>
      <c r="D281" s="2">
        <v>5</v>
      </c>
      <c r="E281" s="6" t="s">
        <v>501</v>
      </c>
      <c r="F281" s="2" t="str">
        <f t="shared" si="24"/>
        <v>B</v>
      </c>
      <c r="G281" s="2">
        <v>5</v>
      </c>
      <c r="H281" s="2" t="str">
        <f t="shared" si="25"/>
        <v>A</v>
      </c>
      <c r="I281" s="2">
        <v>5</v>
      </c>
      <c r="J281" s="2">
        <f t="shared" si="26"/>
        <v>0</v>
      </c>
      <c r="K281" s="2" t="str">
        <f t="shared" si="27"/>
        <v>C</v>
      </c>
      <c r="L281" s="2" t="str">
        <f t="shared" si="28"/>
        <v>D(平局)</v>
      </c>
      <c r="M281" s="2" t="s">
        <v>26</v>
      </c>
      <c r="N281" s="2">
        <f t="shared" si="29"/>
        <v>0</v>
      </c>
      <c r="O281" s="2" t="s">
        <v>22</v>
      </c>
      <c r="P281" s="2">
        <v>167</v>
      </c>
    </row>
    <row r="282" ht="23" customHeight="1" spans="1:16">
      <c r="A282" s="6" t="s">
        <v>369</v>
      </c>
      <c r="B282" s="2" t="s">
        <v>37</v>
      </c>
      <c r="C282" s="2" t="s">
        <v>17</v>
      </c>
      <c r="D282" s="2">
        <v>1</v>
      </c>
      <c r="E282" s="6" t="s">
        <v>497</v>
      </c>
      <c r="F282" s="2" t="str">
        <f t="shared" si="24"/>
        <v>A</v>
      </c>
      <c r="G282" s="2">
        <v>5</v>
      </c>
      <c r="H282" s="2" t="str">
        <f t="shared" si="25"/>
        <v>C</v>
      </c>
      <c r="I282" s="2">
        <v>2</v>
      </c>
      <c r="J282" s="2">
        <f t="shared" si="26"/>
        <v>3</v>
      </c>
      <c r="K282" s="2" t="str">
        <f t="shared" si="27"/>
        <v>A</v>
      </c>
      <c r="L282" s="2" t="str">
        <f t="shared" si="28"/>
        <v>A</v>
      </c>
      <c r="M282" s="2" t="s">
        <v>22</v>
      </c>
      <c r="N282" s="2">
        <f t="shared" si="29"/>
        <v>1</v>
      </c>
      <c r="O282" s="2" t="s">
        <v>22</v>
      </c>
      <c r="P282" s="2">
        <v>172</v>
      </c>
    </row>
    <row r="283" ht="23" customHeight="1" spans="1:16">
      <c r="A283" s="6" t="s">
        <v>369</v>
      </c>
      <c r="B283" s="2" t="s">
        <v>37</v>
      </c>
      <c r="C283" s="2" t="s">
        <v>23</v>
      </c>
      <c r="D283" s="2">
        <v>1</v>
      </c>
      <c r="E283" s="6" t="s">
        <v>497</v>
      </c>
      <c r="F283" s="2" t="str">
        <f t="shared" si="24"/>
        <v>C</v>
      </c>
      <c r="G283" s="2">
        <v>3</v>
      </c>
      <c r="H283" s="2" t="str">
        <f t="shared" si="25"/>
        <v>A</v>
      </c>
      <c r="I283" s="2">
        <v>5</v>
      </c>
      <c r="J283" s="2">
        <f t="shared" si="26"/>
        <v>-2</v>
      </c>
      <c r="K283" s="2" t="str">
        <f t="shared" si="27"/>
        <v>B</v>
      </c>
      <c r="L283" s="2" t="str">
        <f t="shared" si="28"/>
        <v>A</v>
      </c>
      <c r="M283" s="2" t="s">
        <v>22</v>
      </c>
      <c r="N283" s="2">
        <f t="shared" si="29"/>
        <v>1</v>
      </c>
      <c r="O283" s="2" t="s">
        <v>26</v>
      </c>
      <c r="P283" s="2">
        <v>173</v>
      </c>
    </row>
    <row r="284" ht="23" customHeight="1" spans="1:16">
      <c r="A284" s="6" t="s">
        <v>369</v>
      </c>
      <c r="B284" s="2" t="s">
        <v>37</v>
      </c>
      <c r="C284" s="2" t="s">
        <v>17</v>
      </c>
      <c r="D284" s="2">
        <v>2</v>
      </c>
      <c r="E284" s="6" t="s">
        <v>498</v>
      </c>
      <c r="F284" s="2" t="str">
        <f t="shared" si="24"/>
        <v>A</v>
      </c>
      <c r="G284" s="2">
        <v>5</v>
      </c>
      <c r="H284" s="2" t="str">
        <f t="shared" si="25"/>
        <v>C</v>
      </c>
      <c r="I284" s="2">
        <v>2</v>
      </c>
      <c r="J284" s="2">
        <f t="shared" si="26"/>
        <v>3</v>
      </c>
      <c r="K284" s="2" t="str">
        <f t="shared" si="27"/>
        <v>A</v>
      </c>
      <c r="L284" s="2" t="str">
        <f t="shared" si="28"/>
        <v>A</v>
      </c>
      <c r="M284" s="2" t="s">
        <v>22</v>
      </c>
      <c r="N284" s="2">
        <f t="shared" si="29"/>
        <v>1</v>
      </c>
      <c r="O284" s="2" t="s">
        <v>22</v>
      </c>
      <c r="P284" s="2">
        <v>172</v>
      </c>
    </row>
    <row r="285" ht="23" customHeight="1" spans="1:16">
      <c r="A285" s="6" t="s">
        <v>369</v>
      </c>
      <c r="B285" s="2" t="s">
        <v>37</v>
      </c>
      <c r="C285" s="2" t="s">
        <v>23</v>
      </c>
      <c r="D285" s="2">
        <v>2</v>
      </c>
      <c r="E285" s="6" t="s">
        <v>498</v>
      </c>
      <c r="F285" s="2" t="str">
        <f t="shared" si="24"/>
        <v>C</v>
      </c>
      <c r="G285" s="2">
        <v>2</v>
      </c>
      <c r="H285" s="2" t="str">
        <f t="shared" si="25"/>
        <v>A</v>
      </c>
      <c r="I285" s="2">
        <v>5</v>
      </c>
      <c r="J285" s="2">
        <f t="shared" si="26"/>
        <v>-3</v>
      </c>
      <c r="K285" s="2" t="str">
        <f t="shared" si="27"/>
        <v>B</v>
      </c>
      <c r="L285" s="2" t="str">
        <f t="shared" si="28"/>
        <v>A</v>
      </c>
      <c r="M285" s="2" t="s">
        <v>22</v>
      </c>
      <c r="N285" s="2">
        <f t="shared" si="29"/>
        <v>1</v>
      </c>
      <c r="O285" s="2" t="s">
        <v>26</v>
      </c>
      <c r="P285" s="2">
        <v>173</v>
      </c>
    </row>
    <row r="286" ht="23" customHeight="1" spans="1:16">
      <c r="A286" s="6" t="s">
        <v>369</v>
      </c>
      <c r="B286" s="2" t="s">
        <v>37</v>
      </c>
      <c r="C286" s="2" t="s">
        <v>17</v>
      </c>
      <c r="D286" s="2">
        <v>3</v>
      </c>
      <c r="E286" s="6" t="s">
        <v>499</v>
      </c>
      <c r="F286" s="2" t="str">
        <f t="shared" si="24"/>
        <v>A</v>
      </c>
      <c r="G286" s="2">
        <v>5</v>
      </c>
      <c r="H286" s="2" t="str">
        <f t="shared" si="25"/>
        <v>C</v>
      </c>
      <c r="I286" s="2">
        <v>2</v>
      </c>
      <c r="J286" s="2">
        <f t="shared" si="26"/>
        <v>3</v>
      </c>
      <c r="K286" s="2" t="str">
        <f t="shared" si="27"/>
        <v>A</v>
      </c>
      <c r="L286" s="2" t="str">
        <f t="shared" si="28"/>
        <v>A</v>
      </c>
      <c r="M286" s="2" t="s">
        <v>22</v>
      </c>
      <c r="N286" s="2">
        <f t="shared" si="29"/>
        <v>1</v>
      </c>
      <c r="O286" s="2" t="s">
        <v>22</v>
      </c>
      <c r="P286" s="2">
        <v>172</v>
      </c>
    </row>
    <row r="287" ht="23" customHeight="1" spans="1:16">
      <c r="A287" s="6" t="s">
        <v>369</v>
      </c>
      <c r="B287" s="2" t="s">
        <v>37</v>
      </c>
      <c r="C287" s="2" t="s">
        <v>23</v>
      </c>
      <c r="D287" s="2">
        <v>3</v>
      </c>
      <c r="E287" s="6" t="s">
        <v>499</v>
      </c>
      <c r="F287" s="2" t="str">
        <f t="shared" si="24"/>
        <v>C</v>
      </c>
      <c r="G287" s="2">
        <v>3</v>
      </c>
      <c r="H287" s="2" t="str">
        <f t="shared" si="25"/>
        <v>A</v>
      </c>
      <c r="I287" s="2">
        <v>5</v>
      </c>
      <c r="J287" s="2">
        <f t="shared" si="26"/>
        <v>-2</v>
      </c>
      <c r="K287" s="2" t="str">
        <f t="shared" si="27"/>
        <v>B</v>
      </c>
      <c r="L287" s="2" t="str">
        <f t="shared" si="28"/>
        <v>A</v>
      </c>
      <c r="M287" s="2" t="s">
        <v>22</v>
      </c>
      <c r="N287" s="2">
        <f t="shared" si="29"/>
        <v>1</v>
      </c>
      <c r="O287" s="2" t="s">
        <v>26</v>
      </c>
      <c r="P287" s="2">
        <v>173</v>
      </c>
    </row>
    <row r="288" ht="23" customHeight="1" spans="1:16">
      <c r="A288" s="6" t="s">
        <v>369</v>
      </c>
      <c r="B288" s="2" t="s">
        <v>37</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22</v>
      </c>
      <c r="N288" s="2">
        <f t="shared" si="29"/>
        <v>1</v>
      </c>
      <c r="O288" s="2" t="s">
        <v>22</v>
      </c>
      <c r="P288" s="2">
        <v>172</v>
      </c>
    </row>
    <row r="289" ht="23" customHeight="1" spans="1:16">
      <c r="A289" s="6" t="s">
        <v>369</v>
      </c>
      <c r="B289" s="2" t="s">
        <v>37</v>
      </c>
      <c r="C289" s="2" t="s">
        <v>23</v>
      </c>
      <c r="D289" s="2">
        <v>4</v>
      </c>
      <c r="E289" s="6" t="s">
        <v>500</v>
      </c>
      <c r="F289" s="2" t="str">
        <f t="shared" si="24"/>
        <v>C</v>
      </c>
      <c r="G289" s="2">
        <v>4</v>
      </c>
      <c r="H289" s="2" t="str">
        <f t="shared" si="25"/>
        <v>A</v>
      </c>
      <c r="I289" s="2">
        <v>5</v>
      </c>
      <c r="J289" s="2">
        <f t="shared" si="26"/>
        <v>-1</v>
      </c>
      <c r="K289" s="2" t="str">
        <f t="shared" si="27"/>
        <v>B</v>
      </c>
      <c r="L289" s="2" t="str">
        <f t="shared" si="28"/>
        <v>A</v>
      </c>
      <c r="M289" s="2" t="s">
        <v>22</v>
      </c>
      <c r="N289" s="2">
        <f t="shared" si="29"/>
        <v>1</v>
      </c>
      <c r="O289" s="2" t="s">
        <v>26</v>
      </c>
      <c r="P289" s="2">
        <v>173</v>
      </c>
    </row>
    <row r="290" ht="23" customHeight="1" spans="1:16">
      <c r="A290" s="6" t="s">
        <v>369</v>
      </c>
      <c r="B290" s="2" t="s">
        <v>37</v>
      </c>
      <c r="C290" s="2" t="s">
        <v>17</v>
      </c>
      <c r="D290" s="2">
        <v>5</v>
      </c>
      <c r="E290" s="6" t="s">
        <v>501</v>
      </c>
      <c r="F290" s="2" t="str">
        <f t="shared" si="24"/>
        <v>A</v>
      </c>
      <c r="G290" s="2">
        <v>5</v>
      </c>
      <c r="H290" s="2" t="str">
        <f t="shared" si="25"/>
        <v>C</v>
      </c>
      <c r="I290" s="2">
        <v>3</v>
      </c>
      <c r="J290" s="2">
        <f t="shared" si="26"/>
        <v>2</v>
      </c>
      <c r="K290" s="2" t="str">
        <f t="shared" si="27"/>
        <v>A</v>
      </c>
      <c r="L290" s="2" t="str">
        <f t="shared" si="28"/>
        <v>A</v>
      </c>
      <c r="M290" s="2" t="s">
        <v>22</v>
      </c>
      <c r="N290" s="2">
        <f t="shared" si="29"/>
        <v>1</v>
      </c>
      <c r="O290" s="2" t="s">
        <v>22</v>
      </c>
      <c r="P290" s="2">
        <v>172</v>
      </c>
    </row>
    <row r="291" ht="23" customHeight="1" spans="1:16">
      <c r="A291" s="6" t="s">
        <v>369</v>
      </c>
      <c r="B291" s="2" t="s">
        <v>37</v>
      </c>
      <c r="C291" s="2" t="s">
        <v>23</v>
      </c>
      <c r="D291" s="2">
        <v>5</v>
      </c>
      <c r="E291" s="6" t="s">
        <v>501</v>
      </c>
      <c r="F291" s="2" t="str">
        <f t="shared" si="24"/>
        <v>C</v>
      </c>
      <c r="G291" s="2">
        <v>2</v>
      </c>
      <c r="H291" s="2" t="str">
        <f t="shared" si="25"/>
        <v>A</v>
      </c>
      <c r="I291" s="2">
        <v>5</v>
      </c>
      <c r="J291" s="2">
        <f t="shared" si="26"/>
        <v>-3</v>
      </c>
      <c r="K291" s="2" t="str">
        <f t="shared" si="27"/>
        <v>B</v>
      </c>
      <c r="L291" s="2" t="str">
        <f t="shared" si="28"/>
        <v>A</v>
      </c>
      <c r="M291" s="2" t="s">
        <v>22</v>
      </c>
      <c r="N291" s="2">
        <f t="shared" si="29"/>
        <v>1</v>
      </c>
      <c r="O291" s="2" t="s">
        <v>26</v>
      </c>
      <c r="P291" s="2">
        <v>173</v>
      </c>
    </row>
    <row r="292" ht="23" customHeight="1" spans="1:16">
      <c r="A292" s="6" t="s">
        <v>369</v>
      </c>
      <c r="B292" s="2" t="s">
        <v>50</v>
      </c>
      <c r="C292" s="2" t="s">
        <v>17</v>
      </c>
      <c r="D292" s="2">
        <v>1</v>
      </c>
      <c r="E292" s="6" t="s">
        <v>497</v>
      </c>
      <c r="F292" s="2" t="str">
        <f t="shared" si="24"/>
        <v>B</v>
      </c>
      <c r="G292" s="2">
        <v>5</v>
      </c>
      <c r="H292" s="2" t="str">
        <f t="shared" si="25"/>
        <v>C</v>
      </c>
      <c r="I292" s="2">
        <v>2</v>
      </c>
      <c r="J292" s="2">
        <f t="shared" si="26"/>
        <v>3</v>
      </c>
      <c r="K292" s="2" t="str">
        <f t="shared" si="27"/>
        <v>A</v>
      </c>
      <c r="L292" s="2" t="str">
        <f t="shared" si="28"/>
        <v>B</v>
      </c>
      <c r="M292" s="2" t="s">
        <v>26</v>
      </c>
      <c r="N292" s="2">
        <f t="shared" si="29"/>
        <v>1</v>
      </c>
      <c r="O292" s="2" t="s">
        <v>22</v>
      </c>
      <c r="P292" s="2">
        <v>178</v>
      </c>
    </row>
    <row r="293" ht="23" customHeight="1" spans="1:16">
      <c r="A293" s="6" t="s">
        <v>369</v>
      </c>
      <c r="B293" s="2" t="s">
        <v>50</v>
      </c>
      <c r="C293" s="2" t="s">
        <v>23</v>
      </c>
      <c r="D293" s="2">
        <v>1</v>
      </c>
      <c r="E293" s="6" t="s">
        <v>497</v>
      </c>
      <c r="F293" s="2" t="str">
        <f t="shared" si="24"/>
        <v>C</v>
      </c>
      <c r="G293" s="2">
        <v>2</v>
      </c>
      <c r="H293" s="2" t="str">
        <f t="shared" si="25"/>
        <v>B</v>
      </c>
      <c r="I293" s="2">
        <v>5</v>
      </c>
      <c r="J293" s="2">
        <f t="shared" si="26"/>
        <v>-3</v>
      </c>
      <c r="K293" s="2" t="str">
        <f t="shared" si="27"/>
        <v>B</v>
      </c>
      <c r="L293" s="2" t="str">
        <f t="shared" si="28"/>
        <v>B</v>
      </c>
      <c r="M293" s="2" t="s">
        <v>26</v>
      </c>
      <c r="N293" s="2">
        <f t="shared" si="29"/>
        <v>1</v>
      </c>
      <c r="O293" s="2" t="s">
        <v>26</v>
      </c>
      <c r="P293" s="2">
        <v>179</v>
      </c>
    </row>
    <row r="294" ht="23" customHeight="1" spans="1:16">
      <c r="A294" s="6" t="s">
        <v>369</v>
      </c>
      <c r="B294" s="2" t="s">
        <v>50</v>
      </c>
      <c r="C294" s="2" t="s">
        <v>17</v>
      </c>
      <c r="D294" s="2">
        <v>2</v>
      </c>
      <c r="E294" s="6" t="s">
        <v>498</v>
      </c>
      <c r="F294" s="2" t="str">
        <f t="shared" si="24"/>
        <v>B</v>
      </c>
      <c r="G294" s="2">
        <v>5</v>
      </c>
      <c r="H294" s="2" t="str">
        <f t="shared" si="25"/>
        <v>C</v>
      </c>
      <c r="I294" s="2">
        <v>1</v>
      </c>
      <c r="J294" s="2">
        <f t="shared" si="26"/>
        <v>4</v>
      </c>
      <c r="K294" s="2" t="str">
        <f t="shared" si="27"/>
        <v>A</v>
      </c>
      <c r="L294" s="2" t="str">
        <f t="shared" si="28"/>
        <v>B</v>
      </c>
      <c r="M294" s="2" t="s">
        <v>26</v>
      </c>
      <c r="N294" s="2">
        <f t="shared" si="29"/>
        <v>1</v>
      </c>
      <c r="O294" s="2" t="s">
        <v>22</v>
      </c>
      <c r="P294" s="2">
        <v>178</v>
      </c>
    </row>
    <row r="295" ht="23" customHeight="1" spans="1:16">
      <c r="A295" s="6" t="s">
        <v>369</v>
      </c>
      <c r="B295" s="2" t="s">
        <v>50</v>
      </c>
      <c r="C295" s="2" t="s">
        <v>23</v>
      </c>
      <c r="D295" s="2">
        <v>2</v>
      </c>
      <c r="E295" s="6" t="s">
        <v>498</v>
      </c>
      <c r="F295" s="2" t="str">
        <f t="shared" si="24"/>
        <v>C</v>
      </c>
      <c r="G295" s="2">
        <v>2</v>
      </c>
      <c r="H295" s="2" t="str">
        <f t="shared" si="25"/>
        <v>B</v>
      </c>
      <c r="I295" s="2">
        <v>5</v>
      </c>
      <c r="J295" s="2">
        <f t="shared" si="26"/>
        <v>-3</v>
      </c>
      <c r="K295" s="2" t="str">
        <f t="shared" si="27"/>
        <v>B</v>
      </c>
      <c r="L295" s="2" t="str">
        <f t="shared" si="28"/>
        <v>B</v>
      </c>
      <c r="M295" s="2" t="s">
        <v>26</v>
      </c>
      <c r="N295" s="2">
        <f t="shared" si="29"/>
        <v>1</v>
      </c>
      <c r="O295" s="2" t="s">
        <v>26</v>
      </c>
      <c r="P295" s="2">
        <v>179</v>
      </c>
    </row>
    <row r="296" ht="23" customHeight="1" spans="1:16">
      <c r="A296" s="6" t="s">
        <v>369</v>
      </c>
      <c r="B296" s="2" t="s">
        <v>50</v>
      </c>
      <c r="C296" s="2" t="s">
        <v>17</v>
      </c>
      <c r="D296" s="2">
        <v>3</v>
      </c>
      <c r="E296" s="6" t="s">
        <v>499</v>
      </c>
      <c r="F296" s="2" t="str">
        <f t="shared" si="24"/>
        <v>B</v>
      </c>
      <c r="G296" s="2">
        <v>5</v>
      </c>
      <c r="H296" s="2" t="str">
        <f t="shared" si="25"/>
        <v>C</v>
      </c>
      <c r="I296" s="2">
        <v>3</v>
      </c>
      <c r="J296" s="2">
        <f t="shared" si="26"/>
        <v>2</v>
      </c>
      <c r="K296" s="2" t="str">
        <f t="shared" si="27"/>
        <v>A</v>
      </c>
      <c r="L296" s="2" t="str">
        <f t="shared" si="28"/>
        <v>B</v>
      </c>
      <c r="M296" s="2" t="s">
        <v>26</v>
      </c>
      <c r="N296" s="2">
        <f t="shared" si="29"/>
        <v>1</v>
      </c>
      <c r="O296" s="2" t="s">
        <v>22</v>
      </c>
      <c r="P296" s="2">
        <v>178</v>
      </c>
    </row>
    <row r="297" ht="23" customHeight="1" spans="1:16">
      <c r="A297" s="6" t="s">
        <v>369</v>
      </c>
      <c r="B297" s="2" t="s">
        <v>50</v>
      </c>
      <c r="C297" s="2" t="s">
        <v>23</v>
      </c>
      <c r="D297" s="2">
        <v>3</v>
      </c>
      <c r="E297" s="6" t="s">
        <v>499</v>
      </c>
      <c r="F297" s="2" t="str">
        <f t="shared" si="24"/>
        <v>C</v>
      </c>
      <c r="G297" s="2">
        <v>2</v>
      </c>
      <c r="H297" s="2" t="str">
        <f t="shared" si="25"/>
        <v>B</v>
      </c>
      <c r="I297" s="2">
        <v>5</v>
      </c>
      <c r="J297" s="2">
        <f t="shared" si="26"/>
        <v>-3</v>
      </c>
      <c r="K297" s="2" t="str">
        <f t="shared" si="27"/>
        <v>B</v>
      </c>
      <c r="L297" s="2" t="str">
        <f t="shared" si="28"/>
        <v>B</v>
      </c>
      <c r="M297" s="2" t="s">
        <v>26</v>
      </c>
      <c r="N297" s="2">
        <f t="shared" si="29"/>
        <v>1</v>
      </c>
      <c r="O297" s="2" t="s">
        <v>26</v>
      </c>
      <c r="P297" s="2">
        <v>179</v>
      </c>
    </row>
    <row r="298" ht="23" customHeight="1" spans="1:16">
      <c r="A298" s="6" t="s">
        <v>369</v>
      </c>
      <c r="B298" s="2" t="s">
        <v>50</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26</v>
      </c>
      <c r="N298" s="2">
        <f t="shared" si="29"/>
        <v>1</v>
      </c>
      <c r="O298" s="2" t="s">
        <v>22</v>
      </c>
      <c r="P298" s="2">
        <v>178</v>
      </c>
    </row>
    <row r="299" ht="23" customHeight="1" spans="1:16">
      <c r="A299" s="6" t="s">
        <v>369</v>
      </c>
      <c r="B299" s="2" t="s">
        <v>50</v>
      </c>
      <c r="C299" s="2" t="s">
        <v>23</v>
      </c>
      <c r="D299" s="2">
        <v>4</v>
      </c>
      <c r="E299" s="6" t="s">
        <v>500</v>
      </c>
      <c r="F299" s="2" t="str">
        <f t="shared" si="24"/>
        <v>C</v>
      </c>
      <c r="G299" s="2">
        <v>3</v>
      </c>
      <c r="H299" s="2" t="str">
        <f t="shared" si="25"/>
        <v>B</v>
      </c>
      <c r="I299" s="2">
        <v>5</v>
      </c>
      <c r="J299" s="2">
        <f t="shared" si="26"/>
        <v>-2</v>
      </c>
      <c r="K299" s="2" t="str">
        <f t="shared" si="27"/>
        <v>B</v>
      </c>
      <c r="L299" s="2" t="str">
        <f t="shared" si="28"/>
        <v>B</v>
      </c>
      <c r="M299" s="2" t="s">
        <v>26</v>
      </c>
      <c r="N299" s="2">
        <f t="shared" si="29"/>
        <v>1</v>
      </c>
      <c r="O299" s="2" t="s">
        <v>26</v>
      </c>
      <c r="P299" s="2">
        <v>179</v>
      </c>
    </row>
    <row r="300" ht="23" customHeight="1" spans="1:16">
      <c r="A300" s="6" t="s">
        <v>369</v>
      </c>
      <c r="B300" s="2" t="s">
        <v>50</v>
      </c>
      <c r="C300" s="2" t="s">
        <v>17</v>
      </c>
      <c r="D300" s="2">
        <v>5</v>
      </c>
      <c r="E300" s="6" t="s">
        <v>501</v>
      </c>
      <c r="F300" s="2" t="str">
        <f t="shared" si="24"/>
        <v>B</v>
      </c>
      <c r="G300" s="2">
        <v>5</v>
      </c>
      <c r="H300" s="2" t="str">
        <f t="shared" si="25"/>
        <v>C</v>
      </c>
      <c r="I300" s="2">
        <v>2</v>
      </c>
      <c r="J300" s="2">
        <f t="shared" si="26"/>
        <v>3</v>
      </c>
      <c r="K300" s="2" t="str">
        <f t="shared" si="27"/>
        <v>A</v>
      </c>
      <c r="L300" s="2" t="str">
        <f t="shared" si="28"/>
        <v>B</v>
      </c>
      <c r="M300" s="2" t="s">
        <v>26</v>
      </c>
      <c r="N300" s="2">
        <f t="shared" si="29"/>
        <v>1</v>
      </c>
      <c r="O300" s="2" t="s">
        <v>22</v>
      </c>
      <c r="P300" s="2">
        <v>178</v>
      </c>
    </row>
    <row r="301" ht="23" customHeight="1" spans="1:16">
      <c r="A301" s="6" t="s">
        <v>369</v>
      </c>
      <c r="B301" s="2" t="s">
        <v>50</v>
      </c>
      <c r="C301" s="2" t="s">
        <v>23</v>
      </c>
      <c r="D301" s="2">
        <v>5</v>
      </c>
      <c r="E301" s="6" t="s">
        <v>501</v>
      </c>
      <c r="F301" s="2" t="str">
        <f t="shared" si="24"/>
        <v>C</v>
      </c>
      <c r="G301" s="2">
        <v>3</v>
      </c>
      <c r="H301" s="2" t="str">
        <f t="shared" si="25"/>
        <v>B</v>
      </c>
      <c r="I301" s="2">
        <v>5</v>
      </c>
      <c r="J301" s="2">
        <f t="shared" si="26"/>
        <v>-2</v>
      </c>
      <c r="K301" s="2" t="str">
        <f t="shared" si="27"/>
        <v>B</v>
      </c>
      <c r="L301" s="2" t="str">
        <f t="shared" si="28"/>
        <v>B</v>
      </c>
      <c r="M301" s="2" t="s">
        <v>26</v>
      </c>
      <c r="N301" s="2">
        <f t="shared" si="29"/>
        <v>1</v>
      </c>
      <c r="O301" s="2" t="s">
        <v>26</v>
      </c>
      <c r="P301" s="2">
        <v>179</v>
      </c>
    </row>
    <row r="302" ht="23" customHeight="1" spans="1:16">
      <c r="A302" s="6" t="s">
        <v>407</v>
      </c>
      <c r="B302" s="2" t="s">
        <v>15</v>
      </c>
      <c r="C302" s="2" t="s">
        <v>17</v>
      </c>
      <c r="D302" s="2">
        <v>1</v>
      </c>
      <c r="E302" s="6" t="s">
        <v>497</v>
      </c>
      <c r="F302" s="2" t="str">
        <f t="shared" si="24"/>
        <v>A</v>
      </c>
      <c r="G302" s="2">
        <v>4</v>
      </c>
      <c r="H302" s="2" t="str">
        <f t="shared" si="25"/>
        <v>B</v>
      </c>
      <c r="I302" s="2">
        <v>5</v>
      </c>
      <c r="J302" s="2">
        <f t="shared" si="26"/>
        <v>-1</v>
      </c>
      <c r="K302" s="2" t="str">
        <f t="shared" si="27"/>
        <v>B</v>
      </c>
      <c r="L302" s="2" t="str">
        <f t="shared" si="28"/>
        <v>B</v>
      </c>
      <c r="M302" s="2" t="s">
        <v>22</v>
      </c>
      <c r="N302" s="2">
        <f t="shared" si="29"/>
        <v>0</v>
      </c>
      <c r="O302" s="2" t="s">
        <v>22</v>
      </c>
      <c r="P302" s="2">
        <v>184</v>
      </c>
    </row>
    <row r="303" ht="23" customHeight="1" spans="1:16">
      <c r="A303" s="6" t="s">
        <v>407</v>
      </c>
      <c r="B303" s="2" t="s">
        <v>15</v>
      </c>
      <c r="C303" s="2" t="s">
        <v>23</v>
      </c>
      <c r="D303" s="2">
        <v>1</v>
      </c>
      <c r="E303" s="6" t="s">
        <v>497</v>
      </c>
      <c r="F303" s="2" t="str">
        <f t="shared" si="24"/>
        <v>B</v>
      </c>
      <c r="G303" s="2">
        <v>5</v>
      </c>
      <c r="H303" s="2" t="str">
        <f t="shared" si="25"/>
        <v>A</v>
      </c>
      <c r="I303" s="2">
        <v>3</v>
      </c>
      <c r="J303" s="2">
        <f t="shared" si="26"/>
        <v>2</v>
      </c>
      <c r="K303" s="2" t="str">
        <f t="shared" si="27"/>
        <v>A</v>
      </c>
      <c r="L303" s="2" t="str">
        <f t="shared" si="28"/>
        <v>B</v>
      </c>
      <c r="M303" s="2" t="s">
        <v>22</v>
      </c>
      <c r="N303" s="2">
        <f t="shared" si="29"/>
        <v>0</v>
      </c>
      <c r="O303" s="2" t="s">
        <v>105</v>
      </c>
      <c r="P303" s="2">
        <v>185</v>
      </c>
    </row>
    <row r="304" ht="23" customHeight="1" spans="1:16">
      <c r="A304" s="6" t="s">
        <v>407</v>
      </c>
      <c r="B304" s="2" t="s">
        <v>15</v>
      </c>
      <c r="C304" s="2" t="s">
        <v>17</v>
      </c>
      <c r="D304" s="2">
        <v>2</v>
      </c>
      <c r="E304" s="6" t="s">
        <v>498</v>
      </c>
      <c r="F304" s="2" t="str">
        <f t="shared" si="24"/>
        <v>A</v>
      </c>
      <c r="G304" s="2">
        <v>5</v>
      </c>
      <c r="H304" s="2" t="str">
        <f t="shared" si="25"/>
        <v>B</v>
      </c>
      <c r="I304" s="2">
        <v>2</v>
      </c>
      <c r="J304" s="2">
        <f t="shared" si="26"/>
        <v>3</v>
      </c>
      <c r="K304" s="2" t="str">
        <f t="shared" si="27"/>
        <v>A</v>
      </c>
      <c r="L304" s="2" t="str">
        <f t="shared" si="28"/>
        <v>A</v>
      </c>
      <c r="M304" s="2" t="s">
        <v>22</v>
      </c>
      <c r="N304" s="2">
        <f t="shared" si="29"/>
        <v>1</v>
      </c>
      <c r="O304" s="2" t="s">
        <v>22</v>
      </c>
      <c r="P304" s="2">
        <v>184</v>
      </c>
    </row>
    <row r="305" ht="23" customHeight="1" spans="1:16">
      <c r="A305" s="6" t="s">
        <v>407</v>
      </c>
      <c r="B305" s="2" t="s">
        <v>15</v>
      </c>
      <c r="C305" s="2" t="s">
        <v>23</v>
      </c>
      <c r="D305" s="2">
        <v>2</v>
      </c>
      <c r="E305" s="6" t="s">
        <v>498</v>
      </c>
      <c r="F305" s="2" t="str">
        <f t="shared" si="24"/>
        <v>B</v>
      </c>
      <c r="G305" s="2">
        <v>2</v>
      </c>
      <c r="H305" s="2" t="str">
        <f t="shared" si="25"/>
        <v>A</v>
      </c>
      <c r="I305" s="2">
        <v>4</v>
      </c>
      <c r="J305" s="2">
        <f t="shared" si="26"/>
        <v>-2</v>
      </c>
      <c r="K305" s="2" t="str">
        <f t="shared" si="27"/>
        <v>B</v>
      </c>
      <c r="L305" s="2" t="str">
        <f t="shared" si="28"/>
        <v>A</v>
      </c>
      <c r="M305" s="2" t="s">
        <v>22</v>
      </c>
      <c r="N305" s="2">
        <f t="shared" si="29"/>
        <v>1</v>
      </c>
      <c r="O305" s="2" t="s">
        <v>105</v>
      </c>
      <c r="P305" s="2">
        <v>185</v>
      </c>
    </row>
    <row r="306" ht="23" customHeight="1" spans="1:16">
      <c r="A306" s="6" t="s">
        <v>407</v>
      </c>
      <c r="B306" s="2" t="s">
        <v>15</v>
      </c>
      <c r="C306" s="2" t="s">
        <v>17</v>
      </c>
      <c r="D306" s="2">
        <v>3</v>
      </c>
      <c r="E306" s="6" t="s">
        <v>499</v>
      </c>
      <c r="F306" s="2" t="str">
        <f t="shared" si="24"/>
        <v>A</v>
      </c>
      <c r="G306" s="2">
        <v>5</v>
      </c>
      <c r="H306" s="2" t="str">
        <f t="shared" si="25"/>
        <v>B</v>
      </c>
      <c r="I306" s="2">
        <v>5</v>
      </c>
      <c r="J306" s="2">
        <f t="shared" si="26"/>
        <v>0</v>
      </c>
      <c r="K306" s="2" t="str">
        <f t="shared" si="27"/>
        <v>C</v>
      </c>
      <c r="L306" s="2" t="str">
        <f t="shared" si="28"/>
        <v>D(平局)</v>
      </c>
      <c r="M306" s="2" t="s">
        <v>22</v>
      </c>
      <c r="N306" s="2">
        <f t="shared" si="29"/>
        <v>0</v>
      </c>
      <c r="O306" s="2" t="s">
        <v>22</v>
      </c>
      <c r="P306" s="2">
        <v>184</v>
      </c>
    </row>
    <row r="307" ht="23" customHeight="1" spans="1:16">
      <c r="A307" s="6" t="s">
        <v>407</v>
      </c>
      <c r="B307" s="2" t="s">
        <v>15</v>
      </c>
      <c r="C307" s="2" t="s">
        <v>23</v>
      </c>
      <c r="D307" s="2">
        <v>3</v>
      </c>
      <c r="E307" s="6" t="s">
        <v>499</v>
      </c>
      <c r="F307" s="2" t="str">
        <f t="shared" si="24"/>
        <v>B</v>
      </c>
      <c r="G307" s="2">
        <v>4</v>
      </c>
      <c r="H307" s="2" t="str">
        <f t="shared" si="25"/>
        <v>A</v>
      </c>
      <c r="I307" s="2">
        <v>4</v>
      </c>
      <c r="J307" s="2">
        <f t="shared" si="26"/>
        <v>0</v>
      </c>
      <c r="K307" s="2" t="str">
        <f t="shared" si="27"/>
        <v>C</v>
      </c>
      <c r="L307" s="2" t="str">
        <f t="shared" si="28"/>
        <v>D(平局)</v>
      </c>
      <c r="M307" s="2" t="s">
        <v>22</v>
      </c>
      <c r="N307" s="2">
        <f t="shared" si="29"/>
        <v>0</v>
      </c>
      <c r="O307" s="2" t="s">
        <v>105</v>
      </c>
      <c r="P307" s="2">
        <v>185</v>
      </c>
    </row>
    <row r="308" ht="23" customHeight="1" spans="1:16">
      <c r="A308" s="6" t="s">
        <v>407</v>
      </c>
      <c r="B308" s="2" t="s">
        <v>15</v>
      </c>
      <c r="C308" s="2" t="s">
        <v>17</v>
      </c>
      <c r="D308" s="2">
        <v>4</v>
      </c>
      <c r="E308" s="6" t="s">
        <v>500</v>
      </c>
      <c r="F308" s="2" t="str">
        <f t="shared" si="24"/>
        <v>A</v>
      </c>
      <c r="G308" s="2">
        <v>5</v>
      </c>
      <c r="H308" s="2" t="str">
        <f t="shared" si="25"/>
        <v>B</v>
      </c>
      <c r="I308" s="2">
        <v>5</v>
      </c>
      <c r="J308" s="2">
        <f t="shared" si="26"/>
        <v>0</v>
      </c>
      <c r="K308" s="2" t="str">
        <f t="shared" si="27"/>
        <v>C</v>
      </c>
      <c r="L308" s="2" t="str">
        <f t="shared" si="28"/>
        <v>D(平局)</v>
      </c>
      <c r="M308" s="2" t="s">
        <v>22</v>
      </c>
      <c r="N308" s="2">
        <f t="shared" si="29"/>
        <v>0</v>
      </c>
      <c r="O308" s="2" t="s">
        <v>22</v>
      </c>
      <c r="P308" s="2">
        <v>184</v>
      </c>
    </row>
    <row r="309" ht="23" customHeight="1" spans="1:16">
      <c r="A309" s="6" t="s">
        <v>407</v>
      </c>
      <c r="B309" s="2" t="s">
        <v>15</v>
      </c>
      <c r="C309" s="2" t="s">
        <v>23</v>
      </c>
      <c r="D309" s="2">
        <v>4</v>
      </c>
      <c r="E309" s="6" t="s">
        <v>500</v>
      </c>
      <c r="F309" s="2" t="str">
        <f t="shared" si="24"/>
        <v>B</v>
      </c>
      <c r="G309" s="2">
        <v>5</v>
      </c>
      <c r="H309" s="2" t="str">
        <f t="shared" si="25"/>
        <v>A</v>
      </c>
      <c r="I309" s="2">
        <v>4</v>
      </c>
      <c r="J309" s="2">
        <f t="shared" si="26"/>
        <v>1</v>
      </c>
      <c r="K309" s="2" t="str">
        <f t="shared" si="27"/>
        <v>A</v>
      </c>
      <c r="L309" s="2" t="str">
        <f t="shared" si="28"/>
        <v>B</v>
      </c>
      <c r="M309" s="2" t="s">
        <v>22</v>
      </c>
      <c r="N309" s="2">
        <f t="shared" si="29"/>
        <v>0</v>
      </c>
      <c r="O309" s="2" t="s">
        <v>105</v>
      </c>
      <c r="P309" s="2">
        <v>185</v>
      </c>
    </row>
    <row r="310" ht="23" customHeight="1" spans="1:16">
      <c r="A310" s="6" t="s">
        <v>407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22</v>
      </c>
      <c r="N310" s="2">
        <f t="shared" si="29"/>
        <v>1</v>
      </c>
      <c r="O310" s="2" t="s">
        <v>22</v>
      </c>
      <c r="P310" s="2">
        <v>184</v>
      </c>
    </row>
    <row r="311" ht="23" customHeight="1" spans="1:16">
      <c r="A311" s="6" t="s">
        <v>407</v>
      </c>
      <c r="B311" s="2" t="s">
        <v>15</v>
      </c>
      <c r="C311" s="2" t="s">
        <v>23</v>
      </c>
      <c r="D311" s="2">
        <v>5</v>
      </c>
      <c r="E311" s="6" t="s">
        <v>501</v>
      </c>
      <c r="F311" s="2" t="str">
        <f t="shared" si="24"/>
        <v>B</v>
      </c>
      <c r="G311" s="2">
        <v>4</v>
      </c>
      <c r="H311" s="2" t="str">
        <f t="shared" si="25"/>
        <v>A</v>
      </c>
      <c r="I311" s="2">
        <v>5</v>
      </c>
      <c r="J311" s="2">
        <f t="shared" si="26"/>
        <v>-1</v>
      </c>
      <c r="K311" s="2" t="str">
        <f t="shared" si="27"/>
        <v>B</v>
      </c>
      <c r="L311" s="2" t="str">
        <f t="shared" si="28"/>
        <v>A</v>
      </c>
      <c r="M311" s="2" t="s">
        <v>22</v>
      </c>
      <c r="N311" s="2">
        <f t="shared" si="29"/>
        <v>1</v>
      </c>
      <c r="O311" s="2" t="s">
        <v>105</v>
      </c>
      <c r="P311" s="2">
        <v>185</v>
      </c>
    </row>
    <row r="312" ht="23" customHeight="1" spans="1:16">
      <c r="A312" s="6" t="s">
        <v>407</v>
      </c>
      <c r="B312" s="2" t="s">
        <v>37</v>
      </c>
      <c r="C312" s="2" t="s">
        <v>17</v>
      </c>
      <c r="D312" s="2">
        <v>1</v>
      </c>
      <c r="E312" s="6" t="s">
        <v>497</v>
      </c>
      <c r="F312" s="2" t="str">
        <f t="shared" si="24"/>
        <v>A</v>
      </c>
      <c r="G312" s="2">
        <v>4</v>
      </c>
      <c r="H312" s="2" t="str">
        <f t="shared" si="25"/>
        <v>C</v>
      </c>
      <c r="I312" s="2">
        <v>5</v>
      </c>
      <c r="J312" s="2">
        <f t="shared" si="26"/>
        <v>-1</v>
      </c>
      <c r="K312" s="2" t="str">
        <f t="shared" si="27"/>
        <v>B</v>
      </c>
      <c r="L312" s="2" t="str">
        <f t="shared" si="28"/>
        <v>C</v>
      </c>
      <c r="M312" s="2" t="s">
        <v>105</v>
      </c>
      <c r="N312" s="2">
        <f t="shared" si="29"/>
        <v>1</v>
      </c>
      <c r="O312" s="2" t="s">
        <v>26</v>
      </c>
      <c r="P312" s="2">
        <v>190</v>
      </c>
    </row>
    <row r="313" ht="23" customHeight="1" spans="1:16">
      <c r="A313" s="6" t="s">
        <v>407</v>
      </c>
      <c r="B313" s="2" t="s">
        <v>37</v>
      </c>
      <c r="C313" s="2" t="s">
        <v>23</v>
      </c>
      <c r="D313" s="2">
        <v>1</v>
      </c>
      <c r="E313" s="6" t="s">
        <v>497</v>
      </c>
      <c r="F313" s="2" t="str">
        <f t="shared" si="24"/>
        <v>C</v>
      </c>
      <c r="G313" s="2">
        <v>5</v>
      </c>
      <c r="H313" s="2" t="str">
        <f t="shared" si="25"/>
        <v>A</v>
      </c>
      <c r="I313" s="2">
        <v>4</v>
      </c>
      <c r="J313" s="2">
        <f t="shared" si="26"/>
        <v>1</v>
      </c>
      <c r="K313" s="2" t="str">
        <f t="shared" si="27"/>
        <v>A</v>
      </c>
      <c r="L313" s="2" t="str">
        <f t="shared" si="28"/>
        <v>C</v>
      </c>
      <c r="M313" s="2" t="s">
        <v>105</v>
      </c>
      <c r="N313" s="2">
        <f t="shared" si="29"/>
        <v>1</v>
      </c>
      <c r="O313" s="2" t="s">
        <v>22</v>
      </c>
      <c r="P313" s="2">
        <v>191</v>
      </c>
    </row>
    <row r="314" ht="23" customHeight="1" spans="1:16">
      <c r="A314" s="6" t="s">
        <v>407</v>
      </c>
      <c r="B314" s="2" t="s">
        <v>37</v>
      </c>
      <c r="C314" s="2" t="s">
        <v>17</v>
      </c>
      <c r="D314" s="2">
        <v>2</v>
      </c>
      <c r="E314" s="6" t="s">
        <v>498</v>
      </c>
      <c r="F314" s="2" t="str">
        <f t="shared" si="24"/>
        <v>A</v>
      </c>
      <c r="G314" s="2">
        <v>4</v>
      </c>
      <c r="H314" s="2" t="str">
        <f t="shared" si="25"/>
        <v>C</v>
      </c>
      <c r="I314" s="2">
        <v>5</v>
      </c>
      <c r="J314" s="2">
        <f t="shared" si="26"/>
        <v>-1</v>
      </c>
      <c r="K314" s="2" t="str">
        <f t="shared" si="27"/>
        <v>B</v>
      </c>
      <c r="L314" s="2" t="str">
        <f t="shared" si="28"/>
        <v>C</v>
      </c>
      <c r="M314" s="2" t="s">
        <v>105</v>
      </c>
      <c r="N314" s="2">
        <f t="shared" si="29"/>
        <v>1</v>
      </c>
      <c r="O314" s="2" t="s">
        <v>26</v>
      </c>
      <c r="P314" s="2">
        <v>190</v>
      </c>
    </row>
    <row r="315" ht="23" customHeight="1" spans="1:16">
      <c r="A315" s="6" t="s">
        <v>407</v>
      </c>
      <c r="B315" s="2" t="s">
        <v>37</v>
      </c>
      <c r="C315" s="2" t="s">
        <v>23</v>
      </c>
      <c r="D315" s="2">
        <v>2</v>
      </c>
      <c r="E315" s="6" t="s">
        <v>498</v>
      </c>
      <c r="F315" s="2" t="str">
        <f t="shared" si="24"/>
        <v>C</v>
      </c>
      <c r="G315" s="2">
        <v>5</v>
      </c>
      <c r="H315" s="2" t="str">
        <f t="shared" si="25"/>
        <v>A</v>
      </c>
      <c r="I315" s="2">
        <v>4</v>
      </c>
      <c r="J315" s="2">
        <f t="shared" si="26"/>
        <v>1</v>
      </c>
      <c r="K315" s="2" t="str">
        <f t="shared" si="27"/>
        <v>A</v>
      </c>
      <c r="L315" s="2" t="str">
        <f t="shared" si="28"/>
        <v>C</v>
      </c>
      <c r="M315" s="2" t="s">
        <v>105</v>
      </c>
      <c r="N315" s="2">
        <f t="shared" si="29"/>
        <v>1</v>
      </c>
      <c r="O315" s="2" t="s">
        <v>22</v>
      </c>
      <c r="P315" s="2">
        <v>191</v>
      </c>
    </row>
    <row r="316" ht="23" customHeight="1" spans="1:16">
      <c r="A316" s="6" t="s">
        <v>407</v>
      </c>
      <c r="B316" s="2" t="s">
        <v>37</v>
      </c>
      <c r="C316" s="2" t="s">
        <v>17</v>
      </c>
      <c r="D316" s="2">
        <v>3</v>
      </c>
      <c r="E316" s="6" t="s">
        <v>499</v>
      </c>
      <c r="F316" s="2" t="str">
        <f t="shared" si="24"/>
        <v>A</v>
      </c>
      <c r="G316" s="2">
        <v>4</v>
      </c>
      <c r="H316" s="2" t="str">
        <f t="shared" si="25"/>
        <v>C</v>
      </c>
      <c r="I316" s="2">
        <v>5</v>
      </c>
      <c r="J316" s="2">
        <f t="shared" si="26"/>
        <v>-1</v>
      </c>
      <c r="K316" s="2" t="str">
        <f t="shared" si="27"/>
        <v>B</v>
      </c>
      <c r="L316" s="2" t="str">
        <f t="shared" si="28"/>
        <v>C</v>
      </c>
      <c r="M316" s="2" t="s">
        <v>105</v>
      </c>
      <c r="N316" s="2">
        <f t="shared" si="29"/>
        <v>1</v>
      </c>
      <c r="O316" s="2" t="s">
        <v>26</v>
      </c>
      <c r="P316" s="2">
        <v>190</v>
      </c>
    </row>
    <row r="317" ht="23" customHeight="1" spans="1:16">
      <c r="A317" s="6" t="s">
        <v>407</v>
      </c>
      <c r="B317" s="2" t="s">
        <v>37</v>
      </c>
      <c r="C317" s="2" t="s">
        <v>23</v>
      </c>
      <c r="D317" s="2">
        <v>3</v>
      </c>
      <c r="E317" s="6" t="s">
        <v>499</v>
      </c>
      <c r="F317" s="2" t="str">
        <f t="shared" si="24"/>
        <v>C</v>
      </c>
      <c r="G317" s="2">
        <v>5</v>
      </c>
      <c r="H317" s="2" t="str">
        <f t="shared" si="25"/>
        <v>A</v>
      </c>
      <c r="I317" s="2">
        <v>4</v>
      </c>
      <c r="J317" s="2">
        <f t="shared" si="26"/>
        <v>1</v>
      </c>
      <c r="K317" s="2" t="str">
        <f t="shared" si="27"/>
        <v>A</v>
      </c>
      <c r="L317" s="2" t="str">
        <f t="shared" si="28"/>
        <v>C</v>
      </c>
      <c r="M317" s="2" t="s">
        <v>105</v>
      </c>
      <c r="N317" s="2">
        <f t="shared" si="29"/>
        <v>1</v>
      </c>
      <c r="O317" s="2" t="s">
        <v>22</v>
      </c>
      <c r="P317" s="2">
        <v>191</v>
      </c>
    </row>
    <row r="318" ht="23" customHeight="1" spans="1:16">
      <c r="A318" s="6" t="s">
        <v>407</v>
      </c>
      <c r="B318" s="2" t="s">
        <v>37</v>
      </c>
      <c r="C318" s="2" t="s">
        <v>17</v>
      </c>
      <c r="D318" s="2">
        <v>4</v>
      </c>
      <c r="E318" s="6" t="s">
        <v>500</v>
      </c>
      <c r="F318" s="2" t="str">
        <f t="shared" si="24"/>
        <v>A</v>
      </c>
      <c r="G318" s="2">
        <v>5</v>
      </c>
      <c r="H318" s="2" t="str">
        <f t="shared" si="25"/>
        <v>C</v>
      </c>
      <c r="I318" s="2">
        <v>5</v>
      </c>
      <c r="J318" s="2">
        <f t="shared" si="26"/>
        <v>0</v>
      </c>
      <c r="K318" s="2" t="str">
        <f t="shared" si="27"/>
        <v>C</v>
      </c>
      <c r="L318" s="2" t="str">
        <f t="shared" si="28"/>
        <v>D(平局)</v>
      </c>
      <c r="M318" s="2" t="s">
        <v>105</v>
      </c>
      <c r="N318" s="2">
        <f t="shared" si="29"/>
        <v>0</v>
      </c>
      <c r="O318" s="2" t="s">
        <v>26</v>
      </c>
      <c r="P318" s="2">
        <v>190</v>
      </c>
    </row>
    <row r="319" ht="23" customHeight="1" spans="1:16">
      <c r="A319" s="6" t="s">
        <v>407</v>
      </c>
      <c r="B319" s="2" t="s">
        <v>37</v>
      </c>
      <c r="C319" s="2" t="s">
        <v>23</v>
      </c>
      <c r="D319" s="2">
        <v>4</v>
      </c>
      <c r="E319" s="6" t="s">
        <v>500</v>
      </c>
      <c r="F319" s="2" t="str">
        <f t="shared" si="24"/>
        <v>C</v>
      </c>
      <c r="G319" s="2">
        <v>5</v>
      </c>
      <c r="H319" s="2" t="str">
        <f t="shared" si="25"/>
        <v>A</v>
      </c>
      <c r="I319" s="2">
        <v>5</v>
      </c>
      <c r="J319" s="2">
        <f t="shared" si="26"/>
        <v>0</v>
      </c>
      <c r="K319" s="2" t="str">
        <f t="shared" si="27"/>
        <v>C</v>
      </c>
      <c r="L319" s="2" t="str">
        <f t="shared" si="28"/>
        <v>D(平局)</v>
      </c>
      <c r="M319" s="2" t="s">
        <v>105</v>
      </c>
      <c r="N319" s="2">
        <f t="shared" si="29"/>
        <v>0</v>
      </c>
      <c r="O319" s="2" t="s">
        <v>22</v>
      </c>
      <c r="P319" s="2">
        <v>191</v>
      </c>
    </row>
    <row r="320" ht="23" customHeight="1" spans="1:16">
      <c r="A320" s="6" t="s">
        <v>407</v>
      </c>
      <c r="B320" s="2" t="s">
        <v>37</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105</v>
      </c>
      <c r="N320" s="2">
        <f t="shared" si="29"/>
        <v>0</v>
      </c>
      <c r="O320" s="2" t="s">
        <v>26</v>
      </c>
      <c r="P320" s="2">
        <v>190</v>
      </c>
    </row>
    <row r="321" ht="23" customHeight="1" spans="1:16">
      <c r="A321" s="6" t="s">
        <v>407</v>
      </c>
      <c r="B321" s="2" t="s">
        <v>37</v>
      </c>
      <c r="C321" s="2" t="s">
        <v>23</v>
      </c>
      <c r="D321" s="2">
        <v>5</v>
      </c>
      <c r="E321" s="6" t="s">
        <v>501</v>
      </c>
      <c r="F321" s="2" t="str">
        <f t="shared" si="24"/>
        <v>C</v>
      </c>
      <c r="G321" s="2">
        <v>5</v>
      </c>
      <c r="H321" s="2" t="str">
        <f t="shared" si="25"/>
        <v>A</v>
      </c>
      <c r="I321" s="2">
        <v>5</v>
      </c>
      <c r="J321" s="2">
        <f t="shared" si="26"/>
        <v>0</v>
      </c>
      <c r="K321" s="2" t="str">
        <f t="shared" si="27"/>
        <v>C</v>
      </c>
      <c r="L321" s="2" t="str">
        <f t="shared" si="28"/>
        <v>D(平局)</v>
      </c>
      <c r="M321" s="2" t="s">
        <v>105</v>
      </c>
      <c r="N321" s="2">
        <f t="shared" si="29"/>
        <v>0</v>
      </c>
      <c r="O321" s="2" t="s">
        <v>22</v>
      </c>
      <c r="P321" s="2">
        <v>191</v>
      </c>
    </row>
    <row r="322" ht="23" customHeight="1" spans="1:16">
      <c r="A322" s="6" t="s">
        <v>407</v>
      </c>
      <c r="B322" s="2" t="s">
        <v>50</v>
      </c>
      <c r="C322" s="2" t="s">
        <v>17</v>
      </c>
      <c r="D322" s="2">
        <v>1</v>
      </c>
      <c r="E322" s="6" t="s">
        <v>497</v>
      </c>
      <c r="F322" s="2" t="str">
        <f t="shared" ref="F322:F361" si="30">IF(C322="l2r",LEFT(B322,1),RIGHT(B322,1))</f>
        <v>B</v>
      </c>
      <c r="G322" s="2">
        <v>5</v>
      </c>
      <c r="H322" s="2" t="str">
        <f t="shared" ref="H322:H361" si="31">IF(C322="l2r",RIGHT(B322,1),LEFT(B322,1))</f>
        <v>C</v>
      </c>
      <c r="I322" s="2">
        <v>5</v>
      </c>
      <c r="J322" s="2">
        <f t="shared" ref="J322:J361" si="32">G322-I322</f>
        <v>0</v>
      </c>
      <c r="K322" s="2" t="str">
        <f t="shared" ref="K322:K361" si="33">IF(J322=0,"C",IF(J322&gt;0,"A","B"))</f>
        <v>C</v>
      </c>
      <c r="L322" s="2" t="str">
        <f t="shared" ref="L322:L361" si="34">IF(J322=0,"D(平局)",IF(J322&gt;0,F322,H322))</f>
        <v>D(平局)</v>
      </c>
      <c r="M322" s="2" t="s">
        <v>105</v>
      </c>
      <c r="N322" s="2">
        <f t="shared" ref="N322:N361" si="35">--(L322=M322)</f>
        <v>0</v>
      </c>
      <c r="O322" s="2" t="s">
        <v>26</v>
      </c>
      <c r="P322" s="2">
        <v>196</v>
      </c>
    </row>
    <row r="323" ht="23" customHeight="1" spans="1:16">
      <c r="A323" s="6" t="s">
        <v>407</v>
      </c>
      <c r="B323" s="2" t="s">
        <v>50</v>
      </c>
      <c r="C323" s="2" t="s">
        <v>23</v>
      </c>
      <c r="D323" s="2">
        <v>1</v>
      </c>
      <c r="E323" s="6" t="s">
        <v>497</v>
      </c>
      <c r="F323" s="2" t="str">
        <f t="shared" si="30"/>
        <v>C</v>
      </c>
      <c r="G323" s="2">
        <v>5</v>
      </c>
      <c r="H323" s="2" t="str">
        <f t="shared" si="31"/>
        <v>B</v>
      </c>
      <c r="I323" s="2">
        <v>5</v>
      </c>
      <c r="J323" s="2">
        <f t="shared" si="32"/>
        <v>0</v>
      </c>
      <c r="K323" s="2" t="str">
        <f t="shared" si="33"/>
        <v>C</v>
      </c>
      <c r="L323" s="2" t="str">
        <f t="shared" si="34"/>
        <v>D(平局)</v>
      </c>
      <c r="M323" s="2" t="s">
        <v>105</v>
      </c>
      <c r="N323" s="2">
        <f t="shared" si="35"/>
        <v>0</v>
      </c>
      <c r="O323" s="2" t="s">
        <v>22</v>
      </c>
      <c r="P323" s="2">
        <v>197</v>
      </c>
    </row>
    <row r="324" ht="23" customHeight="1" spans="1:16">
      <c r="A324" s="6" t="s">
        <v>407</v>
      </c>
      <c r="B324" s="2" t="s">
        <v>50</v>
      </c>
      <c r="C324" s="2" t="s">
        <v>17</v>
      </c>
      <c r="D324" s="2">
        <v>2</v>
      </c>
      <c r="E324" s="6" t="s">
        <v>498</v>
      </c>
      <c r="F324" s="2" t="str">
        <f t="shared" si="30"/>
        <v>B</v>
      </c>
      <c r="G324" s="2">
        <v>2</v>
      </c>
      <c r="H324" s="2" t="str">
        <f t="shared" si="31"/>
        <v>C</v>
      </c>
      <c r="I324" s="2">
        <v>5</v>
      </c>
      <c r="J324" s="2">
        <f t="shared" si="32"/>
        <v>-3</v>
      </c>
      <c r="K324" s="2" t="str">
        <f t="shared" si="33"/>
        <v>B</v>
      </c>
      <c r="L324" s="2" t="str">
        <f t="shared" si="34"/>
        <v>C</v>
      </c>
      <c r="M324" s="2" t="s">
        <v>105</v>
      </c>
      <c r="N324" s="2">
        <f t="shared" si="35"/>
        <v>1</v>
      </c>
      <c r="O324" s="2" t="s">
        <v>26</v>
      </c>
      <c r="P324" s="2">
        <v>196</v>
      </c>
    </row>
    <row r="325" ht="23" customHeight="1" spans="1:16">
      <c r="A325" s="6" t="s">
        <v>407</v>
      </c>
      <c r="B325" s="2" t="s">
        <v>50</v>
      </c>
      <c r="C325" s="2" t="s">
        <v>23</v>
      </c>
      <c r="D325" s="2">
        <v>2</v>
      </c>
      <c r="E325" s="6" t="s">
        <v>498</v>
      </c>
      <c r="F325" s="2" t="str">
        <f t="shared" si="30"/>
        <v>C</v>
      </c>
      <c r="G325" s="2">
        <v>5</v>
      </c>
      <c r="H325" s="2" t="str">
        <f t="shared" si="31"/>
        <v>B</v>
      </c>
      <c r="I325" s="2">
        <v>2</v>
      </c>
      <c r="J325" s="2">
        <f t="shared" si="32"/>
        <v>3</v>
      </c>
      <c r="K325" s="2" t="str">
        <f t="shared" si="33"/>
        <v>A</v>
      </c>
      <c r="L325" s="2" t="str">
        <f t="shared" si="34"/>
        <v>C</v>
      </c>
      <c r="M325" s="2" t="s">
        <v>105</v>
      </c>
      <c r="N325" s="2">
        <f t="shared" si="35"/>
        <v>1</v>
      </c>
      <c r="O325" s="2" t="s">
        <v>22</v>
      </c>
      <c r="P325" s="2">
        <v>197</v>
      </c>
    </row>
    <row r="326" ht="23" customHeight="1" spans="1:16">
      <c r="A326" s="6" t="s">
        <v>407</v>
      </c>
      <c r="B326" s="2" t="s">
        <v>50</v>
      </c>
      <c r="C326" s="2" t="s">
        <v>17</v>
      </c>
      <c r="D326" s="2">
        <v>3</v>
      </c>
      <c r="E326" s="6" t="s">
        <v>499</v>
      </c>
      <c r="F326" s="2" t="str">
        <f t="shared" si="30"/>
        <v>B</v>
      </c>
      <c r="G326" s="2">
        <v>5</v>
      </c>
      <c r="H326" s="2" t="str">
        <f t="shared" si="31"/>
        <v>C</v>
      </c>
      <c r="I326" s="2">
        <v>5</v>
      </c>
      <c r="J326" s="2">
        <f t="shared" si="32"/>
        <v>0</v>
      </c>
      <c r="K326" s="2" t="str">
        <f t="shared" si="33"/>
        <v>C</v>
      </c>
      <c r="L326" s="2" t="str">
        <f t="shared" si="34"/>
        <v>D(平局)</v>
      </c>
      <c r="M326" s="2" t="s">
        <v>105</v>
      </c>
      <c r="N326" s="2">
        <f t="shared" si="35"/>
        <v>0</v>
      </c>
      <c r="O326" s="2" t="s">
        <v>26</v>
      </c>
      <c r="P326" s="2">
        <v>196</v>
      </c>
    </row>
    <row r="327" ht="23" customHeight="1" spans="1:16">
      <c r="A327" s="6" t="s">
        <v>407</v>
      </c>
      <c r="B327" s="2" t="s">
        <v>50</v>
      </c>
      <c r="C327" s="2" t="s">
        <v>23</v>
      </c>
      <c r="D327" s="2">
        <v>3</v>
      </c>
      <c r="E327" s="6" t="s">
        <v>499</v>
      </c>
      <c r="F327" s="2" t="str">
        <f t="shared" si="30"/>
        <v>C</v>
      </c>
      <c r="G327" s="2">
        <v>5</v>
      </c>
      <c r="H327" s="2" t="str">
        <f t="shared" si="31"/>
        <v>B</v>
      </c>
      <c r="I327" s="2">
        <v>5</v>
      </c>
      <c r="J327" s="2">
        <f t="shared" si="32"/>
        <v>0</v>
      </c>
      <c r="K327" s="2" t="str">
        <f t="shared" si="33"/>
        <v>C</v>
      </c>
      <c r="L327" s="2" t="str">
        <f t="shared" si="34"/>
        <v>D(平局)</v>
      </c>
      <c r="M327" s="2" t="s">
        <v>105</v>
      </c>
      <c r="N327" s="2">
        <f t="shared" si="35"/>
        <v>0</v>
      </c>
      <c r="O327" s="2" t="s">
        <v>22</v>
      </c>
      <c r="P327" s="2">
        <v>197</v>
      </c>
    </row>
    <row r="328" ht="23" customHeight="1" spans="1:16">
      <c r="A328" s="6" t="s">
        <v>407</v>
      </c>
      <c r="B328" s="2" t="s">
        <v>50</v>
      </c>
      <c r="C328" s="2" t="s">
        <v>17</v>
      </c>
      <c r="D328" s="2">
        <v>4</v>
      </c>
      <c r="E328" s="6" t="s">
        <v>500</v>
      </c>
      <c r="F328" s="2" t="str">
        <f t="shared" si="30"/>
        <v>B</v>
      </c>
      <c r="G328" s="2">
        <v>5</v>
      </c>
      <c r="H328" s="2" t="str">
        <f t="shared" si="31"/>
        <v>C</v>
      </c>
      <c r="I328" s="2">
        <v>5</v>
      </c>
      <c r="J328" s="2">
        <f t="shared" si="32"/>
        <v>0</v>
      </c>
      <c r="K328" s="2" t="str">
        <f t="shared" si="33"/>
        <v>C</v>
      </c>
      <c r="L328" s="2" t="str">
        <f t="shared" si="34"/>
        <v>D(平局)</v>
      </c>
      <c r="M328" s="2" t="s">
        <v>105</v>
      </c>
      <c r="N328" s="2">
        <f t="shared" si="35"/>
        <v>0</v>
      </c>
      <c r="O328" s="2" t="s">
        <v>26</v>
      </c>
      <c r="P328" s="2">
        <v>196</v>
      </c>
    </row>
    <row r="329" ht="23" customHeight="1" spans="1:16">
      <c r="A329" s="6" t="s">
        <v>407</v>
      </c>
      <c r="B329" s="2" t="s">
        <v>50</v>
      </c>
      <c r="C329" s="2" t="s">
        <v>23</v>
      </c>
      <c r="D329" s="2">
        <v>4</v>
      </c>
      <c r="E329" s="6" t="s">
        <v>500</v>
      </c>
      <c r="F329" s="2" t="str">
        <f t="shared" si="30"/>
        <v>C</v>
      </c>
      <c r="G329" s="2">
        <v>5</v>
      </c>
      <c r="H329" s="2" t="str">
        <f t="shared" si="31"/>
        <v>B</v>
      </c>
      <c r="I329" s="2">
        <v>5</v>
      </c>
      <c r="J329" s="2">
        <f t="shared" si="32"/>
        <v>0</v>
      </c>
      <c r="K329" s="2" t="str">
        <f t="shared" si="33"/>
        <v>C</v>
      </c>
      <c r="L329" s="2" t="str">
        <f t="shared" si="34"/>
        <v>D(平局)</v>
      </c>
      <c r="M329" s="2" t="s">
        <v>105</v>
      </c>
      <c r="N329" s="2">
        <f t="shared" si="35"/>
        <v>0</v>
      </c>
      <c r="O329" s="2" t="s">
        <v>22</v>
      </c>
      <c r="P329" s="2">
        <v>197</v>
      </c>
    </row>
    <row r="330" ht="23" customHeight="1" spans="1:16">
      <c r="A330" s="6" t="s">
        <v>407</v>
      </c>
      <c r="B330" s="2" t="s">
        <v>50</v>
      </c>
      <c r="C330" s="2" t="s">
        <v>17</v>
      </c>
      <c r="D330" s="2">
        <v>5</v>
      </c>
      <c r="E330" s="6" t="s">
        <v>501</v>
      </c>
      <c r="F330" s="2" t="str">
        <f t="shared" si="30"/>
        <v>B</v>
      </c>
      <c r="G330" s="2">
        <v>3</v>
      </c>
      <c r="H330" s="2" t="str">
        <f t="shared" si="31"/>
        <v>C</v>
      </c>
      <c r="I330" s="2">
        <v>5</v>
      </c>
      <c r="J330" s="2">
        <f t="shared" si="32"/>
        <v>-2</v>
      </c>
      <c r="K330" s="2" t="str">
        <f t="shared" si="33"/>
        <v>B</v>
      </c>
      <c r="L330" s="2" t="str">
        <f t="shared" si="34"/>
        <v>C</v>
      </c>
      <c r="M330" s="2" t="s">
        <v>105</v>
      </c>
      <c r="N330" s="2">
        <f t="shared" si="35"/>
        <v>1</v>
      </c>
      <c r="O330" s="2" t="s">
        <v>26</v>
      </c>
      <c r="P330" s="2">
        <v>196</v>
      </c>
    </row>
    <row r="331" ht="23" customHeight="1" spans="1:16">
      <c r="A331" s="6" t="s">
        <v>407</v>
      </c>
      <c r="B331" s="2" t="s">
        <v>50</v>
      </c>
      <c r="C331" s="2" t="s">
        <v>23</v>
      </c>
      <c r="D331" s="2">
        <v>5</v>
      </c>
      <c r="E331" s="6" t="s">
        <v>501</v>
      </c>
      <c r="F331" s="2" t="str">
        <f t="shared" si="30"/>
        <v>C</v>
      </c>
      <c r="G331" s="2">
        <v>5</v>
      </c>
      <c r="H331" s="2" t="str">
        <f t="shared" si="31"/>
        <v>B</v>
      </c>
      <c r="I331" s="2">
        <v>4</v>
      </c>
      <c r="J331" s="2">
        <f t="shared" si="32"/>
        <v>1</v>
      </c>
      <c r="K331" s="2" t="str">
        <f t="shared" si="33"/>
        <v>A</v>
      </c>
      <c r="L331" s="2" t="str">
        <f t="shared" si="34"/>
        <v>C</v>
      </c>
      <c r="M331" s="2" t="s">
        <v>105</v>
      </c>
      <c r="N331" s="2">
        <f t="shared" si="35"/>
        <v>1</v>
      </c>
      <c r="O331" s="2" t="s">
        <v>22</v>
      </c>
      <c r="P331" s="2">
        <v>197</v>
      </c>
    </row>
    <row r="332" ht="23" customHeight="1" spans="1:16">
      <c r="A332" s="6" t="s">
        <v>445</v>
      </c>
      <c r="B332" s="2" t="s">
        <v>15</v>
      </c>
      <c r="C332" s="2" t="s">
        <v>17</v>
      </c>
      <c r="D332" s="2">
        <v>1</v>
      </c>
      <c r="E332" s="6" t="s">
        <v>497</v>
      </c>
      <c r="F332" s="2" t="str">
        <f t="shared" si="30"/>
        <v>A</v>
      </c>
      <c r="G332" s="2">
        <v>5</v>
      </c>
      <c r="H332" s="2" t="str">
        <f t="shared" si="31"/>
        <v>B</v>
      </c>
      <c r="I332" s="2">
        <v>3</v>
      </c>
      <c r="J332" s="2">
        <f t="shared" si="32"/>
        <v>2</v>
      </c>
      <c r="K332" s="2" t="str">
        <f t="shared" si="33"/>
        <v>A</v>
      </c>
      <c r="L332" s="2" t="str">
        <f t="shared" si="34"/>
        <v>A</v>
      </c>
      <c r="M332" s="2" t="s">
        <v>22</v>
      </c>
      <c r="N332" s="2">
        <f t="shared" si="35"/>
        <v>1</v>
      </c>
      <c r="O332" s="2" t="s">
        <v>22</v>
      </c>
      <c r="P332" s="2">
        <v>202</v>
      </c>
    </row>
    <row r="333" ht="23" customHeight="1" spans="1:16">
      <c r="A333" s="6" t="s">
        <v>445</v>
      </c>
      <c r="B333" s="2" t="s">
        <v>15</v>
      </c>
      <c r="C333" s="2" t="s">
        <v>23</v>
      </c>
      <c r="D333" s="2">
        <v>1</v>
      </c>
      <c r="E333" s="6" t="s">
        <v>497</v>
      </c>
      <c r="F333" s="2" t="str">
        <f t="shared" si="30"/>
        <v>B</v>
      </c>
      <c r="G333" s="2">
        <v>3</v>
      </c>
      <c r="H333" s="2" t="str">
        <f t="shared" si="31"/>
        <v>A</v>
      </c>
      <c r="I333" s="2">
        <v>5</v>
      </c>
      <c r="J333" s="2">
        <f t="shared" si="32"/>
        <v>-2</v>
      </c>
      <c r="K333" s="2" t="str">
        <f t="shared" si="33"/>
        <v>B</v>
      </c>
      <c r="L333" s="2" t="str">
        <f t="shared" si="34"/>
        <v>A</v>
      </c>
      <c r="M333" s="2" t="s">
        <v>22</v>
      </c>
      <c r="N333" s="2">
        <f t="shared" si="35"/>
        <v>1</v>
      </c>
      <c r="O333" s="2" t="s">
        <v>26</v>
      </c>
      <c r="P333" s="2">
        <v>203</v>
      </c>
    </row>
    <row r="334" ht="23" customHeight="1" spans="1:16">
      <c r="A334" s="6" t="s">
        <v>445</v>
      </c>
      <c r="B334" s="2" t="s">
        <v>15</v>
      </c>
      <c r="C334" s="2" t="s">
        <v>17</v>
      </c>
      <c r="D334" s="2">
        <v>2</v>
      </c>
      <c r="E334" s="6" t="s">
        <v>498</v>
      </c>
      <c r="F334" s="2" t="str">
        <f t="shared" si="30"/>
        <v>A</v>
      </c>
      <c r="G334" s="2">
        <v>5</v>
      </c>
      <c r="H334" s="2" t="str">
        <f t="shared" si="31"/>
        <v>B</v>
      </c>
      <c r="I334" s="2">
        <v>3</v>
      </c>
      <c r="J334" s="2">
        <f t="shared" si="32"/>
        <v>2</v>
      </c>
      <c r="K334" s="2" t="str">
        <f t="shared" si="33"/>
        <v>A</v>
      </c>
      <c r="L334" s="2" t="str">
        <f t="shared" si="34"/>
        <v>A</v>
      </c>
      <c r="M334" s="2" t="s">
        <v>22</v>
      </c>
      <c r="N334" s="2">
        <f t="shared" si="35"/>
        <v>1</v>
      </c>
      <c r="O334" s="2" t="s">
        <v>22</v>
      </c>
      <c r="P334" s="2">
        <v>202</v>
      </c>
    </row>
    <row r="335" ht="23" customHeight="1" spans="1:16">
      <c r="A335" s="6" t="s">
        <v>445</v>
      </c>
      <c r="B335" s="2" t="s">
        <v>15</v>
      </c>
      <c r="C335" s="2" t="s">
        <v>23</v>
      </c>
      <c r="D335" s="2">
        <v>2</v>
      </c>
      <c r="E335" s="6" t="s">
        <v>498</v>
      </c>
      <c r="F335" s="2" t="str">
        <f t="shared" si="30"/>
        <v>B</v>
      </c>
      <c r="G335" s="2">
        <v>2</v>
      </c>
      <c r="H335" s="2" t="str">
        <f t="shared" si="31"/>
        <v>A</v>
      </c>
      <c r="I335" s="2">
        <v>5</v>
      </c>
      <c r="J335" s="2">
        <f t="shared" si="32"/>
        <v>-3</v>
      </c>
      <c r="K335" s="2" t="str">
        <f t="shared" si="33"/>
        <v>B</v>
      </c>
      <c r="L335" s="2" t="str">
        <f t="shared" si="34"/>
        <v>A</v>
      </c>
      <c r="M335" s="2" t="s">
        <v>22</v>
      </c>
      <c r="N335" s="2">
        <f t="shared" si="35"/>
        <v>1</v>
      </c>
      <c r="O335" s="2" t="s">
        <v>26</v>
      </c>
      <c r="P335" s="2">
        <v>203</v>
      </c>
    </row>
    <row r="336" ht="23" customHeight="1" spans="1:16">
      <c r="A336" s="6" t="s">
        <v>445</v>
      </c>
      <c r="B336" s="2" t="s">
        <v>15</v>
      </c>
      <c r="C336" s="2" t="s">
        <v>17</v>
      </c>
      <c r="D336" s="2">
        <v>3</v>
      </c>
      <c r="E336" s="6" t="s">
        <v>499</v>
      </c>
      <c r="F336" s="2" t="str">
        <f t="shared" si="30"/>
        <v>A</v>
      </c>
      <c r="G336" s="2">
        <v>5</v>
      </c>
      <c r="H336" s="2" t="str">
        <f t="shared" si="31"/>
        <v>B</v>
      </c>
      <c r="I336" s="2">
        <v>3</v>
      </c>
      <c r="J336" s="2">
        <f t="shared" si="32"/>
        <v>2</v>
      </c>
      <c r="K336" s="2" t="str">
        <f t="shared" si="33"/>
        <v>A</v>
      </c>
      <c r="L336" s="2" t="str">
        <f t="shared" si="34"/>
        <v>A</v>
      </c>
      <c r="M336" s="2" t="s">
        <v>22</v>
      </c>
      <c r="N336" s="2">
        <f t="shared" si="35"/>
        <v>1</v>
      </c>
      <c r="O336" s="2" t="s">
        <v>22</v>
      </c>
      <c r="P336" s="2">
        <v>202</v>
      </c>
    </row>
    <row r="337" ht="23" customHeight="1" spans="1:16">
      <c r="A337" s="6" t="s">
        <v>445</v>
      </c>
      <c r="B337" s="2" t="s">
        <v>15</v>
      </c>
      <c r="C337" s="2" t="s">
        <v>23</v>
      </c>
      <c r="D337" s="2">
        <v>3</v>
      </c>
      <c r="E337" s="6" t="s">
        <v>499</v>
      </c>
      <c r="F337" s="2" t="str">
        <f t="shared" si="30"/>
        <v>B</v>
      </c>
      <c r="G337" s="2">
        <v>3</v>
      </c>
      <c r="H337" s="2" t="str">
        <f t="shared" si="31"/>
        <v>A</v>
      </c>
      <c r="I337" s="2">
        <v>5</v>
      </c>
      <c r="J337" s="2">
        <f t="shared" si="32"/>
        <v>-2</v>
      </c>
      <c r="K337" s="2" t="str">
        <f t="shared" si="33"/>
        <v>B</v>
      </c>
      <c r="L337" s="2" t="str">
        <f t="shared" si="34"/>
        <v>A</v>
      </c>
      <c r="M337" s="2" t="s">
        <v>22</v>
      </c>
      <c r="N337" s="2">
        <f t="shared" si="35"/>
        <v>1</v>
      </c>
      <c r="O337" s="2" t="s">
        <v>26</v>
      </c>
      <c r="P337" s="2">
        <v>203</v>
      </c>
    </row>
    <row r="338" ht="23" customHeight="1" spans="1:16">
      <c r="A338" s="6" t="s">
        <v>445</v>
      </c>
      <c r="B338" s="2" t="s">
        <v>15</v>
      </c>
      <c r="C338" s="2" t="s">
        <v>17</v>
      </c>
      <c r="D338" s="2">
        <v>4</v>
      </c>
      <c r="E338" s="6" t="s">
        <v>500</v>
      </c>
      <c r="F338" s="2" t="str">
        <f t="shared" si="30"/>
        <v>A</v>
      </c>
      <c r="G338" s="2">
        <v>5</v>
      </c>
      <c r="H338" s="2" t="str">
        <f t="shared" si="31"/>
        <v>B</v>
      </c>
      <c r="I338" s="2">
        <v>3</v>
      </c>
      <c r="J338" s="2">
        <f t="shared" si="32"/>
        <v>2</v>
      </c>
      <c r="K338" s="2" t="str">
        <f t="shared" si="33"/>
        <v>A</v>
      </c>
      <c r="L338" s="2" t="str">
        <f t="shared" si="34"/>
        <v>A</v>
      </c>
      <c r="M338" s="2" t="s">
        <v>22</v>
      </c>
      <c r="N338" s="2">
        <f t="shared" si="35"/>
        <v>1</v>
      </c>
      <c r="O338" s="2" t="s">
        <v>22</v>
      </c>
      <c r="P338" s="2">
        <v>202</v>
      </c>
    </row>
    <row r="339" ht="23" customHeight="1" spans="1:16">
      <c r="A339" s="6" t="s">
        <v>445</v>
      </c>
      <c r="B339" s="2" t="s">
        <v>15</v>
      </c>
      <c r="C339" s="2" t="s">
        <v>23</v>
      </c>
      <c r="D339" s="2">
        <v>4</v>
      </c>
      <c r="E339" s="6" t="s">
        <v>500</v>
      </c>
      <c r="F339" s="2" t="str">
        <f t="shared" si="30"/>
        <v>B</v>
      </c>
      <c r="G339" s="2">
        <v>3</v>
      </c>
      <c r="H339" s="2" t="str">
        <f t="shared" si="31"/>
        <v>A</v>
      </c>
      <c r="I339" s="2">
        <v>5</v>
      </c>
      <c r="J339" s="2">
        <f t="shared" si="32"/>
        <v>-2</v>
      </c>
      <c r="K339" s="2" t="str">
        <f t="shared" si="33"/>
        <v>B</v>
      </c>
      <c r="L339" s="2" t="str">
        <f t="shared" si="34"/>
        <v>A</v>
      </c>
      <c r="M339" s="2" t="s">
        <v>22</v>
      </c>
      <c r="N339" s="2">
        <f t="shared" si="35"/>
        <v>1</v>
      </c>
      <c r="O339" s="2" t="s">
        <v>26</v>
      </c>
      <c r="P339" s="2">
        <v>203</v>
      </c>
    </row>
    <row r="340" ht="23" customHeight="1" spans="1:16">
      <c r="A340" s="6" t="s">
        <v>445</v>
      </c>
      <c r="B340" s="2" t="s">
        <v>15</v>
      </c>
      <c r="C340" s="2" t="s">
        <v>17</v>
      </c>
      <c r="D340" s="2">
        <v>5</v>
      </c>
      <c r="E340" s="6" t="s">
        <v>501</v>
      </c>
      <c r="F340" s="2" t="str">
        <f t="shared" si="30"/>
        <v>A</v>
      </c>
      <c r="G340" s="2">
        <v>5</v>
      </c>
      <c r="H340" s="2" t="str">
        <f t="shared" si="31"/>
        <v>B</v>
      </c>
      <c r="I340" s="2">
        <v>3</v>
      </c>
      <c r="J340" s="2">
        <f t="shared" si="32"/>
        <v>2</v>
      </c>
      <c r="K340" s="2" t="str">
        <f t="shared" si="33"/>
        <v>A</v>
      </c>
      <c r="L340" s="2" t="str">
        <f t="shared" si="34"/>
        <v>A</v>
      </c>
      <c r="M340" s="2" t="s">
        <v>22</v>
      </c>
      <c r="N340" s="2">
        <f t="shared" si="35"/>
        <v>1</v>
      </c>
      <c r="O340" s="2" t="s">
        <v>22</v>
      </c>
      <c r="P340" s="2">
        <v>202</v>
      </c>
    </row>
    <row r="341" ht="23" customHeight="1" spans="1:16">
      <c r="A341" s="6" t="s">
        <v>445</v>
      </c>
      <c r="B341" s="2" t="s">
        <v>15</v>
      </c>
      <c r="C341" s="2" t="s">
        <v>23</v>
      </c>
      <c r="D341" s="2">
        <v>5</v>
      </c>
      <c r="E341" s="6" t="s">
        <v>501</v>
      </c>
      <c r="F341" s="2" t="str">
        <f t="shared" si="30"/>
        <v>B</v>
      </c>
      <c r="G341" s="2">
        <v>2</v>
      </c>
      <c r="H341" s="2" t="str">
        <f t="shared" si="31"/>
        <v>A</v>
      </c>
      <c r="I341" s="2">
        <v>5</v>
      </c>
      <c r="J341" s="2">
        <f t="shared" si="32"/>
        <v>-3</v>
      </c>
      <c r="K341" s="2" t="str">
        <f t="shared" si="33"/>
        <v>B</v>
      </c>
      <c r="L341" s="2" t="str">
        <f t="shared" si="34"/>
        <v>A</v>
      </c>
      <c r="M341" s="2" t="s">
        <v>22</v>
      </c>
      <c r="N341" s="2">
        <f t="shared" si="35"/>
        <v>1</v>
      </c>
      <c r="O341" s="2" t="s">
        <v>26</v>
      </c>
      <c r="P341" s="2">
        <v>203</v>
      </c>
    </row>
    <row r="342" ht="23" customHeight="1" spans="1:16">
      <c r="A342" s="6" t="s">
        <v>445</v>
      </c>
      <c r="B342" s="2" t="s">
        <v>37</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106</v>
      </c>
      <c r="N342" s="2">
        <f t="shared" si="35"/>
        <v>1</v>
      </c>
      <c r="O342" s="2" t="s">
        <v>22</v>
      </c>
      <c r="P342" s="2">
        <v>208</v>
      </c>
    </row>
    <row r="343" ht="23" customHeight="1" spans="1:16">
      <c r="A343" s="6" t="s">
        <v>445</v>
      </c>
      <c r="B343" s="2" t="s">
        <v>37</v>
      </c>
      <c r="C343" s="2" t="s">
        <v>23</v>
      </c>
      <c r="D343" s="2">
        <v>1</v>
      </c>
      <c r="E343" s="6" t="s">
        <v>497</v>
      </c>
      <c r="F343" s="2" t="str">
        <f t="shared" si="30"/>
        <v>C</v>
      </c>
      <c r="G343" s="2">
        <v>5</v>
      </c>
      <c r="H343" s="2" t="str">
        <f t="shared" si="31"/>
        <v>A</v>
      </c>
      <c r="I343" s="2">
        <v>5</v>
      </c>
      <c r="J343" s="2">
        <f t="shared" si="32"/>
        <v>0</v>
      </c>
      <c r="K343" s="2" t="str">
        <f t="shared" si="33"/>
        <v>C</v>
      </c>
      <c r="L343" s="2" t="str">
        <f t="shared" si="34"/>
        <v>D(平局)</v>
      </c>
      <c r="M343" s="2" t="s">
        <v>106</v>
      </c>
      <c r="N343" s="2">
        <f t="shared" si="35"/>
        <v>1</v>
      </c>
      <c r="O343" s="2" t="s">
        <v>26</v>
      </c>
      <c r="P343" s="2">
        <v>209</v>
      </c>
    </row>
    <row r="344" ht="23" customHeight="1" spans="1:16">
      <c r="A344" s="6" t="s">
        <v>445</v>
      </c>
      <c r="B344" s="2" t="s">
        <v>37</v>
      </c>
      <c r="C344" s="2" t="s">
        <v>17</v>
      </c>
      <c r="D344" s="2">
        <v>2</v>
      </c>
      <c r="E344" s="6" t="s">
        <v>498</v>
      </c>
      <c r="F344" s="2" t="str">
        <f t="shared" si="30"/>
        <v>A</v>
      </c>
      <c r="G344" s="2">
        <v>5</v>
      </c>
      <c r="H344" s="2" t="str">
        <f t="shared" si="31"/>
        <v>C</v>
      </c>
      <c r="I344" s="2">
        <v>3</v>
      </c>
      <c r="J344" s="2">
        <f t="shared" si="32"/>
        <v>2</v>
      </c>
      <c r="K344" s="2" t="str">
        <f t="shared" si="33"/>
        <v>A</v>
      </c>
      <c r="L344" s="2" t="str">
        <f t="shared" si="34"/>
        <v>A</v>
      </c>
      <c r="M344" s="2" t="s">
        <v>106</v>
      </c>
      <c r="N344" s="2">
        <f t="shared" si="35"/>
        <v>0</v>
      </c>
      <c r="O344" s="2" t="s">
        <v>22</v>
      </c>
      <c r="P344" s="2">
        <v>208</v>
      </c>
    </row>
    <row r="345" ht="23" customHeight="1" spans="1:16">
      <c r="A345" s="6" t="s">
        <v>445</v>
      </c>
      <c r="B345" s="2" t="s">
        <v>37</v>
      </c>
      <c r="C345" s="2" t="s">
        <v>23</v>
      </c>
      <c r="D345" s="2">
        <v>2</v>
      </c>
      <c r="E345" s="6" t="s">
        <v>498</v>
      </c>
      <c r="F345" s="2" t="str">
        <f t="shared" si="30"/>
        <v>C</v>
      </c>
      <c r="G345" s="2">
        <v>3</v>
      </c>
      <c r="H345" s="2" t="str">
        <f t="shared" si="31"/>
        <v>A</v>
      </c>
      <c r="I345" s="2">
        <v>4</v>
      </c>
      <c r="J345" s="2">
        <f t="shared" si="32"/>
        <v>-1</v>
      </c>
      <c r="K345" s="2" t="str">
        <f t="shared" si="33"/>
        <v>B</v>
      </c>
      <c r="L345" s="2" t="str">
        <f t="shared" si="34"/>
        <v>A</v>
      </c>
      <c r="M345" s="2" t="s">
        <v>106</v>
      </c>
      <c r="N345" s="2">
        <f t="shared" si="35"/>
        <v>0</v>
      </c>
      <c r="O345" s="2" t="s">
        <v>26</v>
      </c>
      <c r="P345" s="2">
        <v>209</v>
      </c>
    </row>
    <row r="346" ht="23" customHeight="1" spans="1:16">
      <c r="A346" s="6" t="s">
        <v>445</v>
      </c>
      <c r="B346" s="2" t="s">
        <v>37</v>
      </c>
      <c r="C346" s="2" t="s">
        <v>17</v>
      </c>
      <c r="D346" s="2">
        <v>3</v>
      </c>
      <c r="E346" s="6" t="s">
        <v>499</v>
      </c>
      <c r="F346" s="2" t="str">
        <f t="shared" si="30"/>
        <v>A</v>
      </c>
      <c r="G346" s="2">
        <v>5</v>
      </c>
      <c r="H346" s="2" t="str">
        <f t="shared" si="31"/>
        <v>C</v>
      </c>
      <c r="I346" s="2">
        <v>5</v>
      </c>
      <c r="J346" s="2">
        <f t="shared" si="32"/>
        <v>0</v>
      </c>
      <c r="K346" s="2" t="str">
        <f t="shared" si="33"/>
        <v>C</v>
      </c>
      <c r="L346" s="2" t="str">
        <f t="shared" si="34"/>
        <v>D(平局)</v>
      </c>
      <c r="M346" s="2" t="s">
        <v>106</v>
      </c>
      <c r="N346" s="2">
        <f t="shared" si="35"/>
        <v>1</v>
      </c>
      <c r="O346" s="2" t="s">
        <v>22</v>
      </c>
      <c r="P346" s="2">
        <v>208</v>
      </c>
    </row>
    <row r="347" ht="23" customHeight="1" spans="1:16">
      <c r="A347" s="6" t="s">
        <v>445</v>
      </c>
      <c r="B347" s="2" t="s">
        <v>37</v>
      </c>
      <c r="C347" s="2" t="s">
        <v>23</v>
      </c>
      <c r="D347" s="2">
        <v>3</v>
      </c>
      <c r="E347" s="6" t="s">
        <v>499</v>
      </c>
      <c r="F347" s="2" t="str">
        <f t="shared" si="30"/>
        <v>C</v>
      </c>
      <c r="G347" s="2">
        <v>5</v>
      </c>
      <c r="H347" s="2" t="str">
        <f t="shared" si="31"/>
        <v>A</v>
      </c>
      <c r="I347" s="2">
        <v>5</v>
      </c>
      <c r="J347" s="2">
        <f t="shared" si="32"/>
        <v>0</v>
      </c>
      <c r="K347" s="2" t="str">
        <f t="shared" si="33"/>
        <v>C</v>
      </c>
      <c r="L347" s="2" t="str">
        <f t="shared" si="34"/>
        <v>D(平局)</v>
      </c>
      <c r="M347" s="2" t="s">
        <v>106</v>
      </c>
      <c r="N347" s="2">
        <f t="shared" si="35"/>
        <v>1</v>
      </c>
      <c r="O347" s="2" t="s">
        <v>26</v>
      </c>
      <c r="P347" s="2">
        <v>209</v>
      </c>
    </row>
    <row r="348" ht="23" customHeight="1" spans="1:16">
      <c r="A348" s="6" t="s">
        <v>445</v>
      </c>
      <c r="B348" s="2" t="s">
        <v>37</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106</v>
      </c>
      <c r="N348" s="2">
        <f t="shared" si="35"/>
        <v>1</v>
      </c>
      <c r="O348" s="2" t="s">
        <v>22</v>
      </c>
      <c r="P348" s="2">
        <v>208</v>
      </c>
    </row>
    <row r="349" ht="23" customHeight="1" spans="1:16">
      <c r="A349" s="6" t="s">
        <v>445</v>
      </c>
      <c r="B349" s="2" t="s">
        <v>37</v>
      </c>
      <c r="C349" s="2" t="s">
        <v>23</v>
      </c>
      <c r="D349" s="2">
        <v>4</v>
      </c>
      <c r="E349" s="6" t="s">
        <v>500</v>
      </c>
      <c r="F349" s="2" t="str">
        <f t="shared" si="30"/>
        <v>C</v>
      </c>
      <c r="G349" s="2">
        <v>5</v>
      </c>
      <c r="H349" s="2" t="str">
        <f t="shared" si="31"/>
        <v>A</v>
      </c>
      <c r="I349" s="2">
        <v>5</v>
      </c>
      <c r="J349" s="2">
        <f t="shared" si="32"/>
        <v>0</v>
      </c>
      <c r="K349" s="2" t="str">
        <f t="shared" si="33"/>
        <v>C</v>
      </c>
      <c r="L349" s="2" t="str">
        <f t="shared" si="34"/>
        <v>D(平局)</v>
      </c>
      <c r="M349" s="2" t="s">
        <v>106</v>
      </c>
      <c r="N349" s="2">
        <f t="shared" si="35"/>
        <v>1</v>
      </c>
      <c r="O349" s="2" t="s">
        <v>26</v>
      </c>
      <c r="P349" s="2">
        <v>209</v>
      </c>
    </row>
    <row r="350" ht="23" customHeight="1" spans="1:16">
      <c r="A350" s="6" t="s">
        <v>445</v>
      </c>
      <c r="B350" s="2" t="s">
        <v>37</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106</v>
      </c>
      <c r="N350" s="2">
        <f t="shared" si="35"/>
        <v>1</v>
      </c>
      <c r="O350" s="2" t="s">
        <v>22</v>
      </c>
      <c r="P350" s="2">
        <v>208</v>
      </c>
    </row>
    <row r="351" ht="23" customHeight="1" spans="1:16">
      <c r="A351" s="6" t="s">
        <v>445</v>
      </c>
      <c r="B351" s="2" t="s">
        <v>37</v>
      </c>
      <c r="C351" s="2" t="s">
        <v>23</v>
      </c>
      <c r="D351" s="2">
        <v>5</v>
      </c>
      <c r="E351" s="6" t="s">
        <v>501</v>
      </c>
      <c r="F351" s="2" t="str">
        <f t="shared" si="30"/>
        <v>C</v>
      </c>
      <c r="G351" s="2">
        <v>5</v>
      </c>
      <c r="H351" s="2" t="str">
        <f t="shared" si="31"/>
        <v>A</v>
      </c>
      <c r="I351" s="2">
        <v>5</v>
      </c>
      <c r="J351" s="2">
        <f t="shared" si="32"/>
        <v>0</v>
      </c>
      <c r="K351" s="2" t="str">
        <f t="shared" si="33"/>
        <v>C</v>
      </c>
      <c r="L351" s="2" t="str">
        <f t="shared" si="34"/>
        <v>D(平局)</v>
      </c>
      <c r="M351" s="2" t="s">
        <v>106</v>
      </c>
      <c r="N351" s="2">
        <f t="shared" si="35"/>
        <v>1</v>
      </c>
      <c r="O351" s="2" t="s">
        <v>26</v>
      </c>
      <c r="P351" s="2">
        <v>209</v>
      </c>
    </row>
    <row r="352" ht="23" customHeight="1" spans="1:16">
      <c r="A352" s="6" t="s">
        <v>445</v>
      </c>
      <c r="B352" s="2" t="s">
        <v>50</v>
      </c>
      <c r="C352" s="2" t="s">
        <v>17</v>
      </c>
      <c r="D352" s="2">
        <v>1</v>
      </c>
      <c r="E352" s="6" t="s">
        <v>497</v>
      </c>
      <c r="F352" s="2" t="str">
        <f t="shared" si="30"/>
        <v>B</v>
      </c>
      <c r="G352" s="2">
        <v>3</v>
      </c>
      <c r="H352" s="2" t="str">
        <f t="shared" si="31"/>
        <v>C</v>
      </c>
      <c r="I352" s="2">
        <v>5</v>
      </c>
      <c r="J352" s="2">
        <f t="shared" si="32"/>
        <v>-2</v>
      </c>
      <c r="K352" s="2" t="str">
        <f t="shared" si="33"/>
        <v>B</v>
      </c>
      <c r="L352" s="2" t="str">
        <f t="shared" si="34"/>
        <v>C</v>
      </c>
      <c r="M352" s="2" t="s">
        <v>105</v>
      </c>
      <c r="N352" s="2">
        <f t="shared" si="35"/>
        <v>1</v>
      </c>
      <c r="O352" s="2" t="s">
        <v>26</v>
      </c>
      <c r="P352" s="2">
        <v>214</v>
      </c>
    </row>
    <row r="353" ht="23" customHeight="1" spans="1:16">
      <c r="A353" s="6" t="s">
        <v>445</v>
      </c>
      <c r="B353" s="2" t="s">
        <v>50</v>
      </c>
      <c r="C353" s="2" t="s">
        <v>23</v>
      </c>
      <c r="D353" s="2">
        <v>1</v>
      </c>
      <c r="E353" s="6" t="s">
        <v>497</v>
      </c>
      <c r="F353" s="2" t="str">
        <f t="shared" si="30"/>
        <v>C</v>
      </c>
      <c r="G353" s="2">
        <v>5</v>
      </c>
      <c r="H353" s="2" t="str">
        <f t="shared" si="31"/>
        <v>B</v>
      </c>
      <c r="I353" s="2">
        <v>3</v>
      </c>
      <c r="J353" s="2">
        <f t="shared" si="32"/>
        <v>2</v>
      </c>
      <c r="K353" s="2" t="str">
        <f t="shared" si="33"/>
        <v>A</v>
      </c>
      <c r="L353" s="2" t="str">
        <f t="shared" si="34"/>
        <v>C</v>
      </c>
      <c r="M353" s="2" t="s">
        <v>105</v>
      </c>
      <c r="N353" s="2">
        <f t="shared" si="35"/>
        <v>1</v>
      </c>
      <c r="O353" s="2" t="s">
        <v>22</v>
      </c>
      <c r="P353" s="2">
        <v>215</v>
      </c>
    </row>
    <row r="354" ht="23" customHeight="1" spans="1:16">
      <c r="A354" s="6" t="s">
        <v>445</v>
      </c>
      <c r="B354" s="2" t="s">
        <v>50</v>
      </c>
      <c r="C354" s="2" t="s">
        <v>17</v>
      </c>
      <c r="D354" s="2">
        <v>2</v>
      </c>
      <c r="E354" s="6" t="s">
        <v>498</v>
      </c>
      <c r="F354" s="2" t="str">
        <f t="shared" si="30"/>
        <v>B</v>
      </c>
      <c r="G354" s="2">
        <v>3</v>
      </c>
      <c r="H354" s="2" t="str">
        <f t="shared" si="31"/>
        <v>C</v>
      </c>
      <c r="I354" s="2">
        <v>3</v>
      </c>
      <c r="J354" s="2">
        <f t="shared" si="32"/>
        <v>0</v>
      </c>
      <c r="K354" s="2" t="str">
        <f t="shared" si="33"/>
        <v>C</v>
      </c>
      <c r="L354" s="2" t="str">
        <f t="shared" si="34"/>
        <v>D(平局)</v>
      </c>
      <c r="M354" s="2" t="s">
        <v>105</v>
      </c>
      <c r="N354" s="2">
        <f t="shared" si="35"/>
        <v>0</v>
      </c>
      <c r="O354" s="2" t="s">
        <v>26</v>
      </c>
      <c r="P354" s="2">
        <v>214</v>
      </c>
    </row>
    <row r="355" ht="23" customHeight="1" spans="1:16">
      <c r="A355" s="6" t="s">
        <v>445</v>
      </c>
      <c r="B355" s="2" t="s">
        <v>50</v>
      </c>
      <c r="C355" s="2" t="s">
        <v>23</v>
      </c>
      <c r="D355" s="2">
        <v>2</v>
      </c>
      <c r="E355" s="6" t="s">
        <v>498</v>
      </c>
      <c r="F355" s="2" t="str">
        <f t="shared" si="30"/>
        <v>C</v>
      </c>
      <c r="G355" s="2">
        <v>3</v>
      </c>
      <c r="H355" s="2" t="str">
        <f t="shared" si="31"/>
        <v>B</v>
      </c>
      <c r="I355" s="2">
        <v>3</v>
      </c>
      <c r="J355" s="2">
        <f t="shared" si="32"/>
        <v>0</v>
      </c>
      <c r="K355" s="2" t="str">
        <f t="shared" si="33"/>
        <v>C</v>
      </c>
      <c r="L355" s="2" t="str">
        <f t="shared" si="34"/>
        <v>D(平局)</v>
      </c>
      <c r="M355" s="2" t="s">
        <v>105</v>
      </c>
      <c r="N355" s="2">
        <f t="shared" si="35"/>
        <v>0</v>
      </c>
      <c r="O355" s="2" t="s">
        <v>22</v>
      </c>
      <c r="P355" s="2">
        <v>215</v>
      </c>
    </row>
    <row r="356" ht="23" customHeight="1" spans="1:16">
      <c r="A356" s="6" t="s">
        <v>445</v>
      </c>
      <c r="B356" s="2" t="s">
        <v>50</v>
      </c>
      <c r="C356" s="2" t="s">
        <v>17</v>
      </c>
      <c r="D356" s="2">
        <v>3</v>
      </c>
      <c r="E356" s="6" t="s">
        <v>499</v>
      </c>
      <c r="F356" s="2" t="str">
        <f t="shared" si="30"/>
        <v>B</v>
      </c>
      <c r="G356" s="2">
        <v>3</v>
      </c>
      <c r="H356" s="2" t="str">
        <f t="shared" si="31"/>
        <v>C</v>
      </c>
      <c r="I356" s="2">
        <v>5</v>
      </c>
      <c r="J356" s="2">
        <f t="shared" si="32"/>
        <v>-2</v>
      </c>
      <c r="K356" s="2" t="str">
        <f t="shared" si="33"/>
        <v>B</v>
      </c>
      <c r="L356" s="2" t="str">
        <f t="shared" si="34"/>
        <v>C</v>
      </c>
      <c r="M356" s="2" t="s">
        <v>105</v>
      </c>
      <c r="N356" s="2">
        <f t="shared" si="35"/>
        <v>1</v>
      </c>
      <c r="O356" s="2" t="s">
        <v>26</v>
      </c>
      <c r="P356" s="2">
        <v>214</v>
      </c>
    </row>
    <row r="357" ht="23" customHeight="1" spans="1:16">
      <c r="A357" s="6" t="s">
        <v>445</v>
      </c>
      <c r="B357" s="2" t="s">
        <v>50</v>
      </c>
      <c r="C357" s="2" t="s">
        <v>23</v>
      </c>
      <c r="D357" s="2">
        <v>3</v>
      </c>
      <c r="E357" s="6" t="s">
        <v>499</v>
      </c>
      <c r="F357" s="2" t="str">
        <f t="shared" si="30"/>
        <v>C</v>
      </c>
      <c r="G357" s="2">
        <v>5</v>
      </c>
      <c r="H357" s="2" t="str">
        <f t="shared" si="31"/>
        <v>B</v>
      </c>
      <c r="I357" s="2">
        <v>3</v>
      </c>
      <c r="J357" s="2">
        <f t="shared" si="32"/>
        <v>2</v>
      </c>
      <c r="K357" s="2" t="str">
        <f t="shared" si="33"/>
        <v>A</v>
      </c>
      <c r="L357" s="2" t="str">
        <f t="shared" si="34"/>
        <v>C</v>
      </c>
      <c r="M357" s="2" t="s">
        <v>105</v>
      </c>
      <c r="N357" s="2">
        <f t="shared" si="35"/>
        <v>1</v>
      </c>
      <c r="O357" s="2" t="s">
        <v>22</v>
      </c>
      <c r="P357" s="2">
        <v>215</v>
      </c>
    </row>
    <row r="358" ht="23" customHeight="1" spans="1:16">
      <c r="A358" s="6" t="s">
        <v>445</v>
      </c>
      <c r="B358" s="2" t="s">
        <v>50</v>
      </c>
      <c r="C358" s="2" t="s">
        <v>17</v>
      </c>
      <c r="D358" s="2">
        <v>4</v>
      </c>
      <c r="E358" s="6" t="s">
        <v>500</v>
      </c>
      <c r="F358" s="2" t="str">
        <f t="shared" si="30"/>
        <v>B</v>
      </c>
      <c r="G358" s="2">
        <v>3</v>
      </c>
      <c r="H358" s="2" t="str">
        <f t="shared" si="31"/>
        <v>C</v>
      </c>
      <c r="I358" s="2">
        <v>5</v>
      </c>
      <c r="J358" s="2">
        <f t="shared" si="32"/>
        <v>-2</v>
      </c>
      <c r="K358" s="2" t="str">
        <f t="shared" si="33"/>
        <v>B</v>
      </c>
      <c r="L358" s="2" t="str">
        <f t="shared" si="34"/>
        <v>C</v>
      </c>
      <c r="M358" s="2" t="s">
        <v>105</v>
      </c>
      <c r="N358" s="2">
        <f t="shared" si="35"/>
        <v>1</v>
      </c>
      <c r="O358" s="2" t="s">
        <v>26</v>
      </c>
      <c r="P358" s="2">
        <v>214</v>
      </c>
    </row>
    <row r="359" ht="23" customHeight="1" spans="1:16">
      <c r="A359" s="6" t="s">
        <v>445</v>
      </c>
      <c r="B359" s="2" t="s">
        <v>50</v>
      </c>
      <c r="C359" s="2" t="s">
        <v>23</v>
      </c>
      <c r="D359" s="2">
        <v>4</v>
      </c>
      <c r="E359" s="6" t="s">
        <v>500</v>
      </c>
      <c r="F359" s="2" t="str">
        <f t="shared" si="30"/>
        <v>C</v>
      </c>
      <c r="G359" s="2">
        <v>5</v>
      </c>
      <c r="H359" s="2" t="str">
        <f t="shared" si="31"/>
        <v>B</v>
      </c>
      <c r="I359" s="2">
        <v>3</v>
      </c>
      <c r="J359" s="2">
        <f t="shared" si="32"/>
        <v>2</v>
      </c>
      <c r="K359" s="2" t="str">
        <f t="shared" si="33"/>
        <v>A</v>
      </c>
      <c r="L359" s="2" t="str">
        <f t="shared" si="34"/>
        <v>C</v>
      </c>
      <c r="M359" s="2" t="s">
        <v>105</v>
      </c>
      <c r="N359" s="2">
        <f t="shared" si="35"/>
        <v>1</v>
      </c>
      <c r="O359" s="2" t="s">
        <v>22</v>
      </c>
      <c r="P359" s="2">
        <v>215</v>
      </c>
    </row>
    <row r="360" ht="23" customHeight="1" spans="1:16">
      <c r="A360" s="6" t="s">
        <v>445</v>
      </c>
      <c r="B360" s="2" t="s">
        <v>50</v>
      </c>
      <c r="C360" s="2" t="s">
        <v>17</v>
      </c>
      <c r="D360" s="2">
        <v>5</v>
      </c>
      <c r="E360" s="6" t="s">
        <v>501</v>
      </c>
      <c r="F360" s="2" t="str">
        <f t="shared" si="30"/>
        <v>B</v>
      </c>
      <c r="G360" s="2">
        <v>3</v>
      </c>
      <c r="H360" s="2" t="str">
        <f t="shared" si="31"/>
        <v>C</v>
      </c>
      <c r="I360" s="2">
        <v>5</v>
      </c>
      <c r="J360" s="2">
        <f t="shared" si="32"/>
        <v>-2</v>
      </c>
      <c r="K360" s="2" t="str">
        <f t="shared" si="33"/>
        <v>B</v>
      </c>
      <c r="L360" s="2" t="str">
        <f t="shared" si="34"/>
        <v>C</v>
      </c>
      <c r="M360" s="2" t="s">
        <v>105</v>
      </c>
      <c r="N360" s="2">
        <f t="shared" si="35"/>
        <v>1</v>
      </c>
      <c r="O360" s="2" t="s">
        <v>26</v>
      </c>
      <c r="P360" s="2">
        <v>214</v>
      </c>
    </row>
    <row r="361" ht="23" customHeight="1" spans="1:16">
      <c r="A361" s="6" t="s">
        <v>445</v>
      </c>
      <c r="B361" s="2" t="s">
        <v>50</v>
      </c>
      <c r="C361" s="2" t="s">
        <v>23</v>
      </c>
      <c r="D361" s="2">
        <v>5</v>
      </c>
      <c r="E361" s="6" t="s">
        <v>501</v>
      </c>
      <c r="F361" s="2" t="str">
        <f t="shared" si="30"/>
        <v>C</v>
      </c>
      <c r="G361" s="2">
        <v>4</v>
      </c>
      <c r="H361" s="2" t="str">
        <f t="shared" si="31"/>
        <v>B</v>
      </c>
      <c r="I361" s="2">
        <v>2</v>
      </c>
      <c r="J361" s="2">
        <f t="shared" si="32"/>
        <v>2</v>
      </c>
      <c r="K361" s="2" t="str">
        <f t="shared" si="33"/>
        <v>A</v>
      </c>
      <c r="L361" s="2" t="str">
        <f t="shared" si="34"/>
        <v>C</v>
      </c>
      <c r="M361" s="2" t="s">
        <v>105</v>
      </c>
      <c r="N361" s="2">
        <f t="shared" si="35"/>
        <v>1</v>
      </c>
      <c r="O361" s="2" t="s">
        <v>22</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topLeftCell="J1"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13</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22</v>
      </c>
      <c r="R2" s="2">
        <f t="shared" ref="R2:R65" si="2">--(P2=Q2)</f>
        <v>1</v>
      </c>
      <c r="S2" s="2">
        <v>2</v>
      </c>
      <c r="T2" s="2">
        <v>3</v>
      </c>
      <c r="U2" s="2" t="str">
        <f t="shared" ref="U2:U65" si="3">IF(P2&lt;&gt;"D(平局)","",IF(O2=0,"方向冲突","双向评分平局"))</f>
        <v/>
      </c>
    </row>
    <row r="3" ht="23" customHeight="1" spans="1:21">
      <c r="A3" s="6" t="s">
        <v>13</v>
      </c>
      <c r="B3" s="2" t="s">
        <v>15</v>
      </c>
      <c r="C3" s="2">
        <v>2</v>
      </c>
      <c r="D3" s="6" t="s">
        <v>498</v>
      </c>
      <c r="E3" s="2" t="str">
        <f>five子指标方向明细!F4</f>
        <v>A</v>
      </c>
      <c r="F3" s="2">
        <f>five子指标方向明细!G4</f>
        <v>5</v>
      </c>
      <c r="G3" s="2" t="str">
        <f>five子指标方向明细!H4</f>
        <v>B</v>
      </c>
      <c r="H3" s="2">
        <f>five子指标方向明细!I4</f>
        <v>3</v>
      </c>
      <c r="I3" s="2" t="str">
        <f>five子指标方向明细!L4</f>
        <v>A</v>
      </c>
      <c r="J3" s="2" t="str">
        <f>five子指标方向明细!F5</f>
        <v>B</v>
      </c>
      <c r="K3" s="2">
        <f>five子指标方向明细!G5</f>
        <v>3</v>
      </c>
      <c r="L3" s="2" t="str">
        <f>five子指标方向明细!H5</f>
        <v>A</v>
      </c>
      <c r="M3" s="2">
        <f>five子指标方向明细!I5</f>
        <v>5</v>
      </c>
      <c r="N3" s="2" t="str">
        <f>five子指标方向明细!L5</f>
        <v>A</v>
      </c>
      <c r="O3" s="2">
        <f t="shared" si="0"/>
        <v>1</v>
      </c>
      <c r="P3" s="2" t="str">
        <f t="shared" si="1"/>
        <v>A</v>
      </c>
      <c r="Q3" s="2" t="s">
        <v>22</v>
      </c>
      <c r="R3" s="2">
        <f t="shared" si="2"/>
        <v>1</v>
      </c>
      <c r="S3" s="2">
        <v>4</v>
      </c>
      <c r="T3" s="2">
        <v>5</v>
      </c>
      <c r="U3" s="2" t="str">
        <f t="shared" si="3"/>
        <v/>
      </c>
    </row>
    <row r="4" ht="23" customHeight="1" spans="1:21">
      <c r="A4" s="6" t="s">
        <v>13</v>
      </c>
      <c r="B4" s="2" t="s">
        <v>15</v>
      </c>
      <c r="C4" s="2">
        <v>3</v>
      </c>
      <c r="D4" s="6" t="s">
        <v>499</v>
      </c>
      <c r="E4" s="2" t="str">
        <f>five子指标方向明细!F6</f>
        <v>A</v>
      </c>
      <c r="F4" s="2">
        <f>five子指标方向明细!G6</f>
        <v>5</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22</v>
      </c>
      <c r="R5" s="2">
        <f t="shared" si="2"/>
        <v>1</v>
      </c>
      <c r="S5" s="2">
        <v>8</v>
      </c>
      <c r="T5" s="2">
        <v>9</v>
      </c>
      <c r="U5" s="2" t="str">
        <f t="shared" si="3"/>
        <v/>
      </c>
    </row>
    <row r="6" ht="23" customHeight="1" spans="1:21">
      <c r="A6" s="6" t="s">
        <v>13</v>
      </c>
      <c r="B6" s="2" t="s">
        <v>15</v>
      </c>
      <c r="C6" s="2">
        <v>5</v>
      </c>
      <c r="D6" s="6" t="s">
        <v>501</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4</v>
      </c>
      <c r="L6" s="2" t="str">
        <f>five子指标方向明细!H11</f>
        <v>A</v>
      </c>
      <c r="M6" s="2">
        <f>five子指标方向明细!I11</f>
        <v>5</v>
      </c>
      <c r="N6" s="2" t="str">
        <f>five子指标方向明细!L11</f>
        <v>A</v>
      </c>
      <c r="O6" s="2">
        <f t="shared" si="0"/>
        <v>0</v>
      </c>
      <c r="P6" s="2" t="str">
        <f t="shared" si="1"/>
        <v>D(平局)</v>
      </c>
      <c r="Q6" s="2" t="s">
        <v>22</v>
      </c>
      <c r="R6" s="2">
        <f t="shared" si="2"/>
        <v>0</v>
      </c>
      <c r="S6" s="2">
        <v>10</v>
      </c>
      <c r="T6" s="2">
        <v>11</v>
      </c>
      <c r="U6" s="2" t="str">
        <f t="shared" si="3"/>
        <v>方向冲突</v>
      </c>
    </row>
    <row r="7" ht="23" customHeight="1" spans="1:21">
      <c r="A7" s="6" t="s">
        <v>13</v>
      </c>
      <c r="B7" s="2" t="s">
        <v>37</v>
      </c>
      <c r="C7" s="2">
        <v>1</v>
      </c>
      <c r="D7" s="6" t="s">
        <v>497</v>
      </c>
      <c r="E7" s="2" t="str">
        <f>five子指标方向明细!F12</f>
        <v>A</v>
      </c>
      <c r="F7" s="2">
        <f>five子指标方向明细!G12</f>
        <v>5</v>
      </c>
      <c r="G7" s="2" t="str">
        <f>five子指标方向明细!H12</f>
        <v>C</v>
      </c>
      <c r="H7" s="2">
        <f>five子指标方向明细!I12</f>
        <v>2</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37</v>
      </c>
      <c r="C8" s="2">
        <v>2</v>
      </c>
      <c r="D8" s="6" t="s">
        <v>498</v>
      </c>
      <c r="E8" s="2" t="str">
        <f>five子指标方向明细!F14</f>
        <v>A</v>
      </c>
      <c r="F8" s="2">
        <f>five子指标方向明细!G14</f>
        <v>5</v>
      </c>
      <c r="G8" s="2" t="str">
        <f>five子指标方向明细!H14</f>
        <v>C</v>
      </c>
      <c r="H8" s="2">
        <f>five子指标方向明细!I14</f>
        <v>1</v>
      </c>
      <c r="I8" s="2" t="str">
        <f>five子指标方向明细!L14</f>
        <v>A</v>
      </c>
      <c r="J8" s="2" t="str">
        <f>five子指标方向明细!F15</f>
        <v>C</v>
      </c>
      <c r="K8" s="2">
        <f>five子指标方向明细!G15</f>
        <v>1</v>
      </c>
      <c r="L8" s="2" t="str">
        <f>five子指标方向明细!H15</f>
        <v>A</v>
      </c>
      <c r="M8" s="2">
        <f>five子指标方向明细!I15</f>
        <v>5</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37</v>
      </c>
      <c r="C9" s="2">
        <v>3</v>
      </c>
      <c r="D9" s="6" t="s">
        <v>499</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1</v>
      </c>
      <c r="L9" s="2" t="str">
        <f>five子指标方向明细!H17</f>
        <v>A</v>
      </c>
      <c r="M9" s="2">
        <f>five子指标方向明细!I17</f>
        <v>5</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37</v>
      </c>
      <c r="C10" s="2">
        <v>4</v>
      </c>
      <c r="D10" s="6" t="s">
        <v>500</v>
      </c>
      <c r="E10" s="2" t="str">
        <f>five子指标方向明细!F18</f>
        <v>A</v>
      </c>
      <c r="F10" s="2">
        <f>five子指标方向明细!G18</f>
        <v>5</v>
      </c>
      <c r="G10" s="2" t="str">
        <f>five子指标方向明细!H18</f>
        <v>C</v>
      </c>
      <c r="H10" s="2">
        <f>five子指标方向明细!I18</f>
        <v>3</v>
      </c>
      <c r="I10" s="2" t="str">
        <f>five子指标方向明细!L18</f>
        <v>A</v>
      </c>
      <c r="J10" s="2" t="str">
        <f>five子指标方向明细!F19</f>
        <v>C</v>
      </c>
      <c r="K10" s="2">
        <f>five子指标方向明细!G19</f>
        <v>3</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37</v>
      </c>
      <c r="C11" s="2">
        <v>5</v>
      </c>
      <c r="D11" s="6" t="s">
        <v>501</v>
      </c>
      <c r="E11" s="2" t="str">
        <f>five子指标方向明细!F20</f>
        <v>A</v>
      </c>
      <c r="F11" s="2">
        <f>five子指标方向明细!G20</f>
        <v>5</v>
      </c>
      <c r="G11" s="2" t="str">
        <f>five子指标方向明细!H20</f>
        <v>C</v>
      </c>
      <c r="H11" s="2">
        <f>five子指标方向明细!I20</f>
        <v>2</v>
      </c>
      <c r="I11" s="2" t="str">
        <f>five子指标方向明细!L20</f>
        <v>A</v>
      </c>
      <c r="J11" s="2" t="str">
        <f>five子指标方向明细!F21</f>
        <v>C</v>
      </c>
      <c r="K11" s="2">
        <f>five子指标方向明细!G21</f>
        <v>3</v>
      </c>
      <c r="L11" s="2" t="str">
        <f>five子指标方向明细!H21</f>
        <v>A</v>
      </c>
      <c r="M11" s="2">
        <f>five子指标方向明细!I21</f>
        <v>5</v>
      </c>
      <c r="N11" s="2" t="str">
        <f>five子指标方向明细!L21</f>
        <v>A</v>
      </c>
      <c r="O11" s="2">
        <f t="shared" si="0"/>
        <v>1</v>
      </c>
      <c r="P11" s="2" t="str">
        <f t="shared" si="1"/>
        <v>A</v>
      </c>
      <c r="Q11" s="2" t="s">
        <v>22</v>
      </c>
      <c r="R11" s="2">
        <f t="shared" si="2"/>
        <v>1</v>
      </c>
      <c r="S11" s="2">
        <v>20</v>
      </c>
      <c r="T11" s="2">
        <v>21</v>
      </c>
      <c r="U11" s="2" t="str">
        <f t="shared" si="3"/>
        <v/>
      </c>
    </row>
    <row r="12" ht="23" customHeight="1" spans="1:21">
      <c r="A12" s="6" t="s">
        <v>13</v>
      </c>
      <c r="B12" s="2" t="s">
        <v>50</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26</v>
      </c>
      <c r="R12" s="2">
        <f t="shared" si="2"/>
        <v>1</v>
      </c>
      <c r="S12" s="2">
        <v>22</v>
      </c>
      <c r="T12" s="2">
        <v>23</v>
      </c>
      <c r="U12" s="2" t="str">
        <f t="shared" si="3"/>
        <v/>
      </c>
    </row>
    <row r="13" ht="23" customHeight="1" spans="1:21">
      <c r="A13" s="6" t="s">
        <v>13</v>
      </c>
      <c r="B13" s="2" t="s">
        <v>50</v>
      </c>
      <c r="C13" s="2">
        <v>2</v>
      </c>
      <c r="D13" s="6" t="s">
        <v>498</v>
      </c>
      <c r="E13" s="2" t="str">
        <f>five子指标方向明细!F24</f>
        <v>B</v>
      </c>
      <c r="F13" s="2">
        <f>five子指标方向明细!G24</f>
        <v>5</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5</v>
      </c>
      <c r="N13" s="2" t="str">
        <f>five子指标方向明细!L25</f>
        <v>B</v>
      </c>
      <c r="O13" s="2">
        <f t="shared" si="0"/>
        <v>1</v>
      </c>
      <c r="P13" s="2" t="str">
        <f t="shared" si="1"/>
        <v>B</v>
      </c>
      <c r="Q13" s="2" t="s">
        <v>26</v>
      </c>
      <c r="R13" s="2">
        <f t="shared" si="2"/>
        <v>1</v>
      </c>
      <c r="S13" s="2">
        <v>24</v>
      </c>
      <c r="T13" s="2">
        <v>25</v>
      </c>
      <c r="U13" s="2" t="str">
        <f t="shared" si="3"/>
        <v/>
      </c>
    </row>
    <row r="14" ht="23" customHeight="1" spans="1:21">
      <c r="A14" s="6" t="s">
        <v>13</v>
      </c>
      <c r="B14" s="2" t="s">
        <v>50</v>
      </c>
      <c r="C14" s="2">
        <v>3</v>
      </c>
      <c r="D14" s="6" t="s">
        <v>499</v>
      </c>
      <c r="E14" s="2" t="str">
        <f>five子指标方向明细!F26</f>
        <v>B</v>
      </c>
      <c r="F14" s="2">
        <f>five子指标方向明细!G26</f>
        <v>5</v>
      </c>
      <c r="G14" s="2" t="str">
        <f>five子指标方向明细!H26</f>
        <v>C</v>
      </c>
      <c r="H14" s="2">
        <f>five子指标方向明细!I26</f>
        <v>2</v>
      </c>
      <c r="I14" s="2" t="str">
        <f>five子指标方向明细!L26</f>
        <v>B</v>
      </c>
      <c r="J14" s="2" t="str">
        <f>five子指标方向明细!F27</f>
        <v>C</v>
      </c>
      <c r="K14" s="2">
        <f>five子指标方向明细!G27</f>
        <v>2</v>
      </c>
      <c r="L14" s="2" t="str">
        <f>five子指标方向明细!H27</f>
        <v>B</v>
      </c>
      <c r="M14" s="2">
        <f>five子指标方向明细!I27</f>
        <v>4</v>
      </c>
      <c r="N14" s="2" t="str">
        <f>five子指标方向明细!L27</f>
        <v>B</v>
      </c>
      <c r="O14" s="2">
        <f t="shared" si="0"/>
        <v>1</v>
      </c>
      <c r="P14" s="2" t="str">
        <f t="shared" si="1"/>
        <v>B</v>
      </c>
      <c r="Q14" s="2" t="s">
        <v>26</v>
      </c>
      <c r="R14" s="2">
        <f t="shared" si="2"/>
        <v>1</v>
      </c>
      <c r="S14" s="2">
        <v>26</v>
      </c>
      <c r="T14" s="2">
        <v>27</v>
      </c>
      <c r="U14" s="2" t="str">
        <f t="shared" si="3"/>
        <v/>
      </c>
    </row>
    <row r="15" ht="23" customHeight="1" spans="1:21">
      <c r="A15" s="6" t="s">
        <v>13</v>
      </c>
      <c r="B15" s="2" t="s">
        <v>50</v>
      </c>
      <c r="C15" s="2">
        <v>4</v>
      </c>
      <c r="D15" s="6" t="s">
        <v>500</v>
      </c>
      <c r="E15" s="2" t="str">
        <f>five子指标方向明细!F28</f>
        <v>B</v>
      </c>
      <c r="F15" s="2">
        <f>five子指标方向明细!G28</f>
        <v>5</v>
      </c>
      <c r="G15" s="2" t="str">
        <f>five子指标方向明细!H28</f>
        <v>C</v>
      </c>
      <c r="H15" s="2">
        <f>five子指标方向明细!I28</f>
        <v>3</v>
      </c>
      <c r="I15" s="2" t="str">
        <f>five子指标方向明细!L28</f>
        <v>B</v>
      </c>
      <c r="J15" s="2" t="str">
        <f>five子指标方向明细!F29</f>
        <v>C</v>
      </c>
      <c r="K15" s="2">
        <f>five子指标方向明细!G29</f>
        <v>3</v>
      </c>
      <c r="L15" s="2" t="str">
        <f>five子指标方向明细!H29</f>
        <v>B</v>
      </c>
      <c r="M15" s="2">
        <f>five子指标方向明细!I29</f>
        <v>5</v>
      </c>
      <c r="N15" s="2" t="str">
        <f>five子指标方向明细!L29</f>
        <v>B</v>
      </c>
      <c r="O15" s="2">
        <f t="shared" si="0"/>
        <v>1</v>
      </c>
      <c r="P15" s="2" t="str">
        <f t="shared" si="1"/>
        <v>B</v>
      </c>
      <c r="Q15" s="2" t="s">
        <v>26</v>
      </c>
      <c r="R15" s="2">
        <f t="shared" si="2"/>
        <v>1</v>
      </c>
      <c r="S15" s="2">
        <v>28</v>
      </c>
      <c r="T15" s="2">
        <v>29</v>
      </c>
      <c r="U15" s="2" t="str">
        <f t="shared" si="3"/>
        <v/>
      </c>
    </row>
    <row r="16" ht="23" customHeight="1" spans="1:21">
      <c r="A16" s="6" t="s">
        <v>13</v>
      </c>
      <c r="B16" s="2" t="s">
        <v>50</v>
      </c>
      <c r="C16" s="2">
        <v>5</v>
      </c>
      <c r="D16" s="6" t="s">
        <v>501</v>
      </c>
      <c r="E16" s="2" t="str">
        <f>five子指标方向明细!F30</f>
        <v>B</v>
      </c>
      <c r="F16" s="2">
        <f>five子指标方向明细!G30</f>
        <v>5</v>
      </c>
      <c r="G16" s="2" t="str">
        <f>five子指标方向明细!H30</f>
        <v>C</v>
      </c>
      <c r="H16" s="2">
        <f>five子指标方向明细!I30</f>
        <v>4</v>
      </c>
      <c r="I16" s="2" t="str">
        <f>five子指标方向明细!L30</f>
        <v>B</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0</v>
      </c>
      <c r="P16" s="2" t="str">
        <f t="shared" si="1"/>
        <v>D(平局)</v>
      </c>
      <c r="Q16" s="2" t="s">
        <v>26</v>
      </c>
      <c r="R16" s="2">
        <f t="shared" si="2"/>
        <v>0</v>
      </c>
      <c r="S16" s="2">
        <v>30</v>
      </c>
      <c r="T16" s="2">
        <v>31</v>
      </c>
      <c r="U16" s="2" t="str">
        <f t="shared" si="3"/>
        <v>方向冲突</v>
      </c>
    </row>
    <row r="17" ht="23" customHeight="1" spans="1:21">
      <c r="A17" s="6" t="s">
        <v>63</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22</v>
      </c>
      <c r="R17" s="2">
        <f t="shared" si="2"/>
        <v>1</v>
      </c>
      <c r="S17" s="2">
        <v>32</v>
      </c>
      <c r="T17" s="2">
        <v>33</v>
      </c>
      <c r="U17" s="2" t="str">
        <f t="shared" si="3"/>
        <v/>
      </c>
    </row>
    <row r="18" ht="23" customHeight="1" spans="1:21">
      <c r="A18" s="6" t="s">
        <v>63</v>
      </c>
      <c r="B18" s="2" t="s">
        <v>15</v>
      </c>
      <c r="C18" s="2">
        <v>2</v>
      </c>
      <c r="D18" s="6" t="s">
        <v>498</v>
      </c>
      <c r="E18" s="2" t="str">
        <f>five子指标方向明细!F34</f>
        <v>A</v>
      </c>
      <c r="F18" s="2">
        <f>five子指标方向明细!G34</f>
        <v>5</v>
      </c>
      <c r="G18" s="2" t="str">
        <f>five子指标方向明细!H34</f>
        <v>B</v>
      </c>
      <c r="H18" s="2">
        <f>five子指标方向明细!I34</f>
        <v>4</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22</v>
      </c>
      <c r="R18" s="2">
        <f t="shared" si="2"/>
        <v>1</v>
      </c>
      <c r="S18" s="2">
        <v>34</v>
      </c>
      <c r="T18" s="2">
        <v>35</v>
      </c>
      <c r="U18" s="2" t="str">
        <f t="shared" si="3"/>
        <v/>
      </c>
    </row>
    <row r="19" ht="23" customHeight="1" spans="1:21">
      <c r="A19" s="6" t="s">
        <v>63</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5</v>
      </c>
      <c r="L19" s="2" t="str">
        <f>five子指标方向明细!H37</f>
        <v>A</v>
      </c>
      <c r="M19" s="2">
        <f>five子指标方向明细!I37</f>
        <v>5</v>
      </c>
      <c r="N19" s="2" t="str">
        <f>five子指标方向明细!L37</f>
        <v>D(平局)</v>
      </c>
      <c r="O19" s="2">
        <f t="shared" si="0"/>
        <v>0</v>
      </c>
      <c r="P19" s="2" t="str">
        <f t="shared" si="1"/>
        <v>D(平局)</v>
      </c>
      <c r="Q19" s="2" t="s">
        <v>22</v>
      </c>
      <c r="R19" s="2">
        <f t="shared" si="2"/>
        <v>0</v>
      </c>
      <c r="S19" s="2">
        <v>36</v>
      </c>
      <c r="T19" s="2">
        <v>37</v>
      </c>
      <c r="U19" s="2" t="str">
        <f t="shared" si="3"/>
        <v>方向冲突</v>
      </c>
    </row>
    <row r="20" ht="23" customHeight="1" spans="1:21">
      <c r="A20" s="6" t="s">
        <v>63</v>
      </c>
      <c r="B20" s="2" t="s">
        <v>15</v>
      </c>
      <c r="C20" s="2">
        <v>4</v>
      </c>
      <c r="D20" s="6" t="s">
        <v>500</v>
      </c>
      <c r="E20" s="2" t="str">
        <f>five子指标方向明细!F38</f>
        <v>A</v>
      </c>
      <c r="F20" s="2">
        <f>five子指标方向明细!G38</f>
        <v>5</v>
      </c>
      <c r="G20" s="2" t="str">
        <f>five子指标方向明细!H38</f>
        <v>B</v>
      </c>
      <c r="H20" s="2">
        <f>five子指标方向明细!I38</f>
        <v>5</v>
      </c>
      <c r="I20" s="2" t="str">
        <f>five子指标方向明细!L38</f>
        <v>D(平局)</v>
      </c>
      <c r="J20" s="2" t="str">
        <f>five子指标方向明细!F39</f>
        <v>B</v>
      </c>
      <c r="K20" s="2">
        <f>five子指标方向明细!G39</f>
        <v>4</v>
      </c>
      <c r="L20" s="2" t="str">
        <f>five子指标方向明细!H39</f>
        <v>A</v>
      </c>
      <c r="M20" s="2">
        <f>five子指标方向明细!I39</f>
        <v>5</v>
      </c>
      <c r="N20" s="2" t="str">
        <f>five子指标方向明细!L39</f>
        <v>A</v>
      </c>
      <c r="O20" s="2">
        <f t="shared" si="0"/>
        <v>0</v>
      </c>
      <c r="P20" s="2" t="str">
        <f t="shared" si="1"/>
        <v>D(平局)</v>
      </c>
      <c r="Q20" s="2" t="s">
        <v>22</v>
      </c>
      <c r="R20" s="2">
        <f t="shared" si="2"/>
        <v>0</v>
      </c>
      <c r="S20" s="2">
        <v>38</v>
      </c>
      <c r="T20" s="2">
        <v>39</v>
      </c>
      <c r="U20" s="2" t="str">
        <f t="shared" si="3"/>
        <v>方向冲突</v>
      </c>
    </row>
    <row r="21" ht="23" customHeight="1" spans="1:21">
      <c r="A21" s="6" t="s">
        <v>63</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22</v>
      </c>
      <c r="R21" s="2">
        <f t="shared" si="2"/>
        <v>0</v>
      </c>
      <c r="S21" s="2">
        <v>40</v>
      </c>
      <c r="T21" s="2">
        <v>41</v>
      </c>
      <c r="U21" s="2" t="str">
        <f t="shared" si="3"/>
        <v>双向评分平局</v>
      </c>
    </row>
    <row r="22" ht="23" customHeight="1" spans="1:21">
      <c r="A22" s="6" t="s">
        <v>63</v>
      </c>
      <c r="B22" s="2" t="s">
        <v>37</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63</v>
      </c>
      <c r="B23" s="2" t="s">
        <v>37</v>
      </c>
      <c r="C23" s="2">
        <v>2</v>
      </c>
      <c r="D23" s="6" t="s">
        <v>498</v>
      </c>
      <c r="E23" s="2" t="str">
        <f>five子指标方向明细!F44</f>
        <v>A</v>
      </c>
      <c r="F23" s="2">
        <f>five子指标方向明细!G44</f>
        <v>5</v>
      </c>
      <c r="G23" s="2" t="str">
        <f>five子指标方向明细!H44</f>
        <v>C</v>
      </c>
      <c r="H23" s="2">
        <f>five子指标方向明细!I44</f>
        <v>1</v>
      </c>
      <c r="I23" s="2" t="str">
        <f>five子指标方向明细!L44</f>
        <v>A</v>
      </c>
      <c r="J23" s="2" t="str">
        <f>five子指标方向明细!F45</f>
        <v>C</v>
      </c>
      <c r="K23" s="2">
        <f>five子指标方向明细!G45</f>
        <v>1</v>
      </c>
      <c r="L23" s="2" t="str">
        <f>five子指标方向明细!H45</f>
        <v>A</v>
      </c>
      <c r="M23" s="2">
        <f>five子指标方向明细!I45</f>
        <v>5</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63</v>
      </c>
      <c r="B24" s="2" t="s">
        <v>37</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63</v>
      </c>
      <c r="B25" s="2" t="s">
        <v>37</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2</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63</v>
      </c>
      <c r="B26" s="2" t="s">
        <v>37</v>
      </c>
      <c r="C26" s="2">
        <v>5</v>
      </c>
      <c r="D26" s="6" t="s">
        <v>501</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4</v>
      </c>
      <c r="L26" s="2" t="str">
        <f>five子指标方向明细!H51</f>
        <v>A</v>
      </c>
      <c r="M26" s="2">
        <f>five子指标方向明细!I51</f>
        <v>5</v>
      </c>
      <c r="N26" s="2" t="str">
        <f>five子指标方向明细!L51</f>
        <v>A</v>
      </c>
      <c r="O26" s="2">
        <f t="shared" si="0"/>
        <v>1</v>
      </c>
      <c r="P26" s="2" t="str">
        <f t="shared" si="1"/>
        <v>A</v>
      </c>
      <c r="Q26" s="2" t="s">
        <v>22</v>
      </c>
      <c r="R26" s="2">
        <f t="shared" si="2"/>
        <v>1</v>
      </c>
      <c r="S26" s="2">
        <v>50</v>
      </c>
      <c r="T26" s="2">
        <v>51</v>
      </c>
      <c r="U26" s="2" t="str">
        <f t="shared" si="3"/>
        <v/>
      </c>
    </row>
    <row r="27" ht="23" customHeight="1" spans="1:21">
      <c r="A27" s="6" t="s">
        <v>63</v>
      </c>
      <c r="B27" s="2" t="s">
        <v>50</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26</v>
      </c>
      <c r="R27" s="2">
        <f t="shared" si="2"/>
        <v>1</v>
      </c>
      <c r="S27" s="2">
        <v>52</v>
      </c>
      <c r="T27" s="2">
        <v>53</v>
      </c>
      <c r="U27" s="2" t="str">
        <f t="shared" si="3"/>
        <v/>
      </c>
    </row>
    <row r="28" ht="23" customHeight="1" spans="1:21">
      <c r="A28" s="6" t="s">
        <v>63</v>
      </c>
      <c r="B28" s="2" t="s">
        <v>50</v>
      </c>
      <c r="C28" s="2">
        <v>2</v>
      </c>
      <c r="D28" s="6" t="s">
        <v>498</v>
      </c>
      <c r="E28" s="2" t="str">
        <f>five子指标方向明细!F54</f>
        <v>B</v>
      </c>
      <c r="F28" s="2">
        <f>five子指标方向明细!G54</f>
        <v>5</v>
      </c>
      <c r="G28" s="2" t="str">
        <f>five子指标方向明细!H54</f>
        <v>C</v>
      </c>
      <c r="H28" s="2">
        <f>five子指标方向明细!I54</f>
        <v>1</v>
      </c>
      <c r="I28" s="2" t="str">
        <f>five子指标方向明细!L54</f>
        <v>B</v>
      </c>
      <c r="J28" s="2" t="str">
        <f>five子指标方向明细!F55</f>
        <v>C</v>
      </c>
      <c r="K28" s="2">
        <f>five子指标方向明细!G55</f>
        <v>1</v>
      </c>
      <c r="L28" s="2" t="str">
        <f>five子指标方向明细!H55</f>
        <v>B</v>
      </c>
      <c r="M28" s="2">
        <f>five子指标方向明细!I55</f>
        <v>5</v>
      </c>
      <c r="N28" s="2" t="str">
        <f>five子指标方向明细!L55</f>
        <v>B</v>
      </c>
      <c r="O28" s="2">
        <f t="shared" si="0"/>
        <v>1</v>
      </c>
      <c r="P28" s="2" t="str">
        <f t="shared" si="1"/>
        <v>B</v>
      </c>
      <c r="Q28" s="2" t="s">
        <v>26</v>
      </c>
      <c r="R28" s="2">
        <f t="shared" si="2"/>
        <v>1</v>
      </c>
      <c r="S28" s="2">
        <v>54</v>
      </c>
      <c r="T28" s="2">
        <v>55</v>
      </c>
      <c r="U28" s="2" t="str">
        <f t="shared" si="3"/>
        <v/>
      </c>
    </row>
    <row r="29" ht="23" customHeight="1" spans="1:21">
      <c r="A29" s="6" t="s">
        <v>63</v>
      </c>
      <c r="B29" s="2" t="s">
        <v>50</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26</v>
      </c>
      <c r="R29" s="2">
        <f t="shared" si="2"/>
        <v>1</v>
      </c>
      <c r="S29" s="2">
        <v>56</v>
      </c>
      <c r="T29" s="2">
        <v>57</v>
      </c>
      <c r="U29" s="2" t="str">
        <f t="shared" si="3"/>
        <v/>
      </c>
    </row>
    <row r="30" ht="23" customHeight="1" spans="1:21">
      <c r="A30" s="6" t="s">
        <v>63</v>
      </c>
      <c r="B30" s="2" t="s">
        <v>50</v>
      </c>
      <c r="C30" s="2">
        <v>4</v>
      </c>
      <c r="D30" s="6" t="s">
        <v>500</v>
      </c>
      <c r="E30" s="2" t="str">
        <f>five子指标方向明细!F58</f>
        <v>B</v>
      </c>
      <c r="F30" s="2">
        <f>five子指标方向明细!G58</f>
        <v>5</v>
      </c>
      <c r="G30" s="2" t="str">
        <f>five子指标方向明细!H58</f>
        <v>C</v>
      </c>
      <c r="H30" s="2">
        <f>five子指标方向明细!I58</f>
        <v>2</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26</v>
      </c>
      <c r="R30" s="2">
        <f t="shared" si="2"/>
        <v>1</v>
      </c>
      <c r="S30" s="2">
        <v>58</v>
      </c>
      <c r="T30" s="2">
        <v>59</v>
      </c>
      <c r="U30" s="2" t="str">
        <f t="shared" si="3"/>
        <v/>
      </c>
    </row>
    <row r="31" ht="23" customHeight="1" spans="1:21">
      <c r="A31" s="6" t="s">
        <v>63</v>
      </c>
      <c r="B31" s="2" t="s">
        <v>50</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3</v>
      </c>
      <c r="L31" s="2" t="str">
        <f>five子指标方向明细!H61</f>
        <v>B</v>
      </c>
      <c r="M31" s="2">
        <f>five子指标方向明细!I61</f>
        <v>5</v>
      </c>
      <c r="N31" s="2" t="str">
        <f>five子指标方向明细!L61</f>
        <v>B</v>
      </c>
      <c r="O31" s="2">
        <f t="shared" si="0"/>
        <v>1</v>
      </c>
      <c r="P31" s="2" t="str">
        <f t="shared" si="1"/>
        <v>B</v>
      </c>
      <c r="Q31" s="2" t="s">
        <v>26</v>
      </c>
      <c r="R31" s="2">
        <f t="shared" si="2"/>
        <v>1</v>
      </c>
      <c r="S31" s="2">
        <v>60</v>
      </c>
      <c r="T31" s="2">
        <v>61</v>
      </c>
      <c r="U31" s="2" t="str">
        <f t="shared" si="3"/>
        <v/>
      </c>
    </row>
    <row r="32" ht="23" customHeight="1" spans="1:21">
      <c r="A32" s="6" t="s">
        <v>101</v>
      </c>
      <c r="B32" s="2" t="s">
        <v>15</v>
      </c>
      <c r="C32" s="2">
        <v>1</v>
      </c>
      <c r="D32" s="6" t="s">
        <v>497</v>
      </c>
      <c r="E32" s="2" t="str">
        <f>five子指标方向明细!F62</f>
        <v>A</v>
      </c>
      <c r="F32" s="2">
        <f>five子指标方向明细!G62</f>
        <v>5</v>
      </c>
      <c r="G32" s="2" t="str">
        <f>five子指标方向明细!H62</f>
        <v>B</v>
      </c>
      <c r="H32" s="2">
        <f>five子指标方向明细!I62</f>
        <v>5</v>
      </c>
      <c r="I32" s="2" t="str">
        <f>five子指标方向明细!L62</f>
        <v>D(平局)</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1</v>
      </c>
      <c r="P32" s="2" t="str">
        <f t="shared" si="1"/>
        <v>D(平局)</v>
      </c>
      <c r="Q32" s="2" t="s">
        <v>106</v>
      </c>
      <c r="R32" s="2">
        <f t="shared" si="2"/>
        <v>1</v>
      </c>
      <c r="S32" s="2">
        <v>62</v>
      </c>
      <c r="T32" s="2">
        <v>63</v>
      </c>
      <c r="U32" s="2" t="str">
        <f t="shared" si="3"/>
        <v>双向评分平局</v>
      </c>
    </row>
    <row r="33" ht="23" customHeight="1" spans="1:21">
      <c r="A33" s="6" t="s">
        <v>101</v>
      </c>
      <c r="B33" s="2" t="s">
        <v>15</v>
      </c>
      <c r="C33" s="2">
        <v>2</v>
      </c>
      <c r="D33" s="6" t="s">
        <v>498</v>
      </c>
      <c r="E33" s="2" t="str">
        <f>five子指标方向明细!F64</f>
        <v>A</v>
      </c>
      <c r="F33" s="2">
        <f>five子指标方向明细!G64</f>
        <v>5</v>
      </c>
      <c r="G33" s="2" t="str">
        <f>five子指标方向明细!H64</f>
        <v>B</v>
      </c>
      <c r="H33" s="2">
        <f>five子指标方向明细!I64</f>
        <v>5</v>
      </c>
      <c r="I33" s="2" t="str">
        <f>five子指标方向明细!L64</f>
        <v>D(平局)</v>
      </c>
      <c r="J33" s="2" t="str">
        <f>five子指标方向明细!F65</f>
        <v>B</v>
      </c>
      <c r="K33" s="2">
        <f>five子指标方向明细!G65</f>
        <v>5</v>
      </c>
      <c r="L33" s="2" t="str">
        <f>five子指标方向明细!H65</f>
        <v>A</v>
      </c>
      <c r="M33" s="2">
        <f>five子指标方向明细!I65</f>
        <v>5</v>
      </c>
      <c r="N33" s="2" t="str">
        <f>five子指标方向明细!L65</f>
        <v>D(平局)</v>
      </c>
      <c r="O33" s="2">
        <f t="shared" si="0"/>
        <v>1</v>
      </c>
      <c r="P33" s="2" t="str">
        <f t="shared" si="1"/>
        <v>D(平局)</v>
      </c>
      <c r="Q33" s="2" t="s">
        <v>106</v>
      </c>
      <c r="R33" s="2">
        <f t="shared" si="2"/>
        <v>1</v>
      </c>
      <c r="S33" s="2">
        <v>64</v>
      </c>
      <c r="T33" s="2">
        <v>65</v>
      </c>
      <c r="U33" s="2" t="str">
        <f t="shared" si="3"/>
        <v>双向评分平局</v>
      </c>
    </row>
    <row r="34" ht="23" customHeight="1" spans="1:21">
      <c r="A34" s="6" t="s">
        <v>101</v>
      </c>
      <c r="B34" s="2" t="s">
        <v>15</v>
      </c>
      <c r="C34" s="2">
        <v>3</v>
      </c>
      <c r="D34" s="6" t="s">
        <v>499</v>
      </c>
      <c r="E34" s="2" t="str">
        <f>five子指标方向明细!F66</f>
        <v>A</v>
      </c>
      <c r="F34" s="2">
        <f>five子指标方向明细!G66</f>
        <v>5</v>
      </c>
      <c r="G34" s="2" t="str">
        <f>five子指标方向明细!H66</f>
        <v>B</v>
      </c>
      <c r="H34" s="2">
        <f>five子指标方向明细!I66</f>
        <v>3</v>
      </c>
      <c r="I34" s="2" t="str">
        <f>five子指标方向明细!L66</f>
        <v>A</v>
      </c>
      <c r="J34" s="2" t="str">
        <f>five子指标方向明细!F67</f>
        <v>B</v>
      </c>
      <c r="K34" s="2">
        <f>five子指标方向明细!G67</f>
        <v>4</v>
      </c>
      <c r="L34" s="2" t="str">
        <f>five子指标方向明细!H67</f>
        <v>A</v>
      </c>
      <c r="M34" s="2">
        <f>five子指标方向明细!I67</f>
        <v>4</v>
      </c>
      <c r="N34" s="2" t="str">
        <f>five子指标方向明细!L67</f>
        <v>D(平局)</v>
      </c>
      <c r="O34" s="2">
        <f t="shared" si="0"/>
        <v>0</v>
      </c>
      <c r="P34" s="2" t="str">
        <f t="shared" si="1"/>
        <v>D(平局)</v>
      </c>
      <c r="Q34" s="2" t="s">
        <v>106</v>
      </c>
      <c r="R34" s="2">
        <f t="shared" si="2"/>
        <v>1</v>
      </c>
      <c r="S34" s="2">
        <v>66</v>
      </c>
      <c r="T34" s="2">
        <v>67</v>
      </c>
      <c r="U34" s="2" t="str">
        <f t="shared" si="3"/>
        <v>方向冲突</v>
      </c>
    </row>
    <row r="35" ht="23" customHeight="1" spans="1:21">
      <c r="A35" s="6" t="s">
        <v>101</v>
      </c>
      <c r="B35" s="2" t="s">
        <v>15</v>
      </c>
      <c r="C35" s="2">
        <v>4</v>
      </c>
      <c r="D35" s="6" t="s">
        <v>500</v>
      </c>
      <c r="E35" s="2" t="str">
        <f>five子指标方向明细!F68</f>
        <v>A</v>
      </c>
      <c r="F35" s="2">
        <f>five子指标方向明细!G68</f>
        <v>5</v>
      </c>
      <c r="G35" s="2" t="str">
        <f>five子指标方向明细!H68</f>
        <v>B</v>
      </c>
      <c r="H35" s="2">
        <f>five子指标方向明细!I68</f>
        <v>5</v>
      </c>
      <c r="I35" s="2" t="str">
        <f>five子指标方向明细!L68</f>
        <v>D(平局)</v>
      </c>
      <c r="J35" s="2" t="str">
        <f>five子指标方向明细!F69</f>
        <v>B</v>
      </c>
      <c r="K35" s="2">
        <f>five子指标方向明细!G69</f>
        <v>5</v>
      </c>
      <c r="L35" s="2" t="str">
        <f>five子指标方向明细!H69</f>
        <v>A</v>
      </c>
      <c r="M35" s="2">
        <f>five子指标方向明细!I69</f>
        <v>4</v>
      </c>
      <c r="N35" s="2" t="str">
        <f>five子指标方向明细!L69</f>
        <v>B</v>
      </c>
      <c r="O35" s="2">
        <f t="shared" si="0"/>
        <v>0</v>
      </c>
      <c r="P35" s="2" t="str">
        <f t="shared" si="1"/>
        <v>D(平局)</v>
      </c>
      <c r="Q35" s="2" t="s">
        <v>106</v>
      </c>
      <c r="R35" s="2">
        <f t="shared" si="2"/>
        <v>1</v>
      </c>
      <c r="S35" s="2">
        <v>68</v>
      </c>
      <c r="T35" s="2">
        <v>69</v>
      </c>
      <c r="U35" s="2" t="str">
        <f t="shared" si="3"/>
        <v>方向冲突</v>
      </c>
    </row>
    <row r="36" ht="23" customHeight="1" spans="1:21">
      <c r="A36" s="6" t="s">
        <v>101</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106</v>
      </c>
      <c r="R36" s="2">
        <f t="shared" si="2"/>
        <v>1</v>
      </c>
      <c r="S36" s="2">
        <v>70</v>
      </c>
      <c r="T36" s="2">
        <v>71</v>
      </c>
      <c r="U36" s="2" t="str">
        <f t="shared" si="3"/>
        <v>双向评分平局</v>
      </c>
    </row>
    <row r="37" ht="23" customHeight="1" spans="1:21">
      <c r="A37" s="6" t="s">
        <v>101</v>
      </c>
      <c r="B37" s="2" t="s">
        <v>37</v>
      </c>
      <c r="C37" s="2">
        <v>1</v>
      </c>
      <c r="D37" s="6" t="s">
        <v>497</v>
      </c>
      <c r="E37" s="2" t="str">
        <f>five子指标方向明细!F72</f>
        <v>A</v>
      </c>
      <c r="F37" s="2">
        <f>five子指标方向明细!G72</f>
        <v>5</v>
      </c>
      <c r="G37" s="2" t="str">
        <f>five子指标方向明细!H72</f>
        <v>C</v>
      </c>
      <c r="H37" s="2">
        <f>five子指标方向明细!I72</f>
        <v>2</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101</v>
      </c>
      <c r="B38" s="2" t="s">
        <v>37</v>
      </c>
      <c r="C38" s="2">
        <v>2</v>
      </c>
      <c r="D38" s="6" t="s">
        <v>498</v>
      </c>
      <c r="E38" s="2" t="str">
        <f>five子指标方向明细!F74</f>
        <v>A</v>
      </c>
      <c r="F38" s="2">
        <f>five子指标方向明细!G74</f>
        <v>5</v>
      </c>
      <c r="G38" s="2" t="str">
        <f>five子指标方向明细!H74</f>
        <v>C</v>
      </c>
      <c r="H38" s="2">
        <f>five子指标方向明细!I74</f>
        <v>1</v>
      </c>
      <c r="I38" s="2" t="str">
        <f>five子指标方向明细!L74</f>
        <v>A</v>
      </c>
      <c r="J38" s="2" t="str">
        <f>five子指标方向明细!F75</f>
        <v>C</v>
      </c>
      <c r="K38" s="2">
        <f>five子指标方向明细!G75</f>
        <v>1</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101</v>
      </c>
      <c r="B39" s="2" t="s">
        <v>37</v>
      </c>
      <c r="C39" s="2">
        <v>3</v>
      </c>
      <c r="D39" s="6" t="s">
        <v>499</v>
      </c>
      <c r="E39" s="2" t="str">
        <f>five子指标方向明细!F76</f>
        <v>A</v>
      </c>
      <c r="F39" s="2">
        <f>five子指标方向明细!G76</f>
        <v>5</v>
      </c>
      <c r="G39" s="2" t="str">
        <f>five子指标方向明细!H76</f>
        <v>C</v>
      </c>
      <c r="H39" s="2">
        <f>five子指标方向明细!I76</f>
        <v>2</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101</v>
      </c>
      <c r="B40" s="2" t="s">
        <v>37</v>
      </c>
      <c r="C40" s="2">
        <v>4</v>
      </c>
      <c r="D40" s="6" t="s">
        <v>500</v>
      </c>
      <c r="E40" s="2" t="str">
        <f>five子指标方向明细!F78</f>
        <v>A</v>
      </c>
      <c r="F40" s="2">
        <f>five子指标方向明细!G78</f>
        <v>5</v>
      </c>
      <c r="G40" s="2" t="str">
        <f>five子指标方向明细!H78</f>
        <v>C</v>
      </c>
      <c r="H40" s="2">
        <f>five子指标方向明细!I78</f>
        <v>2</v>
      </c>
      <c r="I40" s="2" t="str">
        <f>five子指标方向明细!L78</f>
        <v>A</v>
      </c>
      <c r="J40" s="2" t="str">
        <f>five子指标方向明细!F79</f>
        <v>C</v>
      </c>
      <c r="K40" s="2">
        <f>five子指标方向明细!G79</f>
        <v>3</v>
      </c>
      <c r="L40" s="2" t="str">
        <f>five子指标方向明细!H79</f>
        <v>A</v>
      </c>
      <c r="M40" s="2">
        <f>five子指标方向明细!I79</f>
        <v>5</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101</v>
      </c>
      <c r="B41" s="2" t="s">
        <v>37</v>
      </c>
      <c r="C41" s="2">
        <v>5</v>
      </c>
      <c r="D41" s="6" t="s">
        <v>501</v>
      </c>
      <c r="E41" s="2" t="str">
        <f>five子指标方向明细!F80</f>
        <v>A</v>
      </c>
      <c r="F41" s="2">
        <f>five子指标方向明细!G80</f>
        <v>5</v>
      </c>
      <c r="G41" s="2" t="str">
        <f>five子指标方向明细!H80</f>
        <v>C</v>
      </c>
      <c r="H41" s="2">
        <f>five子指标方向明细!I80</f>
        <v>3</v>
      </c>
      <c r="I41" s="2" t="str">
        <f>five子指标方向明细!L80</f>
        <v>A</v>
      </c>
      <c r="J41" s="2" t="str">
        <f>five子指标方向明细!F81</f>
        <v>C</v>
      </c>
      <c r="K41" s="2">
        <f>five子指标方向明细!G81</f>
        <v>3</v>
      </c>
      <c r="L41" s="2" t="str">
        <f>five子指标方向明细!H81</f>
        <v>A</v>
      </c>
      <c r="M41" s="2">
        <f>five子指标方向明细!I81</f>
        <v>5</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101</v>
      </c>
      <c r="B42" s="2" t="s">
        <v>50</v>
      </c>
      <c r="C42" s="2">
        <v>1</v>
      </c>
      <c r="D42" s="6" t="s">
        <v>497</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26</v>
      </c>
      <c r="R42" s="2">
        <f t="shared" si="2"/>
        <v>1</v>
      </c>
      <c r="S42" s="2">
        <v>82</v>
      </c>
      <c r="T42" s="2">
        <v>83</v>
      </c>
      <c r="U42" s="2" t="str">
        <f t="shared" si="3"/>
        <v/>
      </c>
    </row>
    <row r="43" ht="23" customHeight="1" spans="1:21">
      <c r="A43" s="6" t="s">
        <v>101</v>
      </c>
      <c r="B43" s="2" t="s">
        <v>50</v>
      </c>
      <c r="C43" s="2">
        <v>2</v>
      </c>
      <c r="D43" s="6" t="s">
        <v>498</v>
      </c>
      <c r="E43" s="2" t="str">
        <f>five子指标方向明细!F84</f>
        <v>B</v>
      </c>
      <c r="F43" s="2">
        <f>five子指标方向明细!G84</f>
        <v>5</v>
      </c>
      <c r="G43" s="2" t="str">
        <f>five子指标方向明细!H84</f>
        <v>C</v>
      </c>
      <c r="H43" s="2">
        <f>five子指标方向明细!I84</f>
        <v>1</v>
      </c>
      <c r="I43" s="2" t="str">
        <f>five子指标方向明细!L84</f>
        <v>B</v>
      </c>
      <c r="J43" s="2" t="str">
        <f>five子指标方向明细!F85</f>
        <v>C</v>
      </c>
      <c r="K43" s="2">
        <f>five子指标方向明细!G85</f>
        <v>1</v>
      </c>
      <c r="L43" s="2" t="str">
        <f>five子指标方向明细!H85</f>
        <v>B</v>
      </c>
      <c r="M43" s="2">
        <f>five子指标方向明细!I85</f>
        <v>5</v>
      </c>
      <c r="N43" s="2" t="str">
        <f>five子指标方向明细!L85</f>
        <v>B</v>
      </c>
      <c r="O43" s="2">
        <f t="shared" si="0"/>
        <v>1</v>
      </c>
      <c r="P43" s="2" t="str">
        <f t="shared" si="1"/>
        <v>B</v>
      </c>
      <c r="Q43" s="2" t="s">
        <v>26</v>
      </c>
      <c r="R43" s="2">
        <f t="shared" si="2"/>
        <v>1</v>
      </c>
      <c r="S43" s="2">
        <v>84</v>
      </c>
      <c r="T43" s="2">
        <v>85</v>
      </c>
      <c r="U43" s="2" t="str">
        <f t="shared" si="3"/>
        <v/>
      </c>
    </row>
    <row r="44" ht="23" customHeight="1" spans="1:21">
      <c r="A44" s="6" t="s">
        <v>101</v>
      </c>
      <c r="B44" s="2" t="s">
        <v>50</v>
      </c>
      <c r="C44" s="2">
        <v>3</v>
      </c>
      <c r="D44" s="6" t="s">
        <v>499</v>
      </c>
      <c r="E44" s="2" t="str">
        <f>five子指标方向明细!F86</f>
        <v>B</v>
      </c>
      <c r="F44" s="2">
        <f>five子指标方向明细!G86</f>
        <v>5</v>
      </c>
      <c r="G44" s="2" t="str">
        <f>five子指标方向明细!H86</f>
        <v>C</v>
      </c>
      <c r="H44" s="2">
        <f>five子指标方向明细!I86</f>
        <v>2</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26</v>
      </c>
      <c r="R44" s="2">
        <f t="shared" si="2"/>
        <v>1</v>
      </c>
      <c r="S44" s="2">
        <v>86</v>
      </c>
      <c r="T44" s="2">
        <v>87</v>
      </c>
      <c r="U44" s="2" t="str">
        <f t="shared" si="3"/>
        <v/>
      </c>
    </row>
    <row r="45" ht="23" customHeight="1" spans="1:21">
      <c r="A45" s="6" t="s">
        <v>101</v>
      </c>
      <c r="B45" s="2" t="s">
        <v>50</v>
      </c>
      <c r="C45" s="2">
        <v>4</v>
      </c>
      <c r="D45" s="6" t="s">
        <v>500</v>
      </c>
      <c r="E45" s="2" t="str">
        <f>five子指标方向明细!F88</f>
        <v>B</v>
      </c>
      <c r="F45" s="2">
        <f>five子指标方向明细!G88</f>
        <v>5</v>
      </c>
      <c r="G45" s="2" t="str">
        <f>five子指标方向明细!H88</f>
        <v>C</v>
      </c>
      <c r="H45" s="2">
        <f>five子指标方向明细!I88</f>
        <v>2</v>
      </c>
      <c r="I45" s="2" t="str">
        <f>five子指标方向明细!L88</f>
        <v>B</v>
      </c>
      <c r="J45" s="2" t="str">
        <f>five子指标方向明细!F89</f>
        <v>C</v>
      </c>
      <c r="K45" s="2">
        <f>five子指标方向明细!G89</f>
        <v>2</v>
      </c>
      <c r="L45" s="2" t="str">
        <f>five子指标方向明细!H89</f>
        <v>B</v>
      </c>
      <c r="M45" s="2">
        <f>five子指标方向明细!I89</f>
        <v>5</v>
      </c>
      <c r="N45" s="2" t="str">
        <f>five子指标方向明细!L89</f>
        <v>B</v>
      </c>
      <c r="O45" s="2">
        <f t="shared" si="0"/>
        <v>1</v>
      </c>
      <c r="P45" s="2" t="str">
        <f t="shared" si="1"/>
        <v>B</v>
      </c>
      <c r="Q45" s="2" t="s">
        <v>26</v>
      </c>
      <c r="R45" s="2">
        <f t="shared" si="2"/>
        <v>1</v>
      </c>
      <c r="S45" s="2">
        <v>88</v>
      </c>
      <c r="T45" s="2">
        <v>89</v>
      </c>
      <c r="U45" s="2" t="str">
        <f t="shared" si="3"/>
        <v/>
      </c>
    </row>
    <row r="46" ht="23" customHeight="1" spans="1:21">
      <c r="A46" s="6" t="s">
        <v>101</v>
      </c>
      <c r="B46" s="2" t="s">
        <v>50</v>
      </c>
      <c r="C46" s="2">
        <v>5</v>
      </c>
      <c r="D46" s="6" t="s">
        <v>501</v>
      </c>
      <c r="E46" s="2" t="str">
        <f>five子指标方向明细!F90</f>
        <v>B</v>
      </c>
      <c r="F46" s="2">
        <f>five子指标方向明细!G90</f>
        <v>5</v>
      </c>
      <c r="G46" s="2" t="str">
        <f>five子指标方向明细!H90</f>
        <v>C</v>
      </c>
      <c r="H46" s="2">
        <f>five子指标方向明细!I90</f>
        <v>4</v>
      </c>
      <c r="I46" s="2" t="str">
        <f>five子指标方向明细!L90</f>
        <v>B</v>
      </c>
      <c r="J46" s="2" t="str">
        <f>five子指标方向明细!F91</f>
        <v>C</v>
      </c>
      <c r="K46" s="2">
        <f>five子指标方向明细!G91</f>
        <v>3</v>
      </c>
      <c r="L46" s="2" t="str">
        <f>five子指标方向明细!H91</f>
        <v>B</v>
      </c>
      <c r="M46" s="2">
        <f>five子指标方向明细!I91</f>
        <v>5</v>
      </c>
      <c r="N46" s="2" t="str">
        <f>five子指标方向明细!L91</f>
        <v>B</v>
      </c>
      <c r="O46" s="2">
        <f t="shared" si="0"/>
        <v>1</v>
      </c>
      <c r="P46" s="2" t="str">
        <f t="shared" si="1"/>
        <v>B</v>
      </c>
      <c r="Q46" s="2" t="s">
        <v>26</v>
      </c>
      <c r="R46" s="2">
        <f t="shared" si="2"/>
        <v>1</v>
      </c>
      <c r="S46" s="2">
        <v>90</v>
      </c>
      <c r="T46" s="2">
        <v>91</v>
      </c>
      <c r="U46" s="2" t="str">
        <f t="shared" si="3"/>
        <v/>
      </c>
    </row>
    <row r="47" ht="23" customHeight="1" spans="1:21">
      <c r="A47" s="6" t="s">
        <v>141</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106</v>
      </c>
      <c r="R47" s="2">
        <f t="shared" si="2"/>
        <v>1</v>
      </c>
      <c r="S47" s="2">
        <v>92</v>
      </c>
      <c r="T47" s="2">
        <v>93</v>
      </c>
      <c r="U47" s="2" t="str">
        <f t="shared" si="3"/>
        <v>双向评分平局</v>
      </c>
    </row>
    <row r="48" ht="23" customHeight="1" spans="1:21">
      <c r="A48" s="6" t="s">
        <v>141</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106</v>
      </c>
      <c r="R48" s="2">
        <f t="shared" si="2"/>
        <v>1</v>
      </c>
      <c r="S48" s="2">
        <v>94</v>
      </c>
      <c r="T48" s="2">
        <v>95</v>
      </c>
      <c r="U48" s="2" t="str">
        <f t="shared" si="3"/>
        <v>双向评分平局</v>
      </c>
    </row>
    <row r="49" ht="23" customHeight="1" spans="1:21">
      <c r="A49" s="6" t="s">
        <v>141</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5</v>
      </c>
      <c r="N49" s="2" t="str">
        <f>five子指标方向明细!L97</f>
        <v>D(平局)</v>
      </c>
      <c r="O49" s="2">
        <f t="shared" si="0"/>
        <v>1</v>
      </c>
      <c r="P49" s="2" t="str">
        <f t="shared" si="1"/>
        <v>D(平局)</v>
      </c>
      <c r="Q49" s="2" t="s">
        <v>106</v>
      </c>
      <c r="R49" s="2">
        <f t="shared" si="2"/>
        <v>1</v>
      </c>
      <c r="S49" s="2">
        <v>96</v>
      </c>
      <c r="T49" s="2">
        <v>97</v>
      </c>
      <c r="U49" s="2" t="str">
        <f t="shared" si="3"/>
        <v>双向评分平局</v>
      </c>
    </row>
    <row r="50" ht="23" customHeight="1" spans="1:21">
      <c r="A50" s="6" t="s">
        <v>141</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5</v>
      </c>
      <c r="N50" s="2" t="str">
        <f>five子指标方向明细!L99</f>
        <v>D(平局)</v>
      </c>
      <c r="O50" s="2">
        <f t="shared" si="0"/>
        <v>1</v>
      </c>
      <c r="P50" s="2" t="str">
        <f t="shared" si="1"/>
        <v>D(平局)</v>
      </c>
      <c r="Q50" s="2" t="s">
        <v>106</v>
      </c>
      <c r="R50" s="2">
        <f t="shared" si="2"/>
        <v>1</v>
      </c>
      <c r="S50" s="2">
        <v>98</v>
      </c>
      <c r="T50" s="2">
        <v>99</v>
      </c>
      <c r="U50" s="2" t="str">
        <f t="shared" si="3"/>
        <v>双向评分平局</v>
      </c>
    </row>
    <row r="51" ht="23" customHeight="1" spans="1:21">
      <c r="A51" s="6" t="s">
        <v>141</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106</v>
      </c>
      <c r="R51" s="2">
        <f t="shared" si="2"/>
        <v>1</v>
      </c>
      <c r="S51" s="2">
        <v>100</v>
      </c>
      <c r="T51" s="2">
        <v>101</v>
      </c>
      <c r="U51" s="2" t="str">
        <f t="shared" si="3"/>
        <v>双向评分平局</v>
      </c>
    </row>
    <row r="52" ht="23" customHeight="1" spans="1:21">
      <c r="A52" s="6" t="s">
        <v>141</v>
      </c>
      <c r="B52" s="2" t="s">
        <v>37</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141</v>
      </c>
      <c r="B53" s="2" t="s">
        <v>37</v>
      </c>
      <c r="C53" s="2">
        <v>2</v>
      </c>
      <c r="D53" s="6" t="s">
        <v>498</v>
      </c>
      <c r="E53" s="2" t="str">
        <f>five子指标方向明细!F104</f>
        <v>A</v>
      </c>
      <c r="F53" s="2">
        <f>five子指标方向明细!G104</f>
        <v>5</v>
      </c>
      <c r="G53" s="2" t="str">
        <f>five子指标方向明细!H104</f>
        <v>C</v>
      </c>
      <c r="H53" s="2">
        <f>five子指标方向明细!I104</f>
        <v>3</v>
      </c>
      <c r="I53" s="2" t="str">
        <f>five子指标方向明细!L104</f>
        <v>A</v>
      </c>
      <c r="J53" s="2" t="str">
        <f>five子指标方向明细!F105</f>
        <v>C</v>
      </c>
      <c r="K53" s="2">
        <f>five子指标方向明细!G105</f>
        <v>3</v>
      </c>
      <c r="L53" s="2" t="str">
        <f>five子指标方向明细!H105</f>
        <v>A</v>
      </c>
      <c r="M53" s="2">
        <f>five子指标方向明细!I105</f>
        <v>5</v>
      </c>
      <c r="N53" s="2" t="str">
        <f>five子指标方向明细!L105</f>
        <v>A</v>
      </c>
      <c r="O53" s="2">
        <f t="shared" si="0"/>
        <v>1</v>
      </c>
      <c r="P53" s="2" t="str">
        <f t="shared" si="1"/>
        <v>A</v>
      </c>
      <c r="Q53" s="2" t="s">
        <v>22</v>
      </c>
      <c r="R53" s="2">
        <f t="shared" si="2"/>
        <v>1</v>
      </c>
      <c r="S53" s="2">
        <v>104</v>
      </c>
      <c r="T53" s="2">
        <v>105</v>
      </c>
      <c r="U53" s="2" t="str">
        <f t="shared" si="3"/>
        <v/>
      </c>
    </row>
    <row r="54" ht="23" customHeight="1" spans="1:21">
      <c r="A54" s="6" t="s">
        <v>141</v>
      </c>
      <c r="B54" s="2" t="s">
        <v>37</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22</v>
      </c>
      <c r="R54" s="2">
        <f t="shared" si="2"/>
        <v>0</v>
      </c>
      <c r="S54" s="2">
        <v>106</v>
      </c>
      <c r="T54" s="2">
        <v>107</v>
      </c>
      <c r="U54" s="2" t="str">
        <f t="shared" si="3"/>
        <v>双向评分平局</v>
      </c>
    </row>
    <row r="55" ht="23" customHeight="1" spans="1:21">
      <c r="A55" s="6" t="s">
        <v>141</v>
      </c>
      <c r="B55" s="2" t="s">
        <v>37</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22</v>
      </c>
      <c r="R55" s="2">
        <f t="shared" si="2"/>
        <v>0</v>
      </c>
      <c r="S55" s="2">
        <v>108</v>
      </c>
      <c r="T55" s="2">
        <v>109</v>
      </c>
      <c r="U55" s="2" t="str">
        <f t="shared" si="3"/>
        <v>双向评分平局</v>
      </c>
    </row>
    <row r="56" ht="23" customHeight="1" spans="1:21">
      <c r="A56" s="6" t="s">
        <v>141</v>
      </c>
      <c r="B56" s="2" t="s">
        <v>37</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22</v>
      </c>
      <c r="R56" s="2">
        <f t="shared" si="2"/>
        <v>0</v>
      </c>
      <c r="S56" s="2">
        <v>110</v>
      </c>
      <c r="T56" s="2">
        <v>111</v>
      </c>
      <c r="U56" s="2" t="str">
        <f t="shared" si="3"/>
        <v>双向评分平局</v>
      </c>
    </row>
    <row r="57" ht="23" customHeight="1" spans="1:21">
      <c r="A57" s="6" t="s">
        <v>141</v>
      </c>
      <c r="B57" s="2" t="s">
        <v>50</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26</v>
      </c>
      <c r="R57" s="2">
        <f t="shared" si="2"/>
        <v>0</v>
      </c>
      <c r="S57" s="2">
        <v>112</v>
      </c>
      <c r="T57" s="2">
        <v>113</v>
      </c>
      <c r="U57" s="2" t="str">
        <f t="shared" si="3"/>
        <v>双向评分平局</v>
      </c>
    </row>
    <row r="58" ht="23" customHeight="1" spans="1:21">
      <c r="A58" s="6" t="s">
        <v>141</v>
      </c>
      <c r="B58" s="2" t="s">
        <v>50</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3</v>
      </c>
      <c r="L58" s="2" t="str">
        <f>five子指标方向明细!H115</f>
        <v>B</v>
      </c>
      <c r="M58" s="2">
        <f>five子指标方向明细!I115</f>
        <v>5</v>
      </c>
      <c r="N58" s="2" t="str">
        <f>five子指标方向明细!L115</f>
        <v>B</v>
      </c>
      <c r="O58" s="2">
        <f t="shared" si="0"/>
        <v>1</v>
      </c>
      <c r="P58" s="2" t="str">
        <f t="shared" si="1"/>
        <v>B</v>
      </c>
      <c r="Q58" s="2" t="s">
        <v>26</v>
      </c>
      <c r="R58" s="2">
        <f t="shared" si="2"/>
        <v>1</v>
      </c>
      <c r="S58" s="2">
        <v>114</v>
      </c>
      <c r="T58" s="2">
        <v>115</v>
      </c>
      <c r="U58" s="2" t="str">
        <f t="shared" si="3"/>
        <v/>
      </c>
    </row>
    <row r="59" ht="23" customHeight="1" spans="1:21">
      <c r="A59" s="6" t="s">
        <v>141</v>
      </c>
      <c r="B59" s="2" t="s">
        <v>50</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26</v>
      </c>
      <c r="R59" s="2">
        <f t="shared" si="2"/>
        <v>0</v>
      </c>
      <c r="S59" s="2">
        <v>116</v>
      </c>
      <c r="T59" s="2">
        <v>117</v>
      </c>
      <c r="U59" s="2" t="str">
        <f t="shared" si="3"/>
        <v>双向评分平局</v>
      </c>
    </row>
    <row r="60" ht="23" customHeight="1" spans="1:21">
      <c r="A60" s="6" t="s">
        <v>141</v>
      </c>
      <c r="B60" s="2" t="s">
        <v>50</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26</v>
      </c>
      <c r="R60" s="2">
        <f t="shared" si="2"/>
        <v>0</v>
      </c>
      <c r="S60" s="2">
        <v>118</v>
      </c>
      <c r="T60" s="2">
        <v>119</v>
      </c>
      <c r="U60" s="2" t="str">
        <f t="shared" si="3"/>
        <v>双向评分平局</v>
      </c>
    </row>
    <row r="61" ht="23" customHeight="1" spans="1:21">
      <c r="A61" s="6" t="s">
        <v>141</v>
      </c>
      <c r="B61" s="2" t="s">
        <v>50</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26</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5</v>
      </c>
      <c r="N62" s="2" t="str">
        <f>five子指标方向明细!L123</f>
        <v>D(平局)</v>
      </c>
      <c r="O62" s="2">
        <f t="shared" si="0"/>
        <v>1</v>
      </c>
      <c r="P62" s="2" t="str">
        <f t="shared" si="1"/>
        <v>D(平局)</v>
      </c>
      <c r="Q62" s="2" t="s">
        <v>26</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3</v>
      </c>
      <c r="G63" s="2" t="str">
        <f>five子指标方向明细!H124</f>
        <v>B</v>
      </c>
      <c r="H63" s="2">
        <f>five子指标方向明细!I124</f>
        <v>5</v>
      </c>
      <c r="I63" s="2" t="str">
        <f>five子指标方向明细!L124</f>
        <v>B</v>
      </c>
      <c r="J63" s="2" t="str">
        <f>five子指标方向明细!F125</f>
        <v>B</v>
      </c>
      <c r="K63" s="2">
        <f>five子指标方向明细!G125</f>
        <v>5</v>
      </c>
      <c r="L63" s="2" t="str">
        <f>five子指标方向明细!H125</f>
        <v>A</v>
      </c>
      <c r="M63" s="2">
        <f>five子指标方向明细!I125</f>
        <v>3</v>
      </c>
      <c r="N63" s="2" t="str">
        <f>five子指标方向明细!L125</f>
        <v>B</v>
      </c>
      <c r="O63" s="2">
        <f t="shared" si="0"/>
        <v>1</v>
      </c>
      <c r="P63" s="2" t="str">
        <f t="shared" si="1"/>
        <v>B</v>
      </c>
      <c r="Q63" s="2" t="s">
        <v>26</v>
      </c>
      <c r="R63" s="2">
        <f t="shared" si="2"/>
        <v>1</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5</v>
      </c>
      <c r="I64" s="2" t="str">
        <f>five子指标方向明细!L126</f>
        <v>B</v>
      </c>
      <c r="J64" s="2" t="str">
        <f>five子指标方向明细!F127</f>
        <v>B</v>
      </c>
      <c r="K64" s="2">
        <f>five子指标方向明细!G127</f>
        <v>5</v>
      </c>
      <c r="L64" s="2" t="str">
        <f>five子指标方向明细!H127</f>
        <v>A</v>
      </c>
      <c r="M64" s="2">
        <f>five子指标方向明细!I127</f>
        <v>4</v>
      </c>
      <c r="N64" s="2" t="str">
        <f>five子指标方向明细!L127</f>
        <v>B</v>
      </c>
      <c r="O64" s="2">
        <f t="shared" si="0"/>
        <v>1</v>
      </c>
      <c r="P64" s="2" t="str">
        <f t="shared" si="1"/>
        <v>B</v>
      </c>
      <c r="Q64" s="2" t="s">
        <v>26</v>
      </c>
      <c r="R64" s="2">
        <f t="shared" si="2"/>
        <v>1</v>
      </c>
      <c r="S64" s="2">
        <v>126</v>
      </c>
      <c r="T64" s="2">
        <v>127</v>
      </c>
      <c r="U64" s="2" t="str">
        <f t="shared" si="3"/>
        <v/>
      </c>
    </row>
    <row r="65" ht="23" customHeight="1" spans="1:21">
      <c r="A65" s="6" t="s">
        <v>179</v>
      </c>
      <c r="B65" s="2" t="s">
        <v>15</v>
      </c>
      <c r="C65" s="2">
        <v>4</v>
      </c>
      <c r="D65" s="6" t="s">
        <v>500</v>
      </c>
      <c r="E65" s="2" t="str">
        <f>five子指标方向明细!F128</f>
        <v>A</v>
      </c>
      <c r="F65" s="2">
        <f>five子指标方向明细!G128</f>
        <v>5</v>
      </c>
      <c r="G65" s="2" t="str">
        <f>five子指标方向明细!H128</f>
        <v>B</v>
      </c>
      <c r="H65" s="2">
        <f>five子指标方向明细!I128</f>
        <v>5</v>
      </c>
      <c r="I65" s="2" t="str">
        <f>five子指标方向明细!L128</f>
        <v>D(平局)</v>
      </c>
      <c r="J65" s="2" t="str">
        <f>five子指标方向明细!F129</f>
        <v>B</v>
      </c>
      <c r="K65" s="2">
        <f>five子指标方向明细!G129</f>
        <v>5</v>
      </c>
      <c r="L65" s="2" t="str">
        <f>five子指标方向明细!H129</f>
        <v>A</v>
      </c>
      <c r="M65" s="2">
        <f>five子指标方向明细!I129</f>
        <v>5</v>
      </c>
      <c r="N65" s="2" t="str">
        <f>five子指标方向明细!L129</f>
        <v>D(平局)</v>
      </c>
      <c r="O65" s="2">
        <f t="shared" si="0"/>
        <v>1</v>
      </c>
      <c r="P65" s="2" t="str">
        <f t="shared" si="1"/>
        <v>D(平局)</v>
      </c>
      <c r="Q65" s="2" t="s">
        <v>26</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26</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37</v>
      </c>
      <c r="C67" s="2">
        <v>1</v>
      </c>
      <c r="D67" s="6" t="s">
        <v>497</v>
      </c>
      <c r="E67" s="2" t="str">
        <f>five子指标方向明细!F132</f>
        <v>A</v>
      </c>
      <c r="F67" s="2">
        <f>five子指标方向明细!G132</f>
        <v>5</v>
      </c>
      <c r="G67" s="2" t="str">
        <f>five子指标方向明细!H132</f>
        <v>C</v>
      </c>
      <c r="H67" s="2">
        <f>five子指标方向明细!I132</f>
        <v>5</v>
      </c>
      <c r="I67" s="2" t="str">
        <f>five子指标方向明细!L132</f>
        <v>D(平局)</v>
      </c>
      <c r="J67" s="2" t="str">
        <f>five子指标方向明细!F133</f>
        <v>C</v>
      </c>
      <c r="K67" s="2">
        <f>five子指标方向明细!G133</f>
        <v>5</v>
      </c>
      <c r="L67" s="2" t="str">
        <f>five子指标方向明细!H133</f>
        <v>A</v>
      </c>
      <c r="M67" s="2">
        <f>five子指标方向明细!I133</f>
        <v>5</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179</v>
      </c>
      <c r="B68" s="2" t="s">
        <v>37</v>
      </c>
      <c r="C68" s="2">
        <v>2</v>
      </c>
      <c r="D68" s="6" t="s">
        <v>498</v>
      </c>
      <c r="E68" s="2" t="str">
        <f>five子指标方向明细!F134</f>
        <v>A</v>
      </c>
      <c r="F68" s="2">
        <f>five子指标方向明细!G134</f>
        <v>4</v>
      </c>
      <c r="G68" s="2" t="str">
        <f>five子指标方向明细!H134</f>
        <v>C</v>
      </c>
      <c r="H68" s="2">
        <f>five子指标方向明细!I134</f>
        <v>4</v>
      </c>
      <c r="I68" s="2" t="str">
        <f>five子指标方向明细!L134</f>
        <v>D(平局)</v>
      </c>
      <c r="J68" s="2" t="str">
        <f>five子指标方向明细!F135</f>
        <v>C</v>
      </c>
      <c r="K68" s="2">
        <f>five子指标方向明细!G135</f>
        <v>5</v>
      </c>
      <c r="L68" s="2" t="str">
        <f>five子指标方向明细!H135</f>
        <v>A</v>
      </c>
      <c r="M68" s="2">
        <f>five子指标方向明细!I135</f>
        <v>4</v>
      </c>
      <c r="N68" s="2" t="str">
        <f>five子指标方向明细!L135</f>
        <v>C</v>
      </c>
      <c r="O68" s="2">
        <f t="shared" si="4"/>
        <v>0</v>
      </c>
      <c r="P68" s="2" t="str">
        <f t="shared" si="5"/>
        <v>D(平局)</v>
      </c>
      <c r="Q68" s="2" t="s">
        <v>22</v>
      </c>
      <c r="R68" s="2">
        <f t="shared" si="6"/>
        <v>0</v>
      </c>
      <c r="S68" s="2">
        <v>134</v>
      </c>
      <c r="T68" s="2">
        <v>135</v>
      </c>
      <c r="U68" s="2" t="str">
        <f t="shared" si="7"/>
        <v>方向冲突</v>
      </c>
    </row>
    <row r="69" ht="23" customHeight="1" spans="1:21">
      <c r="A69" s="6" t="s">
        <v>179</v>
      </c>
      <c r="B69" s="2" t="s">
        <v>37</v>
      </c>
      <c r="C69" s="2">
        <v>3</v>
      </c>
      <c r="D69" s="6" t="s">
        <v>499</v>
      </c>
      <c r="E69" s="2" t="str">
        <f>five子指标方向明细!F136</f>
        <v>A</v>
      </c>
      <c r="F69" s="2">
        <f>five子指标方向明细!G136</f>
        <v>5</v>
      </c>
      <c r="G69" s="2" t="str">
        <f>five子指标方向明细!H136</f>
        <v>C</v>
      </c>
      <c r="H69" s="2">
        <f>five子指标方向明细!I136</f>
        <v>5</v>
      </c>
      <c r="I69" s="2" t="str">
        <f>five子指标方向明细!L136</f>
        <v>D(平局)</v>
      </c>
      <c r="J69" s="2" t="str">
        <f>five子指标方向明细!F137</f>
        <v>C</v>
      </c>
      <c r="K69" s="2">
        <f>five子指标方向明细!G137</f>
        <v>5</v>
      </c>
      <c r="L69" s="2" t="str">
        <f>five子指标方向明细!H137</f>
        <v>A</v>
      </c>
      <c r="M69" s="2">
        <f>five子指标方向明细!I137</f>
        <v>5</v>
      </c>
      <c r="N69" s="2" t="str">
        <f>five子指标方向明细!L137</f>
        <v>D(平局)</v>
      </c>
      <c r="O69" s="2">
        <f t="shared" si="4"/>
        <v>1</v>
      </c>
      <c r="P69" s="2" t="str">
        <f t="shared" si="5"/>
        <v>D(平局)</v>
      </c>
      <c r="Q69" s="2" t="s">
        <v>22</v>
      </c>
      <c r="R69" s="2">
        <f t="shared" si="6"/>
        <v>0</v>
      </c>
      <c r="S69" s="2">
        <v>136</v>
      </c>
      <c r="T69" s="2">
        <v>137</v>
      </c>
      <c r="U69" s="2" t="str">
        <f t="shared" si="7"/>
        <v>双向评分平局</v>
      </c>
    </row>
    <row r="70" ht="23" customHeight="1" spans="1:21">
      <c r="A70" s="6" t="s">
        <v>179</v>
      </c>
      <c r="B70" s="2" t="s">
        <v>37</v>
      </c>
      <c r="C70" s="2">
        <v>4</v>
      </c>
      <c r="D70" s="6" t="s">
        <v>500</v>
      </c>
      <c r="E70" s="2" t="str">
        <f>five子指标方向明细!F138</f>
        <v>A</v>
      </c>
      <c r="F70" s="2">
        <f>five子指标方向明细!G138</f>
        <v>4</v>
      </c>
      <c r="G70" s="2" t="str">
        <f>five子指标方向明细!H138</f>
        <v>C</v>
      </c>
      <c r="H70" s="2">
        <f>five子指标方向明细!I138</f>
        <v>5</v>
      </c>
      <c r="I70" s="2" t="str">
        <f>five子指标方向明细!L138</f>
        <v>C</v>
      </c>
      <c r="J70" s="2" t="str">
        <f>five子指标方向明细!F139</f>
        <v>C</v>
      </c>
      <c r="K70" s="2">
        <f>five子指标方向明细!G139</f>
        <v>5</v>
      </c>
      <c r="L70" s="2" t="str">
        <f>five子指标方向明细!H139</f>
        <v>A</v>
      </c>
      <c r="M70" s="2">
        <f>five子指标方向明细!I139</f>
        <v>5</v>
      </c>
      <c r="N70" s="2" t="str">
        <f>five子指标方向明细!L139</f>
        <v>D(平局)</v>
      </c>
      <c r="O70" s="2">
        <f t="shared" si="4"/>
        <v>0</v>
      </c>
      <c r="P70" s="2" t="str">
        <f t="shared" si="5"/>
        <v>D(平局)</v>
      </c>
      <c r="Q70" s="2" t="s">
        <v>22</v>
      </c>
      <c r="R70" s="2">
        <f t="shared" si="6"/>
        <v>0</v>
      </c>
      <c r="S70" s="2">
        <v>138</v>
      </c>
      <c r="T70" s="2">
        <v>139</v>
      </c>
      <c r="U70" s="2" t="str">
        <f t="shared" si="7"/>
        <v>方向冲突</v>
      </c>
    </row>
    <row r="71" ht="23" customHeight="1" spans="1:21">
      <c r="A71" s="6" t="s">
        <v>179</v>
      </c>
      <c r="B71" s="2" t="s">
        <v>37</v>
      </c>
      <c r="C71" s="2">
        <v>5</v>
      </c>
      <c r="D71" s="6" t="s">
        <v>501</v>
      </c>
      <c r="E71" s="2" t="str">
        <f>five子指标方向明细!F140</f>
        <v>A</v>
      </c>
      <c r="F71" s="2">
        <f>five子指标方向明细!G140</f>
        <v>5</v>
      </c>
      <c r="G71" s="2" t="str">
        <f>five子指标方向明细!H140</f>
        <v>C</v>
      </c>
      <c r="H71" s="2">
        <f>five子指标方向明细!I140</f>
        <v>2</v>
      </c>
      <c r="I71" s="2" t="str">
        <f>five子指标方向明细!L140</f>
        <v>A</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0</v>
      </c>
      <c r="P71" s="2" t="str">
        <f t="shared" si="5"/>
        <v>D(平局)</v>
      </c>
      <c r="Q71" s="2" t="s">
        <v>22</v>
      </c>
      <c r="R71" s="2">
        <f t="shared" si="6"/>
        <v>0</v>
      </c>
      <c r="S71" s="2">
        <v>140</v>
      </c>
      <c r="T71" s="2">
        <v>141</v>
      </c>
      <c r="U71" s="2" t="str">
        <f t="shared" si="7"/>
        <v>方向冲突</v>
      </c>
    </row>
    <row r="72" ht="23" customHeight="1" spans="1:21">
      <c r="A72" s="6" t="s">
        <v>179</v>
      </c>
      <c r="B72" s="2" t="s">
        <v>50</v>
      </c>
      <c r="C72" s="2">
        <v>1</v>
      </c>
      <c r="D72" s="6" t="s">
        <v>497</v>
      </c>
      <c r="E72" s="2" t="str">
        <f>five子指标方向明细!F142</f>
        <v>B</v>
      </c>
      <c r="F72" s="2">
        <f>five子指标方向明细!G142</f>
        <v>5</v>
      </c>
      <c r="G72" s="2" t="str">
        <f>five子指标方向明细!H142</f>
        <v>C</v>
      </c>
      <c r="H72" s="2">
        <f>five子指标方向明细!I142</f>
        <v>5</v>
      </c>
      <c r="I72" s="2" t="str">
        <f>five子指标方向明细!L142</f>
        <v>D(平局)</v>
      </c>
      <c r="J72" s="2" t="str">
        <f>five子指标方向明细!F143</f>
        <v>C</v>
      </c>
      <c r="K72" s="2">
        <f>five子指标方向明细!G143</f>
        <v>5</v>
      </c>
      <c r="L72" s="2" t="str">
        <f>five子指标方向明细!H143</f>
        <v>B</v>
      </c>
      <c r="M72" s="2">
        <f>five子指标方向明细!I143</f>
        <v>5</v>
      </c>
      <c r="N72" s="2" t="str">
        <f>five子指标方向明细!L143</f>
        <v>D(平局)</v>
      </c>
      <c r="O72" s="2">
        <f t="shared" si="4"/>
        <v>1</v>
      </c>
      <c r="P72" s="2" t="str">
        <f t="shared" si="5"/>
        <v>D(平局)</v>
      </c>
      <c r="Q72" s="2" t="s">
        <v>26</v>
      </c>
      <c r="R72" s="2">
        <f t="shared" si="6"/>
        <v>0</v>
      </c>
      <c r="S72" s="2">
        <v>142</v>
      </c>
      <c r="T72" s="2">
        <v>143</v>
      </c>
      <c r="U72" s="2" t="str">
        <f t="shared" si="7"/>
        <v>双向评分平局</v>
      </c>
    </row>
    <row r="73" ht="23" customHeight="1" spans="1:21">
      <c r="A73" s="6" t="s">
        <v>179</v>
      </c>
      <c r="B73" s="2" t="s">
        <v>50</v>
      </c>
      <c r="C73" s="2">
        <v>2</v>
      </c>
      <c r="D73" s="6" t="s">
        <v>498</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4</v>
      </c>
      <c r="L73" s="2" t="str">
        <f>five子指标方向明细!H145</f>
        <v>B</v>
      </c>
      <c r="M73" s="2">
        <f>five子指标方向明细!I145</f>
        <v>5</v>
      </c>
      <c r="N73" s="2" t="str">
        <f>five子指标方向明细!L145</f>
        <v>B</v>
      </c>
      <c r="O73" s="2">
        <f t="shared" si="4"/>
        <v>1</v>
      </c>
      <c r="P73" s="2" t="str">
        <f t="shared" si="5"/>
        <v>B</v>
      </c>
      <c r="Q73" s="2" t="s">
        <v>26</v>
      </c>
      <c r="R73" s="2">
        <f t="shared" si="6"/>
        <v>1</v>
      </c>
      <c r="S73" s="2">
        <v>144</v>
      </c>
      <c r="T73" s="2">
        <v>145</v>
      </c>
      <c r="U73" s="2" t="str">
        <f t="shared" si="7"/>
        <v/>
      </c>
    </row>
    <row r="74" ht="23" customHeight="1" spans="1:21">
      <c r="A74" s="6" t="s">
        <v>179</v>
      </c>
      <c r="B74" s="2" t="s">
        <v>50</v>
      </c>
      <c r="C74" s="2">
        <v>3</v>
      </c>
      <c r="D74" s="6" t="s">
        <v>499</v>
      </c>
      <c r="E74" s="2" t="str">
        <f>five子指标方向明细!F146</f>
        <v>B</v>
      </c>
      <c r="F74" s="2">
        <f>five子指标方向明细!G146</f>
        <v>5</v>
      </c>
      <c r="G74" s="2" t="str">
        <f>five子指标方向明细!H146</f>
        <v>C</v>
      </c>
      <c r="H74" s="2">
        <f>five子指标方向明细!I146</f>
        <v>4</v>
      </c>
      <c r="I74" s="2" t="str">
        <f>five子指标方向明细!L146</f>
        <v>B</v>
      </c>
      <c r="J74" s="2" t="str">
        <f>five子指标方向明细!F147</f>
        <v>C</v>
      </c>
      <c r="K74" s="2">
        <f>five子指标方向明细!G147</f>
        <v>5</v>
      </c>
      <c r="L74" s="2" t="str">
        <f>five子指标方向明细!H147</f>
        <v>B</v>
      </c>
      <c r="M74" s="2">
        <f>five子指标方向明细!I147</f>
        <v>5</v>
      </c>
      <c r="N74" s="2" t="str">
        <f>five子指标方向明细!L147</f>
        <v>D(平局)</v>
      </c>
      <c r="O74" s="2">
        <f t="shared" si="4"/>
        <v>0</v>
      </c>
      <c r="P74" s="2" t="str">
        <f t="shared" si="5"/>
        <v>D(平局)</v>
      </c>
      <c r="Q74" s="2" t="s">
        <v>26</v>
      </c>
      <c r="R74" s="2">
        <f t="shared" si="6"/>
        <v>0</v>
      </c>
      <c r="S74" s="2">
        <v>146</v>
      </c>
      <c r="T74" s="2">
        <v>147</v>
      </c>
      <c r="U74" s="2" t="str">
        <f t="shared" si="7"/>
        <v>方向冲突</v>
      </c>
    </row>
    <row r="75" ht="23" customHeight="1" spans="1:21">
      <c r="A75" s="6" t="s">
        <v>179</v>
      </c>
      <c r="B75" s="2" t="s">
        <v>50</v>
      </c>
      <c r="C75" s="2">
        <v>4</v>
      </c>
      <c r="D75" s="6" t="s">
        <v>500</v>
      </c>
      <c r="E75" s="2" t="str">
        <f>five子指标方向明细!F148</f>
        <v>B</v>
      </c>
      <c r="F75" s="2">
        <f>five子指标方向明细!G148</f>
        <v>5</v>
      </c>
      <c r="G75" s="2" t="str">
        <f>five子指标方向明细!H148</f>
        <v>C</v>
      </c>
      <c r="H75" s="2">
        <f>five子指标方向明细!I148</f>
        <v>5</v>
      </c>
      <c r="I75" s="2" t="str">
        <f>five子指标方向明细!L148</f>
        <v>D(平局)</v>
      </c>
      <c r="J75" s="2" t="str">
        <f>five子指标方向明细!F149</f>
        <v>C</v>
      </c>
      <c r="K75" s="2">
        <f>five子指标方向明细!G149</f>
        <v>5</v>
      </c>
      <c r="L75" s="2" t="str">
        <f>five子指标方向明细!H149</f>
        <v>B</v>
      </c>
      <c r="M75" s="2">
        <f>five子指标方向明细!I149</f>
        <v>5</v>
      </c>
      <c r="N75" s="2" t="str">
        <f>five子指标方向明细!L149</f>
        <v>D(平局)</v>
      </c>
      <c r="O75" s="2">
        <f t="shared" si="4"/>
        <v>1</v>
      </c>
      <c r="P75" s="2" t="str">
        <f t="shared" si="5"/>
        <v>D(平局)</v>
      </c>
      <c r="Q75" s="2" t="s">
        <v>26</v>
      </c>
      <c r="R75" s="2">
        <f t="shared" si="6"/>
        <v>0</v>
      </c>
      <c r="S75" s="2">
        <v>148</v>
      </c>
      <c r="T75" s="2">
        <v>149</v>
      </c>
      <c r="U75" s="2" t="str">
        <f t="shared" si="7"/>
        <v>双向评分平局</v>
      </c>
    </row>
    <row r="76" ht="23" customHeight="1" spans="1:21">
      <c r="A76" s="6" t="s">
        <v>179</v>
      </c>
      <c r="B76" s="2" t="s">
        <v>50</v>
      </c>
      <c r="C76" s="2">
        <v>5</v>
      </c>
      <c r="D76" s="6" t="s">
        <v>501</v>
      </c>
      <c r="E76" s="2" t="str">
        <f>five子指标方向明细!F150</f>
        <v>B</v>
      </c>
      <c r="F76" s="2">
        <f>five子指标方向明细!G150</f>
        <v>5</v>
      </c>
      <c r="G76" s="2" t="str">
        <f>five子指标方向明细!H150</f>
        <v>C</v>
      </c>
      <c r="H76" s="2">
        <f>five子指标方向明细!I150</f>
        <v>2</v>
      </c>
      <c r="I76" s="2" t="str">
        <f>five子指标方向明细!L150</f>
        <v>B</v>
      </c>
      <c r="J76" s="2" t="str">
        <f>five子指标方向明细!F151</f>
        <v>C</v>
      </c>
      <c r="K76" s="2">
        <f>five子指标方向明细!G151</f>
        <v>2</v>
      </c>
      <c r="L76" s="2" t="str">
        <f>five子指标方向明细!H151</f>
        <v>B</v>
      </c>
      <c r="M76" s="2">
        <f>five子指标方向明细!I151</f>
        <v>5</v>
      </c>
      <c r="N76" s="2" t="str">
        <f>five子指标方向明细!L151</f>
        <v>B</v>
      </c>
      <c r="O76" s="2">
        <f t="shared" si="4"/>
        <v>1</v>
      </c>
      <c r="P76" s="2" t="str">
        <f t="shared" si="5"/>
        <v>B</v>
      </c>
      <c r="Q76" s="2" t="s">
        <v>26</v>
      </c>
      <c r="R76" s="2">
        <f t="shared" si="6"/>
        <v>1</v>
      </c>
      <c r="S76" s="2">
        <v>150</v>
      </c>
      <c r="T76" s="2">
        <v>151</v>
      </c>
      <c r="U76" s="2" t="str">
        <f t="shared" si="7"/>
        <v/>
      </c>
    </row>
    <row r="77" ht="23" customHeight="1" spans="1:21">
      <c r="A77" s="6" t="s">
        <v>217</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217</v>
      </c>
      <c r="B78" s="2" t="s">
        <v>15</v>
      </c>
      <c r="C78" s="2">
        <v>2</v>
      </c>
      <c r="D78" s="6" t="s">
        <v>498</v>
      </c>
      <c r="E78" s="2" t="str">
        <f>five子指标方向明细!F154</f>
        <v>A</v>
      </c>
      <c r="F78" s="2">
        <f>five子指标方向明细!G154</f>
        <v>5</v>
      </c>
      <c r="G78" s="2" t="str">
        <f>five子指标方向明细!H154</f>
        <v>B</v>
      </c>
      <c r="H78" s="2">
        <f>five子指标方向明细!I154</f>
        <v>4</v>
      </c>
      <c r="I78" s="2" t="str">
        <f>five子指标方向明细!L154</f>
        <v>A</v>
      </c>
      <c r="J78" s="2" t="str">
        <f>five子指标方向明细!F155</f>
        <v>B</v>
      </c>
      <c r="K78" s="2">
        <f>five子指标方向明细!G155</f>
        <v>4</v>
      </c>
      <c r="L78" s="2" t="str">
        <f>five子指标方向明细!H155</f>
        <v>A</v>
      </c>
      <c r="M78" s="2">
        <f>five子指标方向明细!I155</f>
        <v>5</v>
      </c>
      <c r="N78" s="2" t="str">
        <f>five子指标方向明细!L155</f>
        <v>A</v>
      </c>
      <c r="O78" s="2">
        <f t="shared" si="4"/>
        <v>1</v>
      </c>
      <c r="P78" s="2" t="str">
        <f t="shared" si="5"/>
        <v>A</v>
      </c>
      <c r="Q78" s="2" t="s">
        <v>22</v>
      </c>
      <c r="R78" s="2">
        <f t="shared" si="6"/>
        <v>1</v>
      </c>
      <c r="S78" s="2">
        <v>154</v>
      </c>
      <c r="T78" s="2">
        <v>155</v>
      </c>
      <c r="U78" s="2" t="str">
        <f t="shared" si="7"/>
        <v/>
      </c>
    </row>
    <row r="79" ht="23" customHeight="1" spans="1:21">
      <c r="A79" s="6" t="s">
        <v>217</v>
      </c>
      <c r="B79" s="2" t="s">
        <v>15</v>
      </c>
      <c r="C79" s="2">
        <v>3</v>
      </c>
      <c r="D79" s="6" t="s">
        <v>499</v>
      </c>
      <c r="E79" s="2" t="str">
        <f>five子指标方向明细!F156</f>
        <v>A</v>
      </c>
      <c r="F79" s="2">
        <f>five子指标方向明细!G156</f>
        <v>5</v>
      </c>
      <c r="G79" s="2" t="str">
        <f>five子指标方向明细!H156</f>
        <v>B</v>
      </c>
      <c r="H79" s="2">
        <f>five子指标方向明细!I156</f>
        <v>5</v>
      </c>
      <c r="I79" s="2" t="str">
        <f>five子指标方向明细!L156</f>
        <v>D(平局)</v>
      </c>
      <c r="J79" s="2" t="str">
        <f>five子指标方向明细!F157</f>
        <v>B</v>
      </c>
      <c r="K79" s="2">
        <f>five子指标方向明细!G157</f>
        <v>5</v>
      </c>
      <c r="L79" s="2" t="str">
        <f>five子指标方向明细!H157</f>
        <v>A</v>
      </c>
      <c r="M79" s="2">
        <f>five子指标方向明细!I157</f>
        <v>5</v>
      </c>
      <c r="N79" s="2" t="str">
        <f>five子指标方向明细!L157</f>
        <v>D(平局)</v>
      </c>
      <c r="O79" s="2">
        <f t="shared" si="4"/>
        <v>1</v>
      </c>
      <c r="P79" s="2" t="str">
        <f t="shared" si="5"/>
        <v>D(平局)</v>
      </c>
      <c r="Q79" s="2" t="s">
        <v>22</v>
      </c>
      <c r="R79" s="2">
        <f t="shared" si="6"/>
        <v>0</v>
      </c>
      <c r="S79" s="2">
        <v>156</v>
      </c>
      <c r="T79" s="2">
        <v>157</v>
      </c>
      <c r="U79" s="2" t="str">
        <f t="shared" si="7"/>
        <v>双向评分平局</v>
      </c>
    </row>
    <row r="80" ht="23" customHeight="1" spans="1:21">
      <c r="A80" s="6" t="s">
        <v>217</v>
      </c>
      <c r="B80" s="2" t="s">
        <v>15</v>
      </c>
      <c r="C80" s="2">
        <v>4</v>
      </c>
      <c r="D80" s="6" t="s">
        <v>500</v>
      </c>
      <c r="E80" s="2" t="str">
        <f>five子指标方向明细!F158</f>
        <v>A</v>
      </c>
      <c r="F80" s="2">
        <f>five子指标方向明细!G158</f>
        <v>5</v>
      </c>
      <c r="G80" s="2" t="str">
        <f>five子指标方向明细!H158</f>
        <v>B</v>
      </c>
      <c r="H80" s="2">
        <f>five子指标方向明细!I158</f>
        <v>5</v>
      </c>
      <c r="I80" s="2" t="str">
        <f>five子指标方向明细!L158</f>
        <v>D(平局)</v>
      </c>
      <c r="J80" s="2" t="str">
        <f>five子指标方向明细!F159</f>
        <v>B</v>
      </c>
      <c r="K80" s="2">
        <f>five子指标方向明细!G159</f>
        <v>5</v>
      </c>
      <c r="L80" s="2" t="str">
        <f>five子指标方向明细!H159</f>
        <v>A</v>
      </c>
      <c r="M80" s="2">
        <f>five子指标方向明细!I159</f>
        <v>5</v>
      </c>
      <c r="N80" s="2" t="str">
        <f>five子指标方向明细!L159</f>
        <v>D(平局)</v>
      </c>
      <c r="O80" s="2">
        <f t="shared" si="4"/>
        <v>1</v>
      </c>
      <c r="P80" s="2" t="str">
        <f t="shared" si="5"/>
        <v>D(平局)</v>
      </c>
      <c r="Q80" s="2" t="s">
        <v>22</v>
      </c>
      <c r="R80" s="2">
        <f t="shared" si="6"/>
        <v>0</v>
      </c>
      <c r="S80" s="2">
        <v>158</v>
      </c>
      <c r="T80" s="2">
        <v>159</v>
      </c>
      <c r="U80" s="2" t="str">
        <f t="shared" si="7"/>
        <v>双向评分平局</v>
      </c>
    </row>
    <row r="81" ht="23" customHeight="1" spans="1:21">
      <c r="A81" s="6" t="s">
        <v>217</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22</v>
      </c>
      <c r="R81" s="2">
        <f t="shared" si="6"/>
        <v>0</v>
      </c>
      <c r="S81" s="2">
        <v>160</v>
      </c>
      <c r="T81" s="2">
        <v>161</v>
      </c>
      <c r="U81" s="2" t="str">
        <f t="shared" si="7"/>
        <v>双向评分平局</v>
      </c>
    </row>
    <row r="82" ht="23" customHeight="1" spans="1:21">
      <c r="A82" s="6" t="s">
        <v>217</v>
      </c>
      <c r="B82" s="2" t="s">
        <v>37</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22</v>
      </c>
      <c r="R82" s="2">
        <f t="shared" si="6"/>
        <v>0</v>
      </c>
      <c r="S82" s="2">
        <v>162</v>
      </c>
      <c r="T82" s="2">
        <v>163</v>
      </c>
      <c r="U82" s="2" t="str">
        <f t="shared" si="7"/>
        <v>双向评分平局</v>
      </c>
    </row>
    <row r="83" ht="23" customHeight="1" spans="1:21">
      <c r="A83" s="6" t="s">
        <v>217</v>
      </c>
      <c r="B83" s="2" t="s">
        <v>37</v>
      </c>
      <c r="C83" s="2">
        <v>2</v>
      </c>
      <c r="D83" s="6" t="s">
        <v>498</v>
      </c>
      <c r="E83" s="2" t="str">
        <f>five子指标方向明细!F164</f>
        <v>A</v>
      </c>
      <c r="F83" s="2">
        <f>five子指标方向明细!G164</f>
        <v>5</v>
      </c>
      <c r="G83" s="2" t="str">
        <f>five子指标方向明细!H164</f>
        <v>C</v>
      </c>
      <c r="H83" s="2">
        <f>five子指标方向明细!I164</f>
        <v>2</v>
      </c>
      <c r="I83" s="2" t="str">
        <f>five子指标方向明细!L164</f>
        <v>A</v>
      </c>
      <c r="J83" s="2" t="str">
        <f>five子指标方向明细!F165</f>
        <v>C</v>
      </c>
      <c r="K83" s="2">
        <f>five子指标方向明细!G165</f>
        <v>2</v>
      </c>
      <c r="L83" s="2" t="str">
        <f>five子指标方向明细!H165</f>
        <v>A</v>
      </c>
      <c r="M83" s="2">
        <f>five子指标方向明细!I165</f>
        <v>5</v>
      </c>
      <c r="N83" s="2" t="str">
        <f>five子指标方向明细!L165</f>
        <v>A</v>
      </c>
      <c r="O83" s="2">
        <f t="shared" si="4"/>
        <v>1</v>
      </c>
      <c r="P83" s="2" t="str">
        <f t="shared" si="5"/>
        <v>A</v>
      </c>
      <c r="Q83" s="2" t="s">
        <v>22</v>
      </c>
      <c r="R83" s="2">
        <f t="shared" si="6"/>
        <v>1</v>
      </c>
      <c r="S83" s="2">
        <v>164</v>
      </c>
      <c r="T83" s="2">
        <v>165</v>
      </c>
      <c r="U83" s="2" t="str">
        <f t="shared" si="7"/>
        <v/>
      </c>
    </row>
    <row r="84" ht="23" customHeight="1" spans="1:21">
      <c r="A84" s="6" t="s">
        <v>217</v>
      </c>
      <c r="B84" s="2" t="s">
        <v>37</v>
      </c>
      <c r="C84" s="2">
        <v>3</v>
      </c>
      <c r="D84" s="6" t="s">
        <v>499</v>
      </c>
      <c r="E84" s="2" t="str">
        <f>five子指标方向明细!F166</f>
        <v>A</v>
      </c>
      <c r="F84" s="2">
        <f>five子指标方向明细!G166</f>
        <v>5</v>
      </c>
      <c r="G84" s="2" t="str">
        <f>five子指标方向明细!H166</f>
        <v>C</v>
      </c>
      <c r="H84" s="2">
        <f>five子指标方向明细!I166</f>
        <v>5</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22</v>
      </c>
      <c r="R84" s="2">
        <f t="shared" si="6"/>
        <v>0</v>
      </c>
      <c r="S84" s="2">
        <v>166</v>
      </c>
      <c r="T84" s="2">
        <v>167</v>
      </c>
      <c r="U84" s="2" t="str">
        <f t="shared" si="7"/>
        <v>双向评分平局</v>
      </c>
    </row>
    <row r="85" ht="23" customHeight="1" spans="1:21">
      <c r="A85" s="6" t="s">
        <v>217</v>
      </c>
      <c r="B85" s="2" t="s">
        <v>37</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22</v>
      </c>
      <c r="R85" s="2">
        <f t="shared" si="6"/>
        <v>0</v>
      </c>
      <c r="S85" s="2">
        <v>168</v>
      </c>
      <c r="T85" s="2">
        <v>169</v>
      </c>
      <c r="U85" s="2" t="str">
        <f t="shared" si="7"/>
        <v>双向评分平局</v>
      </c>
    </row>
    <row r="86" ht="23" customHeight="1" spans="1:21">
      <c r="A86" s="6" t="s">
        <v>217</v>
      </c>
      <c r="B86" s="2" t="s">
        <v>37</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4</v>
      </c>
      <c r="L86" s="2" t="str">
        <f>five子指标方向明细!H171</f>
        <v>A</v>
      </c>
      <c r="M86" s="2">
        <f>five子指标方向明细!I171</f>
        <v>5</v>
      </c>
      <c r="N86" s="2" t="str">
        <f>five子指标方向明细!L171</f>
        <v>A</v>
      </c>
      <c r="O86" s="2">
        <f t="shared" si="4"/>
        <v>0</v>
      </c>
      <c r="P86" s="2" t="str">
        <f t="shared" si="5"/>
        <v>D(平局)</v>
      </c>
      <c r="Q86" s="2" t="s">
        <v>22</v>
      </c>
      <c r="R86" s="2">
        <f t="shared" si="6"/>
        <v>0</v>
      </c>
      <c r="S86" s="2">
        <v>170</v>
      </c>
      <c r="T86" s="2">
        <v>171</v>
      </c>
      <c r="U86" s="2" t="str">
        <f t="shared" si="7"/>
        <v>方向冲突</v>
      </c>
    </row>
    <row r="87" ht="23" customHeight="1" spans="1:21">
      <c r="A87" s="6" t="s">
        <v>217</v>
      </c>
      <c r="B87" s="2" t="s">
        <v>50</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26</v>
      </c>
      <c r="R87" s="2">
        <f t="shared" si="6"/>
        <v>0</v>
      </c>
      <c r="S87" s="2">
        <v>172</v>
      </c>
      <c r="T87" s="2">
        <v>173</v>
      </c>
      <c r="U87" s="2" t="str">
        <f t="shared" si="7"/>
        <v>双向评分平局</v>
      </c>
    </row>
    <row r="88" ht="23" customHeight="1" spans="1:21">
      <c r="A88" s="6" t="s">
        <v>217</v>
      </c>
      <c r="B88" s="2" t="s">
        <v>50</v>
      </c>
      <c r="C88" s="2">
        <v>2</v>
      </c>
      <c r="D88" s="6" t="s">
        <v>498</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26</v>
      </c>
      <c r="R88" s="2">
        <f t="shared" si="6"/>
        <v>1</v>
      </c>
      <c r="S88" s="2">
        <v>174</v>
      </c>
      <c r="T88" s="2">
        <v>175</v>
      </c>
      <c r="U88" s="2" t="str">
        <f t="shared" si="7"/>
        <v/>
      </c>
    </row>
    <row r="89" ht="23" customHeight="1" spans="1:21">
      <c r="A89" s="6" t="s">
        <v>217</v>
      </c>
      <c r="B89" s="2" t="s">
        <v>50</v>
      </c>
      <c r="C89" s="2">
        <v>3</v>
      </c>
      <c r="D89" s="6" t="s">
        <v>499</v>
      </c>
      <c r="E89" s="2" t="str">
        <f>five子指标方向明细!F176</f>
        <v>B</v>
      </c>
      <c r="F89" s="2">
        <f>five子指标方向明细!G176</f>
        <v>5</v>
      </c>
      <c r="G89" s="2" t="str">
        <f>five子指标方向明细!H176</f>
        <v>C</v>
      </c>
      <c r="H89" s="2">
        <f>five子指标方向明细!I176</f>
        <v>5</v>
      </c>
      <c r="I89" s="2" t="str">
        <f>five子指标方向明细!L176</f>
        <v>D(平局)</v>
      </c>
      <c r="J89" s="2" t="str">
        <f>five子指标方向明细!F177</f>
        <v>C</v>
      </c>
      <c r="K89" s="2">
        <f>five子指标方向明细!G177</f>
        <v>5</v>
      </c>
      <c r="L89" s="2" t="str">
        <f>five子指标方向明细!H177</f>
        <v>B</v>
      </c>
      <c r="M89" s="2">
        <f>five子指标方向明细!I177</f>
        <v>5</v>
      </c>
      <c r="N89" s="2" t="str">
        <f>five子指标方向明细!L177</f>
        <v>D(平局)</v>
      </c>
      <c r="O89" s="2">
        <f t="shared" si="4"/>
        <v>1</v>
      </c>
      <c r="P89" s="2" t="str">
        <f t="shared" si="5"/>
        <v>D(平局)</v>
      </c>
      <c r="Q89" s="2" t="s">
        <v>26</v>
      </c>
      <c r="R89" s="2">
        <f t="shared" si="6"/>
        <v>0</v>
      </c>
      <c r="S89" s="2">
        <v>176</v>
      </c>
      <c r="T89" s="2">
        <v>177</v>
      </c>
      <c r="U89" s="2" t="str">
        <f t="shared" si="7"/>
        <v>双向评分平局</v>
      </c>
    </row>
    <row r="90" ht="23" customHeight="1" spans="1:21">
      <c r="A90" s="6" t="s">
        <v>217</v>
      </c>
      <c r="B90" s="2" t="s">
        <v>50</v>
      </c>
      <c r="C90" s="2">
        <v>4</v>
      </c>
      <c r="D90" s="6" t="s">
        <v>500</v>
      </c>
      <c r="E90" s="2" t="str">
        <f>five子指标方向明细!F178</f>
        <v>B</v>
      </c>
      <c r="F90" s="2">
        <f>five子指标方向明细!G178</f>
        <v>4</v>
      </c>
      <c r="G90" s="2" t="str">
        <f>five子指标方向明细!H178</f>
        <v>C</v>
      </c>
      <c r="H90" s="2">
        <f>five子指标方向明细!I178</f>
        <v>5</v>
      </c>
      <c r="I90" s="2" t="str">
        <f>five子指标方向明细!L178</f>
        <v>C</v>
      </c>
      <c r="J90" s="2" t="str">
        <f>five子指标方向明细!F179</f>
        <v>C</v>
      </c>
      <c r="K90" s="2">
        <f>five子指标方向明细!G179</f>
        <v>5</v>
      </c>
      <c r="L90" s="2" t="str">
        <f>five子指标方向明细!H179</f>
        <v>B</v>
      </c>
      <c r="M90" s="2">
        <f>five子指标方向明细!I179</f>
        <v>5</v>
      </c>
      <c r="N90" s="2" t="str">
        <f>five子指标方向明细!L179</f>
        <v>D(平局)</v>
      </c>
      <c r="O90" s="2">
        <f t="shared" si="4"/>
        <v>0</v>
      </c>
      <c r="P90" s="2" t="str">
        <f t="shared" si="5"/>
        <v>D(平局)</v>
      </c>
      <c r="Q90" s="2" t="s">
        <v>26</v>
      </c>
      <c r="R90" s="2">
        <f t="shared" si="6"/>
        <v>0</v>
      </c>
      <c r="S90" s="2">
        <v>178</v>
      </c>
      <c r="T90" s="2">
        <v>179</v>
      </c>
      <c r="U90" s="2" t="str">
        <f t="shared" si="7"/>
        <v>方向冲突</v>
      </c>
    </row>
    <row r="91" ht="23" customHeight="1" spans="1:21">
      <c r="A91" s="6" t="s">
        <v>217</v>
      </c>
      <c r="B91" s="2" t="s">
        <v>50</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3</v>
      </c>
      <c r="L91" s="2" t="str">
        <f>five子指标方向明细!H181</f>
        <v>B</v>
      </c>
      <c r="M91" s="2">
        <f>five子指标方向明细!I181</f>
        <v>5</v>
      </c>
      <c r="N91" s="2" t="str">
        <f>five子指标方向明细!L181</f>
        <v>B</v>
      </c>
      <c r="O91" s="2">
        <f t="shared" si="4"/>
        <v>0</v>
      </c>
      <c r="P91" s="2" t="str">
        <f t="shared" si="5"/>
        <v>D(平局)</v>
      </c>
      <c r="Q91" s="2" t="s">
        <v>26</v>
      </c>
      <c r="R91" s="2">
        <f t="shared" si="6"/>
        <v>0</v>
      </c>
      <c r="S91" s="2">
        <v>180</v>
      </c>
      <c r="T91" s="2">
        <v>181</v>
      </c>
      <c r="U91" s="2" t="str">
        <f t="shared" si="7"/>
        <v>方向冲突</v>
      </c>
    </row>
    <row r="92" ht="23" customHeight="1" spans="1:21">
      <c r="A92" s="6" t="s">
        <v>255</v>
      </c>
      <c r="B92" s="2" t="s">
        <v>15</v>
      </c>
      <c r="C92" s="2">
        <v>1</v>
      </c>
      <c r="D92" s="6" t="s">
        <v>497</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22</v>
      </c>
      <c r="R92" s="2">
        <f t="shared" si="6"/>
        <v>0</v>
      </c>
      <c r="S92" s="2">
        <v>182</v>
      </c>
      <c r="T92" s="2">
        <v>183</v>
      </c>
      <c r="U92" s="2" t="str">
        <f t="shared" si="7"/>
        <v>双向评分平局</v>
      </c>
    </row>
    <row r="93" ht="23" customHeight="1" spans="1:21">
      <c r="A93" s="6" t="s">
        <v>255</v>
      </c>
      <c r="B93" s="2" t="s">
        <v>15</v>
      </c>
      <c r="C93" s="2">
        <v>2</v>
      </c>
      <c r="D93" s="6" t="s">
        <v>498</v>
      </c>
      <c r="E93" s="2" t="str">
        <f>five子指标方向明细!F184</f>
        <v>A</v>
      </c>
      <c r="F93" s="2">
        <f>five子指标方向明细!G184</f>
        <v>5</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255</v>
      </c>
      <c r="B95" s="2" t="s">
        <v>15</v>
      </c>
      <c r="C95" s="2">
        <v>4</v>
      </c>
      <c r="D95" s="6" t="s">
        <v>500</v>
      </c>
      <c r="E95" s="2" t="str">
        <f>five子指标方向明细!F188</f>
        <v>A</v>
      </c>
      <c r="F95" s="2">
        <f>five子指标方向明细!G188</f>
        <v>5</v>
      </c>
      <c r="G95" s="2" t="str">
        <f>five子指标方向明细!H188</f>
        <v>B</v>
      </c>
      <c r="H95" s="2">
        <f>five子指标方向明细!I188</f>
        <v>5</v>
      </c>
      <c r="I95" s="2" t="str">
        <f>five子指标方向明细!L188</f>
        <v>D(平局)</v>
      </c>
      <c r="J95" s="2" t="str">
        <f>five子指标方向明细!F189</f>
        <v>B</v>
      </c>
      <c r="K95" s="2">
        <f>five子指标方向明细!G189</f>
        <v>5</v>
      </c>
      <c r="L95" s="2" t="str">
        <f>five子指标方向明细!H189</f>
        <v>A</v>
      </c>
      <c r="M95" s="2">
        <f>five子指标方向明细!I189</f>
        <v>5</v>
      </c>
      <c r="N95" s="2" t="str">
        <f>five子指标方向明细!L189</f>
        <v>D(平局)</v>
      </c>
      <c r="O95" s="2">
        <f t="shared" si="4"/>
        <v>1</v>
      </c>
      <c r="P95" s="2" t="str">
        <f t="shared" si="5"/>
        <v>D(平局)</v>
      </c>
      <c r="Q95" s="2" t="s">
        <v>22</v>
      </c>
      <c r="R95" s="2">
        <f t="shared" si="6"/>
        <v>0</v>
      </c>
      <c r="S95" s="2">
        <v>188</v>
      </c>
      <c r="T95" s="2">
        <v>189</v>
      </c>
      <c r="U95" s="2" t="str">
        <f t="shared" si="7"/>
        <v>双向评分平局</v>
      </c>
    </row>
    <row r="96" ht="23" customHeight="1" spans="1:21">
      <c r="A96" s="6" t="s">
        <v>255</v>
      </c>
      <c r="B96" s="2" t="s">
        <v>15</v>
      </c>
      <c r="C96" s="2">
        <v>5</v>
      </c>
      <c r="D96" s="6" t="s">
        <v>501</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22</v>
      </c>
      <c r="R96" s="2">
        <f t="shared" si="6"/>
        <v>0</v>
      </c>
      <c r="S96" s="2">
        <v>190</v>
      </c>
      <c r="T96" s="2">
        <v>191</v>
      </c>
      <c r="U96" s="2" t="str">
        <f t="shared" si="7"/>
        <v>双向评分平局</v>
      </c>
    </row>
    <row r="97" ht="23" customHeight="1" spans="1:21">
      <c r="A97" s="6" t="s">
        <v>255</v>
      </c>
      <c r="B97" s="2" t="s">
        <v>37</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22</v>
      </c>
      <c r="R97" s="2">
        <f t="shared" si="6"/>
        <v>0</v>
      </c>
      <c r="S97" s="2">
        <v>192</v>
      </c>
      <c r="T97" s="2">
        <v>193</v>
      </c>
      <c r="U97" s="2" t="str">
        <f t="shared" si="7"/>
        <v>双向评分平局</v>
      </c>
    </row>
    <row r="98" ht="23" customHeight="1" spans="1:21">
      <c r="A98" s="6" t="s">
        <v>255</v>
      </c>
      <c r="B98" s="2" t="s">
        <v>37</v>
      </c>
      <c r="C98" s="2">
        <v>2</v>
      </c>
      <c r="D98" s="6" t="s">
        <v>498</v>
      </c>
      <c r="E98" s="2" t="str">
        <f>five子指标方向明细!F194</f>
        <v>A</v>
      </c>
      <c r="F98" s="2">
        <f>five子指标方向明细!G194</f>
        <v>5</v>
      </c>
      <c r="G98" s="2" t="str">
        <f>five子指标方向明细!H194</f>
        <v>C</v>
      </c>
      <c r="H98" s="2">
        <f>five子指标方向明细!I194</f>
        <v>3</v>
      </c>
      <c r="I98" s="2" t="str">
        <f>five子指标方向明细!L194</f>
        <v>A</v>
      </c>
      <c r="J98" s="2" t="str">
        <f>five子指标方向明细!F195</f>
        <v>C</v>
      </c>
      <c r="K98" s="2">
        <f>five子指标方向明细!G195</f>
        <v>2</v>
      </c>
      <c r="L98" s="2" t="str">
        <f>five子指标方向明细!H195</f>
        <v>A</v>
      </c>
      <c r="M98" s="2">
        <f>five子指标方向明细!I195</f>
        <v>5</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255</v>
      </c>
      <c r="B99" s="2" t="s">
        <v>37</v>
      </c>
      <c r="C99" s="2">
        <v>3</v>
      </c>
      <c r="D99" s="6" t="s">
        <v>499</v>
      </c>
      <c r="E99" s="2" t="str">
        <f>five子指标方向明细!F196</f>
        <v>A</v>
      </c>
      <c r="F99" s="2">
        <f>five子指标方向明细!G196</f>
        <v>5</v>
      </c>
      <c r="G99" s="2" t="str">
        <f>five子指标方向明细!H196</f>
        <v>C</v>
      </c>
      <c r="H99" s="2">
        <f>five子指标方向明细!I196</f>
        <v>5</v>
      </c>
      <c r="I99" s="2" t="str">
        <f>five子指标方向明细!L196</f>
        <v>D(平局)</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0</v>
      </c>
      <c r="P99" s="2" t="str">
        <f t="shared" si="5"/>
        <v>D(平局)</v>
      </c>
      <c r="Q99" s="2" t="s">
        <v>22</v>
      </c>
      <c r="R99" s="2">
        <f t="shared" si="6"/>
        <v>0</v>
      </c>
      <c r="S99" s="2">
        <v>196</v>
      </c>
      <c r="T99" s="2">
        <v>197</v>
      </c>
      <c r="U99" s="2" t="str">
        <f t="shared" si="7"/>
        <v>方向冲突</v>
      </c>
    </row>
    <row r="100" ht="23" customHeight="1" spans="1:21">
      <c r="A100" s="6" t="s">
        <v>255</v>
      </c>
      <c r="B100" s="2" t="s">
        <v>37</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1</v>
      </c>
      <c r="P100" s="2" t="str">
        <f t="shared" si="5"/>
        <v>D(平局)</v>
      </c>
      <c r="Q100" s="2" t="s">
        <v>22</v>
      </c>
      <c r="R100" s="2">
        <f t="shared" si="6"/>
        <v>0</v>
      </c>
      <c r="S100" s="2">
        <v>198</v>
      </c>
      <c r="T100" s="2">
        <v>199</v>
      </c>
      <c r="U100" s="2" t="str">
        <f t="shared" si="7"/>
        <v>双向评分平局</v>
      </c>
    </row>
    <row r="101" ht="23" customHeight="1" spans="1:21">
      <c r="A101" s="6" t="s">
        <v>255</v>
      </c>
      <c r="B101" s="2" t="s">
        <v>37</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22</v>
      </c>
      <c r="R101" s="2">
        <f t="shared" si="6"/>
        <v>0</v>
      </c>
      <c r="S101" s="2">
        <v>200</v>
      </c>
      <c r="T101" s="2">
        <v>201</v>
      </c>
      <c r="U101" s="2" t="str">
        <f t="shared" si="7"/>
        <v>双向评分平局</v>
      </c>
    </row>
    <row r="102" ht="23" customHeight="1" spans="1:21">
      <c r="A102" s="6" t="s">
        <v>255</v>
      </c>
      <c r="B102" s="2" t="s">
        <v>50</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105</v>
      </c>
      <c r="R102" s="2">
        <f t="shared" si="6"/>
        <v>0</v>
      </c>
      <c r="S102" s="2">
        <v>202</v>
      </c>
      <c r="T102" s="2">
        <v>203</v>
      </c>
      <c r="U102" s="2" t="str">
        <f t="shared" si="7"/>
        <v>双向评分平局</v>
      </c>
    </row>
    <row r="103" ht="23" customHeight="1" spans="1:21">
      <c r="A103" s="6" t="s">
        <v>255</v>
      </c>
      <c r="B103" s="2" t="s">
        <v>50</v>
      </c>
      <c r="C103" s="2">
        <v>2</v>
      </c>
      <c r="D103" s="6" t="s">
        <v>498</v>
      </c>
      <c r="E103" s="2" t="str">
        <f>five子指标方向明细!F204</f>
        <v>B</v>
      </c>
      <c r="F103" s="2">
        <f>five子指标方向明细!G204</f>
        <v>3</v>
      </c>
      <c r="G103" s="2" t="str">
        <f>five子指标方向明细!H204</f>
        <v>C</v>
      </c>
      <c r="H103" s="2">
        <f>five子指标方向明细!I204</f>
        <v>4</v>
      </c>
      <c r="I103" s="2" t="str">
        <f>five子指标方向明细!L204</f>
        <v>C</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1</v>
      </c>
      <c r="P103" s="2" t="str">
        <f t="shared" si="5"/>
        <v>C</v>
      </c>
      <c r="Q103" s="2" t="s">
        <v>105</v>
      </c>
      <c r="R103" s="2">
        <f t="shared" si="6"/>
        <v>1</v>
      </c>
      <c r="S103" s="2">
        <v>204</v>
      </c>
      <c r="T103" s="2">
        <v>205</v>
      </c>
      <c r="U103" s="2" t="str">
        <f t="shared" si="7"/>
        <v/>
      </c>
    </row>
    <row r="104" ht="23" customHeight="1" spans="1:21">
      <c r="A104" s="6" t="s">
        <v>255</v>
      </c>
      <c r="B104" s="2" t="s">
        <v>50</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105</v>
      </c>
      <c r="R104" s="2">
        <f t="shared" si="6"/>
        <v>0</v>
      </c>
      <c r="S104" s="2">
        <v>206</v>
      </c>
      <c r="T104" s="2">
        <v>207</v>
      </c>
      <c r="U104" s="2" t="str">
        <f t="shared" si="7"/>
        <v/>
      </c>
    </row>
    <row r="105" ht="23" customHeight="1" spans="1:21">
      <c r="A105" s="6" t="s">
        <v>255</v>
      </c>
      <c r="B105" s="2" t="s">
        <v>50</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5</v>
      </c>
      <c r="N105" s="2" t="str">
        <f>five子指标方向明细!L209</f>
        <v>D(平局)</v>
      </c>
      <c r="O105" s="2">
        <f t="shared" si="4"/>
        <v>1</v>
      </c>
      <c r="P105" s="2" t="str">
        <f t="shared" si="5"/>
        <v>D(平局)</v>
      </c>
      <c r="Q105" s="2" t="s">
        <v>105</v>
      </c>
      <c r="R105" s="2">
        <f t="shared" si="6"/>
        <v>0</v>
      </c>
      <c r="S105" s="2">
        <v>208</v>
      </c>
      <c r="T105" s="2">
        <v>209</v>
      </c>
      <c r="U105" s="2" t="str">
        <f t="shared" si="7"/>
        <v>双向评分平局</v>
      </c>
    </row>
    <row r="106" ht="23" customHeight="1" spans="1:21">
      <c r="A106" s="6" t="s">
        <v>255</v>
      </c>
      <c r="B106" s="2" t="s">
        <v>50</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105</v>
      </c>
      <c r="R106" s="2">
        <f t="shared" si="6"/>
        <v>0</v>
      </c>
      <c r="S106" s="2">
        <v>210</v>
      </c>
      <c r="T106" s="2">
        <v>211</v>
      </c>
      <c r="U106" s="2" t="str">
        <f t="shared" si="7"/>
        <v>双向评分平局</v>
      </c>
    </row>
    <row r="107" ht="23" customHeight="1" spans="1:21">
      <c r="A107" s="6" t="s">
        <v>293</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1</v>
      </c>
      <c r="P107" s="2" t="str">
        <f t="shared" si="5"/>
        <v>D(平局)</v>
      </c>
      <c r="Q107" s="2" t="s">
        <v>22</v>
      </c>
      <c r="R107" s="2">
        <f t="shared" si="6"/>
        <v>0</v>
      </c>
      <c r="S107" s="2">
        <v>212</v>
      </c>
      <c r="T107" s="2">
        <v>213</v>
      </c>
      <c r="U107" s="2" t="str">
        <f t="shared" si="7"/>
        <v>双向评分平局</v>
      </c>
    </row>
    <row r="108" ht="23" customHeight="1" spans="1:21">
      <c r="A108" s="6" t="s">
        <v>293</v>
      </c>
      <c r="B108" s="2" t="s">
        <v>15</v>
      </c>
      <c r="C108" s="2">
        <v>2</v>
      </c>
      <c r="D108" s="6" t="s">
        <v>498</v>
      </c>
      <c r="E108" s="2" t="str">
        <f>five子指标方向明细!F214</f>
        <v>A</v>
      </c>
      <c r="F108" s="2">
        <f>five子指标方向明细!G214</f>
        <v>4</v>
      </c>
      <c r="G108" s="2" t="str">
        <f>five子指标方向明细!H214</f>
        <v>B</v>
      </c>
      <c r="H108" s="2">
        <f>five子指标方向明细!I214</f>
        <v>5</v>
      </c>
      <c r="I108" s="2" t="str">
        <f>five子指标方向明细!L214</f>
        <v>B</v>
      </c>
      <c r="J108" s="2" t="str">
        <f>five子指标方向明细!F215</f>
        <v>B</v>
      </c>
      <c r="K108" s="2">
        <f>five子指标方向明细!G215</f>
        <v>5</v>
      </c>
      <c r="L108" s="2" t="str">
        <f>five子指标方向明细!H215</f>
        <v>A</v>
      </c>
      <c r="M108" s="2">
        <f>five子指标方向明细!I215</f>
        <v>5</v>
      </c>
      <c r="N108" s="2" t="str">
        <f>five子指标方向明细!L215</f>
        <v>D(平局)</v>
      </c>
      <c r="O108" s="2">
        <f t="shared" si="4"/>
        <v>0</v>
      </c>
      <c r="P108" s="2" t="str">
        <f t="shared" si="5"/>
        <v>D(平局)</v>
      </c>
      <c r="Q108" s="2" t="s">
        <v>22</v>
      </c>
      <c r="R108" s="2">
        <f t="shared" si="6"/>
        <v>0</v>
      </c>
      <c r="S108" s="2">
        <v>214</v>
      </c>
      <c r="T108" s="2">
        <v>215</v>
      </c>
      <c r="U108" s="2" t="str">
        <f t="shared" si="7"/>
        <v>方向冲突</v>
      </c>
    </row>
    <row r="109" ht="23" customHeight="1" spans="1:21">
      <c r="A109" s="6" t="s">
        <v>293</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5</v>
      </c>
      <c r="N109" s="2" t="str">
        <f>five子指标方向明细!L217</f>
        <v>D(平局)</v>
      </c>
      <c r="O109" s="2">
        <f t="shared" si="4"/>
        <v>1</v>
      </c>
      <c r="P109" s="2" t="str">
        <f t="shared" si="5"/>
        <v>D(平局)</v>
      </c>
      <c r="Q109" s="2" t="s">
        <v>22</v>
      </c>
      <c r="R109" s="2">
        <f t="shared" si="6"/>
        <v>0</v>
      </c>
      <c r="S109" s="2">
        <v>216</v>
      </c>
      <c r="T109" s="2">
        <v>217</v>
      </c>
      <c r="U109" s="2" t="str">
        <f t="shared" si="7"/>
        <v>双向评分平局</v>
      </c>
    </row>
    <row r="110" ht="23" customHeight="1" spans="1:21">
      <c r="A110" s="6" t="s">
        <v>293</v>
      </c>
      <c r="B110" s="2" t="s">
        <v>15</v>
      </c>
      <c r="C110" s="2">
        <v>4</v>
      </c>
      <c r="D110" s="6" t="s">
        <v>500</v>
      </c>
      <c r="E110" s="2" t="str">
        <f>five子指标方向明细!F218</f>
        <v>A</v>
      </c>
      <c r="F110" s="2">
        <f>five子指标方向明细!G218</f>
        <v>5</v>
      </c>
      <c r="G110" s="2" t="str">
        <f>five子指标方向明细!H218</f>
        <v>B</v>
      </c>
      <c r="H110" s="2">
        <f>five子指标方向明细!I218</f>
        <v>5</v>
      </c>
      <c r="I110" s="2" t="str">
        <f>five子指标方向明细!L218</f>
        <v>D(平局)</v>
      </c>
      <c r="J110" s="2" t="str">
        <f>five子指标方向明细!F219</f>
        <v>B</v>
      </c>
      <c r="K110" s="2">
        <f>five子指标方向明细!G219</f>
        <v>5</v>
      </c>
      <c r="L110" s="2" t="str">
        <f>five子指标方向明细!H219</f>
        <v>A</v>
      </c>
      <c r="M110" s="2">
        <f>five子指标方向明细!I219</f>
        <v>5</v>
      </c>
      <c r="N110" s="2" t="str">
        <f>five子指标方向明细!L219</f>
        <v>D(平局)</v>
      </c>
      <c r="O110" s="2">
        <f t="shared" si="4"/>
        <v>1</v>
      </c>
      <c r="P110" s="2" t="str">
        <f t="shared" si="5"/>
        <v>D(平局)</v>
      </c>
      <c r="Q110" s="2" t="s">
        <v>22</v>
      </c>
      <c r="R110" s="2">
        <f t="shared" si="6"/>
        <v>0</v>
      </c>
      <c r="S110" s="2">
        <v>218</v>
      </c>
      <c r="T110" s="2">
        <v>219</v>
      </c>
      <c r="U110" s="2" t="str">
        <f t="shared" si="7"/>
        <v>双向评分平局</v>
      </c>
    </row>
    <row r="111" ht="23" customHeight="1" spans="1:21">
      <c r="A111" s="6" t="s">
        <v>293</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293</v>
      </c>
      <c r="B112" s="2" t="s">
        <v>37</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5</v>
      </c>
      <c r="L112" s="2" t="str">
        <f>five子指标方向明细!H223</f>
        <v>A</v>
      </c>
      <c r="M112" s="2">
        <f>five子指标方向明细!I223</f>
        <v>5</v>
      </c>
      <c r="N112" s="2" t="str">
        <f>five子指标方向明细!L223</f>
        <v>D(平局)</v>
      </c>
      <c r="O112" s="2">
        <f t="shared" si="4"/>
        <v>0</v>
      </c>
      <c r="P112" s="2" t="str">
        <f t="shared" si="5"/>
        <v>D(平局)</v>
      </c>
      <c r="Q112" s="2" t="s">
        <v>22</v>
      </c>
      <c r="R112" s="2">
        <f t="shared" si="6"/>
        <v>0</v>
      </c>
      <c r="S112" s="2">
        <v>222</v>
      </c>
      <c r="T112" s="2">
        <v>223</v>
      </c>
      <c r="U112" s="2" t="str">
        <f t="shared" si="7"/>
        <v>方向冲突</v>
      </c>
    </row>
    <row r="113" ht="23" customHeight="1" spans="1:21">
      <c r="A113" s="6" t="s">
        <v>293</v>
      </c>
      <c r="B113" s="2" t="s">
        <v>37</v>
      </c>
      <c r="C113" s="2">
        <v>2</v>
      </c>
      <c r="D113" s="6" t="s">
        <v>498</v>
      </c>
      <c r="E113" s="2" t="str">
        <f>five子指标方向明细!F224</f>
        <v>A</v>
      </c>
      <c r="F113" s="2">
        <f>five子指标方向明细!G224</f>
        <v>5</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4</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293</v>
      </c>
      <c r="B114" s="2" t="s">
        <v>37</v>
      </c>
      <c r="C114" s="2">
        <v>3</v>
      </c>
      <c r="D114" s="6" t="s">
        <v>499</v>
      </c>
      <c r="E114" s="2" t="str">
        <f>five子指标方向明细!F226</f>
        <v>A</v>
      </c>
      <c r="F114" s="2">
        <f>five子指标方向明细!G226</f>
        <v>5</v>
      </c>
      <c r="G114" s="2" t="str">
        <f>five子指标方向明细!H226</f>
        <v>C</v>
      </c>
      <c r="H114" s="2">
        <f>five子指标方向明细!I226</f>
        <v>4</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22</v>
      </c>
      <c r="R114" s="2">
        <f t="shared" si="6"/>
        <v>1</v>
      </c>
      <c r="S114" s="2">
        <v>226</v>
      </c>
      <c r="T114" s="2">
        <v>227</v>
      </c>
      <c r="U114" s="2" t="str">
        <f t="shared" si="7"/>
        <v/>
      </c>
    </row>
    <row r="115" ht="23" customHeight="1" spans="1:21">
      <c r="A115" s="6" t="s">
        <v>293</v>
      </c>
      <c r="B115" s="2" t="s">
        <v>37</v>
      </c>
      <c r="C115" s="2">
        <v>4</v>
      </c>
      <c r="D115" s="6" t="s">
        <v>500</v>
      </c>
      <c r="E115" s="2" t="str">
        <f>five子指标方向明细!F228</f>
        <v>A</v>
      </c>
      <c r="F115" s="2">
        <f>five子指标方向明细!G228</f>
        <v>5</v>
      </c>
      <c r="G115" s="2" t="str">
        <f>five子指标方向明细!H228</f>
        <v>C</v>
      </c>
      <c r="H115" s="2">
        <f>five子指标方向明细!I228</f>
        <v>5</v>
      </c>
      <c r="I115" s="2" t="str">
        <f>five子指标方向明细!L228</f>
        <v>D(平局)</v>
      </c>
      <c r="J115" s="2" t="str">
        <f>five子指标方向明细!F229</f>
        <v>C</v>
      </c>
      <c r="K115" s="2">
        <f>five子指标方向明细!G229</f>
        <v>5</v>
      </c>
      <c r="L115" s="2" t="str">
        <f>five子指标方向明细!H229</f>
        <v>A</v>
      </c>
      <c r="M115" s="2">
        <f>five子指标方向明细!I229</f>
        <v>5</v>
      </c>
      <c r="N115" s="2" t="str">
        <f>five子指标方向明细!L229</f>
        <v>D(平局)</v>
      </c>
      <c r="O115" s="2">
        <f t="shared" si="4"/>
        <v>1</v>
      </c>
      <c r="P115" s="2" t="str">
        <f t="shared" si="5"/>
        <v>D(平局)</v>
      </c>
      <c r="Q115" s="2" t="s">
        <v>22</v>
      </c>
      <c r="R115" s="2">
        <f t="shared" si="6"/>
        <v>0</v>
      </c>
      <c r="S115" s="2">
        <v>228</v>
      </c>
      <c r="T115" s="2">
        <v>229</v>
      </c>
      <c r="U115" s="2" t="str">
        <f t="shared" si="7"/>
        <v>双向评分平局</v>
      </c>
    </row>
    <row r="116" ht="23" customHeight="1" spans="1:21">
      <c r="A116" s="6" t="s">
        <v>293</v>
      </c>
      <c r="B116" s="2" t="s">
        <v>37</v>
      </c>
      <c r="C116" s="2">
        <v>5</v>
      </c>
      <c r="D116" s="6" t="s">
        <v>501</v>
      </c>
      <c r="E116" s="2" t="str">
        <f>five子指标方向明细!F230</f>
        <v>A</v>
      </c>
      <c r="F116" s="2">
        <f>five子指标方向明细!G230</f>
        <v>5</v>
      </c>
      <c r="G116" s="2" t="str">
        <f>five子指标方向明细!H230</f>
        <v>C</v>
      </c>
      <c r="H116" s="2">
        <f>five子指标方向明细!I230</f>
        <v>3</v>
      </c>
      <c r="I116" s="2" t="str">
        <f>five子指标方向明细!L230</f>
        <v>A</v>
      </c>
      <c r="J116" s="2" t="str">
        <f>five子指标方向明细!F231</f>
        <v>C</v>
      </c>
      <c r="K116" s="2">
        <f>five子指标方向明细!G231</f>
        <v>4</v>
      </c>
      <c r="L116" s="2" t="str">
        <f>five子指标方向明细!H231</f>
        <v>A</v>
      </c>
      <c r="M116" s="2">
        <f>five子指标方向明细!I231</f>
        <v>5</v>
      </c>
      <c r="N116" s="2" t="str">
        <f>five子指标方向明细!L231</f>
        <v>A</v>
      </c>
      <c r="O116" s="2">
        <f t="shared" si="4"/>
        <v>1</v>
      </c>
      <c r="P116" s="2" t="str">
        <f t="shared" si="5"/>
        <v>A</v>
      </c>
      <c r="Q116" s="2" t="s">
        <v>22</v>
      </c>
      <c r="R116" s="2">
        <f t="shared" si="6"/>
        <v>1</v>
      </c>
      <c r="S116" s="2">
        <v>230</v>
      </c>
      <c r="T116" s="2">
        <v>231</v>
      </c>
      <c r="U116" s="2" t="str">
        <f t="shared" si="7"/>
        <v/>
      </c>
    </row>
    <row r="117" ht="23" customHeight="1" spans="1:21">
      <c r="A117" s="6" t="s">
        <v>293</v>
      </c>
      <c r="B117" s="2" t="s">
        <v>50</v>
      </c>
      <c r="C117" s="2">
        <v>1</v>
      </c>
      <c r="D117" s="6" t="s">
        <v>497</v>
      </c>
      <c r="E117" s="2" t="str">
        <f>five子指标方向明细!F232</f>
        <v>B</v>
      </c>
      <c r="F117" s="2">
        <f>five子指标方向明细!G232</f>
        <v>5</v>
      </c>
      <c r="G117" s="2" t="str">
        <f>five子指标方向明细!H232</f>
        <v>C</v>
      </c>
      <c r="H117" s="2">
        <f>five子指标方向明细!I232</f>
        <v>5</v>
      </c>
      <c r="I117" s="2" t="str">
        <f>five子指标方向明细!L232</f>
        <v>D(平局)</v>
      </c>
      <c r="J117" s="2" t="str">
        <f>five子指标方向明细!F233</f>
        <v>C</v>
      </c>
      <c r="K117" s="2">
        <f>five子指标方向明细!G233</f>
        <v>5</v>
      </c>
      <c r="L117" s="2" t="str">
        <f>five子指标方向明细!H233</f>
        <v>B</v>
      </c>
      <c r="M117" s="2">
        <f>five子指标方向明细!I233</f>
        <v>5</v>
      </c>
      <c r="N117" s="2" t="str">
        <f>five子指标方向明细!L233</f>
        <v>D(平局)</v>
      </c>
      <c r="O117" s="2">
        <f t="shared" si="4"/>
        <v>1</v>
      </c>
      <c r="P117" s="2" t="str">
        <f t="shared" si="5"/>
        <v>D(平局)</v>
      </c>
      <c r="Q117" s="2" t="s">
        <v>26</v>
      </c>
      <c r="R117" s="2">
        <f t="shared" si="6"/>
        <v>0</v>
      </c>
      <c r="S117" s="2">
        <v>232</v>
      </c>
      <c r="T117" s="2">
        <v>233</v>
      </c>
      <c r="U117" s="2" t="str">
        <f t="shared" si="7"/>
        <v>双向评分平局</v>
      </c>
    </row>
    <row r="118" ht="23" customHeight="1" spans="1:21">
      <c r="A118" s="6" t="s">
        <v>293</v>
      </c>
      <c r="B118" s="2" t="s">
        <v>50</v>
      </c>
      <c r="C118" s="2">
        <v>2</v>
      </c>
      <c r="D118" s="6" t="s">
        <v>498</v>
      </c>
      <c r="E118" s="2" t="str">
        <f>five子指标方向明细!F234</f>
        <v>B</v>
      </c>
      <c r="F118" s="2">
        <f>five子指标方向明细!G234</f>
        <v>5</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5</v>
      </c>
      <c r="N118" s="2" t="str">
        <f>five子指标方向明细!L235</f>
        <v>B</v>
      </c>
      <c r="O118" s="2">
        <f t="shared" si="4"/>
        <v>1</v>
      </c>
      <c r="P118" s="2" t="str">
        <f t="shared" si="5"/>
        <v>B</v>
      </c>
      <c r="Q118" s="2" t="s">
        <v>26</v>
      </c>
      <c r="R118" s="2">
        <f t="shared" si="6"/>
        <v>1</v>
      </c>
      <c r="S118" s="2">
        <v>234</v>
      </c>
      <c r="T118" s="2">
        <v>235</v>
      </c>
      <c r="U118" s="2" t="str">
        <f t="shared" si="7"/>
        <v/>
      </c>
    </row>
    <row r="119" ht="23" customHeight="1" spans="1:21">
      <c r="A119" s="6" t="s">
        <v>293</v>
      </c>
      <c r="B119" s="2" t="s">
        <v>50</v>
      </c>
      <c r="C119" s="2">
        <v>3</v>
      </c>
      <c r="D119" s="6" t="s">
        <v>499</v>
      </c>
      <c r="E119" s="2" t="str">
        <f>five子指标方向明细!F236</f>
        <v>B</v>
      </c>
      <c r="F119" s="2">
        <f>five子指标方向明细!G236</f>
        <v>5</v>
      </c>
      <c r="G119" s="2" t="str">
        <f>five子指标方向明细!H236</f>
        <v>C</v>
      </c>
      <c r="H119" s="2">
        <f>five子指标方向明细!I236</f>
        <v>4</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26</v>
      </c>
      <c r="R119" s="2">
        <f t="shared" si="6"/>
        <v>1</v>
      </c>
      <c r="S119" s="2">
        <v>236</v>
      </c>
      <c r="T119" s="2">
        <v>237</v>
      </c>
      <c r="U119" s="2" t="str">
        <f t="shared" si="7"/>
        <v/>
      </c>
    </row>
    <row r="120" ht="23" customHeight="1" spans="1:21">
      <c r="A120" s="6" t="s">
        <v>293</v>
      </c>
      <c r="B120" s="2" t="s">
        <v>50</v>
      </c>
      <c r="C120" s="2">
        <v>4</v>
      </c>
      <c r="D120" s="6" t="s">
        <v>500</v>
      </c>
      <c r="E120" s="2" t="str">
        <f>five子指标方向明细!F238</f>
        <v>B</v>
      </c>
      <c r="F120" s="2">
        <f>five子指标方向明细!G238</f>
        <v>5</v>
      </c>
      <c r="G120" s="2" t="str">
        <f>five子指标方向明细!H238</f>
        <v>C</v>
      </c>
      <c r="H120" s="2">
        <f>five子指标方向明细!I238</f>
        <v>5</v>
      </c>
      <c r="I120" s="2" t="str">
        <f>five子指标方向明细!L238</f>
        <v>D(平局)</v>
      </c>
      <c r="J120" s="2" t="str">
        <f>five子指标方向明细!F239</f>
        <v>C</v>
      </c>
      <c r="K120" s="2">
        <f>five子指标方向明细!G239</f>
        <v>5</v>
      </c>
      <c r="L120" s="2" t="str">
        <f>five子指标方向明细!H239</f>
        <v>B</v>
      </c>
      <c r="M120" s="2">
        <f>five子指标方向明细!I239</f>
        <v>5</v>
      </c>
      <c r="N120" s="2" t="str">
        <f>five子指标方向明细!L239</f>
        <v>D(平局)</v>
      </c>
      <c r="O120" s="2">
        <f t="shared" si="4"/>
        <v>1</v>
      </c>
      <c r="P120" s="2" t="str">
        <f t="shared" si="5"/>
        <v>D(平局)</v>
      </c>
      <c r="Q120" s="2" t="s">
        <v>26</v>
      </c>
      <c r="R120" s="2">
        <f t="shared" si="6"/>
        <v>0</v>
      </c>
      <c r="S120" s="2">
        <v>238</v>
      </c>
      <c r="T120" s="2">
        <v>239</v>
      </c>
      <c r="U120" s="2" t="str">
        <f t="shared" si="7"/>
        <v>双向评分平局</v>
      </c>
    </row>
    <row r="121" ht="23" customHeight="1" spans="1:21">
      <c r="A121" s="6" t="s">
        <v>293</v>
      </c>
      <c r="B121" s="2" t="s">
        <v>50</v>
      </c>
      <c r="C121" s="2">
        <v>5</v>
      </c>
      <c r="D121" s="6" t="s">
        <v>501</v>
      </c>
      <c r="E121" s="2" t="str">
        <f>five子指标方向明细!F240</f>
        <v>B</v>
      </c>
      <c r="F121" s="2">
        <f>five子指标方向明细!G240</f>
        <v>5</v>
      </c>
      <c r="G121" s="2" t="str">
        <f>five子指标方向明细!H240</f>
        <v>C</v>
      </c>
      <c r="H121" s="2">
        <f>five子指标方向明细!I240</f>
        <v>4</v>
      </c>
      <c r="I121" s="2" t="str">
        <f>five子指标方向明细!L240</f>
        <v>B</v>
      </c>
      <c r="J121" s="2" t="str">
        <f>five子指标方向明细!F241</f>
        <v>C</v>
      </c>
      <c r="K121" s="2">
        <f>five子指标方向明细!G241</f>
        <v>3</v>
      </c>
      <c r="L121" s="2" t="str">
        <f>five子指标方向明细!H241</f>
        <v>B</v>
      </c>
      <c r="M121" s="2">
        <f>five子指标方向明细!I241</f>
        <v>5</v>
      </c>
      <c r="N121" s="2" t="str">
        <f>five子指标方向明细!L241</f>
        <v>B</v>
      </c>
      <c r="O121" s="2">
        <f t="shared" si="4"/>
        <v>1</v>
      </c>
      <c r="P121" s="2" t="str">
        <f t="shared" si="5"/>
        <v>B</v>
      </c>
      <c r="Q121" s="2" t="s">
        <v>26</v>
      </c>
      <c r="R121" s="2">
        <f t="shared" si="6"/>
        <v>1</v>
      </c>
      <c r="S121" s="2">
        <v>240</v>
      </c>
      <c r="T121" s="2">
        <v>241</v>
      </c>
      <c r="U121" s="2" t="str">
        <f t="shared" si="7"/>
        <v/>
      </c>
    </row>
    <row r="122" ht="23" customHeight="1" spans="1:21">
      <c r="A122" s="6" t="s">
        <v>331</v>
      </c>
      <c r="B122" s="2" t="s">
        <v>15</v>
      </c>
      <c r="C122" s="2">
        <v>1</v>
      </c>
      <c r="D122" s="6" t="s">
        <v>497</v>
      </c>
      <c r="E122" s="2" t="str">
        <f>five子指标方向明细!F242</f>
        <v>A</v>
      </c>
      <c r="F122" s="2">
        <f>five子指标方向明细!G242</f>
        <v>4</v>
      </c>
      <c r="G122" s="2" t="str">
        <f>five子指标方向明细!H242</f>
        <v>B</v>
      </c>
      <c r="H122" s="2">
        <f>five子指标方向明细!I242</f>
        <v>5</v>
      </c>
      <c r="I122" s="2" t="str">
        <f>five子指标方向明细!L242</f>
        <v>B</v>
      </c>
      <c r="J122" s="2" t="str">
        <f>five子指标方向明细!F243</f>
        <v>B</v>
      </c>
      <c r="K122" s="2">
        <f>five子指标方向明细!G243</f>
        <v>5</v>
      </c>
      <c r="L122" s="2" t="str">
        <f>five子指标方向明细!H243</f>
        <v>A</v>
      </c>
      <c r="M122" s="2">
        <f>five子指标方向明细!I243</f>
        <v>4</v>
      </c>
      <c r="N122" s="2" t="str">
        <f>five子指标方向明细!L243</f>
        <v>B</v>
      </c>
      <c r="O122" s="2">
        <f t="shared" si="4"/>
        <v>1</v>
      </c>
      <c r="P122" s="2" t="str">
        <f t="shared" si="5"/>
        <v>B</v>
      </c>
      <c r="Q122" s="2" t="s">
        <v>106</v>
      </c>
      <c r="R122" s="2">
        <f t="shared" si="6"/>
        <v>0</v>
      </c>
      <c r="S122" s="2">
        <v>242</v>
      </c>
      <c r="T122" s="2">
        <v>243</v>
      </c>
      <c r="U122" s="2" t="str">
        <f t="shared" si="7"/>
        <v/>
      </c>
    </row>
    <row r="123" ht="23" customHeight="1" spans="1:21">
      <c r="A123" s="6" t="s">
        <v>331</v>
      </c>
      <c r="B123" s="2" t="s">
        <v>15</v>
      </c>
      <c r="C123" s="2">
        <v>2</v>
      </c>
      <c r="D123" s="6" t="s">
        <v>498</v>
      </c>
      <c r="E123" s="2" t="str">
        <f>five子指标方向明细!F244</f>
        <v>A</v>
      </c>
      <c r="F123" s="2">
        <f>five子指标方向明细!G244</f>
        <v>4</v>
      </c>
      <c r="G123" s="2" t="str">
        <f>five子指标方向明细!H244</f>
        <v>B</v>
      </c>
      <c r="H123" s="2">
        <f>five子指标方向明细!I244</f>
        <v>5</v>
      </c>
      <c r="I123" s="2" t="str">
        <f>five子指标方向明细!L244</f>
        <v>B</v>
      </c>
      <c r="J123" s="2" t="str">
        <f>five子指标方向明细!F245</f>
        <v>B</v>
      </c>
      <c r="K123" s="2">
        <f>five子指标方向明细!G245</f>
        <v>5</v>
      </c>
      <c r="L123" s="2" t="str">
        <f>five子指标方向明细!H245</f>
        <v>A</v>
      </c>
      <c r="M123" s="2">
        <f>five子指标方向明细!I245</f>
        <v>4</v>
      </c>
      <c r="N123" s="2" t="str">
        <f>five子指标方向明细!L245</f>
        <v>B</v>
      </c>
      <c r="O123" s="2">
        <f t="shared" si="4"/>
        <v>1</v>
      </c>
      <c r="P123" s="2" t="str">
        <f t="shared" si="5"/>
        <v>B</v>
      </c>
      <c r="Q123" s="2" t="s">
        <v>106</v>
      </c>
      <c r="R123" s="2">
        <f t="shared" si="6"/>
        <v>0</v>
      </c>
      <c r="S123" s="2">
        <v>244</v>
      </c>
      <c r="T123" s="2">
        <v>245</v>
      </c>
      <c r="U123" s="2" t="str">
        <f t="shared" si="7"/>
        <v/>
      </c>
    </row>
    <row r="124" ht="23" customHeight="1" spans="1:21">
      <c r="A124" s="6" t="s">
        <v>331</v>
      </c>
      <c r="B124" s="2" t="s">
        <v>15</v>
      </c>
      <c r="C124" s="2">
        <v>3</v>
      </c>
      <c r="D124" s="6" t="s">
        <v>499</v>
      </c>
      <c r="E124" s="2" t="str">
        <f>five子指标方向明细!F246</f>
        <v>A</v>
      </c>
      <c r="F124" s="2">
        <f>five子指标方向明细!G246</f>
        <v>5</v>
      </c>
      <c r="G124" s="2" t="str">
        <f>five子指标方向明细!H246</f>
        <v>B</v>
      </c>
      <c r="H124" s="2">
        <f>five子指标方向明细!I246</f>
        <v>4</v>
      </c>
      <c r="I124" s="2" t="str">
        <f>five子指标方向明细!L246</f>
        <v>A</v>
      </c>
      <c r="J124" s="2" t="str">
        <f>five子指标方向明细!F247</f>
        <v>B</v>
      </c>
      <c r="K124" s="2">
        <f>five子指标方向明细!G247</f>
        <v>5</v>
      </c>
      <c r="L124" s="2" t="str">
        <f>five子指标方向明细!H247</f>
        <v>A</v>
      </c>
      <c r="M124" s="2">
        <f>five子指标方向明细!I247</f>
        <v>4</v>
      </c>
      <c r="N124" s="2" t="str">
        <f>five子指标方向明细!L247</f>
        <v>B</v>
      </c>
      <c r="O124" s="2">
        <f t="shared" si="4"/>
        <v>0</v>
      </c>
      <c r="P124" s="2" t="str">
        <f t="shared" si="5"/>
        <v>D(平局)</v>
      </c>
      <c r="Q124" s="2" t="s">
        <v>106</v>
      </c>
      <c r="R124" s="2">
        <f t="shared" si="6"/>
        <v>1</v>
      </c>
      <c r="S124" s="2">
        <v>246</v>
      </c>
      <c r="T124" s="2">
        <v>247</v>
      </c>
      <c r="U124" s="2" t="str">
        <f t="shared" si="7"/>
        <v>方向冲突</v>
      </c>
    </row>
    <row r="125" ht="23" customHeight="1" spans="1:21">
      <c r="A125" s="6" t="s">
        <v>331</v>
      </c>
      <c r="B125" s="2" t="s">
        <v>15</v>
      </c>
      <c r="C125" s="2">
        <v>4</v>
      </c>
      <c r="D125" s="6" t="s">
        <v>500</v>
      </c>
      <c r="E125" s="2" t="str">
        <f>five子指标方向明细!F248</f>
        <v>A</v>
      </c>
      <c r="F125" s="2">
        <f>five子指标方向明细!G248</f>
        <v>5</v>
      </c>
      <c r="G125" s="2" t="str">
        <f>five子指标方向明细!H248</f>
        <v>B</v>
      </c>
      <c r="H125" s="2">
        <f>five子指标方向明细!I248</f>
        <v>5</v>
      </c>
      <c r="I125" s="2" t="str">
        <f>five子指标方向明细!L248</f>
        <v>D(平局)</v>
      </c>
      <c r="J125" s="2" t="str">
        <f>five子指标方向明细!F249</f>
        <v>B</v>
      </c>
      <c r="K125" s="2">
        <f>five子指标方向明细!G249</f>
        <v>5</v>
      </c>
      <c r="L125" s="2" t="str">
        <f>five子指标方向明细!H249</f>
        <v>A</v>
      </c>
      <c r="M125" s="2">
        <f>five子指标方向明细!I249</f>
        <v>5</v>
      </c>
      <c r="N125" s="2" t="str">
        <f>five子指标方向明细!L249</f>
        <v>D(平局)</v>
      </c>
      <c r="O125" s="2">
        <f t="shared" si="4"/>
        <v>1</v>
      </c>
      <c r="P125" s="2" t="str">
        <f t="shared" si="5"/>
        <v>D(平局)</v>
      </c>
      <c r="Q125" s="2" t="s">
        <v>106</v>
      </c>
      <c r="R125" s="2">
        <f t="shared" si="6"/>
        <v>1</v>
      </c>
      <c r="S125" s="2">
        <v>248</v>
      </c>
      <c r="T125" s="2">
        <v>249</v>
      </c>
      <c r="U125" s="2" t="str">
        <f t="shared" si="7"/>
        <v>双向评分平局</v>
      </c>
    </row>
    <row r="126" ht="23" customHeight="1" spans="1:21">
      <c r="A126" s="6" t="s">
        <v>331</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106</v>
      </c>
      <c r="R126" s="2">
        <f t="shared" si="6"/>
        <v>1</v>
      </c>
      <c r="S126" s="2">
        <v>250</v>
      </c>
      <c r="T126" s="2">
        <v>251</v>
      </c>
      <c r="U126" s="2" t="str">
        <f t="shared" si="7"/>
        <v>双向评分平局</v>
      </c>
    </row>
    <row r="127" ht="23" customHeight="1" spans="1:21">
      <c r="A127" s="6" t="s">
        <v>331</v>
      </c>
      <c r="B127" s="2" t="s">
        <v>37</v>
      </c>
      <c r="C127" s="2">
        <v>1</v>
      </c>
      <c r="D127" s="6" t="s">
        <v>497</v>
      </c>
      <c r="E127" s="2" t="str">
        <f>five子指标方向明细!F252</f>
        <v>A</v>
      </c>
      <c r="F127" s="2">
        <f>five子指标方向明细!G252</f>
        <v>5</v>
      </c>
      <c r="G127" s="2" t="str">
        <f>five子指标方向明细!H252</f>
        <v>C</v>
      </c>
      <c r="H127" s="2">
        <f>five子指标方向明细!I252</f>
        <v>4</v>
      </c>
      <c r="I127" s="2" t="str">
        <f>five子指标方向明细!L252</f>
        <v>A</v>
      </c>
      <c r="J127" s="2" t="str">
        <f>five子指标方向明细!F253</f>
        <v>C</v>
      </c>
      <c r="K127" s="2">
        <f>five子指标方向明细!G253</f>
        <v>4</v>
      </c>
      <c r="L127" s="2" t="str">
        <f>five子指标方向明细!H253</f>
        <v>A</v>
      </c>
      <c r="M127" s="2">
        <f>five子指标方向明细!I253</f>
        <v>4</v>
      </c>
      <c r="N127" s="2" t="str">
        <f>five子指标方向明细!L253</f>
        <v>D(平局)</v>
      </c>
      <c r="O127" s="2">
        <f t="shared" si="4"/>
        <v>0</v>
      </c>
      <c r="P127" s="2" t="str">
        <f t="shared" si="5"/>
        <v>D(平局)</v>
      </c>
      <c r="Q127" s="2" t="s">
        <v>22</v>
      </c>
      <c r="R127" s="2">
        <f t="shared" si="6"/>
        <v>0</v>
      </c>
      <c r="S127" s="2">
        <v>252</v>
      </c>
      <c r="T127" s="2">
        <v>253</v>
      </c>
      <c r="U127" s="2" t="str">
        <f t="shared" si="7"/>
        <v>方向冲突</v>
      </c>
    </row>
    <row r="128" ht="23" customHeight="1" spans="1:21">
      <c r="A128" s="6" t="s">
        <v>331</v>
      </c>
      <c r="B128" s="2" t="s">
        <v>37</v>
      </c>
      <c r="C128" s="2">
        <v>2</v>
      </c>
      <c r="D128" s="6" t="s">
        <v>498</v>
      </c>
      <c r="E128" s="2" t="str">
        <f>five子指标方向明细!F254</f>
        <v>A</v>
      </c>
      <c r="F128" s="2">
        <f>five子指标方向明细!G254</f>
        <v>5</v>
      </c>
      <c r="G128" s="2" t="str">
        <f>five子指标方向明细!H254</f>
        <v>C</v>
      </c>
      <c r="H128" s="2">
        <f>five子指标方向明细!I254</f>
        <v>4</v>
      </c>
      <c r="I128" s="2" t="str">
        <f>five子指标方向明细!L254</f>
        <v>A</v>
      </c>
      <c r="J128" s="2" t="str">
        <f>five子指标方向明细!F255</f>
        <v>C</v>
      </c>
      <c r="K128" s="2">
        <f>five子指标方向明细!G255</f>
        <v>3</v>
      </c>
      <c r="L128" s="2" t="str">
        <f>five子指标方向明细!H255</f>
        <v>A</v>
      </c>
      <c r="M128" s="2">
        <f>five子指标方向明细!I255</f>
        <v>5</v>
      </c>
      <c r="N128" s="2" t="str">
        <f>five子指标方向明细!L255</f>
        <v>A</v>
      </c>
      <c r="O128" s="2">
        <f t="shared" si="4"/>
        <v>1</v>
      </c>
      <c r="P128" s="2" t="str">
        <f t="shared" si="5"/>
        <v>A</v>
      </c>
      <c r="Q128" s="2" t="s">
        <v>22</v>
      </c>
      <c r="R128" s="2">
        <f t="shared" si="6"/>
        <v>1</v>
      </c>
      <c r="S128" s="2">
        <v>254</v>
      </c>
      <c r="T128" s="2">
        <v>255</v>
      </c>
      <c r="U128" s="2" t="str">
        <f t="shared" si="7"/>
        <v/>
      </c>
    </row>
    <row r="129" ht="23" customHeight="1" spans="1:21">
      <c r="A129" s="6" t="s">
        <v>331</v>
      </c>
      <c r="B129" s="2" t="s">
        <v>37</v>
      </c>
      <c r="C129" s="2">
        <v>3</v>
      </c>
      <c r="D129" s="6" t="s">
        <v>499</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3</v>
      </c>
      <c r="N129" s="2" t="str">
        <f>five子指标方向明细!L257</f>
        <v>D(平局)</v>
      </c>
      <c r="O129" s="2">
        <f t="shared" si="4"/>
        <v>0</v>
      </c>
      <c r="P129" s="2" t="str">
        <f t="shared" si="5"/>
        <v>D(平局)</v>
      </c>
      <c r="Q129" s="2" t="s">
        <v>22</v>
      </c>
      <c r="R129" s="2">
        <f t="shared" si="6"/>
        <v>0</v>
      </c>
      <c r="S129" s="2">
        <v>256</v>
      </c>
      <c r="T129" s="2">
        <v>257</v>
      </c>
      <c r="U129" s="2" t="str">
        <f t="shared" si="7"/>
        <v>方向冲突</v>
      </c>
    </row>
    <row r="130" ht="23" customHeight="1" spans="1:21">
      <c r="A130" s="6" t="s">
        <v>331</v>
      </c>
      <c r="B130" s="2" t="s">
        <v>37</v>
      </c>
      <c r="C130" s="2">
        <v>4</v>
      </c>
      <c r="D130" s="6" t="s">
        <v>500</v>
      </c>
      <c r="E130" s="2" t="str">
        <f>five子指标方向明细!F258</f>
        <v>A</v>
      </c>
      <c r="F130" s="2">
        <f>five子指标方向明细!G258</f>
        <v>5</v>
      </c>
      <c r="G130" s="2" t="str">
        <f>five子指标方向明细!H258</f>
        <v>C</v>
      </c>
      <c r="H130" s="2">
        <f>five子指标方向明细!I258</f>
        <v>5</v>
      </c>
      <c r="I130" s="2" t="str">
        <f>five子指标方向明细!L258</f>
        <v>D(平局)</v>
      </c>
      <c r="J130" s="2" t="str">
        <f>five子指标方向明细!F259</f>
        <v>C</v>
      </c>
      <c r="K130" s="2">
        <f>five子指标方向明细!G259</f>
        <v>4</v>
      </c>
      <c r="L130" s="2" t="str">
        <f>five子指标方向明细!H259</f>
        <v>A</v>
      </c>
      <c r="M130" s="2">
        <f>five子指标方向明细!I259</f>
        <v>4</v>
      </c>
      <c r="N130" s="2" t="str">
        <f>five子指标方向明细!L259</f>
        <v>D(平局)</v>
      </c>
      <c r="O130" s="2">
        <f t="shared" ref="O130:O181" si="8">--(I130=N130)</f>
        <v>1</v>
      </c>
      <c r="P130" s="2" t="str">
        <f t="shared" ref="P130:P181" si="9">IF(I130=N130,I130,"D(平局)")</f>
        <v>D(平局)</v>
      </c>
      <c r="Q130" s="2" t="s">
        <v>22</v>
      </c>
      <c r="R130" s="2">
        <f t="shared" ref="R130:R181" si="10">--(P130=Q130)</f>
        <v>0</v>
      </c>
      <c r="S130" s="2">
        <v>258</v>
      </c>
      <c r="T130" s="2">
        <v>259</v>
      </c>
      <c r="U130" s="2" t="str">
        <f t="shared" ref="U130:U181" si="11">IF(P130&lt;&gt;"D(平局)","",IF(O130=0,"方向冲突","双向评分平局"))</f>
        <v>双向评分平局</v>
      </c>
    </row>
    <row r="131" ht="23" customHeight="1" spans="1:21">
      <c r="A131" s="6" t="s">
        <v>331</v>
      </c>
      <c r="B131" s="2" t="s">
        <v>37</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5</v>
      </c>
      <c r="L131" s="2" t="str">
        <f>five子指标方向明细!H261</f>
        <v>A</v>
      </c>
      <c r="M131" s="2">
        <f>five子指标方向明细!I261</f>
        <v>5</v>
      </c>
      <c r="N131" s="2" t="str">
        <f>five子指标方向明细!L261</f>
        <v>D(平局)</v>
      </c>
      <c r="O131" s="2">
        <f t="shared" si="8"/>
        <v>1</v>
      </c>
      <c r="P131" s="2" t="str">
        <f t="shared" si="9"/>
        <v>D(平局)</v>
      </c>
      <c r="Q131" s="2" t="s">
        <v>22</v>
      </c>
      <c r="R131" s="2">
        <f t="shared" si="10"/>
        <v>0</v>
      </c>
      <c r="S131" s="2">
        <v>260</v>
      </c>
      <c r="T131" s="2">
        <v>261</v>
      </c>
      <c r="U131" s="2" t="str">
        <f t="shared" si="11"/>
        <v>双向评分平局</v>
      </c>
    </row>
    <row r="132" ht="23" customHeight="1" spans="1:21">
      <c r="A132" s="6" t="s">
        <v>331</v>
      </c>
      <c r="B132" s="2" t="s">
        <v>50</v>
      </c>
      <c r="C132" s="2">
        <v>1</v>
      </c>
      <c r="D132" s="6" t="s">
        <v>497</v>
      </c>
      <c r="E132" s="2" t="str">
        <f>five子指标方向明细!F262</f>
        <v>B</v>
      </c>
      <c r="F132" s="2">
        <f>five子指标方向明细!G262</f>
        <v>5</v>
      </c>
      <c r="G132" s="2" t="str">
        <f>five子指标方向明细!H262</f>
        <v>C</v>
      </c>
      <c r="H132" s="2">
        <f>five子指标方向明细!I262</f>
        <v>3</v>
      </c>
      <c r="I132" s="2" t="str">
        <f>five子指标方向明细!L262</f>
        <v>B</v>
      </c>
      <c r="J132" s="2" t="str">
        <f>five子指标方向明细!F263</f>
        <v>C</v>
      </c>
      <c r="K132" s="2">
        <f>five子指标方向明细!G263</f>
        <v>3</v>
      </c>
      <c r="L132" s="2" t="str">
        <f>five子指标方向明细!H263</f>
        <v>B</v>
      </c>
      <c r="M132" s="2">
        <f>five子指标方向明细!I263</f>
        <v>5</v>
      </c>
      <c r="N132" s="2" t="str">
        <f>five子指标方向明细!L263</f>
        <v>B</v>
      </c>
      <c r="O132" s="2">
        <f t="shared" si="8"/>
        <v>1</v>
      </c>
      <c r="P132" s="2" t="str">
        <f t="shared" si="9"/>
        <v>B</v>
      </c>
      <c r="Q132" s="2" t="s">
        <v>26</v>
      </c>
      <c r="R132" s="2">
        <f t="shared" si="10"/>
        <v>1</v>
      </c>
      <c r="S132" s="2">
        <v>262</v>
      </c>
      <c r="T132" s="2">
        <v>263</v>
      </c>
      <c r="U132" s="2" t="str">
        <f t="shared" si="11"/>
        <v/>
      </c>
    </row>
    <row r="133" ht="23" customHeight="1" spans="1:21">
      <c r="A133" s="6" t="s">
        <v>331</v>
      </c>
      <c r="B133" s="2" t="s">
        <v>50</v>
      </c>
      <c r="C133" s="2">
        <v>2</v>
      </c>
      <c r="D133" s="6" t="s">
        <v>498</v>
      </c>
      <c r="E133" s="2" t="str">
        <f>five子指标方向明细!F264</f>
        <v>B</v>
      </c>
      <c r="F133" s="2">
        <f>five子指标方向明细!G264</f>
        <v>5</v>
      </c>
      <c r="G133" s="2" t="str">
        <f>five子指标方向明细!H264</f>
        <v>C</v>
      </c>
      <c r="H133" s="2">
        <f>five子指标方向明细!I264</f>
        <v>2</v>
      </c>
      <c r="I133" s="2" t="str">
        <f>five子指标方向明细!L264</f>
        <v>B</v>
      </c>
      <c r="J133" s="2" t="str">
        <f>five子指标方向明细!F265</f>
        <v>C</v>
      </c>
      <c r="K133" s="2">
        <f>five子指标方向明细!G265</f>
        <v>2</v>
      </c>
      <c r="L133" s="2" t="str">
        <f>five子指标方向明细!H265</f>
        <v>B</v>
      </c>
      <c r="M133" s="2">
        <f>five子指标方向明细!I265</f>
        <v>5</v>
      </c>
      <c r="N133" s="2" t="str">
        <f>five子指标方向明细!L265</f>
        <v>B</v>
      </c>
      <c r="O133" s="2">
        <f t="shared" si="8"/>
        <v>1</v>
      </c>
      <c r="P133" s="2" t="str">
        <f t="shared" si="9"/>
        <v>B</v>
      </c>
      <c r="Q133" s="2" t="s">
        <v>26</v>
      </c>
      <c r="R133" s="2">
        <f t="shared" si="10"/>
        <v>1</v>
      </c>
      <c r="S133" s="2">
        <v>264</v>
      </c>
      <c r="T133" s="2">
        <v>265</v>
      </c>
      <c r="U133" s="2" t="str">
        <f t="shared" si="11"/>
        <v/>
      </c>
    </row>
    <row r="134" ht="23" customHeight="1" spans="1:21">
      <c r="A134" s="6" t="s">
        <v>331</v>
      </c>
      <c r="B134" s="2" t="s">
        <v>50</v>
      </c>
      <c r="C134" s="2">
        <v>3</v>
      </c>
      <c r="D134" s="6" t="s">
        <v>499</v>
      </c>
      <c r="E134" s="2" t="str">
        <f>five子指标方向明细!F266</f>
        <v>B</v>
      </c>
      <c r="F134" s="2">
        <f>five子指标方向明细!G266</f>
        <v>5</v>
      </c>
      <c r="G134" s="2" t="str">
        <f>five子指标方向明细!H266</f>
        <v>C</v>
      </c>
      <c r="H134" s="2">
        <f>five子指标方向明细!I266</f>
        <v>3</v>
      </c>
      <c r="I134" s="2" t="str">
        <f>five子指标方向明细!L266</f>
        <v>B</v>
      </c>
      <c r="J134" s="2" t="str">
        <f>five子指标方向明细!F267</f>
        <v>C</v>
      </c>
      <c r="K134" s="2">
        <f>five子指标方向明细!G267</f>
        <v>2</v>
      </c>
      <c r="L134" s="2" t="str">
        <f>five子指标方向明细!H267</f>
        <v>B</v>
      </c>
      <c r="M134" s="2">
        <f>five子指标方向明细!I267</f>
        <v>5</v>
      </c>
      <c r="N134" s="2" t="str">
        <f>five子指标方向明细!L267</f>
        <v>B</v>
      </c>
      <c r="O134" s="2">
        <f t="shared" si="8"/>
        <v>1</v>
      </c>
      <c r="P134" s="2" t="str">
        <f t="shared" si="9"/>
        <v>B</v>
      </c>
      <c r="Q134" s="2" t="s">
        <v>26</v>
      </c>
      <c r="R134" s="2">
        <f t="shared" si="10"/>
        <v>1</v>
      </c>
      <c r="S134" s="2">
        <v>266</v>
      </c>
      <c r="T134" s="2">
        <v>267</v>
      </c>
      <c r="U134" s="2" t="str">
        <f t="shared" si="11"/>
        <v/>
      </c>
    </row>
    <row r="135" ht="23" customHeight="1" spans="1:21">
      <c r="A135" s="6" t="s">
        <v>331</v>
      </c>
      <c r="B135" s="2" t="s">
        <v>50</v>
      </c>
      <c r="C135" s="2">
        <v>4</v>
      </c>
      <c r="D135" s="6" t="s">
        <v>500</v>
      </c>
      <c r="E135" s="2" t="str">
        <f>five子指标方向明细!F268</f>
        <v>B</v>
      </c>
      <c r="F135" s="2">
        <f>five子指标方向明细!G268</f>
        <v>5</v>
      </c>
      <c r="G135" s="2" t="str">
        <f>five子指标方向明细!H268</f>
        <v>C</v>
      </c>
      <c r="H135" s="2">
        <f>five子指标方向明细!I268</f>
        <v>3</v>
      </c>
      <c r="I135" s="2" t="str">
        <f>five子指标方向明细!L268</f>
        <v>B</v>
      </c>
      <c r="J135" s="2" t="str">
        <f>five子指标方向明细!F269</f>
        <v>C</v>
      </c>
      <c r="K135" s="2">
        <f>five子指标方向明细!G269</f>
        <v>3</v>
      </c>
      <c r="L135" s="2" t="str">
        <f>five子指标方向明细!H269</f>
        <v>B</v>
      </c>
      <c r="M135" s="2">
        <f>five子指标方向明细!I269</f>
        <v>5</v>
      </c>
      <c r="N135" s="2" t="str">
        <f>five子指标方向明细!L269</f>
        <v>B</v>
      </c>
      <c r="O135" s="2">
        <f t="shared" si="8"/>
        <v>1</v>
      </c>
      <c r="P135" s="2" t="str">
        <f t="shared" si="9"/>
        <v>B</v>
      </c>
      <c r="Q135" s="2" t="s">
        <v>26</v>
      </c>
      <c r="R135" s="2">
        <f t="shared" si="10"/>
        <v>1</v>
      </c>
      <c r="S135" s="2">
        <v>268</v>
      </c>
      <c r="T135" s="2">
        <v>269</v>
      </c>
      <c r="U135" s="2" t="str">
        <f t="shared" si="11"/>
        <v/>
      </c>
    </row>
    <row r="136" ht="23" customHeight="1" spans="1:21">
      <c r="A136" s="6" t="s">
        <v>331</v>
      </c>
      <c r="B136" s="2" t="s">
        <v>50</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26</v>
      </c>
      <c r="R136" s="2">
        <f t="shared" si="10"/>
        <v>0</v>
      </c>
      <c r="S136" s="2">
        <v>270</v>
      </c>
      <c r="T136" s="2">
        <v>271</v>
      </c>
      <c r="U136" s="2" t="str">
        <f t="shared" si="11"/>
        <v>双向评分平局</v>
      </c>
    </row>
    <row r="137" ht="23" customHeight="1" spans="1:21">
      <c r="A137" s="6" t="s">
        <v>369</v>
      </c>
      <c r="B137" s="2" t="s">
        <v>15</v>
      </c>
      <c r="C137" s="2">
        <v>1</v>
      </c>
      <c r="D137" s="6" t="s">
        <v>497</v>
      </c>
      <c r="E137" s="2" t="str">
        <f>five子指标方向明细!F272</f>
        <v>A</v>
      </c>
      <c r="F137" s="2">
        <f>five子指标方向明细!G272</f>
        <v>5</v>
      </c>
      <c r="G137" s="2" t="str">
        <f>five子指标方向明细!H272</f>
        <v>B</v>
      </c>
      <c r="H137" s="2">
        <f>five子指标方向明细!I272</f>
        <v>5</v>
      </c>
      <c r="I137" s="2" t="str">
        <f>five子指标方向明细!L272</f>
        <v>D(平局)</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0</v>
      </c>
      <c r="P137" s="2" t="str">
        <f t="shared" si="9"/>
        <v>D(平局)</v>
      </c>
      <c r="Q137" s="2" t="s">
        <v>26</v>
      </c>
      <c r="R137" s="2">
        <f t="shared" si="10"/>
        <v>0</v>
      </c>
      <c r="S137" s="2">
        <v>272</v>
      </c>
      <c r="T137" s="2">
        <v>273</v>
      </c>
      <c r="U137" s="2" t="str">
        <f t="shared" si="11"/>
        <v>方向冲突</v>
      </c>
    </row>
    <row r="138" ht="23" customHeight="1" spans="1:21">
      <c r="A138" s="6" t="s">
        <v>369</v>
      </c>
      <c r="B138" s="2" t="s">
        <v>15</v>
      </c>
      <c r="C138" s="2">
        <v>2</v>
      </c>
      <c r="D138" s="6" t="s">
        <v>498</v>
      </c>
      <c r="E138" s="2" t="str">
        <f>five子指标方向明细!F274</f>
        <v>A</v>
      </c>
      <c r="F138" s="2">
        <f>five子指标方向明细!G274</f>
        <v>4</v>
      </c>
      <c r="G138" s="2" t="str">
        <f>five子指标方向明细!H274</f>
        <v>B</v>
      </c>
      <c r="H138" s="2">
        <f>five子指标方向明细!I274</f>
        <v>5</v>
      </c>
      <c r="I138" s="2" t="str">
        <f>five子指标方向明细!L274</f>
        <v>B</v>
      </c>
      <c r="J138" s="2" t="str">
        <f>five子指标方向明细!F275</f>
        <v>B</v>
      </c>
      <c r="K138" s="2">
        <f>five子指标方向明细!G275</f>
        <v>5</v>
      </c>
      <c r="L138" s="2" t="str">
        <f>five子指标方向明细!H275</f>
        <v>A</v>
      </c>
      <c r="M138" s="2">
        <f>five子指标方向明细!I275</f>
        <v>4</v>
      </c>
      <c r="N138" s="2" t="str">
        <f>five子指标方向明细!L275</f>
        <v>B</v>
      </c>
      <c r="O138" s="2">
        <f t="shared" si="8"/>
        <v>1</v>
      </c>
      <c r="P138" s="2" t="str">
        <f t="shared" si="9"/>
        <v>B</v>
      </c>
      <c r="Q138" s="2" t="s">
        <v>26</v>
      </c>
      <c r="R138" s="2">
        <f t="shared" si="10"/>
        <v>1</v>
      </c>
      <c r="S138" s="2">
        <v>274</v>
      </c>
      <c r="T138" s="2">
        <v>275</v>
      </c>
      <c r="U138" s="2" t="str">
        <f t="shared" si="11"/>
        <v/>
      </c>
    </row>
    <row r="139" ht="23" customHeight="1" spans="1:21">
      <c r="A139" s="6" t="s">
        <v>369</v>
      </c>
      <c r="B139" s="2" t="s">
        <v>15</v>
      </c>
      <c r="C139" s="2">
        <v>3</v>
      </c>
      <c r="D139" s="6" t="s">
        <v>499</v>
      </c>
      <c r="E139" s="2" t="str">
        <f>five子指标方向明细!F276</f>
        <v>A</v>
      </c>
      <c r="F139" s="2">
        <f>five子指标方向明细!G276</f>
        <v>5</v>
      </c>
      <c r="G139" s="2" t="str">
        <f>five子指标方向明细!H276</f>
        <v>B</v>
      </c>
      <c r="H139" s="2">
        <f>five子指标方向明细!I276</f>
        <v>5</v>
      </c>
      <c r="I139" s="2" t="str">
        <f>five子指标方向明细!L276</f>
        <v>D(平局)</v>
      </c>
      <c r="J139" s="2" t="str">
        <f>five子指标方向明细!F277</f>
        <v>B</v>
      </c>
      <c r="K139" s="2">
        <f>five子指标方向明细!G277</f>
        <v>5</v>
      </c>
      <c r="L139" s="2" t="str">
        <f>five子指标方向明细!H277</f>
        <v>A</v>
      </c>
      <c r="M139" s="2">
        <f>five子指标方向明细!I277</f>
        <v>5</v>
      </c>
      <c r="N139" s="2" t="str">
        <f>five子指标方向明细!L277</f>
        <v>D(平局)</v>
      </c>
      <c r="O139" s="2">
        <f t="shared" si="8"/>
        <v>1</v>
      </c>
      <c r="P139" s="2" t="str">
        <f t="shared" si="9"/>
        <v>D(平局)</v>
      </c>
      <c r="Q139" s="2" t="s">
        <v>26</v>
      </c>
      <c r="R139" s="2">
        <f t="shared" si="10"/>
        <v>0</v>
      </c>
      <c r="S139" s="2">
        <v>276</v>
      </c>
      <c r="T139" s="2">
        <v>277</v>
      </c>
      <c r="U139" s="2" t="str">
        <f t="shared" si="11"/>
        <v>双向评分平局</v>
      </c>
    </row>
    <row r="140" ht="23" customHeight="1" spans="1:21">
      <c r="A140" s="6" t="s">
        <v>369</v>
      </c>
      <c r="B140" s="2" t="s">
        <v>15</v>
      </c>
      <c r="C140" s="2">
        <v>4</v>
      </c>
      <c r="D140" s="6" t="s">
        <v>500</v>
      </c>
      <c r="E140" s="2" t="str">
        <f>five子指标方向明细!F278</f>
        <v>A</v>
      </c>
      <c r="F140" s="2">
        <f>five子指标方向明细!G278</f>
        <v>5</v>
      </c>
      <c r="G140" s="2" t="str">
        <f>five子指标方向明细!H278</f>
        <v>B</v>
      </c>
      <c r="H140" s="2">
        <f>five子指标方向明细!I278</f>
        <v>5</v>
      </c>
      <c r="I140" s="2" t="str">
        <f>five子指标方向明细!L278</f>
        <v>D(平局)</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0</v>
      </c>
      <c r="P140" s="2" t="str">
        <f t="shared" si="9"/>
        <v>D(平局)</v>
      </c>
      <c r="Q140" s="2" t="s">
        <v>26</v>
      </c>
      <c r="R140" s="2">
        <f t="shared" si="10"/>
        <v>0</v>
      </c>
      <c r="S140" s="2">
        <v>278</v>
      </c>
      <c r="T140" s="2">
        <v>279</v>
      </c>
      <c r="U140" s="2" t="str">
        <f t="shared" si="11"/>
        <v>方向冲突</v>
      </c>
    </row>
    <row r="141" ht="23" customHeight="1" spans="1:21">
      <c r="A141" s="6" t="s">
        <v>369</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26</v>
      </c>
      <c r="R141" s="2">
        <f t="shared" si="10"/>
        <v>0</v>
      </c>
      <c r="S141" s="2">
        <v>280</v>
      </c>
      <c r="T141" s="2">
        <v>281</v>
      </c>
      <c r="U141" s="2" t="str">
        <f t="shared" si="11"/>
        <v>双向评分平局</v>
      </c>
    </row>
    <row r="142" ht="23" customHeight="1" spans="1:21">
      <c r="A142" s="6" t="s">
        <v>369</v>
      </c>
      <c r="B142" s="2" t="s">
        <v>37</v>
      </c>
      <c r="C142" s="2">
        <v>1</v>
      </c>
      <c r="D142" s="6" t="s">
        <v>497</v>
      </c>
      <c r="E142" s="2" t="str">
        <f>five子指标方向明细!F282</f>
        <v>A</v>
      </c>
      <c r="F142" s="2">
        <f>five子指标方向明细!G282</f>
        <v>5</v>
      </c>
      <c r="G142" s="2" t="str">
        <f>five子指标方向明细!H282</f>
        <v>C</v>
      </c>
      <c r="H142" s="2">
        <f>five子指标方向明细!I282</f>
        <v>2</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369</v>
      </c>
      <c r="B143" s="2" t="s">
        <v>37</v>
      </c>
      <c r="C143" s="2">
        <v>2</v>
      </c>
      <c r="D143" s="6" t="s">
        <v>498</v>
      </c>
      <c r="E143" s="2" t="str">
        <f>five子指标方向明细!F284</f>
        <v>A</v>
      </c>
      <c r="F143" s="2">
        <f>five子指标方向明细!G284</f>
        <v>5</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5</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369</v>
      </c>
      <c r="B144" s="2" t="s">
        <v>37</v>
      </c>
      <c r="C144" s="2">
        <v>3</v>
      </c>
      <c r="D144" s="6" t="s">
        <v>499</v>
      </c>
      <c r="E144" s="2" t="str">
        <f>five子指标方向明细!F286</f>
        <v>A</v>
      </c>
      <c r="F144" s="2">
        <f>five子指标方向明细!G286</f>
        <v>5</v>
      </c>
      <c r="G144" s="2" t="str">
        <f>five子指标方向明细!H286</f>
        <v>C</v>
      </c>
      <c r="H144" s="2">
        <f>five子指标方向明细!I286</f>
        <v>2</v>
      </c>
      <c r="I144" s="2" t="str">
        <f>five子指标方向明细!L286</f>
        <v>A</v>
      </c>
      <c r="J144" s="2" t="str">
        <f>five子指标方向明细!F287</f>
        <v>C</v>
      </c>
      <c r="K144" s="2">
        <f>five子指标方向明细!G287</f>
        <v>3</v>
      </c>
      <c r="L144" s="2" t="str">
        <f>five子指标方向明细!H287</f>
        <v>A</v>
      </c>
      <c r="M144" s="2">
        <f>five子指标方向明细!I287</f>
        <v>5</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369</v>
      </c>
      <c r="B145" s="2" t="s">
        <v>37</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4</v>
      </c>
      <c r="L145" s="2" t="str">
        <f>five子指标方向明细!H289</f>
        <v>A</v>
      </c>
      <c r="M145" s="2">
        <f>five子指标方向明细!I289</f>
        <v>5</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369</v>
      </c>
      <c r="B146" s="2" t="s">
        <v>37</v>
      </c>
      <c r="C146" s="2">
        <v>5</v>
      </c>
      <c r="D146" s="6" t="s">
        <v>501</v>
      </c>
      <c r="E146" s="2" t="str">
        <f>five子指标方向明细!F290</f>
        <v>A</v>
      </c>
      <c r="F146" s="2">
        <f>five子指标方向明细!G290</f>
        <v>5</v>
      </c>
      <c r="G146" s="2" t="str">
        <f>five子指标方向明细!H290</f>
        <v>C</v>
      </c>
      <c r="H146" s="2">
        <f>five子指标方向明细!I290</f>
        <v>3</v>
      </c>
      <c r="I146" s="2" t="str">
        <f>five子指标方向明细!L290</f>
        <v>A</v>
      </c>
      <c r="J146" s="2" t="str">
        <f>five子指标方向明细!F291</f>
        <v>C</v>
      </c>
      <c r="K146" s="2">
        <f>five子指标方向明细!G291</f>
        <v>2</v>
      </c>
      <c r="L146" s="2" t="str">
        <f>five子指标方向明细!H291</f>
        <v>A</v>
      </c>
      <c r="M146" s="2">
        <f>five子指标方向明细!I291</f>
        <v>5</v>
      </c>
      <c r="N146" s="2" t="str">
        <f>five子指标方向明细!L291</f>
        <v>A</v>
      </c>
      <c r="O146" s="2">
        <f t="shared" si="8"/>
        <v>1</v>
      </c>
      <c r="P146" s="2" t="str">
        <f t="shared" si="9"/>
        <v>A</v>
      </c>
      <c r="Q146" s="2" t="s">
        <v>22</v>
      </c>
      <c r="R146" s="2">
        <f t="shared" si="10"/>
        <v>1</v>
      </c>
      <c r="S146" s="2">
        <v>290</v>
      </c>
      <c r="T146" s="2">
        <v>291</v>
      </c>
      <c r="U146" s="2" t="str">
        <f t="shared" si="11"/>
        <v/>
      </c>
    </row>
    <row r="147" ht="23" customHeight="1" spans="1:21">
      <c r="A147" s="6" t="s">
        <v>369</v>
      </c>
      <c r="B147" s="2" t="s">
        <v>50</v>
      </c>
      <c r="C147" s="2">
        <v>1</v>
      </c>
      <c r="D147" s="6" t="s">
        <v>497</v>
      </c>
      <c r="E147" s="2" t="str">
        <f>five子指标方向明细!F292</f>
        <v>B</v>
      </c>
      <c r="F147" s="2">
        <f>five子指标方向明细!G292</f>
        <v>5</v>
      </c>
      <c r="G147" s="2" t="str">
        <f>five子指标方向明细!H292</f>
        <v>C</v>
      </c>
      <c r="H147" s="2">
        <f>five子指标方向明细!I292</f>
        <v>2</v>
      </c>
      <c r="I147" s="2" t="str">
        <f>five子指标方向明细!L292</f>
        <v>B</v>
      </c>
      <c r="J147" s="2" t="str">
        <f>five子指标方向明细!F293</f>
        <v>C</v>
      </c>
      <c r="K147" s="2">
        <f>five子指标方向明细!G293</f>
        <v>2</v>
      </c>
      <c r="L147" s="2" t="str">
        <f>five子指标方向明细!H293</f>
        <v>B</v>
      </c>
      <c r="M147" s="2">
        <f>five子指标方向明细!I293</f>
        <v>5</v>
      </c>
      <c r="N147" s="2" t="str">
        <f>five子指标方向明细!L293</f>
        <v>B</v>
      </c>
      <c r="O147" s="2">
        <f t="shared" si="8"/>
        <v>1</v>
      </c>
      <c r="P147" s="2" t="str">
        <f t="shared" si="9"/>
        <v>B</v>
      </c>
      <c r="Q147" s="2" t="s">
        <v>26</v>
      </c>
      <c r="R147" s="2">
        <f t="shared" si="10"/>
        <v>1</v>
      </c>
      <c r="S147" s="2">
        <v>292</v>
      </c>
      <c r="T147" s="2">
        <v>293</v>
      </c>
      <c r="U147" s="2" t="str">
        <f t="shared" si="11"/>
        <v/>
      </c>
    </row>
    <row r="148" ht="23" customHeight="1" spans="1:21">
      <c r="A148" s="6" t="s">
        <v>369</v>
      </c>
      <c r="B148" s="2" t="s">
        <v>50</v>
      </c>
      <c r="C148" s="2">
        <v>2</v>
      </c>
      <c r="D148" s="6" t="s">
        <v>498</v>
      </c>
      <c r="E148" s="2" t="str">
        <f>five子指标方向明细!F294</f>
        <v>B</v>
      </c>
      <c r="F148" s="2">
        <f>five子指标方向明细!G294</f>
        <v>5</v>
      </c>
      <c r="G148" s="2" t="str">
        <f>five子指标方向明细!H294</f>
        <v>C</v>
      </c>
      <c r="H148" s="2">
        <f>five子指标方向明细!I294</f>
        <v>1</v>
      </c>
      <c r="I148" s="2" t="str">
        <f>five子指标方向明细!L294</f>
        <v>B</v>
      </c>
      <c r="J148" s="2" t="str">
        <f>five子指标方向明细!F295</f>
        <v>C</v>
      </c>
      <c r="K148" s="2">
        <f>five子指标方向明细!G295</f>
        <v>2</v>
      </c>
      <c r="L148" s="2" t="str">
        <f>five子指标方向明细!H295</f>
        <v>B</v>
      </c>
      <c r="M148" s="2">
        <f>five子指标方向明细!I295</f>
        <v>5</v>
      </c>
      <c r="N148" s="2" t="str">
        <f>five子指标方向明细!L295</f>
        <v>B</v>
      </c>
      <c r="O148" s="2">
        <f t="shared" si="8"/>
        <v>1</v>
      </c>
      <c r="P148" s="2" t="str">
        <f t="shared" si="9"/>
        <v>B</v>
      </c>
      <c r="Q148" s="2" t="s">
        <v>26</v>
      </c>
      <c r="R148" s="2">
        <f t="shared" si="10"/>
        <v>1</v>
      </c>
      <c r="S148" s="2">
        <v>294</v>
      </c>
      <c r="T148" s="2">
        <v>295</v>
      </c>
      <c r="U148" s="2" t="str">
        <f t="shared" si="11"/>
        <v/>
      </c>
    </row>
    <row r="149" ht="23" customHeight="1" spans="1:21">
      <c r="A149" s="6" t="s">
        <v>369</v>
      </c>
      <c r="B149" s="2" t="s">
        <v>50</v>
      </c>
      <c r="C149" s="2">
        <v>3</v>
      </c>
      <c r="D149" s="6" t="s">
        <v>499</v>
      </c>
      <c r="E149" s="2" t="str">
        <f>five子指标方向明细!F296</f>
        <v>B</v>
      </c>
      <c r="F149" s="2">
        <f>five子指标方向明细!G296</f>
        <v>5</v>
      </c>
      <c r="G149" s="2" t="str">
        <f>five子指标方向明细!H296</f>
        <v>C</v>
      </c>
      <c r="H149" s="2">
        <f>five子指标方向明细!I296</f>
        <v>3</v>
      </c>
      <c r="I149" s="2" t="str">
        <f>five子指标方向明细!L296</f>
        <v>B</v>
      </c>
      <c r="J149" s="2" t="str">
        <f>five子指标方向明细!F297</f>
        <v>C</v>
      </c>
      <c r="K149" s="2">
        <f>five子指标方向明细!G297</f>
        <v>2</v>
      </c>
      <c r="L149" s="2" t="str">
        <f>five子指标方向明细!H297</f>
        <v>B</v>
      </c>
      <c r="M149" s="2">
        <f>five子指标方向明细!I297</f>
        <v>5</v>
      </c>
      <c r="N149" s="2" t="str">
        <f>five子指标方向明细!L297</f>
        <v>B</v>
      </c>
      <c r="O149" s="2">
        <f t="shared" si="8"/>
        <v>1</v>
      </c>
      <c r="P149" s="2" t="str">
        <f t="shared" si="9"/>
        <v>B</v>
      </c>
      <c r="Q149" s="2" t="s">
        <v>26</v>
      </c>
      <c r="R149" s="2">
        <f t="shared" si="10"/>
        <v>1</v>
      </c>
      <c r="S149" s="2">
        <v>296</v>
      </c>
      <c r="T149" s="2">
        <v>297</v>
      </c>
      <c r="U149" s="2" t="str">
        <f t="shared" si="11"/>
        <v/>
      </c>
    </row>
    <row r="150" ht="23" customHeight="1" spans="1:21">
      <c r="A150" s="6" t="s">
        <v>369</v>
      </c>
      <c r="B150" s="2" t="s">
        <v>50</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26</v>
      </c>
      <c r="R150" s="2">
        <f t="shared" si="10"/>
        <v>1</v>
      </c>
      <c r="S150" s="2">
        <v>298</v>
      </c>
      <c r="T150" s="2">
        <v>299</v>
      </c>
      <c r="U150" s="2" t="str">
        <f t="shared" si="11"/>
        <v/>
      </c>
    </row>
    <row r="151" ht="23" customHeight="1" spans="1:21">
      <c r="A151" s="6" t="s">
        <v>369</v>
      </c>
      <c r="B151" s="2" t="s">
        <v>50</v>
      </c>
      <c r="C151" s="2">
        <v>5</v>
      </c>
      <c r="D151" s="6" t="s">
        <v>501</v>
      </c>
      <c r="E151" s="2" t="str">
        <f>five子指标方向明细!F300</f>
        <v>B</v>
      </c>
      <c r="F151" s="2">
        <f>five子指标方向明细!G300</f>
        <v>5</v>
      </c>
      <c r="G151" s="2" t="str">
        <f>five子指标方向明细!H300</f>
        <v>C</v>
      </c>
      <c r="H151" s="2">
        <f>five子指标方向明细!I300</f>
        <v>2</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26</v>
      </c>
      <c r="R151" s="2">
        <f t="shared" si="10"/>
        <v>1</v>
      </c>
      <c r="S151" s="2">
        <v>300</v>
      </c>
      <c r="T151" s="2">
        <v>301</v>
      </c>
      <c r="U151" s="2" t="str">
        <f t="shared" si="11"/>
        <v/>
      </c>
    </row>
    <row r="152" ht="23" customHeight="1" spans="1:21">
      <c r="A152" s="6" t="s">
        <v>407</v>
      </c>
      <c r="B152" s="2" t="s">
        <v>15</v>
      </c>
      <c r="C152" s="2">
        <v>1</v>
      </c>
      <c r="D152" s="6" t="s">
        <v>497</v>
      </c>
      <c r="E152" s="2" t="str">
        <f>five子指标方向明细!F302</f>
        <v>A</v>
      </c>
      <c r="F152" s="2">
        <f>five子指标方向明细!G302</f>
        <v>4</v>
      </c>
      <c r="G152" s="2" t="str">
        <f>five子指标方向明细!H302</f>
        <v>B</v>
      </c>
      <c r="H152" s="2">
        <f>five子指标方向明细!I302</f>
        <v>5</v>
      </c>
      <c r="I152" s="2" t="str">
        <f>five子指标方向明细!L302</f>
        <v>B</v>
      </c>
      <c r="J152" s="2" t="str">
        <f>five子指标方向明细!F303</f>
        <v>B</v>
      </c>
      <c r="K152" s="2">
        <f>five子指标方向明细!G303</f>
        <v>5</v>
      </c>
      <c r="L152" s="2" t="str">
        <f>five子指标方向明细!H303</f>
        <v>A</v>
      </c>
      <c r="M152" s="2">
        <f>five子指标方向明细!I303</f>
        <v>3</v>
      </c>
      <c r="N152" s="2" t="str">
        <f>five子指标方向明细!L303</f>
        <v>B</v>
      </c>
      <c r="O152" s="2">
        <f t="shared" si="8"/>
        <v>1</v>
      </c>
      <c r="P152" s="2" t="str">
        <f t="shared" si="9"/>
        <v>B</v>
      </c>
      <c r="Q152" s="2" t="s">
        <v>22</v>
      </c>
      <c r="R152" s="2">
        <f t="shared" si="10"/>
        <v>0</v>
      </c>
      <c r="S152" s="2">
        <v>302</v>
      </c>
      <c r="T152" s="2">
        <v>303</v>
      </c>
      <c r="U152" s="2" t="str">
        <f t="shared" si="11"/>
        <v/>
      </c>
    </row>
    <row r="153" ht="23" customHeight="1" spans="1:21">
      <c r="A153" s="6" t="s">
        <v>407</v>
      </c>
      <c r="B153" s="2" t="s">
        <v>15</v>
      </c>
      <c r="C153" s="2">
        <v>2</v>
      </c>
      <c r="D153" s="6" t="s">
        <v>498</v>
      </c>
      <c r="E153" s="2" t="str">
        <f>five子指标方向明细!F304</f>
        <v>A</v>
      </c>
      <c r="F153" s="2">
        <f>five子指标方向明细!G304</f>
        <v>5</v>
      </c>
      <c r="G153" s="2" t="str">
        <f>five子指标方向明细!H304</f>
        <v>B</v>
      </c>
      <c r="H153" s="2">
        <f>five子指标方向明细!I304</f>
        <v>2</v>
      </c>
      <c r="I153" s="2" t="str">
        <f>five子指标方向明细!L304</f>
        <v>A</v>
      </c>
      <c r="J153" s="2" t="str">
        <f>five子指标方向明细!F305</f>
        <v>B</v>
      </c>
      <c r="K153" s="2">
        <f>five子指标方向明细!G305</f>
        <v>2</v>
      </c>
      <c r="L153" s="2" t="str">
        <f>five子指标方向明细!H305</f>
        <v>A</v>
      </c>
      <c r="M153" s="2">
        <f>five子指标方向明细!I305</f>
        <v>4</v>
      </c>
      <c r="N153" s="2" t="str">
        <f>five子指标方向明细!L305</f>
        <v>A</v>
      </c>
      <c r="O153" s="2">
        <f t="shared" si="8"/>
        <v>1</v>
      </c>
      <c r="P153" s="2" t="str">
        <f t="shared" si="9"/>
        <v>A</v>
      </c>
      <c r="Q153" s="2" t="s">
        <v>22</v>
      </c>
      <c r="R153" s="2">
        <f t="shared" si="10"/>
        <v>1</v>
      </c>
      <c r="S153" s="2">
        <v>304</v>
      </c>
      <c r="T153" s="2">
        <v>305</v>
      </c>
      <c r="U153" s="2" t="str">
        <f t="shared" si="11"/>
        <v/>
      </c>
    </row>
    <row r="154" ht="23" customHeight="1" spans="1:21">
      <c r="A154" s="6" t="s">
        <v>407</v>
      </c>
      <c r="B154" s="2" t="s">
        <v>15</v>
      </c>
      <c r="C154" s="2">
        <v>3</v>
      </c>
      <c r="D154" s="6" t="s">
        <v>499</v>
      </c>
      <c r="E154" s="2" t="str">
        <f>five子指标方向明细!F306</f>
        <v>A</v>
      </c>
      <c r="F154" s="2">
        <f>five子指标方向明细!G306</f>
        <v>5</v>
      </c>
      <c r="G154" s="2" t="str">
        <f>five子指标方向明细!H306</f>
        <v>B</v>
      </c>
      <c r="H154" s="2">
        <f>five子指标方向明细!I306</f>
        <v>5</v>
      </c>
      <c r="I154" s="2" t="str">
        <f>five子指标方向明细!L306</f>
        <v>D(平局)</v>
      </c>
      <c r="J154" s="2" t="str">
        <f>five子指标方向明细!F307</f>
        <v>B</v>
      </c>
      <c r="K154" s="2">
        <f>five子指标方向明细!G307</f>
        <v>4</v>
      </c>
      <c r="L154" s="2" t="str">
        <f>five子指标方向明细!H307</f>
        <v>A</v>
      </c>
      <c r="M154" s="2">
        <f>five子指标方向明细!I307</f>
        <v>4</v>
      </c>
      <c r="N154" s="2" t="str">
        <f>five子指标方向明细!L307</f>
        <v>D(平局)</v>
      </c>
      <c r="O154" s="2">
        <f t="shared" si="8"/>
        <v>1</v>
      </c>
      <c r="P154" s="2" t="str">
        <f t="shared" si="9"/>
        <v>D(平局)</v>
      </c>
      <c r="Q154" s="2" t="s">
        <v>22</v>
      </c>
      <c r="R154" s="2">
        <f t="shared" si="10"/>
        <v>0</v>
      </c>
      <c r="S154" s="2">
        <v>306</v>
      </c>
      <c r="T154" s="2">
        <v>307</v>
      </c>
      <c r="U154" s="2" t="str">
        <f t="shared" si="11"/>
        <v>双向评分平局</v>
      </c>
    </row>
    <row r="155" ht="23" customHeight="1" spans="1:21">
      <c r="A155" s="6" t="s">
        <v>407</v>
      </c>
      <c r="B155" s="2" t="s">
        <v>15</v>
      </c>
      <c r="C155" s="2">
        <v>4</v>
      </c>
      <c r="D155" s="6" t="s">
        <v>500</v>
      </c>
      <c r="E155" s="2" t="str">
        <f>five子指标方向明细!F308</f>
        <v>A</v>
      </c>
      <c r="F155" s="2">
        <f>five子指标方向明细!G308</f>
        <v>5</v>
      </c>
      <c r="G155" s="2" t="str">
        <f>five子指标方向明细!H308</f>
        <v>B</v>
      </c>
      <c r="H155" s="2">
        <f>five子指标方向明细!I308</f>
        <v>5</v>
      </c>
      <c r="I155" s="2" t="str">
        <f>five子指标方向明细!L308</f>
        <v>D(平局)</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0</v>
      </c>
      <c r="P155" s="2" t="str">
        <f t="shared" si="9"/>
        <v>D(平局)</v>
      </c>
      <c r="Q155" s="2" t="s">
        <v>22</v>
      </c>
      <c r="R155" s="2">
        <f t="shared" si="10"/>
        <v>0</v>
      </c>
      <c r="S155" s="2">
        <v>308</v>
      </c>
      <c r="T155" s="2">
        <v>309</v>
      </c>
      <c r="U155" s="2" t="str">
        <f t="shared" si="11"/>
        <v>方向冲突</v>
      </c>
    </row>
    <row r="156" ht="23" customHeight="1" spans="1:21">
      <c r="A156" s="6" t="s">
        <v>407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4</v>
      </c>
      <c r="L156" s="2" t="str">
        <f>five子指标方向明细!H311</f>
        <v>A</v>
      </c>
      <c r="M156" s="2">
        <f>five子指标方向明细!I311</f>
        <v>5</v>
      </c>
      <c r="N156" s="2" t="str">
        <f>five子指标方向明细!L311</f>
        <v>A</v>
      </c>
      <c r="O156" s="2">
        <f t="shared" si="8"/>
        <v>1</v>
      </c>
      <c r="P156" s="2" t="str">
        <f t="shared" si="9"/>
        <v>A</v>
      </c>
      <c r="Q156" s="2" t="s">
        <v>22</v>
      </c>
      <c r="R156" s="2">
        <f t="shared" si="10"/>
        <v>1</v>
      </c>
      <c r="S156" s="2">
        <v>310</v>
      </c>
      <c r="T156" s="2">
        <v>311</v>
      </c>
      <c r="U156" s="2" t="str">
        <f t="shared" si="11"/>
        <v/>
      </c>
    </row>
    <row r="157" ht="23" customHeight="1" spans="1:21">
      <c r="A157" s="6" t="s">
        <v>407</v>
      </c>
      <c r="B157" s="2" t="s">
        <v>37</v>
      </c>
      <c r="C157" s="2">
        <v>1</v>
      </c>
      <c r="D157" s="6" t="s">
        <v>497</v>
      </c>
      <c r="E157" s="2" t="str">
        <f>five子指标方向明细!F312</f>
        <v>A</v>
      </c>
      <c r="F157" s="2">
        <f>five子指标方向明细!G312</f>
        <v>4</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4</v>
      </c>
      <c r="N157" s="2" t="str">
        <f>five子指标方向明细!L313</f>
        <v>C</v>
      </c>
      <c r="O157" s="2">
        <f t="shared" si="8"/>
        <v>1</v>
      </c>
      <c r="P157" s="2" t="str">
        <f t="shared" si="9"/>
        <v>C</v>
      </c>
      <c r="Q157" s="2" t="s">
        <v>105</v>
      </c>
      <c r="R157" s="2">
        <f t="shared" si="10"/>
        <v>1</v>
      </c>
      <c r="S157" s="2">
        <v>312</v>
      </c>
      <c r="T157" s="2">
        <v>313</v>
      </c>
      <c r="U157" s="2" t="str">
        <f t="shared" si="11"/>
        <v/>
      </c>
    </row>
    <row r="158" ht="23" customHeight="1" spans="1:21">
      <c r="A158" s="6" t="s">
        <v>407</v>
      </c>
      <c r="B158" s="2" t="s">
        <v>37</v>
      </c>
      <c r="C158" s="2">
        <v>2</v>
      </c>
      <c r="D158" s="6" t="s">
        <v>498</v>
      </c>
      <c r="E158" s="2" t="str">
        <f>five子指标方向明细!F314</f>
        <v>A</v>
      </c>
      <c r="F158" s="2">
        <f>five子指标方向明细!G314</f>
        <v>4</v>
      </c>
      <c r="G158" s="2" t="str">
        <f>five子指标方向明细!H314</f>
        <v>C</v>
      </c>
      <c r="H158" s="2">
        <f>five子指标方向明细!I314</f>
        <v>5</v>
      </c>
      <c r="I158" s="2" t="str">
        <f>five子指标方向明细!L314</f>
        <v>C</v>
      </c>
      <c r="J158" s="2" t="str">
        <f>five子指标方向明细!F315</f>
        <v>C</v>
      </c>
      <c r="K158" s="2">
        <f>five子指标方向明细!G315</f>
        <v>5</v>
      </c>
      <c r="L158" s="2" t="str">
        <f>five子指标方向明细!H315</f>
        <v>A</v>
      </c>
      <c r="M158" s="2">
        <f>five子指标方向明细!I315</f>
        <v>4</v>
      </c>
      <c r="N158" s="2" t="str">
        <f>five子指标方向明细!L315</f>
        <v>C</v>
      </c>
      <c r="O158" s="2">
        <f t="shared" si="8"/>
        <v>1</v>
      </c>
      <c r="P158" s="2" t="str">
        <f t="shared" si="9"/>
        <v>C</v>
      </c>
      <c r="Q158" s="2" t="s">
        <v>105</v>
      </c>
      <c r="R158" s="2">
        <f t="shared" si="10"/>
        <v>1</v>
      </c>
      <c r="S158" s="2">
        <v>314</v>
      </c>
      <c r="T158" s="2">
        <v>315</v>
      </c>
      <c r="U158" s="2" t="str">
        <f t="shared" si="11"/>
        <v/>
      </c>
    </row>
    <row r="159" ht="23" customHeight="1" spans="1:21">
      <c r="A159" s="6" t="s">
        <v>407</v>
      </c>
      <c r="B159" s="2" t="s">
        <v>37</v>
      </c>
      <c r="C159" s="2">
        <v>3</v>
      </c>
      <c r="D159" s="6" t="s">
        <v>499</v>
      </c>
      <c r="E159" s="2" t="str">
        <f>five子指标方向明细!F316</f>
        <v>A</v>
      </c>
      <c r="F159" s="2">
        <f>five子指标方向明细!G316</f>
        <v>4</v>
      </c>
      <c r="G159" s="2" t="str">
        <f>five子指标方向明细!H316</f>
        <v>C</v>
      </c>
      <c r="H159" s="2">
        <f>five子指标方向明细!I316</f>
        <v>5</v>
      </c>
      <c r="I159" s="2" t="str">
        <f>five子指标方向明细!L316</f>
        <v>C</v>
      </c>
      <c r="J159" s="2" t="str">
        <f>five子指标方向明细!F317</f>
        <v>C</v>
      </c>
      <c r="K159" s="2">
        <f>five子指标方向明细!G317</f>
        <v>5</v>
      </c>
      <c r="L159" s="2" t="str">
        <f>five子指标方向明细!H317</f>
        <v>A</v>
      </c>
      <c r="M159" s="2">
        <f>five子指标方向明细!I317</f>
        <v>4</v>
      </c>
      <c r="N159" s="2" t="str">
        <f>five子指标方向明细!L317</f>
        <v>C</v>
      </c>
      <c r="O159" s="2">
        <f t="shared" si="8"/>
        <v>1</v>
      </c>
      <c r="P159" s="2" t="str">
        <f t="shared" si="9"/>
        <v>C</v>
      </c>
      <c r="Q159" s="2" t="s">
        <v>105</v>
      </c>
      <c r="R159" s="2">
        <f t="shared" si="10"/>
        <v>1</v>
      </c>
      <c r="S159" s="2">
        <v>316</v>
      </c>
      <c r="T159" s="2">
        <v>317</v>
      </c>
      <c r="U159" s="2" t="str">
        <f t="shared" si="11"/>
        <v/>
      </c>
    </row>
    <row r="160" ht="23" customHeight="1" spans="1:21">
      <c r="A160" s="6" t="s">
        <v>407</v>
      </c>
      <c r="B160" s="2" t="s">
        <v>37</v>
      </c>
      <c r="C160" s="2">
        <v>4</v>
      </c>
      <c r="D160" s="6" t="s">
        <v>500</v>
      </c>
      <c r="E160" s="2" t="str">
        <f>five子指标方向明细!F318</f>
        <v>A</v>
      </c>
      <c r="F160" s="2">
        <f>five子指标方向明细!G318</f>
        <v>5</v>
      </c>
      <c r="G160" s="2" t="str">
        <f>five子指标方向明细!H318</f>
        <v>C</v>
      </c>
      <c r="H160" s="2">
        <f>five子指标方向明细!I318</f>
        <v>5</v>
      </c>
      <c r="I160" s="2" t="str">
        <f>five子指标方向明细!L318</f>
        <v>D(平局)</v>
      </c>
      <c r="J160" s="2" t="str">
        <f>five子指标方向明细!F319</f>
        <v>C</v>
      </c>
      <c r="K160" s="2">
        <f>five子指标方向明细!G319</f>
        <v>5</v>
      </c>
      <c r="L160" s="2" t="str">
        <f>five子指标方向明细!H319</f>
        <v>A</v>
      </c>
      <c r="M160" s="2">
        <f>five子指标方向明细!I319</f>
        <v>5</v>
      </c>
      <c r="N160" s="2" t="str">
        <f>five子指标方向明细!L319</f>
        <v>D(平局)</v>
      </c>
      <c r="O160" s="2">
        <f t="shared" si="8"/>
        <v>1</v>
      </c>
      <c r="P160" s="2" t="str">
        <f t="shared" si="9"/>
        <v>D(平局)</v>
      </c>
      <c r="Q160" s="2" t="s">
        <v>105</v>
      </c>
      <c r="R160" s="2">
        <f t="shared" si="10"/>
        <v>0</v>
      </c>
      <c r="S160" s="2">
        <v>318</v>
      </c>
      <c r="T160" s="2">
        <v>319</v>
      </c>
      <c r="U160" s="2" t="str">
        <f t="shared" si="11"/>
        <v>双向评分平局</v>
      </c>
    </row>
    <row r="161" ht="23" customHeight="1" spans="1:21">
      <c r="A161" s="6" t="s">
        <v>407</v>
      </c>
      <c r="B161" s="2" t="s">
        <v>37</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105</v>
      </c>
      <c r="R161" s="2">
        <f t="shared" si="10"/>
        <v>0</v>
      </c>
      <c r="S161" s="2">
        <v>320</v>
      </c>
      <c r="T161" s="2">
        <v>321</v>
      </c>
      <c r="U161" s="2" t="str">
        <f t="shared" si="11"/>
        <v>双向评分平局</v>
      </c>
    </row>
    <row r="162" ht="23" customHeight="1" spans="1:21">
      <c r="A162" s="6" t="s">
        <v>407</v>
      </c>
      <c r="B162" s="2" t="s">
        <v>50</v>
      </c>
      <c r="C162" s="2">
        <v>1</v>
      </c>
      <c r="D162" s="6" t="s">
        <v>497</v>
      </c>
      <c r="E162" s="2" t="str">
        <f>five子指标方向明细!F322</f>
        <v>B</v>
      </c>
      <c r="F162" s="2">
        <f>five子指标方向明细!G322</f>
        <v>5</v>
      </c>
      <c r="G162" s="2" t="str">
        <f>five子指标方向明细!H322</f>
        <v>C</v>
      </c>
      <c r="H162" s="2">
        <f>five子指标方向明细!I322</f>
        <v>5</v>
      </c>
      <c r="I162" s="2" t="str">
        <f>five子指标方向明细!L322</f>
        <v>D(平局)</v>
      </c>
      <c r="J162" s="2" t="str">
        <f>five子指标方向明细!F323</f>
        <v>C</v>
      </c>
      <c r="K162" s="2">
        <f>five子指标方向明细!G323</f>
        <v>5</v>
      </c>
      <c r="L162" s="2" t="str">
        <f>five子指标方向明细!H323</f>
        <v>B</v>
      </c>
      <c r="M162" s="2">
        <f>five子指标方向明细!I323</f>
        <v>5</v>
      </c>
      <c r="N162" s="2" t="str">
        <f>five子指标方向明细!L323</f>
        <v>D(平局)</v>
      </c>
      <c r="O162" s="2">
        <f t="shared" si="8"/>
        <v>1</v>
      </c>
      <c r="P162" s="2" t="str">
        <f t="shared" si="9"/>
        <v>D(平局)</v>
      </c>
      <c r="Q162" s="2" t="s">
        <v>105</v>
      </c>
      <c r="R162" s="2">
        <f t="shared" si="10"/>
        <v>0</v>
      </c>
      <c r="S162" s="2">
        <v>322</v>
      </c>
      <c r="T162" s="2">
        <v>323</v>
      </c>
      <c r="U162" s="2" t="str">
        <f t="shared" si="11"/>
        <v>双向评分平局</v>
      </c>
    </row>
    <row r="163" ht="23" customHeight="1" spans="1:21">
      <c r="A163" s="6" t="s">
        <v>407</v>
      </c>
      <c r="B163" s="2" t="s">
        <v>50</v>
      </c>
      <c r="C163" s="2">
        <v>2</v>
      </c>
      <c r="D163" s="6" t="s">
        <v>498</v>
      </c>
      <c r="E163" s="2" t="str">
        <f>five子指标方向明细!F324</f>
        <v>B</v>
      </c>
      <c r="F163" s="2">
        <f>five子指标方向明细!G324</f>
        <v>2</v>
      </c>
      <c r="G163" s="2" t="str">
        <f>five子指标方向明细!H324</f>
        <v>C</v>
      </c>
      <c r="H163" s="2">
        <f>five子指标方向明细!I324</f>
        <v>5</v>
      </c>
      <c r="I163" s="2" t="str">
        <f>five子指标方向明细!L324</f>
        <v>C</v>
      </c>
      <c r="J163" s="2" t="str">
        <f>five子指标方向明细!F325</f>
        <v>C</v>
      </c>
      <c r="K163" s="2">
        <f>five子指标方向明细!G325</f>
        <v>5</v>
      </c>
      <c r="L163" s="2" t="str">
        <f>five子指标方向明细!H325</f>
        <v>B</v>
      </c>
      <c r="M163" s="2">
        <f>five子指标方向明细!I325</f>
        <v>2</v>
      </c>
      <c r="N163" s="2" t="str">
        <f>five子指标方向明细!L325</f>
        <v>C</v>
      </c>
      <c r="O163" s="2">
        <f t="shared" si="8"/>
        <v>1</v>
      </c>
      <c r="P163" s="2" t="str">
        <f t="shared" si="9"/>
        <v>C</v>
      </c>
      <c r="Q163" s="2" t="s">
        <v>105</v>
      </c>
      <c r="R163" s="2">
        <f t="shared" si="10"/>
        <v>1</v>
      </c>
      <c r="S163" s="2">
        <v>324</v>
      </c>
      <c r="T163" s="2">
        <v>325</v>
      </c>
      <c r="U163" s="2" t="str">
        <f t="shared" si="11"/>
        <v/>
      </c>
    </row>
    <row r="164" ht="23" customHeight="1" spans="1:21">
      <c r="A164" s="6" t="s">
        <v>407</v>
      </c>
      <c r="B164" s="2" t="s">
        <v>50</v>
      </c>
      <c r="C164" s="2">
        <v>3</v>
      </c>
      <c r="D164" s="6" t="s">
        <v>499</v>
      </c>
      <c r="E164" s="2" t="str">
        <f>five子指标方向明细!F326</f>
        <v>B</v>
      </c>
      <c r="F164" s="2">
        <f>five子指标方向明细!G326</f>
        <v>5</v>
      </c>
      <c r="G164" s="2" t="str">
        <f>five子指标方向明细!H326</f>
        <v>C</v>
      </c>
      <c r="H164" s="2">
        <f>five子指标方向明细!I326</f>
        <v>5</v>
      </c>
      <c r="I164" s="2" t="str">
        <f>five子指标方向明细!L326</f>
        <v>D(平局)</v>
      </c>
      <c r="J164" s="2" t="str">
        <f>five子指标方向明细!F327</f>
        <v>C</v>
      </c>
      <c r="K164" s="2">
        <f>five子指标方向明细!G327</f>
        <v>5</v>
      </c>
      <c r="L164" s="2" t="str">
        <f>five子指标方向明细!H327</f>
        <v>B</v>
      </c>
      <c r="M164" s="2">
        <f>five子指标方向明细!I327</f>
        <v>5</v>
      </c>
      <c r="N164" s="2" t="str">
        <f>five子指标方向明细!L327</f>
        <v>D(平局)</v>
      </c>
      <c r="O164" s="2">
        <f t="shared" si="8"/>
        <v>1</v>
      </c>
      <c r="P164" s="2" t="str">
        <f t="shared" si="9"/>
        <v>D(平局)</v>
      </c>
      <c r="Q164" s="2" t="s">
        <v>105</v>
      </c>
      <c r="R164" s="2">
        <f t="shared" si="10"/>
        <v>0</v>
      </c>
      <c r="S164" s="2">
        <v>326</v>
      </c>
      <c r="T164" s="2">
        <v>327</v>
      </c>
      <c r="U164" s="2" t="str">
        <f t="shared" si="11"/>
        <v>双向评分平局</v>
      </c>
    </row>
    <row r="165" ht="23" customHeight="1" spans="1:21">
      <c r="A165" s="6" t="s">
        <v>407</v>
      </c>
      <c r="B165" s="2" t="s">
        <v>50</v>
      </c>
      <c r="C165" s="2">
        <v>4</v>
      </c>
      <c r="D165" s="6" t="s">
        <v>500</v>
      </c>
      <c r="E165" s="2" t="str">
        <f>five子指标方向明细!F328</f>
        <v>B</v>
      </c>
      <c r="F165" s="2">
        <f>five子指标方向明细!G328</f>
        <v>5</v>
      </c>
      <c r="G165" s="2" t="str">
        <f>five子指标方向明细!H328</f>
        <v>C</v>
      </c>
      <c r="H165" s="2">
        <f>five子指标方向明细!I328</f>
        <v>5</v>
      </c>
      <c r="I165" s="2" t="str">
        <f>five子指标方向明细!L328</f>
        <v>D(平局)</v>
      </c>
      <c r="J165" s="2" t="str">
        <f>five子指标方向明细!F329</f>
        <v>C</v>
      </c>
      <c r="K165" s="2">
        <f>five子指标方向明细!G329</f>
        <v>5</v>
      </c>
      <c r="L165" s="2" t="str">
        <f>five子指标方向明细!H329</f>
        <v>B</v>
      </c>
      <c r="M165" s="2">
        <f>five子指标方向明细!I329</f>
        <v>5</v>
      </c>
      <c r="N165" s="2" t="str">
        <f>five子指标方向明细!L329</f>
        <v>D(平局)</v>
      </c>
      <c r="O165" s="2">
        <f t="shared" si="8"/>
        <v>1</v>
      </c>
      <c r="P165" s="2" t="str">
        <f t="shared" si="9"/>
        <v>D(平局)</v>
      </c>
      <c r="Q165" s="2" t="s">
        <v>105</v>
      </c>
      <c r="R165" s="2">
        <f t="shared" si="10"/>
        <v>0</v>
      </c>
      <c r="S165" s="2">
        <v>328</v>
      </c>
      <c r="T165" s="2">
        <v>329</v>
      </c>
      <c r="U165" s="2" t="str">
        <f t="shared" si="11"/>
        <v>双向评分平局</v>
      </c>
    </row>
    <row r="166" ht="23" customHeight="1" spans="1:21">
      <c r="A166" s="6" t="s">
        <v>407</v>
      </c>
      <c r="B166" s="2" t="s">
        <v>50</v>
      </c>
      <c r="C166" s="2">
        <v>5</v>
      </c>
      <c r="D166" s="6" t="s">
        <v>501</v>
      </c>
      <c r="E166" s="2" t="str">
        <f>five子指标方向明细!F330</f>
        <v>B</v>
      </c>
      <c r="F166" s="2">
        <f>five子指标方向明细!G330</f>
        <v>3</v>
      </c>
      <c r="G166" s="2" t="str">
        <f>five子指标方向明细!H330</f>
        <v>C</v>
      </c>
      <c r="H166" s="2">
        <f>five子指标方向明细!I330</f>
        <v>5</v>
      </c>
      <c r="I166" s="2" t="str">
        <f>five子指标方向明细!L330</f>
        <v>C</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1</v>
      </c>
      <c r="P166" s="2" t="str">
        <f t="shared" si="9"/>
        <v>C</v>
      </c>
      <c r="Q166" s="2" t="s">
        <v>105</v>
      </c>
      <c r="R166" s="2">
        <f t="shared" si="10"/>
        <v>1</v>
      </c>
      <c r="S166" s="2">
        <v>330</v>
      </c>
      <c r="T166" s="2">
        <v>331</v>
      </c>
      <c r="U166" s="2" t="str">
        <f t="shared" si="11"/>
        <v/>
      </c>
    </row>
    <row r="167" ht="23" customHeight="1" spans="1:21">
      <c r="A167" s="6" t="s">
        <v>445</v>
      </c>
      <c r="B167" s="2" t="s">
        <v>15</v>
      </c>
      <c r="C167" s="2">
        <v>1</v>
      </c>
      <c r="D167" s="6" t="s">
        <v>497</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3</v>
      </c>
      <c r="L167" s="2" t="str">
        <f>five子指标方向明细!H333</f>
        <v>A</v>
      </c>
      <c r="M167" s="2">
        <f>five子指标方向明细!I333</f>
        <v>5</v>
      </c>
      <c r="N167" s="2" t="str">
        <f>five子指标方向明细!L333</f>
        <v>A</v>
      </c>
      <c r="O167" s="2">
        <f t="shared" si="8"/>
        <v>1</v>
      </c>
      <c r="P167" s="2" t="str">
        <f t="shared" si="9"/>
        <v>A</v>
      </c>
      <c r="Q167" s="2" t="s">
        <v>22</v>
      </c>
      <c r="R167" s="2">
        <f t="shared" si="10"/>
        <v>1</v>
      </c>
      <c r="S167" s="2">
        <v>332</v>
      </c>
      <c r="T167" s="2">
        <v>333</v>
      </c>
      <c r="U167" s="2" t="str">
        <f t="shared" si="11"/>
        <v/>
      </c>
    </row>
    <row r="168" ht="23" customHeight="1" spans="1:21">
      <c r="A168" s="6" t="s">
        <v>445</v>
      </c>
      <c r="B168" s="2" t="s">
        <v>15</v>
      </c>
      <c r="C168" s="2">
        <v>2</v>
      </c>
      <c r="D168" s="6" t="s">
        <v>498</v>
      </c>
      <c r="E168" s="2" t="str">
        <f>five子指标方向明细!F334</f>
        <v>A</v>
      </c>
      <c r="F168" s="2">
        <f>five子指标方向明细!G334</f>
        <v>5</v>
      </c>
      <c r="G168" s="2" t="str">
        <f>five子指标方向明细!H334</f>
        <v>B</v>
      </c>
      <c r="H168" s="2">
        <f>five子指标方向明细!I334</f>
        <v>3</v>
      </c>
      <c r="I168" s="2" t="str">
        <f>five子指标方向明细!L334</f>
        <v>A</v>
      </c>
      <c r="J168" s="2" t="str">
        <f>five子指标方向明细!F335</f>
        <v>B</v>
      </c>
      <c r="K168" s="2">
        <f>five子指标方向明细!G335</f>
        <v>2</v>
      </c>
      <c r="L168" s="2" t="str">
        <f>five子指标方向明细!H335</f>
        <v>A</v>
      </c>
      <c r="M168" s="2">
        <f>five子指标方向明细!I335</f>
        <v>5</v>
      </c>
      <c r="N168" s="2" t="str">
        <f>five子指标方向明细!L335</f>
        <v>A</v>
      </c>
      <c r="O168" s="2">
        <f t="shared" si="8"/>
        <v>1</v>
      </c>
      <c r="P168" s="2" t="str">
        <f t="shared" si="9"/>
        <v>A</v>
      </c>
      <c r="Q168" s="2" t="s">
        <v>22</v>
      </c>
      <c r="R168" s="2">
        <f t="shared" si="10"/>
        <v>1</v>
      </c>
      <c r="S168" s="2">
        <v>334</v>
      </c>
      <c r="T168" s="2">
        <v>335</v>
      </c>
      <c r="U168" s="2" t="str">
        <f t="shared" si="11"/>
        <v/>
      </c>
    </row>
    <row r="169" ht="23" customHeight="1" spans="1:21">
      <c r="A169" s="6" t="s">
        <v>445</v>
      </c>
      <c r="B169" s="2" t="s">
        <v>15</v>
      </c>
      <c r="C169" s="2">
        <v>3</v>
      </c>
      <c r="D169" s="6" t="s">
        <v>499</v>
      </c>
      <c r="E169" s="2" t="str">
        <f>five子指标方向明细!F336</f>
        <v>A</v>
      </c>
      <c r="F169" s="2">
        <f>five子指标方向明细!G336</f>
        <v>5</v>
      </c>
      <c r="G169" s="2" t="str">
        <f>five子指标方向明细!H336</f>
        <v>B</v>
      </c>
      <c r="H169" s="2">
        <f>five子指标方向明细!I336</f>
        <v>3</v>
      </c>
      <c r="I169" s="2" t="str">
        <f>five子指标方向明细!L336</f>
        <v>A</v>
      </c>
      <c r="J169" s="2" t="str">
        <f>five子指标方向明细!F337</f>
        <v>B</v>
      </c>
      <c r="K169" s="2">
        <f>five子指标方向明细!G337</f>
        <v>3</v>
      </c>
      <c r="L169" s="2" t="str">
        <f>five子指标方向明细!H337</f>
        <v>A</v>
      </c>
      <c r="M169" s="2">
        <f>five子指标方向明细!I337</f>
        <v>5</v>
      </c>
      <c r="N169" s="2" t="str">
        <f>five子指标方向明细!L337</f>
        <v>A</v>
      </c>
      <c r="O169" s="2">
        <f t="shared" si="8"/>
        <v>1</v>
      </c>
      <c r="P169" s="2" t="str">
        <f t="shared" si="9"/>
        <v>A</v>
      </c>
      <c r="Q169" s="2" t="s">
        <v>22</v>
      </c>
      <c r="R169" s="2">
        <f t="shared" si="10"/>
        <v>1</v>
      </c>
      <c r="S169" s="2">
        <v>336</v>
      </c>
      <c r="T169" s="2">
        <v>337</v>
      </c>
      <c r="U169" s="2" t="str">
        <f t="shared" si="11"/>
        <v/>
      </c>
    </row>
    <row r="170" ht="23" customHeight="1" spans="1:21">
      <c r="A170" s="6" t="s">
        <v>445</v>
      </c>
      <c r="B170" s="2" t="s">
        <v>15</v>
      </c>
      <c r="C170" s="2">
        <v>4</v>
      </c>
      <c r="D170" s="6" t="s">
        <v>500</v>
      </c>
      <c r="E170" s="2" t="str">
        <f>five子指标方向明细!F338</f>
        <v>A</v>
      </c>
      <c r="F170" s="2">
        <f>five子指标方向明细!G338</f>
        <v>5</v>
      </c>
      <c r="G170" s="2" t="str">
        <f>five子指标方向明细!H338</f>
        <v>B</v>
      </c>
      <c r="H170" s="2">
        <f>five子指标方向明细!I338</f>
        <v>3</v>
      </c>
      <c r="I170" s="2" t="str">
        <f>five子指标方向明细!L338</f>
        <v>A</v>
      </c>
      <c r="J170" s="2" t="str">
        <f>five子指标方向明细!F339</f>
        <v>B</v>
      </c>
      <c r="K170" s="2">
        <f>five子指标方向明细!G339</f>
        <v>3</v>
      </c>
      <c r="L170" s="2" t="str">
        <f>five子指标方向明细!H339</f>
        <v>A</v>
      </c>
      <c r="M170" s="2">
        <f>five子指标方向明细!I339</f>
        <v>5</v>
      </c>
      <c r="N170" s="2" t="str">
        <f>five子指标方向明细!L339</f>
        <v>A</v>
      </c>
      <c r="O170" s="2">
        <f t="shared" si="8"/>
        <v>1</v>
      </c>
      <c r="P170" s="2" t="str">
        <f t="shared" si="9"/>
        <v>A</v>
      </c>
      <c r="Q170" s="2" t="s">
        <v>22</v>
      </c>
      <c r="R170" s="2">
        <f t="shared" si="10"/>
        <v>1</v>
      </c>
      <c r="S170" s="2">
        <v>338</v>
      </c>
      <c r="T170" s="2">
        <v>339</v>
      </c>
      <c r="U170" s="2" t="str">
        <f t="shared" si="11"/>
        <v/>
      </c>
    </row>
    <row r="171" ht="23" customHeight="1" spans="1:21">
      <c r="A171" s="6" t="s">
        <v>445</v>
      </c>
      <c r="B171" s="2" t="s">
        <v>15</v>
      </c>
      <c r="C171" s="2">
        <v>5</v>
      </c>
      <c r="D171" s="6" t="s">
        <v>501</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2</v>
      </c>
      <c r="L171" s="2" t="str">
        <f>five子指标方向明细!H341</f>
        <v>A</v>
      </c>
      <c r="M171" s="2">
        <f>five子指标方向明细!I341</f>
        <v>5</v>
      </c>
      <c r="N171" s="2" t="str">
        <f>five子指标方向明细!L341</f>
        <v>A</v>
      </c>
      <c r="O171" s="2">
        <f t="shared" si="8"/>
        <v>1</v>
      </c>
      <c r="P171" s="2" t="str">
        <f t="shared" si="9"/>
        <v>A</v>
      </c>
      <c r="Q171" s="2" t="s">
        <v>22</v>
      </c>
      <c r="R171" s="2">
        <f t="shared" si="10"/>
        <v>1</v>
      </c>
      <c r="S171" s="2">
        <v>340</v>
      </c>
      <c r="T171" s="2">
        <v>341</v>
      </c>
      <c r="U171" s="2" t="str">
        <f t="shared" si="11"/>
        <v/>
      </c>
    </row>
    <row r="172" ht="23" customHeight="1" spans="1:21">
      <c r="A172" s="6" t="s">
        <v>445</v>
      </c>
      <c r="B172" s="2" t="s">
        <v>37</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106</v>
      </c>
      <c r="R172" s="2">
        <f t="shared" si="10"/>
        <v>1</v>
      </c>
      <c r="S172" s="2">
        <v>342</v>
      </c>
      <c r="T172" s="2">
        <v>343</v>
      </c>
      <c r="U172" s="2" t="str">
        <f t="shared" si="11"/>
        <v>双向评分平局</v>
      </c>
    </row>
    <row r="173" ht="23" customHeight="1" spans="1:21">
      <c r="A173" s="6" t="s">
        <v>445</v>
      </c>
      <c r="B173" s="2" t="s">
        <v>37</v>
      </c>
      <c r="C173" s="2">
        <v>2</v>
      </c>
      <c r="D173" s="6" t="s">
        <v>498</v>
      </c>
      <c r="E173" s="2" t="str">
        <f>five子指标方向明细!F344</f>
        <v>A</v>
      </c>
      <c r="F173" s="2">
        <f>five子指标方向明细!G344</f>
        <v>5</v>
      </c>
      <c r="G173" s="2" t="str">
        <f>five子指标方向明细!H344</f>
        <v>C</v>
      </c>
      <c r="H173" s="2">
        <f>five子指标方向明细!I344</f>
        <v>3</v>
      </c>
      <c r="I173" s="2" t="str">
        <f>five子指标方向明细!L344</f>
        <v>A</v>
      </c>
      <c r="J173" s="2" t="str">
        <f>five子指标方向明细!F345</f>
        <v>C</v>
      </c>
      <c r="K173" s="2">
        <f>five子指标方向明细!G345</f>
        <v>3</v>
      </c>
      <c r="L173" s="2" t="str">
        <f>five子指标方向明细!H345</f>
        <v>A</v>
      </c>
      <c r="M173" s="2">
        <f>five子指标方向明细!I345</f>
        <v>4</v>
      </c>
      <c r="N173" s="2" t="str">
        <f>five子指标方向明细!L345</f>
        <v>A</v>
      </c>
      <c r="O173" s="2">
        <f t="shared" si="8"/>
        <v>1</v>
      </c>
      <c r="P173" s="2" t="str">
        <f t="shared" si="9"/>
        <v>A</v>
      </c>
      <c r="Q173" s="2" t="s">
        <v>106</v>
      </c>
      <c r="R173" s="2">
        <f t="shared" si="10"/>
        <v>0</v>
      </c>
      <c r="S173" s="2">
        <v>344</v>
      </c>
      <c r="T173" s="2">
        <v>345</v>
      </c>
      <c r="U173" s="2" t="str">
        <f t="shared" si="11"/>
        <v/>
      </c>
    </row>
    <row r="174" ht="23" customHeight="1" spans="1:21">
      <c r="A174" s="6" t="s">
        <v>445</v>
      </c>
      <c r="B174" s="2" t="s">
        <v>37</v>
      </c>
      <c r="C174" s="2">
        <v>3</v>
      </c>
      <c r="D174" s="6" t="s">
        <v>499</v>
      </c>
      <c r="E174" s="2" t="str">
        <f>five子指标方向明细!F346</f>
        <v>A</v>
      </c>
      <c r="F174" s="2">
        <f>five子指标方向明细!G346</f>
        <v>5</v>
      </c>
      <c r="G174" s="2" t="str">
        <f>five子指标方向明细!H346</f>
        <v>C</v>
      </c>
      <c r="H174" s="2">
        <f>five子指标方向明细!I346</f>
        <v>5</v>
      </c>
      <c r="I174" s="2" t="str">
        <f>five子指标方向明细!L346</f>
        <v>D(平局)</v>
      </c>
      <c r="J174" s="2" t="str">
        <f>five子指标方向明细!F347</f>
        <v>C</v>
      </c>
      <c r="K174" s="2">
        <f>five子指标方向明细!G347</f>
        <v>5</v>
      </c>
      <c r="L174" s="2" t="str">
        <f>five子指标方向明细!H347</f>
        <v>A</v>
      </c>
      <c r="M174" s="2">
        <f>five子指标方向明细!I347</f>
        <v>5</v>
      </c>
      <c r="N174" s="2" t="str">
        <f>five子指标方向明细!L347</f>
        <v>D(平局)</v>
      </c>
      <c r="O174" s="2">
        <f t="shared" si="8"/>
        <v>1</v>
      </c>
      <c r="P174" s="2" t="str">
        <f t="shared" si="9"/>
        <v>D(平局)</v>
      </c>
      <c r="Q174" s="2" t="s">
        <v>106</v>
      </c>
      <c r="R174" s="2">
        <f t="shared" si="10"/>
        <v>1</v>
      </c>
      <c r="S174" s="2">
        <v>346</v>
      </c>
      <c r="T174" s="2">
        <v>347</v>
      </c>
      <c r="U174" s="2" t="str">
        <f t="shared" si="11"/>
        <v>双向评分平局</v>
      </c>
    </row>
    <row r="175" ht="23" customHeight="1" spans="1:21">
      <c r="A175" s="6" t="s">
        <v>445</v>
      </c>
      <c r="B175" s="2" t="s">
        <v>37</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106</v>
      </c>
      <c r="R175" s="2">
        <f t="shared" si="10"/>
        <v>1</v>
      </c>
      <c r="S175" s="2">
        <v>348</v>
      </c>
      <c r="T175" s="2">
        <v>349</v>
      </c>
      <c r="U175" s="2" t="str">
        <f t="shared" si="11"/>
        <v>双向评分平局</v>
      </c>
    </row>
    <row r="176" ht="23" customHeight="1" spans="1:21">
      <c r="A176" s="6" t="s">
        <v>445</v>
      </c>
      <c r="B176" s="2" t="s">
        <v>37</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106</v>
      </c>
      <c r="R176" s="2">
        <f t="shared" si="10"/>
        <v>1</v>
      </c>
      <c r="S176" s="2">
        <v>350</v>
      </c>
      <c r="T176" s="2">
        <v>351</v>
      </c>
      <c r="U176" s="2" t="str">
        <f t="shared" si="11"/>
        <v>双向评分平局</v>
      </c>
    </row>
    <row r="177" ht="23" customHeight="1" spans="1:21">
      <c r="A177" s="6" t="s">
        <v>445</v>
      </c>
      <c r="B177" s="2" t="s">
        <v>50</v>
      </c>
      <c r="C177" s="2">
        <v>1</v>
      </c>
      <c r="D177" s="6" t="s">
        <v>497</v>
      </c>
      <c r="E177" s="2" t="str">
        <f>five子指标方向明细!F352</f>
        <v>B</v>
      </c>
      <c r="F177" s="2">
        <f>five子指标方向明细!G352</f>
        <v>3</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105</v>
      </c>
      <c r="R177" s="2">
        <f t="shared" si="10"/>
        <v>1</v>
      </c>
      <c r="S177" s="2">
        <v>352</v>
      </c>
      <c r="T177" s="2">
        <v>353</v>
      </c>
      <c r="U177" s="2" t="str">
        <f t="shared" si="11"/>
        <v/>
      </c>
    </row>
    <row r="178" ht="23" customHeight="1" spans="1:21">
      <c r="A178" s="6" t="s">
        <v>445</v>
      </c>
      <c r="B178" s="2" t="s">
        <v>50</v>
      </c>
      <c r="C178" s="2">
        <v>2</v>
      </c>
      <c r="D178" s="6" t="s">
        <v>498</v>
      </c>
      <c r="E178" s="2" t="str">
        <f>five子指标方向明细!F354</f>
        <v>B</v>
      </c>
      <c r="F178" s="2">
        <f>five子指标方向明细!G354</f>
        <v>3</v>
      </c>
      <c r="G178" s="2" t="str">
        <f>five子指标方向明细!H354</f>
        <v>C</v>
      </c>
      <c r="H178" s="2">
        <f>five子指标方向明细!I354</f>
        <v>3</v>
      </c>
      <c r="I178" s="2" t="str">
        <f>five子指标方向明细!L354</f>
        <v>D(平局)</v>
      </c>
      <c r="J178" s="2" t="str">
        <f>five子指标方向明细!F355</f>
        <v>C</v>
      </c>
      <c r="K178" s="2">
        <f>five子指标方向明细!G355</f>
        <v>3</v>
      </c>
      <c r="L178" s="2" t="str">
        <f>five子指标方向明细!H355</f>
        <v>B</v>
      </c>
      <c r="M178" s="2">
        <f>five子指标方向明细!I355</f>
        <v>3</v>
      </c>
      <c r="N178" s="2" t="str">
        <f>five子指标方向明细!L355</f>
        <v>D(平局)</v>
      </c>
      <c r="O178" s="2">
        <f t="shared" si="8"/>
        <v>1</v>
      </c>
      <c r="P178" s="2" t="str">
        <f t="shared" si="9"/>
        <v>D(平局)</v>
      </c>
      <c r="Q178" s="2" t="s">
        <v>105</v>
      </c>
      <c r="R178" s="2">
        <f t="shared" si="10"/>
        <v>0</v>
      </c>
      <c r="S178" s="2">
        <v>354</v>
      </c>
      <c r="T178" s="2">
        <v>355</v>
      </c>
      <c r="U178" s="2" t="str">
        <f t="shared" si="11"/>
        <v>双向评分平局</v>
      </c>
    </row>
    <row r="179" ht="23" customHeight="1" spans="1:21">
      <c r="A179" s="6" t="s">
        <v>445</v>
      </c>
      <c r="B179" s="2" t="s">
        <v>50</v>
      </c>
      <c r="C179" s="2">
        <v>3</v>
      </c>
      <c r="D179" s="6" t="s">
        <v>499</v>
      </c>
      <c r="E179" s="2" t="str">
        <f>five子指标方向明细!F356</f>
        <v>B</v>
      </c>
      <c r="F179" s="2">
        <f>five子指标方向明细!G356</f>
        <v>3</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3</v>
      </c>
      <c r="N179" s="2" t="str">
        <f>five子指标方向明细!L357</f>
        <v>C</v>
      </c>
      <c r="O179" s="2">
        <f t="shared" si="8"/>
        <v>1</v>
      </c>
      <c r="P179" s="2" t="str">
        <f t="shared" si="9"/>
        <v>C</v>
      </c>
      <c r="Q179" s="2" t="s">
        <v>105</v>
      </c>
      <c r="R179" s="2">
        <f t="shared" si="10"/>
        <v>1</v>
      </c>
      <c r="S179" s="2">
        <v>356</v>
      </c>
      <c r="T179" s="2">
        <v>357</v>
      </c>
      <c r="U179" s="2" t="str">
        <f t="shared" si="11"/>
        <v/>
      </c>
    </row>
    <row r="180" ht="23" customHeight="1" spans="1:21">
      <c r="A180" s="6" t="s">
        <v>445</v>
      </c>
      <c r="B180" s="2" t="s">
        <v>50</v>
      </c>
      <c r="C180" s="2">
        <v>4</v>
      </c>
      <c r="D180" s="6" t="s">
        <v>500</v>
      </c>
      <c r="E180" s="2" t="str">
        <f>five子指标方向明细!F358</f>
        <v>B</v>
      </c>
      <c r="F180" s="2">
        <f>five子指标方向明细!G358</f>
        <v>3</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105</v>
      </c>
      <c r="R180" s="2">
        <f t="shared" si="10"/>
        <v>1</v>
      </c>
      <c r="S180" s="2">
        <v>358</v>
      </c>
      <c r="T180" s="2">
        <v>359</v>
      </c>
      <c r="U180" s="2" t="str">
        <f t="shared" si="11"/>
        <v/>
      </c>
    </row>
    <row r="181" ht="23" customHeight="1" spans="1:21">
      <c r="A181" s="6" t="s">
        <v>445</v>
      </c>
      <c r="B181" s="2" t="s">
        <v>50</v>
      </c>
      <c r="C181" s="2">
        <v>5</v>
      </c>
      <c r="D181" s="6" t="s">
        <v>501</v>
      </c>
      <c r="E181" s="2" t="str">
        <f>five子指标方向明细!F360</f>
        <v>B</v>
      </c>
      <c r="F181" s="2">
        <f>five子指标方向明细!G360</f>
        <v>3</v>
      </c>
      <c r="G181" s="2" t="str">
        <f>five子指标方向明细!H360</f>
        <v>C</v>
      </c>
      <c r="H181" s="2">
        <f>five子指标方向明细!I360</f>
        <v>5</v>
      </c>
      <c r="I181" s="2" t="str">
        <f>five子指标方向明细!L360</f>
        <v>C</v>
      </c>
      <c r="J181" s="2" t="str">
        <f>five子指标方向明细!F361</f>
        <v>C</v>
      </c>
      <c r="K181" s="2">
        <f>five子指标方向明细!G361</f>
        <v>4</v>
      </c>
      <c r="L181" s="2" t="str">
        <f>five子指标方向明细!H361</f>
        <v>B</v>
      </c>
      <c r="M181" s="2">
        <f>five子指标方向明细!I361</f>
        <v>2</v>
      </c>
      <c r="N181" s="2" t="str">
        <f>five子指标方向明细!L361</f>
        <v>C</v>
      </c>
      <c r="O181" s="2">
        <f t="shared" si="8"/>
        <v>1</v>
      </c>
      <c r="P181" s="2" t="str">
        <f t="shared" si="9"/>
        <v>C</v>
      </c>
      <c r="Q181" s="2" t="s">
        <v>105</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
  <sheetViews>
    <sheetView showGridLines="0" tabSelected="1" topLeftCell="E2" workbookViewId="0">
      <selection activeCell="H7" sqref="H7:H11"/>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33</v>
      </c>
      <c r="E7" s="7">
        <f>D7/C7</f>
        <v>0.916666666666667</v>
      </c>
      <c r="F7" s="2">
        <f>COUNTIFS(five子指标合并明细!$C$2:$C$181,A7,five子指标合并明细!$P$2:$P$181,"&lt;&gt;")</f>
        <v>36</v>
      </c>
      <c r="G7" s="2">
        <f>SUMIF(five子指标合并明细!$C$2:$C$181,A7,five子指标合并明细!$R$2:$R$181)</f>
        <v>17</v>
      </c>
      <c r="H7" s="7">
        <f>G7/F7</f>
        <v>0.472222222222222</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0.219135802469136</v>
      </c>
      <c r="J7" s="10">
        <f>(H7-I7)/(1-I7)</f>
        <v>0.324110671936759</v>
      </c>
      <c r="K7" s="2">
        <f>COUNTIFS(five子指标合并明细!$C$2:$C$181,A7,five子指标合并明细!$P$2:$P$181,"A")</f>
        <v>7</v>
      </c>
      <c r="L7" s="2">
        <f>COUNTIFS(five子指标合并明细!$C$2:$C$181,A7,five子指标合并明细!$P$2:$P$181,"B")</f>
        <v>7</v>
      </c>
      <c r="M7" s="2">
        <f>COUNTIFS(five子指标合并明细!$C$2:$C$181,A7,five子指标合并明细!$P$2:$P$181,"C")</f>
        <v>2</v>
      </c>
      <c r="N7" s="2">
        <f>COUNTIFS(five子指标合并明细!$C$2:$C$181,A7,five子指标合并明细!$P$2:$P$181,"D(平局)")</f>
        <v>20</v>
      </c>
      <c r="O7" s="7">
        <f>N7/F7</f>
        <v>0.555555555555556</v>
      </c>
      <c r="P7" s="2">
        <f>COUNTIFS(five子指标合并明细!$C$2:$C$181,A7,five子指标合并明细!$U$2:$U$181,"双向评分平局")</f>
        <v>17</v>
      </c>
      <c r="Q7" s="2">
        <f>COUNTIFS(five子指标合并明细!$C$2:$C$181,A7,five子指标合并明细!$U$2:$U$181,"方向冲突")</f>
        <v>3</v>
      </c>
    </row>
    <row r="8" ht="34" customHeight="1" spans="1:17">
      <c r="A8" s="2">
        <v>2</v>
      </c>
      <c r="B8" s="6" t="s">
        <v>498</v>
      </c>
      <c r="C8" s="2">
        <f>COUNTIF(five子指标合并明细!$C$2:$C$181,A8)</f>
        <v>36</v>
      </c>
      <c r="D8" s="2">
        <f>SUMIF(five子指标合并明细!$C$2:$C$181,A8,five子指标合并明细!$O$2:$O$181)</f>
        <v>34</v>
      </c>
      <c r="E8" s="7">
        <f>D8/C8</f>
        <v>0.944444444444444</v>
      </c>
      <c r="F8" s="2">
        <f>COUNTIFS(five子指标合并明细!$C$2:$C$181,A8,five子指标合并明细!$P$2:$P$181,"&lt;&gt;")</f>
        <v>36</v>
      </c>
      <c r="G8" s="2">
        <f>SUMIF(five子指标合并明细!$C$2:$C$181,A8,five子指标合并明细!$R$2:$R$181)</f>
        <v>31</v>
      </c>
      <c r="H8" s="7">
        <f>G8/F8</f>
        <v>0.861111111111111</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0.33641975308642</v>
      </c>
      <c r="J8" s="10">
        <f>(H8-I8)/(1-I8)</f>
        <v>0.790697674418605</v>
      </c>
      <c r="K8" s="2">
        <f>COUNTIFS(five子指标合并明细!$C$2:$C$181,A8,five子指标合并明细!$P$2:$P$181,"A")</f>
        <v>16</v>
      </c>
      <c r="L8" s="2">
        <f>COUNTIFS(five子指标合并明细!$C$2:$C$181,A8,five子指标合并明细!$P$2:$P$181,"B")</f>
        <v>12</v>
      </c>
      <c r="M8" s="2">
        <f>COUNTIFS(five子指标合并明细!$C$2:$C$181,A8,five子指标合并明细!$P$2:$P$181,"C")</f>
        <v>3</v>
      </c>
      <c r="N8" s="2">
        <f>COUNTIFS(five子指标合并明细!$C$2:$C$181,A8,five子指标合并明细!$P$2:$P$181,"D(平局)")</f>
        <v>5</v>
      </c>
      <c r="O8" s="7">
        <f>N8/F8</f>
        <v>0.138888888888889</v>
      </c>
      <c r="P8" s="2">
        <f>COUNTIFS(five子指标合并明细!$C$2:$C$181,A8,five子指标合并明细!$U$2:$U$181,"双向评分平局")</f>
        <v>3</v>
      </c>
      <c r="Q8" s="2">
        <f>COUNTIFS(five子指标合并明细!$C$2:$C$181,A8,five子指标合并明细!$U$2:$U$181,"方向冲突")</f>
        <v>2</v>
      </c>
    </row>
    <row r="9" ht="34" customHeight="1" spans="1:17">
      <c r="A9" s="2">
        <v>3</v>
      </c>
      <c r="B9" s="6" t="s">
        <v>499</v>
      </c>
      <c r="C9" s="2">
        <f>COUNTIF(five子指标合并明细!$C$2:$C$181,A9)</f>
        <v>36</v>
      </c>
      <c r="D9" s="2">
        <f>SUMIF(five子指标合并明细!$C$2:$C$181,A9,five子指标合并明细!$O$2:$O$181)</f>
        <v>30</v>
      </c>
      <c r="E9" s="7">
        <f>D9/C9</f>
        <v>0.833333333333333</v>
      </c>
      <c r="F9" s="2">
        <f>COUNTIFS(five子指标合并明细!$C$2:$C$181,A9,five子指标合并明细!$P$2:$P$181,"&lt;&gt;")</f>
        <v>36</v>
      </c>
      <c r="G9" s="2">
        <f>SUMIF(five子指标合并明细!$C$2:$C$181,A9,five子指标合并明细!$R$2:$R$181)</f>
        <v>20</v>
      </c>
      <c r="H9" s="7">
        <f>G9/F9</f>
        <v>0.555555555555556</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0.224537037037037</v>
      </c>
      <c r="J9" s="10">
        <f>(H9-I9)/(1-I9)</f>
        <v>0.426865671641791</v>
      </c>
      <c r="K9" s="2">
        <f>COUNTIFS(five子指标合并明细!$C$2:$C$181,A9,five子指标合并明细!$P$2:$P$181,"A")</f>
        <v>7</v>
      </c>
      <c r="L9" s="2">
        <f>COUNTIFS(five子指标合并明细!$C$2:$C$181,A9,five子指标合并明细!$P$2:$P$181,"B")</f>
        <v>8</v>
      </c>
      <c r="M9" s="2">
        <f>COUNTIFS(five子指标合并明细!$C$2:$C$181,A9,five子指标合并明细!$P$2:$P$181,"C")</f>
        <v>2</v>
      </c>
      <c r="N9" s="2">
        <f>COUNTIFS(five子指标合并明细!$C$2:$C$181,A9,five子指标合并明细!$P$2:$P$181,"D(平局)")</f>
        <v>19</v>
      </c>
      <c r="O9" s="7">
        <f>N9/F9</f>
        <v>0.527777777777778</v>
      </c>
      <c r="P9" s="2">
        <f>COUNTIFS(five子指标合并明细!$C$2:$C$181,A9,five子指标合并明细!$U$2:$U$181,"双向评分平局")</f>
        <v>13</v>
      </c>
      <c r="Q9" s="2">
        <f>COUNTIFS(five子指标合并明细!$C$2:$C$181,A9,five子指标合并明细!$U$2:$U$181,"方向冲突")</f>
        <v>6</v>
      </c>
    </row>
    <row r="10" ht="34" customHeight="1" spans="1:17">
      <c r="A10" s="2">
        <v>4</v>
      </c>
      <c r="B10" s="6" t="s">
        <v>500</v>
      </c>
      <c r="C10" s="2">
        <f>COUNTIF(five子指标合并明细!$C$2:$C$181,A10)</f>
        <v>36</v>
      </c>
      <c r="D10" s="2">
        <f>SUMIF(five子指标合并明细!$C$2:$C$181,A10,five子指标合并明细!$O$2:$O$181)</f>
        <v>30</v>
      </c>
      <c r="E10" s="7">
        <f>D10/C10</f>
        <v>0.833333333333333</v>
      </c>
      <c r="F10" s="2">
        <f>COUNTIFS(five子指标合并明细!$C$2:$C$181,A10,five子指标合并明细!$P$2:$P$181,"&lt;&gt;")</f>
        <v>36</v>
      </c>
      <c r="G10" s="2">
        <f>SUMIF(five子指标合并明细!$C$2:$C$181,A10,five子指标合并明细!$R$2:$R$181)</f>
        <v>16</v>
      </c>
      <c r="H10" s="7">
        <f>G10/F10</f>
        <v>0.444444444444444</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0.198302469135802</v>
      </c>
      <c r="J10" s="10">
        <f>(H10-I10)/(1-I10)</f>
        <v>0.307025986525505</v>
      </c>
      <c r="K10" s="2">
        <f>COUNTIFS(five子指标合并明细!$C$2:$C$181,A10,five子指标合并明细!$P$2:$P$181,"A")</f>
        <v>6</v>
      </c>
      <c r="L10" s="2">
        <f>COUNTIFS(five子指标合并明细!$C$2:$C$181,A10,five子指标合并明细!$P$2:$P$181,"B")</f>
        <v>5</v>
      </c>
      <c r="M10" s="2">
        <f>COUNTIFS(five子指标合并明细!$C$2:$C$181,A10,five子指标合并明细!$P$2:$P$181,"C")</f>
        <v>1</v>
      </c>
      <c r="N10" s="2">
        <f>COUNTIFS(five子指标合并明细!$C$2:$C$181,A10,five子指标合并明细!$P$2:$P$181,"D(平局)")</f>
        <v>24</v>
      </c>
      <c r="O10" s="7">
        <f>N10/F10</f>
        <v>0.666666666666667</v>
      </c>
      <c r="P10" s="2">
        <f>COUNTIFS(five子指标合并明细!$C$2:$C$181,A10,five子指标合并明细!$U$2:$U$181,"双向评分平局")</f>
        <v>18</v>
      </c>
      <c r="Q10" s="2">
        <f>COUNTIFS(five子指标合并明细!$C$2:$C$181,A10,five子指标合并明细!$U$2:$U$181,"方向冲突")</f>
        <v>6</v>
      </c>
    </row>
    <row r="11" ht="34" customHeight="1" spans="1:17">
      <c r="A11" s="2">
        <v>5</v>
      </c>
      <c r="B11" s="6" t="s">
        <v>501</v>
      </c>
      <c r="C11" s="2">
        <f>COUNTIF(five子指标合并明细!$C$2:$C$181,A11)</f>
        <v>36</v>
      </c>
      <c r="D11" s="2">
        <f>SUMIF(five子指标合并明细!$C$2:$C$181,A11,five子指标合并明细!$O$2:$O$181)</f>
        <v>31</v>
      </c>
      <c r="E11" s="7">
        <f>D11/C11</f>
        <v>0.861111111111111</v>
      </c>
      <c r="F11" s="2">
        <f>COUNTIFS(five子指标合并明细!$C$2:$C$181,A11,five子指标合并明细!$P$2:$P$181,"&lt;&gt;")</f>
        <v>36</v>
      </c>
      <c r="G11" s="2">
        <f>SUMIF(five子指标合并明细!$C$2:$C$181,A11,five子指标合并明细!$R$2:$R$181)</f>
        <v>18</v>
      </c>
      <c r="H11" s="7">
        <f>G11/F11</f>
        <v>0.5</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0.208333333333333</v>
      </c>
      <c r="J11" s="10">
        <f>(H11-I11)/(1-I11)</f>
        <v>0.368421052631579</v>
      </c>
      <c r="K11" s="2">
        <f>COUNTIFS(five子指标合并明细!$C$2:$C$181,A11,five子指标合并明细!$P$2:$P$181,"A")</f>
        <v>7</v>
      </c>
      <c r="L11" s="2">
        <f>COUNTIFS(five子指标合并明细!$C$2:$C$181,A11,five子指标合并明细!$P$2:$P$181,"B")</f>
        <v>5</v>
      </c>
      <c r="M11" s="2">
        <f>COUNTIFS(five子指标合并明细!$C$2:$C$181,A11,five子指标合并明细!$P$2:$P$181,"C")</f>
        <v>2</v>
      </c>
      <c r="N11" s="2">
        <f>COUNTIFS(five子指标合并明细!$C$2:$C$181,A11,five子指标合并明细!$P$2:$P$181,"D(平局)")</f>
        <v>22</v>
      </c>
      <c r="O11" s="7">
        <f>N11/F11</f>
        <v>0.611111111111111</v>
      </c>
      <c r="P11" s="2">
        <f>COUNTIFS(five子指标合并明细!$C$2:$C$181,A11,five子指标合并明细!$U$2:$U$181,"双向评分平局")</f>
        <v>17</v>
      </c>
      <c r="Q11" s="2">
        <f>COUNTIFS(five子指标合并明细!$C$2:$C$181,A11,five子指标合并明细!$U$2:$U$181,"方向冲突")</f>
        <v>5</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69</v>
      </c>
      <c r="C19" s="9">
        <f>B19/B15</f>
        <v>0.958333333333333</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101</v>
      </c>
      <c r="B24" s="2" t="s">
        <v>15</v>
      </c>
      <c r="C24" s="2" t="s">
        <v>23</v>
      </c>
      <c r="D24" s="2">
        <v>24</v>
      </c>
      <c r="E24" s="2">
        <v>23</v>
      </c>
      <c r="F24" s="2" t="s">
        <v>22</v>
      </c>
      <c r="G24" s="2" t="s">
        <v>105</v>
      </c>
      <c r="H24" s="2">
        <v>41</v>
      </c>
      <c r="I24" s="2"/>
      <c r="J24" s="2"/>
      <c r="K24" s="2"/>
      <c r="L24" s="2"/>
      <c r="M24" s="2"/>
      <c r="N24" s="2"/>
      <c r="O24" s="2"/>
      <c r="P24" s="2"/>
      <c r="Q24" s="2"/>
    </row>
    <row r="25" spans="1:17">
      <c r="A25" s="2" t="s">
        <v>255</v>
      </c>
      <c r="B25" s="2" t="s">
        <v>50</v>
      </c>
      <c r="C25" s="2" t="s">
        <v>17</v>
      </c>
      <c r="D25" s="2">
        <v>23</v>
      </c>
      <c r="E25" s="2">
        <v>23</v>
      </c>
      <c r="F25" s="2" t="s">
        <v>105</v>
      </c>
      <c r="G25" s="2" t="s">
        <v>26</v>
      </c>
      <c r="H25" s="2">
        <v>124</v>
      </c>
      <c r="I25" s="2"/>
      <c r="J25" s="2"/>
      <c r="K25" s="2"/>
      <c r="L25" s="2"/>
      <c r="M25" s="2"/>
      <c r="N25" s="2"/>
      <c r="O25" s="2"/>
      <c r="P25" s="2"/>
      <c r="Q25" s="2"/>
    </row>
    <row r="26" spans="1:17">
      <c r="A26" s="2" t="s">
        <v>255</v>
      </c>
      <c r="B26" s="2" t="s">
        <v>50</v>
      </c>
      <c r="C26" s="2" t="s">
        <v>23</v>
      </c>
      <c r="D26" s="2">
        <v>23</v>
      </c>
      <c r="E26" s="2">
        <v>23</v>
      </c>
      <c r="F26" s="2" t="s">
        <v>105</v>
      </c>
      <c r="G26" s="2" t="s">
        <v>22</v>
      </c>
      <c r="H26" s="2">
        <v>125</v>
      </c>
      <c r="I26" s="2"/>
      <c r="J26" s="2"/>
      <c r="K26" s="2"/>
      <c r="L26" s="2"/>
      <c r="M26" s="2"/>
      <c r="N26" s="2"/>
      <c r="O26" s="2"/>
      <c r="P26" s="2"/>
      <c r="Q26"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2026-08-17T11:47:52Z</dcterms:created>
  <dcterms:modified xsi:type="dcterms:W3CDTF">2026-08-17T11:51:10Z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A1C500E89F0A4921A858E5D7AE9CE12B_12</vt:lpwstr>
  </property>
  <property fmtid="{D5CDD505-2E9C-101B-9397-08002B2CF9AE}" pid="3" name="KSOProductBuildVer">
    <vt:lpwstr>2052-12.1.0.20305</vt:lpwstr>
  </property>
</Properties>
</file>