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d026912db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f47785fdabbe4b45"/>
    <x:sheet xmlns:r="http://schemas.openxmlformats.org/officeDocument/2006/relationships" name="计算明细" sheetId="2" r:id="Re830a28ebb2e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4d4e4855046db" /><Relationship Type="http://schemas.openxmlformats.org/officeDocument/2006/relationships/theme" Target="/xl/theme/theme1.xml" Id="R587deff9af1c4757" /><Relationship Type="http://schemas.openxmlformats.org/officeDocument/2006/relationships/sharedStrings" Target="/xl/sharedStrings.xml" Id="R0f6e4665d5ae4ce3" /><Relationship Type="http://schemas.openxmlformats.org/officeDocument/2006/relationships/worksheet" Target="/xl/worksheets/sheet1.xml" Id="Rf47785fdabbe4b45" /><Relationship Type="http://schemas.openxmlformats.org/officeDocument/2006/relationships/worksheet" Target="/xl/worksheets/sheet2.xml" Id="Re830a28ebb2e46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GPT-5.5 · Codex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GPT-5.5</x:v>
      </x:c>
      <x:c r="B4" s="81" t="str">
        <x:v>Codex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31</x:v>
      </x:c>
      <x:c r="G4" s="82" t="n">
        <x:f>F4/E4</x:f>
        <x:v>0.8611111111111112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0.3611111111111111</x:v>
      </x:c>
      <x:c r="I4" s="83" t="n">
        <x:f>(G4-H4)/(1-H4)</x:f>
        <x:v>0.782608695652174</x:v>
      </x:c>
      <x:c r="J4" s="82" t="str">
        <x:v>—</x:v>
      </x:c>
      <x:c r="K4" s="84" t="str">
        <x:v>—</x:v>
      </x:c>
    </x:row>
    <x:row r="5">
      <x:c r="A5" s="85" t="str">
        <x:v>GPT-5.5</x:v>
      </x:c>
      <x:c r="B5" s="86" t="str">
        <x:v>Codex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32</x:v>
      </x:c>
      <x:c r="G5" s="87" t="n">
        <x:f>F5/E5</x:f>
        <x:v>0.8888888888888888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0.3618827160493827</x:v>
      </x:c>
      <x:c r="I5" s="88" t="n">
        <x:f>(G5-H5)/(1-H5)</x:f>
        <x:v>0.8258766626360338</x:v>
      </x:c>
      <x:c r="J5" s="87" t="str">
        <x:v>—</x:v>
      </x:c>
      <x:c r="K5" s="89" t="str">
        <x:v>—</x:v>
      </x:c>
    </x:row>
    <x:row r="6">
      <x:c r="A6" s="85" t="str">
        <x:v>GPT-5.5</x:v>
      </x:c>
      <x:c r="B6" s="86" t="str">
        <x:v>Codex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63</x:v>
      </x:c>
      <x:c r="G6" s="87" t="n">
        <x:f>F6/E6</x:f>
        <x:v>0.875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0.36149691358024694</x:v>
      </x:c>
      <x:c r="I6" s="88" t="n">
        <x:f>(G6-H6)/(1-H6)</x:f>
        <x:v>0.8042296072507553</x:v>
      </x:c>
      <x:c r="J6" s="87" t="str">
        <x:v>—</x:v>
      </x:c>
      <x:c r="K6" s="89" t="str">
        <x:v>—</x:v>
      </x:c>
    </x:row>
    <x:row r="7">
      <x:c r="A7" s="90" t="str">
        <x:v>GPT-5.5</x:v>
      </x:c>
      <x:c r="B7" s="91" t="str">
        <x:v>Codex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30</x:v>
      </x:c>
      <x:c r="G7" s="92" t="n">
        <x:f>F7/E7</x:f>
        <x:v>0.8333333333333334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0.35108024691358025</x:v>
      </x:c>
      <x:c r="I7" s="93" t="n">
        <x:f>(G7-H7)/(1-H7)</x:f>
        <x:v>0.7431629013079668</x:v>
      </x:c>
      <x:c r="J7" s="92" t="n">
        <x:f>AVERAGE('计算明细'!S2:S37)</x:f>
        <x:v>0.9166666666666666</x:v>
      </x:c>
      <x:c r="K7" s="94" t="n">
        <x:f>AVERAGE('计算明细'!T2:T37)</x:f>
        <x:v>0.1111111111111111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GPT-5.5 · Codex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GPT-5.5</x:v>
      </x:c>
      <x:c r="B13" s="81" t="str">
        <x:v>Codex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31</x:v>
      </x:c>
      <x:c r="G13" s="82" t="n">
        <x:f>F13/E13</x:f>
        <x:v>0.8611111111111112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0.3611111111111111</x:v>
      </x:c>
      <x:c r="I13" s="96" t="n">
        <x:f>(G13-H13)/(1-H13)</x:f>
        <x:v>0.782608695652174</x:v>
      </x:c>
      <x:c r="J13" s="76"/>
      <x:c r="K13" s="76"/>
    </x:row>
    <x:row r="14">
      <x:c r="A14" s="85" t="str">
        <x:v>GPT-5.5</x:v>
      </x:c>
      <x:c r="B14" s="86" t="str">
        <x:v>Codex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31</x:v>
      </x:c>
      <x:c r="G14" s="87" t="n">
        <x:f>F14/E14</x:f>
        <x:v>0.8611111111111112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0.3611111111111111</x:v>
      </x:c>
      <x:c r="I14" s="97" t="n">
        <x:f>(G14-H14)/(1-H14)</x:f>
        <x:v>0.782608695652174</x:v>
      </x:c>
      <x:c r="J14" s="76"/>
      <x:c r="K14" s="76"/>
    </x:row>
    <x:row r="15">
      <x:c r="A15" s="85" t="str">
        <x:v>GPT-5.5</x:v>
      </x:c>
      <x:c r="B15" s="86" t="str">
        <x:v>Codex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32</x:v>
      </x:c>
      <x:c r="G15" s="87" t="n">
        <x:f>F15/E15</x:f>
        <x:v>0.8888888888888888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0.35648148148148145</x:v>
      </x:c>
      <x:c r="I15" s="97" t="n">
        <x:f>(G15-H15)/(1-H15)</x:f>
        <x:v>0.8273381294964028</x:v>
      </x:c>
      <x:c r="J15" s="76"/>
      <x:c r="K15" s="76"/>
    </x:row>
    <x:row r="16">
      <x:c r="A16" s="85" t="str">
        <x:v>GPT-5.5</x:v>
      </x:c>
      <x:c r="B16" s="86" t="str">
        <x:v>Codex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32</x:v>
      </x:c>
      <x:c r="G16" s="87" t="n">
        <x:f>F16/E16</x:f>
        <x:v>0.8888888888888888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0.36651234567901236</x:v>
      </x:c>
      <x:c r="I16" s="97" t="n">
        <x:f>(G16-H16)/(1-H16)</x:f>
        <x:v>0.8246041412911084</x:v>
      </x:c>
      <x:c r="J16" s="76"/>
      <x:c r="K16" s="76"/>
    </x:row>
    <x:row r="17">
      <x:c r="A17" s="85" t="str">
        <x:v>GPT-5.5</x:v>
      </x:c>
      <x:c r="B17" s="86" t="str">
        <x:v>Codex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31</x:v>
      </x:c>
      <x:c r="G17" s="87" t="n">
        <x:f>F17/E17</x:f>
        <x:v>0.8611111111111112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0.35648148148148145</x:v>
      </x:c>
      <x:c r="I17" s="97" t="n">
        <x:f>(G17-H17)/(1-H17)</x:f>
        <x:v>0.7841726618705037</x:v>
      </x:c>
      <x:c r="J17" s="76"/>
      <x:c r="K17" s="76"/>
    </x:row>
    <x:row r="18">
      <x:c r="A18" s="85" t="str">
        <x:v>GPT-5.5</x:v>
      </x:c>
      <x:c r="B18" s="86" t="str">
        <x:v>Codex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28</x:v>
      </x:c>
      <x:c r="G18" s="87" t="n">
        <x:f>F18/E18</x:f>
        <x:v>0.7777777777777778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0.3425925925925926</x:v>
      </x:c>
      <x:c r="I18" s="97" t="n">
        <x:f>(G18-H18)/(1-H18)</x:f>
        <x:v>0.6619718309859155</x:v>
      </x:c>
      <x:c r="J18" s="76"/>
      <x:c r="K18" s="76"/>
    </x:row>
    <x:row r="19">
      <x:c r="A19" s="85" t="str">
        <x:v>GPT-5.5</x:v>
      </x:c>
      <x:c r="B19" s="86" t="str">
        <x:v>Codex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63</x:v>
      </x:c>
      <x:c r="G19" s="87" t="n">
        <x:f>F19/E19</x:f>
        <x:v>0.875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0.3638117283950617</x:v>
      </x:c>
      <x:c r="I19" s="97" t="n">
        <x:f>(G19-H19)/(1-H19)</x:f>
        <x:v>0.8035172832019406</x:v>
      </x:c>
      <x:c r="J19" s="76"/>
      <x:c r="K19" s="76"/>
    </x:row>
    <x:row r="20">
      <x:c r="A20" s="85" t="str">
        <x:v>GPT-5.5</x:v>
      </x:c>
      <x:c r="B20" s="86" t="str">
        <x:v>Codex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62</x:v>
      </x:c>
      <x:c r="G20" s="87" t="n">
        <x:f>F20/E20</x:f>
        <x:v>0.8611111111111112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0.3587962962962963</x:v>
      </x:c>
      <x:c r="I20" s="97" t="n">
        <x:f>(G20-H20)/(1-H20)</x:f>
        <x:v>0.7833935018050542</x:v>
      </x:c>
      <x:c r="J20" s="76"/>
      <x:c r="K20" s="76"/>
    </x:row>
    <x:row r="21">
      <x:c r="A21" s="85" t="str">
        <x:v>GPT-5.5</x:v>
      </x:c>
      <x:c r="B21" s="86" t="str">
        <x:v>Codex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60</x:v>
      </x:c>
      <x:c r="G21" s="87" t="n">
        <x:f>F21/E21</x:f>
        <x:v>0.8333333333333334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0.34953703703703703</x:v>
      </x:c>
      <x:c r="I21" s="97" t="n">
        <x:f>(G21-H21)/(1-H21)</x:f>
        <x:v>0.7437722419928826</x:v>
      </x:c>
      <x:c r="J21" s="76"/>
      <x:c r="K21" s="76"/>
    </x:row>
    <x:row r="22">
      <x:c r="A22" s="85" t="str">
        <x:v>GPT-5.5</x:v>
      </x:c>
      <x:c r="B22" s="86" t="str">
        <x:v>Codex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31</x:v>
      </x:c>
      <x:c r="G22" s="87" t="n">
        <x:f>F22/E22</x:f>
        <x:v>0.8611111111111112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0.3611111111111111</x:v>
      </x:c>
      <x:c r="I22" s="97" t="n">
        <x:f>(G22-H22)/(1-H22)</x:f>
        <x:v>0.782608695652174</x:v>
      </x:c>
      <x:c r="J22" s="76"/>
      <x:c r="K22" s="76"/>
    </x:row>
    <x:row r="23">
      <x:c r="A23" s="85" t="str">
        <x:v>GPT-5.5</x:v>
      </x:c>
      <x:c r="B23" s="86" t="str">
        <x:v>Codex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30</x:v>
      </x:c>
      <x:c r="G23" s="87" t="n">
        <x:f>F23/E23</x:f>
        <x:v>0.8333333333333334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0.35108024691358025</x:v>
      </x:c>
      <x:c r="I23" s="97" t="n">
        <x:f>(G23-H23)/(1-H23)</x:f>
        <x:v>0.7431629013079668</x:v>
      </x:c>
      <x:c r="J23" s="76"/>
      <x:c r="K23" s="76"/>
    </x:row>
    <x:row r="24">
      <x:c r="A24" s="90" t="str">
        <x:v>GPT-5.5</x:v>
      </x:c>
      <x:c r="B24" s="91" t="str">
        <x:v>Codex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29</x:v>
      </x:c>
      <x:c r="G24" s="92" t="n">
        <x:f>F24/E24</x:f>
        <x:v>0.8055555555555556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0.3263888888888889</x:v>
      </x:c>
      <x:c r="I24" s="98" t="n">
        <x:f>(G24-H24)/(1-H24)</x:f>
        <x:v>0.711340206185567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A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A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1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1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A</x:v>
      </x:c>
      <x:c r="I5" s="11" t="str">
        <x:v>A</x:v>
      </x:c>
      <x:c r="J5" s="11" t="str">
        <x:v>A</x:v>
      </x:c>
      <x:c r="K5" s="11" t="str">
        <x:f>IF(COUNTIF(H5:J5,"A")&gt;=2,"A",IF(COUNTIF(H5:J5,"B")&gt;=2,"B",IF(COUNTIF(H5:J5,"C")&gt;=2,"C","D")))</x:f>
        <x:v>A</x:v>
      </x:c>
      <x:c r="L5" s="11" t="str">
        <x:f>IF(D5=H5,D5,"D")</x:f>
        <x:v>A</x:v>
      </x:c>
      <x:c r="M5" s="11" t="str">
        <x:f>IF(E5=I5,E5,"D")</x:f>
        <x:v>A</x:v>
      </x:c>
      <x:c r="N5" s="11" t="str">
        <x:f>IF(F5=J5,F5,"D")</x:f>
        <x:v>A</x:v>
      </x:c>
      <x:c r="O5" s="11" t="str">
        <x:f>IF(G5=K5,G5,"D")</x:f>
        <x:v>A</x:v>
      </x:c>
      <x:c r="P5" s="11" t="n">
        <x:f>--(G5=C5)</x:f>
        <x:v>1</x:v>
      </x:c>
      <x:c r="Q5" s="11" t="n">
        <x:f>--(K5=C5)</x:f>
        <x:v>1</x:v>
      </x:c>
      <x:c r="R5" s="11" t="n">
        <x:f>--(O5=C5)</x:f>
        <x:v>1</x:v>
      </x:c>
      <x:c r="S5" s="11" t="n">
        <x:f>--(G5=K5)</x:f>
        <x:v>1</x:v>
      </x:c>
      <x:c r="T5" s="11" t="n">
        <x:f>--(O5="D")</x:f>
        <x:v>0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1</x:v>
      </x:c>
      <x:c r="Y5" s="11" t="n">
        <x:f>--(I5=C5)</x:f>
        <x:v>1</x:v>
      </x:c>
      <x:c r="Z5" s="11" t="n">
        <x:f>--(J5=C5)</x:f>
        <x:v>1</x:v>
      </x:c>
      <x:c r="AA5" s="11" t="n">
        <x:f>--(L5=C5)</x:f>
        <x:v>1</x:v>
      </x:c>
      <x:c r="AB5" s="11" t="n">
        <x:f>--(M5=C5)</x:f>
        <x:v>1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A</x:v>
      </x:c>
      <x:c r="I8" s="11" t="str">
        <x:v>A</x:v>
      </x:c>
      <x:c r="J8" s="11" t="str">
        <x:v>A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A</x:v>
      </x:c>
      <x:c r="M8" s="11" t="str">
        <x:f>IF(E8=I8,E8,"D")</x:f>
        <x:v>A</x:v>
      </x:c>
      <x:c r="N8" s="11" t="str">
        <x:f>IF(F8=J8,F8,"D")</x:f>
        <x:v>A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0</x:v>
      </x:c>
      <x:c r="Y8" s="11" t="n">
        <x:f>--(I8=C8)</x:f>
        <x:v>0</x:v>
      </x:c>
      <x:c r="Z8" s="11" t="n">
        <x:f>--(J8=C8)</x:f>
        <x:v>0</x:v>
      </x:c>
      <x:c r="AA8" s="11" t="n">
        <x:f>--(L8=C8)</x:f>
        <x:v>0</x:v>
      </x:c>
      <x:c r="AB8" s="11" t="n">
        <x:f>--(M8=C8)</x:f>
        <x:v>0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D</x:v>
      </x:c>
      <x:c r="E11" s="11" t="str">
        <x:v>D</x:v>
      </x:c>
      <x:c r="F11" s="11" t="str">
        <x:v>D</x:v>
      </x:c>
      <x:c r="G11" s="11" t="str">
        <x:f>IF(COUNTIF(D11:F11,"A")&gt;=2,"A",IF(COUNTIF(D11:F11,"B")&gt;=2,"B",IF(COUNTIF(D11:F11,"C")&gt;=2,"C","D")))</x:f>
        <x:v>D</x:v>
      </x:c>
      <x:c r="H11" s="11" t="str">
        <x:v>D</x:v>
      </x:c>
      <x:c r="I11" s="11" t="str">
        <x:v>D</x:v>
      </x:c>
      <x:c r="J11" s="11" t="str">
        <x:v>B</x:v>
      </x:c>
      <x:c r="K11" s="11" t="str">
        <x:f>IF(COUNTIF(H11:J11,"A")&gt;=2,"A",IF(COUNTIF(H11:J11,"B")&gt;=2,"B",IF(COUNTIF(H11:J11,"C")&gt;=2,"C","D")))</x:f>
        <x:v>D</x:v>
      </x:c>
      <x:c r="L11" s="11" t="str">
        <x:f>IF(D11=H11,D11,"D")</x:f>
        <x:v>D</x:v>
      </x:c>
      <x:c r="M11" s="11" t="str">
        <x:f>IF(E11=I11,E11,"D")</x:f>
        <x:v>D</x:v>
      </x:c>
      <x:c r="N11" s="11" t="str">
        <x:f>IF(F11=J11,F11,"D")</x:f>
        <x:v>D</x:v>
      </x:c>
      <x:c r="O11" s="11" t="str">
        <x:f>IF(G11=K11,G11,"D")</x:f>
        <x:v>D</x:v>
      </x:c>
      <x:c r="P11" s="11" t="n">
        <x:f>--(G11=C11)</x:f>
        <x:v>1</x:v>
      </x:c>
      <x:c r="Q11" s="11" t="n">
        <x:f>--(K11=C11)</x:f>
        <x:v>1</x:v>
      </x:c>
      <x:c r="R11" s="11" t="n">
        <x:f>--(O11=C11)</x:f>
        <x:v>1</x:v>
      </x:c>
      <x:c r="S11" s="11" t="n">
        <x:f>--(G11=K11)</x:f>
        <x:v>1</x:v>
      </x:c>
      <x:c r="T11" s="11" t="n">
        <x:f>--(O11="D")</x:f>
        <x:v>1</x:v>
      </x:c>
      <x:c r="U11" s="11" t="n">
        <x:f>--(D11=C11)</x:f>
        <x:v>1</x:v>
      </x:c>
      <x:c r="V11" s="11" t="n">
        <x:f>--(E11=C11)</x:f>
        <x:v>1</x:v>
      </x:c>
      <x:c r="W11" s="11" t="n">
        <x:f>--(F11=C11)</x:f>
        <x:v>1</x:v>
      </x:c>
      <x:c r="X11" s="11" t="n">
        <x:f>--(H11=C11)</x:f>
        <x:v>1</x:v>
      </x:c>
      <x:c r="Y11" s="11" t="n">
        <x:f>--(I11=C11)</x:f>
        <x:v>1</x:v>
      </x:c>
      <x:c r="Z11" s="11" t="n">
        <x:f>--(J11=C11)</x:f>
        <x:v>0</x:v>
      </x:c>
      <x:c r="AA11" s="11" t="n">
        <x:f>--(L11=C11)</x:f>
        <x:v>1</x:v>
      </x:c>
      <x:c r="AB11" s="11" t="n">
        <x:f>--(M11=C11)</x:f>
        <x:v>1</x:v>
      </x:c>
      <x:c r="AC11" s="12" t="n">
        <x:f>--(N11=C11)</x:f>
        <x:v>1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A</x:v>
      </x:c>
      <x:c r="E12" s="11" t="str">
        <x:v>A</x:v>
      </x:c>
      <x:c r="F12" s="11" t="str">
        <x:v>A</x:v>
      </x:c>
      <x:c r="G12" s="11" t="str">
        <x:f>IF(COUNTIF(D12:F12,"A")&gt;=2,"A",IF(COUNTIF(D12:F12,"B")&gt;=2,"B",IF(COUNTIF(D12:F12,"C")&gt;=2,"C","D")))</x:f>
        <x:v>A</x:v>
      </x:c>
      <x:c r="H12" s="11" t="str">
        <x:v>A</x:v>
      </x:c>
      <x:c r="I12" s="11" t="str">
        <x:v>A</x:v>
      </x:c>
      <x:c r="J12" s="11" t="str">
        <x:v>C</x:v>
      </x:c>
      <x:c r="K12" s="11" t="str">
        <x:f>IF(COUNTIF(H12:J12,"A")&gt;=2,"A",IF(COUNTIF(H12:J12,"B")&gt;=2,"B",IF(COUNTIF(H12:J12,"C")&gt;=2,"C","D")))</x:f>
        <x:v>A</x:v>
      </x:c>
      <x:c r="L12" s="11" t="str">
        <x:f>IF(D12=H12,D12,"D")</x:f>
        <x:v>A</x:v>
      </x:c>
      <x:c r="M12" s="11" t="str">
        <x:f>IF(E12=I12,E12,"D")</x:f>
        <x:v>A</x:v>
      </x:c>
      <x:c r="N12" s="11" t="str">
        <x:f>IF(F12=J12,F12,"D")</x:f>
        <x:v>D</x:v>
      </x:c>
      <x:c r="O12" s="11" t="str">
        <x:f>IF(G12=K12,G12,"D")</x:f>
        <x:v>A</x:v>
      </x:c>
      <x:c r="P12" s="11" t="n">
        <x:f>--(G12=C12)</x:f>
        <x:v>1</x:v>
      </x:c>
      <x:c r="Q12" s="11" t="n">
        <x:f>--(K12=C12)</x:f>
        <x:v>1</x:v>
      </x:c>
      <x:c r="R12" s="11" t="n">
        <x:f>--(O12=C12)</x:f>
        <x:v>1</x:v>
      </x:c>
      <x:c r="S12" s="11" t="n">
        <x:f>--(G12=K12)</x:f>
        <x:v>1</x:v>
      </x:c>
      <x:c r="T12" s="11" t="n">
        <x:f>--(O12="D")</x:f>
        <x:v>0</x:v>
      </x:c>
      <x:c r="U12" s="11" t="n">
        <x:f>--(D12=C12)</x:f>
        <x:v>1</x:v>
      </x:c>
      <x:c r="V12" s="11" t="n">
        <x:f>--(E12=C12)</x:f>
        <x:v>1</x:v>
      </x:c>
      <x:c r="W12" s="11" t="n">
        <x:f>--(F12=C12)</x:f>
        <x:v>1</x:v>
      </x:c>
      <x:c r="X12" s="11" t="n">
        <x:f>--(H12=C12)</x:f>
        <x:v>1</x:v>
      </x:c>
      <x:c r="Y12" s="11" t="n">
        <x:f>--(I12=C12)</x:f>
        <x:v>1</x:v>
      </x:c>
      <x:c r="Z12" s="11" t="n">
        <x:f>--(J12=C12)</x:f>
        <x:v>0</x:v>
      </x:c>
      <x:c r="AA12" s="11" t="n">
        <x:f>--(L12=C12)</x:f>
        <x:v>1</x:v>
      </x:c>
      <x:c r="AB12" s="11" t="n">
        <x:f>--(M12=C12)</x:f>
        <x:v>1</x:v>
      </x:c>
      <x:c r="AC12" s="12" t="n">
        <x:f>--(N12=C12)</x:f>
        <x:v>0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B</x:v>
      </x:c>
      <x:c r="F13" s="11" t="str">
        <x:v>B</x:v>
      </x:c>
      <x:c r="G13" s="11" t="str">
        <x:f>IF(COUNTIF(D13:F13,"A")&gt;=2,"A",IF(COUNTIF(D13:F13,"B")&gt;=2,"B",IF(COUNTIF(D13:F13,"C")&gt;=2,"C","D")))</x:f>
        <x:v>B</x:v>
      </x:c>
      <x:c r="H13" s="11" t="str">
        <x:v>B</x:v>
      </x:c>
      <x:c r="I13" s="11" t="str">
        <x:v>B</x:v>
      </x:c>
      <x:c r="J13" s="11" t="str">
        <x:v>B</x:v>
      </x:c>
      <x:c r="K13" s="11" t="str">
        <x:f>IF(COUNTIF(H13:J13,"A")&gt;=2,"A",IF(COUNTIF(H13:J13,"B")&gt;=2,"B",IF(COUNTIF(H13:J13,"C")&gt;=2,"C","D")))</x:f>
        <x:v>B</x:v>
      </x:c>
      <x:c r="L13" s="11" t="str">
        <x:f>IF(D13=H13,D13,"D")</x:f>
        <x:v>B</x:v>
      </x:c>
      <x:c r="M13" s="11" t="str">
        <x:f>IF(E13=I13,E13,"D")</x:f>
        <x:v>B</x:v>
      </x:c>
      <x:c r="N13" s="11" t="str">
        <x:f>IF(F13=J13,F13,"D")</x:f>
        <x:v>B</x:v>
      </x:c>
      <x:c r="O13" s="11" t="str">
        <x:f>IF(G13=K13,G13,"D")</x:f>
        <x:v>B</x:v>
      </x:c>
      <x:c r="P13" s="11" t="n">
        <x:f>--(G13=C13)</x:f>
        <x:v>1</x:v>
      </x:c>
      <x:c r="Q13" s="11" t="n">
        <x:f>--(K13=C13)</x:f>
        <x:v>1</x:v>
      </x:c>
      <x:c r="R13" s="11" t="n">
        <x:f>--(O13=C13)</x:f>
        <x:v>1</x:v>
      </x:c>
      <x:c r="S13" s="11" t="n">
        <x:f>--(G13=K13)</x:f>
        <x:v>1</x:v>
      </x:c>
      <x:c r="T13" s="11" t="n">
        <x:f>--(O13="D")</x:f>
        <x:v>0</x:v>
      </x:c>
      <x:c r="U13" s="11" t="n">
        <x:f>--(D13=C13)</x:f>
        <x:v>1</x:v>
      </x:c>
      <x:c r="V13" s="11" t="n">
        <x:f>--(E13=C13)</x:f>
        <x:v>1</x:v>
      </x:c>
      <x:c r="W13" s="11" t="n">
        <x:f>--(F13=C13)</x:f>
        <x:v>1</x:v>
      </x:c>
      <x:c r="X13" s="11" t="n">
        <x:f>--(H13=C13)</x:f>
        <x:v>1</x:v>
      </x:c>
      <x:c r="Y13" s="11" t="n">
        <x:f>--(I13=C13)</x:f>
        <x:v>1</x:v>
      </x:c>
      <x:c r="Z13" s="11" t="n">
        <x:f>--(J13=C13)</x:f>
        <x:v>1</x:v>
      </x:c>
      <x:c r="AA13" s="11" t="n">
        <x:f>--(L13=C13)</x:f>
        <x:v>1</x:v>
      </x:c>
      <x:c r="AB13" s="11" t="n">
        <x:f>--(M13=C13)</x:f>
        <x:v>1</x:v>
      </x:c>
      <x:c r="AC13" s="12" t="n">
        <x:f>--(N13=C13)</x:f>
        <x:v>1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B</x:v>
      </x:c>
      <x:c r="F14" s="11" t="str">
        <x:v>B</x:v>
      </x:c>
      <x:c r="G14" s="11" t="str">
        <x:f>IF(COUNTIF(D14:F14,"A")&gt;=2,"A",IF(COUNTIF(D14:F14,"B")&gt;=2,"B",IF(COUNTIF(D14:F14,"C")&gt;=2,"C","D")))</x:f>
        <x:v>B</x:v>
      </x:c>
      <x:c r="H14" s="11" t="str">
        <x:v>B</x:v>
      </x:c>
      <x:c r="I14" s="11" t="str">
        <x:v>B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B</x:v>
      </x:c>
      <x:c r="N14" s="11" t="str">
        <x:f>IF(F14=J14,F14,"D")</x:f>
        <x:v>B</x:v>
      </x:c>
      <x:c r="O14" s="11" t="str">
        <x:f>IF(G14=K14,G14,"D")</x:f>
        <x:v>B</x:v>
      </x:c>
      <x:c r="P14" s="11" t="n">
        <x:f>--(G14=C14)</x:f>
        <x:v>1</x:v>
      </x:c>
      <x:c r="Q14" s="11" t="n">
        <x:f>--(K14=C14)</x:f>
        <x:v>1</x:v>
      </x:c>
      <x:c r="R14" s="11" t="n">
        <x:f>--(O14=C14)</x:f>
        <x:v>1</x:v>
      </x:c>
      <x:c r="S14" s="11" t="n">
        <x:f>--(G14=K14)</x:f>
        <x:v>1</x:v>
      </x:c>
      <x:c r="T14" s="11" t="n">
        <x:f>--(O14="D")</x:f>
        <x:v>0</x:v>
      </x:c>
      <x:c r="U14" s="11" t="n">
        <x:f>--(D14=C14)</x:f>
        <x:v>1</x:v>
      </x:c>
      <x:c r="V14" s="11" t="n">
        <x:f>--(E14=C14)</x:f>
        <x:v>1</x:v>
      </x:c>
      <x:c r="W14" s="11" t="n">
        <x:f>--(F14=C14)</x:f>
        <x:v>1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1</x:v>
      </x:c>
      <x:c r="AA14" s="11" t="n">
        <x:f>--(L14=C14)</x:f>
        <x:v>1</x:v>
      </x:c>
      <x:c r="AB14" s="11" t="n">
        <x:f>--(M14=C14)</x:f>
        <x:v>1</x:v>
      </x:c>
      <x:c r="AC14" s="12" t="n">
        <x:f>--(N14=C14)</x:f>
        <x:v>1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A</x:v>
      </x:c>
      <x:c r="E15" s="11" t="str">
        <x:v>A</x:v>
      </x:c>
      <x:c r="F15" s="11" t="str">
        <x:v>A</x:v>
      </x:c>
      <x:c r="G15" s="11" t="str">
        <x:f>IF(COUNTIF(D15:F15,"A")&gt;=2,"A",IF(COUNTIF(D15:F15,"B")&gt;=2,"B",IF(COUNTIF(D15:F15,"C")&gt;=2,"C","D")))</x:f>
        <x:v>A</x:v>
      </x:c>
      <x:c r="H15" s="11" t="str">
        <x:v>A</x:v>
      </x:c>
      <x:c r="I15" s="11" t="str">
        <x:v>A</x:v>
      </x:c>
      <x:c r="J15" s="11" t="str">
        <x:v>C</x:v>
      </x:c>
      <x:c r="K15" s="11" t="str">
        <x:f>IF(COUNTIF(H15:J15,"A")&gt;=2,"A",IF(COUNTIF(H15:J15,"B")&gt;=2,"B",IF(COUNTIF(H15:J15,"C")&gt;=2,"C","D")))</x:f>
        <x:v>A</x:v>
      </x:c>
      <x:c r="L15" s="11" t="str">
        <x:f>IF(D15=H15,D15,"D")</x:f>
        <x:v>A</x:v>
      </x:c>
      <x:c r="M15" s="11" t="str">
        <x:f>IF(E15=I15,E15,"D")</x:f>
        <x:v>A</x:v>
      </x:c>
      <x:c r="N15" s="11" t="str">
        <x:f>IF(F15=J15,F15,"D")</x:f>
        <x:v>D</x:v>
      </x:c>
      <x:c r="O15" s="11" t="str">
        <x:f>IF(G15=K15,G15,"D")</x:f>
        <x:v>A</x:v>
      </x:c>
      <x:c r="P15" s="11" t="n">
        <x:f>--(G15=C15)</x:f>
        <x:v>1</x:v>
      </x:c>
      <x:c r="Q15" s="11" t="n">
        <x:f>--(K15=C15)</x:f>
        <x:v>1</x:v>
      </x:c>
      <x:c r="R15" s="11" t="n">
        <x:f>--(O15=C15)</x:f>
        <x:v>1</x:v>
      </x:c>
      <x:c r="S15" s="11" t="n">
        <x:f>--(G15=K15)</x:f>
        <x:v>1</x:v>
      </x:c>
      <x:c r="T15" s="11" t="n">
        <x:f>--(O15="D")</x:f>
        <x:v>0</x:v>
      </x:c>
      <x:c r="U15" s="11" t="n">
        <x:f>--(D15=C15)</x:f>
        <x:v>1</x:v>
      </x:c>
      <x:c r="V15" s="11" t="n">
        <x:f>--(E15=C15)</x:f>
        <x:v>1</x:v>
      </x:c>
      <x:c r="W15" s="11" t="n">
        <x:f>--(F15=C15)</x:f>
        <x:v>1</x:v>
      </x:c>
      <x:c r="X15" s="11" t="n">
        <x:f>--(H15=C15)</x:f>
        <x:v>1</x:v>
      </x:c>
      <x:c r="Y15" s="11" t="n">
        <x:f>--(I15=C15)</x:f>
        <x:v>1</x:v>
      </x:c>
      <x:c r="Z15" s="11" t="n">
        <x:f>--(J15=C15)</x:f>
        <x:v>0</x:v>
      </x:c>
      <x:c r="AA15" s="11" t="n">
        <x:f>--(L15=C15)</x:f>
        <x:v>1</x:v>
      </x:c>
      <x:c r="AB15" s="11" t="n">
        <x:f>--(M15=C15)</x:f>
        <x:v>1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B</x:v>
      </x:c>
      <x:c r="E16" s="11" t="str">
        <x:v>B</x:v>
      </x:c>
      <x:c r="F16" s="11" t="str">
        <x:v>B</x:v>
      </x:c>
      <x:c r="G16" s="11" t="str">
        <x:f>IF(COUNTIF(D16:F16,"A")&gt;=2,"A",IF(COUNTIF(D16:F16,"B")&gt;=2,"B",IF(COUNTIF(D16:F16,"C")&gt;=2,"C","D")))</x:f>
        <x:v>B</x:v>
      </x:c>
      <x:c r="H16" s="11" t="str">
        <x:v>B</x:v>
      </x:c>
      <x:c r="I16" s="11" t="str">
        <x:v>B</x:v>
      </x:c>
      <x:c r="J16" s="11" t="str">
        <x:v>B</x:v>
      </x:c>
      <x:c r="K16" s="11" t="str">
        <x:f>IF(COUNTIF(H16:J16,"A")&gt;=2,"A",IF(COUNTIF(H16:J16,"B")&gt;=2,"B",IF(COUNTIF(H16:J16,"C")&gt;=2,"C","D")))</x:f>
        <x:v>B</x:v>
      </x:c>
      <x:c r="L16" s="11" t="str">
        <x:f>IF(D16=H16,D16,"D")</x:f>
        <x:v>B</x:v>
      </x:c>
      <x:c r="M16" s="11" t="str">
        <x:f>IF(E16=I16,E16,"D")</x:f>
        <x:v>B</x:v>
      </x:c>
      <x:c r="N16" s="11" t="str">
        <x:f>IF(F16=J16,F16,"D")</x:f>
        <x:v>B</x:v>
      </x:c>
      <x:c r="O16" s="11" t="str">
        <x:f>IF(G16=K16,G16,"D")</x:f>
        <x:v>B</x:v>
      </x:c>
      <x:c r="P16" s="11" t="n">
        <x:f>--(G16=C16)</x:f>
        <x:v>1</x:v>
      </x:c>
      <x:c r="Q16" s="11" t="n">
        <x:f>--(K16=C16)</x:f>
        <x:v>1</x:v>
      </x:c>
      <x:c r="R16" s="11" t="n">
        <x:f>--(O16=C16)</x:f>
        <x:v>1</x:v>
      </x:c>
      <x:c r="S16" s="11" t="n">
        <x:f>--(G16=K16)</x:f>
        <x:v>1</x:v>
      </x:c>
      <x:c r="T16" s="11" t="n">
        <x:f>--(O16="D")</x:f>
        <x:v>0</x:v>
      </x:c>
      <x:c r="U16" s="11" t="n">
        <x:f>--(D16=C16)</x:f>
        <x:v>1</x:v>
      </x:c>
      <x:c r="V16" s="11" t="n">
        <x:f>--(E16=C16)</x:f>
        <x:v>1</x:v>
      </x:c>
      <x:c r="W16" s="11" t="n">
        <x:f>--(F16=C16)</x:f>
        <x:v>1</x:v>
      </x:c>
      <x:c r="X16" s="11" t="n">
        <x:f>--(H16=C16)</x:f>
        <x:v>1</x:v>
      </x:c>
      <x:c r="Y16" s="11" t="n">
        <x:f>--(I16=C16)</x:f>
        <x:v>1</x:v>
      </x:c>
      <x:c r="Z16" s="11" t="n">
        <x:f>--(J16=C16)</x:f>
        <x:v>1</x:v>
      </x:c>
      <x:c r="AA16" s="11" t="n">
        <x:f>--(L16=C16)</x:f>
        <x:v>1</x:v>
      </x:c>
      <x:c r="AB16" s="11" t="n">
        <x:f>--(M16=C16)</x:f>
        <x:v>1</x:v>
      </x:c>
      <x:c r="AC16" s="12" t="n">
        <x:f>--(N16=C16)</x:f>
        <x:v>1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A</x:v>
      </x:c>
      <x:c r="E17" s="11" t="str">
        <x:v>A</x:v>
      </x:c>
      <x:c r="F17" s="11" t="str">
        <x:v>A</x:v>
      </x:c>
      <x:c r="G17" s="11" t="str">
        <x:f>IF(COUNTIF(D17:F17,"A")&gt;=2,"A",IF(COUNTIF(D17:F17,"B")&gt;=2,"B",IF(COUNTIF(D17:F17,"C")&gt;=2,"C","D")))</x:f>
        <x:v>A</x:v>
      </x:c>
      <x:c r="H17" s="11" t="str">
        <x:v>A</x:v>
      </x:c>
      <x:c r="I17" s="11" t="str">
        <x:v>A</x:v>
      </x:c>
      <x:c r="J17" s="11" t="str">
        <x:v>A</x:v>
      </x:c>
      <x:c r="K17" s="11" t="str">
        <x:f>IF(COUNTIF(H17:J17,"A")&gt;=2,"A",IF(COUNTIF(H17:J17,"B")&gt;=2,"B",IF(COUNTIF(H17:J17,"C")&gt;=2,"C","D")))</x:f>
        <x:v>A</x:v>
      </x:c>
      <x:c r="L17" s="11" t="str">
        <x:f>IF(D17=H17,D17,"D")</x:f>
        <x:v>A</x:v>
      </x:c>
      <x:c r="M17" s="11" t="str">
        <x:f>IF(E17=I17,E17,"D")</x:f>
        <x:v>A</x:v>
      </x:c>
      <x:c r="N17" s="11" t="str">
        <x:f>IF(F17=J17,F17,"D")</x:f>
        <x:v>A</x:v>
      </x:c>
      <x:c r="O17" s="11" t="str">
        <x:f>IF(G17=K17,G17,"D")</x:f>
        <x:v>A</x:v>
      </x:c>
      <x:c r="P17" s="11" t="n">
        <x:f>--(G17=C17)</x:f>
        <x:v>1</x:v>
      </x:c>
      <x:c r="Q17" s="11" t="n">
        <x:f>--(K17=C17)</x:f>
        <x:v>1</x:v>
      </x:c>
      <x:c r="R17" s="11" t="n">
        <x:f>--(O17=C17)</x:f>
        <x:v>1</x:v>
      </x:c>
      <x:c r="S17" s="11" t="n">
        <x:f>--(G17=K17)</x:f>
        <x:v>1</x:v>
      </x:c>
      <x:c r="T17" s="11" t="n">
        <x:f>--(O17="D")</x:f>
        <x:v>0</x:v>
      </x:c>
      <x:c r="U17" s="11" t="n">
        <x:f>--(D17=C17)</x:f>
        <x:v>1</x:v>
      </x:c>
      <x:c r="V17" s="11" t="n">
        <x:f>--(E17=C17)</x:f>
        <x:v>1</x:v>
      </x:c>
      <x:c r="W17" s="11" t="n">
        <x:f>--(F17=C17)</x:f>
        <x:v>1</x:v>
      </x:c>
      <x:c r="X17" s="11" t="n">
        <x:f>--(H17=C17)</x:f>
        <x:v>1</x:v>
      </x:c>
      <x:c r="Y17" s="11" t="n">
        <x:f>--(I17=C17)</x:f>
        <x:v>1</x:v>
      </x:c>
      <x:c r="Z17" s="11" t="n">
        <x:f>--(J17=C17)</x:f>
        <x:v>1</x:v>
      </x:c>
      <x:c r="AA17" s="11" t="n">
        <x:f>--(L17=C17)</x:f>
        <x:v>1</x:v>
      </x:c>
      <x:c r="AB17" s="11" t="n">
        <x:f>--(M17=C17)</x:f>
        <x:v>1</x:v>
      </x:c>
      <x:c r="AC17" s="12" t="n">
        <x:f>--(N17=C17)</x:f>
        <x:v>1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1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D</x:v>
      </x:c>
      <x:c r="E22" s="11" t="str">
        <x:v>D</x:v>
      </x:c>
      <x:c r="F22" s="11" t="str">
        <x:v>C</x:v>
      </x:c>
      <x:c r="G22" s="11" t="str">
        <x:f>IF(COUNTIF(D22:F22,"A")&gt;=2,"A",IF(COUNTIF(D22:F22,"B")&gt;=2,"B",IF(COUNTIF(D22:F22,"C")&gt;=2,"C","D")))</x:f>
        <x:v>D</x:v>
      </x:c>
      <x:c r="H22" s="11" t="str">
        <x:v>D</x:v>
      </x:c>
      <x:c r="I22" s="11" t="str">
        <x:v>C</x:v>
      </x:c>
      <x:c r="J22" s="11" t="str">
        <x:v>C</x:v>
      </x:c>
      <x:c r="K22" s="11" t="str">
        <x:f>IF(COUNTIF(H22:J22,"A")&gt;=2,"A",IF(COUNTIF(H22:J22,"B")&gt;=2,"B",IF(COUNTIF(H22:J22,"C")&gt;=2,"C","D")))</x:f>
        <x:v>C</x:v>
      </x:c>
      <x:c r="L22" s="11" t="str">
        <x:f>IF(D22=H22,D22,"D")</x:f>
        <x:v>D</x:v>
      </x:c>
      <x:c r="M22" s="11" t="str">
        <x:f>IF(E22=I22,E22,"D")</x:f>
        <x:v>D</x:v>
      </x:c>
      <x:c r="N22" s="11" t="str">
        <x:f>IF(F22=J22,F22,"D")</x:f>
        <x:v>C</x:v>
      </x:c>
      <x:c r="O22" s="11" t="str">
        <x:f>IF(G22=K22,G22,"D")</x:f>
        <x:v>D</x:v>
      </x:c>
      <x:c r="P22" s="11" t="n">
        <x:f>--(G22=C22)</x:f>
        <x:v>0</x:v>
      </x:c>
      <x:c r="Q22" s="11" t="n">
        <x:f>--(K22=C22)</x:f>
        <x:v>1</x:v>
      </x:c>
      <x:c r="R22" s="11" t="n">
        <x:f>--(O22=C22)</x:f>
        <x:v>0</x:v>
      </x:c>
      <x:c r="S22" s="11" t="n">
        <x:f>--(G22=K22)</x:f>
        <x:v>0</x:v>
      </x:c>
      <x:c r="T22" s="11" t="n">
        <x:f>--(O22="D")</x:f>
        <x:v>1</x:v>
      </x:c>
      <x:c r="U22" s="11" t="n">
        <x:f>--(D22=C22)</x:f>
        <x:v>0</x:v>
      </x:c>
      <x:c r="V22" s="11" t="n">
        <x:f>--(E22=C22)</x:f>
        <x:v>0</x:v>
      </x:c>
      <x:c r="W22" s="11" t="n">
        <x:f>--(F22=C22)</x:f>
        <x:v>1</x:v>
      </x:c>
      <x:c r="X22" s="11" t="n">
        <x:f>--(H22=C22)</x:f>
        <x:v>0</x:v>
      </x:c>
      <x:c r="Y22" s="11" t="n">
        <x:f>--(I22=C22)</x:f>
        <x:v>1</x:v>
      </x:c>
      <x:c r="Z22" s="11" t="n">
        <x:f>--(J22=C22)</x:f>
        <x:v>1</x:v>
      </x:c>
      <x:c r="AA22" s="11" t="n">
        <x:f>--(L22=C22)</x:f>
        <x:v>0</x:v>
      </x:c>
      <x:c r="AB22" s="11" t="n">
        <x:f>--(M22=C22)</x:f>
        <x:v>0</x:v>
      </x:c>
      <x:c r="AC22" s="12" t="n">
        <x:f>--(N22=C22)</x:f>
        <x:v>1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A</x:v>
      </x:c>
      <x:c r="E23" s="11" t="str">
        <x:v>A</x:v>
      </x:c>
      <x:c r="F23" s="11" t="str">
        <x:v>D</x:v>
      </x:c>
      <x:c r="G23" s="11" t="str">
        <x:f>IF(COUNTIF(D23:F23,"A")&gt;=2,"A",IF(COUNTIF(D23:F23,"B")&gt;=2,"B",IF(COUNTIF(D23:F23,"C")&gt;=2,"C","D")))</x:f>
        <x:v>A</x:v>
      </x:c>
      <x:c r="H23" s="11" t="str">
        <x:v>A</x:v>
      </x:c>
      <x:c r="I23" s="11" t="str">
        <x:v>A</x:v>
      </x:c>
      <x:c r="J23" s="11" t="str">
        <x:v>B</x:v>
      </x:c>
      <x:c r="K23" s="11" t="str">
        <x:f>IF(COUNTIF(H23:J23,"A")&gt;=2,"A",IF(COUNTIF(H23:J23,"B")&gt;=2,"B",IF(COUNTIF(H23:J23,"C")&gt;=2,"C","D")))</x:f>
        <x:v>A</x:v>
      </x:c>
      <x:c r="L23" s="11" t="str">
        <x:f>IF(D23=H23,D23,"D")</x:f>
        <x:v>A</x:v>
      </x:c>
      <x:c r="M23" s="11" t="str">
        <x:f>IF(E23=I23,E23,"D")</x:f>
        <x:v>A</x:v>
      </x:c>
      <x:c r="N23" s="11" t="str">
        <x:f>IF(F23=J23,F23,"D")</x:f>
        <x:v>D</x:v>
      </x:c>
      <x:c r="O23" s="11" t="str">
        <x:f>IF(G23=K23,G23,"D")</x:f>
        <x:v>A</x:v>
      </x:c>
      <x:c r="P23" s="11" t="n">
        <x:f>--(G23=C23)</x:f>
        <x:v>1</x:v>
      </x:c>
      <x:c r="Q23" s="11" t="n">
        <x:f>--(K23=C23)</x:f>
        <x:v>1</x:v>
      </x:c>
      <x:c r="R23" s="11" t="n">
        <x:f>--(O23=C23)</x:f>
        <x:v>1</x:v>
      </x:c>
      <x:c r="S23" s="11" t="n">
        <x:f>--(G23=K23)</x:f>
        <x:v>1</x:v>
      </x:c>
      <x:c r="T23" s="11" t="n">
        <x:f>--(O23="D")</x:f>
        <x:v>0</x:v>
      </x:c>
      <x:c r="U23" s="11" t="n">
        <x:f>--(D23=C23)</x:f>
        <x:v>1</x:v>
      </x:c>
      <x:c r="V23" s="11" t="n">
        <x:f>--(E23=C23)</x:f>
        <x:v>1</x:v>
      </x:c>
      <x:c r="W23" s="11" t="n">
        <x:f>--(F23=C23)</x:f>
        <x:v>0</x:v>
      </x:c>
      <x:c r="X23" s="11" t="n">
        <x:f>--(H23=C23)</x:f>
        <x:v>1</x:v>
      </x:c>
      <x:c r="Y23" s="11" t="n">
        <x:f>--(I23=C23)</x:f>
        <x:v>1</x:v>
      </x:c>
      <x:c r="Z23" s="11" t="n">
        <x:f>--(J23=C23)</x:f>
        <x:v>0</x:v>
      </x:c>
      <x:c r="AA23" s="11" t="n">
        <x:f>--(L23=C23)</x:f>
        <x:v>1</x:v>
      </x:c>
      <x:c r="AB23" s="11" t="n">
        <x:f>--(M23=C23)</x:f>
        <x:v>1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B</x:v>
      </x:c>
      <x:c r="E26" s="11" t="str">
        <x:v>B</x:v>
      </x:c>
      <x:c r="F26" s="11" t="str">
        <x:v>B</x:v>
      </x:c>
      <x:c r="G26" s="11" t="str">
        <x:f>IF(COUNTIF(D26:F26,"A")&gt;=2,"A",IF(COUNTIF(D26:F26,"B")&gt;=2,"B",IF(COUNTIF(D26:F26,"C")&gt;=2,"C","D")))</x:f>
        <x:v>B</x:v>
      </x:c>
      <x:c r="H26" s="11" t="str">
        <x:v>B</x:v>
      </x:c>
      <x:c r="I26" s="11" t="str">
        <x:v>B</x:v>
      </x:c>
      <x:c r="J26" s="11" t="str">
        <x:v>B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B</x:v>
      </x:c>
      <x:c r="M26" s="11" t="str">
        <x:f>IF(E26=I26,E26,"D")</x:f>
        <x:v>B</x:v>
      </x:c>
      <x:c r="N26" s="11" t="str">
        <x:f>IF(F26=J26,F26,"D")</x:f>
        <x:v>B</x:v>
      </x:c>
      <x:c r="O26" s="11" t="str">
        <x:f>IF(G26=K26,G26,"D")</x:f>
        <x:v>B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0</x:v>
      </x:c>
      <x:c r="S26" s="11" t="n">
        <x:f>--(G26=K26)</x:f>
        <x:v>1</x:v>
      </x:c>
      <x:c r="T26" s="11" t="n">
        <x:f>--(O26="D")</x:f>
        <x:v>0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0</x:v>
      </x:c>
      <x:c r="AB26" s="11" t="n">
        <x:f>--(M26=C26)</x:f>
        <x:v>0</x:v>
      </x:c>
      <x:c r="AC26" s="12" t="n">
        <x:f>--(N26=C26)</x:f>
        <x:v>0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A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A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1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1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D</x:v>
      </x:c>
      <x:c r="E29" s="11" t="str">
        <x:v>D</x:v>
      </x:c>
      <x:c r="F29" s="11" t="str">
        <x:v>B</x:v>
      </x:c>
      <x:c r="G29" s="11" t="str">
        <x:f>IF(COUNTIF(D29:F29,"A")&gt;=2,"A",IF(COUNTIF(D29:F29,"B")&gt;=2,"B",IF(COUNTIF(D29:F29,"C")&gt;=2,"C","D")))</x:f>
        <x:v>D</x:v>
      </x:c>
      <x:c r="H29" s="11" t="str">
        <x:v>B</x:v>
      </x:c>
      <x:c r="I29" s="11" t="str">
        <x:v>D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D</x:v>
      </x:c>
      <x:c r="M29" s="11" t="str">
        <x:f>IF(E29=I29,E29,"D")</x:f>
        <x:v>D</x:v>
      </x:c>
      <x:c r="N29" s="11" t="str">
        <x:f>IF(F29=J29,F29,"D")</x:f>
        <x:v>B</x:v>
      </x:c>
      <x:c r="O29" s="11" t="str">
        <x:f>IF(G29=K29,G29,"D")</x:f>
        <x:v>D</x:v>
      </x:c>
      <x:c r="P29" s="11" t="n">
        <x:f>--(G29=C29)</x:f>
        <x:v>0</x:v>
      </x:c>
      <x:c r="Q29" s="11" t="n">
        <x:f>--(K29=C29)</x:f>
        <x:v>1</x:v>
      </x:c>
      <x:c r="R29" s="11" t="n">
        <x:f>--(O29=C29)</x:f>
        <x:v>0</x:v>
      </x:c>
      <x:c r="S29" s="11" t="n">
        <x:f>--(G29=K29)</x:f>
        <x:v>0</x:v>
      </x:c>
      <x:c r="T29" s="11" t="n">
        <x:f>--(O29="D")</x:f>
        <x:v>1</x:v>
      </x:c>
      <x:c r="U29" s="11" t="n">
        <x:f>--(D29=C29)</x:f>
        <x:v>0</x:v>
      </x:c>
      <x:c r="V29" s="11" t="n">
        <x:f>--(E29=C29)</x:f>
        <x:v>0</x:v>
      </x:c>
      <x:c r="W29" s="11" t="n">
        <x:f>--(F29=C29)</x:f>
        <x:v>1</x:v>
      </x:c>
      <x:c r="X29" s="11" t="n">
        <x:f>--(H29=C29)</x:f>
        <x:v>1</x:v>
      </x:c>
      <x:c r="Y29" s="11" t="n">
        <x:f>--(I29=C29)</x:f>
        <x:v>0</x:v>
      </x:c>
      <x:c r="Z29" s="11" t="n">
        <x:f>--(J29=C29)</x:f>
        <x:v>1</x:v>
      </x:c>
      <x:c r="AA29" s="11" t="n">
        <x:f>--(L29=C29)</x:f>
        <x:v>0</x:v>
      </x:c>
      <x:c r="AB29" s="11" t="n">
        <x:f>--(M29=C29)</x:f>
        <x:v>0</x:v>
      </x:c>
      <x:c r="AC29" s="12" t="n">
        <x:f>--(N29=C29)</x:f>
        <x:v>1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A</x:v>
      </x:c>
      <x:c r="E32" s="11" t="str">
        <x:v>A</x:v>
      </x:c>
      <x:c r="F32" s="11" t="str">
        <x:v>A</x:v>
      </x:c>
      <x:c r="G32" s="11" t="str">
        <x:f>IF(COUNTIF(D32:F32,"A")&gt;=2,"A",IF(COUNTIF(D32:F32,"B")&gt;=2,"B",IF(COUNTIF(D32:F32,"C")&gt;=2,"C","D")))</x:f>
        <x:v>A</x:v>
      </x:c>
      <x:c r="H32" s="11" t="str">
        <x:v>A</x:v>
      </x:c>
      <x:c r="I32" s="11" t="str">
        <x:v>B</x:v>
      </x:c>
      <x:c r="J32" s="11" t="str">
        <x:v>B</x:v>
      </x:c>
      <x:c r="K32" s="11" t="str">
        <x:f>IF(COUNTIF(H32:J32,"A")&gt;=2,"A",IF(COUNTIF(H32:J32,"B")&gt;=2,"B",IF(COUNTIF(H32:J32,"C")&gt;=2,"C","D")))</x:f>
        <x:v>B</x:v>
      </x:c>
      <x:c r="L32" s="11" t="str">
        <x:f>IF(D32=H32,D32,"D")</x:f>
        <x:v>A</x:v>
      </x:c>
      <x:c r="M32" s="11" t="str">
        <x:f>IF(E32=I32,E32,"D")</x:f>
        <x:v>D</x:v>
      </x:c>
      <x:c r="N32" s="11" t="str">
        <x:f>IF(F32=J32,F32,"D")</x:f>
        <x:v>D</x:v>
      </x:c>
      <x:c r="O32" s="11" t="str">
        <x:f>IF(G32=K32,G32,"D")</x:f>
        <x:v>D</x:v>
      </x:c>
      <x:c r="P32" s="11" t="n">
        <x:f>--(G32=C32)</x:f>
        <x:v>1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0</x:v>
      </x:c>
      <x:c r="T32" s="11" t="n">
        <x:f>--(O32="D")</x:f>
        <x:v>1</x:v>
      </x:c>
      <x:c r="U32" s="11" t="n">
        <x:f>--(D32=C32)</x:f>
        <x:v>1</x:v>
      </x:c>
      <x:c r="V32" s="11" t="n">
        <x:f>--(E32=C32)</x:f>
        <x:v>1</x:v>
      </x:c>
      <x:c r="W32" s="11" t="n">
        <x:f>--(F32=C32)</x:f>
        <x:v>1</x:v>
      </x:c>
      <x:c r="X32" s="11" t="n">
        <x:f>--(H32=C32)</x:f>
        <x:v>1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1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C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1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A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A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1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1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A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A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0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C</x:v>
      </x:c>
      <x:c r="E37" s="14" t="str">
        <x:v>C</x:v>
      </x:c>
      <x:c r="F37" s="14" t="str">
        <x:v>C</x:v>
      </x:c>
      <x:c r="G37" s="14" t="str">
        <x:f>IF(COUNTIF(D37:F37,"A")&gt;=2,"A",IF(COUNTIF(D37:F37,"B")&gt;=2,"B",IF(COUNTIF(D37:F37,"C")&gt;=2,"C","D")))</x:f>
        <x:v>C</x:v>
      </x:c>
      <x:c r="H37" s="14" t="str">
        <x:v>C</x:v>
      </x:c>
      <x:c r="I37" s="14" t="str">
        <x:v>C</x:v>
      </x:c>
      <x:c r="J37" s="14" t="str">
        <x:v>C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C</x:v>
      </x:c>
      <x:c r="M37" s="14" t="str">
        <x:f>IF(E37=I37,E37,"D")</x:f>
        <x:v>C</x:v>
      </x:c>
      <x:c r="N37" s="14" t="str">
        <x:f>IF(F37=J37,F37,"D")</x:f>
        <x:v>C</x:v>
      </x:c>
      <x:c r="O37" s="14" t="str">
        <x:f>IF(G37=K37,G37,"D")</x:f>
        <x:v>C</x:v>
      </x:c>
      <x:c r="P37" s="14" t="n">
        <x:f>--(G37=C37)</x:f>
        <x:v>1</x:v>
      </x:c>
      <x:c r="Q37" s="14" t="n">
        <x:f>--(K37=C37)</x:f>
        <x:v>1</x:v>
      </x:c>
      <x:c r="R37" s="14" t="n">
        <x:f>--(O37=C37)</x:f>
        <x:v>1</x:v>
      </x:c>
      <x:c r="S37" s="14" t="n">
        <x:f>--(G37=K37)</x:f>
        <x:v>1</x:v>
      </x:c>
      <x:c r="T37" s="14" t="n">
        <x:f>--(O37="D")</x:f>
        <x:v>0</x:v>
      </x:c>
      <x:c r="U37" s="14" t="n">
        <x:f>--(D37=C37)</x:f>
        <x:v>1</x:v>
      </x:c>
      <x:c r="V37" s="14" t="n">
        <x:f>--(E37=C37)</x:f>
        <x:v>1</x:v>
      </x:c>
      <x:c r="W37" s="14" t="n">
        <x:f>--(F37=C37)</x:f>
        <x:v>1</x:v>
      </x:c>
      <x:c r="X37" s="14" t="n">
        <x:f>--(H37=C37)</x:f>
        <x:v>1</x:v>
      </x:c>
      <x:c r="Y37" s="14" t="n">
        <x:f>--(I37=C37)</x:f>
        <x:v>1</x:v>
      </x:c>
      <x:c r="Z37" s="14" t="n">
        <x:f>--(J37=C37)</x:f>
        <x:v>1</x:v>
      </x:c>
      <x:c r="AA37" s="14" t="n">
        <x:f>--(L37=C37)</x:f>
        <x:v>1</x:v>
      </x:c>
      <x:c r="AB37" s="14" t="n">
        <x:f>--(M37=C37)</x:f>
        <x:v>1</x:v>
      </x:c>
      <x:c r="AC37" s="15" t="n">
        <x:f>--(N37=C37)</x:f>
        <x:v>1</x:v>
      </x:c>
    </x:row>
  </x:sheetData>
  <x:pageMargins left="0.7" right="0.7" top="0.75" bottom="0.75" header="0.3" footer="0.3"/>
</x:worksheet>
</file>