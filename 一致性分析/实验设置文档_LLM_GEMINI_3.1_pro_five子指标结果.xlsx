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152" windowHeight="8917" activeTab="3"/>
  </bookViews>
  <sheets>
    <sheet name="实验结果" sheetId="1" r:id="rId1"/>
    <sheet name="five子指标方向明细" sheetId="5" r:id="rId2"/>
    <sheet name="five子指标合并明细" sheetId="6" r:id="rId3"/>
    <sheet name="five子指标汇总" sheetId="7"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<sst xmlns="http://schemas.openxmlformats.org/spreadsheetml/2006/main" count="5351" uniqueCount="547">
  <si>
    <t>需求name</t>
  </si>
  <si>
    <t>需求描述</t>
  </si>
  <si>
    <t>类别</t>
  </si>
  <si>
    <t>指标类别</t>
  </si>
  <si>
    <t>位置</t>
  </si>
  <si>
    <t>提示词</t>
  </si>
  <si>
    <t>生产模式设置</t>
  </si>
  <si>
    <t>基座模型设置</t>
  </si>
  <si>
    <t>输出结果</t>
  </si>
  <si>
    <t>最终结果</t>
  </si>
  <si>
    <t>实际结果</t>
  </si>
  <si>
    <t>人工打标</t>
  </si>
  <si>
    <t>一致性</t>
  </si>
  <si>
    <t>AdvancedAlloyCompositionOptimization</t>
  </si>
  <si>
    <t>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t>
  </si>
  <si>
    <t>A vs B</t>
  </si>
  <si>
    <t>faithfulness</t>
  </si>
  <si>
    <t>l2r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</si>
  <si>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</si>
  <si>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llm</t>
  </si>
  <si>
    <t>gemini3.1pro</t>
  </si>
  <si>
    <t>Scores:
1. Alignment with Requirements &amp; Functionality: Model 1 = 5, Model 2 = 3; Evidence: Model 1 captures all functional elements fully by introducing necessary intermediate classes (e.g., `ProcessingStep`, `Supplier`, `SummaryReport`, `QualityAssuranceReview`). Model 2 relies on simplistic attributes like `processingSteps: List` and `chemicalMakeup: Map` instead of modeling them as structural entities, and it is missing structural representations for the vendors and summary reports.
2. Conceptual Classes &amp; Relationships: Model 1 = 5, Model 2 = 3; Evidence: Model 1 accurately interprets the requirement to represent target phases using an enum (`PhaseType`) and a `PhaseDistribution` fraction class. Model 2 hardcodes phases as float attributes (`austenite: Float`, `ferrite: Float`, etc.), which is poor extensible design. Model 1 also correctly establishes intermediate entities for testing (`StressTestRun`), improving real-world domain representation.
3. Associations, Cardinalities, Types: Model 1 = 5, Model 2 = 3; Evidence: Model 1 details full bidirectional and unidirectional associations, complete with multiplicities for every relationship (e.g., `ProcessController "1" --&gt; "1..*" ThermalAnalysisRun`). Model 2 relies heavily on vague dependency arrows (`..&gt;`) without multiplicities (e.g., `QualityAssurance ..&gt; AlloyBatch`).
4. Clarity and Attributes: Model 1 = 5, Model 2 = 4; Evidence: Both models include appropriate attributes. However, Model 1 uses enums extensively (`SurfaceFinish`, `TestType`, `RunState`, etc.) which significantly increases the clarity and specificity of the attributes.
Total: Model 1 = 20, Model 2 = 13
Choice: A
Reason:
1. Alignment with Requirements &amp; Functionality: Model 1 successfully translates the entire textual requirement into discrete, comprehensive UML classes. For instance, rather than modeling steps and reports as simple strings or list attributes, it creates explicit `ProcessingStep` and `SummaryReport` classes.
2. Conceptual Classes &amp; Relationships: Model 1 models the domain accurately using standard best practices. Using a `PhaseType` enumeration alongside a fraction attribute is infinitely better software design than Model 2's approach of hardcoding `austenite`, `ferrite`, etc. as individual float attributes in the class.
3. Associations, Cardinalities, Types: Model 1 provides a fully defined structural diagram with accurate relationships (composition, aggregation, and standard association) and complete cardinalities. Model 2 heavily overuses the dependency relation (`..&gt;`) for structural relationships and omits cardinalities on most links.
4. Overall judgment: Model 1 provides a professional, well-structured, and precise class diagram with excellent use of composition, enumerations, and explicit relationship multiplicities. It maps perfectly to real-world software engineering practices, making it significantly better than Model 2.</t>
  </si>
  <si>
    <t>A</t>
  </si>
  <si>
    <t>r2l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</si>
  <si>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</si>
  <si>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 Alignment and Conceptual Modeling: Model 1 = 3, Model 2 = 5; Evidence: Model 1 misses several key attributes and conceptual classes explicitly requested in the prompt, such as "grain structure" and "annotate any defects" (missing in `MaterialSpecimen`), the "effective dates" for `DesignConstraint`, specific representations of "vendors" (it only connects `SupplierNetwork` to `DesignConstraint`), and "summary reports" (only implied by `ReportGenerator`). Model 2 comprehensively addresses these by including `grainStructure` and `defectAnnotation` attributes in `MaterialSpecimen`, `effectiveDate` in `DesignConstraint`, and explicitly modeling the `Supplier` and `SummaryReport` classes.
Total: Model 1 = 3, Model 2 = 5
Choice: B
Reason:
1. Requirement Alignment and Conceptual Modeling: Model 2 strictly and thoroughly aligns with the system requirements. It accurately extracts necessary domain concepts into classes (e.g., separating `ReportGenerator` from `SummaryReport` and mapping "vendors" to a distinct `Supplier` class). Model 1 takes shortcuts by treating certain concrete nouns as mere verbs or ignoring them entirely (missing attributes for grain structure, defects, and effective dates; missing vendors and reports). Additionally, Model 2 handles the Phase Distribution and Element Composition elegantly through normalized models and enumerations, whereas Model 1 hardcodes specific chemical phases as direct float attributes, which is less scalable for a conceptual model. 
2. Relationships and Cardinalities: Both models demonstrate a good grasp of UML relationships. Model 2 makes slightly better use of aggregations and explicit multiplicities throughout the entire diagram, such as clearly defining the 1-to-many relationship between a test runner and its individual runs (`StressTestRun`), which connects cleanly to the resulting metrics.
3. Rejected or checked issues: Model 2's navigability from `PhaseDiagramCalculator` to `MicrostructureAnalysis` could be interpreted as logically reversed from a strict dependency standpoint, but it explicitly labels the association role accurately. This minor stylistic difference does not outweigh Model 1's numerous missing domain attributes and classes. 
4. Overall judgment: Model 2 is far more comprehensive, missing no required functionalities or domain entities, making it the significantly better and more practical conceptual design.</t>
  </si>
  <si>
    <t>B</t>
  </si>
  <si>
    <t>five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</si>
  <si>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</si>
  <si>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explicitly models all conceptual classes including intermediate entities like `ProcessingStep`, `StressTestRun`, `SummaryReport`, and `Supplier`. Model 2 is missing these, instead embedding them as generic lists/attributes (e.g., `processingSteps: List`) or omitting them.
2. Associations/Multiplicities between classes for domain reasoning: Model 1 = 5, Model 2 = 3; Evidence: Model 1 uses well-defined associations and compositions with appropriate multiplicities for almost all relationships (e.g., `ResearchProject "1" *-- "1..*" ExperimentalDataset`). Model 2 relies heavily on dependency arrows (`..&gt;`) for structural relationships (e.g., `ExperimentPlanner ..&gt; HeatTreatmentProfile`, `StressTestRunner ..&gt; MaterialSpecimen`), omitting crucial multiplicities and weakening domain reasoning.
3. Model attributes with appropriate data types: Model 1 = 5, Model 2 = 3; Evidence: Model 1 captures all required attributes with robust types and enumerations (e.g., `grainStructure`, `defectAnnotation`, `PhaseType` enum). Model 2 misses several explicitly requested attributes such as grain structure and defect annotations in `MaterialSpecimen`, and uses generic types like `Map` for `ElementComposition` rather than structurally modeling it.
4. Consistencies of Terminology with given context: Model 1 = 5, Model 2 = 4; Evidence: Both models use terminology effectively derived from the text. Model 1 goes a step further by explicitly codifying context terms into exact enums (e.g., `SurfaceFinish`, `PhaseType`, `TestType`), while Model 2 simplifies some of these to generic Strings or floats.
5. Adherence of UML class diagram standards: Model 1 = 5, Model 2 = 4; Evidence: Both models are syntactically valid in PlantUML. Model 1 excellently utilizes full class diagram standards (compositions, aggregations, associations, enums). Model 2's over-reliance on dependency arrows for physical/structural containment or permanent associations is a minor design flaw in structural UML modeling.
Total: Model 1 = 25, Model 2 = 18
Choice: A
Reason:
1. Appropriate conceptual classes aligned with the domain: Model 1 successfully extracts all entities, including granular operational items like `SummaryReport` and `ProcessingStep`. Model 2 abstracts some of these away into lists or methods, slightly reducing domain visibility.
2. Associations/Multiplicities: Model 1 provides a rigorous structural breakdown with accurate multiplicities across the board. Model 2 leans heavily on dependency lines without multiplicities, which provides a weaker representation of the permanent and structural linkages defined in the requirements.
3. Model attributes: Model 1 is highly detailed, capturing all specific attributes mentioned in the prompt (e.g., grain structure, defect annotations). Model 2 omits a few key attributes.
4. Overall judgment: Model 1 provides a significantly more comprehensive, structurally sound, and meticulously detailed UML class diagram that perfectly aligns with the extensive requirements. Model 2 is acceptable but noticeably simpler, skipping crucial attributes and relying on vague dependencies. Therefore, Model 1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</si>
  <si>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</si>
  <si>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4, Model 2 = 5; Evidence: Both models identify the primary domain entities. However, Model 2 introduces valuable conceptual refinement by adding classes like `ProcessingStep` (to represent "processing steps" instead of Model 1's `List` attribute), `StressTestRun`, `QualityAssuranceReview`, and `SummaryReport`, as well as precise enumerations (`PhaseType`, `TestType`, `SurfaceFinish`) which better represent the domain constraints.
2. Associations/Multiplicities between classes for domain reasoning: Model 1 = 3, Model 2 = 5; Evidence: Model 1 uses loose dependency arrows (`..&gt;`) without multiplicities for many crucial structural relationships (e.g., `ExperimentPlanner ..&gt; HeatTreatmentProfile`, `StressTestRunner ..&gt; MaterialSpecimen`). Model 2 applies strict multiplicities and well-defined associations for almost all connections (e.g., `ExperimentPlanner "1" --&gt; "1..*" HeatTreatmentProfile`, `MaterialSpecimen "1" --&gt; "*" StressTestRun`), which enables proper domain reasoning.
3. Model attributes with appropriate data types: Model 1 = 3, Model 2 = 5; Evidence: Model 1 misses several explicitly stated attributes, such as "grain structure" and defect annotations on `MaterialSpecimen`, whereas Model 2 includes `grainStructure` and `defectAnnotation`. Model 2 also correctly captures destructive/non-destructive test types using an enum, whereas Model 1 uses a generic `String`.
4. Consistencies of Terminology with given context: Model 1 = 4, Model 2 = 5; Evidence: Both models use terminology derived directly from the text. Model 2 achieves a higher level of consistency by using structured Enums (e.g., `PhaseType.AUSTENITE`, `TestType.DESTRUCTIVE`) rather than implicitly relying on strings or field names like `austenite: Float` in Model 1.
5. Adherence of UML class diagram standards: Model 1 = 4, Model 2 = 5; Evidence: Both models feature valid PlantUML syntax. Model 2 provides a more standard-compliant structural layout by ensuring all associations carry proper navigability, multiplicities, and role definitions, avoiding the overreliance on generic dependency arrows seen in Model 1.
Total: Model 1 = 18, Model 2 = 25
Choice: B
Reason:
1. Appropriate conceptual classes: Model 2 introduces relevant enumerations and intermediate concept classes (e.g., `ProcessingStep`, `StressTestRun`, `SummaryReport`) that accurately map the complex text requirements into standard object-oriented structures, whereas Model 1 relies heavily on primitive lists and basic string fields.
2. Associations/Multiplicities: Model 2 consistently applies multiplicities and directional associations across the entire diagram, whereas Model 1 defaults to vague dependency arrows (`..&gt;`) lacking multiplicity for many core relationships, hindering domain logic tracing.
3. Model attributes: Model 2 successfully captures all detailed requirements, including `grainStructure` and `defectAnnotation` on `MaterialSpecimen`, while Model 1 omits these entirely.
4. Overall judgment: Model 2 is the superior diagram. It demonstrates a much deeper understanding of object-oriented modeling by utilizing enumerations, correctly defining multiplicites, explicitly modeling intermediate workflow actions, and thoroughly covering the attributes specified in the prompt. Model 1 is acceptable but lacks detail and rigorous UML association modeling.</t>
  </si>
  <si>
    <t>general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</si>
  <si>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</si>
  <si>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separates concerns effectively by using intermediate classes for transactional data (e.g., `StressTestRun`, `QualityAssuranceReview`, `ProcessingStep`), keeping the core operational classes highly cohesive. Model 2 bundles `processingSteps` as a List attribute in `HeatTreatmentProfile` and uses a `Map` for `chemicalMakeup` in `ElementComposition`, which reduces the clarity of domain relationships. Furthermore, Model 1 uses clear directed associations, while Model 2 relies heavily on loose dependency arrows (`..&gt;`).
2. Complexity: Model 1 = 5, Model 2 = 3; Evidence: Model 1 strikes an excellent balance, creating ~30 distinct classes and enumerations to accurately model the domain. It correctly interprets the phrase "phases such as Austenite, Ferrite..." by creating a `PhaseType` enum and linking it to `PhaseDistribution` with a `fraction` attribute. Model 2 misunderstands this by hardcoding `austenite`, `ferrite`, `martensite`, and `pearlite` directly as Float attributes inside the `PhaseDistribution` class, which makes the model rigid and overly complex to maintain if new phases are discovered.
3. Practicability: Model 1 = 5, Model 2 = 3; Evidence: Model 1 is highly practical and scalable. Tracking execution states via dedicated classes (`RunState` enum, `ThermalAnalysisRun`, `QualityAssuranceReview`) provides clear support for auditing, testing, and operational logging. Model 2 relies on generic methods (e.g., `runAnalysis()`, `approveBatch()`) without persisting the outcomes in dedicated state or record classes (missing the review/run record details), making it less viable for a real-world system that requires traceability.
Total: Model 1 = 15, Model 2 = 9
Choice: A
Reason:
1. Cohesion and Decoupling: Model 1 maintains high cohesion by separating process definitions from process executions (e.g., `StressTestRunner` vs `StressTestRun`), whereas Model 2 couples these concepts and relies on weak dependencies instead of structural associations.
2. Complexity: Model 1 correctly abstracts domain concepts, using enums (`PhaseType`) to handle categories. Model 2 hardcodes domain examples ("Austenite", "Ferrite") as attributes within `PhaseDistribution`, confusing data with schema and creating an inflexible design.
3. Practicability: Model 1 is significantly more practical for a real software system. Its detailed data structures (e.g., explicit `ProcessingStep` class instead of a generic List, specific metric attributes instead of generic methods) ensure that testing, reporting, and database mapping would be straightforward and robust.
4. Overall judgment: Model 1 accurately models the complex requirements with professional object-oriented design practices, whereas Model 2 takes shortcuts (Maps, Lists, hardcoded attributes) that limit its usefulness as a blueprint for development.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</si>
  <si>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</si>
  <si>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groups both state and behavior together, leading to high functional cohesion (e.g., `PhaseDiagramCalculator` has `identifyStablePhases()` and `checkEquilibrium()`). Model 2 separates concepts logically into more classes (e.g., `QualityAssurance` and `QualityAssuranceReview`) but relies entirely on anemic data classes with no methods, which reduces behavioral cohesion since the logic would have to be decoupled from the data.
2. Complexity: Model 1 = 4, Model 2 = 3; Evidence: Model 1 has 26 classes with a balanced mix of attributes and conceptual methods (average ~0.5 methods per class). Model 2 increases complexity by introducing 33 domain classes and 6 enums, but features 0 methods. Furthermore, Model 2 includes database-style identifier attributes (e.g., `batchId`, `specimenId`, `profileId`) in almost every class, which adds implementation-level complexity rather than focusing on the conceptual object-oriented design.
3. Practicability: Model 1 = 4, Model 2 = 3; Evidence: Model 1 is highly practical as it models the system's actual behaviors and functionalities through explicit methods (e.g., `filterResults()` in `ExperimentalDataset`, `performTest()` in `StressTestRunner`), making it clear how components interact and can be tested. Model 2 captures more comprehensive attributes (like `grainStructure` and `defectAnnotation` in `MaterialSpecimen`) and uses enums effectively, but the complete omission of operations/methods makes it function more like a relational data schema than a practical object-oriented software design.
Total: Model 1 = 12, Model 2 = 9
Choice: A
Reason:
1. Cohesion and Decoupling: Model 1 maintains good functional cohesion by including both data and the operations that manipulate that data within the same classes. Model 2 provides a highly decoupled structural design but fails to encapsulate behavior, leading to anemic domain models.
2. Complexity: Model 1 balances the number of classes and methods well, directly addressing the domain requirements. Model 2 inflates class count by extracting many transparent workflows (e.g., `CostEstimation`, `StressTestRun`, `SummaryReport`) and adding boilerplate ID fields to every class while completely omitting behaviors.
3. Practicability: A practical software design must represent both structures and functionalities. Model 1 defines methods that represent the actions required by the prompt (e.g., `generateProfile()`, `calculateExpenses()`). Model 2's total lack of methods means it cannot fully illustrate how the system processes data or handles interactions, reducing its viability as a complete software design.
4. Overall judgment: Model 1 is better because it provides a complete object-oriented representation that includes both structural data and behavioral methods. While Model 2 does an excellent job of detailing attributes and enums, its database-centric approach and omission of all system behaviors make it less effective as a UML class diagram for software engineering.
```</t>
  </si>
  <si>
    <t>A vs 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</si>
  <si>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</si>
  <si>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Model 1 = 5, Model 2 = 1; Evidence: Model 1 successfully captures all the detailed domain concepts, attributes, and relationships, such as linking `ProcessController` to `ThermalCycleSimulator` and `SafetyProtocol`, and fully modeling the `BatchRecord` connecting `ComplianceArchive` to `AlloyBatch` and `RegulatoryStandard`. Model 2 leaves several classes entirely empty and disconnected (e.g., `CostEstimator`, `SupplierNetwork`, `QualityAssurance`, `ReportGenerator`), misses intermediate classes like `BatchRecord` entirely, and omits attributes requested in the prompt like the `principalInvestigator` in `ResearchProject` or the processing steps in `HeatTreatmentProfile`.
Total: Model 1 = 5, Model 2 = 1
Choice: A
Reason:
1. Requirement Alignment: Model 1 is incredibly thorough and accurately mirrors the requirements with detailed attributes, enums, and comprehensive relationships (incorporating compositions and multiplicities correctly). Model 2 acts as a very basic draft that fails to connect critical components (four classes are left floating with no relationships), misses crucial attributes across almost all classes, and fails to implement the required tracking elements (like `BatchRecord` or `ProcessingStep`).
2. Overall judgment: Model 1 is vastly superior to Model 2 due to its completeness, accuracy, and adherence to the detailed business rules and structures outlined in the requirement. Model 2 is incomplete and fails to represent the core operational logic of the system.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</si>
  <si>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</si>
  <si>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and No Hallucinations: Model 1 = 2, Model 2 = 5; Evidence: Model 1 misses several key functionalities outlined in the text, such as determining phase/grain structure, processing steps, equilibrium states, and batch records. Model 2 successfully covers all required functionalities, using transparent refinements like `SummaryReport` and `BatchRecord` to strictly align with the requirement.
2. Conceptual Classes and Relationships: Model 1 = 2, Model 2 = 5; Evidence: Model 1 provides a flat list of basic conceptual classes but misses critical ones like `BatchRecord` (for storing batch records in ComplianceArchive) and `SummaryReport` (for generating reports). Model 2 creates exact conceptual classes for the domain, including `Supplier`, `QualityAssuranceReview`, and `ProcessingStep`, properly connecting them to represent the domain workflow.
3. Associations, Cardinalities, and Relationship Types: Model 1 = 2, Model 2 = 5; Evidence: Model 1 uses standard bidirectional associations but omits cardinalities on most relationships (e.g., `MaterialSpecimen -- ElementComposition`) and lacks any aggregation or composition. Model 2 provides a detailed focus on associations, utilizing compositions (e.g., `AlloyBatch "1" *-- "1..*" MaterialSpecimen`) and explicit cardinalities (e.g., `1..*`, `*`) across the entire diagram.
4. Class Names and Attributes: Model 1 = 3, Model 2 = 5; Evidence: Model 1 uses clear class names but defines almost no attributes (e.g., `ElementComposition` and `MicrostructureAnalysis` are completely empty). Model 2 defines comprehensive attributes and enums mapping perfectly to the text (e.g., `wavelength` and `emissionIntensity` in `SpectroscopyData`; `AUSTENITE`, `FERRITE` in `PhaseType`).
Total: Model 1 = 9, Model 2 = 20
Choice: B
Reason:
1. Alignment and No Hallucinations: Model 2 captures the entirety of the complex system requirements without fabricating unsupported features, whereas Model 1 leaves out large portions of the requested domain logic (such as missing principal investigator, processing steps, and specific quality statuses).
2. Conceptual Classes and Relationships: Model 2 introduces necessary intermediate domain classes like `ProcessingStep`, `BatchRecord`, and `QualityAssuranceReview` that accurately represent the requirement's details. Model 1 is far too simplistic and fails to capture the interactions mentioned in the prompt.
3. Associations, Cardinalities, and Relationship Types: Model 2 extensively utilizes composition and explicitly defines multiplicities for all relationships, which perfectly satisfies the instruction to focus deeply on associations. Model 1 leaves most associations without multiplicities and uses no advanced relationship types.
4. Class Names and Attributes: Model 2 enriches the classes with relevant properties (e.g., `budget` in `ResearchProject`, `limitValue` in `DesignConstraint`) and helpful enumerations (e.g., `PhaseType`), making it a highly useful and complete class diagram. Model 1 omits the majority of the attributes described in the prompt.
5. Overall judgment: Model 2 is vastly superior due to its comprehensive coverage of the requirements, detailed attributes, precise cardinalities, and accurate domain modeling. Model 1 is fundamentally incomplete.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</si>
  <si>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</si>
  <si>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captures all domain concepts explicitly required by the prompt, including detailed classes like `ProcessingStep` and `BatchRecord`. Model 2 misses several core concepts explicitly mentioned in the text (e.g., `ProcessingStep`, `BatchRecord`, `Supplier`, `QualityAssuranceReview`).
2. Associations/Multiplicities between classes for domain reasoning: Model 1 = 5, Model 2 = 2; Evidence: Model 1 defines comprehensive associations with proper multiplicities across the system (e.g., `AlloyBatch "1" *-- "1..*" MaterialSpecimen`). Model 2 omits multiplicities for the vast majority of its associations and leaves several classes entirely disconnected (e.g., `CostEstimator`, `SupplierNetwork`, `QualityAssurance`, `ReportGenerator` have no associations).
3. Model attributes with appropriate data types: Model 1 = 5, Model 2 = 1; Evidence: Model 1 includes all specified attributes with correct data types and leverages robust enumerations (e.g., `PhaseType`, `SurfaceFinish`). Model 2 leaves more than half of its classes completely empty (e.g., `ElementComposition`, `ThermalCycleSimulator`, `ReportGenerator`) and misses explicitly requested attributes like `principalInvestigator` for `ResearchProject`.
4. Consistencies of Terminology with given context: Model 1 = 5, Model 2 = 3; Evidence: Model 1 accurately translates the prompt's narrative into exact terminologies. Model 2 uses correct terminology for the classes it includes, but misses significant context and domain phrasing due to its bare-bones structure.
5. Adherence of UML class diagram standards: Model 1 = 5, Model 2 = 4; Evidence: Both models use valid PlantUML syntax. Model 1 is fully detailed with standard UML notations (aggregation, composition, types, visibility). Model 2 has no syntax errors but severely underutilizes UML capabilities by omitting multiplicities and attributes.
Total: Model 1 = 25, Model 2 = 12
Choice: A
Reason:
1. Appropriate conceptual classes: Model 1 identifies all necessary domain classes, whereas Model 2 misses critical concepts such as `BatchRecord` (linking standards to batches) and `ProcessingStep`.
2. Associations/Multiplicities: Model 1 effectively interconnects the system using appropriate multiplicities and association types. Model 2 leaves several standalone classes completely disconnected and lacks multiplicities for almost all relations.
3. Attributes: Model 1 includes exhaustive attributes corresponding to the requirements. Model 2 leaves a large majority of its classes entirely devoid of attributes, failing to model the domain's data structure.
4. Overall judgment: Model 1 is a highly detailed, professional, and complete representation of the complex Alloy Composition system. Model 2 is an incomplete sketch that fails to capture the relationships, data, and structural depth required by the prompt. Model 1 is vastly superior.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</si>
  <si>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</si>
  <si>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2, Model 2 = 5; Evidence: Model 1 misses explicitly required classes like `BatchRecord` (stating "Compliance Archive stores Batch Records"), `ProcessingStep` (for Heat Treatment Profiles), and `QualityAssuranceReview` (for certified inspectors). Model 2 includes all these classes along with detailed enumerations for states, formats, and types.
2. Associations/Multiplicities between classes for domain reasoning: Model 1 = 2, Model 2 = 5; Evidence: Model 1 lacks multiplicities for the majority of its associations (e.g., `MaterialSpecimen -- ElementComposition`) and misses critical domain relationships, such as `MicrostructureAnalysis` correlating with `MaterialSpecimen` and `ProcessController` utilizing `ThermalCycleSimulator`. Model 2 correctly applies multiplicities and defines comprehensive domain relationships.
3. Model attributes with appropriate data types: Model 1 = 2, Model 2 = 5; Evidence: Model 1 misses numerous requested attributes, such as `grain structure` and `defect annotation` in specimens, `cooling rates` and `peak temperatures` for simulators/runs, and `principal investigator` for projects. Model 2 accurately captures all these attributes with robust data types and enumerations.
4. Consistencies of Terminology with given context: Model 1 = 4, Model 2 = 5; Evidence: Model 1 uses correct terminology for the classes it does include, but its omissions result in a less comprehensive domain vocabulary. Model 2 uses terminology that perfectly aligns with the prompt, utilizing terms like `primaryPhase`, `qualityStatus`, and `principalInvestigator` seamlessly.
5. Adherence of UML class diagram standards: Model 1 = 3, Model 2 = 5; Evidence: Model 1 is structurally valid in PlantUML but fails to provide multiplicities for most of its associations and relies solely on basic bidirectional associations without specifying aggregation or composition. Model 2 demonstrates excellent adherence to UML standards, properly utilizing compositions (`*--`), directional associations (`--&gt;`), and enumerations.
Total: Model 1 = 13, Model 2 = 25
Choice: B
Reason:
1. Appropriate conceptual classes aligned with the domain: Model 2 captures every nuanced requirement of the domain, correctly abstracting intermediate concepts like `BatchRecord` and `ProcessingStep`, while Model 1 omits several required classes.
2. Associations/Multiplicities between classes for domain reasoning: Model 2 establishes a complete web of domain relationships with accurate multiplicities, whereas Model 1 provides a very bare-bones structure with mostly default, unquantified associations that fail to capture the required interactions (e.g., how analyses relate to specimens).
3. Model attributes with appropriate data types: Model 2 extracts almost every detailed property mentioned in the prompt (e.g., peak temperature, PI, grain structure) and assigns them proper types. Model 1 misses the vast majority of these descriptive attributes.
4. Overall judgment: Model 2 is vastly superior. It comprehensively addresses the complex requirements, faithfully modeling the scientific, regulatory, and production aspects of the prompt. Model 1 is heavily under-detailed, omitting critical classes, attributes, and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</si>
  <si>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</si>
  <si>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achieves high cohesion by separating concerns into dedicated classes with proper attributes (e.g., using a `PhaseType` enum in `PhaseDistribution` alongside a `fraction` value). Model 2 hardcodes phase fractions (`austeniteFraction`, `ferriteFraction`, etc.) directly into `PhaseDistribution`, reducing cohesion and making it harder to maintain if new phases are introduced. Model 1 also properly couples system components with clear associations, whereas Model 2 leaves several classes (`CostEstimator`, `SupplierNetwork`, `QualityAssurance`, `ReportGenerator`) completely disconnected with no relationships.
2. Complexity: Model 1 = 5, Model 2 = 2; Evidence: Model 1 introduces necessary complexity that directly maps to the comprehensive requirement, utilizing appropriate intermediate classes like `BatchRecord`, `StressTestRun`, and `ProcessingStep`, and provides well-defined attributes for each. Model 2 is overly simplistic, leaving over a dozen classes completely empty (e.g., `ElementComposition`, `ProcessController`, `RegulatoryStandard`) and missing vital structural complexities required by the text.
3. Practicability: Model 1 = 5, Model 2 = 2; Evidence: Model 1 offers a highly readable, comprehensive, and practical representation of the domain. It correctly models relationships for reporting, quality assurance, and supplier networks, facilitating actual programming and testing. Model 2 lacks basic navigability, multiplicities on most relationships, and leaves key operational modules floating without associations, rendering it impractical as a software design blueprint.
Total: Model 1 = 15, Model 2 = 7
Choice: A
Reason:
1. Cohesion and Decoupling: Model 1 demonstrates excellent modularity and decoupling through the use of precise relationships and enums (e.g., `PhaseType`, `SurfaceFinish`). Model 2 relies on hardcoded attribute names for phases and fails to connect several domain services to the core model.
2. Complexity: Model 1 successfully balances the complexity needed to fulfill the detailed requirement by introducing workflow and record classes (e.g., `BatchRecord`, `CostEstimation`). Model 2 suppresses required complexity, relying on empty classes and missing associations.
3. Practicability: Model 1 provides a fully fleshed-out UML class diagram with attributes, multiplicities, and meaningful associations that support real-world implementation. Model 2's incomplete state, missing connections for `ReportGenerator`, `CostEstimator`, and `QualityAssurance`, and lack of attributes make it an ineffective design.
4. Overall judgment: Model 1 is vastly superior because it thoroughly captures the domain requirements with semantically rich classes, attributes, and relationships, whereas Model 2 is heavily incomplete and disconnected.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</si>
  <si>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</si>
  <si>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2 introduces well-defined intermediate classes (e.g., `StressTestRun`, `QualityAssuranceReview`, `BatchRecord`) that separate operational executions from their controlling managers, improving cohesion. Model 1 directly links controllers to outcomes (e.g., `StressTestRunner` to `PerformanceMetric`, `ComplianceArchive` to `AlloyBatch` directly), resulting in weaker separation of concerns.
2. Complexity: Model 1 = 2, Model 2 = 5; Evidence: Model 1 is overly simplistic, missing crucial domain attributes, enumerations, and intermediate classes required by the prompt (such as processing steps for profiles or principal investigator for research projects). Model 2 correctly balances complexity by including required enumerations (`PhaseType`, `SurfaceFinish`), attributes (`peakTemperature`, `coolingRate`), and conceptual classes (`ProcessingStep`, `SummaryReport`).
3. Practicability: Model 1 = 2, Model 2 = 5; Evidence: Model 2 provides a highly practical and readable design that aligns perfectly with real-world implementation, mapping domain concepts robustly (e.g., `ExperimentalDataset` aggregating `SpectroscopyData` and `MicrostructureAnalysis`, while correlating the analysis to the specimen). Model 1 leaves many classes completely empty (e.g., `MicrostructureAnalysis`, `PhaseDiagramCalculator`) and misses essential domain relations, making it impractical for actual software development.
Total: Model 1 = 6, Model 2 = 15
Choice: B
Reason:
1. Cohesion and Decoupling: Model 2 achieves high cohesion and low coupling by properly structuring domain relationships with intermediary records and events (e.g., `BatchRecord`, `StressTestRun`, `Supplier`). Model 1's direct links bypass necessary domain boundaries.
2. Complexity: Model 2 captures the rich domain complexity outlined in the requirements, appropriately leveraging class hierarchies and enums without over-engineering. Model 1 suffers from extreme under-engineering, missing vital attributes (like principal investigator, cooling rates, grain structure) and required classes.
3. Practicability: Model 2 serves as a highly robust blueprint for implementation, with clear cardinalities, data types, and modular boundaries (e.g., separating `QualityAssurance` from `QualityAssuranceReview`). Model 1 functions only as a basic conceptual skeleton and is missing too much critical logic to be practical.
4. Overall judgment: Model 2 is significantly better. It comprehensively and accurately translates the detailed text requirements into a complete, logically sound, and implementation-ready UML class diagram, whereas Model 1 leaves out a vast majority of the required domain details.
```</t>
  </si>
  <si>
    <t>B vs 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</si>
  <si>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</si>
  <si>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Functionality Alignment: Model 1 = 5, Model 2 = 3; Evidence: Model 1 captures all functional elements requested, including intermediate records like `BatchRecord`. Model 2 completely misses the `BatchRecord` entity mandated by "A Compliance Archive stores Batch Records". Model 2 also fails to connect operational support classes (e.g., `QualityAssurance`, `CostEstimator`, `ReportGenerator`) to anything.
2. Conceptual Classes and Relationships: Model 1 = 5, Model 2 = 2; Evidence: Model 1 accurately models the domain, for instance linking `BatchRecord` to `AlloyBatch` and `RegulatoryStandard`, and linking `MicrostructureAnalysis` to `SpectroscopyData` and `PhaseDiagramCalculator`. Model 2 misses several relationships, such as lacking any connections for `CostEstimator`, `SupplierNetwork`, `QualityAssurance`, and `ReportGenerator`.
3. Association Details: Model 1 = 5, Model 2 = 2; Evidence: Model 1 explicitly models composition (e.g., `AlloyBatch *-- MaterialSpecimen`), dependencies (e.g., `ExperimentPlanner ..&gt; HeatTreatmentProfile`), and full cardinalities (e.g., `"1" *-- "0..*"`). Model 2 uses plain default associations (`--`) for nearly everything, missing relationship types and leaving out multiplicities on most lines.
4. Naming and Attributes: Model 1 = 5, Model 2 = 3; Evidence: Model 1 includes methods matching the text's verbs (e.g., `identifyStablePhases()` in `PhaseDiagramCalculator`, `compileReport()` in `ReportGenerator`) and correctly assigns attributes (e.g., `effectiveDate` to `RegulatoryStandard`). Model 2 improperly places `effectiveDate` on `DesignConstraint` instead of `RegulatoryStandard` and leaves classes like `ElementComposition` and `ReportGenerator` entirely empty.
Total: Model 1 = 20, Model 2 = 10
Choice: A
Reason:
1. Functionality Alignment: Model 1 fully aligns with the requirements without hallucination, whereas Model 2 misses key operational capabilities and the required `BatchRecord` class.
2. Conceptual Classes and Relationships: Model 1 connects all conceptual entities according to the text. Model 2 contains multiple disconnected/floating classes (e.g., `CostEstimator`, `ReportGenerator`).
3. Association Details: Model 1 excellently utilizes UML semantics such as composition, dependency, and specific cardinalities. Model 2 largely ignores relationship types and cardinalities.
4. Naming and Attributes: Model 1 maps the attributes and operations perfectly from the prompt. Model 2 misplaces attributes (like `effectiveDate`) and omits most operations.
5. Overall judgment: Model 1 is vastly superior as it fully captures the complex domain logic, applies robust UML semantics, and completely covers the requirement description, whereas Model 2 is incomplete and poorly connected.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</si>
  <si>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</si>
  <si>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 Alignment: Model 1 = 2, Model 2 = 5; Evidence: Model 1 fails to include the `BatchRecord` class entirely and misses key connections, such as linking `ResearchProject` to `DesignConstraint`. Model 2 captures all entities required by the prompt (including `BatchRecord`) and maps functional behaviors accurately using class methods (e.g., `generateProfile()` in `ExperimentPlanner` and `checkEquilibrium()` in `PhaseDiagramCalculator`).
2. Relationships and Cardinalities: Model 1 = 2, Model 2 = 5; Evidence: Model 1 relies almost exclusively on basic undirected associations (`--`) and provides very few multiplicities. Model 2 uses a rich variety of appropriate relationship types, including composition (`*--` for `AlloyBatch` to `MaterialSpecimen`), directed associations (`--&gt;`), and dependencies (`..&gt;`). Model 2 also consistently applies accurate cardinalities (e.g., `BatchRecord "0..*" --&gt; "1" RegulatoryStandard`).
3. Attributes and Clarity: Model 1 = 3, Model 2 = 5; Evidence: Model 1 omits numerous explicitly requested attributes, such as cooling rates/peak temperatures for `ThermalCycleSimulator`, principal investigator for `ResearchProject`, and processing steps/validation for `HeatTreatmentProfile`. Model 2 accurately includes these detailed attributes (e.g., `coolingRate: Float`, `principalInvestigator: String`, `isValidated: Boolean`) and maintains excellent clarity.
Total: Model 1 = 7, Model 2 = 15
Choice: B
Reason:
1. Requirement Alignment: Model 2 strictly follows the prompt and models all operational concepts, whereas Model 1 omits vital traceability components like `BatchRecord`.
2. Relationships and Cardinalities: Model 2 excels at demonstrating UML best practices by distinguishing between ownership (composition), reference (association), and usage (dependency), complete with detailed multiplicities. Model 1 is too simplistic and misses the semantic depth of the domain connections.
3. Attributes and Clarity: Model 2 thoroughly maps the detailed attributes mentioned in the text to their respective classes, providing a much more useful and complete domain model compared to Model 1's sparse attribute lists.
4. Overall judgment: Model 2 is significantly more comprehensive, structurally sound, and faithfully aligned with the provided domain requirements, making it the clear winner.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</si>
  <si>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</si>
  <si>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all conceptual classes specified in the requirements, including 'BatchRecord'. Model 2 includes most classes but completely misses 'BatchRecord', which is explicitly required to link regulatory standards to specific batches.
2. Associations/Multiplicities between classes for domain reasoning: Model 1 = 4, Model 2 = 2; Evidence: Model 1 defines multiplicities and directions for most key associations (e.g., `AlloyBatch "1" *-- "0..*" MaterialSpecimen`, `BatchRecord "0..*" --&gt; "1" AlloyBatch`). Model 2 largely uses generic unlabelled, un-directional associations without multiplicities (e.g., `MaterialSpecimen -- ElementComposition`, `ThermalAnalysisRun -- HeatTreatmentProfile`), missing critical domain reasoning context. 
3. Model attributes with appropriate data types: Model 1 = 4, Model 2 = 2; Evidence: Model 1 includes many required attributes and methods (e.g., `processingSteps` in `HeatTreatmentProfile`, `principalInvestigator` in `ResearchProject`, `identifyStablePhases()` in `PhaseDiagramCalculator`). Model 2 leaves a large number of classes completely empty (e.g., `ElementComposition`, `ExperimentPlanner`, `ProcessController`, `BatchRecord` missing entirely) and omits required attributes.
4. Consistencies of Terminology with given context: Model 1 = 5, Model 2 = 4; Evidence: Model 1 accurately reflects the domain terminology across attributes, classes, and methods (e.g., `austenite`, `ferrite`, `identifyStablePhases`, `checkEquilibrium`). Model 2 uses mostly correct terminology but suffers from omitting major portions of the required text terms due to empty classes.
5. Adherence of UML class diagram standards: Model 1 = 5, Model 2 = 4; Evidence: Both models use correct PlantUML syntax. Model 1 properly utilizes aggregation/composition and dependency arrows to show usage. Model 2 relies entirely on simple associations, failing to distinguish between different types of relationships, though it remains syntactically valid.
Total: Model 1 = 23, Model 2 = 16
Choice: A
Reason:
1. Appropriate conceptual classes aligned with the domain: Model 1 correctly identifies all domain classes, including the crucial `BatchRecord` class. Model 2 misses `BatchRecord`.
2. Associations/Multiplicities between classes for domain reasoning: Model 1 effectively uses directional associations, dependencies, and multiplicities to model the complex relationships of the manufacturing and testing processes. Model 2 largely ignores multiplicities and relationship types, defaulting to basic undirected lines.
3. Model attributes with appropriate data types: Model 1 captures a significant portion of the attributes and behavioral methods required by the prompt. Model 2 leaves more than half of its classes completely empty, missing essential domain attributes and operations.
4. Overall judgment: Model 1 is vastly superior because it provides a much more complete and accurate representation of the system. It captures the necessary classes, populates them with the requested attributes and operations, and defines rich relationships with multiplicities. Model 2 is incomplete, lacking critical attributes, an important class, and the detailed relationships required for accurate domain modeling.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</si>
  <si>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</si>
  <si>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captures many classes but misses the crucial `BatchRecord` (linking regulatory standards to batches), whereas Model 2 accurately captures all conceptual classes explicitly mentioned in the text, including `BatchRecord`.
2. Associations/Multiplicities between classes for domain reasoning: Model 1 = 2, Model 2 = 5; Evidence: Model 1 is missing multiplicities for the majority of its relationships (e.g., between `MaterialSpecimen` and `ElementComposition`, or `ThermalAnalysisRun` and `HeatTreatmentProfile`) and lacks key links such as `MicrostructureAnalysis` referencing `PhaseDiagramCalculator`. Model 2 provides thorough associations with accurate multiplicities and navigabilities for all required relationships.
3. Model attributes with appropriate data types: Model 1 = 2, Model 2 = 5; Evidence: Model 1 leaves many classes completely empty (e.g., `PhaseDiagramCalculator`, `ThermalCycleSimulator`, `ResearchProject` is missing `principalInvestigator`, `BatchRecord` fields are absent). Model 2 accurately extracts attributes and operations across the board, such as `coolingRate` and `peakTemperature` for `ThermalCycleSimulator`, and includes methods like `identifyStablePhases()`.
4. Consistencies of Terminology with given context: Model 1 = 4, Model 2 = 5; Evidence: Both models use domain terminology well, but Model 1 drops some key terms by omitting classes and fields (like `BatchRecord` and `principalInvestigator`). Model 2 perfectly aligns with all terminology from the prompt.
5. Adherence of UML class diagram standards: Model 1 = 4, Model 2 = 5; Evidence: Model 1 is syntactically valid but overly simplistic, relying mostly on basic unannotated association lines. Model 2 utilizes a rich set of UML notation correctly, including directed associations, dependencies, aggregations/compositions, and proper multiplicities.
Total: Model 1 = 15, Model 2 = 25
Choice: B
Reason:
1. Appropriate conceptual classes: Model 2 correctly identifies all classes required by the domain logic, including intermediate entities like `BatchRecord`, while Model 1 omits this class entirely, incorrectly linking `ComplianceArchive` directly to `AlloyBatch`.
2. Associations/Multiplicities: Model 2 robustly maps out how domain entities interact (e.g., `ThermalAnalysisRun` utilizing `ThermalCycleSimulator`), complete with proper multiplicities. Model 1 is missing most multiplicities and leaves out critical dependencies required for domain reasoning.
3. Model attributes: Model 2 effectively captures both the state (attributes) and behavior (methods) detailed in the prompt, such as `principalInvestigator` for `ResearchProject` or `calculateExpenses()` for `CostEstimator`. Model 1 leaves a significant portion of its classes completely empty.
4. Overall judgment: Model 2 is significantly better because it thoroughly and accurately models the textual requirements, detailing attributes, methods, associations, and multiplicities, whereas Model 1 provides a very sparse, incomplete framework that misses critical domain elements.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</si>
  <si>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</si>
  <si>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2; Evidence: Model 1 uses specific structural relationships (e.g., composition `*--` for `AlloyBatch` and `MaterialSpecimen`, and directional dependencies `..&gt;` for interactions like `MicrostructureAnalysis` correlating `SpectroscopyData`) to promote low coupling. Model 2 relies entirely on generic, non-directional associations (e.g., `MaterialSpecimen -- ElementComposition`), failing to clarify dependency direction or lifecycle ownership, which increases apparent coupling.
2. Complexity: Model 1 = 5, Model 2 = 2; Evidence: Model 1 accurately captures the domain complexity by including the `BatchRecord` class to resolve the linkage between `RegulatoryStandard`, `AlloyBatch`, and its specific attributes (`primaryPhase`, `qualityStatus`). Model 2 completely omits the `BatchRecord` class. Furthermore, Model 1 models system behavior via methods (e.g., `identifyStablePhases()`, `filterResults()`, `approveBatch()`), whereas Model 2 leaves most classes empty and devoid of any behavior.
3. Practicability: Model 1 = 5, Model 2 = 2; Evidence: Model 1 presents a highly actionable design where attributes and methods match the required domain operations, providing a clear blueprint for developers (e.g., `SafetyProtocol` with `emergencyStop` and `temperatureLimit`). Model 2 misses significant details, inaccurately places `effectiveDate` inside `DesignConstraint` instead of `RegulatoryStandard`, and lacks the functional definitions necessary for real-world programming or testing.
Total: Model 1 = 15, Model 2 = 6
Choice: A
Reason:
1. Cohesion and Decoupling: Model 1 excels by applying appropriate dependency and composition arrows, cleanly separating conceptual boundaries and ensuring high cohesion within classes. Model 2's reliance on flat, unspecified associations makes the system's architecture ambiguous and coupled.
2. Complexity: Model 1 strikes the right balance by accurately reflecting the requirement's details, including capturing intermediate concepts like `BatchRecord` and relevant processing methods. Model 2 is overly simplistic, missing crucial domain classes, attributes, and entirely omitting behavioral methods.
3. Practicability: Model 1 provides a robust, detailed representation that could realistically guide software implementation and testing. Model 2 fails to serve as a practical reference due to empty classes, missing relationships (such as the connection between `RegulatoryStandard` and the batches), and misplaced attributes.
4. Overall judgment: Model 1 is vastly superior as it comprehensively models both the structural and behavioral requirements specified in the prompt with precise UML semantics, whereas Model 2 is incomplete and lacks essential domain details.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</si>
  <si>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</si>
  <si>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leaves several classes floating without any relationships (e.g., `ThermalCycleSimulator`, `CostEstimator`, `SupplierNetwork`, `QualityAssurance`, `ReportGenerator`), failing to establish proper coupling. Model 2 correctly connects all components, such as linking `ReportGenerator` to `PerformanceMetric` and `QualityAssurance`, and using appropriate dependencies (e.g., `StressTestRunner ..&gt; MaterialSpecimen`).
2. Complexity: Model 1 = 2, Model 2 = 5; Evidence: Model 1 is overly simplified, missing the required `BatchRecord` class entirely and lacking crucial methods/attributes across most classes (e.g., no `budget` or `principalInvestigator` in `ResearchProject`, no methods in `PhaseDiagramCalculator`). Model 2 includes all necessary domain classes like `BatchRecord` and correctly attributes the required properties and methods (e.g., `generateProfile()` in `ExperimentPlanner`, `coolingRate` in `ThermalCycleSimulator`), aligning perfectly with the requirement's complexity.
3. Practicability: Model 1 = 2, Model 2 = 5; Evidence: Model 1's omission of critical behaviors (methods) and domain linkages makes it impractical for programming or understanding the workflow. Model 2 represents a highly practical design, clearly showing how modules interact (e.g., `BatchRecord` associating `AlloyBatch` and `RegulatoryStandard`, `MicrostructureAnalysis` referencing `PhaseDiagramCalculator`), which supports robust implementation and testing.
Total: Model 1 = 6, Model 2 = 15
Choice: B
Reason:
1. Cohesion and Decoupling: Model 2 accurately defines the dependencies between different modules (such as QA, cost estimation, and testing), whereas Model 1 completely isolates several major components.
2. Complexity: Model 2 translates the domain requirements into a complete set of conceptual classes with appropriate attributes and operations. Model 1 misses the `BatchRecord` class and most of the required operational methods (like analyzing phases or verifying equilibrium).
3. Practicability: Model 2 provides a much clearer and comprehensive blueprint for the software. Its well-defined relationships and method allocations make it suitable for real-world development, while Model 1 is too incomplete to be useful.
4. Overall judgment: Model 2 is significantly better because it faithfully and comprehensively captures the domain's requirements, relationships, attributes, and behaviors, whereas Model 1 is heavily incomplete and features disconnected elements.
```</t>
  </si>
  <si>
    <t>AI-AssistedDrugDiscoveryPlatform</t>
  </si>
  <si>
    <t>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</si>
  <si>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</si>
  <si>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Strict Alignment with Requirements: Model 1 = 5, Model 2 = 4; Evidence: Model 1 accurately covers all functional requirements, including properly modeling the distinction between generic `Protocol` and `AssayProtocol` as stated in the prompt ("cohorts ... operate under protocols. Assay protocols... define methods"). Model 2 skips the generic protocol concept entirely and forcefully assigns `AssayProtocol` to cohorts. Model 1 also correctly maps "observational, randomized controlled, or cross-sectional" and adverse event categories to enums, whereas Model 2 misses several implied enumerations (using basic Strings for severity and categories).
2. Conceptual Classes and Relationships: Model 1 = 5, Model 2 = 3; Evidence: Model 1 effectively utilizes advanced UML relationships, applying composition (`*--`) for strong ownership paths outlined in the text, such as `ResearchProject *-- LaboratoryExperiment`, `LaboratoryExperiment *-- QuantitativeResult`, and `ClinicalTrial *-- StudyCohort`. It also uses an intermediate `RegulatoryReview` class to accurately capture the review process. Model 2 relies exclusively on basic unidirectional associations (`--&gt;`) and fails to demonstrate aggregation or composition, which limits the semantic depth of the data model. 
3. Class Names and Attributes: Model 1 = 5, Model 2 = 4; Evidence: Both models use clear class names aligned with the project vision. However, Model 1 is more comprehensive with its attributes. For instance, Model 1 captures `sequenceIdentifier` for `TargetProtein` and includes multiple relevant fields in `RegulatoryReview` and `CompoundReport`. Model 2 is slightly more basic, missing `sequenceIdentifier` (using only `sequenceId`) and lacking the detailed breakdown of variables in several classes.
Total: Model 1 = 15, Model 2 = 11
Choice: A
Reason:
1. Strict Alignment with Requirements: Model 1 provides a more complete translation of the domain requirements, especially in capturing the nuances of protocols and the closed-list categories (severity, event category, trial types) using Enumerations. Model 2 simplifies these into standard Strings, losing domain constraints.
2. Conceptual Classes and Relationships: Model 1 demonstrates a much stronger grasp of UML relationship types, appropriately applying composition to represent lifecycles (e.g., Experiments belonging to Projects, Results belonging to Experiments). Model 2's flat usage of standard directed associations leaves the structural ownership ambiguous. Model 1 also elegantly handles many-to-many concepts via intermediate classes like `RegulatoryReview`.
3. Rejected or checked issues: Model 1's use of inheritance (`Compound &lt;|-- DrugCandidate`) vs Model 2's association (`MolecularCompound --&gt; DrugCandidate`) for the phrase "serve as the basis for drug candidates" was evaluated. Both are valid semantic interpretations in object-oriented design (an entity can be a specialized form of a compound, or reference a base compound), so no penalties were applied to either for this choice. 
4. Overall judgment: Model 1 is significantly better. It fully leverages UML semantics (composition, inheritance, enumerations) to build a robust, domain-accurate representation of the drug discovery platform, whereas Model 2 provides a more superficial, associative map that overlooks important structural constraints.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</si>
  <si>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</si>
  <si>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Requirements: Model 1 = 5, Model 2 = 4; Evidence: Model 1 strictly adheres to the provided text, including all required attributes (e.g., `weight` and `chemicalFormula` for compounds, `amount`, `frequency`, `unit` for dosage regimens) without adding extra ones. Model 2 includes several hallucinated attributes not mentioned in the requirement, such as `budget` in `ResearchProject`, `address` in `Institution`, `email` and `expertise` in `Researcher`, and `capacity` in `ChemicalLibrary`. Model 1 captures the relationship "Compounds... serve as the basis for drug candidates" accurately via an association (`MolecularCompound "1" --&gt; "1" DrugCandidate : basis for`), whereas Model 2 uses inheritance (`Compound &lt;|-- DrugCandidate`), which is acceptable but less directly aligned with the phrasing.
Total: Model 1 = 5, Model 2 = 4
Choice: A
Reason:
1. Alignment with Requirements: Model 1 provides a highly accurate and strict translation of the text into UML. It models every specified class, attribute, and relationship exactly as described without adding unmentioned properties. Model 2 fulfills the requirements well but includes multiple additions and hallucinations (such as `budget`, `address`, `capacity`, and intermediate classes like `RegulatoryReview`) which violate the instruction to not make additions. 
2. Rejected or checked issues: Both models successfully manage complex associations like the ones between Safety Assessments, Toxicity Profiles, Adverse Events, and Dosage Regimens. The use of single-quote comments in Model 2 is correctly ignored as a PlantUML tooling annotation.
3. Overall judgment: Model 1 is better because it demonstrates a stricter adherence to the prompt's constraint against hallucinations and additions, while accurately capturing all required domain concepts, cardinalities, and associations.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</si>
  <si>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</si>
  <si>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4; Evidence: Model 1 accurately captures all domain concepts including `Protocol` (as a superclass) and `RegulatoryReview`. Model 2 misses the generic `Protocol` class (only including `AssayProtocol`) and omits a specific class for the regulatory review process, directly associating `RegulatoryAgency` with `DrugCandidate` instead.
2. Associations/Multiplicities between classes for domain reasoning: Model 1 = 5, Model 2 = 4; Evidence: Model 1 explicitly connects `StudyCohort` to `Protocol` and `ClinicalTrial` to `Compound`, directly matching the requirements ("Clinical trials... enroll specific compounds... operate under protocols"). Model 2 links `StudyCohort` exclusively to `AssayProtocol`, which limits the domain reasoning since cohorts operate under generic protocols, not necessarily just assay protocols. 
3. Model attributes with appropriate data types: Model 1 = 5, Model 2 = 4; Evidence: Model 1 effectively uses Enums (`EventCategory`, `SeverityLevel`, `DevelopmentStage`) to model the closed lists provided in the prompt (e.g., "allergic reactions, cardiovascular issues, or neurotoxicity"). Model 2 uses generic `String` data types for most of these attributes (e.g., `category: String`, `severityLevel: String` in `AdverseEvent`), which is slightly less precise.
4. Consistencies of Terminology with given context: Model 1 = 5, Model 2 = 5; Evidence: Both models successfully use the exact terminology from the text, such as `PharmacokineticStudy`, `DosageRegimen`, `SimulationModel`, and `BindingAffinity`.
5. Adherence of UML class diagram standards: Model 1 = 5, Model 2 = 5; Evidence: Both models correctly apply UML class diagram semantics including classes, attributes, data types, generalizations (`&lt;|--`), and associations (`--&gt;`, `*--`) without any syntax errors or standard violations.
Total: Model 1 = 25, Model 2 = 22
Choice: A
Reason:
1. Appropriate conceptual classes aligned with the domain: Model 1 captures intermediate and generalized classes like `Protocol` and `RegulatoryReview` which provide a higher fidelity representation of the domain compared to Model 2's flattened approach.
2. Associations/Multiplicities between classes for domain reasoning: Model 1 implements the correct associations as outlined by the prompt, particularly in distinguishing between a generic `Protocol` applied to a `StudyCohort` versus an `AssayProtocol`. Model 2 incorrectly forces `StudyCohort` to rely strictly on `AssayProtocol`.
3. Model attributes with appropriate data types: Model 1 demonstrates superior attribute modeling by recognizing closed categorizations in the prompt and mapping them to formal Enums, whereas Model 2 relies heavily on less type-safe Strings.
4. Rejected or checked issues: I ignored the single-quote comments (e.g., `'opposite`) in Model 1 as they are standard PlantUML tooling annotations and do not violate UML semantics. Both models were evaluated strictly on their semantic relationships and domain accuracy.
5. Overall judgment: Model 1 is better because it provides a more comprehensive, type-safe, and structurally accurate representation of the described clinical and laboratory domain, especially regarding protocols, reviews, and categorical attributes.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</si>
  <si>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</si>
  <si>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4, Model 2 = 5; Evidence: Both models identify the majority of required classes. However, Model 2 correctly introduces a generic `Protocol` class that `AssayProtocol` extends, matching the requirement that cohorts "operate under protocols" while "Assay protocols... define methods". Model 1 only includes `AssayProtocol`. Model 2 also correctly names `AdverseEventReport` as specified in the text, whereas Model 1 names it `AdverseEvent`.
2. Associations/Multiplicities between classes for domain reasoning: Model 1 = 4, Model 2 = 5; Evidence: Model 2 properly links `ClinicalTrial` to `Compound` ("Clinical trials... enroll specific compounds"), whereas Model 1 links `ClinicalTrial` to `DrugCandidate`. Furthermore, Model 2 links `StudyCohort` to `Protocol`, while Model 1 directly links it to `AssayProtocol`, which limits the domain accurately describing general study protocols vs. specific assay protocols.
3. Model attributes with appropriate data types: Model 1 = 4, Model 2 = 5; Evidence: Both models adequately assign attributes. However, Model 2 captures the severity levels and event categories effectively using enumerations (`SeverityLevel`, `EventCategory`), and nicely models the `DevelopmentStage` as an Enum, showing a more thorough extraction of domain values. Model 1 relies on plain `String` types for these constrained domain concepts.
4. Consistencies of Terminology with given context: Model 1 = 4, Model 2 = 5; Evidence: Model 2 is slightly more consistent with the exact phrasing in the text, using `AdverseEventReport` over Model 1's `AdverseEvent`, and clearly separating general `Protocol` from `AssayProtocol`.
5. Adherence of UML class diagram standards: Model 1 = 5, Model 2 = 5; Evidence: Both models present structurally sound PlantUML diagrams with correct class definitions, associations, and valid syntax without any layout-breaking errors.
Total: Model 1 = 21, Model 2 = 25
Choice: B
Reason:
1. Appropriate conceptual classes aligned with the domain: Model 2 provides a more comprehensive class structure by explicitly modeling both `Protocol` and `AssayProtocol` (handling inheritance correctly) and capturing the specific `AdverseEventReport` entity, whereas Model 1 collapses some of these concepts.
2. Associations/Multiplicities between classes for domain reasoning: Model 2 is more accurate to the text's relationships. It accurately enrolls general compounds in clinical trials and associates study cohorts with generic protocols. Model 1 restricts cohorts specifically to assay protocols, which contradicts the broader phrasing of the requirement. 
3. Rejected or checked issues: Model 2 uses opposite-direction comments on associations (e.g., `'opposite parentProject`). As per the forbidden penalties, these are standard tooling annotations and were strictly ignored during evaluation, neither penalizing nor rewarding Model 2. Furthermore, Model 2's usage of explicit Enums for examples given with "such as" was not penalized or strictly required, but its structural implementation of required categorical constraints is highly effective.
4. Overall judgment: Model 2 is the better diagram due to a more precise interpretation of the domain logic, better resolution of general versus specific entities (like Protocols), and more accurate association mapping (such as Compound to Clinical Trial).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</si>
  <si>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</si>
  <si>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4; Evidence: Model 1 correctly abstracts `Protocol` as a base class and `AssayProtocol` as a subclass, assigning `Protocol` to `StudyCohort`, which keeps the general protocol concept decoupled from the specific assay methods. Model 2 directly couples `StudyCohort` to `AssayProtocol`, which limits the types of protocols cohorts can operate under. Additionally, Model 1 links `DataValidator` directly to `QuantitativeResult`, whereas Model 2 links it to `LaboratoryExperiment`, making Model 1 slightly more cohesive regarding data integrity validation.
2. Complexity: Model 1 = 5, Model 2 = 4; Evidence: Both models manage the large number of entities well. However, Model 1 correctly translates the closed lists in the requirements (e.g., "allergic reactions, cardiovascular issues, or neurotoxicity", "mild, moderate, severe, life-threatening") into Enums (`EventCategory`, `SeverityLevel`), effectively managing domain complexity through strong typing. Model 2 uses basic `String` attributes for `category` and `severityLevel` in `AdverseEvent`, which pushes validation complexity into the application logic rather than structural design.
3. Practicability: Model 1 = 5, Model 2 = 4; Evidence: Model 1 is highly practical and ready for implementation. The robust use of Enums (`DevelopmentStage`, `TrialType`) prevents invalid data entry. Furthermore, Model 1 introduces a `RegulatoryReview` associative class to capture the review relationship between `RegulatoryAgency` and `DrugCandidate`, which is crucial for tracking review dates and decisions in a real-world system. Model 2 simply draws a direct line between the two, which lacks extensibility for auditing and tracking.
Total: Model 1 = 15, Model 2 = 12
Choice: A
Reason:
1. Cohesion and Decoupling: Model 1 successfully decouples general study protocols from specific assay protocols using generalization, while Model 2 inaccurately binds study cohorts directly to assay protocols.
2. Complexity: Model 1 accurately captures the domain's bounded concepts using proper enumerations, whereas Model 2 oversimplifies these constraints by defaulting to String types, missing an opportunity to restrict invalid states.
3. Practicability: Model 1 represents a more mature, implementation-ready design. It includes necessary intermediate classes (like `RegulatoryReview`) to manage real-world business processes and correctly distributes relationships, whereas Model 2 is slightly too simplistic in its relationship mapping.
4. Overall judgment: Model 1 is superior because it accurately reflects the exact terminology and constraints of the prompt, utilizes UML features (like Enums and Generalization) appropriately, and presents a highly robust schema suitable for the described drug discovery platform. Model 2 is decent but falls short in structural precision and type safety.</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</si>
  <si>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</si>
  <si>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3; Evidence: Model 1 separates a compound's chemical identity from its lifecycle role by using an association (`MolecularCompound "1" --&gt; "1" DrugCandidate : basis for`), which ensures high cohesion. Model 2 mixes chemical structure classification and lifecycle roles by making both `SmallMolecule` and `DrugCandidate` direct subclasses of `Compound` (`Compound &lt;|-- SmallMolecule`, `Compound &lt;|-- DrugCandidate`), leading to overlapping classification and tighter coupling between identity and state. However, Model 2 effectively decouples general protocols from specific assay protocols (`Protocol &lt;|-- AssayProtocol`).
2. Complexity: Model 1 = 4, Model 2 = 4; Evidence: Both models maintain a balanced and appropriate level of complexity, capturing the extensive domain requirements without over-engineering. Model 1 uses 30 conceptual nodes, utilizing generic `String` attributes for categorical data (`category: String`, `severityLevel: String`). Model 2 introduces slightly more complexity by explicitly modeling these constraints as enumerations (`EventCategory`, `SeverityLevel`, `DevelopmentStage`), which accurately reflects the closed lists provided in the prompt (e.g., allergic reactions, cardiovascular).
3. Practicability: Model 1 = 4, Model 2 = 4; Evidence: Model 2 is highly practical in mapping the exact data workflows; for instance, it links `StatisticalAnalysis` directly to `QuantitativeResult` (`StatisticalAnalysis --&gt; "*" QuantitativeResult`), directly satisfying "data from these experiments undergoes statistical analysis." Model 1 links the analysis to the experiment itself (`LaboratoryExperiment "1" --&gt; "1" StatisticalAnalysis`). Additionally, Model 2 introduces a `RegulatoryReview` class to practically track the outcomes of agency reviews, whereas Model 1 uses a direct association (`DrugCandidate "*" --&gt; "*" RegulatoryAgency`). Conversely, Model 1 avoids Model 2's multiple-inheritance trap for compounds, making its core domain structure easier to implement in single-inheritance object-oriented environments.
Total: Model 1 = 12, Model 2 = 11
Choice: C
Reason:
1. Cohesion and Decoupling: Model 1 provides a structurally sounder approach to handling compounds and their transition to drug candidates by utilizing composition/association rather than inheritance. Model 2's approach to subclassing `Compound` into `DrugCandidate` alongside `SmallMolecule` introduces overlapping classifications that would require complex multiple inheritance. 
2. Complexity: Both models successfully manage the intricate requirements. Model 2's addition of enumerations maps perfectly to the specific categorical examples listed in the prompt, making it slightly more expressive, while Model 1 remains straightforward and easy to digest.
3. Practicability: Model 2 offers superior traceability for the data processing requirements by properly linking data validators and statistical analyses to the quantitative results rather than the overarching laboratory experiments. Model 2 also correctly introduces a base `Protocol` class for study cohorts to operate under, whereas Model 1 directly assigns the specialized `AssayProtocol` to cohorts.
4. Overall judgment: Both models possess distinct strengths and minor flaws. Model 1 excels in its foundational object-oriented structuring (avoiding conflicting inheritance trees for compounds), while Model 2 excels in accurately depicting the fine-grained relationships and workflows between data, protocols, and analyses. Because these benefits and drawbacks balance out in terms of overall software design quality, they tie.</t>
  </si>
  <si>
    <t>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</si>
  <si>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</si>
  <si>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&amp; Functionality Coverage: Model 1 = 5, Model 2 = 2; Evidence: Model 1 includes all required concepts such as `ChemicalLibrary`, `ToxicityProfile`, `AdverseEventReport`, `SafetyAssessment`, `PharmacokineticStudy`, `RegulatoryAgency`, and `PublicationRecord`. Model 2 completely omits these entities, missing significant portions of the required functionality (e.g., regulatory review, safety assessments, and publications).
2. Relationships, Cardinalities, and Types: Model 1 = 5, Model 2 = 1; Evidence: Model 1 correctly applies composition (`ResearchProject *-- "*" LaboratoryExperiment`), inheritance (`Compound &lt;|-- SmallMolecule`, `Protocol &lt;|-- AssayProtocol`), and clearly defined multiplicities (e.g., `Compound --&gt; "1..*" ChemicalLibrary`). Model 2 lacks cardinalities/multiplicities entirely and oversimplifies relationships (e.g., using basic associations or aggregations without multiplicity logic like `Researcher -- Project`).
3. Class Names and Attributes: Model 1 = 5, Model 2 = 2; Evidence: Model 1 captures detailed attributes mentioned in the prompt, such as `solventInclusion` and `forceFieldConfig` in `SimulationModel`, and `patientNotes` in `AdverseEventReport`. Model 2 lumps multiple distinct concepts into single attributes (e.g., `developmentStage`, `dosageRegimen`, `toxicityProfile` are just string attributes in `DrugCandidate`) or omits them entirely.
Total: Model 1 = 15, Model 2 = 5
Choice: A
Reason:
1. Alignment with Requirements &amp; Functionality Coverage: Model 1 comprehensively covers the end-to-end drug discovery lifecycle as described in the prompt, including safety assessments, adverse event reporting, pharmacokinetic studies, and regulatory reviews. Model 2 leaves out over half of the requested domain, failing to achieve the required functionalities.
2. Relationships, Cardinalities, and Types: Model 1 excels at mapping the exact structural requirements using precise UML features like compositions, inheritances, and bidirectional associations with explicit multiplicities. Model 2 provides a skeleton with no multiplicities and very few explicit relationship semantics.
3. Class Names and Attributes: Model 1 translates the textual requirements accurately into typed attributes and enumerations (e.g., `DevelopmentStage`, `EventCategory`). Model 2 improperly simplifies complex objects (like toxicity profiles and dosage regimens) into basic String attributes, entirely losing the internal structure mandated by the prompt (e.g., amount, frequency, unit for regimens).
4. Overall judgment: Model 1 is a highly accurate, fully featured, and semantically rich representation of the complex requirements. Model 2 is incomplete, lacks standard UML constraints like multiplicities, and misses critical domain concepts, making Model 1 the clear winner.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</si>
  <si>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</si>
  <si>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 Alignment (Completeness &amp; No Hallucinations): Model 1 = 1, Model 2 = 5; Evidence: Model 1 misses a vast majority of the functional requirements, completely omitting essential domains like regulatory review (`RegulatoryAgency`), safety tracking (`SafetyAssessment`, `AdverseEventReport`), chemical storage (`ChemicalLibrary`), and cohorts (`StudyCohort`). Model 2 comprehensively addresses all end-to-end requirements, covering everything from compound identification and simulation to clinical testing, pharmacokinetics, and regulatory review, without introducing out-of-scope functional hallucinations.
2. Conceptual Classes and Essentials: Model 1 = 1, Model 2 = 5; Evidence: Model 1 lumps complex concepts into basic strings or disconnected enums (e.g., `CompoundType` enum is unlinked, `developmentStage` is just a string). Model 2 accurately captures the essentials by introducing explicit conceptual classes mapped directly to the prompt, such as `SmallMolecule`, `Biologic`, `AssayProtocol`, `BindingAffinity`, and `PublicationRecord`. 
3. Associations, Cardinalities, and Relationship Types: Model 1 = 2, Model 2 = 5; Evidence: Model 1 provides some basic aggregations (e.g., `Project o-- Experiment`) but entirely omits cardinalities/multiplicities, making it impossible to evaluate structural constraints. Model 2 features a robust mix of relationship types, applying inheritance correctly (`Protocol &lt;|-- AssayProtocol`, `Compound &lt;|-- SmallMolecule`), appropriate compositions (`ClinicalTrial *-- "*" StudyCohort`, `DrugCandidate *-- "1" DosageRegimen`), and precise cardinalities (e.g., `1..*` for `ChemicalLibrary` storage).
4. Attributes and Class Names: Model 1 = 2, Model 2 = 5; Evidence: Model 1 has very shallow attribute definitions, often missing required details (e.g., `SimulationModel` lacks solvent inclusion and force field configs; `DosageRegimen` is modeled as a simple string instead of capturing amount, frequency, and unit). Model 2 maps attributes explicitly to the requirements (e.g., `solventInclusion : boolean`, `forceFieldConfig : String` in `SimulationModel`; specific `SeverityLevel` and `EventCategory` enums in `AdverseEventReport`).
Total: Model 1 = 6, Model 2 = 20
Choice: B
Reason:
1. Requirement Alignment (Completeness &amp; No Hallucinations): Model 2 captures the entirety of the complex, multi-domain prompt. Model 1 omits critical lifecycle stages, regulatory concepts, safety assessments, and cohort management definitions.
2. Conceptual Classes and Essentials: Model 2 translates the text into a rich ecosystem of distinct classes (e.g., `PharmacokineticStudy`, `AdverseEventReport`, `ChemicalLibrary`) exactly as required. Model 1 simplifies to the point of severe omission.
3. Associations, Cardinalities, and Relationship Types: Model 2 leverages proper UML syntax including multiplicities (`1`, `*`, `1..*`), composition, and inheritance to define the strict structural rules of the domain. Model 1 completely lacks multiplicity values and misses numerous relationships.
4. Attributes and Class Names: Model 2 faithfully represents internal class details mandated by the prompt (e.g., dosage amounts/units, simulation configurations, toxicity flags). Model 1 abstracts these away into primitive strings or omits them entirely.
5. Rejected or checked issues: Model 2 includes PlantUML single-quote comments (e.g., `'opposite parentProject`). As per the forbidden penalties, these were completely ignored and did not negatively impact Model 2's score. Model 2 also added standard transparent refinements like `budget` or `email`, which were not penalized as they support the base requirement context naturally.
6. Overall judgment: Model 2 is an exceptionally well-designed, comprehensive UML class diagram that deeply reflects the complex business logic of the drug discovery platform. Model 1 is far too simplistic and fails to fulfill most of the prompt's instructions. Response 2 is vastly superior.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</si>
  <si>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</si>
  <si>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correctly identifies an exhaustive list of classes aligned with the prompt, including `Institution`, `ChemicalLibrary`, `SafetyAssessment`, `AdverseEventReport`, `PharmacokineticStudy`, `RegulatoryAgency`, and `PublicationRecord`. Model 2 misses the majority of these critical domain classes, incorrectly simplifying concepts like `ToxicityProfile` and `DosageRegimen` into string attributes.
2. Associations/Multiplicities between classes for domain reasoning: Model 1 = 5, Model 2 = 1; Evidence: Model 1 provides rich, accurate associations with explicit multiplicities (e.g., `ResearchProject *-- "*" LaboratoryExperiment`, `ClinicalTrial *-- "*" StudyCohort`). Model 2 completely omits multiplicities (e.g., `Researcher -- Project`) and misses vital domain relationships entirely (e.g., no link between trials and cohorts, or compounds and simulation models).
3. Model attributes with appropriate data types: Model 1 = 5, Model 2 = 2; Evidence: Model 1 assigns proper data types and distributes attributes accurately according to the prompt (e.g., `SimulationModel` includes `solventInclusion : boolean` and `forceFieldConfig : String`). Model 2 lumps attributes erroneously (e.g., putting `meanValue`, `timestamp`, and `log` into `Result`) and completely drops many specific requirements like the force field configurations or adverse event severity levels.
4. Consistencies of Terminology with given context: Model 1 = 5, Model 2 = 2; Evidence: Model 1's terminology perfectly reflects the given text (e.g., `PharmacokineticStudy`, `StudyCohort`, `AssayProtocol`). Model 2 is missing a substantial portion of the domain vocabulary and uses generic alternatives or misses context-specific terms entirely.
5. Adherence of UML class diagram standards: Model 1 = 5, Model 2 = 3; Evidence: Model 1 fully complies with UML standards, utilizing appropriate compositions (`*--`), inheritances (`&lt;|--`), multiplicities, and enums. Model 2 produces valid syntax but completely ignores multiplicity notations, leading to a much weaker structural model.
Total: Model 1 = 25, Model 2 = 10
Choice: A
Reason:
1. Appropriate conceptual classes: Model 1 identifies all necessary classes detailed in the prompt. Model 2 omits most of the core systems (libraries, safety assessments, cohorts, regulatory entities, etc.).
2. Associations/Multiplicities: Model 1 correctly links the vast system with proper cardinalities. Model 2 lacks cardinalities and misses numerous links.
3. Model attributes: Model 1 captures detailed attributes flawlessly. Model 2 misses many and incorrectly groups others.
4. UML adherence: Model 1 uses the full extent of UML capabilities required for this domain (inheritance, composition, aggregation, enums). Model 2 is too basic and lacks structural rigor.
5. Overall judgment: Model 1 provides a comprehensive, highly accurate domain model that captures the end-to-end drug discovery lifecycle perfectly. Model 2 is vastly oversimplified, missing key functional areas, multiplicities, and specific attributes. Therefore, Model 1 is vastly superior.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</si>
  <si>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</si>
  <si>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2, Model 2 = 5; Evidence: Model 1 misses numerous key domain concepts such as `SafetyAssessment`, `PharmacokineticStudy`, `RegulatoryAgency`, `PublicationRecord`, `StudyCohort`, and models `DosageRegimen` and `ToxicityProfile` as mere attributes. Model 2 perfectly identifies all required classes and enums, including `AdverseEventReport`, `ChemicalLibrary`, `AssayProtocol`, and compound subclasses (`SmallMolecule`, `Biologic`, etc.).
2. Associations/Multiplicities between classes for domain reasoning: Model 1 = 1, Model 2 = 5; Evidence: Model 1 completely lacks explicit multiplicities on its association lines and misses many critical relationships (e.g., between cohorts and protocols, or simulation models and compounds). Model 2 correctly applies all essential associations with accurate multiplicities (e.g., `ClinicalTrial *-- "*" StudyCohort`, `Compound --&gt; "1..*" ChemicalLibrary`).
3. Model attributes with appropriate data types: Model 1 = 2, Model 2 = 5; Evidence: Model 1 lacks attributes for specific data integrity schemas, clinical trial sizes, adverse event categories, solvent inclusion, and validation dates. Model 2 accurately models all specified attributes with appropriate types (e.g., `isCarcinogenic: boolean`, `solventInclusion: boolean`, `validationDate: Date`, and enums for severity and trial type).
4. Consistencies of Terminology with given context: Model 1 = 3, Model 2 = 5; Evidence: Model 1 uses generalized terms and misses the depth of the domain (e.g., just `Report` instead of `CompoundReport`, `Result` instead of `QuantitativeResult`). Model 2 strictly adheres to the domain terminology provided in the prompt (e.g., `AssayProtocol`, `BindingAffinity`, `PharmacokineticStudy`).
5. Adherence of UML class diagram standards: Model 1 = 3, Model 2 = 5; Evidence: Model 1 forms a valid diagram but completely omits standard multiplicity notations on relationships. Model 2 fully adheres to UML standards, utilizing composition (`*--`), inheritance (`&lt;|--`), and explicit multiplicities seamlessly.
Total: Model 1 = 11, Model 2 = 25
Choice: B
Reason:
1. Appropriate conceptual classes aligned with the domain: Model 2 captures the entirety of the complex requirement, instantiating necessary entities like `SafetyAssessment`, `RegulatoryReview`, and `PharmacokineticStudy`, whereas Model 1 abstracts or outright misses the majority of the domain.
2. Associations/Multiplicities between classes for domain reasoning: Model 2 establishes a fully connected and logically sound entity relationship graph with precise multiplicities. Model 1 provides only barebones links without any multiplicity constraints.
3. Model attributes with appropriate data types: Model 2 effectively maps detailed domain properties to accurately typed attributes (including custom enums for statuses and categories), while Model 1 omits most of the detailed attributes required by the prompt.
4. Consistencies of Terminology: Model 2 faithfully uses the specific vocabulary of the prompt, ensuring no semantic loss. Model 1 is overly generic.
5. Adherence to UML standards: Model 2 represents a robust, highly detailed UML class diagram utilizing proper syntax for diverse relation types (inheritance, composition, unidirectional associations).
6. Overall judgment: Model 2 is vastly superior. It provides a comprehensive, accurate, and structurally complete representation of the AI-Assisted Drug Discovery Platform, addressing all elements of the extensive prompt. Model 1 is incomplete, omitting a significant portion of the domain.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</si>
  <si>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</si>
  <si>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separates distinct concepts into separate classes (e.g., `DrugCandidate`, `DosageRegimen`, `ToxicityProfile`, `AdverseEventReport`), leading to high cohesion. Model 2 collapses complex concepts into simple String attributes within `DrugCandidate` (`dosageRegimen: String`, `toxicityProfile: String`) and merges `log`, `meanValue`, and `timestamp` into a single `Result` class, which reduces cohesion and muddles responsibilities.
2. Complexity: Model 1 = 5, Model 2 = 2; Evidence: Model 1 utilizes an appropriate number of classes (over 30) and an inheritance depth of 1 (`Compound` -&gt; `SmallMolecule`, `Biologic`, etc.) to accurately reflect the dense requirements. Model 2 is overly simplistic (14 classes), ignoring massive portions of the prompt (e.g., missing `RegulatoryAgency`, `PublicationRecord`, `PharmacokineticStudy`, `SafetyAssessment`) and failing to represent the required complexity of the domain.
3. Practicability: Model 1 = 5, Model 2 = 2; Evidence: Model 1 provides a highly detailed, modular, and readable design that tracks the entire pipeline from `Compound` to `ClinicalTrial` and `RegulatoryReview`, making it highly practical for a real-world enterprise system. Model 2 is too incomplete to be practical, missing key associations and regulatory workflows necessary for an end-to-end drug discovery platform.
Total: Model 1 = 15, Model 2 = 6
Choice: A
Reason:
1. Cohesion and Decoupling: Model 1 excels by extracting complex attributes into dedicated classes (such as `DosageRegimen` and `ToxicityProfile`), whereas Model 2 improperly uses basic String fields for these intricate domain objects, weakening class cohesion.
2. Complexity: Model 1 perfectly balances the complexity demanded by the extensive requirements, utilizing sensible inheritance and composition. Model 2 is vastly under-designed and misses multiple key entities explicitly requested in the prompt, such as regulatory agencies, safety assessments, and publication records.
3. Practicability: Model 1 is a robust, end-to-end representation of the platform that supports testing and modular development. Model 2's omissions render it unusable for the requested scope.
4. Overall judgment: Model 1 is significantly better because it faithfully and comprehensively models the detailed requirements with excellent domain-driven design, whereas Model 2 is overly simplistic and incomplete.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</si>
  <si>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</si>
  <si>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lumps complex entities into basic string attributes (e.g., `DrugCandidate` contains `dosageRegimen: String` and `toxicityProfile: String`), leading to poor cohesion and hiding domain logic. Model 2 effectively decouples these concepts into their own highly cohesive classes (`DosageRegimen` with `amount`, `frequency`, `unit`, and `ToxicityProfile` with `isCarcinogenic`), linking them via composition to `DrugCandidate`.
2. Complexity: Model 1 = 2, Model 2 = 5; Evidence: Model 1 is overly simplistic (15 classes) and misses multiple conceptual classes outlined in the requirements, such as `Institution`, `StudyCohort`, `SafetyAssessment`, `PharmacokineticStudy`, and `RegulatoryAgency`. Model 2 balances complexity perfectly (approx. 32 classes), capturing the domain accurately by utilizing inheritance (`Compound` extended by `SmallMolecule`, `Biologic`, etc.) and appropriately scoped enumerations (`DevelopmentStage`, `TrialType`, `EventCategory`).
3. Practicability: Model 1 = 2, Model 2 = 5; Evidence: Model 1 lacks critical relationships and structures required to build the software (e.g., missing the connection between `StudyCohort` and `TargetProtein` or `Protocol`, and omitting regulatory and publication tracking entirely). Model 2 offers a fully comprehensive and modular representation, providing correct multiplicity constraints, clear relationships (e.g., `ClinicalTrial *-- "*" StudyCohort`), and thorough coverage of the end-to-end drug discovery pipeline, making it highly practical for real-world implementation.
Total: Model 1 = 6, Model 2 = 15
Choice: B
Reason:
1. Cohesion and Decoupling: Model 2 correctly delegates responsibilities to specific classes (like `AdverseEventReport`, `StatisticalAnalysis`, and `SafetyAssessment`) instead of flattening them into primitive strings or ignoring them, as Model 1 does.
2. Complexity: Model 2 introduces the necessary depth and breadth to accurately model the requirements without unnecessary clutter. It uses enums for specific states/categories and explicit inheritance for compound types, whereas Model 1 leaves an isolated `CompoundType` enum unconnected to anything and misses half the domain objects.
3. Practicability: Model 2 represents a complete, robust architectural blueprint that supports all required workflows, including clinical trials, molecular analysis, and regulatory reviews. Model 1 is far too incomplete to be useful for software development.
4. Overall judgment: Model 2 is vastly superior as it meticulously follows the detailed requirements, applying excellent object-oriented design principles, while Model 1 is incomplete and oversimplified.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</si>
  <si>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</si>
  <si>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Completeness and Accuracy of Domain Classes: Model 1 = 5, Model 2 = 2; Evidence: Model 1 includes comprehensive classes for every concept mentioned in the requirements, such as `Institution`, `ExperimentLog`, `DosageRegimen`, `ToxicityProfile`, `SafetyAssessment`, `AdverseEvent`, `ChemicalLibrary`, `PharmacokineticStudy`, and `RegulatoryAgency`. Model 2 is heavily simplified and completely omits several critical entities (e.g., `SafetyAssessment`, `AdverseEvent`, `ChemicalLibrary`, `PharmacokineticStudy`, `RegulatoryAgency`, `StudyCohort`, `PublicationRecord`).
2. Relationships, Associations, and Cardinalities: Model 1 = 5, Model 2 = 2; Evidence: Model 1 explicitly defines multiplicities and clear relationships for all entities (e.g., `ResearchProject "1" --&gt; "*" LaboratoryExperiment`, `SafetyAssessment "*" --&gt; "1" ToxicityProfile`). Model 2 lacks cardinalities entirely, uses vague aggregations (`Protocol o-- ClinicalTrial`), and misses many necessary links because the respective classes are absent.
3. Attributes, Inheritance, and Types: Model 1 = 5, Model 2 = 2; Evidence: Model 1 accurately models inheritance (`MolecularCompound &lt;|-- SmallMolecule`, etc.), creates Enums for `StudyType` and `ModelStatus`, and places attributes exactly where requested (e.g., `DosageRegimen` has `amount`, `frequency`, `unit`). Model 2 flattens many complex objects into primitive string attributes (e.g., `dosageRegimen: String` and `toxicityProfile: String` inside `DrugCandidate`), thus failing to model their internal properties as mandated by the prompt.
Total: Model 1 = 15, Model 2 = 6
Choice: A
Reason:
1. Completeness and Accuracy of Domain Classes: Model 1 achieves full coverage of the detailed requirement. It successfully extracts and models the complex web of scientific concepts, regulatory aspects, and safety profiles. Model 2 falls significantly short, dropping vital components like adverse events, safety assessments, pharmacokinetic studies, and chemical libraries.
2. Relationships, Associations, and Cardinalities: Model 1 provides rich, meaningful associations with accurate directionality and cardinalities (e.g., mapping exactly how a `DrugCandidate` and `TargetProtein` relate via `BindingAffinity`). Model 2 lacks multiplicities and relies on a few generic links.
3. Attributes, Inheritance, and Types: Model 1 perfectly separates properties into their dedicated classes (like `DosageRegimen` and `ToxicityProfile`) and employs proper inheritance for compound types. Model 2 incorrectly uses Strings to represent complex domain objects and crams experimental data into a single `Result` class.
4. Overall judgment: Model 1 is vastly superior because it faithfully and precisely models a highly complex, interconnected domain according to the requirements, whereas Model 2 provides a drastically oversimplified and incomplete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</si>
  <si>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</si>
  <si>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Requirements Coverage &amp; No Additions: Model 1 = 2, Model 2 = 5; Evidence: Model 1 omits numerous core elements mandated by the prompt, such as Institutions, Chemical Libraries, Safety Assessments, Adverse Events, Pharmacokinetic Studies, Regulatory Agencies, and Publication Records. Model 2 comprehensively covers all these required functionalities without introducing hallucinations.
2. Relationships, Cardinalities, &amp; Hierarchy: Model 1 = 2, Model 2 = 5; Evidence: Model 1 lacks cardinalities on its associations and represents compound classifications merely as an enum without structural hierarchy. Model 2 explicitly models associations with clear directional indicators and cardinalities (e.g., `1` to `*`), and correctly uses inheritance to classify `MolecularCompound` into `SmallMolecule`, `Biologic`, `Peptide`, and `SyntheticCompound`.
3. Class Names &amp; Attributes: Model 1 = 2, Model 2 = 5; Evidence: Model 1 oversimplifies complex entities into basic strings (e.g., `dosageRegimen: String`, `toxicityProfile: String`) instead of proper structural classes. Model 2 extracts these into accurate conceptual classes with detailed attributes as requested (e.g., `DosageRegimen` with `amount`, `frequency`, `unit`; `SimulationModel` with `solventInclusion`, `forceFieldConfig`).
Total: Model 1 = 6, Model 2 = 15
Choice: B
Reason:
1. Requirements Coverage &amp; No Additions: Model 2 strictly aligns with the comprehensive nature of the prompt, capturing the entire end-to-end process from chemical libraries to regulatory review. Model 1 is heavily truncated and misses more than half of the requested domain concepts.
2. Relationships, Cardinalities, &amp; Hierarchy: Model 2 successfully incorporates detailed UML relationship semantics, including proper multiplicities (e.g., `DrugCandidate "1" --&gt; "*" PharmacokineticStudy`) and inheritance structures for molecular compounds. Model 1 fails to provide any multiplicities and uses vague aggregations.
3. Class Names &amp; Attributes: Model 2 properly represents complex concepts as classes with specific attributes (e.g., `AdverseEvent` with `category`, `severityLevel`, `isLifeThreatening`). Model 1 flattens these into simple primitive attributes on a few classes, losing the structural intent of the requirement.
4. Overall judgment: Model 2 is vastly superior. It accurately reflects the complex, interconnected domain of AI-assisted drug discovery with proper UML syntax, high detail, and strict adherence to the prompt. Model 1 is incomplete and semantically weak.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</si>
  <si>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</si>
  <si>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includes all domain-specific classes requested, such as `Institution`, `PublicationRecord`, `QuantitativeResult`, `ExperimentLog`, `StatisticalAnalysis`, `ChemicalLibrary`, `DosageRegimen`, `ToxicityProfile`, `AdverseEvent`, `SafetyAssessment`, `StudyCohort`, `PharmacokineticStudy`, and `RegulatoryAgency`. Model 2 is missing the majority of these classes, either omitting them entirely or improperly collapsing them into basic attributes (e.g., `DosageRegimen` and `ToxicityProfile` are just string attributes in `DrugCandidate`).
2. Associations/Multiplicities between classes for domain reasoning: Model 1 = 5, Model 2 = 2; Evidence: Model 1 models comprehensive associations with well-defined multiplicities (e.g., `SafetyAssessment` evaluating `ToxicityProfile` and `DosageRegimen`, `DrugCandidate` interactions, `PharmacokineticStudy` referencing `BindingAffinity`). Model 2 is missing a substantial amount of crucial domain reasoning associations because the classes are absent, and the associations it does provide lack any multiplicity literals (e.g., `Researcher -- Project`).
3. Model attributes with appropriate data types: Model 1 = 5, Model 2 = 2; Evidence: Model 1 maps all required attributes accurately to their respective classes with appropriate types (e.g., `amount: Float`, `frequency: String`, `unit: String` in `DosageRegimen`; `solventInclusion`, `forceFieldConfig` in `SimulationModel`). Model 2 places attributes in the wrong classes (e.g., `observationDate` in `Experiment` instead of a result class), misses several required attributes (e.g., `solventInclusion`, `forceFieldConfig`), and oversimplifies complex profiles into strings.
4. Consistencies of Terminology with given context: Model 1 = 5, Model 2 = 3; Evidence: Model 1 adheres strictly to the terminology provided in the prompt (e.g., `LaboratoryExperiment`, `QuantitativeResult`, `AssayProtocol`). Model 2 abbreviates or alters terminology noticeably (e.g., `Experiment` instead of `LaboratoryExperiment`, `Result` instead of `QuantitativeResult`, `Protocol` instead of `AssayProtocol`).
5. Adherence of UML class diagram standards: Model 1 = 5, Model 2 = 4; Evidence: Both models are syntactically valid in PlantUML. Model 1 fully utilizes UML elements like generalizations, enumerations, directional associations, and multiplicities. Model 2 lacks multiplicity definitions on its associations, making it slightly weaker in UML standard completeness, though visually understandable.
Total: Model 1 = 25, Model 2 = 13
Choice: A
Reason:
1. Appropriate conceptual classes aligned with the domain: Model 1 successfully incorporates all detailed domain components. Model 2 critically fails to represent a significant portion of the business logic, heavily collapsing required classes into strings or skipping them altogether.
2. Associations/Multiplicities between classes for domain reasoning: Model 1 provides a fully fleshed-out navigational structure with multiplicities. Model 2 lacks essential links and provides no multiplicities on the links it does include.
3. Model attributes with appropriate data types: Model 1 accurately places attributes with correct data types according to the prompt. Model 2 omits many required attributes and merges others improperly.
4. Consistencies of Terminology with given context: Model 1 is exact in its naming conventions compared to the prompt, whereas Model 2 uses shortened or generalized names.
5. Adherence of UML class diagram standards: Model 1 uses standard UML features effectively, while Model 2 is syntactically fine but semantically lacking in formal constraints like multiplicities.
6. Overall judgment: Model 1 is overwhelmingly superior as it faithfully and comprehensively implements every aspect of the extensive requirements. Model 2 is highly incomplete and oversimplified, missing large portions of the required domain logic.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</si>
  <si>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</si>
  <si>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2, Model 2 = 5; Evidence: Model 1 misses a significant number of core domain concepts such as `Institution`, `ChemicalLibrary`, `DosageRegimen`, `ToxicityProfile`, `AdverseEvent`, `SafetyAssessment`, `StudyCohort`, `PharmacokineticStudy`, and `RegulatoryAgency`. Model 2 successfully identifies and models all essential conceptual classes and enums as requested by the requirement.
2. Associations/Multiplicities between classes for domain reasoning: Model 1 = 1, Model 2 = 5; Evidence: Model 1 entirely omits multiplicities on all of its associations, rendering it impossible to reason about the numerical relationships (e.g., how many samples or projects). Model 2 correctly applies associations and multiplicities (e.g., `DrugCandidate "1" --&gt; "1" DosageRegimen`, `Researcher "1" --&gt; "*" ResearchProject`), capturing the full domain logic.
3. Model attributes with appropriate data types: Model 1 = 2, Model 2 = 5; Evidence: Due to missing classes, Model 1 lacks the vast majority of domain attributes. For example, it compresses the dosage regimen, toxicity profile, and validation status into basic strings or ignores them entirely. Model 2 accurately models all requested attributes with correct data types (e.g., `DosageRegimen` has `amount: Float`, `frequency: String`, `unit: String`; `AdverseEvent` has `isLifeThreatening: Boolean`).
4. Consistencies of Terminology with given context: Model 1 = 2, Model 2 = 5; Evidence: Model 1's terminology suffers due to oversimplification (e.g., cramming method protocols and cohorts into a generic `Protocol` or basic strings). Model 2 perfectly adheres to the provided domain vocabulary (`AssayProtocol`, `BindingAffinity`, `QuantitativeResult`, `SimulationModel`).
5. Adherence of UML class diagram standards: Model 1 = 3, Model 2 = 5; Evidence: Model 1 is syntactically valid PlantUML but neglects fundamental UML practices by excluding multiplicities on all relationships. Model 2 properly utilizes UML notations for generalization (`&lt;|--`), directed associations (`--&gt;`), enumerations, and multiplicities.
Total: Model 1 = 10, Model 2 = 25
Choice: B
Reason:
1. Appropriate conceptual classes: Model 2 captures the complete breadth of the complex requirements (including clinical trials, safety assessments, pharmacokinetics, and simulation models), whereas Model 1 misses well over half of the necessary entities.
2. Associations/Multiplicities: Model 2 defines clear, navigable relationships with explicit multiplicities, which are completely absent in Model 1, making Model 1 inadequate for relational database or object-oriented design reasoning.
3. Attributes: Model 2 successfully incorporates all detailed attributes requested in the prompt (e.g., simulation force fields, solvent inclusions, carcinogenicity flags, validation status) with logical data types. Model 1 omits almost all of these.
4. Overall judgment: Model 2 is an exceptionally thorough and accurate representation of the given text, adhering excellently to UML standards and domain modeling best practices. Model 1 is incomplete, lacks multiplicities, and misses critical domain requirements. Therefore, Model 2 is vastly superior.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</si>
  <si>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</si>
  <si>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separates distinct domain concepts into highly cohesive classes, such as extracting `DosageRegimen`, `ToxicityProfile`, and `SafetyAssessment` as separate entities interacting with `DrugCandidate`. Model 2 suffers from lower cohesion by flattening complex concepts into primitive attributes (e.g., `dosageRegimen: String` and `toxicityProfile: String` inside `DrugCandidate`) and merging distinct experimental outputs into a single `Result` class (`meanValue`, `timestamp`, `log`).
2. Complexity: Model 1 = 5, Model 2 = 2; Evidence: Model 1 matches the complex domain requirements accurately, utilizing appropriate inheritance for compound types (`SmallMolecule`, `Biologic`, etc.) and enumerations (`StudyType`, `ModelStatus`). Model 2 oversimplifies the domain, missing numerous required classes such as `ChemicalLibrary`, `RegulatoryAgency`, `PublicationRecord`, `PharmacokineticStudy`, `AdverseEvent`, and `StudyCohort`, leading to an artificially shallow architecture that fails to meet the specification.
3. Practicability: Model 1 = 5, Model 2 = 2; Evidence: Model 1 provides a highly practical, modular design where relationships like `SafetyAssessment` linking to `AdverseEvent` and `PharmacokineticStudy` referencing `BindingAffinity` are explicitly modeled, facilitating easier programming and testing. Model 2 lacks this modularity, omitting critical relationships and validators (e.g., `AssayProtocol` requiring a `Validator` is missing), which compromises its real-world viability for the requested platform.
Total: Model 1 = 15, Model 2 = 6
Choice: A
Reason:
1. Cohesion and Decoupling: Model 1 correctly decouples complex attributes into their own semantic classes (like `ExperimentLog`, `QuantitativeResult`, and `StatisticalAnalysis`), maintaining high cohesion. Model 2 improperly couples unrelated data fields into single classes (like placing `institution` as a String in `Researcher` and merging logs and mean values into `Result`).
2. Complexity: Model 1 strikes the right balance of complexity by accurately reflecting the detailed requirement, including depth in the inheritance tree for compounds and extensive domain associations. Model 2 is severely underdeveloped, missing over a dozen explicitly requested domain entities.
3. Practicability: Model 1's detailed mapping of relationships (e.g., tracking `StudyCohort` sizes and their focus on `TargetProtein`) makes it a fully functional blueprint for database and API design. Model 2's omissions and overuse of basic String types for complex objects render it impractical for actual implementation.
4. Overall judgment: Model 1 comprehensively covers the detailed requirements with excellent adherence to object-oriented design principles. Model 2 is vastly incomplete and oversimplified, failing to capture the core structure of the AI-Assisted Drug Discovery Platform. Therefore, Model 1 is significantly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</si>
  <si>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</si>
  <si>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bundles complex domain concepts into basic attributes (e.g., `toxicityProfile: String` and `dosageRegimen: String` in `DrugCandidate`), reducing cohesion. Model 2 appropriately separates these into distinct, dedicated classes (`ToxicityProfile`, `DosageRegimen`, `AdverseEvent`, `SafetyAssessment`), ensuring each class represents a singular concept with clear, decoupled relationships.
2. Complexity: Model 1 = 2, Model 2 = 5; Evidence: Model 1 has only 16 classes and misses significant portions of the required domain (omitting `ChemicalLibrary`, `StudyCohort`, `AdverseEvent`, `SafetyAssessment`, `PharmacokineticStudy`, etc.). Model 2 introduces a richer class structure (29 classes, 2 enums) and utilizes inheritance (`SmallMolecule`, `Biologic`, etc. extending `MolecularCompound`), perfectly matching the complexity dictated by the detailed requirements.
3. Practicability: Model 1 = 2, Model 2 = 5; Evidence: Model 1's omissions make it incomplete and impractical for developing the described platform. Model 2 offers a clear, comprehensive, and highly modular representation (e.g., explicit links from `DrugCandidate` to `ClinicalTrial`, `TargetProtein`, and `RegulatoryAgency`), facilitating ease in programming, testing, and maintenance.
Total: Model 1 = 6, Model 2 = 15
Choice: B
Reason:
1. Cohesion and Decoupling: Model 2 exhibits much better cohesion by extracting complex properties into their own classes (`DosageRegimen`, `ToxicityProfile`, `BindingAffinity`) rather than collapsing them into primitive string attributes as Model 1 does (e.g., `toxicityProfile: String` in `DrugCandidate`).
2. Complexity: Model 2 accurately mirrors the complexity of the requirements by including necessary classes like `ChemicalLibrary`, `StudyCohort`, and `AdverseEvent`, and by using an inheritance tree for compound types. Model 1 is overly simplified, omitting critical entities and relationships necessary for the domain.
3. Practicability: Model 2 provides a fully integrated, actionable blueprint for the AI-Assisted Drug Discovery Platform. Its thorough modeling of experiments, clinical trials, regulatory reviews, and safety assessments makes it a viable and robust design for real-world application, whereas Model 1's superficial coverage fails to capture the system's vital workflows.
4. Overall judgment: Model 2 faithfully translates the detailed, end-to-end requirements into a well-structured UML class diagram. Model 1 is fundamentally incomplete, missing substantial domain elements, making Model 2 the unambiguously better choice.
```</t>
  </si>
  <si>
    <t>AirTrafficControlNavigationSystem</t>
  </si>
  <si>
    <t>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</si>
  <si>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</si>
  <si>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Requirements Alignment: Model 1 = 5, Model 2 = 5; Evidence: Both models accurately capture the entities, attributes, and methods outlined in the requirement. For instance, both define `FlightInstance`, `AircraftStatus`, `CrewMember`, `FlightPlan`, `AirspaceSector`, and `RadarSystem` with correct properties. Both correctly model the relationship for `operational status` being derived from `AircraftStatus`.
2. Relationships &amp; Cardinalities: Model 1 = 5, Model 2 = 4; Evidence: Model 1 explicitly captures the "composed of" phrasing from the text using UML composition (`FlightPlan *-- "1..*" RouteSegment` and `AirspaceSector *-- "0..*" SubSector`), whereas Model 2 uses standard associations (`FlightPlan "1" --&gt; "*" RouteSegment`). Additionally, Model 1 correctly maps exact relationships like exactly two waypoints per route segment (`RouteSegment --&gt; "2" Waypoint`), which Model 2 maps as two separate single associations (start and end).
Total: Model 1 = 10, Model 2 = 9
Choice: A
Reason:
1. Requirements Alignment: Both models successfully capture all requested classes, attributes, methods, and general relationships without adding hallucinations. 
2. Relationships &amp; Cardinalities: Model 1 adheres more closely to UML semantics for the specific wording of the requirements. The prompt explicitly states that a flight plan "is composed of multiple route segments," which Model 1 translates flawlessly into a composition (`*--`) relationship, whereas Model 2 relies on basic directional association. Furthermore, Model 1 models the relationship between `AirspaceSector` and its sub-sectors using a distinct `SubSector` class with composition, ensuring clearer boundary definitions.
3. Rejected or checked issues: Both models handle the `RouteSegment` to `Waypoint` connection well; Model 2's use of two separate lines (start/end) is just as valid semantically as Model 1's `2` multiplicity, so neither was penalized for this.
4. Overall judgment: While both models are high-quality, Model 1 provides slightly stronger semantic precision regarding composition and comprehensively employs enumerations to type-check domains (like SurfaceType, DutyStatus, and DisplayMode), making it marginally better.</t>
  </si>
  <si>
    <t>D(平局)</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</si>
  <si>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</si>
  <si>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Domain Representation &amp; Alignment (Classes, Attributes, Methods): Model 1 = 5, Model 2 = 5; Evidence: Both models accurately capture the required classes, attributes, and methods outlined in the prompt. For example, both accurately model `WeatherReport` with attributes for condition types, visibility, wind speed, timestamps, and location codes. Both define `FlightPlan` with methods to calculate altitude and verify clearance. Model 1 uses simple Strings for various statuses, whereas Model 2 introduces Enums (e.g., `OperationalState`, `CrewRole`, `SurfaceType`) which is a reasonable design choice and not a hallucination, given the requirement mentions these specific states and classifications.
2. Structural Relationships (Associations, Cardinalities, Relationship Types): Model 1 = 4, Model 2 = 5; Evidence: The prompt explicitly asks for a detailed focus on relationship types such as inheritance, aggregation, and composition. The requirement states a flight plan is "composed of multiple route segments" and airspace sectors "contain multiple sub-sectors." Model 2 strictly addresses this by using the composition relationship (`FlightPlan *-- "1..*" RouteSegment` and `AirspaceSector *-- "0..*" SubSector`). Model 1, however, only uses standard directional associations (e.g., `FlightPlan "1" --&gt; "*" RouteSegment : composed of`), missing the opportunity to semantically map the requested relationship types to proper UML composition notation. Both correctly identify cardinalities, such as exactly two waypoints per route segment (Model 1 uses two distinct 1-to-1 relations; Model 2 uses a single relation with cardinality "2").
Total: Model 1 = 9, Model 2 = 10
Choice: B
Reason:
1. Domain Representation &amp; Alignment: Both models perform exceptionally well, translating the detailed business rules (flight operations, weather tracking, ATC infrastructure, radar, and maintenance) into clear conceptual classes with all necessary attributes and operations. Neither model missed critical domain features.
2. Structural Relationships: Model 2 is the stronger contender because it explicitly adheres to the instruction to utilize specific relationship types like composition. It correctly maps the text "composed of" and "contain" to the PlantUML composition syntax (`*--`), whereas Model 1 defaults to basic associations (`--&gt;`) throughout the entire diagram. 
3. Rejected or checked issues: Model 2 creates numerous Enums that were not explicitly itemized in the prompt (e.g., `SeverityLevel`, `DutyStatus`). This was checked and deemed acceptable (not penalized as hallucinations) because the text strictly dictates that these fields exist and act as restricted states or categories, making Enums a best-practice engineering decision. Additionally, Model 1's choice to represent the two connected waypoints as distinct `startWaypoint` and `endWaypoint` associations is excellent and perfectly valid, but it does not outweigh Model 2's superior use of correct relationship types overall.
4. Overall judgment: Model 2 is chosen because it offers slightly deeper semantic fidelity to the relationship types (Composition) explicitly requested by the criteria and outlined in the textual requirements, while remaining highly accurate in its domain representation.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</si>
  <si>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</si>
  <si>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4; Evidence: Both models identify the core classes well. Model 1 explicitly includes a `SubSector` class to handle the "multiple sub-sectors" requirement, whereas Model 2 uses a self-association on `AirspaceSector`. While self-association is a valid pattern, an explicit `SubSector` class provides better semantic clarity and allows for sub-sector-specific attributes (like `sectorCode` in Model 1).
2. Associations/Multiplicities between classes for domain reasoning: Model 1 = 5, Model 2 = 5; Evidence: Both models correctly map the required connections. For example, connecting route segments to waypoints is handled efficiently in Model 1 (`RouteSegment --&gt; "2" Waypoint`) and through explicit roles in Model 2 (`startWaypoint` and `endWaypoint`). Both models appropriately link maintenance records to both `AircraftStatus` and `Runway`.
3. Model attributes with appropriate data types: Model 1 = 5, Model 2 = 4; Evidence: Model 1 extensively utilizes custom Enumerations for constrained domain values (`OperationalState`, `CrewRole`, `SeverityLevel`, `Criticality`, `DutyStatus`, `DisplayMode`), ensuring strong data typing. Model 2 relies heavily on generic `String` types for these same attributes (e.g., `severityLevel: String`, `role: String`, `dutyStatus: String`, `criticality: String`), which is less robust for domain modeling.
4. Consistencies of Terminology with given context: Model 1 = 5, Model 2 = 5; Evidence: Both models correctly use the terminology from the prompt (e.g., `FlightInstance`, `PassengerManifest`, `NavigationAid`, `AirspaceSector`, `ControlTower`).
5. Adherence of UML class diagram standards: Model 1 = 5, Model 2 = 5; Evidence: Both models feature valid PlantUML syntax, use appropriate visibility markers (or clean defaults), and employ correct multiplicity notations and relationship arrows.
Total: Model 1 = 25, Model 2 = 23
Choice: A
Reason:
1. Appropriate conceptual classes aligned with the domain: Model 1 provides a slightly better structural representation by explicitly creating a `SubSector` class, whereas Model 2 relies on a self-referential association on `AirspaceSector`.
2. Model attributes with appropriate data types: Model 1 exhibits superior object-oriented design by defining specific enumerations for domain concepts with limited categorical values (such as roles, statuses, severity, and modes). Model 2 defaults to primitive `String` data types for these fields, which limits domain constraints and typing accuracy. 
3. Rejected or checked issues: Model 2 models the connection between `RouteSegment` and `Waypoint` with two distinct unidirectional relationships (`startWaypoint`, `endWaypoint`). This is perfectly valid and semantically equivalent to Model 1's `RouteSegment --&gt; "2" Waypoint`. No penalties were applied for this structural difference.
4. Overall judgment: While both models are highly accurate and capture the requirements well, Model 1 is the better diagram due to its rigorous use of data types (enums) to constrain domain-specific states, statuses, and categories, resulting in a more precise and professional domain model.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</si>
  <si>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</si>
  <si>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Both models successfully identify all necessary domain concepts. Model 1 models sub-sectors via a self-referential association on `AirspaceSector`, while Model 2 uses an explicit `SubSector` class. Both are perfectly valid conceptualizations. Model 1 accurately names `SystemDashboard` directly from the prompt, while Model 2 introduces `ControllerDashboard`.
2. Associations/Multiplicities between classes for domain reasoning: Model 1 = 5, Model 2 = 5; Evidence: Both capture complex domain constraints perfectly. For instance, both map the relationship between `RouteSegment` and `Waypoint` ("connects exactly two waypoints"); Model 1 explicitly separates `startWaypoint` and `endWaypoint`, whereas Model 2 uses a `"2"` multiplicity on a single association. Both approaches are semantically correct.
3. Model attributes with appropriate data types: Model 1 = 5, Model 2 = 5; Evidence: Both models cover the required attributes. Model 1 uses standard strings/enums for coordinates and statuses (e.g., `geographicCoordinates: String`), while Model 2 uses split doubles for coordinates (`latitude: double`, `longitude: double`). Both correctly map operations and attributes for entities like `AirTrafficController` and `CrewMember`. 
4. Consistencies of Terminology with given context: Model 1 = 5, Model 2 = 5; Evidence: Terminology strictly adheres to the requirements in both models. Model 1 captures "SystemDashboard" exactly as written, while Model 2 uses "ControllerDashboard," which is a harmless contextual rename given it is used by the controller.
5. Adherence of UML class diagram standards: Model 1 = 5, Model 2 = 5; Evidence: Both models use correct PlantUML syntax, proper association types, methods, and enumerations without violations. Model 2 effectively utilizes composition (`*--`) for `FlightPlan` and `AirspaceSector`, which perfectly models the "is composed of" / "contain" phrasing in the prompt.
Total: Model 1 = 25, Model 2 = 25
Choice: C
Reason:
1. Appropriate conceptual classes aligned with the domain: Both models capture the required entities fully and accurately without omissions.
2. Associations/Multiplicities between classes for domain reasoning: Both correctly model the web of associations (e.g., runway allocations, dashboards integrating radar data, maintenance records mapping to both aircraft and runways). 
3. Model attributes with appropriate data types: Both models assign appropriate types and correctly locate methods according to the text.
4. Consistencies of Terminology with given context: Terminology is highly consistent in both cases.
5. Adherence of UML class diagram standards: Both models are flawlessly formatted PlantUML scripts utilizing correct notations.
6. Overall judgment: Both models are exceptional, detailed, and completely fulfill the requirement constraints without any semantic errors or omissions. Thus, it is a perfect Tie.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</si>
  <si>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</si>
  <si>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4; Evidence: Both models achieve high cohesion by grouping relevant attributes and operations into appropriate domain classes (e.g., `FlightPlan`, `AirTrafficController`). However, Model 1 demonstrates slightly better decoupling of type/state logic by leveraging Enumerations extensively (`OperationalState`, `CrewRole`, `SurfaceType`, etc.), whereas Model 2 couples these constraints loosely to primitive `String` types for attributes like `role` and `surfaceType`, which reduces state cohesion.
2. Complexity: Model 1 = 5, Model 2 = 5; Evidence: Both models manage complexity well without creating unnecessary structural bloat. For the "sub-sectors" requirement, Model 1 introduces a `SubSector` class, while Model 2 uses a self-referential association on `AirspaceSector` (`AirspaceSector "1" --&gt; "0..*" AirspaceSector`); both are elegant, standard UML approaches to hierarchical complexity. Model 1 handles the "exactly two waypoints" constraint with a multiplicity of `"2"`, while Model 2 maps it via two distinct `"1"` associations (`startWaypoint`, `endWaypoint`). Both are balanced and appropriate.
3. Practicability: Model 1 = 5, Model 2 = 4; Evidence: Model 1's design is highly practical for implementation. The requirement explicitly mentions that the `FlightInstance` operational status is "derived from an associated aircraft status record." Model 1 accurately reflects this by associating the classes without duplicating the field, while Model 2 redundantly includes `operationalStatus: String` in `FlightInstance` and `operationalState: String` in `AircraftStatus`, which could lead to synchronization bugs in a real-world system. Furthermore, Model 1's comprehensive use of enums for strictly categorized data (e.g., `SeverityLevel`, `Criticality`, `DutyStatus`) makes the system much safer for programming and testing than Model 2's reliance on strings.
Total: Model 1 = 15, Model 2 = 13
Choice: A
Reason:
1. Cohesion and Decoupling: Model 1 provides a tighter, more cohesive representation of states and roles by delegating them to Enums, whereas Model 2 uses `String` types for many closed-list attributes, which loosely couples the data validation.
2. Complexity: Both models keep the structural complexity well within the bounds of the domain requirements. Model 1's multiplicity of `2` for Waypoints and Model 2's start/end associations are both excellent ways to capture the route segment requirement. 
3. Practicability: Model 1 strictly adheres to the data derivation requirements by avoiding redundant state attributes on `FlightInstance`. Model 1 also provides a far more type-safe and testable data dictionary by explicitly defining Enumerations for all categorical fields detailed in the requirements, significantly increasing the real-world viability of the system.
4. Overall judgment: Model 1 is better because it avoids attribute duplication for derived fields and employs a robust type system (using enumerations for states, roles, and types), resulting in a more robust, maintainable, and practical software design. Model 2 is still a strong design but slightly less refined in attribute typing and derivation.</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</si>
  <si>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</si>
  <si>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5; Evidence: Model 1 groups attributes adequately but relies heavily on `String` types for naturally bounded concepts (e.g., operational status, roles, severity levels). Model 2 extracts these into 10 distinct enumerations (like `OperationalState`, `CrewRole`, `SeverityLevel`), significantly enhancing the cohesion of data types. Model 2 also correctly separates the recursive sector logic into an explicit `SubSector` class, clarifying responsibilities.
2. Complexity: Model 1 = 4, Model 2 = 5; Evidence: Both models maintain a balanced class count suitable for the domain (Model 1 has 22 classes, Model 2 has 23). Model 2 better captures the structural complexity requested by the prompt using proper UML composition (`*--`) for `FlightPlan` containing `RouteSegment`s and `AirspaceSector` containing `SubSector`s. Model 1 models these as standard directional associations (`--&gt;`), which is slightly less expressive for part-whole hierarchies.
3. Practicability: Model 1 = 4, Model 2 = 5; Evidence: Model 2 provides a more practical foundation for implementation by creating explicit associations for `CrewMember` capabilities (e.g., `CrewMember --&gt; 0..* AirportTerminal : accessibleTerminals` and `CrewMember --&gt; 0..* MaintenanceRecord : reportedMaintenance`). Model 1 leaves these purely as method declarations (`accessTerminal()`, `reportMaintenanceIssue()`) without structural links, which leaves the database or object-graph relationships ambiguous. Furthermore, Model 2 succinctly handles the "connects exactly two waypoints" constraint with a precise `"2"` multiplicity on the `Waypoint` association.
Total: Model 1 = 12, Model 2 = 15
Choice: B
Reason:
1. Cohesion and Decoupling: Model 2 is superior because it leverages enumerations extensively, replacing vague string attributes with strongly-typed domains (e.g., `Criticality`, `DutyStatus`, `DisplayMode`). This creates highly cohesive data models and reduces the chance of invalid states compared to Model 1's string-heavy approach.
2. Complexity: Model 2 manages complexity perfectly by accurately translating domain constraints into UML semantics. It uses composition for part-whole relationships (route segments and sub-sectors) and handles the structural representation of methods via associations. Model 1 is slightly too simplistic in its data types and relies on standard associations instead of compositions.
3. Rejected or checked issues: Model 2 includes opposite-direction associations (e.g., `FlightInstance --&gt; 1 FlightPlan` and `FlightPlan --&gt; 1 FlightInstance`) with single-quote PlantUML comments (`'opposite governs`). Per the evaluation guidelines, these are completely valid and semantically equivalent to a single bidirectional line, and the comments are safely ignored tooling annotations. 
4. Overall judgment: Model 2 is the better design. It provides a more robust, tightly-constrained, and easily implementable blueprint by combining precise multiplicities, appropriate composition relations, explicit structural dependencies for actor capabilities, and strongly-typed enumerations.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</si>
  <si>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</si>
  <si>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 Alignment: Model 1 = 5, Model 2 = 2; Evidence: Model 1 accurately models all entities including `SubSector`, `AirportTerminal`, and `NavigationAid`, with correct associations and multiplicities (e.g., `RouteSegment --&gt; "2" Waypoint`, `FlightPlan *-- "1..*" RouteSegment`). Model 2 misses several key classes (`AirportTerminal`, `SubSector`, `NavigationAid`), incorrectly merges navigation aid attributes into `Waypoint`, misses all multiplicities, and hallucinates a class called `RoomMaster` (`FlightInstance -- RoomMaster`).
Total: Model 1 = 5, Model 2 = 2
Choice: A
Reason:
1. Requirement Alignment: Model 1 comprehensively covers the requirements, correctly modeling complex relationships such as route segments connecting exactly two waypoints, the integration of radar systems and dashboards, and the separation of waypoints and navigation aids. It uses precise multiplicities and appropriate association types. Model 2 is severely flawed; it omits mandatory classes like `AirportTerminal` and `SubSector`, fails to model `NavigationAid` as a distinct entity, completely lacks cardinalities, incorrectly uses composition for associations like `FlightInstance *-- CrewMember`, and includes an outright hallucinated class (`RoomMaster`).
2. Overall judgment: Model 1 is significantly better due to its strict adherence to the domain constraints, complete representation of all required entities and attributes, and precise use of UML semantics. Model 2 demonstrates major omissions, hallucinations, and poor structural design.</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</si>
  <si>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</si>
  <si>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Requirements Alignment and No Hallucinations: Model 1 = 2, Model 2 = 5; Evidence: Model 1 hallucinates a connection to a non-existent `RoomMaster` class (`FlightInstance -- RoomMaster`) and completely omits required classes such as `AirportTerminal`, `NavigationAid`, and `SubSector`. Model 2 strictly adheres to the prompt, correctly generating all required domains and omitting nothing.
2. Classes, Relationships, and Cardinalities: Model 1 = 2, Model 2 = 5; Evidence: Model 1 completely lacks cardinalities, overuses composition inappropriately (e.g., `FlightInstance *-- WeatherReport`), and fails to capture key constraints (like a route segment connecting exactly two waypoints). Model 2 correctly implements precise cardinalities (e.g., `RouteSegment --&gt; "2" Waypoint`), captures proper composition (`FlightPlan *-- "1..*" RouteSegment`), and maps out complex cross-domain associations like radar monitoring specific airspace sectors.
3. Class Names and Attributes: Model 1 = 3, Model 2 = 5; Evidence: Model 1 inaccurately merges the properties of a navigation aid into the `Waypoint` class and misses method parameters outlined in the requirements (like emergency status for calculating altitude). Model 2 cleanly separates `NavigationAid` and `Waypoint`, utilizes enumerations for clarity (e.g., `SeverityLevel`, `SurfaceType`), and successfully incorporates all instructed attributes and method parameters (e.g., `computeAltitudeAdjustment(emergencyStatus: boolean)`).
Total: Model 1 = 7, Model 2 = 15
Choice: B
Reason:
1. Requirements Alignment and No Hallucinations: Model 2 captures every specified detail of the prompt without adding any external concepts. Model 1 hallucinates an unprompted `RoomMaster` class and misses critical infrastructural components (e.g., sub-sectors, airport terminals, navigation aids).
2. Classes, Relationships, and Cardinalities: Model 2 maps out a robust, interconnected system with strictly defined cardinalities (e.g., ensuring route segments link 2 waypoints, passenger manifests map 1:1 to flights). Model 1 ignores cardinalities entirely and uses composition incorrectly.
3. Class Names and Attributes: Model 2 excels at using semantic enumerations and explicitly defines method signatures as requested (e.g., `generateClearanceMessage(flightPlan: FlightPlan)`). Model 1 falls short by blending entities (merging navigation aids into waypoints).
4. Overall judgment: Model 2 is vastly superior. It acts as a comprehensive, strictly aligned domain model that rigorously follows all constraints, attributes, and relationships defined in the requirement. Model 1 is incomplete, structurally flawed, and hallucinates unprompted elements.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</si>
  <si>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</si>
  <si>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2; Evidence: Model 1 correctly identifies all domain entities including `AirportTerminal`, `SubSector`, and `NavigationAid`. Model 2 completely misses `AirportTerminal`, `SubSector`, and `NavigationAid`, and it bizarrely introduces a hallucinatory class/concept called `RoomMaster` which has no basis in the text.
2. Associations/Multiplicities between classes for domain reasoning: Model 1 = 5, Model 2 = 1; Evidence: Model 1 accurately models complex associations with explicit multiplicities (e.g., `RouteSegment --&gt; "2" Waypoint`, `FlightPlan *-- "1..*" RouteSegment`). Model 2 provides zero multiplicities across the entire diagram and relies on sweeping, largely incorrect compositions (e.g., `FlightInstance *-- EventLog`, `ControlTower *-- AirTrafficController`).
3. Model attributes with appropriate data types: Model 1 = 5, Model 2 = 3; Evidence: Model 1 captures all specific attributes with correct types, including methods with exact parameters (e.g., `computeAltitudeAdjustment(emergencyStatus: boolean)` in `FlightPlan`) and incorporates enums for specific states. Model 2 is missing several required attributes (such as `gateCount` for terminals, `displayMode` for the Dashboard) and fails to model parameters in its methods.
4. Consistencies of Terminology with given context: Model 1 = 5, Model 2 = 2; Evidence: Model 1's terminology is fully consistent with the provided text. Model 2 mostly aligns but heavily violates consistency with the inclusion of `RoomMaster` and the merging of `NavigationAid` traits vaguely into `Waypoint`.
5. Adherence of UML class diagram standards: Model 1 = 5, Model 2 = 3; Evidence: Model 1 is a well-formed UML class diagram making excellent use of enums, data types, navigability, and multiplicities. Model 2 uses valid PlantUML syntax but ignores multiplicities entirely, limiting its usefulness as a standardized domain model.
Total: Model 1 = 25, Model 2 = 11
Choice: A
Reason:
1. Appropriate conceptual classes aligned with the domain: Model 1 models the complete set of required classes. Model 2 omits key infrastructure concepts like `AirportTerminal` and `SubSector`, while introducing a fully fabricated concept (`RoomMaster`).
2. Associations/Multiplicities between classes for domain reasoning: Model 1 thoroughly maps the connections described in the prompt with precise multiplicity literals indicating things like exactly 2 waypoints per route segment. Model 2 completely abandons multiplicity literals and incorrectly applies composition (`*--`) to almost every relationship.
3. Model attributes with appropriate data types: Model 1 extensively uses enums and explicit parameters in methods, fulfilling the text's detailed constraints. Model 2 is sparse, missing several attributes, and leaves method parameters undefined.
4. Overall judgment: Model 1 is an outstanding representation of the domain that follows all instructions flawlessly. Model 2 is incomplete, lacks basic UML multiplicities, and hallucinates entities, making Model 1 vastly superior.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</si>
  <si>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</si>
  <si>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2, Model 2 = 5; Evidence: Model 1 misses critical classes like `AirportTerminal`, `SubSector`, and `NavigationAid`, and includes an irrelevant `RoomMaster` class. Model 2 successfully identifies all required classes including `AirportTerminal`, `SubSector`, and `NavigationAid`, aligned perfectly with the domain.
2. Associations/Multiplicities between classes for domain reasoning: Model 1 = 1, Model 2 = 5; Evidence: Model 1 completely lacks all multiplicity notations and misses essential domain reasoning links (e.g., no association to a terminal or sub-sectors). Model 2 defines explicit multiplicities (e.g., `RouteSegment --&gt; "2" Waypoint`, `AirspaceSector *-- "0..*" SubSector`) and thoroughly captures domain relationships.
3. Model attributes with appropriate data types: Model 1 = 2, Model 2 = 5; Evidence: Model 1 incorrectly merges NavigationAid attributes (`frequency`, `type`) into `Waypoint`, misses parameters for methods (e.g., `calculateAltitude()`), and lacks attributes for missing classes like terminal gate counts. Model 2 accurately captures all attributes and method parameters (e.g., `computeAltitudeAdjustment(emergencyStatus: boolean)`), utilizing well-defined enums.
4. Consistencies of Terminology with given context: Model 1 = 2, Model 2 = 5; Evidence: Model 1 introduces out-of-context terminology like `RoomMaster`. Model 2 rigorously adheres to the prompt's terminology, correctly using terms like `AirspaceSector`, `ControllerDashboard`, and `PassengerManifest`.
5. Adherence of UML class diagram standards: Model 1 = 3, Model 2 = 5; Evidence: Model 1 presents valid PlantUML syntax but ignores multiplicity standards entirely, degrading domain comprehension. Model 2 excellently utilizes valid UML standards with comprehensive enums, typed attributes, method parameters, and accurate multiplicity bounds.
Total: Model 1 = 10, Model 2 = 25
Choice: B
Reason:
1. Appropriate conceptual classes aligned with the domain: Model 2 identifies all requested entities, including `SubSector`, `NavigationAid`, and `AirportTerminal`. Model 1 misses these and inexplicably hallucinates a `RoomMaster` class.
2. Associations/Multiplicities between classes for domain reasoning: Model 2 establishes rigorous multiplicities required to properly reason about the domain (e.g., a route segment connecting exactly 2 waypoints, control towers employing air traffic controllers). Model 1 leaves off all multiplicities and omits multiple relationships due to its missing classes.
3. Model attributes with appropriate data types: Model 2 successfully incorporates detailed attributes, strict enumerations (like `WeatherConditionType`), and precise method signatures (such as passing an emergency status boolean to compute altitude). Model 1 skips method parameters and lumps navigation aid attributes directly onto `Waypoint`.
4. Rejected or checked issues: The unidirectional association styles and single-quote PlantUML comments in Model 2 were recognized as completely valid standard usages and did not result in any penalties.
5. Overall judgment: Model 2 is vastly superior. It offers a comprehensive, highly accurate, and fully detailed representation of the entire requirement text, properly employing UML standards and types. Model 1 is fundamentally incomplete, misses major structural requirements, and lacks standard multiplicity details entirely.</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</si>
  <si>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</si>
  <si>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2; Evidence: Model 1 properly uses standard associations between entities like `FlightInstance` and `CrewMember` (`FlightInstance --&gt; "1..*" CrewMember`), reflecting real-world loose coupling. It correctly separates `Waypoint` from `NavigationAid`. Model 2 incorrectly uses strong composition for almost everything, such as `FlightInstance *-- CrewMember` and `ControlTower *-- AirTrafficController`, creating unnaturally tight coupling where lifecycles are strictly bound. Model 2 also merges navigation aids into `Waypoint` attributes.
2. Complexity: Model 1 = 5, Model 2 = 2; Evidence: Model 1 captures the domain's complexity beautifully by including required classes such as `AirportTerminal`, `SubSector`, and `NavigationAid`. It defines appropriate attributes and extensive enumerations to represent distinct states. Model 2 inappropriately reduces complexity by entirely missing the `AirportTerminal` and `SubSector` classes requested by the prompt. Furthermore, Model 2 introduces a hallucinated and undefined class `RoomMaster` (`FlightInstance -- RoomMaster`).
3. Practicability: Model 1 = 5, Model 2 = 2; Evidence: Model 1 is highly practical, featuring readable and precise relationships, accurate multiplicities (e.g., `RouteSegment --&gt; "2" Waypoint`), and clear operational boundaries that align with database and system design best practices. Model 2's missing infrastructure components (no airport terminals with gate counts, missing sub-sectors) and its excessive use of rigid compositions render it impractical for modeling a real-world Air Traffic Control system.
Total: Model 1 = 15, Model 2 = 6
Choice: A
Reason:
1. Cohesion and Decoupling: Model 1 demonstrates excellent decoupling by relying on directional and bi-directional associations rather than forcing lifecycle bindings. Model 2 suffers from poor coupling decisions by overusing UML compositions (`*--`) for entities that should be loosely associated (e.g., binding Crew Members to a specific Flight Instance).
2. Complexity: Model 1 strikes an ideal balance, thoroughly mapping out the required conceptual classes (including `AirportTerminal`, `SubSector`, and `NavigationAid`). Model 2 omits key required classes and arbitrarily injects a `RoomMaster` class which is not mentioned in the requirements.
3. Practicability: Model 1 offers a highly realistic, modular design ready for implementation, accurately reflecting the multiplicities and structures needed for an ATC system. Model 2 is incomplete, skipping essential business requirements and using invalid relationships that hinder practical development.
4. Overall judgment: Model 1 is significantly better due to its comprehensive coverage of the requirements, correct application of UML semantics, and realistic approach to object lifecycles and relationships. Model 2 is flawed with missing elements, inappropriate relationships, and hallucinated concepts.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</si>
  <si>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</si>
  <si>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overuses strict composition (`*--`) for almost all relationships (e.g., `FlightInstance *-- CrewMember`, `Dashboard *-- RadarSystem`), inappropriately implying that crew members and radar systems share a strict lifecycle dependency with flight instances and dashboards. Model 2 correctly distinguishes between composition (e.g., `FlightPlan *-- "1..*" RouteSegment`) and standard associations (e.g., `FlightInstance --&gt; "1..*" CrewMember`), maintaining logical decoupling between independent domain entities.
2. Complexity: Model 1 = 2, Model 2 = 5; Evidence: Model 1 introduces an undefined class `RoomMaster` (`FlightInstance -- RoomMaster`) and fails to capture several required conceptual classes such as `SubSector`, `AirportTerminal`, and `NavigationAid`. Model 2 handles domain complexity gracefully by introducing 10 Enums (e.g., `WeatherConditionType`, `ClearanceLevel`, `SurfaceType`) to bound attribute states, and correctly identifies all 21 distinct conceptual classes required by the prompt without unnecessary bloat.
3. Practicability: Model 1 = 2, Model 2 = 5; Evidence: Model 1 completely lacks multiplicities on all its associations, severely hindering its practicability for implementation and database schema design. Furthermore, it omits methods and attributes for missing classes (like terminal gate counts). Model 2 offers a highly practical blueprint by including precise multiplicities (e.g., `RouteSegment --&gt; "2" Waypoint`), explicit typing with enums, and complete coverage of the required operations and attributes, ensuring it is ready for robust real-world development.
Total: Model 1 = 6, Model 2 = 15
Choice: B
Reason:
1. Cohesion and Decoupling: Model 2 exhibits much better relationship semantics. Model 1's heavy use of composition creates unnecessarily tight coupling where a simple association is needed (a crew member should not be destroyed if a flight instance is deleted). Model 2 links entities logically and accurately.
2. Complexity: Model 2 strikes the right balance by using enums to constrain specific text fields like weather conditions, severities, and clearance levels. Model 1 treats everything as standard Strings, which shifts the complexity of validation into the application logic. Model 1 also completely misses essential classes like `NavigationAid` and `AirportTerminal`.
3. Practicability: Model 2 is significantly more practical because it clearly defines navigability, multiplicities, and all required attributes and methods. Model 1's inclusion of an undeclared `RoomMaster` class and lack of multiplicities makes it an incomplete and flawed design.
4. Overall judgment: Model 2 is vastly superior. It accurately translates the detailed business requirements into a syntactically correct, semantically rich, and highly practical UML class diagram, whereas Model 1 suffers from severe omissions, incorrect relationship types, and missing multiplicities.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</si>
  <si>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</si>
  <si>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System Design: Model 1 = 5, Model 2 = 2; Evidence: Model 1 correctly captures all conceptual classes including `NavigationAid`, `AirportTerminal`, and handles all required attributes and associations precisely (e.g., `AirspaceSector "1" --&gt; "0..*" AirspaceSector : contains sub-sectors`). Model 2 misses the `AirportTerminal` and `NavigationAid` classes, incorrectly places navigation aid attributes (`type`, `frequency`) into the `Waypoint` class, hallucinates an association with a non-existent `RoomMaster` class (`FlightInstance -- RoomMaster`), and uses vague unlabelled compositions (`*--`) instead of clear, required multiplicities.
Total: Model 1 = 5, Model 2 = 2
Choice: A
Reason:
1. Requirement Alignment and System Design: Model 1 comprehensively aligns with the detailed prompt, creating accurately named classes with all specified properties, methods, and relationships. It correctly delineates `NavigationAid` from `Waypoint`, maps the `AirportTerminal` class to runways and flight instances, models the sub-sector relationship recursively in `AirspaceSector`, and uses explicit multiplicities for all associations. Model 2 fails to include essential classes (`AirportTerminal`, `NavigationAid`), erroneously merges navigation properties into `Waypoint`, misses several methods (e.g., `processScanData()` in `RadarSystem`, `establishConnection()` in `CommunicationChannel`), omits timestamps in `FlightLog`, lacks multiplicities entirely, and hallucinates a `RoomMaster` class.
2. Model 1 is vastly superior due to its strict adherence to the required system domain, whereas Model 2 suffers from significant omissions and hallucinations.
3. Rejected or checked issues: Multiplicity formats such as `0..*` vs `*` or unidirectional vs bidirectional arrows were not penalized for either model. Model 2's failure is rooted in pure domain omissions and factual hallucinations rather than UML styling. 
4. Overall judgment: Model 1 successfully and completely addresses all requirements with high-quality structure, clarity, and precision. Model 2 is incomplete, flawed, and introduces non-existent components, making Model 1 the definitive choice.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</si>
  <si>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</si>
  <si>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Requirements Coverage &amp; Functionality: Model 1 = 2, Model 2 = 5; Evidence: Model 1 misses the `AirportTerminal` and `NavigationAid` classes entirely, merging navigation aid attributes into `Waypoint`. It also hallucinates a `RoomMaster` class which is nowhere in the requirements. Model 2 accurately captures all entities including `AirportTerminal`, `NavigationAid`, and correctly represents enums like `ClearanceLevel` and `ConditionType`.
2. Relationships and Cardinalities: Model 1 = 2, Model 2 = 5; Evidence: Model 1 fails to provide any multiplicities. It overuses composition inappropriately (e.g., `FlightInstance *-- WeatherReport`, `FlightInstance *-- CrewMember`) and completely misses the self-referencing association for `AirspaceSector` (sub-sectors). Model 2 models accurate bidirectional/unidirectional associations with explicit role names and valid multiplicities (e.g., `AirspaceSector "1" --&gt; "0..*" AirspaceSector : contains sub-sectors`, `RouteSegment "1" --&gt; "1" Waypoint : startWaypoint`).
Total: Model 1 = 4, Model 2 = 10
Choice: B
Reason:
1. Requirements Coverage &amp; Functionality: Model 2 captures all required domain entities with precision, including method parameters (e.g., `calculateAltitude(emergencyStatus: boolean)`), attributes, and enums. Model 1 omits critical classes like `AirportTerminal` and `NavigationAid`, while introducing a hallucinatory `RoomMaster` class. 
2. Relationships and Cardinalities: Model 2 correctly implements all relationships defined in the prompt, utilizing accurate associations with appropriate multiplicities and role labels. Model 1 lacks multiplicities completely, uses semantically incorrect compositions (like composing a `WeatherReport` inside a `FlightInstance`), and omits key topological links such as connecting `RouteSegment` to two `Waypoint`s.
3. Overall judgment: Model 2 is vastly superior as it meticulously aligns with the provided requirements, applies sound UML modeling principles, and captures complex domain relationships without omitting or hallucinating elements. Model 1 is incomplete and semantically flawed.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</si>
  <si>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</si>
  <si>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2; Evidence: Model 1 correctly identifies all domain entities, utilizing Enums for specific types like `ClearanceLevel` and `NavAidType`. Model 2 misses critical classes such as `AirportTerminal` and `NavigationAid` (merging NavAid attributes into `Waypoint`), and includes a completely irrelevant hallucinated class `RoomMaster`.
2. Associations/Multiplicities between classes for domain reasoning: Model 1 = 5, Model 2 = 1; Evidence: Model 1 provides comprehensive associations with accurate multiplicities, such as `RouteSegment` connecting to exactly two `Waypoint` instances (startWaypoint, endWaypoint) and `AirspaceSector` containing `0..*` sub-sectors. Model 2 completely omits multiplicities, misuses composition extensively (e.g., `FlightInstance *-- WeatherReport`), includes bizarre associations (`FlightInstance -- RoomMaster`), and misses critical links like `AirportTerminal` to `Runway`.
3. Model attributes with appropriate data types: Model 1 = 5, Model 2 = 2; Evidence: Model 1 includes all specified attributes, parameters, and correct data types (e.g., `calculateAltitude(emergencyStatus: boolean)`, `allocate(requestTime: DateTime)`). Model 2 omits method parameters, misses attributes due to omitted classes (e.g., `gateCount`), and misses `timestamp` in `FlightLog`.
4. Consistencies of Terminology with given context: Model 1 = 5, Model 2 = 2; Evidence: Model 1's terminology perfectly matches the prompt. Model 2 introduces out-of-context terms like `RoomMaster` and pluralizes method names inconsistently (e.g., `authorizeManeuvers()`).
5. Adherence of UML class diagram standards: Model 1 = 5, Model 2 = 3; Evidence: Model 1 properly utilizes standard UML notations, arrows, multiplicities, and visibility/types. Model 2 parses without syntax errors but heavily abuses the composition notation (`*--`) for associations that are clearly not lifecycle-dependent compositions (like `Dashboard *-- RadarSystem`), making it conceptually difficult to interpret as valid UML semantics.
Total: Model 1 = 25, Model 2 = 10
Choice: A
Reason:
1. Appropriate conceptual classes: Model 1 perfectly abstracts the domain requirements into distinct classes and enums. Model 2 misses several required classes (`AirportTerminal`, `NavigationAid`) and hallucinates a non-existent `RoomMaster` class.
2. Associations/Multiplicities: Model 1 accurately models complex requirements, such as a route segment connecting exactly two waypoints and the self-referential sub-sectors in airspace sectors. Model 2 completely lacks multiplicities and misapplies composition to almost every relationship, severely comprising domain reasoning.
3. Model attributes: Model 1 captures all required attributes and method signatures. Model 2 leaves method parameters empty and drops attributes associated with its missing classes.
4. Overall judgment: Model 1 is an excellent, fully fleshed-out class diagram that accurately reflects the textual requirements. Model 2 is incomplete, hallucinated unrelated concepts, and failed to utilize basic UML association features like multiplicities. Model 1 is unequivocally better.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</si>
  <si>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</si>
  <si>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misses the 'AirportTerminal' and 'NavigationAid' classes entirely, merging navigation attributes directly into 'Waypoint'. It also introduces an undefined and out-of-context 'RoomMaster' class. Model 2 accurately captures all conceptual classes including 'AirportTerminal', 'NavigationAid', and utilizes enums ('ClearanceLevel', 'ConditionType', 'NavAidType') for better domain modeling.
2. Associations/Multiplicities between classes for domain reasoning: Model 1 = 1, Model 2 = 5; Evidence: Model 1 completely omits all multiplicities (e.g., 1, 0..*, etc.) and inappropriately uses composition (`*--`) for almost every relationship (e.g., `FlightInstance *-- WeatherReport`). Model 2 correctly defines associations with precise semantic directionality, roles, and logical multiplicities (e.g., `AirspaceSector "1" --&gt; "0..*" AirspaceSector : contains sub-sectors`, `FlightInstance "*" --&gt; "1" AirportTerminal`).
3. Model attributes with appropriate data types: Model 1 = 3, Model 2 = 5; Evidence: Model 1 includes basic attributes and data types, but misses method parameters (e.g., `calculateAltitude()` is parameterless in Model 1, while the requirement specifies calculation based on emergency status). Model 2 correctly models attributes with fitting data types (DateTime, int, float, and custom Enums) and includes the necessary method parameters like `calculateAltitude(emergencyStatus: boolean)`.
4. Consistencies of Terminology with given context: Model 1 = 3, Model 2 = 5; Evidence: Model 1 is mostly consistent but introduces a completely irrelevant term 'RoomMaster' which does not belong in the Air Traffic Control context. Model 2 uses terminology fully consistent with the provided text requirements (e.g., SystemDashboard, PassengerManifest, AircraftStatus).
5. Adherence of UML class diagram standards: Model 1 = 2, Model 2 = 5; Evidence: Model 1 violates UML principles by connecting to an undeclared class (`RoomMaster`) and heavily misusing the composition notation (`*--`) for associations that are clearly not strong lifecycle dependencies (like CrewMember or WeatherReport to FlightInstance). Model 2 fully adheres to UML and PlantUML standards with properly formatted classes, enums, attributes, methods, and relationships.
Total: Model 1 = 12, Model 2 = 25
Choice: B
Reason:
1. Appropriate conceptual classes: Model 2 captures all required entities including 'NavigationAid' and 'AirportTerminal', while Model 1 omits these and includes an undefined 'RoomMaster' entity.
2. Associations and Multiplicities: Model 2 clearly labels relationships with correct multiplicities (e.g., 1 to many, many to many) which are essential for domain reasoning. Model 1 lacks all multiplicities and incorrectly defaults to composition for most links.
3. Attributes and terminology: Model 2 uses strictly correct domain terminology and appropriate data types (including Enums), whereas Model 1 misses specific method arguments described in the prompt and uses out-of-domain terms.
4. Overall judgment: Model 2 is a highly accurate, fully standard-compliant, and semantically rich UML diagram that perfectly fulfills the provided requirements. Model 1 is incomplete, missing critical classes, omits multiplicities, and contains structural UML errors.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</si>
  <si>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</si>
  <si>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2; Evidence: Model 1 maintains high cohesion by correctly separating `Waypoint` and `NavigationAid`, as well as including `AirportTerminal` to decouple runways from direct flight/crew assumptions. Model 2 suffers from poor cohesion by inappropriately merging `NavigationAid` attributes (`type`, `frequency`) directly into `Waypoint`. Furthermore, Model 2 creates illogical tight coupling by using strict composition (`*--`) for `FlightInstance` to `WeatherReport` and `CrewMember`, which does not accurately reflect real-world lifecycles.
2. Complexity: Model 1 = 5, Model 2 = 2; Evidence: Model 1 balances complexity perfectly by including necessary enumerations (`ClearanceLevel`, `ConditionType`, `NavAidType`) and properly modeling the domain requirements, such as the two waypoints per route segment (`startWaypoint`, `endWaypoint`) and the sub-sector self-association on `AirspaceSector`. Model 2 introduces an irrelevant and hallucinated class (`RoomMaster`) linked to `FlightInstance`, while completely missing the `AirportTerminal` class and the recursive structure for sub-sectors.
3. Practicability: Model 1 = 5, Model 2 = 2; Evidence: Model 1 is highly practical, clearly detailing relationships with directional associations, precise multiplicities (e.g., `1..*`), and correct method parameters (e.g., `calculateAltitude(emergencyStatus: boolean)`). It correctly links the `SystemDashboard` to both `RadarSystem` and `FlightInstance`. Model 2 is highly impractical due to the complete absence of multiplicities, missing required attributes/methods (e.g., `FlightLog` missing `timestamp` and its link to `FlightInstance`), and physically impossible structural compositions (e.g., `Dashboard *-- RadarSystem`).
Total: Model 1 = 15, Model 2 = 6
Choice: A
Reason:
1. Cohesion and Decoupling: Model 1 cleanly separates domain concepts (e.g., `Waypoint` vs. `NavigationAid`), whereas Model 2 improperly bundles them and uses overly strict composition (`*--`) for transient relationships like weather and crew assignments.
2. Complexity: Model 1 captures all required entities, self-referential sector hierarchies, and enums. Model 2 leaves out key domain classes like `AirportTerminal`, omits the recursive sub-sector relationship, and hallucinates a `RoomMaster` class.
3. Practicability: Model 1 provides full navigability and multiplicity constraints, making it an excellent blueprint for real-world implementation. Model 2 lacks any multiplicities and contains logically flawed structural relationships, significantly hindering its usefulness.
4. Overall judgment: Model 1 strictly adheres to the detailed requirements with excellent UML practices. Model 2 is incomplete, introduces hallucinated elements, and fails to utilize standard class relationships properly, making Model 1 clearly superior.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</si>
  <si>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</si>
  <si>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uses strict composition (`*--`) for almost all relationships (e.g., `FlightInstance *-- CrewMember`, `FlightInstance *-- WeatherReport`, `ControlTower *-- AirTrafficController`), tightly coupling entities that should have independent lifecycles. Model 2 correctly uses directed associations (e.g., `FlightInstance "*" --&gt; "*" CrewMember`, `FlightPlan "*" --&gt; "*" WeatherReport`) with clear multiplicities, maintaining loose coupling and high cohesion.
2. Complexity: Model 1 = 3, Model 2 = 5; Evidence: Model 1 misses several required conceptual classes such as `AirportTerminal` and `NavigationAid` (merging the latter's attributes into `Waypoint`), and inexplicably introduces a hallucinated class `RoomMaster`. Model 2 perfectly balances complexity by separating `Waypoint` and `NavigationAid`, introducing enums for fixed lists (e.g., `ConditionType`, `NavAidType`), and handling the "exactly two waypoints" constraint with two distinct associations from `RouteSegment` to `Waypoint`.
3. Practicability: Model 1 = 2, Model 2 = 5; Evidence: Model 1 is largely impractical due to the missing multiplicities, hallucinated elements (`RoomMaster`), and missing method parameters (e.g., `calculateAltitude()` lacks the required emergency status). Model 2 provides a highly practical and readable design, including complete method signatures (e.g., `allocate(requestTime: DateTime)`, `calculateAltitude(emergencyStatus: boolean)`), accurate multiplicities, and recursive associations (e.g., `AirspaceSector` containing sub-sectors), making it robust for real-world implementation and testing.
Total: Model 1 = 7, Model 2 = 15
Choice: B
Reason:
1. Cohesion and Decoupling: Model 2 excels by correctly modeling associations with independent lifecycles, whereas Model 1 abuses composition, inaccurately implying that elements like `WeatherReport` or `CrewMember` are destroyed when a `FlightInstance` is destroyed.
2. Complexity: Model 2 translates the domain complexity seamlessly into the design, utilizing appropriate enums and associations, whereas Model 1 omits key classes (`AirportTerminal`) and merges concepts inappropriately.
3. Practicability: Model 2 includes complete method parameters, full coverage of the requirement (like sub-sectors and airport terminals), and valid multiplicities. Model 1 hallucinates a `RoomMaster` class and lacks essential details, making it unviable for actual development.
4. Overall judgment: Model 2 is significantly better. It accurately represents the domain requirements with precise UML semantics, complete attribute/method definitions, and proper structural relationships, while Model 1 is fundamentally flawed with hallucinated concepts, missing components, and incorrect relationship types.
```</t>
  </si>
  <si>
    <t>BankAccount</t>
  </si>
  <si>
    <t>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</si>
  <si>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</si>
  <si>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and relationships: Model 1 = 5, Model 2 = 5; Evidence: Both models include `Bank`, `Branch`, `Customer`, `Account`, `CurrentAccount`, and `SavingsAccount`. Both capture the multiplicities correctly: 0..* for customers and branches, 1..5 for a customer's accounts, and 1 for the account owner. Both correctly model inheritance for the account types and include the required attributes like `firstName`, `lastName`, `accountNumber`, `balance`, and `overdraftLimit`. Model 1 captures the "consists of" relation with a composition (`*--`), while Model 2 uses a labeled association. Model 1 includes optional sensible attributes (`bankName`, `branchName`).
Total: Model 1 = 5, Model 2 = 5
Choice: C
Reason:
1. Alignment with requirements and relationships: Both models accurately and completely capture the domain entities, attributes, and multiplicities described in the prompt. They perfectly handle the constraints (e.g., 1..5 accounts, 1 owner, 0..* customers/branches) and the inheritance relationship for account types. Model 1's inclusion of extra name attributes is minor and acceptable given the context, and its use of composition (`*--`) nicely reflects the "consists of" phrasing. Model 2 is perfectly strict in not adding any attributes outside the text. 
2. Rejected or checked issues: Model 1's use of two opposite unidirectional associations with PlantUML comments (e.g., `Customer --&gt; "1..5" Account` and `Account --&gt; "1" Customer`) is semantically equivalent to Model 2's single bidirectional line (`Customer "1" -- "1..5" Account`) and was not penalized, in accordance with the evaluation guidelines.
3. Overall judgment: Both models provide excellent, semantically complete UML class diagrams that fully satisfy the prompt's requirements. The differences are minimal and purely stylistic, resulting in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</si>
  <si>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</si>
  <si>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and no hallucinations: Model 1 = 5, Model 2 = 4; Evidence: Both models accurately capture the required classes (`Bank`, `Branch`, `Customer`, `Account`, `CurrentAccount`, `SavingsAccount`), inheritance relationships, and multiplicities (e.g., 1..5 for accounts per customer). However, Model 1 strictly adheres to the provided requirements without adding any extra fields. Model 2 introduces `bankName` in `Bank` and `branchName` in `Branch`, which violates the instruction to not make any hallucinations or additions. 
Total: Model 1 = 5, Model 2 = 4
Choice: A
Reason:
1. Alignment with requirements and no hallucinations: Model 1 perfectly follows the text, including only the specified attributes (`firstName`, `lastName`, `accountNumber`, `balance`, `overdraftLimit`). Model 2 adds attributes (`bankName`, `branchName`) that are not present in the requirement description, penalizing its strict adherence score. Both properly model the structural relationships and cardinalities (Bank to Customer, Customer to Account, etc.).
2. Rejected or checked issues: Model 2 uses two opposite unidirectional arrows (e.g., `Customer --&gt; 1..5 Account` and `Account --&gt; 1 Customer`) and PlantUML comments (e.g., `'opposite owner`). Based on the strictly enforced forbidden penalties, these are semantically identical to standard bidirectional associations and standard tooling annotations, so they were NOT penalized. Model 2 also uses composition (`*--`) for "consists of", which is good, but Model 1's standard association is also acceptable and does not outweigh Model 2's hallucinations. 
3. Overall judgment: Model 1 is chosen as the better response because it strictly satisfies all requirements without introducing unrequested attributes, adhering precisely to the constraints provided.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</si>
  <si>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</si>
  <si>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the required classes: Bank, Branch, Customer, Account, CurrentAccount, and SavingsAccount.
2. Associations/Multiplicities between classes for domain reasoning: Model 1 = 5, Model 2 = 5; Evidence: Both models capture the required relationships: Bank to Customer (0..*), Bank to Branch (0..*), and Customer to Account (1..5). Model 1 uses two opposite unidirectional associations to represent bidirectionality, which is semantically equivalent to Model 2's single bidirectional associations. Both correctly represent inheritance for the account types.
3. Model attributes with appropriate data types: Model 1 = 5, Model 2 = 5; Evidence: Both correctly include firstName (String) and lastName (String) for Customer, accountNumber (int) and balance (double) for Account, and overdraftLimit (double) for CurrentAccount. Model 1 includes sensible extra attributes (bankName, branchName), but both capture all required attributes perfectly.
4. Consistencies of Terminology with given context: Model 1 = 5, Model 2 = 5; Evidence: Terminology in both models strictly aligns with the provided text (e.g., Customer, Account, CurrentAccount, overdraftLimit).
5. Adherence of UML class diagram standards: Model 1 = 5, Model 2 = 5; Evidence: Both diagrams form valid PlantUML class diagrams and apply correct structural semantics (inheritance, relationships, multiplicities).
Total: Model 1 = 25, Model 2 = 25
Choice: C
Reason:
1. Appropriate conceptual classes aligned with the domain: Both models successfully identify and define all the required domain concepts as classes.
2. Associations/Multiplicities between classes for domain reasoning: Both models accurately implement the multiplicities requested by the prompt (e.g., Customer to Account `1..5`, Bank to Branch `0..*`). They differ only in drawing styles (Model 1 uses two opposite unidirectional arrows whereas Model 2 uses a single bidirectional line), which are semantically equivalent and perfectly valid.
3. Model attributes with appropriate data types: Both models completely capture the required attributes and types precisely as detailed in the requirement. Model 1 added trivial names to Bank and Branch, which neither harms nor significantly improves the core domain logic.
4. Rejected or checked issues: Based on the strict guidelines, using opposite-direction associations (Model 1) or PlantUML comments (e.g., `'opposite owner`) are not penalized as they carry valid semantic equivalence and notation mechanics.
5. Overall judgment: Both models provide an excellent, accurate, and completely adequate representation of the informal description. They are equal in semantic quality and fully satisfy all requirements. Therefore, it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</si>
  <si>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</si>
  <si>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the key domain classes: Bank, Branch, Customer, Account (as abstract), CurrentAccount, and SavingsAccount.
2. Associations/Multiplicities between classes for domain reasoning: Model 1 = 5, Model 2 = 5; Evidence: Both correctly capture that a Bank manages "0..*" Customers, a Bank consists of "0..*" Branches, and a Customer owns "1..5" Accounts. Model 1 uses standard bidirectional association lines, whereas Model 2 uses valid pair of opposite unidirectional associations (which are semantically equivalent per guidelines) and composition (`*--`) for the "consists of" relationship.
3. Model attributes with appropriate data types: Model 1 = 5, Model 2 = 5; Evidence: Both models correctly assign `firstName: String` and `lastName: String` to Customer, `accountNumber: int` and `balance: double` to Account, and `overdraftLimit: double` to CurrentAccount. Model 2 adds `bankName` and `branchName`, which are unrequested but harmless.
4. Consistencies of Terminology with given context: Model 1 = 5, Model 2 = 5; Evidence: Both models use exactly the terminology specified in the prompt (e.g., Customer, Branch, Account, CurrentAccount, SavingsAccount, overdraftLimit).
5. Adherence of UML class diagram standards: Model 1 = 5, Model 2 = 5; Evidence: Both models feature fully valid PlantUML syntax. Model 1 is clean and concise, while Model 2 uses single-quote comments and explicit directional associations, both of which are valid and fully adherent to UML/PlantUML semantics.
Total: Model 1 = 25, Model 2 = 25
Choice: C
Reason:
1. Appropriate conceptual classes aligned with the domain: Both models capture all necessary classes perfectly without missing any domain concepts. 
2. Associations/Multiplicities between classes for domain reasoning: Both models accurately implement the critical multiplicities (1..5 accounts per customer, 0..* for branches and customers). Model 2's usage of explicit opposite directional arrows and Composition (`*--`) accurately reflects the text "consists of" and the bi-directionality without changing the semantic equivalence.
3. Model attributes with appropriate data types: Both correctly map the required attributes and their types.
4. Rejected or checked issues: Model 2 incorporates PlantUML single-quote comments (e.g., `'opposite bank`) and opposite unidirectional relationships instead of single bidirectional lines. Per the provided guidelines, these are 100% semantically equivalent and cannot be penalized. Additionally, Model 2 includes unrequested attributes like `bankName`, but these represent transparent extensions rather than domain misalignments.
5. Overall judgment: Both diagrams are practically flawless representations of the prompt's informal description, fully capturing the business constraints and data types. As they demonstrate equal semantic strength and compliance with the instructions, this is a clear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</si>
  <si>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</si>
  <si>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identify the exact same set of classes (Bank, Branch, Customer, Account, CurrentAccount, SavingsAccount) and properly separate responsibilities. Customer handles personal data, while Account and its subclasses manage financial data. 
2. Complexity: Model 1 = 5, Model 2 = 5; Evidence: Both models keep the structural complexity well-aligned with the requirements. Neither over-engineers the design with unnecessary classes, and the inheritance depth is strictly one level (Account -&gt; CurrentAccount/SavingsAccount) which perfectly matches the basic types stated in the prompt.
3. Practicability: Model 1 = 5, Model 2 = 5; Evidence: Both diagrams accurately represent the domain requirements, including the correct 1..5 multiplicity for a customer's accounts. Model 1 uses composition (`*--`) for the "consists of" relationship between Bank and Branch, which is a nice touch, while Model 2 relies on standard associations which is also perfectly readable and practical.
Total: Model 1 = 15, Model 2 = 15
Choice: C
Reason:
1. Cohesion and Decoupling: Both models assign attributes strictly where they belong according to the requirement, maintaining high cohesion and low coupling.
2. Complexity: The class structures and inheritance trees are identical and appropriately sized for the given informal description.
3. Practicability: Both models are extremely readable and easily translatable into working code. They both enforce the constraint that an account belongs to exactly one customer, and a customer has between 1 and 5 accounts. 
4. Rejected or checked issues: Model 1 represents bidirectional associations using pairs of unidirectional arrows (`--&gt;`), which is semantically equivalent to Model 2's single bidirectional lines (`--`), so no penalty is applied. Model 1 adds basic Name attributes to Bank and Branch, which are harmless additions that do not detract from the score.
5. Overall judgment: Both models translate the informal description into precise, accurate, and correct UML class diagrams. The differences in association drawing styles are purely syntactical and strictly permitted, resulting in a true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</si>
  <si>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</si>
  <si>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use the same basic set of classes (Bank, Branch, Customer, Account, CurrentAccount, SavingsAccount) with identical responsibilities. High cohesion is maintained by placing attributes strictly in their owning classes. Both models properly decouple these concepts using associations and inheritance. Model 2's use of two opposite unidirectional arrows for Customer-Bank and Customer-Account is semantically equivalent to Model 1's single bidirectional lines.
2. Complexity: Model 1 = 5, Model 2 = 5; Evidence: The class structures and inheritance depths are identical. Both models capture exactly the conceptual entities described in the prompt without overcomplicating the design. While Model 2 includes extra attributes like `bankName` and `branchName`, these do not significantly alter the complexity.
3. Practicability: Model 1 = 5, Model 2 = 5; Evidence: Both models clearly and comprehensively represent the software's structure. Model 1 accurately translates the relationships directly from the text with standard associations and multiplicities. Model 2 uses a composition relation (`*--`) for Bank and Branch which closely maps to the phrase "consists of". Both designs are practical and robust for real-world application mapping.
Total: Model 1 = 15, Model 2 = 15
Choice: C
Reason:
1. Cohesion and Decoupling: Both models assign properties to the correct classes and establish appropriate dependencies. They both earn perfect scores for mapping the domain in a highly cohesive and loosely coupled manner.
2. Complexity: The number of classes, methods (none defined, which is appropriate given the text), and inheritance hierarchies are optimal in both models. The inclusion of minor unprompted attributes in Model 2 is harmless but unrewarded.
3. Rejected or checked issues: Model 2 uses two opposite unidirectional arrows (e.g., `Customer --&gt; Account` and `Account --&gt; Customer`) alongside inline comments (`'opposite owner`). According to the evaluation guidelines, this must be treated as completely semantically equivalent to Model 1's single bidirectional associations (`Customer "1" -- "1..5" Account`). I did not penalize Model 2 for this style.
4. Overall judgment: Both models provide completely valid, standard, and highly accurate UML representations of the prompt. They accurately reflect all required classes, inheritance structures, multiplicities, and constraints (like the `1..5` accounts limit and the `abstract` Account class). Because there is no meaningful quality difference, this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</si>
  <si>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</si>
  <si>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and Conceptual Representation: Model 1 = 4, Model 2 = 3; Evidence: Both models capture the core classes (`Bank`, `Branch`, `Customer`, `Account`, `CurrentAccount`, `SavingsAccount`). Model 1 correctly maps the multiplicities, particularly for the Customer-Account relationship with `Customer --&gt; "1..5" Account` and `Account --&gt; "1" Customer`, fulfilling "at least one and at most five accounts". However, Model 1 includes slight additions not in the prompt (`bankName` and `branchName`). Model 2 strictly avoids extra attributes but introduces a severe contradiction and redundancy by defining two separate non-directional associations between `Customer` and `Account`: `Customer "1" --- "1..5" Account` and `Account "0..*" --- "1" Customer`. This causes a multiplicity conflict (`1..5` vs `0..*`) for the same conceptual relationship. 
Total: Model 1 = 4, Model 2 = 3
Choice: A
Reason:
1. Alignment and Conceptual Representation: Model 1 accurately captures all structural relationships and constraints outlined in the requirement. Although it includes a minor addition of standard naming attributes (`bankName`, `branchName`), its domain logic and multiplicities are perfectly sound. Model 2 strictly adheres to the "no additions" rule for attributes, but it defines duplicate, conflicting associations between Customer and Account. Model 2's `0..*` multiplicity contradicts the explicit "at most five accounts" rule.
2. Rejected or checked issues: I ignored Model 1's use of single-quote comments and opposite unidirectional arrows (`--&gt;`), as they are standard tooling annotations and semantically equivalent to bidirectional associations according to the forbidden penalties. Model 2's use of visibility markers (`-`) was also treated as presentation-only and neither rewarded nor penalized.
3. Overall judgment: Model 1 is better because it accurately translates the business logic and constraints (specifically the 1..5 accounts rule) without introducing contradictory associations. The minor attribute additions in Model 1 are far less detrimental than the conflicting multiplicities in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</si>
  <si>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</si>
  <si>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requirements: Model 1 = 5, Model 2 = 4; Evidence: Both models successfully capture the required classes (Bank, Branch, Customer, Account, CurrentAccount, SavingsAccount), their attributes (firstName, lastName, accountNumber, balance, overdraftLimit), inheritance relationships, and multiplicities (e.g., 1..5 accounts per customer). However, Model 2 includes hallucinated attributes (`bankName` and `branchName`) which were not mentioned in the prompt, violating the strict instruction against additions.
Total: Model 1 = 5, Model 2 = 4
Choice: A
Reason:
1. Alignment with requirements: Both models correctly model the core domain logic, capturing all stated associations, inheritance, and multiplicities. Per the evaluation guidelines, opposite-direction associations (whether modeled as two separate lines like in Model 1 or two directional arrows like in Model 2) are treated as semantically equivalent to a single bidirectional line. Model 1 strictly adheres to the requirements without adding any unprompted details. Model 2 loses a point because it introduces extra attributes (`bankName` in `Bank`, `branchName` in `Branch`), violating the instruction to build the diagram "without making any hallucinations and additions."
2. Rejected issues: The use of single-quote comments in Model 2 (e.g., `'opposite bank`) and the split associations for opposite directions in both models were ignored as per the strictly enforced forbidden penalties. 
3. Overall judgment: Model 1 is better because it perfectly aligns with the requirement and avoids adding unrequested elements (hallucinated attributes), fully respecting the strict instructions provided.</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</si>
  <si>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</si>
  <si>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Bank, Branch, Customer, Account, CurrentAccount, and SavingsAccount.
2. Associations/Multiplicities between classes for domain reasoning: Model 1 = 5, Model 2 = 3; Evidence: Model 1 correctly models the multiplicities, notably the customer having 1 to 5 accounts (`Customer --&gt; "1..5" Account` and `Account --&gt; "1" Customer`). Model 2 models two separate undirected associations between Customer and Account (`Customer "1" --- "1..5" Account` and `Account "0..*" --- "1" Customer`), which creates a contradiction in the multiplicity on the Account end (1..5 vs 0..*).
3. Model attributes with appropriate data types: Model 1 = 5, Model 2 = 5; Evidence: Both models correctly assign `firstName: String` and `lastName: String` to Customer, `accountNumber: int` and `balance: double` to Account, and `overdraftLimit: double` to CurrentAccount. Model 1 adds names for Bank and Branch, which is an acceptable minor addition.
4. Consistencies of Terminology with given context: Model 1 = 5, Model 2 = 5; Evidence: Both models use terminology perfectly aligned with the prompt (e.g., owner, manages, consists of, overdraftLimit).
5. Adherence of UML class diagram standards: Model 1 = 5, Model 2 = 4; Evidence: Model 1 uses standard PlantUML syntax for associations, inheritance, and composition. Model 2 uses `---` for associations which is valid but creates visually redundant undirected lines for the same relationship, slightly cluttering the diagram semantics.
Total: Model 1 = 25, Model 2 = 22
Choice: A
Reason:
1. Appropriate conceptual classes aligned with the domain: Both models identify all the required domain classes correctly and establish the right inheritance hierarchies.
2. Associations/Multiplicities between classes for domain reasoning: Model 1 accurately captures all relationship multiplicities, explicitly satisfying the 1 to 5 accounts per customer requirement. Model 2 incorrectly provides two separate undirected association lines between Customer and Account with conflicting multiplicities (1..5 and 0..*).
3. Rejected or checked issues: Based on the general guidelines, Model 1's use of two opposite unidirectional associations (e.g., `Customer --&gt; Account` and `Account --&gt; Customer`) is semantically equivalent to a bidirectional association and is not penalized. The single-quote comments in Model 1 (`'opposite`) are also ignored as tooling annotations.
4. Overall judgment: Model 1 is the better response because it accurately captures the multiplicities and associations without contradictions, whereas Model 2 suffers from conflicting multiplicities between Customer and Account.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</si>
  <si>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</si>
  <si>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Both models correctly identify Bank, Branch, Customer, Account, CurrentAccount, and SavingsAccount.
2. Associations/Multiplicities between classes for domain reasoning: Model 1 = 4, Model 2 = 5; Evidence: Model 1 provides two separate bidirectional associations for the Customer-Account relationship with contradictory multiplicities (`Customer "1" --- "1..5" Account` vs `Account "0..*" --- "1" Customer`). Model 2 accurately models this using opposite unidirectional associations (`Customer --&gt; "1..5" Account` and `Account --&gt; "1" Customer`), which correctly enforces the 1 to 1..5 constraint without contradiction. Both capture other required multiplicities correctly.
3. Model attributes with appropriate data types: Model 1 = 5, Model 2 = 5; Evidence: Both correctly capture `firstName`, `lastName`, `accountNumber`, `balance`, and `overdraftLimit` with their specified types. Model 2 includes extra names for Bank and Branch, which are harmless additions.
4. Consistencies of Terminology with given context: Model 1 = 5, Model 2 = 5; Evidence: Both models use domain-accurate terminology derived straight from the prompt, such as "manages" and "owner".
5. Adherence of UML class diagram standards: Model 1 = 5, Model 2 = 5; Evidence: Both models use valid PlantUML syntax. As per the strict guidelines, Model 2's usage of opposite-direction unidirectional associations and single-quote PlantUML comments are perfectly valid tooling and standard semantic representations.
Total: Model 1 = 24, Model 2 = 25
Choice: B
Reason:
1. Associations/Multiplicities: Model 2 is superior because it accurately and consistently enforces the `1..5` limit on accounts per customer. Model 1 creates two separate bidirectional association lines between Customer and Account, using `1..5` on one line and `0..*` on the other, creating a logical contradiction in the multiplicity for the same conceptual relationship.
2. Conceptual classes and Attributes: Both models successfully identify all entities, inheritance hierarchies, and required attributes with their respective data types.
3. Rejected or checked issues: Based on the forbidden penalties, I did not penalize Model 2 for using two opposite unidirectional associations instead of one single bidirectional line, nor for its use of PlantUML comments (e.g., `'opposite bank`) or for marking Account as `abstract`. These are all semantically equivalent or acceptable. I also did not reward Model 2's additional attributes (`bankName`, `branchName`).
4. Overall judgment: Model 2 is better as it flawlessly captures the association multiplicities without contradictions, whereas Model 1 presents conflicting multiplicities for the core Customer-Account relationship.</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</si>
  <si>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</si>
  <si>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5; Evidence: Both models properly separate responsibilities into `Bank`, `Branch`, `Customer`, and `Account` (with its subclasses), maintaining high cohesion and low coupling.
2. Complexity: Model 1 = 5, Model 2 = 5; Evidence: Both models extract the exact number of required classes and appropriately use inheritance for the account types without over-engineering the design.
3. Practicability: Model 1 = 5, Model 2 = 3; Evidence: Model 1 effectively makes `Account` an abstract class, which aligns well with practical object-oriented design since generic accounts shouldn't be instantiated. Furthermore, Model 2 introduces a contradiction by defining two separate undirected associations between `Customer` and `Account` with conflicting multiplicities (`Customer "1" --- "1..5" Account` and `Account "0..*" --- "1" Customer`), whereas Model 1 accurately models the 1-to-(1..5) constraint.
Total: Model 1 = 15, Model 2 = 13
Choice: A
Reason:
1. Cohesion and Decoupling: Both models accurately reflect the relationships described in the prompt and successfully isolate the concepts of banks, branches, customers, and accounts.
2. Complexity: Both models use the correct classes, attributes, and inheritance hierarchies, matching the complexity of the requirements perfectly.
3. Practicability: Model 1 is more practical and semantically sound. Model 2 creates two separate undirected relationships between Customer and Account with contradictory multiplicities on the Account side (`1..5` vs `0..*`). Model 1 correctly captures the exact constraints (1..5 Accounts per 1 Customer). Model 1 also designates `Account` as an abstract class, which is a strong practical choice given that only specific account types exist in this domain.
4. Rejected or checked issues: Model 1 uses multiple unidirectional associations with single quotes (e.g., `'opposite owner`), which are valid PlantUML tooling annotations representing bidirectional associations. As per the strict guidelines, this was not penalized.
5. Overall judgment: Model 1 is better due to the conflicting multiplicities in Model 2's relationships and Model 1's solid use of abstraction.</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</si>
  <si>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</si>
  <si>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5; Evidence: Both models successfully isolate concepts into individual classes (`Bank`, `Branch`, `Customer`, `Account`, `CurrentAccount`, `SavingsAccount`), maintaining high cohesion. Decoupling is effectively achieved in both by separating account types using inheritance (`CurrentAccount` and `SavingsAccount` extending `Account`).
2. Complexity: Model 1 = 5, Model 2 = 5; Evidence: Both models keep the complexity perfectly balanced with the requirements. They both use the correct number of classes and avoid creating unnecessary classes for simple attributes. The inheritance tree depth is appropriate (1 level deep) in both models.
3. Practicability: Model 1 = 4, Model 2 = 5; Evidence: Both models are practical and readable. Model 2 is slightly more robust because it maintains consistent multiplicities across its bidirectional associations. In Model 1, two separate undirected associations are drawn between `Customer` and `Account` with conflicting multiplicities on the `Account` side (`1..5` in one, `0..*` in the other). Model 2 correctly handles the directional multiplicity (`Customer --&gt; "1..5" Account` and `Account --&gt; "1" Customer`). 
Total: Model 1 = 14, Model 2 = 15
Choice: B
Reason:
1. Cohesion and Decoupling: Both models perfectly separate the responsibilities into the required classes, correctly utilizing composition for branches and inheritance for the account types.
2. Complexity: Both models accurately capture the domain without over-engineering. The number of classes, attributes, and relationships perfectly match the requirements.
3. Practicability: Model 2 is slightly more practical and accurate. Model 1 defines two separate, undirected associations between `Customer` and `Account` with conflicting multiplicities for the account side (`1..5` vs `0..*`). Model 2 accurately defines the relationships without conflicting constraints.
4. Rejected or checked issues: I did not reward Model 2 for making the `Account` class `abstract` or for adding `bankName` and `branchName` attributes, as the requirements do not strictly mandate these. Additionally, Model 2's use of opposite unidirectional arrows and PlantUML comments (`'opposite bank`) was correctly ignored as a stylistic tooling choice per the evaluation guidelines.
5. Overall judgment: Both models are excellent representations of the informal description. Model 2 is chosen as the winner purely because it avoids the slight multiplicity contradiction present in Model 1's undirected relationships, making it slightly more accurate for implementation and testing.</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</si>
  <si>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</si>
  <si>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4; Evidence: Both models capture the required classes (`Bank`, `Branch`, `Customer`, `Account`, `CurrentAccount`, `SavingsAccount`) and attributes correctly. Model 1 correctly captures the `Customer` and `Account` relationship with a single association `Customer "1" -- "1..5" Account`. Model 2 uses composition for `Bank` and `Branch` (`*--`), which fits "consists of" nicely. However, Model 2 defines the association between `Customer` and `Account` twice with conflicting multiplicities: `Customer "1" --- "1..5" Account` and `Account "0..*" --- "1" Customer`. The requirement states a customer has "at most five accounts", making the `0..*` multiplicity in Model 2's second association contradictory.
Total: Model 1 = 5, Model 2 = 4
Choice: A
Reason:
1. Alignment with requirements: Both models correctly identify all classes, inheritance relationships, and attributes specified in the prompt. Model 1 represents the relationship between `Customer` and `Account` elegantly and accurately with a single bidirectional association line containing the correct `1` to `1..5` multiplicity. Model 2 represents this same relationship with two separate lines, which is permissible, but it uses conflicting multiplicities for the account side (`1..5` on one line, and `0..*` on the other), violating the strict "at most five" rule. 
2. Rejected or checked issues: Model 2 uses composition (`*--`) for `Bank` and `Branch`, which is a very good fit for the wording "consists of". Model 1 makes `Account` an `abstract class`, which is a sound domain inference though not strictly required. Neither of these styling differences was penalized. The decision is solely based on Model 2's multiplicity contradiction.
4. Overall judgment: Model 1 provides a perfectly accurate semantic representation of the requirements without any internal contradictions, making it the better choice.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</si>
  <si>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</si>
  <si>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Requirements: Model 1 = 4, Model 2 = 5; Evidence: Both models capture the required classes (Bank, Branch, Customer, Account, CurrentAccount, SavingsAccount) and attributes correctly. Model 1 uses composition for "consists of" (`Bank "1" *-- "0..*" Branch`), which is slightly more precise for the phrase. However, for the relationship between Customer and Account, Model 2 uses a single bidirectional association (`Customer "1" -- "1..5" Account : owns`) that perfectly captures the cardinality constraint. Model 1 splits this into two separate associations without directionality (`Customer "1" --- "1..5" Account` and `Account "0..*" --- "1" Customer`), and the second association assigns a `0..*` multiplicity to Account, which explicitly contradicts the requirement that a customer has "at most five accounts" (`1..5`).
Total: Model 1 = 4, Model 2 = 5
Choice: B
Reason:
1. Alignment with Requirements: Model 2 is better aligned with the core domain constraints. While Model 1 correctly identifies composition for the Bank-Branch relationship, it creates conflicting multiplicities for the Customer-Account relationship by defining two separate associations: one correctly restricting accounts to `1..5`, but the other allowing `0..*` accounts per customer. Model 2 cleanly consolidates this into a single association that strictly enforces the `1..5` requirement.
2. Rejected or checked issues: The optional abstractness of the `Account` class in Model 2 is explicitly ignored for scoring purposes per the forbidden penalties, as the requirement does not specify whether direct instances of the base account are allowed. Furthermore, while Model 1 splits the association into two lines, the problem is not the structural splitting itself (which is allowed if semantically equivalent), but rather the explicit contradiction in the multiplicity values (`1..5` vs `0..*`) introduced by doing so. 
3. Overall judgment: Model 2 correctly implements all required multiplicities and structural relationships without introducing domain contradictions, making it the better choice.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</si>
  <si>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</si>
  <si>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Bank, Branch, Customer, Account, CurrentAccount, and SavingsAccount.
2. Associations/Multiplicities between classes for domain reasoning: Model 1 = 5, Model 2 = 4; Evidence: Model 1 elegantly captures the relationship between Customer and Account with a single association `Customer "1" -- "1..5" Account : owns`. Model 2 uses two distinct undirected associations between Customer and Account (`Customer "1" --- "1..5" Account` and `Account "0..*" --- "1" Customer`) which introduces contradicting multiplicities on the Account end (1..5 vs 0..*).
3. Model attributes with appropriate data types: Model 1 = 5, Model 2 = 5; Evidence: Both models correctly place firstName (String), lastName (String), accountNumber (int), balance (double), and overdraftLimit (double) in the respective classes.
4. Consistencies of Terminology with given context: Model 1 = 5, Model 2 = 5; Evidence: Both models use terms exactly as defined in the requirement (e.g., overdraftLimit, SavingsAccount, branch).
5. Adherence of UML class diagram standards: Model 1 = 5, Model 2 = 5; Evidence: Both models use valid PlantUML notation. Model 1 sensibly marks Account as `abstract`, which is a nice touch, while Model 2 uses valid composition for Bank and Branch. Both are syntactically sound.
Total: Model 1 = 25, Model 2 = 24
Choice: A
Reason:
1. Associations/Multiplicities: Model 1 perfectly condenses the bidirectional constraints into a single association between Customer and Account. Model 2 creates two separate undirected lines for the same relationship, and crucially, assigns contradicting multiplicities (1..5 on one line, and 0..* on the other), which comprises the precision of domain constraints.
2. Abstract Class: Although optional, Model 1 correctly identifies `Account` as an abstract superclass, which perfectly aligns with best object-oriented practices for "two basic types of accounts". 
3. Rejected or checked issues: Model 2 uses visibility modifiers (`-`) and composition (`*--`), which are not penalized or strictly rewarded over Model 1's standard associations, as both fit the informal description correctly. The penalty exemption for double-associations does not apply to Model 2 here, because the multiplicities mathematically contradict each other.
4. Overall judgment: Model 1 is slightly better because its multiplicities are unified and accurate, and it avoids the conflicting duplicate association found in Model 2. Model 1 is a cleaner and strictly correct UML representation of the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</si>
  <si>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</si>
  <si>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Bank, Branch, Customer, Account, CurrentAccount, and SavingsAccount. Model 2 conceptually enhances the design by making Account an abstract class.
2. Associations/Multiplicities between classes for domain reasoning: Model 1 = 3, Model 2 = 5; Evidence: Model 1 models the relationship between Customer and Account twice using two separate lines with conflicting multiplicities (`Customer "1" --- "1..5" Account` and `Account "0..*" --- "1" Customer`). Model 2 correctly captures the bidirectional relationship with a single line and the correct exact bounds (`Customer "1" -- "1..5" Account : owns`), accurately reflecting that a customer has 1 to 5 accounts and an account has 1 owner.
3. Model attributes with appropriate data types: Model 1 = 5, Model 2 = 5; Evidence: Both models correctly place `firstName` and `lastName` (String) in Customer, `accountNumber` (int) and `balance` (double) in Account, and `overdraftLimit` (double) in CurrentAccount.
4. Consistencies of Terminology with given context: Model 1 = 5, Model 2 = 5; Evidence: Both models use terminology exactly as described in the requirements (e.g., overdraftLimit, balance, manages, owner/owns).
5. Adherence of UML class diagram standards: Model 1 = 4, Model 2 = 5; Evidence: Both models use correct PlantUML syntax. However, Model 1's creation of duplicate association lines for the same conceptual relationship with contradicting multiplicities is an anti-pattern in UML modeling. Model 2 exhibits perfectly standard associations and inheritance representations.
Total: Model 1 = 22, Model 2 = 25
Choice: B
Reason:
1. Associations/Multiplicities: Model 2 accurately uses a single association to represent the 1-to-(1..5) relationship between Customer and Account. Model 1 inappropriately splits this into two contradictory relationships (one asserting 1..5 accounts, the other asserting 0..* accounts for a customer).
2. Appropriate conceptual classes: Both correctly implement all required classes, but Model 2 leverages an `abstract` Account class, which cleanly fits the statement "There are two basic types of accounts", meaning an Account is either a Savings or Current account. 
3. Rejected or checked issues: Model 1 uses a composition arrow (`*--`) for "Bank consists of Branch", whereas Model 2 uses a standard association (`--`). Standard associations are perfectly acceptable here and do not incur penalties, especially when weighed against Model 1's contradicting multiplicity bounds. 
4. Overall judgment: Model 2 is superior because it accurately defines multiplicities without contradictions and uses an optimal structure for the domain's associations and inheritance. Model 1 is fundamentally flawed by asserting conflicting multiplicity constraints between Account and Customer.```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</si>
  <si>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</si>
  <si>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correctly separate the entities into Bank, Branch, Customer, Account, CurrentAccount, and SavingsAccount, ensuring high cohesion and low coupling.
2. Complexity: Model 1 = 5, Model 2 = 4; Evidence: Model 1 uses a clean inheritance structure and a single association between Customer and Account. Model 2 introduces two separate association lines between Customer and Account (`Customer "1" --- "1..5" Account` and `Account "0..*" --- "1" Customer`), which adds unnecessary structural complexity for a single conceptual relationship.
3. Practicability: Model 1 = 5, Model 2 = 3; Evidence: Model 1 correctly captures the bidirectional ownership and 1..5 account constraint in a single relationship (`Customer "1" -- "1..5" Account`). Model 2's dual associations are not only redundant but also present conflicting multiplicities on the Account end (`1..5` on the first line, `0..*` on the second line), which reduces its readability and practicability for implementation.
Total: Model 1 = 15, Model 2 = 12
Choice: A
Reason:
1. Cohesion and Decoupling: Both models perform well, accurately identifying the necessary classes and avoiding tight coupling.
2. Complexity: Model 1 provides a more concise and accurate representation of the requirements. Model 2 introduces an extra association line that bloats the diagram.
3. Practicability: Model 1 is highly practical and directly maps to the requirements. Model 2 suffers from a significant flaw by using two separate association lines without navigability arrows between Customer and Account to represent the same relationship. This results in conflicting multiplicities for the Account class (`1..5` vs `0..*`), making the design ambiguous and problematic for real-world implementation.
4. Rejected or checked issues: Model 2 uses composition (`*--`) for the Bank-Branch relationship which conceptually fits "consists of", while Model 1 uses standard association. Both are acceptable under the general rules, but Model 2's conflicting multiplicities on the Customer-Account relationship heavily outweigh this minor detail. Abstract classes (used in Model 1) are optional but perfectly valid.
5. Overall judgment: Model 1 is clearly better due to its correct, unambiguous, and simpler handling of the Customer-Account relationship, whereas Model 2 introduces redundant and conflicting associations.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</si>
  <si>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</si>
  <si>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5; Evidence: Both models accurately capture the domain entities (`Bank`, `Branch`, `Customer`, `Account`, `CurrentAccount`, `SavingsAccount`) with identical attributes and correct inheritance structures, demonstrating high cohesion and appropriate decoupling.
2. Complexity: Model 1 = 4, Model 2 = 5; Evidence: Both models use the same number of classes and inheritance depth. However, Model 1 introduces unnecessary complexity by defining two separate undirected associations between `Customer` and `Account` (`Customer "1" --- "1..5" Account` and `Account "0..*" --- "1" Customer`). Model 2 correctly simplifies this into a single association.
3. Practicability: Model 1 = 4, Model 2 = 5; Evidence: Model 1's duplicate associations between `Customer` and `Account` contain contradictory multiplicities for the accounts (`1..5` in one, `0..*` in the other). This contradicts the strict requirement ("at least one and at most five accounts") and creates ambiguity for implementation. Model 2 explicitly models the correct `1..5` multiplicity on a single association, making it highly practical and readable. Model 1 accurately captures the "consists of" relationship with composition (`*--`), but Model 2's simple association is also perfectly acceptable and its accurate multiplicity takes precedence.
Total: Model 1 = 13, Model 2 = 15
Choice: B
Reason:
1. Cohesion and Decoupling: Both models perform equally well, appropriately separating responsibilities among the bank, customers, branches, and specific account types.
2. Complexity: Model 1 is slightly more complex due to a redundant association between Customer and Account, whereas Model 2 cleanly uses a single association.
3. Practicability: Model 2 provides a more practical and robust design because it correctly enforces the strict `1..5` accounts per customer rule on a single association. Model 1 introduces a contradiction by having one line dictate `1..5` accounts and another line dictate `0..*` accounts for the same relationship, causing ambiguity.
4. Rejected or checked issues: Model 2 defines `Account` as an `abstract class` while Model 1 does not. Per the forbidden penalty rules, optional abstractness without strict requirement evidence is neither penalized nor rewarded. Both styles are fully acceptable. Model 1 uses composition for branches, but Model 2's regular association is not penalized.
5. Overall judgment: Model 2 is better because it avoids contradictory multiplicities, keeping the diagram semantically accurate, clean, and easily implementable according to the requirements.</t>
  </si>
  <si>
    <t>CelO</t>
  </si>
  <si>
    <t>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</si>
  <si>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</si>
  <si>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&amp; Functionalities: Model 1 = 4, Model 2 = 5; Evidence: Model 2 handles the pre-registration invitation lifecycle better by including `invitedEmail` in `Invitation` and allowing a `0..1` link to `Attendee`, perfectly capturing the requirement that organizers enter emails to invite attendees, who *then* may create accounts later. Model 1 forces an `Invitation` to link to a `1` `Attendee` immediately.
2. Conceptual Classes &amp; Attributes: Model 1 = 5, Model 2 = 5; Evidence: Both models extract accurate classes (`Event`, `Location`, `TaskTemplate`, `EventTask`, `Invitation`) and correct attributes (e.g., `startDateTime`, `occasion`, `status`). 
3. Relationships &amp; Cardinalities: Model 1 = 4, Model 2 = 5; Evidence: Model 1 incorrectly models the relationship between `TaskTemplate` and `EventTask` as `0..*` to `0..*` (an instantiated event task typically comes from exactly one template). Model 2 correctly models this as `*` `EventTask` to `1` `TaskTemplate`. Model 2 also correctly assigns `0..1` multiplicity to the `Invitation`-`Attendee` relationship.
Total: Model 1 = 13, Model 2 = 15
Choice: B
Reason:
1. Alignment &amp; Functionalities: Model 2 provides a more accurate reflection of the user registration workflow. The requirements state that organizers invite attendees using an email, and the attendee only creates an account upon receiving the invitation. Model 2 captures this transient state perfectly with `invitedEmail` on `Invitation` and a `0..1` association to `Attendee`. Model 1 assumes the `Attendee` object (which inherits `User` and thus requires a password) exists at the time the invitation is created.
2. Relationships &amp; Cardinalities: Model 2 uses much more precise multiplicities. In Model 1, the `0..*` to `0..*` multiplicity between `TaskTemplate` and `EventTask` is overly permissive and semantically confusing (an event task shouldn't stem from multiple templates at once). Model 2's `*` to `1` multiplicity is much more accurate for instantiation. 
3. Rejected or checked issues: Model 1 uses composition (`*--`) for event tasks and templates, while Model 2 uses standard associations (`--`). Both are acceptable representations in UML for these part-whole or tracking relationships, so neither was penalized.
4. Overall judgment: Model 2 is the better response because its multiplicities and attribute placement more faithfully and precisely represent the domain logic and chronological constraints of the event management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</si>
  <si>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</si>
  <si>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Requirements Alignment: Model 1 = 5, Model 2 = 4; Evidence: Model 1 explicitly models the pre-account invitation state by including `invitedEmail` in `Invitation` and assigning a `0..1` multiplicity to `Attendee`, perfectly matching the requirement where an organizer invites via email and the attendee creates an account later. Model 2 maps `Invitation` to exactly `1` `Attendee`, missing the intermediate state. Furthermore, Model 1 correctly models the relationship between `EventTask` and `TaskTemplate` as `*` to `1` (each task instantiates one template), while Model 2 uses a less precise `0..*` to `0..*` relationship.
Total: Model 1 = 5, Model 2 = 4
Choice: A
Reason:
1. Requirements Alignment: Model 1 handles the complex invitation workflow better. The requirement specifies that an organizer invites attendees by entering their email, and the attendee only creates an account *after* receiving the email invitation. Model 1 captures this by storing the `invitedEmail` on the `Invitation` class and making the association to `Attendee` optional (`0..1`). Model 2 requires an `Attendee` to exist immediately upon creating an `Invitation` (multiplicity `1`), which contradicts the delayed account creation workflow. Additionally, Model 1 maps `EventTask` to exactly `1` `TaskTemplate`, which accurately represents instantiating a checklist item, whereas Model 2 makes this a many-to-many relationship, diluting the domain semantics. Both correctly use inheritance for `User` and capture the varying event multiplicities.
2. Rejected or checked issues: Model 2 includes PlantUML single-quote comments (e.g., `'opposite eventKind`), but per the strict instructions, this is a standard tooling annotation and was not penalized. Primitive type casing (e.g., `boolean` vs `Boolean`, `Date` vs `DateTime`) was also ignored as instructed. 
3. Overall judgment: Model 1 is slightly better due to its precise domain representation of the invitation lifecycle (handling non-registered invitees) and accurate multiplicities between tasks and templates.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</si>
  <si>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</si>
  <si>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Both models identify the key domain classes perfectly, including `User`, `Organizer`, `Attendee`, `Event`, `Location`, `TaskTemplate` (or similar for the checklist), `EventTask`, and `Invitation`.
2. Associations/Multiplicities between classes for domain reasoning: Model 1 = 4, Model 2 = 5; Evidence: The requirement states that "an attendee can create an account (if they do not yet have an account)" after receiving an invitation. Model 2 captures this transient state well by giving the association between `Invitation` and `Attendee` a `0..1` multiplicity, meaning an invitation can exist before the attendee account is created. Model 1 forces a strict `1` multiplicity (`Invitation "*" --&gt; "1" Attendee`), which contradicts the pre-account invitation state. Model 2 also correctly assigns `EventTask "*" -- "1" TaskTemplate`, whereas Model 1 uses a many-to-many relationship which is less precise for instantiating a single task from a template.
3. Model attributes with appropriate data types: Model 1 = 4, Model 2 = 5; Evidence: Model 2 accurately captures the pre-registration requirement by including `invitedEmail: String` directly on the `Invitation` class, while Model 1 omits this. Furthermore, Model 2 uses `DateTime` for `startDate` and `endDate`, which strictly aligns with the "start date/time and end date/time" requirement, whereas Model 1 uses the generic `Date` type. 
4. Consistencies of Terminology with given context: Model 1 = 5, Model 2 = 5; Evidence: Both models use excellent domain terminology. Model 1's `RsvpStatus` uses `CONFIRMED` and Model 2 uses `ATTENDING` for "will attend"; both are perfectly consistent with the given context. Both models accurately map the task statuses.
5. Adherence of UML class diagram standards: Model 1 = 5, Model 2 = 5; Evidence: Both models form valid PlantUML class diagrams. Model 1 makes good use of directionality and composition, while Model 2 uses valid bidirectional associations and association labels. Both strictly adhere to standard notation.
Total: Model 1 = 23, Model 2 = 24
Choice: B
Reason:
1. Appropriate conceptual classes: Both models identify all the required entities, abstracting the "list of events" into an `EventKind`/`EventType` and the recurring checklist into a `TaskTemplate` correctly. 
2. Associations/Multiplicities: Model 2 performs slightly better in domain reasoning by recognizing that an `Invitation` may not yet be linked to a registered `Attendee` (using `0..1`), whereas Model 1 incorrectly forces every `Invitation` to be mapped to exactly `1` `Attendee` from the start.
3. Attributes: Model 2 explicitly models `invitedEmail` on the `Invitation` class, which is a very thoughtful way to handle the requirement that attendees are invited by entering their email addresses before they have accounts. Model 2 also matches the Date/Time requirement more explicitly with `DateTime` data types.
4. Overall judgment: While both models are highly professional and accurately translate the business logic into a structural design, Model 2 captures the nuanced workflow of unregistered invitees significantly better through its attribute choices and multiplicities. Therefore, Model 2 is slightly better.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</si>
  <si>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</si>
  <si>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abstract the core domain into classes like User, Organizer, Attendee, Event, Location, Invitation, TaskTemplate, and EventTask.
2. Associations/Multiplicities between classes for domain reasoning: Model 1 = 5, Model 2 = 4; Evidence: Model 1 uses `Invitation "*" -- "0..1" Attendee`, which accurately reflects that an invitation exists before an attendee registers an account. Model 2 uses `Invitation "*" --&gt; "1" Attendee`, forcing an Attendee to exist upon invitation, which contradicts the workflow described. Furthermore, Model 2 uses a `0..*` to `0..*` association between `TaskTemplate` and `EventTask`, whereas Model 1 accurately restricts it to `EventTask "*" -- "1" TaskTemplate`. 
3. Model attributes with appropriate data types: Model 1 = 5, Model 2 = 4; Evidence: Model 1 includes `invitedEmail: String` in `Invitation` to capture the guest's email before account creation, fulfilling the requirement to enter email addresses to invite attendees. Model 2 lacks this attribute in `Invitation` and relies solely on the `User` class for email, missing the pre-registration state.
4. Consistencies of Terminology with given context: Model 1 = 5, Model 2 = 5; Evidence: Both models use terms like `RsvpStatus`, `TaskStatus`, `Attendee`, `Organizer`, and `Location` which are highly consistent with the prompt.
5. Adherence of UML class diagram standards: Model 1 = 5, Model 2 = 5; Evidence: Both models use standard UML notations for classes, enumerations, inheritance, and associations without major syntax errors. Model 2's use of single-quote comments is a standard tooling annotation and is ignored per the guidelines.
Total: Model 1 = 25, Model 2 = 23
Choice: A
Reason:
1. Associations/Multiplicities: Model 1 correctly captures the registration workflow by allowing an `Invitation` to exist without an `Attendee` initially (`0..1`). Model 2 enforces exactly `1` Attendee per Invitation, which breaks the logic of sending an invite to an email before the user creates an account. Model 1 also better represents the instantiation of tasks from templates (1 to many instead of many to many).
2. Model attributes: Model 1 captures the `invitedEmail` on the `Invitation` class, aligning perfectly with the requirement that organizers input an email to invite someone who might not yet be a registered user. Model 2 misses this detail.
3. Both models correctly separate `Organizer` and `Attendee` using inheritance from `User`, and both correctly separate reusable `TaskTemplate`s (or equivalent) from concrete `EventTask`s.
4. Overall judgment: Model 1 translates the pre-registration invitation workflow into attributes and multiplicities more accurately than Model 2, making it the better choice.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</si>
  <si>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</si>
  <si>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4; Evidence: Both models successfully decouple the core concepts by creating classes for `User`, `Organizer`, `Attendee`, `Event`, `Location`, and `TaskTemplate`/`EventTask`. They both use inheritance appropriately to separate user roles. Model 1 directly associates `Attendee` with `EventTask` (`Attendee "0..*" --&gt; "0..*" EventTask`), while Model 2 couples `EventTask` to `Invitation` (`EventTask "*" -- "0..1" Invitation`), which slightly blurs the responsibility since tasks are accomplished by attendees, not the invitations themselves.
2. Complexity: Model 1 = 5, Model 2 = 5; Evidence: Both models maintain an excellent balance of complexity. They both use exactly 9 classes and 2 enumerations, which perfectly aligns with the domain size. The depth of the inheritance tree is 1 for both (`User` acting as a base class for `Organizer` and `Attendee`), and the number of attributes is kept manageable and relevant to the requirements without over-engineering. 
3. Practicability: Model 1 = 4, Model 2 = 3; Evidence: Model 1 is more practical for real-world querying because it correctly models the relationship between `Organizer` and `Event` as many-to-many (`Organizer "1..*" --&gt; "1..*" Event`), allowing organizers to manage multiple events over time. Model 2 restricts an `Organizer` to exactly one `Event` (`Event "1" -- "1..*" Organizer`), which would require creating a new Organizer account for every event they manage. However, Model 2 handles the pre-registration invitation state slightly better by adding `invitedEmail` to `Invitation` and making the `Attendee` optional (`0..1`), whereas Model 1 requires an `Attendee` to exist for every `Invitation` (`"1"`). Overall, Model 1's domain multiplicities make it more practical for long-term use.
Total: Model 1 = 13, Model 2 = 12
Choice: A
Reason:
1. Cohesion and Decoupling: Both models perform well, but Model 1 is slightly more logical in its associations by linking tasks directly to attendees rather than connecting tasks to invitations as Model 2 does.
2. Complexity: Both models present an identical structural blueprint with a well-balanced number of classes, appropriate use of inheritance, and clear abstraction of event kinds/types and templates. Neither is overly complex nor too simplistic.
3. Practicability: Model 1 provides a more robust foundation for the application's lifecycle. Model 2's multiplicity of `"1"` on the `Event` side of the `Event - Organizer` relationship breaks the real-world logic that an organizer will use the same account to plan multiple events over time. While Model 2 elegantly solves the "invite before account creation" problem with an optional attendee link, Model 1's overall domain accuracy makes it more viable for programming a functional system.
4. Overall judgment: Model 1 is the better diagram primarily because it accurately captures the many-to-many relationship between organizers and the events they manage, and correctly links task assignments directly to the attendees who perform them.</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</si>
  <si>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</si>
  <si>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4; Evidence: Both models achieve high cohesion by separating users (`User`, `Organizer`, `Attendee`), event details (`Event`, `Location`), and tasks (`TaskTemplate`, `EventTask`). However, Model 1 correctly models the relationship between `EventTask` and `TaskTemplate` as a many-to-one relationship (`EventTask "*" -- "1" TaskTemplate`), whereas Model 2 uses a many-to-many relationship (`TaskTemplate "0..*" --&gt; "0..*" EventTask`), which loosely couples them and creates ambiguity regarding which template instantiated a specific task.
2. Complexity: Model 1 = 5, Model 2 = 5; Evidence: Both models introduce exactly 10 classes with a clean inheritance tree (`User` as the base class for `Organizer` and `Attendee`). The attribute distribution is well-balanced, and neither model suffers from class explosion or overly dense classes. Both align perfectly with the requirement's conceptual complexity.
3. Practicability: Model 1 = 5, Model 2 = 4; Evidence: Model 1 offers a highly practical solution for the registration workflow by placing `invitedEmail` in `Invitation` and linking it to `0..1` `Attendee`, gracefully handling the state before an invitee creates an account. Model 2 requires a `1` to `1` linkage between `Invitation` and `Attendee` upfront, which is less explicit about the pre-account creation phase. Additionally, Model 1 assigns `EventTask` to an `Invitation`, naturally scoping the volunteer assignment to the specific event, whereas Model 2 links `EventTask` directly to `Attendee`, which works but is slightly less cohesive in an event-driven context.
Total: Model 1 = 15, Model 2 = 13
Choice: A
Reason:
1. Cohesion and Decoupling: Both models decouple responsibilities well, but Model 1 provides a more precise and accurate multiplicity between `TaskTemplate` and `EventTask` (one template to many tasks, rather than many-to-many).
2. Complexity: Both models have an identical structural footprint (10 classes, single inheritance tree) and balance the domain complexity equally well.
3. Practicability: Model 1's design is more viable for real-world application workflows. By storing `invitedEmail` on the `Invitation` and making the `Attendee` link optional (`0..1`), it perfectly captures the requirement that an attendee receives an email first and creates an account *afterward*. Furthermore, assigning an `EventTask` to an `Invitation` (Model 1) tightly binds the task assignment to the context of the specific event, enhancing modularity compared to Model 2's direct link to the `Attendee`.
4. Overall judgment: Model 1 is slightly better because its structural multiplicities and object relationships (such as the invitation-registration workflow and task instantiation) map more logically and practically to the real-world scenarios described in the requirements.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</si>
  <si>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</si>
  <si>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Model 1 = 4, Model 2 = 5; Evidence: Model 2 explicitly includes an `attends` association between `Organizer` and `Event` to address the requirement "Sometimes, an organizer also attends the event." Model 1 misses this specific relationship for organizers. However, Model 1 more accurately defines the multiplicity between `Invitation` and `Attendee` (`Invitation "*" --&gt; "1" Attendee`), whereas Model 2 uses a many-to-many association (`Attendee "0..*" receives "0..*" Invitation`). Both models successfully distinguish between a checklist template (`TaskTemplate` / `Task`) and the actual event tasks (`EventTask`).
2. Class Diagram Semantics: Model 1 = 5, Model 2 = 4; Evidence: Model 1 provides clear navigability, role names (in the form of aliases/comments which are valid), and complete multiplicities for all ends of its associations. Model 2 uses looser associations in some places (e.g., `Event *-- "0..*" Invitation` omits the multiplicity on the `Event` side, though composition implies 1; `Event -- "1" EventType` misses the multiplicity on the `Event` side).
Total: Model 1 = 9, Model 2 = 9
Choice: C
Reason:
1. Requirement Alignment: Both models do an excellent job capturing the core domain. They both successfully recognize the need to split tasks into a template/dictionary class (`TaskTemplate` in Model 1, `Task` in Model 2) associated with the event kind, and an instance class (`EventTask`) associated with the specific event. Model 2 captures the "organizer attends event" requirement with an explicit association, which Model 1 omits. Conversely, Model 1 handles the relationship between `Invitation` and `Attendee` more accurately (many-to-one) compared to Model 2's many-to-many.
2. Class Diagram Semantics: Model 1 is slightly more rigorous in its UML notation, defining multiplicities on both sides of all relationships and using clear directed associations. Model 2 leaves some multiplicities undefined (defaulting to 1 or unspecified), but its structural semantics remain valid and understandable. 
3. Rejected or checked issues: Model 1 uses single-quote comments (e.g., `'opposite eventKind`) which are PlantUML tooling annotations. In accordance with the guidelines, these were strictly ignored and not penalized. 
4. Overall judgment: The models are of very similar high quality. Model 2 has a slight edge in domain coverage by capturing the organizer's attendance, while Model 1 has a slight edge in the strictness and completeness of its UML multiplicities. Therefore, it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</si>
  <si>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</si>
  <si>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Requirements and Conceptual Modeling: Model 1 = 5, Model 2 = 4; Evidence: Model 1 explicitly includes the association `Organizer "0..*" attends "0..*" Event` to satisfy "Sometimes, an organizer also attends the event." Model 2 includes `Organizer manages Event` but completely omits the ability for organizers to attend events. Both correctly model the dual-layer task structure (templates on the event kind vs. instances on the event itself) and user inheritance.
Total: Model 1 = 5, Model 2 = 4
Choice: A
Reason:
1. Alignment with Requirements and Conceptual Modeling: Model 1 accurately captures the nuanced requirement that organizers can also attend events by providing a separate `attends` association alongside the `organizes` association. Model 2 fails to represent this, restricting organizers to only managing events. Both models successfully implement the event kind task templates (Model 1's `Task` on `EventType`, Model 2's `TaskTemplate` on `EventKind`) and instance-specific tasks (both use `EventTask`), as well as accurately tracking the invitation statuses.
2. Conceptual Associations: Both correctly use inheritance to handle common attributes for users (Person/User to Organizer/Attendee) and composition for tightly bound concepts (Event to EventTask and Invitation). However, Model 1 provides slightly better coverage of the specific domain requirements.
3. Rejected or checked issues: I ignored Model 2's use of single-quote plantUML comments and equivalent association arrow styles, as well as the exact naming conventions for User vs Person and EventType vs EventKind, since they are all semantically valid.
4. Overall judgment: Model 1 is better because it fully satisfies the requirement by explicitly allowing organizers to attend events, whereas Model 2 misses this required functionality. Both are otherwise excellent domain models.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</si>
  <si>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</si>
  <si>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Both models correctly identify the core domain concepts such as Organizer, Attendee, Event, Location, EventTask, and Invitation. Both also capture the event checklist definition (TaskTemplate in Model 1, EventType and Task in Model 2).
2. Associations/Multiplicities between classes for domain reasoning: Model 1 = 4, Model 2 = 4; Evidence: Model 2 explicitly models the requirement that an organizer can attend an event (`Organizer "0..*" attends "0..*" Event`), which Model 1 misses. However, Model 2 incorrectly models the multiplicity between Attendee and Invitation as many-to-many (`Attendee "0..*" receives "0..*" Invitation`), whereas Model 1 correctly maps an Invitation to a single Attendee (`Invitation "*" --&gt; "1" Attendee`).
3. Model attributes with appropriate data types: Model 1 = 5, Model 2 = 5; Evidence: Both models accurately capture the attributes required (e.g., `firstName: String`, `password: String`, `startDateTime`, `endDateTime`). Model 1 uses `Date` and Model 2 uses `DateTime`, both of which are fully appropriate.
4. Consistencies of Terminology with given context: Model 1 = 5, Model 2 = 5; Evidence: Terminology strictly aligns with the prompt. Model 2's enum values directly mirror the text ("Attending", "Maybe", "NotAttending", "NeedsToBeDone"), while Model 1 uses standard equivalents ("PENDING", "MAYBE", "TO_DO", "DONE"). Both approaches are excellent.
5. Adherence of UML class diagram standards: Model 1 = 5, Model 2 = 3; Evidence: Model 1 uses valid PlantUML syntax for all associations. Model 2 uses plain words instead of valid PlantUML link symbols for multiple associations (e.g., `Organizer "1..*" organizes "0..*" Event`, `Attendee "0..*" receives "0..*" Invitation`), which is invalid PlantUML syntax and would fail to render, though the intent remains human-readable.
Total: Model 1 = 24, Model 2 = 22
Choice: A
Reason:
1. Both models demonstrate an excellent grasp of the domain concepts, attributes, and terminology required to organize events and checklists.
2. Model 1 is slightly better formed from a multiplicity perspective (correctly mapping one attendee per invitation), though it misses the explicit association of an Organizer attending an Event. 
3. The decisive factor is in UML/PlantUML standard adherence. Model 2 contains several invalid PlantUML syntax lines where association arrows (like `--` or `--&gt;`) were replaced by verbs (e.g., `organizes`, `attends`, `receives`), which breaks the diagram's ability to render. Model 1 uses fully compliant syntax.
4. Therefore, Model 1 is the stronger choice due to its syntactic correctness and precise multiplicities.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</si>
  <si>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</si>
  <si>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Both models correctly identify the key conceptual classes such as `Event`, `Location`, `Organizer`, `Attendee`, `Invitation`, and a separation between the catalog task (`Task`/`TaskTemplate`) and the event-specific task (`EventTask`).
2. Associations/Multiplicities between classes for domain reasoning: Model 1 = 5, Model 2 = 4; Evidence: The requirement explicitly states, "Sometimes, an organizer is only managing the event but not attending the event. Sometimes, an organizer also attends the event." Model 1 captures this by including two distinct associations for the Organizer: `organizes` and `attends`. Model 2 only includes a `manages` association for the Organizer, making it impossible to represent an organizer attending the event without violating standard disjoint inheritance between `Organizer` and `Attendee`. 
3. Model attributes with appropriate data types: Model 1 = 5, Model 2 = 5; Evidence: Both models accurately capture all necessary attributes (e.g., `firstName`, `lastName`, `email`, `password` for users, `occasion`, `startDateTime`, `endDateTime` for events, and a boolean flag for whether a task is for attendees). 
4. Consistencies of Terminology with given context: Model 1 = 5, Model 2 = 5; Evidence: Both models use terminology perfectly aligned with the prompt, such as `Event`, `Organizer`, `Attendee`, `Location`, and the statuses for RSVPs and Tasks. Model 2's use of `TaskTemplate` and `EventKind` is an excellent reflection of the requirement's "kind of event" and reusable task lists. 
5. Adherence of UML class diagram standards: Model 1 = 5, Model 2 = 5; Evidence: Both models use valid PlantUML syntax, correctly apply generalization (`&lt;|--`), composition (`*--`), and standard associations with multiplicities. (Model 2's single-quote comments are ignored per the evaluation rules).
Total: Model 1 = 25, Model 2 = 24
Choice: A
Reason:
1. Appropriate conceptual classes aligned with the domain: Both models successfully extract the necessary domain classes, appropriately separating reusable task definitions from event-specific tasks.
2. Associations/Multiplicities between classes for domain reasoning: Model 1 is slightly better because it explicitly models the requirement that an organizer can also attend an event (`Organizer "0..*" attends "0..*" Event`), whereas Model 2 misses this capability for organizers. 
3. Model attributes with appropriate data types: Both models completely capture the required attributes and types.
4. Consistencies of Terminology with given context: Both models are perfectly aligned with the domain vocabulary.
5. Adherence of UML class diagram standards: Both models are completely valid under standard UML rules.
6. Overall judgment: Both models are exceptional, highly detailed, and accurately represent the complex workflows of the domain. Model 1 is chosen as slightly better strictly because it covers the explicit requirement that an Organizer can also be an attendee, which Model 2 structurally omits.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</si>
  <si>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</si>
  <si>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5; Evidence: Both models achieve high cohesion and low coupling by accurately separating reusable task definitions (`TaskTemplate` in Model 1, `Task` in Model 2) associated with the type of event (`EventKind` / `EventType`) from the specific task instances (`EventTask`) tied to a particular `Event`. This effectively decouples the template blueprint from the stateful execution of the tasks.
2. Complexity: Model 1 = 5, Model 2 = 5; Evidence: Both models maintain a balanced and appropriate level of complexity, utilizing 10-11 classes and 2 enumerations. They both correctly identify the need for an abstract base class (`User` in Model 1, `Person` in Model 2) to handle shared attributes (firstName, lastName, email, password) for `Organizer` and `Attendee`, keeping the inheritance tree depth at an optimal level of 1.
3. Practicability: Model 1 = 5, Model 2 = 2; Evidence: Model 1 uses standard and valid PlantUML syntax for all its associations (e.g., `Organizer "1..*" --&gt; "1..*" Event : manages`). Model 2, however, fails significantly in practicability due to multiple syntax errors. It writes associations without the required line/arrow syntax (e.g., `Organizer "1..*" organizes "0..*" Event`, `Attendee "0..*" receives "0..*" Invitation`, `Attendee "0..*" selects "0..*" EventTask`). These invalid lines will cause a PlantUML rendering failure, making the diagram impractical for real-world tooling.
Total: Model 1 = 15, Model 2 = 12
Choice: A
Reason:
1. Cohesion and Decoupling: Both models demonstrate excellent domain understanding by splitting event types from events, and task definitions from task instances.
2. Complexity: Both models keep the number of classes, attributes, and inheritance layers aligned perfectly with the system requirements without over-engineering.
3. Rejected or checked issues: I ignored the single-quote comments in Model 1's relationships (e.g., `'opposite managedBy`), as these are standard tooling annotations and do not detract from the semantics. Furthermore, I did not penalize Model 1 for requiring Organizers to manage at least one event (`1..*`), as this is a reasonable domain constraint.
4. Overall judgment: Model 1 is chosen as the better model because it is syntactically valid and fully renderable. Model 2, while conceptually very strong and structurally similar to Model 1, hallucinates PlantUML association syntax by entirely dropping the association arrows (using plain text words like `organizes` and `attends` as the structural link), which breaks the diagram's practicability and tooling support.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</si>
  <si>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</si>
  <si>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exhibit high cohesion by separating concerns into appropriate conceptual classes (e.g., separating `Event` from `EventType`/`EventKind` and `Location`, and distinguishing `Task`/`TaskTemplate` from `EventTask`). Coupling is kept low through proper use of composition and associations.
2. Complexity: Model 1 = 5, Model 2 = 5; Evidence: Both models keep complexity manageable with a reasonable number of classes and clear inheritance hierarchies (`Person`/`User` as the base class for `Organizer` and `Attendee`). They successfully distinguish between conceptual entities and attributes without creating unnecessary classes.
3. Practicability: Model 1 = 5, Model 2 = 4; Evidence: Model 1 explicitly models the requirement that "an organizer also attends the event" via the `Organizer "0..*" attends "0..*" Event` association, whereas Model 2 omits this behavior. Additionally, Model 1 logically restricts `EventTask` to correspond to exactly `"1"` `Task`, while Model 2 uses a many-to-many multiplicity (`TaskTemplate "0..*" --&gt; "0..*" EventTask`), which is practically less precise for tracking a specific checklist item to its template.
Total: Model 1 = 15, Model 2 = 14
Choice: A
Reason:
1. Cohesion and Decoupling: Both models perform equally well. They effectively extract `Location`, `EventKind`/`EventType`, and abstract the concept of `EventTask` vs `Task`/`TaskTemplate` to allow sharing checklists across events of the same kind.
2. Complexity: Both models have an identical structural depth and conceptual complexity. They use a standard superclass for people/users, aligning perfectly with the requirement's overlapping user attributes (first name, last name, email, password).
3. Practicability: Model 1 is slightly better because it captures a specific edge case stated in the requirements: "Sometimes, an organizer also attends the event," which is directly mapped via the `attends` association. Model 2 lacks a mechanism for an organizer to attend an event without circumventing the class hierarchy. Furthermore, Model 1's `EventTask -- "1" Task` multiplicity makes more sense than Model 2's many-to-many link, as a single event task typically stems from exactly one template task. 
4. Overall judgment: While both models are highly accurate, readable, and well-designed, Model 1 maps slightly closer to the specific business rules detailed in the prompt, making it the better response.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</si>
  <si>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</si>
  <si>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Requirements Alignment: Model 1 = 5, Model 2 = 4; Evidence: Model 1 captures the workflow of inviting someone before they have an account by placing `invitedEmail` and `rsvpStatus` in the `Invitation` class, which is later claimed by an `Attendee`. Model 2 links `Invitation` directly to `Attendee`, making it unclear how pre-account invitations are stored. Model 2 does explicitly model an `attends` relationship for `Organizer`, whereas Model 1 implies an Organizer would need a separate `Invitation` to attend, but Model 1's handling of the invitation workflow is much more robust for the specific requirements. Both models correctly distinguish between event types/templates and event-specific tasks (`TaskTemplate`/`EventTask` in Model 1, `Task`/`EventTask` in Model 2).
2. Class and Relationship Modeling: Model 1 = 5, Model 2 = 4; Evidence: Model 1 uses standard and complete UML/PlantUML syntax for associations (e.g., `Event "1" -- "*" Invitation : has &gt;`). Model 2 omits the required line symbols for many associations (e.g., `Organizer "1..*" organizes "0..*" Event`), which technically renders it invalid PlantUML, although the semantic intent is still readable. Model 1 also cleanly links `EventTask` to `Invitation` to track who is bringing what, which ensures that tasks are assigned strictly within the context of that event's confirmed attendance.
Total: Model 1 = 10, Model 2 = 8
Choice: A
Reason:
1. Requirements Alignment: Model 1 provides a more accurate representation of the domain, specifically the lifecycle of an invitation. By giving `Invitation` an `invitedEmail` attribute and allowing it to exist before being linked to a registered `Attendee` (cardinality `0..1`), it perfectly maps the requirement where organizers invite by email and attendees create an account later. Model 2 lacks this nuance. 
2. Class and Relationship Modeling: Model 1 utilizes fully valid UML/PlantUML association syntax with explicit navigability and labels. Model 2 writes associations in a way that drops the connection lines (`--`), which is syntactically invalid in PlantUML, though semantically discernible.
3. Overall judgment: Model 1 is better because it demonstrates a deeper understanding of the required workflow (pre-account invitations) and uses correct notation for its structural modeling.</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</si>
  <si>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</si>
  <si>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Functional Alignment &amp; Completeness: Model 1 = 5, Model 2 = 3; Evidence: Model 1 accurately captures all requirements, including the edge case where an organizer attends the event (`Organizer "0..*" attends "0..*" Event`). Model 2 misses explicitly modeling how an organizer attends an event. Furthermore, Model 2's overly restrictive cardinalities (evaluated in criterion 3) practically break the requirement that an organizer can organize multiple events and that event types are reusable for "the next event."
2. Conceptual Classes &amp; Relationships: Model 1 = 5, Model 2 = 5; Evidence: Both models correctly separate the base templates from event-specific instances (`Task` vs `EventTask` in Model 1, `TaskTemplate` vs `EventTask` in Model 2). Both properly extract `Location` and `EventType` into their own classes, and effectively handle user inheritance (`Person` and `User` respectively).
3. Associations, Cardinalities &amp; Relationship Types: Model 1 = 4, Model 2 = 2; Evidence: Model 1 correctly maps a many-to-many relationship between organizers and events (`Organizer "1..*" organizes "0..*" Event`) and uses composition appropriately (`Event *-- "0..*" EventTask`). Model 2 has severe multiplicity flaws on the "Event" side of its associations. Specifically, `Event "1" -- "1..*" Organizer` dictates that an Organizer can only organize exactly one Event. Even worse, `Event "1" -- "1" EventType` enforces a one-to-one relationship, completely violating the requirement that an event type and its checklist tasks can be reused for future events. 
4. Clarity of Class Names &amp; Attributes: Model 1 = 5, Model 2 = 5; Evidence: Both models include well-named attributes like `firstName`, `lastName`, `email`, and `password`. Both accurately capture the required enums for task statuses and RSVPs (`InvitationStatus` and `TaskStatus`). Model 2's addition of `invitedEmail` on `Invitation` is a nice touch, but Model 1 is equally clear.
Total: Model 1 = 19, Model 2 = 15
Choice: A
Reason:
1. Functional Alignment &amp; Completeness: Model 1 explicitly covers organizers attending events, whereas Model 2 overlooks this specific requirement.
2. Conceptual Classes &amp; Relationships: Both models successfully identify the necessary conceptual entities, including the crucial distinction between global task templates and event-specific tasks.
3. Associations, Cardinalities &amp; Relationship Types: Model 1 uses appropriate many-to-many and composition relationships. Model 2 suffers from critical cardinality errors, defining one-to-one or restricted one-to-many relationships that prevent organizers from managing multiple events and forbid event types from being reused across multiple events, heavily violating the core business logic.
4. Clarity of Class Names &amp; Attributes: Both models use highly descriptive naming conventions, correct primitive types, and appropriately modeled enums for task and RSVP statuses.
5. Overall judgment: Model 1 is far superior because its multiplicities support the required domain logic (reusable event types, multiple events per organizer), whereas Model 2's rigid "1" constraints on the Event side fundamentally break the application's intended workflows.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</si>
  <si>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</si>
  <si>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Both models identify excellent conceptual classes such as `Event`, `EventType`, `Location`, `Organizer`, `Attendee`, `Invitation`, and `EventTask` (or `TaskTemplate`/`Task`), which fully align with the domain requirements.
2. Associations/Multiplicities between classes for domain reasoning: Model 1 = 5, Model 2 = 3; Evidence: Model 1 correctly maps the domain reasoning with valid associations, including linking `EventTask` to `TaskTemplate` and `Invitation`. Model 2 captures the conceptual intent but writes relationships as `Organizer "1..*" organizes "0..*" Event` without proper UML/PlantUML link notation, making the associations syntactically broken.
3. Model attributes with appropriate data types: Model 1 = 5, Model 2 = 4; Evidence: Model 1 includes `invitedEmail` in `Invitation`, accurately capturing the workflow where an invitation exists with an email before an attendee registers an account. Model 2 places all user attributes in the `Person` class, missing the pre-registration details for invitations.
4. Consistencies of Terminology with given context: Model 1 = 5, Model 2 = 5; Evidence: Both models use terminology perfectly consistent with the text, such as `RsvpStatus` (or `InvitationStatus`), `TaskStatus`, `Organizer`, `Attendee`, and `EventType`.
5. Adherence of UML class diagram standards: Model 1 = 5, Model 2 = 2; Evidence: Model 1 fully adheres to PlantUML syntax. Model 2 contains frequent major PlantUML syntax violations, specifically omitting the connection lines for multiple associations (e.g., `Organizer "1..*" organizes "0..*" Event`, `Attendee "0..*" receives "0..*" Invitation`), which would cause rendering failures.
Total: Model 1 = 25, Model 2 = 19
Choice: A
Reason:
1. Appropriate conceptual classes aligned with the domain: Both models successfully identify the core entities required by the prompt, distinguishing between reusable task templates (or tasks associated with event types) and event-specific tasks.
2. Associations/Multiplicities between classes for domain reasoning: Model 1 correctly links the structural components of the system using proper syntax and logical mappings (e.g., assigning an `EventTask` to an `Invitation`). Model 2 conceptually attempts to map the required associations but suffers from severe syntax issues that break the relationships.
3. Adherence of UML class diagram standards: Model 1 uses perfectly valid PlantUML notation for all elements, inheritance, and associations. Model 2 fails to include the mandatory relation links (like `--` or `--&gt;`) in multiple places (e.g., `Organizer "0..*" attends "0..*" Event`), rendering the diagram syntactically invalid and incomprehensible to a UML engine.
4. Overall judgment: Model 1 is significantly better because it provides a complete, syntactically valid, and logically sound representation of the domain. Model 2, while conceptually on the right track, commits fundamental syntax errors that violate PlantUML standards and break its associations.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</si>
  <si>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</si>
  <si>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Both models correctly identify essential domain classes, such as Organizer, Attendee, Event, EventType, Location, and distinct classes for task templates (`Task`/`TaskTemplate`) and instantiated event tasks (`EventTask`).
2. Associations/Multiplicities between classes for domain reasoning: Model 1 = 5, Model 2 = 4; Evidence: Model 1 explicitly captures the requirement "Sometimes, an organizer also attends the event" via the `Organizer "0..*" attends "0..*" Event` association. Model 2 misses this capability, as `Organizer` and `Attendee` are separate subclasses and only `Attendee` can claim an `Invitation`.
3. Model attributes with appropriate data types: Model 1 = 4, Model 2 = 4; Evidence: Both correctly capture organizer attributes (address, phone) and shared user attributes (first name, last name, email, password) via a superclass (`Person` or `User`). Both slightly miss the nuance of storing the first and last name strictly on the invitation before an account is created, but both handle the general data requirements well. Model 1 accurately models `startDateTime` and `endDateTime`.
4. Consistencies of Terminology with given context: Model 1 = 5, Model 2 = 4; Evidence: Model 1 uses the exact terminology from the requirement for task statuses (`NeedsToBeDone`, `HasBeenDone`, `NotApplicable`) and invitation statuses (`Attending`, `Maybe`, `NotAttending`, `NotReplied`). Model 2 deviates slightly with `TODO`, `DONE`, and `DECLINED`.
5. Adherence of UML class diagram standards: Model 1 = 5, Model 2 = 5; Evidence: Both models use correct PlantUML syntax, valid visibility (where applied), proper relationships, and multiplicities.
Total: Model 1 = 24, Model 2 = 22
Choice: A
Reason:
1. Associations/Multiplicities: Model 1 successfully captures a specific edge case mentioned in the text—that an Organizer can also attend the event they are managing—by adding an explicit `attends` association between `Organizer` and `Event`. Model 2 leaves no way for an Organizer to attend an event without circumventing the class hierarchy.
2. Terminology: Model 1 adheres perfectly to the status terminologies explicitly outlined in the requirements (e.g., `NeedsToBeDone`, `HasBeenDone`, `NotApplicable`), whereas Model 2 uses generic aliases (`TODO`, `DONE`).
3. Overall judgment: While both models represent the core task-template (Type-Object) pattern excellently and structure the domain very well, Model 1 is slightly better due to its precise alignment with the specific terminology and corner-case associations defined in the prompt.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</si>
  <si>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</si>
  <si>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4; Evidence: Model 1 effectively decouples event participation and task assignments by using `Invitation` as the central link (`EventTask` is assigned to `Invitation`, which scopes the task to a specific event's attendance). Model 2 creates direct coupling between `Attendee` and `EventTask` (`Attendee "0..*" selects "0..*" EventTask`), and creates a separate `Organizer attends Event` relationship that bypasses the `Invitation` mechanism entirely, leading to fragmented participation logic.
2. Complexity: Model 1 = 5, Model 2 = 5; Evidence: Both models extract conceptual classes appropriately (e.g., separating `EventTask` from `TaskTemplate`/`Task` to distinguish between a checklist item and the general catalog of tasks). Both utilize 11 classes and 2 enumerations with an inheritance depth of 1 (`User`/`Person` superclass), perfectly balancing the domain's complexity without over-engineering.
3. Practicability: Model 1 = 5, Model 2 = 4; Evidence: Model 1 provides a highly practical solution for the invitation workflow. By giving `Invitation` an `invitedEmail` attribute and a `0..1` association to `Attendee` (`claimed by`), it perfectly models the requirement that organizers invite via email first, and attendees create an account later. Model 2 assumes the `Attendee` already exists to receive the `Invitation` (`Attendee receives Invitation`) and fails to integrate the `Organizer` into the RSVP status tracking when they choose to attend an event.
Total: Model 1 = 15, Model 2 = 13
Choice: A
Reason:
1. Cohesion and Decoupling: Model 1 centralizes event participation around the `Invitation` class. Assigning `EventTask` to `Invitation` ensures that tasks are logically bound to the context of a user attending a specific event. Model 2 scatters this logic by having `Attendee` directly select `EventTask` and adding a separate `attends` association for `Organizer`, reducing cohesion.
2. Complexity: Both models perform excellently here. They correctly interpret the requirement to reuse tasks across events of the same type by separating the definition (`TaskTemplate` in Model 1, `Task` in Model 2) from the instance bound to an event (`EventTask`).
3. Practicability: Model 1 shines in its practical representation of the system's chronological workflow. The requirement states that organizers invite attendees by entering an email, and the attendee can later create an account. Model 1's `Invitation` having an `invitedEmail` and being "claimed by" `0..1` `Attendee` models this sequence flawlessly. Model 2 lacks this nuance, requiring an `Attendee` object to exist to receive an `Invitation`. Furthermore, Model 2's direct `Organizer attends Event` link fails to explain how an attending organizer registers their RSVP status, as `InvitationStatus` belongs to `Invitation`.
4. Overall judgment: Model 1 is better because its structural choices provide a more accurate and robust foundation for the real-world workflows described in the requirements, particularly regarding the invitation lifecycle and task assignments scoped to event participation.</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</si>
  <si>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</si>
  <si>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4; Evidence: Both models achieve high cohesion by separating the core domain concepts into dedicated classes. They effectively decouple the reusable task definitions from event-specific tasks (using `Task` and `EventTask` in Model 1, and `TaskTemplate` and `EventTask` in Model 2). Both use an intermediate `Invitation` class to decouple `Event` from `Attendee` RSVP statuses.
2. Complexity: Model 1 = 4, Model 2 = 4; Evidence: Both models have an identical structural complexity of 10 classes and 2 enumerations. The depth of the inheritance tree is 1 in both cases (inheriting from `Person` in Model 1 and `User` in Model 2). The level of detail aligns perfectly with the requirement without over-engineering.
3. Practicability: Model 1 = 4, Model 2 = 4; Evidence: Model 1 explicitly models the requirement that "an organizer also attends the event" via the `Organizer "0..*" attends "0..*" Event` association, but it bypasses the `Invitation` RSVP mechanism for organizers. Model 2 improves the registration flow by storing `invitedEmail` on `Invitation` and linking it to `0..1` `Attendee`, perfectly capturing the flow where an invitation exists before the attendee creates an account; however, it lacks a direct way for an `Organizer` to attend an event since invitations are strictly linked to `Attendee`.
Total: Model 1 = 12, Model 2 = 12
Choice: C
Reason:
1. Cohesion and Decoupling: Both models exhibit strong modularity and decoupling. The separation between event-type tasks (templates) and event-specific instances is well-modeled in both, preventing tight coupling between event types and specific event checklists. 
2. Complexity: Both diagrams strike a very good balance between being comprehensive and readable. The number of attributes and classes is strictly driven by the domain requirements, avoiding unnecessary abstractions.
3. Practicability: The models have complementary strengths and minor flaws in practical application. Model 2 provides a more realistic workflow for user onboarding (allowing invitations to exist before the user account is created via `invitedEmail` and the `0..1` multiplicity). However, Model 1 more directly addresses the requirement that organizers can also attend events by providing a specific association, whereas Model 2 restricts invitations purely to `Attendee` subclasses, complicating organizer attendance.
4. Overall judgment: Both models are well-thought-out, semantically equivalent in most areas, and demonstrate a strong understanding of object-oriented design principles for the provided domain. The slight differences in practicability balance each other out, making it a tie.</t>
  </si>
  <si>
    <t>Cruise</t>
  </si>
  <si>
    <t>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</si>
  <si>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</si>
  <si>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Requirements: Model 1 = 5, Model 2 = 4; Evidence: Both models successfully capture all requested classes (Provider, Cruise, Employee, Guest, Ship, TravelAgency, Booking, DestinationArea, Show, Ticket) and their respective attributes. However, Model 1 correctly models the relationship between `Provider` and `Cruise` as a one-to-many relationship (`Cruise --&gt; "1" Provider` and `Provider --&gt; "*" Cruise`), whereas Model 2 restricts it to a strict one-to-one relationship (`Cruise "1" -- "1" Provider`), which does not align with the real-world domain where a provider organizes multiple cruises. Additionally, Model 1 captures the requirement that a cruise requires "many" employees by using a `1..*` multiplicity, whereas Model 2 just uses `*`. 
Total: Model 1 = 5, Model 2 = 4
Choice: A
Reason:
1. Alignment with Requirements: Both models perform well in capturing the entities, attributes, and general relationships specified in the text. However, Model 1 provides more accurate multiplicities. It correctly identifies that a `Provider` can organize multiple `Cruise` instances (1 to *), whereas Model 2 incorrectly limits a provider to organizing exactly one cruise (1 to 1). Model 1 also uses `1..*` for the `Employee` relationship to represent the "many" requirement better than a simple `*`. 
2. Rejected or checked issues: Note that Model 1 uses two opposite unidirectional arrows for associations along with single-quote comments (e.g., `Cruise --&gt; "1" Provider: organizedBy 'opposite cruises`). According to the evaluation guidelines, this is semantically equivalent to a bidirectional line and the standard tooling annotations must be ignored for scoring. Neither model fully captures the constraint "only one ticket per cruise" for a single guest, but this is a complex constraint that typically requires Object Constraint Language (OCL) or an association class, so neither is penalized for using two standard associations (`Ticket` to `Guest` and `Ticket` to `Cruise`).
3. Overall judgment: Model 1 is selected as the better choice because it enforces more accurate and realistic domain multiplicities while adhering to all provided requirements and UML semantics.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</si>
  <si>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</si>
  <si>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Requirements Alignment: Model 1 = 4, Model 2 = 5; Evidence: Model 1 restricts a Provider to organizing exactly one Cruise (`Cruise "1" -- "1" Provider`), which does not reflect the realistic domain assumption that a provider organizes multiple cruises. Model 2 correctly models this as a 1-to-many relationship (`Cruise --&gt; "1" Provider` and `Provider --&gt; "*" Cruise`). Additionally, Model 2 better captures "requires many employees" with `1..*` multiplicity, whereas Model 1 uses `*`. Both models capture the basic entities and attributes correctly (e.g., Guest VIP status, Ship details, Ticket ownership).
2. UML Semantics: Model 1 = 5, Model 2 = 5; Evidence: Both models use valid UML class structures, types, and relationships. Model 2's use of paired unidirectional associations with role-like annotations is semantically equivalent to bidirectional associations and complies with the rules. Model 1's standard bidirectional associations are also perfectly valid.
Total: Model 1 = 9, Model 2 = 10
Choice: B
Reason:
1. Requirements Alignment: Model 2 provides slightly more accurate multiplicities. Specifically, it allows a Provider to organize multiple Cruises (`*`), while Model 1 restricts it to a strict `1`-to-`1` relationship. Model 2 also explicitly uses `1..*` for the relationship between Cruise and Employee, aligning well with the requirement that a cruise "requires many employees."
2. UML Semantics: Both models use standard UML conventions correctly. While Model 2 represents associations as two unidirectional arrows with PlantUML comments (e.g., `'opposite cruises`), this is completely valid and semantically equivalent to Model 1's single bidirectional lines.
3. Rejected or checked issues: Neither model explicitly captures the complex constraint "only one ticket per cruise [per guest]" (e.g., via OCL or an association class/constraint note). However, since this is an advanced UML feature, both models are equally forgiven for omitting it and just relying on standard associations between Guest, Ticket, and Cruise.
4. Overall judgment: Model 2 is slightly superior due to its more accurate handling of multiplicities, specifically regarding the Provider-Cruise and Employee-Cruise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</si>
  <si>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</si>
  <si>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Both models identify all the required domain classes correctly, including `Provider`, `Cruise`, `Employee`, `Guest`, `Ship`, `TravelAgency`, `Booking`, `DestinationArea`, `Show`, and `Ticket`.
2. Associations/Multiplicities between classes for domain reasoning: Model 1 = 5, Model 2 = 4; Evidence: Model 1 correctly captures the one-to-many relationship between `Provider` and `Cruise` (`Provider` 1 -&gt; * `Cruise`), whereas Model 2 restricts it to one-to-one (`Cruise` "1" -- "1" `Provider`), which implies a provider can only organize a single cruise. Model 1 also explicitly uses `1..*` for the `Cruise`-to-`Employee` association, satisfying "requires many employees."
3. Model attributes with appropriate data types: Model 1 = 5, Model 2 = 5; Evidence: Both models accurately capture all necessary attributes using appropriate types (e.g., `Cruise` has `startDate` and `endDate` of type `Date`, `Guest` has `name` and `isVip`/`isVIP`, `Ship` has `length` and deck/passenger attributes). 
4. Consistencies of Terminology with given context: Model 1 = 5, Model 2 = 5; Evidence: Both models use terminology perfectly aligned with the prompt, accurately using terms like `DestinationArea`, `Booking`, `Ticket`, and `TravelAgency`.
5. Adherence of UML class diagram standards: Model 1 = 5, Model 2 = 5; Evidence: Both models are well-formed and follow PlantUML syntax correctly. Model 1 uses paired opposite unidirectional associations with single-quote tooling annotations, which is fully valid semantically and syntactically. Model 2 uses bidirectional lines.
Total: Model 1 = 25, Model 2 = 24
Choice: A
Reason:
1. Appropriate conceptual classes aligned with the domain: Both models successfully identify all required classes based on the domain description, earning excellent scores.
2. Associations/Multiplicities between classes for domain reasoning: Model 1 outperforms Model 2 by accurately modeling the multiplicity between `Provider` and `Cruise`. Model 1 correctly reflects that a provider can organize multiple cruises, whereas Model 2 uses a restrictive `1` to `1` relationship. Furthermore, Model 1 accurately models "requires many employees" using the `1..*` multiplicity.
3. Rejected or checked issues: Model 1's use of two unidirectional associations with single-quote annotations (e.g., `'opposite cruises`) is explicitly recognized as valid semantics for tooling and was not penalized, per the strict evaluation guidelines.
4. Overall judgment: Model 1 is slightly better due to its more precise domain reasoning and multiplicities, specifically avoiding the one-to-one limitation for providers and cruises seen in Model 2. Both are excellent UML diagrams, but Model 1 is more semantically accurate.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</si>
  <si>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</si>
  <si>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exact same relevant domain classes: Provider, Cruise, Employee, Guest, Ship, TravelAgency, Booking, DestinationArea, Show, and Ticket.
2. Associations/Multiplicities between classes for domain reasoning: Model 1 = 4, Model 2 = 5; Evidence: Model 1 sets the multiplicity between Cruise and Provider to 1:1 (`Cruise "1" -- "1" Provider`), which inaccurately restricts a provider to organizing only a single cruise. Model 2 correctly models this as a 1-to-many relationship. Additionally, Model 2 accurately models "many employees" as `1..*` rather than just `*`.
3. Model attributes with appropriate data types: Model 1 = 5, Model 2 = 5; Evidence: Both models correctly include all required attributes with appropriate data types. Model 1 uses String and Date/Double/Integer, while Model 2 uses int/double/Date/String. Both approaches are valid.
4. Consistencies of Terminology with given context: Model 1 = 5, Model 2 = 5; Evidence: Both models use terminology perfectly aligned with the prompt, accurately using terms like "numberOfDecks", "DestinationArea", "seaName", etc.
5. Adherence of UML class diagram standards: Model 1 = 5, Model 2 = 5; Evidence: Both models produce syntactically correct PlantUML code. Model 2 uses explicit paired unidirectional associations with comments, which is valid and semantically equivalent to Model 1's bidirectional associations.
Total: Model 1 = 24, Model 2 = 25
Choice: B
Reason:
1. Associations/Multiplicities: Model 2 is superior because it accurately captures the relationship between Provider and Cruise (a Provider can organize multiple cruises, `*`), whereas Model 1 restricts a Provider to exactly one Cruise (`1`). Model 2 also formally captures the "many employees" requirement with a `1..*` multiplicity instead of `*`.
2. Both models perform excellently across all other criteria, capturing all the required conceptual classes, attributes, data types, and terminology accurately without UML syntax errors. 
3. Rejected issues: Model 2's usage of two unidirectional arrows (e.g., `A --&gt; B` and `B --&gt; A`) and single-quote comments are explicitly permitted standard tooling annotations and were not penalized. The attribute naming variations (e.g., `passengerCapacity` vs `numberOfPassengers`) are both perfectly acceptable interpretations. 
4. Overall judgment: Model 2 is slightly better due to more accurate domain multiplicities (especially for Provider-Cruise), making it the winner.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</si>
  <si>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</si>
  <si>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5; Evidence: Both models achieve high cohesion by dedicating singular classes to distinct domain concepts (e.g., `Provider`, `Cruise`, `Guest`, `Ship`, `TravelAgency`, `Booking`, `Ticket`, `Show`, `DestinationArea`). Both maintain low coupling by utilizing associative entities like `Booking` and `Ticket` to link guests, cruises, and travel agencies without overly entangling the core classes.
2. Complexity: Model 1 = 5, Model 2 = 5; Evidence: Both models successfully identify 10 conceptual classes and avoid turning simple attributes into unnecessary classes. The total number of classes and methods (represented via attributes here) are perfectly balanced and aligned with the specific requirements. Model 1's use of two opposite unidirectional associations is semantically equivalent to Model 2's bidirectional lines, meaning the structural complexity is practically identical.
3. Practicability: Model 1 = 5, Model 2 = 4; Evidence: Both models are readable and provide a clear representation of the cruise domain. However, Model 1 implements multiplicities more practically and accurately. For instance, Model 1 uses `1..*` for the `Cruise` to `Employee` association, precisely capturing that a cruise "requires many employees." Model 2 merely uses `*`. Furthermore, Model 1 appropriately allows a `Provider` to organize multiple cruises (`Provider --&gt; "*" Cruise`), whereas Model 2 restricts a provider to exactly one cruise (`Cruise "1" -- "1" Provider`), which is highly impractical for a real-world cruise provider business.
Total: Model 1 = 15, Model 2 = 14
Choice: A
Reason:
1. Cohesion and Decoupling: Both models perform excellently by properly separating concerns into logical, distinct classes (like separating `Ticket`, `Booking`, and `Cruise`).
2. Complexity: Both models extract the exact same set of 10 relevant classes and correct primitive attributes from the text, striking the perfect balance of domain complexity.
3. Practicability: Model 1 edges out Model 2 by applying more realistic and precise multiplicities. Model 1 allows providers to organize multiple cruises and mandates at least one employee per cruise (`1..*`), perfectly aligning with real-world business logic and the prompt's wording. Model 2 restricts a provider to a single cruise (`1` to `1`), which diminishes its real-world viability.
4. Rejected or checked issues: I explicitly ignored Model 1's use of opposite unidirectional associations (e.g., `A --&gt; B` and `B --&gt; A`) and PlantUML single-quote comments (`'opposite`) as instructed, treating them as standard tooling annotations and 100% semantically equivalent to Model 2's single bidirectional lines.
5. Overall judgment: Model 1 is better because its structural multiplicities better reflect the real-world constraints of the cruise domain and adhere more closely to the explicit requirement text.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</si>
  <si>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</si>
  <si>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identify the exact same 10 well-defined classes (e.g., Cruise, Provider, Guest, Ship) with correctly distributed attributes, ensuring high cohesion and low coupling.
2. Complexity: Model 1 = 5, Model 2 = 5; Evidence: Both models strike an excellent balance in complexity, accurately extracting conceptual classes without over-engineering. Both models include the necessary attributes and associations as required by the prompt without adding unnecessary identifiers or intermediary classes.
3. Practicability: Model 1 = 4, Model 2 = 5; Evidence: Model 2 provides more realistic and practical multiplicities. For instance, Model 1 enforces a strict `1` to `1` relationship between `Provider` and `Cruise`, meaning a provider can only ever organize a single cruise. Model 2 correctly allows a `Provider` to organize multiple cruises (`Provider --&gt; "*" Cruise`). Model 2 also correctly interprets "requires many employees" by using `1..*` for employees instead of Model 1's `*`.
Total: Model 1 = 14, Model 2 = 15
Choice: B
Reason:
1. Cohesion and Decoupling: Both models perform equally well, cleanly separating the domain into 10 cohesive entities with appropriate attributes and relationships.
2. Complexity: Both models keep the structural complexity at the perfect level for the given requirements. They avoid over-complicating the design with extraneous classes while ensuring all required nouns (Ship, DestinationArea, TravelAgency, Ticket, etc.) are properly mapped.
3. Practicability: Model 2 is more practical for real-world application because it uses more accurate domain multiplicities. While Model 1 artificially limits a `Provider` to exactly one `Cruise` (which would make a provider obsolete after one trip), Model 2 accommodates a provider organizing multiple cruises. 
4. Rejected or checked issues: Model 2 uses pairs of unidirectional associations (e.g., `Cruise --&gt; "1" Provider` and `Provider --&gt; "*" Cruise`) and standard tooling annotations (`'opposite...`), which are explicitly permitted and semantically equivalent to bidirectional relationships. Model 2's use of primitive aliases (`int`, `boolean`) is also perfectly valid.
5. Overall judgment: Model 2 is slightly superior due to its more realistic handling of multiplicities, making it a more practical blueprint for implementation.</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</si>
  <si>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</si>
  <si>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 and Attribute Modeling: Model 1 = 5, Model 2 = 5; Evidence: Both models correctly identify the required classes (`Provider`, `Cruise`, `Employee`, `Guest`, `Ship`, `TravelAgency`, `Booking`, `DestinationArea`, `Show`, `Ticket`) and accurately capture their specific attributes based on the requirement.
2. Relationship and Multiplicity Accuracy: Model 1 = 5, Model 2 = 2; Evidence: Model 1 correctly maps the many-to-many relationship between `Guest` and `Cruise` (`Cruise --&gt; "*" Guest`, `Guest --&gt; "*" Cruise`), correctly models `Ship` to `Cruise` as one-to-many (`Ship --&gt; "*" Cruise`), and links `Booking` to `Cruise`. Model 2 incorrectly models the `Ship` to `Cruise` relationship as 1:1 (`Cruise "1" -- "1" Ship`) despite the requirement stating "A ship can be used for different cruises." Furthermore, Model 2 misses the relationship between `Booking` and `Cruise`, linking `Booking` to `Ticket` instead, and includes conflicting associations for `Guest` and `Cruise` (`Cruise "1" -- "0..*" Guest` alongside `Guest "0..*" -- "0..*" Cruise`).
Total: Model 1 = 10, Model 2 = 7
Choice: A
Reason:
1. Class and Attribute Modeling: Both models are fully aligned with the requirements regarding the conceptual classes and their attributes. Primitive types and properties are correctly instantiated.
2. Relationship and Multiplicity Accuracy: Model 1 flawlessly captures all domain constraints, associations, and multiplicities. Model 2 fails on multiple fronts: it restricts `Ship` to exactly one `Cruise` (violating the text), lacks a direct link from `Booking` to `Cruise`, and has overlapping/contradictory multiplicity lines between `Guest` and `Cruise`. 
3. Rejected or checked issues: Model 1 uses two opposite-direction unidirectional associations to represent bidirectional relationships. According to the strictly enforced forbidden penalties, this is 100% semantically equivalent to a bidirectional line, so Model 1 receives no penalties for this standard PlantUML stylistic choice.
4. Overall judgment: Model 1 is vastly superior because it faithfully translates all business rules into correct UML associations and multiplicities, while Model 2 introduces severe domain inaccuracies and misses key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</si>
  <si>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</si>
  <si>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3, Model 2 = 5; Evidence: Model 1 models the relationship between `Cruise` and `Ship` as 1-to-1 (`Cruise "1" -- "1" Ship`), which contradicts the requirement "A ship can be used for different cruises." Model 2 correctly models this as 1-to-many (`Ship --&gt; "*" Cruise`). Model 1 also fails to explicitly link `Booking` to `Cruise`, instead linking `Booking` to `Ticket` (`Booking "1" -- "1" Ticket`), which fails to directly satisfy "A cruise is booked through a travel agency." Model 2 accurately connects `Booking` to `Cruise` and `TravelAgency`. Furthermore, Model 1 models `Guest` and `Ticket` as many-to-many (`Guest "0..*" -- "0..*" Ticket`), while Model 2 correctly models this as one-to-many (`Guest --&gt; "*" Ticket`, `Ticket --&gt; "1" Guest`), meaning a ticket belongs to exactly one guest. 
Total: Model 1 = 3, Model 2 = 5
Choice: B
Reason:
1. Alignment with Requirements: Model 2 accurately captures all classes, attributes, and relationships specified in the requirements. It correctly models the 1-to-many relationship between ships and cruises, whereas Model 1 incorrectly limits a ship to exactly one cruise. Model 2 also properly connects bookings directly to cruises and travel agencies, whereas Model 1 leaves a gap by not associating bookings with cruises.
2. Rejected or checked issues: Model 2 uses directional associations with PlantUML comments (e.g., `'opposite cruisesWorked`) to simulate bidirectional relationships. Following the evaluation guidelines, this is semantically equivalent to standard bidirectional lines and is not penalized.
3. Overall judgment: Model 2 is fundamentally stronger in its structural logic and directly adheres to the business rules and multiplicities outlined in the prompt. Model 1 features several incorrect multiplicities and missing links (such as Booking to Cruise), making Model 2 the definitively better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</si>
  <si>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</si>
  <si>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Both models correctly identify all the key entities required by the domain, including Provider, Cruise, Employee, Guest, Ship, TravelAgency, Booking, DestinationArea, Show, and Ticket.
2. Associations/Multiplicities between classes for domain reasoning: Model 1 = 5, Model 2 = 2; Evidence: Model 1 correctly captures the multiplicities across the board, such as mapping a `Ship` to many `Cruises` (`Ship --&gt; "*" Cruise`), aligning with "A ship can be used for different cruises". Model 2 incorrectly models the `Ship` and `Cruise` relationship as 1-to-1 (`Cruise "1" -- "1" Ship`), explicitly contradicting the requirement. Furthermore, Model 2 contains conflicting associations between `Guest` and `Cruise` by defining both `Cruise "1" -- "0..*" Guest` and `Guest "0..*" -- "0..*" Cruise`. Finally, Model 2 maps `Ticket` and `Guest` as a many-to-many relationship (`Guest "0..*" -- "0..*" Ticket`), whereas Model 1 accurately restricts a `Ticket` to one `Guest`.
3. Model attributes with appropriate data types: Model 1 = 5, Model 2 = 5; Evidence: Both models identify all required attributes with suitable data types (e.g., `startDate: Date`, `numberOfDecks: int/Integer`, `isVip: boolean/Boolean`). Both sensibly add ID attributes for concepts like `Ticket` (`ticketNumber`) and `Booking` (`bookingNumber`) as implied by the domain.
4. Consistencies of Terminology with given context: Model 1 = 5, Model 2 = 5; Evidence: Both models use terms that perfectly match the requirement text, such as `socialSecurityNumber`, `DestinationArea`, and `numberOfPassengers`.
5. Adherence of UML class diagram standards: Model 1 = 5, Model 2 = 5; Evidence: Both models feature valid PlantUML syntax. Model 1's usage of two unidirectional opposite relations with role labels is semantically equivalent to bidirectional associations and correctly conforms to UML standards. Model 2's usage of standard bidirectional dashed/solid lines is also fully compliant.
Total: Model 1 = 25, Model 2 = 22
Choice: A
Reason:
1. **Associations/Multiplicities**: This is the primary differentiator. Model 1 correctly represents all major relationship rules dictated by the prompt. Model 2 contains several domain reasoning errors. Most notably, Model 2 makes the relationship between `Cruise` and `Ship` strictly 1-to-1, which directly violates the requirement that "A ship can be used for different cruises." Model 2 also provides two contradictory association lines for the `Guest` and `Cruise` relationship and incorrectly models `Ticket` and `Guest` as many-to-many.
2. **Other Criteria**: Both models excel in identifying the correct conceptual classes, capturing precise attributes with valid data types, keeping terminology consistent, and outputting valid UML class diagrams.
3. **Rejected or checked issues**: The use of single-quote comments in Model 1 (e.g., `'opposite cruises`) is a standard tool annotation for PlantUML generators and is completely valid; it does not detract from the semantics of the model. Additionally, utilizing two opposite unidirectional arrows in Model 1 is completely semantically equivalent to a single bidirectional line and thus receives no penalty.
4. **Overall judgment**: Model 1 is significantly better because it captures accurate multiplicities and structurally aligns with the domain logic, whereas Model 2 introduces contradictions and violates explicit requirements regarding multiplicities.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</si>
  <si>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</si>
  <si>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all the exact conceptual classes required by the prompt (Provider, Cruise, Employee, Guest, Ship, TravelAgency, Booking, DestinationArea, Show, Ticket).
2. Associations/Multiplicities between classes for domain reasoning: Model 1 = 3, Model 2 = 5; Evidence: Model 1 incorrectly assigns a 1:1 multiplicity between `Cruise` and `Ship` (`Cruise "1" -- "1" Ship`), contradicting the requirement that a ship can be used for different cruises. Additionally, Model 1 fails to link `Booking` to `Cruise`. Model 2 correctly assigns a 1-to-many relationship between `Ship` and `Cruise` (`Ship --&gt; "*" Cruise`), and effectively links `Booking` to `Cruise`, `TravelAgency`, and `Guest`.
3. Model attributes with appropriate data types: Model 1 = 5, Model 2 = 5; Evidence: Both models capture all required attributes (e.g., `numberOfDecks`, `isVIP`/`isVip`, `duration`) with appropriate data types (String, Integer/int, Boolean/boolean, Date).
4. Consistencies of Terminology with given context: Model 1 = 5, Model 2 = 5; Evidence: Both models precisely match the terminology from the text, using names like `socialSecurityNumber`, `DestinationArea`, and `numberOfPassengers`. 
5. Adherence of UML class diagram standards: Model 1 = 5, Model 2 = 5; Evidence: Both models use correct PlantUML syntax. Model 2's usage of split bidirectional associations with inline single-quote comments is standard valid tooling markup.
Total: Model 1 = 23, Model 2 = 25
Choice: B
Reason:
1. Associations/Multiplicities: Model 2 is superior because it accurately captures the relationships detailed in the requirement. Model 1 forces a 1:1 relationship between Ship and Cruise, which directly violates "A ship can be used for different cruises." Model 2 properly represents this as a 1:N relationship. Furthermore, Model 2 properly associates Bookings with Cruises, whereas Model 1 leaves Bookings disconnected from the Cruise itself, attaching it only to Tickets and the TravelAgency.
2. Rejected or checked issues: Model 2 uses two opposite unidirectional associations with single-quote comments (`'opposite`) rather than a single bidirectional line. According to the guidelines, this is semantically equivalent and not penalized. 
3. Overall judgment: While both models have perfect domain classes, attributes, and terminology, Model 2 has a much more accurate representation of the domain relationships and multiplicities, making it the better model.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</si>
  <si>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</si>
  <si>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3; Evidence: Model 1 correctly establishes associations that support loose coupling as required by the domain, such as allowing multiple cruises to use the same ship (`Ship --&gt; "*" Cruise`). Model 2 tightly couples a `Ship` to a single `Cruise` (`Cruise "1" -- "1" Ship`) and an `Employee` to a single `Cruise` (`Cruise "1" -- "0..*" Employee`), which misaligns with the requirement that a ship can be used for different cruises and employees can work multiple cruises.
2. Complexity: Model 1 = 5, Model 2 = 4; Evidence: Both models successfully extract the necessary 10 conceptual classes without overcomplicating attributes. However, Model 2 increases conceptual complexity and confusion by introducing duplicate and conflicting relationships between `Guest` and `Cruise` (`Cruise "1" -- "0..*" Guest` and `Guest "0..*" -- "0..*" Cruise`). Model 1 cleanly resolves this with a single many-to-many association.
3. Practicability: Model 1 = 5, Model 2 = 3; Evidence: Model 1 provides a highly implementable structure where business rules are clear (e.g., `Ticket --&gt; "1" Guest` and `Guest --&gt; "*" Ticket`). Model 2 is less practical for real-world development because it models `Ticket` to `Guest` as many-to-many (`Guest "0..*" -- "0..*" Ticket`), which violates the logic of individual ticket ownership, and links `Booking` directly to `Ticket` instead of `Cruise`.
Total: Model 1 = 15, Model 2 = 10
Choice: A
Reason:
1. Cohesion and Decoupling: Model 1 effectively decouples resources like Ships and Employees, allowing them to participate in multiple Cruises over time. Model 2 unnecessarily restricts Ships and Employees to single Cruises, creating an rigid and incorrect structure.
2. Complexity: Both models keep the class count balanced (10 classes). Model 1 provides straightforward associations, whereas Model 2 introduces redundant relationships (like double associations for Guest and Cruise) that complicate readability.
3. Practicability: Model 1 accurately captures the multiplicity requirements for Tickets, Bookings, Ships, and Employees, making it highly suitable for database design and implementation. Model 2's multiplicity errors (e.g., a many-to-many relationship between Guest and Ticket) would cause it to fail requirement validation and acceptance testing.
4. Rejected or checked issues: Model 1 uses paired unidirectional associations with PlantUML comments (e.g., `Cruise --&gt; "1" Provider: organizedBy 'opposite cruises`), which is syntactically acceptable and strictly semantically equivalent to bidirectional associations. No penalty was applied for this standard tooling annotation. 
5. Overall judgment: Model 1 is significantly better because it translates the business requirements into accurate UML associations and multiplicities, maintaining high clarity and practicability. Model 2 struggles with fundamental domain relationships, rendering it less useful for actual software development.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</si>
  <si>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</si>
  <si>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3, Model 2 = 5; Evidence: Model 1 creates an odd coupling by linking `Booking` directly to `Ticket` with a 1:1 relationship, while failing to link `Booking` to `Cruise` or `Guest`. Model 2 handles decoupling much better by appropriately linking `Booking` to `Cruise`, `TravelAgency`, and `Guest`, which forms a cohesive transactional core. 
2. Complexity: Model 1 = 4, Model 2 = 4; Evidence: Both models identify the exact same 10 domain classes (`Provider`, `Cruise`, `Employee`, `Guest`, `Ship`, `TravelAgency`, `Booking`, `DestinationArea`, `Show`, `Ticket`) and apply appropriate attributes. The structural complexity is well-balanced in both models for the given requirement without over-engineering unnecessary concepts.
3. Practicability: Model 1 = 2, Model 2 = 5; Evidence: Model 1 is highly impractical due to conflicting and incorrect multiplicities. It states `Cruise "1" -- "1" Ship`, directly violating the requirement that "A ship can be used for different cruises". It also defines two conflicting associations for Guest and Cruise (`Cruise "1" -- "0..*" Guest` and `Guest "0..*" -- "0..*" Cruise`), and misinterprets the ticket assignment (`Guest "0..*" -- "0..*" Ticket`). Model 2 perfectly translates the domain multiplicities into practical semantics, correctly establishing that Ships, DestinationAreas, and Providers map 1-to-many with Cruises, and Tickets map many-to-1 with both Cruises and Guests.
Total: Model 1 = 9, Model 2 = 14
Choice: B
Reason:
1. Cohesion and Decoupling: Model 2 excels by correctly associating bookings with the guest, the travel agency, and the cruise. Model 1 completely isolates `Booking` from the core domain, only linking it to `TravelAgency` and `Ticket`, which breaks the logical flow of information.
2. Complexity: Both models keep the class design appropriately balanced without over-complicating the domain. They share the same class count and attribute granularity.
3. Practicability: Model 2 is clearly superior because it accurately captures all business rules and multiplicities. Model 1 breaks several core domain rules (such as restricting a ship to a single cruise) and duplicates associations with conflicting multiplicities (Guest and Cruise), which would make programming and database implementation impossible or deeply flawed. 
4. Rejected or checked issues: Model 2 uses pairs of opposite unidirectional associations (e.g., `Cruise --&gt; "1" Ship` and `Ship --&gt; "*" Cruise`) with single-quote comments. As per the strict evaluation guidelines, these styles are semantically equivalent to bidirectional relationships and standard tooling annotations, so they were entirely ignored as negative factors.
5. Overall judgment: Model 2 is significantly better. It accurately translates complex domain requirements into a workable, structurally sound, and logically correct UML class diagram, whereas Model 1 struggles with fundamental multiplicity logic and association clarity.</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</si>
  <si>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</si>
  <si>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requirements and essential functionalities: Model 1 = 4, Model 2 = 3; Evidence: Model 1 correctly captures the relationship between ships and cruises (`Cruise "*" -- "1" Ship`), aligning with the requirement that "a ship can be used for different cruises". Model 2 uses a `1` to `1` multiplicity for Ship and Cruise, which contradicts this requirement.
2. Conceptual classes, associations, and cardinalities: Model 1 = 4, Model 2 = 2; Evidence: Model 1 defines logical multiplicities for most associations (e.g., `Ticket "*" -- "1" Guest` and `Cruise "*" -- "*" Employee`). Model 2 contains duplicate and contradictory associations (e.g., it lists both `Cruise "1" -- "0..*" Guest` and `Guest "0..*" -- "0..*" Cruise`), and its `Guest "0..*" -- "0..*" Ticket` association incorrectly implies a single ticket can belong to multiple guests. Model 1's main flaw is the `1` to `1` multiplicity between Cruise and Provider, missing that a Provider usually organizes multiple cruises.
3. Clarity in class names and attributes: Model 1 = 5, Model 2 = 5; Evidence: Both models accurately capture all requested attributes (e.g., `numberOfDecks`, `seaName`, `socialSecurityNumber`) and clearly name their classes according to the prompt.
Total: Model 1 = 13, Model 2 = 10
Choice: A
Reason:
1. Alignment with requirements: Model 1 aligns better with the explicit text, properly making a Ship available for multiple cruises, whereas Model 2 restricts a Ship to exactly one Cruise.
2. Associations and Cardinalities: Model 1 provides a much cleaner and more realistic set of relationships. It correctly assigns many tickets to one guest and many employees to many cruises. Model 2 struggles with cardinalities, introducing many-to-many tickets for guests, duplicate associations between Cruise and Guest, and restricting Employees to a single Cruise. 
3. Rejected or checked issues: Both models miss a strict structural enforcement for the "only one ticket per cruise" per guest constraint, but this is a complex business rule that is hard to model purely with basic UML multiplicities without OCL or association classes. Therefore, neither is heavily penalized for this specific constraint omission. 
4. Overall judgment: Model 1 is significantly better due to its accurate associations and correct interpretation of the domain relationships outlined in the prompt, while Model 2 introduces contradictions and duplicate associations.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</si>
  <si>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</si>
  <si>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Requirements and Multiplicities: Model 1 = 2, Model 2 = 4; Evidence: Model 1 incorrectly models the relationship between `Cruise` and `Ship` as 1-to-1 (`Cruise "1" -- "1" Ship`), which directly contradicts the requirement that "A ship can be used for different cruises." It does the same for `DestinationArea`. Model 1 also includes conflicting duplicate relationships between `Cruise` and `Guest` (`Cruise "1" -- "0..*" Guest` and `Guest "0..*" -- "0..*" Cruise`), and poorly models `Ticket` by making it many-to-many with `Guest`. Model 2 correctly handles `Ship` and `DestinationArea` as one-to-many (`Cruise "*" -- "1" Ship`). Model 2 also correctly assigns `Ticket` to exactly one `Cruise` and one `Guest`.
2. Class Names, Attributes, and Relationships: Model 1 = 3, Model 2 = 4; Evidence: Both models capture the required classes and attributes well. Model 2 includes useful relationship names (e.g., `organizedBy`, `requires`) which improve readability. Model 2 links `Booking` to `Cruise` and `Guest`, which logically connects the booking process, whereas Model 1 links `Booking` to `Ticket` but leaves it disconnected from the actual `Cruise` (except indirectly) and `Guest`. Model 2's only minor flaw is modeling `Cruise` to `Provider` as 1-to-1 (`Cruise "1" -- "1" Provider`), whereas a provider would likely organize multiple cruises.
Total: Model 1 = 5, Model 2 = 8
Choice: B
Reason:
1. Alignment with Requirements and Multiplicities: Model 2 is much more accurate regarding the cardinalities explicitly stated in the prompt. The prompt states that a ship can be used for different cruises, which Model 2 correctly models as `Cruise "*" -- "1" Ship`, while Model 1 restricts it to a 1-to-1 relationship. Model 2 also properly models `DestinationArea` with a one-to-many relationship, and correctly links `Ticket` to exactly one `Cruise` and one `Guest`, supporting the constraints much better than Model 1's many-to-many ticket-guest relationship. 
2. Class Names, Attributes, and Relationships: Both models do a good job of extracting the required attributes (like names, SSN, deck numbers, etc.). However, Model 2 provides a more cohesive semantic structure by adding directional role names and correctly connecting `Booking` to the `Cruise` and `TravelAgency`. Model 1 suffers from redundant/conflicting associations (two separate links between `Cruise` and `Guest` with different multiplicities). 
3. Rejected or checked issues: Model 2 includes a link between `Booking` and `Guest`, which isn't explicitly requested but is a standard domain necessity to complete the booking logic. It also uses `Cruise "1" -- "1" Provider`, which might restrict a provider to a single cruise, but Model 1's severe explicit contradictions (e.g., Ship multiplicity) make Model 1 notably worse.
4. Overall judgment: Model 2 is significantly better because it accurately translates the domain constraints and cardinalities into PlantUML, avoiding the contradictory and restrictive relationships found in Model 1.</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</si>
  <si>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</si>
  <si>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required classes perfectly (Provider, Cruise, Employee, Guest, Ship, TravelAgency, Booking, DestinationArea, Show, Ticket).
2. Associations/Multiplicities between classes for domain reasoning: Model 1 = 4, Model 2 = 2; Evidence: Model 1 captures the vast majority of relationships accurately, though it restricts `Cruise`-`Provider` to 1-to-1 rather than many-to-1. Model 2 has significant domain reasoning flaws: it models `Cruise "1" -- "1" Ship` contradicting "A ship can be used for different cruises", defines two conflicting associations between `Guest` and `Cruise` (`1 to 0..*` and `0..* to 0..*`), makes `Guest`-`Ticket` many-to-many, and fails to link `Booking` to `Cruise` or `Guest`.
3. Model attributes with appropriate data types: Model 1 = 5, Model 2 = 5; Evidence: Both models correctly define all required attributes with sensible data types (e.g., `startDate: Date`, `isVIP: Boolean`, `numberOfDecks: Integer`).
4. Consistencies of Terminology with given context: Model 1 = 5, Model 2 = 5; Evidence: Both models use terms directly from the requirement (e.g., `DestinationArea`, `seaName`, `TravelAgency`).
5. Adherence of UML class diagram standards: Model 1 = 5, Model 2 = 4; Evidence: Both models use valid PlantUML syntax. Model 1 is perfectly structured, while Model 2 includes an ambiguous duplicate association between `Guest` and `Cruise` without role names to differentiate them.
Total: Model 1 = 24, Model 2 = 21
Choice: A
Reason:
1. Associations/Multiplicities: Model 1 clearly outperforms Model 2 in defining logical and textually accurate relationships. Model 2 fails to properly associate ships to multiple cruises, isolates Bookings from Cruises and Guests, and introduces conflicting duplicate associations between Guest and Cruise.
2. Minor issues: Model 1 uses a 1-to-1 multiplicity between `Cruise` and `Provider`, slightly limiting the real-world assumption that a provider organizes many cruises, but it remains vastly superior to Model 2's critical domain omissions and contradictions. 
3. Overall judgment: Model 1 provides a cohesive and semantically correct domain structure that represents the cruise operations accurately, making it much better than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</si>
  <si>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</si>
  <si>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Both models correctly identify all the core domain classes exactly as required (Provider, Cruise, Employee, Guest, Ship, TravelAgency, Booking, DestinationArea, Show, Ticket).
2. Associations/Multiplicities between classes for domain reasoning: Model 1 = 2, Model 2 = 4; Evidence: Model 1 incorrectly models the Ship-to-Cruise relationship as 1-to-1 (`Cruise "1" -- "1" Ship`), ignoring "A ship can be used for different cruises." It also has redundant and conflicting associations for Guest and Cruise (`Cruise "1" -- "0..*" Guest` alongside `Guest "0..*" -- "0..*" Cruise`) and fails to link `Booking` to a `Cruise` or `Guest`. Model 2 correctly models `Cruise "*" -- "1" Ship`, explicitly links `Booking` to `TravelAgency`, `Cruise`, and `Guest`, and links `Ticket` to `Guest` and `Cruise`. Model 2's only noticeable flaw is limiting `Provider` to exactly one `Cruise` (`Cruise "1" -- "1" Provider`), which is slightly overly restrictive.
3. Model attributes with appropriate data types: Model 1 = 5, Model 2 = 5; Evidence: Both models capture all required attributes with proper data types. Model 1 uses `numberOfPassengers` and Model 2 uses `passengerCapacity`; Model 1 uses `Integer` for duration while Model 2 uses `Duration`. Both are semantically valid and aligned with the domain.
4. Consistencies of Terminology with given context: Model 1 = 5, Model 2 = 5; Evidence: Both models use terminology fully consistent with the provided description, such as `socialSecurityNumber`, `isVIP`, and `seaName`. 
5. Adherence of UML class diagram standards: Model 1 = 4, Model 2 = 5; Evidence: Both models use correct PlantUML syntax. Model 1 gets a slightly lower score because it defines two separate unlabelled associations between `Guest` and `Cruise`, which violates standard modeling practices (redundancy without roles). Model 2 has excellent standard adherence with role names attached.
Total: Model 1 = 21, Model 2 = 24
Choice: B
Reason:
1. Appropriate conceptual classes aligned with the domain: Both models are exceptional here, identifying all key domain concepts as independent classes.
2. Associations/Multiplicities between classes for domain reasoning: This is where Model 2 clearly wins. Model 1 completely misses the many-to-one relationship between Cruises and Ships (modeling it as 1:1 instead), has a disjointed `Booking` class that doesn't connect to `Cruise`, and contains duplicate, conflicting associations between `Guest` and `Cruise`. Model 2 accurately captures the many-to-many relationship for Employees/Guests, the many-to-one relationship for Ships and DestinationAreas, and links Bookings logically to Cruises, Guests, and Travel Agencies.
3. Model attributes with appropriate data types: Both models successfully identify and type all the necessary attributes requested by the prompt.
4. Consistencies of Terminology with given context: Both models stick strictly to the terms mentioned in the prompt.
5. Adherence of UML class diagram standards: Model 2 is cleaner by avoiding duplicate un-labeled relationships, whereas Model 1 defines two distinct associations for Guest and Cruise which clutters the model.
6. Overall judgment: Model 2 provides a much sounder foundation for domain reasoning, correctly capturing the crucial multiplicities (especially for ships) and maintaining proper associative links between the core transaction classes (Booking, Ticket) and the entities (Cruise, Guest). Model 1 suffers from severe relational mapping issues, making Model 2 the decisively better response.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</si>
  <si>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</si>
  <si>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3; Evidence: Model 1 effectively decouples the booking process by associating `Booking` centrally with `TravelAgency`, `Cruise`, and `Guest`, ensuring each class manages its specific responsibilities. Model 2 loosely couples `Booking` only to `Ticket` and `TravelAgency`, leaving the `Guest` disconnected from the booking process, and introduces redundant coupling with two separate associations between `Guest` and `Cruise` (`Cruise "1" -- "0..*" Guest` and `Guest "0..*" -- "0..*" Cruise`).
2. Complexity: Model 1 = 4, Model 2 = 3; Evidence: Both models identify the correct conceptual classes without turning attributes into classes. However, Model 1 manages relationship complexity much better by using named associations (e.g., `organizedBy`, `headsFor`), clarifying the design intent. Model 2 duplicates the relationship between `Cruise` and `Guest`, adding unnecessary complexity and contradictory multiplicity constraints.
3. Practicability: Model 1 = 4, Model 2 = 2; Evidence: Model 1 accurately reflects real-world and textual requirements for multiplicities, correctly showing that a `Ship` can be used for many cruises (`Cruise "*" -- "1" Ship`) and guests can take multiple cruises (`Cruise "*" -- "*" Guest`). Model 2 makes several impractical constraints, such as assigning a ship to exactly one cruise (`Cruise "1" -- "1" Ship`), restricting employees to one cruise (`Cruise "1" -- "0..*" Employee`), and missing the connection indicating who made a booking.
Total: Model 1 = 13, Model 2 = 8
Choice: A
Reason:
1. Cohesion and Decoupling: Model 1 uses a highly cohesive structure for the booking and ticketing process, correctly linking `Booking` to the guest, cruise, and travel agency. Model 2 fails to connect the guest to the booking and defines duplicate, conflicting associations between `Guest` and `Cruise`.
2. Complexity: Model 1 appropriately handles many-to-many relationships and labels them clearly. Model 2 introduces redundant associations that clutter the diagram without adding semantic value.
3. Practicability: Model 1 captures the business rules much more accurately. Model 2 models several relationships as one-to-one or one-to-many where the requirement explicitly or implicitly dictates many-to-many (e.g., ships used for multiple cruises, employees working multiple cruises). 
4. Overall judgment: Model 1 provides a significantly more accurate, practical, and robust representation of the domain requirements, making it the better choice for software design.</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</si>
  <si>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</si>
  <si>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2, Model 2 = 4; Evidence: Model 1 creates confusing coupling by establishing two conflicting associations between `Cruise` and `Guest` (`Cruise "1" -- "0..*" Guest` and `Guest "0..*" -- "0..*" Cruise`). It also completely decouples `Booking` from `Cruise`, linking it only to `Ticket` and `TravelAgency`. Model 2 maintains better decoupling and cohesion by properly centralizing relationships around `Booking` and linking `Ticket` distinctly to `Cruise` and `Guest`.
2. Complexity: Model 1 = 3, Model 2 = 4; Evidence: Both models identify the correct conceptual classes and attributes from the requirements. However, Model 1 unnecessarily complicates the diagram by using conflicting many-to-many associations (like `Guest "0..*" -- "0..*" Ticket`) instead of resolving them into practical 1-to-many structures. Model 2 keeps complexity balanced with correctly factored multiplicities (e.g., `Ticket "*" -- "1" Guest`). 
3. Practicability: Model 1 = 2, Model 2 = 5; Evidence: Model 2 is much more practical and domain-accurate. The requirement explicitly states "A ship can be used for different cruises", which Model 2 models correctly (`Cruise "*" -- "1" Ship`), whereas Model 1 wrongly restricts it (`Cruise "1" -- "1" Ship`). Model 2 correctly defines the ticket ownership (`Ticket "*" -- "1" Guest`), while Model 1's many-to-many ticket relationship implies a ticket could belong to multiple guests, violating the requirement logic. Furthermore, Model 2 enhances readability with clear role labels (e.g., `organizedBy`, `participates`).
Total: Model 1 = 7, Model 2 = 13
Choice: B
Reason:
1. Cohesion and Decoupling: Model 2 exhibits a much better relational structure. Model 1 isolates `Booking` from `Cruise` entirely and creates duplicate, conflicting associations between `Cruise` and `Guest`, which harms cohesion. Model 2 properly links intermediate entities like `Booking` and `Ticket` to their corresponding master records (`Cruise` and `Guest`).
2. Complexity: Both models extract the exact same classes and attributes without over-engineering. However, Model 2's complexity is correctly aligned with the requirements by applying appropriate multiplicities, while Model 1's conflicting relationships add unnecessary confusion.
3. Practicability: Model 2 clearly outshines Model 1 in domain accuracy and usability. Model 1 violates explicit business rules by making the `Cruise`-`Ship` association 1-to-1 (preventing ships from having multiple cruises) and by making `Guest`-`Ticket` many-to-many. Model 2 resolves these correctly (`Cruise "*" -- "1" Ship`) and provides clear navigation semantics through labeled associations.
4. Rejected or checked issues: Model 2 uses `Cruise "1" -- "1" Provider`, which restricts a provider to a single cruise, whereas Model 1 uses the more flexible `Provider "1" -- "0..*" Cruise`. However, this single flaw in Model 2 is heavily outweighed by Model 1's numerous critical domain contradictions regarding ships, tickets, bookings, and guests.
5. Overall judgment: Model 2 is the superior model because it accurately captures the business rules regarding ship reuse, ticket ownership, and booking relationships, making it a highly practical and reliable design for real-world implementation.</t>
  </si>
  <si>
    <t>EUScienceConnect</t>
  </si>
  <si>
    <t>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</si>
  <si>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</si>
  <si>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Requirements Alignment and Concepts: Model 1 = 5, Model 2 = 4; Evidence: Both models capture the required classes (Person, Institution, Publisher, Journal, Article hierarchy) and their attributes (personID, DOI, citation count, etc.). However, Model 1 correctly structures the `Authorship` concept as an intermediate class that represents an individual author's position for an article (`Authorship --&gt; "1" Person`). Model 2 improperly structures this by associating `Authorship` with `1..*` Persons, which fails to capture the position of *each* individual author accurately.
2. Association Multiplicities and Structure: Model 1 = 5, Model 2 = 2; Evidence: Model 1 correctly models the multiplicity between `Person` and `ResearchInstitution` as many-to-one (`ResearchInstitution --&gt; "*" Person`, `Person --&gt; "1" ResearchInstitution`). Model 2 incorrectly defines this as one-to-one (`Person "1" -- "1" Institution`), implying an institution only has one person. Furthermore, Model 1 correctly captures the one-to-many relationships for journals and technical reports without restricting domain logic, while Model 2's authorship cardinalities (`Authorship -- "1..*" Person`) distort the many-to-many resolution.
Total: Model 1 = 10, Model 2 = 6
Choice: A
Reason:
1. Requirements Alignment and Concepts: Model 1 perfectly aligns with the domain requirements by creating a clear and semantically accurate `Authorship` class that links exactly one `Person` to one `ScientificArticle` to store the specific author's position. Model 2 connects `Authorship` to `1..*` Persons, meaning multiple authors would share the same position record, which violates the requirement to store the position of *each* author.
2. Association Multiplicities and Structure: Model 1 uses accurate cardinalities across all associations. Most notably, it properly defines the relationship between researchers and institutions as many-to-one. Model 2 critically fails here by assigning a strict `1` to `1` multiplicity between `Person` and `Institution`, which is completely unrealistic for a research database. 
3. Rejected or checked issues: Model 1's use of unidirectional pairs (e.g., `A --&gt; B` and `B --&gt; A` with opposite comments) instead of bidirectional associations (`A -- B`) was not penalized as they are semantically equivalent representations of the relationships. 
4. Overall judgment: Model 1 is significantly better because it captures the correct domain logic and relationship multiplicities, whereas Model 2 introduces severe domain errors such as limiting institutions to a single person and misrepresenting the authorship resolution.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</si>
  <si>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</si>
  <si>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Strict alignment with requirements: Model 1 = 4, Model 2 = 5; Evidence: Both models capture the core requirements and avoid hallucinations. However, Model 2 better aligns with the requirement to store "the position of each author" by correctly structuring the intermediate `Authorship` class so that a distinct position can be stored per author-article pair. Model 1 links a single `Authorship` record (with one `position` attribute) to multiple authors (`"1..*" Person`), meaning the position cannot be recorded individually.
2. Accurate representation of conceptual classes and relationships: Model 1 = 4, Model 2 = 5; Evidence: Both models identify the necessary concepts. Model 2 accurately uses `ResearchInstitution` and links it to `TechnicalReport` ("a single research institution"). Model 1 uses the broader term `Institution`. Both accurately model the inheritance of `ScientificArticle`. 
3. Detailed focus on associations, cardinalities, and types of relationships: Model 1 = 3, Model 2 = 5; Evidence: Model 2 correctly specifies the cardinalities for the intermediate `Authorship` mapping class (`Authorship --&gt; "1" Person`, `Authorship --&gt; "1" ScientificArticle`), effectively enabling the many-to-many relationship with a position payload. Model 1 incorrectly uses `Authorship -- "1..*" Person`, breaking the logical cardinality needed for an intermediate class. Both properly associate journals to publishers and institutions to journals.
4. Clarity in class names and attributes: Model 1 = 4, Model 2 = 5; Evidence: Model 2 uses highly precise class and attribute names derived directly from the text (e.g., `ResearchInstitution`, `researchKeywords`). Model 1 uses good but slightly more generic names (e.g., `Institution`, `keywords`). Both models successfully include all required attributes like `DOI`, `title`, and `impactFactor`.
Total: Model 1 = 15, Model 2 = 20
Choice: B
Reason:
1. Strict alignment with requirements: Model 2 properly fulfills the requirement to track the specific position of *each* author on a given article. Model 1 fails to achieve this because its structure assigns multiple authors to a single `Authorship` instance, effectively assigning them the same position.
2. Accurate representation of conceptual classes and relationships: Both correctly isolate the article types (peer-reviewed vs. technical report) to enforce specific publishing rules. Model 2 is slightly more aligned with the domain terminology (e.g., `ResearchInstitution`).
3. Detailed focus on associations, cardinalities, and types of relationships: Model 2 provides flawless multiplicities across all relationships, most notably resolving the many-to-many authorship relationship with a correctly parameterized intermediate class. Model 1's multiplicity on the `Authorship` class (`1..*` to Person) creates a logical flaw.
4. Clarity in class names and attributes: Model 2 has slightly clearer and more context-specific names.
5. Rejected or checked issues: Model 2 uses explicit bidirectional associations modeled as two opposite unidirectional lines (e.g., `Person --&gt; "1" ResearchInstitution` and `ResearchInstitution --&gt; "*" Person`). Following the evaluation guidelines, this is semantically equivalent to a single bidirectional line and was strictly not penalized. The single-quote comments in Model 2 were also ignored as tooling annotations.
6. Overall judgment: Model 2 is the superior design because it accurately captures the complex many-to-many authorship relationship with individual position tracking, applies precise multiplicities, and adheres strictly to the required domain terminology.</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</si>
  <si>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</si>
  <si>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the core entities required by the domain, including `Person`, `Institution`/`ResearchInstitution`, `Publisher`, `Journal`, `ScientificArticle`, `PeerReviewedPaper`, `TechnicalReport`, and an `Authorship` class to handle author positions.
2. Associations/Multiplicities between classes for domain reasoning: Model 1 = 5, Model 2 = 2; Evidence: Model 1 correctly models the relationship between Person and ResearchInstitution as many-to-one (`ResearchInstitution --&gt; "*" Person`, `Person --&gt; "1" ResearchInstitution`), while Model 2 incorrectly assigns a one-to-one multiplicity (`Person "1" -- "1" Institution`), implying an institution only has one person. Furthermore, Model 1 correctly resolves the many-to-many authorship association by linking one `Authorship` to exactly one `Person` and one `ScientificArticle`, allowing the `position` attribute to belong to a single specific author. Model 2 incorrectly links `Authorship` to `"1..*"` Persons, meaning a single position would apply to multiple authors simultaneously. 
3. Model attributes with appropriate data types: Model 1 = 5, Model 2 = 5; Evidence: Both models identify all required attributes correctly (e.g., `personID`/`personId`, `phoneNumber`, `keywords`/`researchKeywords`, `institutionCode`, `DOI`, `title`, `citationCount`, `name`, `impactFactor`, `position`) and assign logical types.
4. Consistencies of Terminology with given context: Model 1 = 5, Model 2 = 5; Evidence: Both models strictly adhere to the terminology given in the prompt, successfully distinguishing between `PeerReviewedPaper` and `TechnicalReport`, and correctly labeling relationships such as `reviews` and `worksFor`.
5. Adherence of UML class diagram standards: Model 1 = 5, Model 2 = 5; Evidence: Both models are syntactically sound in PlantUML. Model 1's use of opposite unidirectional arrows is semantically equivalent to bidirectional associations and complies fully with standard UML representations.
Total: Model 1 = 25, Model 2 = 22
Choice: A
Reason:
1. Associations and Multiplicities: Model 1 accurately models the multiplicities across the board. Model 2 suffers from critical multiplicity errors: it dictates that an institution only contains exactly one person (`Person "1" -- "1" Institution`), and it incorrectly associates the intermediate `Authorship` class with multiple persons (`Authorship -- "1..*" Person`), meaning the `position` attribute cannot uniquely map to individual authors. 
2. Class Modeling and Attributes: Both models correctly extract the exact classes and attributes required by the narrative. They both properly leverage inheritance for the scientific articles and use an intermediate class for the author positions.
3. Rejected or checked issues: Model 1 utilizes opposite unidirectional arrows (e.g., `A --&gt; B` and `B --&gt; A`) and single-quote comments. In accordance with the strict guidelines, these are treated as semantically equivalent to bidirectional associations and standard tooling annotations, respectively, so no penalties were applied.
4. Overall judgment: Model 1 provides a highly accurate and completely sound UML representation of the domain logic, successfully capturing the nuances of authorships and institutions. Model 2 has significant domain reasoning flaws in its multiplicities. Therefore, Model 1 is the significantly better response.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</si>
  <si>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</si>
  <si>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and model the required classes, including Person, Institution/ResearchInstitution, ScientificArticle, PeerReviewedPaper, TechnicalReport, Publisher, Journal, and Authorship.
2. Associations/Multiplicities between classes for domain reasoning: Model 1 = 3, Model 2 = 5; Evidence: Model 1 incorrectly models the relationship between `Person` and `Institution` as "1" to "1" (implying an institution only has one person). Additionally, Model 1 links `Authorship` to `Person` with "1..*", which breaks the logic of an associative entity that should link exactly one person to one article for a specific position. Model 2 correctly models `Person` to `ResearchInstitution` as "*" to "1", and accurately structures `Authorship` to link "1" `Person` and "1" `ScientificArticle`.
3. Model attributes with appropriate data types: Model 1 = 5, Model 2 = 5; Evidence: Both models capture all required attributes (e.g., personID, DOI, citationCount, position, impactFactor) and assign valid data types (String, int, double, List/Set).
4. Consistencies of Terminology with given context: Model 1 = 5, Model 2 = 5; Evidence: Both models use domain-accurate terminology derived directly from the requirement text (e.g., PeerReviewedPaper, TechnicalReport, Journal, impactFactor).
5. Adherence of UML class diagram standards: Model 1 = 5, Model 2 = 5; Evidence: Both models are syntactically valid in PlantUML and adhere to UML standards for representing inheritance, attributes, and relationships.
Total: Model 1 = 23, Model 2 = 25
Choice: B
Reason:
1. Associations/Multiplicities: Model 2 is significantly more accurate in representing the domain's business rules through multiplicities. Model 1 makes a critical error by restricting `Institution` to have exactly one `Person` ("1" to "1"). Model 2 accurately uses "*" for `Person` and "1" for `ResearchInstitution`. Furthermore, Model 2 correctly implements the `Authorship` intermediate class by linking it to exactly one person and one article, whereas Model 1 links `Authorship` to multiple persons ("1..*"), which breaks the concept of storing an individual author's position.
2. Attributes and Conceptual Classes: Both models perform exceptionally well, perfectly identifying the needed inheritance hierarchy (`ScientificArticle` as an abstract parent to `PeerReviewedPaper` and `TechnicalReport`) and including all the required attributes with appropriate data types.
3. Rejected or checked issues: Model 2 relies on two opposite unidirectional associations (e.g., `A --&gt; B` and `B --&gt; A`) rather than a single bidirectional line. As strictly enforced by the guidelines, this is semantically equivalent and was explicitly not penalized. Model 2's use of single-quote comments for opposite roles was also ignored for scoring.
4. Overall judgment: Model 2 is superior because it accurately captures essential domain multiplicities, particularly for the institution-employment relationship and the authorship reification, whereas Model 1 introduces domain-reasoning flaws in these areas.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</si>
  <si>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</si>
  <si>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Both models successfully decouple the concepts of persons, institutions, articles, and publishers. Model 1 models the `Authorship` class effectively as an associative entity linking one `Person` and one `ScientificArticle`, maintaining high cohesion for the authorship position. Model 2 links `Authorship` to `"1..*"` `Person`, which conflates multiple authors into a single authorship instance, degrading cohesion.
2. Complexity: Model 1 = 5, Model 2 = 5; Evidence: Both models extract the necessary nouns and relationships from the text without over-engineering. The number of classes (10 in Model 1, 9 in Model 2) and the depth of the inheritance tree (`ScientificArticle` -&gt; `PeerReviewedPaper` / `TechnicalReport`) are appropriate and directly aligned with the requirements.
3. Practicability: Model 1 = 5, Model 2 = 3; Evidence: Model 1 is highly practical for a real-world database because it correctly handles the multiplicities: `ResearchInstitution` can employ `*` `Person`, and `Authorship` maps exactly 1 `Person` to 1 `ScientificArticle` to store the unique position. Model 2 features a major practicability flaw with the multiplicity `Person "1" -- "1" Institution`, incorrectly restricting an institution to having only one person. Additionally, Model 2's `Authorship` links to multiple persons, making it impossible to assign a unique position per author.
Total: Model 1 = 15, Model 2 = 12
Choice: A
Reason:
1. Cohesion and Decoupling: Both models decouple the system into logical domain concepts. However, Model 1 provides a more cohesive representation of the many-to-many relationship between authors and articles by defining `Authorship` as a pure associative class (1-to-1 links to Person and Article).
2. Complexity: Both models keep the complexity at an ideal level, mirroring the domain requirements accurately without unnecessary abstract classes or attributes.
3. Practicability: Model 1 captures real-world database multiplicities much more accurately. Model 2 restricts `Institution` and `Person` to a strict 1-to-1 relationship, which contradicts the real-world logic of institutions having multiple staff members. Furthermore, Model 2's `Authorship` structure prevents storing a distinct position for each individual author, directly violating the requirement to store the position of each author in case of multiple authors.
4. Rejected or checked issues: Model 1 uses two opposite unidirectional arrows for relationships (e.g., `A --&gt; B` and `B --&gt; A`), which is strictly semantically equivalent to a single bidirectional line and was not penalized. PlantUML single-quote comments in Model 1 were also safely ignored.
5. Overall judgment: Model 1 is the superior model because it accurately captures the business rules and multiplicities of the domain (such as staff employment and authorship positions), whereas Model 2 suffers from critical multiplicity errors that make it impractical.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</si>
  <si>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</si>
  <si>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Both models effectively decouple the many-to-many relationship between authors and articles by introducing an `Authorship` class to store the `position` attribute. However, Model 2 maintains high cohesion by linking `Authorship` to exactly `"1"` `Person` and `"1"` `ScientificArticle`. Model 1 links `Authorship` to `"1..*"` `Person`, which compromises the cohesion of the `Authorship` class, as a single authorship record should uniquely represent one person's contribution to one article.
2. Complexity: Model 1 = 5, Model 2 = 5; Evidence: Both models strike an excellent balance in complexity. They correctly identify the necessary domain concepts (e.g., `Publisher`, `Journal`, `PeerReviewedPaper`, `TechnicalReport`) without over-engineering attributes into unnecessary classes. The inheritance hierarchy for `ScientificArticle` is appropriately utilized in both models to manage the shared attributes (`doi`, `title`).
3. Practicability: Model 1 = 3, Model 2 = 5; Evidence: Model 2 provides highly practical and realistic multiplicities, such as `ResearchInstitution --&gt; "*"` `Person`, correctly allowing institutions to have multiple employees. Model 1 specifies `Person "1" -- "1" Institution`, restricting an institution to only ever having a single employee, which is completely unviable for a real-world system. Furthermore, Model 1's `Authorship -- "1..*" Person` would make it impossible to practically query or assign distinct author positions to individual researchers.
Total: Model 1 = 12, Model 2 = 15
Choice: B
Reason:
1. Cohesion and Decoupling: Model 2 is superior because its `Authorship` class correctly maps to a single person and a single article, keeping the concept highly cohesive. Model 1's association of one `Authorship` to multiple `Person` entities blends distinct conceptual responsibilities.
2. Complexity: Both models perform equally well here, providing a clean, balanced structural representation of the requirements without unnecessary conceptual bloat. 
3. Practicability: Model 2 is significantly more practical for a real-world database. Model 1 contains fatal multiplicity errors, most notably limiting institutions to exactly one person (`"1" -- "1"`) and conflating multiple persons into a single authorship record, which would break the logic for storing individual author positions. 
4. Rejected or checked issues: Model 2 uses two opposite unidirectional associations (e.g., `A --&gt; B` and `B --&gt; A`) rather than single bidirectional lines, and it includes PlantUML single-quote comments. As per the strict evaluation guidelines, these are 100% semantically equivalent to bidirectional associations and standard tooling annotations, respectively, and were not penalized. 
5. Overall judgment: Model 2 is the better response because it accurately captures the domain's relational constraints and multiplicities, whereas Model 1 introduces structural flaws that would render the system unusable in practice.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</si>
  <si>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</si>
  <si>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Requirements: Model 1 = 5, Model 2 = 3; Evidence: Model 1 correctly assigns a many-to-one multiplicity for `Person` to `ResearchInstitution` (`ResearchInstitution --&gt; "*" Person`) and a many-to-many multiplicity for reviewers (`PeerReviewedPaper --&gt; "*" Person`, `Person --&gt; "*" PeerReviewedPaper`). Model 2 incorrectly defines the `Person` to `ResearchInstitution` association as one-to-one (`Person "1" -- "1" ResearchInstitution`), and limits reviewers to exactly one person per paper (`Person "1" -- "*" PeerReviewedPaper`). Both models correctly handle the `Authorship` associative concept and the `ScientificArticle` hierarchy.
Total: Model 1 = 5, Model 2 = 3
Choice: A
Reason:
1. Alignment with Requirements: Model 1 faithfully captures all business rules, including correct multiplicities across the board. Model 2 makes several domain multiplicity errors, specifically by restricting an institution to only have one person (1:1 instead of 1:M) and restricting a peer-reviewed paper to only have a single reviewer (1:M instead of M:N). 
2. Rejected or checked issues: Model 2 uses a composition relationship for Publisher and Journal (`Publisher "1" *-- "*" Journal`), which elegantly handles the requirement that journals can share names across publishers (acting as a weak entity). Model 1 uses standard bidirectional associations for this. However, Model 1's approach is fully semantically valid, and Model 2's severe multiplicity errors on the core `Person` relationships significantly outweigh this minor notational benefit. Model 1's use of opposite unidirectional arrows is strictly treated as standard bidirectional associations according to the guidelines and is not penalized.
3. Overall judgment: Model 1 is the better diagram because it provides accurate and realistic multiplicities for the domain relationships described in the prompt, whereas Model 2 contains critical multiplicity flaws.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</si>
  <si>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</si>
  <si>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UML Semantics: Model 1 = 3, Model 2 = 5; Evidence: Model 1 defines a 1-to-1 relationship between Person and ResearchInstitution (`Person "1" -- "1" ResearchInstitution`) and limits a peer-reviewed paper to having exactly one reviewer (`Person "1" -- "*" PeerReviewedPaper`). Model 2 accurately defines these as many-to-1 (`ResearchInstitution --&gt; "*" Person`) and many-to-many (`PeerReviewedPaper --&gt; "*" Person`), which aligns correctly with domain reality. Both models successfully capture the article inheritance, authorship association class (or intermediate entity) for author positions, and institution-journal subscriptions.
Total: Model 1 = 3, Model 2 = 5
Choice: B
Reason:
1. Requirement Alignment and UML Semantics: Model 2 is much more accurate regarding business multiplicities. Model 1 contains significant domain errors by specifying that an institution only employs exactly one person (`1..1`) and a peer-reviewed paper is reviewed by exactly one person. Model 2 correctly models the many-to-one employment relationship and the many-to-many reviewer relationship. Model 2 also correctly requires an article to have at least one author (`1..*`), whereas Model 1 allows zero authors (`*`). Both models correctly capture the core entities, attributes, and relationships such as technical reports being published by institutions and peer-reviewed papers being published in journals. 
2. Rejected or checked issues: Model 2 uses pairs of unidirectional associations (e.g., `A --&gt; B` and `B --&gt; A`) with single-quote comments for opposites. According to the strict guidelines, this is semantically equivalent to a bidirectional association and standard tooling notation, so it was not penalized. Model 1's use of composition (`*--`) for Publisher and Journal is a nice touch to indicate Journal's weak entity nature (since names can overlap across publishers), but Model 2's standard association is also acceptable based on the requirements text.
3. Overall judgment: Model 2 is superior because it provides completely accurate multiplicities for the relationships described in the prompt, whereas Model 1 struggles with several highly restrictive and unrealistic multiplicities (1:1 for employment, 1:N for reviews).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</si>
  <si>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</si>
  <si>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all the required entities, including Person, ResearchInstitution, ScientificArticle, PeerReviewedPaper, TechnicalReport, Publisher, and Journal. They also both correctly introduce an `Authorship` class to handle the many-to-many relationship between persons and articles alongside the `position` attribute.
2. Associations/Multiplicities between classes for domain reasoning: Model 1 = 5, Model 2 = 3; Evidence: Model 1 correctly captures the multiplicities: many Persons to 1 ResearchInstitution (`ResearchInstitution --&gt; "*" Person`), and many Reviewers to many PeerReviewedPapers (`PeerReviewedPaper --&gt; "*" Person`). Model 2 applies incorrect multiplicities for these relationships, specifying `Person "1" -- "1" ResearchInstitution` (implying an institution employs only one person) and `Person "1" -- "*" PeerReviewedPaper` (implying a paper only has one reviewer).
3. Model attributes with appropriate data types: Model 1 = 5, Model 2 = 4; Evidence: Both models include all required attributes. Model 1 appropriately models `researchKeywords` as a `List&lt;String&gt;`, whereas Model 2 models it as a single `String`, which is slightly less accurate for multiple keywords. 
4. Consistencies of Terminology with given context: Model 1 = 5, Model 2 = 5; Evidence: Both models use terminology fully consistent with the provided requirement (e.g., impactFactor, citationCount, institutionCode).
5. Adherence of UML class diagram standards: Model 1 = 5, Model 2 = 5; Evidence: Both models use correct PlantUML syntax. As per the general guidelines, Model 1's use of paired opposite-direction unidirectional associations is semantically equivalent and is not penalized.
Total: Model 1 = 25, Model 2 = 22
Choice: A
Reason:
1. Associations and Multiplicities: Model 1 applies the correct domain logic for the multiplicities, accurately allowing an institution to employ multiple people and a paper to be reviewed by multiple reviewers. Model 2 restricts an institution to exactly one person and a peer-reviewed paper to exactly one reviewer, which comprises the domain reasoning.
2. Attributes: Model 1 provides a slightly better data type choice for multiple keywords by using a `List&lt;String&gt;`, whereas Model 2 uses a singular `String`.
3. Rejected issues: Although Model 1 uses two unidirectional arrows for each relationship rather than a single bidirectional line like Model 2, this is strictly forbidden from being penalized as they are semantically equivalent representations of the relationships. 
4. Overall Judgment: Model 1 is the better diagram because it accurately captures essential business rules regarding multiplicities that Model 2 fails to represent correctly.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</si>
  <si>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</si>
  <si>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Both models correctly identify the key entities required by the prompt, including `Person`, `ResearchInstitution`, `ScientificArticle`, `PeerReviewedPaper`, `TechnicalReport`, `Publisher`, `Journal`, and an associative `Authorship` class to handle author positions.
2. Associations/Multiplicities between classes for domain reasoning: Model 1 = 4, Model 2 = 5; Evidence: Model 1 restricts a `PeerReviewedPaper` to having only exactly one reviewer (`Person "1" -- "*" PeerReviewedPaper`), which restricts normal domain reasoning for peer review. Model 2 correctly uses a many-to-many relationship for reviews (`PeerReviewedPaper --&gt; "*" Person` and `Person --&gt; "*" PeerReviewedPaper`). Additionally, Model 2 enforces that an article has at least one author (`1..*`), whereas Model 1 allows zero authors (`*`).
3. Model attributes with appropriate data types: Model 1 = 4, Model 2 = 5; Evidence: Both models identify the correct attributes. However, Model 1 models plural `researchKeywords` as a singular `String`, whereas Model 2 appropriately uses `List&lt;String&gt;` to capture multiple keywords. 
4. Consistencies of Terminology with given context: Model 1 = 5, Model 2 = 5; Evidence: Both models use terminology that perfectly matches the provided text (e.g., `impactFactor`, `citationCount`, `institutionCode`).
5. Adherence of UML class diagram standards: Model 1 = 5, Model 2 = 5; Evidence: Both models use valid PlantUML syntax and follow standard UML conventions. Model 2's use of opposite unidirectional associations and inline comments are valid tooling annotations per the evaluation guidelines.
Total: Model 1 = 23, Model 2 = 25
Choice: B
Reason:
1. Associations/Multiplicities: Model 2 is superior because it accurately captures the many-to-many nature of peer reviews. Model 1 applies a `1` to `*` multiplicity that incorrectly restricts a peer-reviewed paper to a single reviewer. Model 2 also correctly enforces that scientific articles must have at least one author (`1..*`), while Model 1 leaves it as `*` (0 or more).
2. Attributes: Model 2 uses a more appropriate data type for a collection of keywords (`List&lt;String&gt;`), whereas Model 1 uses a plain `String`.
3. Rejected or checked issues: Model 2 uses pairs of unidirectional associations (e.g., `A --&gt; B` and `B --&gt; A`) and PlantUML single-quote comments. As per the strict negative constraints, these are semantically equivalent to bidirectional associations and standard tooling annotations; thus, they were not penalized.
4. Overall judgment: Both models are well-constructed and capture the core domain accurately. However, Model 2 provides more precise attribute data types and captures multiplicities (particularly for reviewing and authorship) more faithfully to the real-world domain. Therefore, Model 2 is the better response.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</si>
  <si>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</si>
  <si>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identify the same conceptual classes (`Person`, `ResearchInstitution`, `ScientificArticle`, `PeerReviewedPaper`, `TechnicalReport`, `Publisher`, `Journal`, `Authorship`) with distinct, cohesive responsibilities. They both effectively decouple the authors' positions from the `Person` and `ScientificArticle` classes by utilizing an `Authorship` class. 
2. Complexity: Model 1 = 5, Model 2 = 5; Evidence: Both models maintain an appropriate level of complexity, strictly following the domain requirements. The depth of the inheritance tree is well-balanced (`ScientificArticle` with two subclasses). Neither model over-complicates the design with unnecessary entities. Model 1 correctly maps the plural "keywords" to a `List&lt;String&gt;`, while Model 2 uses a `String`, but both keep attribute complexity minimal and readable.
3. Practicability: Model 1 = 5, Model 2 = 3; Evidence: Model 1 is highly practical and correctly maps the business constraints using accurate multiplicities (e.g., `ResearchInstitution --&gt; "*" Person` allowing multiple staff per institution, and `PeerReviewedPaper --&gt; "*" Person` allowing multiple reviewers). Model 2 contains overly restrictive and inaccurate multiplicities that would break in real-world scenarios: `Person "1" -- "1" ResearchInstitution` implies an institution can only have one employee, and `Person "1" -- "*" PeerReviewedPaper : reviews` restricts a peer-reviewed paper to having only one reviewer.
Total: Model 1 = 15, Model 2 = 13
Choice: A
Reason:
1. Cohesion and Decoupling: Both models exhibit an excellent structural layout, dividing the problem domain into highly cohesive and decoupled entities, especially utilizing the intermediate `Authorship` concept.
2. Complexity: Both models keep the total number of classes and attributes well-aligned with the text without overengineering.
3. Practicability: Model 1 represents a much more practical and valid domain model because its multiplicities accurately reflect real-world constraints (many persons to one institution, many reviewers to many papers). Model 2 severely restricts the application by enforcing 1-to-1 relationships where 1-to-many or many-to-many are strictly required (such as limiting an institution to a single person).
4. Rejected or checked issues: Model 1 uses pairs of opposite unidirectional associations (e.g., `A --&gt; B` and `B --&gt; A`), which the guidelines explicitly state must be treated as fully equivalent to bidirectional associations and not penalized.
5. Overall judgment: Model 1 is noticeably better because it precisely captures the necessary multiplicities, making it a viable blueprint for actual database or software implementation, whereas Model 2 contains critical multiplicity flaws.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</si>
  <si>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</si>
  <si>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5; Evidence: Both models correctly separate domain concepts into appropriately scoped classes (e.g., `Person`, `ResearchInstitution`, `Publisher`, `Journal`). Both successfully decouple the many-to-many authorship relation by using an intermediate `Authorship` class to store the author's `position`.
2. Complexity: Model 1 = 5, Model 2 = 5; Evidence: Both models utilize 8 classes and an identical inheritance structure (`ScientificArticle` as the superclass for `PeerReviewedPaper` and `TechnicalReport`). The number of attributes and associations is well-balanced, avoiding unnecessary over-engineering or class explosion in both designs.
3. Practicability: Model 1 = 4, Model 2 = 5; Evidence: Model 2 is slightly more practical and accurate in its multiplicity constraints. Model 2 defines a many-to-many relationship for reviews (`PeerReviewedPaper --&gt; "*" Person` and `Person --&gt; "*" PeerReviewedPaper`), which aligns with real-world peer review processes. Model 1 restricts a paper to exactly one reviewer (`Person "1" -- "*" PeerReviewedPaper`). Additionally, Model 2 correctly models `researchKeywords` as a `List&lt;String&gt;` to account for the plural nature of keywords, whereas Model 1 uses a single `String`. Model 2 also makes `ScientificArticle` abstract, which prevents instantiating generic articles.
Total: Model 1 = 14, Model 2 = 15
Choice: B
Reason:
1. Cohesion and Decoupling: Both models perform excellently, achieving high cohesion through properly distributed attributes and low coupling by accurately mapping the necessary relationships and utilizing an intermediate `Authorship` class for the position attribute.
2. Complexity: Both models keep the design at an optimal complexity level, using the same set of essential conceptual classes without introducing unnecessary complexity. 
3. Practicability: Model 2 provides a more robust and realistic design by allowing multiple reviewers for a peer-reviewed paper, modeling multiple keywords via a `List&lt;String&gt;`, ensuring papers have at least one author (`1..*`), and marking the base `ScientificArticle` class as abstract. 
4. Rejected or checked issues: Model 2 utilizes opposite-direction unidirectional associations (e.g., `A --&gt; B` and `B --&gt; A`), which are semantically equivalent to Model 1's bidirectional associations. Per the strict guidelines, this stylistic choice is completely acceptable and was not penalized.
5. Overall judgment: Model 2 is slightly superior because it captures domain constraints (multiplicities and plural attribute types) more precisely, making it a more practical blueprint for implementation.</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</si>
  <si>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</si>
  <si>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Requirements Alignment: Model 1 = 3, Model 2 = 4; Evidence: Model 1 includes `Authorship -- "1..*" Person` and `Authorship -- "1" ScientificArticle` with a single `position: int` attribute in `Authorship`, which structurally fails to capture a distinct position for *each* individual author. Model 2 correctly implements the associative entity pattern (`Person "1" -- "*" Authorship` and `ScientificArticle "1" -- "*" Authorship`) so each person-article link has its own position. Model 2 also uses composition (`Publisher "1" *-- "*" Journal`) which excellently captures the requirement that journals are uniquely identified within the publisher's context due to overlapping names. However, Model 1 correctly models the `reviews` association as many-to-many (`"0..*" -- "0..*"`), whereas Model 2 models it as one-to-many (`"1" -- "*"`).
Total: Model 1 = 3, Model 2 = 4
Choice: B
Reason:
1. Requirements Alignment: Model 2 provides a structurally sound and accurate design for the author positions, utilizing a proper associative intermediate class pattern that guarantees exactly one position per author per article. Model 1's approach clusters multiple persons into a single Authorship instance, making it impossible to assign individual positions to each. 
2. Furthermore, Model 2 intelligently leverages a composition relationship for Publisher and Journal, gracefully handling the domain requirement that journals from different publishers can share the same name. 
3. Rejected or checked issues: Both models incorrectly use a one-to-one multiplicity for the `works for` relationship between Person and Institution (as typically a research institution employs multiple persons), but since both made this identical error, it was not a deciding factor. Model 1 is slightly better at modeling the peer-review relationship as many-to-many, but this does not outweigh Model 1's critical structural flaw in modeling authorship positions.
4. Overall judgment: Model 2 is better because it successfully models the complex relational constraints (authorship positions and journal naming contexts) outlined in the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</si>
  <si>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</si>
  <si>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requirements and UML semantics: Model 1 = 4, Model 2 = 3; Evidence: Model 1 correctly models the intermediate `Authorship` class with `Person "1" -- "*" Authorship` and `ScientificArticle "1" -- "*" Authorship`, ensuring each authorship record links one person to one article with a specific `position`. Model 1 also uses composition (`Publisher "1" *-- "*" Journal`) which elegantly satisfies the requirement that journals are identified within the scope of a publisher (allowing duplicate names across different publishers). Model 2 poorly defines the intermediate class with `Authorship -- "1..*" Person`, which would mean multiple authors share a single authorship record and thus a single `position`, violating the requirement to store the position of *each* author. Model 2 does, however, correctly identify the reviewer relationship as many-to-many (`Person "0..*" -- "0..*" PeerReviewedPaper`), whereas Model 1 restricts a paper to a single reviewer (`Person "1" -- "*" PeerReviewedPaper`).
Total: Model 1 = 4, Model 2 = 3
Choice: A
Reason:
1. Alignment with requirements and UML semantics: Model 1 is fundamentally stronger in its structural relationships. Resolving the many-to-many relationship for authors requires an intermediate class (Authorship) that maps one-to-one with both the Person and the Article to accurately hold the `position` attribute for each distinct author. Model 1 implements this perfectly, whereas Model 2 assigns `1..*` Persons to a single Authorship, completely defeating the purpose of tracking individual author positions. 
2. Furthermore, Model 1's use of composition (`*--`) between `Publisher` and `Journal` demonstrates excellent domain comprehension, capturing the implicit weak-entity nature of Journals described in the prompt ("Publishers can have journals with the same name as other publishers"). Model 2 uses a standard association, which doesn't capture this nuance as effectively.
3. Rejected or checked issues: Model 2 is slightly better at modeling the reviewer relationship as many-to-many. However, Model 1's error here (restricting papers to one reviewer) is much less severe than Model 2's structural failure in the `Authorship` class, which breaks a core requirement of storing individual author positions.
4. Overall judgment: Model 1 provides a more semantically accurate and robust class diagram that aligns closely with standard UML practices for resolving many-to-many relationships with attributes, making it the better response.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</si>
  <si>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</si>
  <si>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all key domain concepts, including `Person`, `Institution`/`ResearchInstitution`, `ScientificArticle` (with subclasses `PeerReviewedPaper` and `TechnicalReport`), `Publisher`, `Journal`, and an intermediate `Authorship` class to handle author positions.
2. Associations/Multiplicities between classes for domain reasoning: Model 1 = 3, Model 2 = 3; Evidence: Both models incorrectly define the "works for" relationship as 1-to-1 (`Person "1" -- "1" Institution`), implying an institution only has one person. Model 1 incorrectly models `Authorship` as connecting 1 article to many persons (`1..*`), which fails to assign a unique `position` to each individual author. Model 2 models the `Authorship` intermediate class correctly (`1` Person to `*` Authorships, `1` Article to `*` Authorships), but it mistakenly restricts reviewers to exactly one person per paper (`Person "1" -- "*" PeerReviewedPaper`), whereas Model 1 correctly uses many-to-many (`0..* -- 0..*`) for reviewers. Model 2 creatively uses composition (`*--`) for Publisher and Journal, elegantly handling the fact that journals with the same name belong to different publishers.
3. Model attributes with appropriate data types: Model 1 = 5, Model 2 = 4; Evidence: Both models capture all required attributes (ID, DOI, citation count, etc.). Model 1 accurately captures multiple keywords using `Set&lt;String&gt;`, whereas Model 2 uses a singular `String` for `researchKeywords`, which is less optimal for a plural list.
4. Consistencies of Terminology with given context: Model 1 = 5, Model 2 = 5; Evidence: Both models use domain-accurate terminology directly from the prompt (e.g., impactFactor, citationCount, DOI).
5. Adherence of UML class diagram standards: Model 1 = 5, Model 2 = 5; Evidence: Both models use correct PlantUML syntax for classes, inheritance (`&lt;|--`), associations, and multiplicities.
Total: Model 1 = 23, Model 2 = 22
Choice: C
Reason:
1. Conceptual classes &amp; Terminology: Both models excel at identifying the exact classes and terminology required by the domain.
2. Associations &amp; Multiplicities: Both models suffer from domain reasoning flaws regarding multiplicities. Both erroneously model the person-institution working relationship as strictly 1-to-1. Model 1 struggles with the authorship resolution (grouping multiple persons into one Authorship instance, defeating the purpose of the position attribute), while Model 2 perfectly resolves the Authorship intermediate class but restricts a peer-reviewed paper to having only a single reviewer. 
3. Attributes: Model 1 is slightly better by explicitly defining `keywords` as a `Set&lt;String&gt;`, compared to Model 2's plain `String`.
4. Overall judgment: Both models display a strong grasp of the domain concepts, inheritance, and attributes, but share minor-to-moderate flaws in multiplicities that balance each other out (Model 1's Authorship flaw vs. Model 2's Reviewer flaw). Because the meaningful quality difference between them is extremely small, this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</si>
  <si>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</si>
  <si>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Both models correctly identify the key domain classes such as Person, Institution/ResearchInstitution, ScientificArticle, PeerReviewedPaper, TechnicalReport, Publisher, Journal, and an Authorship intermediate class.
2. Associations/Multiplicities between classes for domain reasoning: Model 1 = 4, Model 2 = 3; Evidence: Model 1 correctly models the reified `Authorship` class by linking it to exactly one `Person` and one `ScientificArticle` (`Person "1" -- "*" Authorship`, `ScientificArticle "1" -- "*" Authorship`), which correctly allows a `position` per author per article. However, Model 1 incorrectly restricts peer-reviewed papers to exactly one reviewer (`Person "1" -- "*" PeerReviewedPaper`). Model 2 correctly models the reviewer relationship as many-to-many (`Person "0..*" -- "0..*" PeerReviewedPaper`) but incorrectly links `Authorship` to multiple persons (`Authorship -- "1..*" Person`), meaning multiple authors would incorrectly share a single `position` value. Model 1's use of composition (`*--`) for Publisher and Journal is a clever way to denote the local uniqueness of the journal name.
3. Model attributes with appropriate data types: Model 1 = 4, Model 2 = 5; Evidence: Both correctly identify the required attributes. Model 2 optimally uses a `Set&lt;String&gt;` for the multiple `keywords`, whereas Model 1 uses a generic `String` which is slightly less precise for a plural attribute, though still acceptable.
4. Consistencies of Terminology with given context: Model 1 = 5, Model 2 = 5; Evidence: Both models accurately utilize domain terminology (e.g., impact factor, DOI, institution code, citation count). 
5. Adherence of UML class diagram standards: Model 1 = 5, Model 2 = 5; Evidence: Both models use correct PlantUML syntax for classes, attributes, inheritance (`&lt;|--`), and associations.
Total: Model 1 = 23, Model 2 = 23
Choice: C
Reason:
1. Appropriate conceptual classes aligned with the domain: Both models extract the essential entities perfectly from the requirements, including the correct handling of inheritance for scientific articles.
2. Associations/Multiplicities between classes for domain reasoning: Both models have minor domain reasoning flaws in their multiplicities. Model 1 flawlessly structures the many-to-many `Authorship` relationship to hold the author position per individual, but limits a paper to a single reviewer. Model 2 handles the many-to-many reviewer logic properly, but its many-to-many `Authorship` structure implies multiple people share a single author position record, which contradicts the domain. 
3. Model attributes with appropriate data types: Model 2 is slightly stronger here by utilizing a `Set` for the research keywords, whereas Model 1 defaults to a single `String`.
4. Overall judgment: The total scores are equal. Model 1 has a slight edge in structural association design (correctly reifying the Authorship association class and using composition for the Publisher-Journal uniqueness constraint), while Model 2 has a slight edge in attribute typing and reviewer multiplicities. The meaningful quality difference is small, resulting in a tie.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</si>
  <si>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</si>
  <si>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5; Evidence: Both models identify the correct domain entities and maintain good decoupling. Model 2 correctly handles the `Authorship` concept as a standard junction class (`Person "1" -- "*" Authorship` and `ScientificArticle "1" -- "*" Authorship`), ensuring each author-article pair gets a distinct position. Model 1's `Authorship -- "1..*" Person` groups multiple people into one authorship instance, tangling the concepts and sharing a single `position` among multiple authors.
2. Complexity: Model 1 = 4, Model 2 = 4; Evidence: Both models introduce the same number of classes and appropriately balance attributes. Model 1 uses an `abstract` class for `ScientificArticle` which conceptually simplifies the hierarchy. Model 2 uses a composition `Publisher "1" *-- "*" Journal` which effectively handles the requirement that journals can share the same name across different publishers (weak entity).
3. Practicability: Model 1 = 4, Model 2 = 4; Evidence: Model 2 is slightly more practical in its database-like mapping of the `Authorship` association class. However, Model 2 restricts the reviewer relationship to `Person "1" -- "*" PeerReviewedPaper : reviews`, implying a paper has exactly 1 reviewer, which is impractical for peer-reviewed systems. Model 1 correctly maps this as a many-to-many relationship (`0..*` to `0..*`), though its `Authorship` mapping is less practical.
Total: Model 1 = 12, Model 2 = 13
Choice: C
Reason:
1. Cohesion and Decoupling: Model 2 is slightly better because it uses a standard bridge/junction class pattern for `Authorship`, linking exactly 1 Person to 1 Article per position. Model 1's mapping connects `1..*` Persons to an `Authorship`, effectively making multiple authors share a single `position` integer, which violates the requirement to store the position of *each* author.
2. Complexity: Both models have an identical structural footprint in terms of classes and handle the inheritance of `ScientificArticle` gracefully.
3. Practicability: Both models have minor but contrasting multiplicity flaws. Model 1 fails to properly assign an individual position per author due to its `1..*` relationship on the `Authorship` class. Conversely, Model 2 incorrectly models the reviewer relationship as `Person "1" -- "*" PeerReviewedPaper`, effectively restricting a peer-reviewed paper to a single reviewer, whereas Model 1 accurately models it as many-to-many.
4. Overall judgment: Both models correctly capture the bulk of the requirements with solid, readable UML class diagrams. Each model makes a distinct multiplicity error on different relationships (Model 1 on Authorship, Model 2 on Reviewers). Because the errors offset each other in severity and both models are highly comparable in structure, the result is a tie.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</si>
  <si>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</si>
  <si>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4; Evidence: Both models correctly separate the domains into the requested conceptual classes. Model 1 utilizes a composition relationship (`*--`) between `Publisher` and `Journal`, which aligns perfectly with the requirement that journals are identified by their names under a specific publisher (weak entity pattern). Model 2 uses a simple association which is less tightly coupled for a dependent entity.
2. Complexity: Model 1 = 5, Model 2 = 4; Evidence: Both models identify the exact same set of classes, demonstrating a good balance without over-engineering. However, Model 1 correctly handles the complexity of the `Authorship` associative entity by mapping it strictly to one `Person` and one `ScientificArticle` (`Person "1" -- "*" Authorship`, `ScientificArticle "1" -- "*" Authorship`). Model 2 maps `Authorship` to `1..*` Persons, which confusingly implies multiple people could share a single "position" instance for an article. 
3. Practicability: Model 1 = 4, Model 2 = 4; Evidence: Model 1 provides a highly practical structural representation but restricts a `PeerReviewedPaper` to having only 1 reviewer (`Person "1" -- "*" PeerReviewedPaper : reviews`), which is slightly restrictive for real-world scenarios. Model 2 captures the many-to-many nature of reviewers practically (`Person "0..*" -- "0..*" PeerReviewedPaper`) but suffers practically from the illogical `Authorship` multiplicity.
Total: Model 1 = 14, Model 2 = 12
Choice: A
Reason:
1. Cohesion and Decoupling: Model 1 captures the dependent relationship between publishers and identically-named journals better through composition, whereas Model 2 uses a standard association.
2. Complexity: Model 1 correctly interprets the `Authorship` class as an intermediate entity linking exactly one `Person` to one `ScientificArticle`. Model 2's multiplicity suggests one `Authorship` instance (and thus one author position) can be tied to multiple people, introducing unnecessary and illogical complexity. 
3. Practicability: While Model 2 does a better job modeling the many-to-many relationship for peer reviewers, Model 1's structural accuracy for authorships and publisher-journal dependencies makes it a more reliable foundation for a real-world database.
4. Overall judgment: Model 1 is better because its translation of requirements into UML relationships is structurally more sound, particularly regarding associative entities (Authorship) and dependent entities (Journals).</t>
  </si>
  <si>
    <t>House</t>
  </si>
  <si>
    <t>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</si>
  <si>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</si>
  <si>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Requirements: Model 1 = 5, Model 2 = 5; Evidence: Both models accurately capture all necessary entities such as House, the specific Basement types, SemiDetachedHouse, Company, and the job log concept. Both properly track all required attributes (e.g., building material, humidity level, automatic door). Model 1 structurally enforces the XOR constraint for parking ("either two carports or a garage") by introducing an intermediate inheritance pattern (`ParkingFacility`, `CarportParking`, `GarageParking`), which strictly binds the exact multiplicities without notes. Model 2 achieves this same logic by using straightforward associations capped with a standard UML note detailing the specific XOR constraint. Both are valid approaches.
Total: Model 1 = 5, Model 2 = 5
Choice: C
Reason:
1. Alignment with Requirements: Both models strictly follow the domain requirements, successfully translating all properties and relationships. 
2. Structural differences: Model 1 utilizes structural composition (the `ParkingFacility` superclass) to strictly enforce the "two carports or one garage" constraint using cardinalities. Model 2 relies on optional associations (0..2 and 0..1) clarified by an explicit UML note. Both are fully standard ways of handling XOR constraints. Model 1 includes a minor addition (`jobDate` in Job), which is an expected refinement for a log and not considered a harmful hallucination.
3. Rejected or checked issues: I did not penalize Model 1 for introducing intermediate structural classes for parking, nor did I penalize Model 2 for using a descriptive note, as both correctly address the XOR constraint. Furthermore, whether `Basement` is marked `abstract` (Model 2) or not (Model 1) was not penalized, per the evaluation guidelines.
4. Overall judgment: Both diagrams are highly accurate, semantically rich, and correctly map out the requirements. The meaningful quality difference is negligible, resulting in a tie.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</si>
  <si>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</si>
  <si>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Accuracy of Entities and Attributes: Model 1 = 5, Model 2 = 4; Evidence: Model 1 strictly limits its classes and attributes to those specified in the requirements (e.g., `JobLog` with `hours` and `price`). Model 2 introduces a hallucinated attribute (`jobDate: Date` in `Job`) and creates several intermediate synthetic classes (`ParkingFacility`, `CarportParking`, `GarageParking`) which over-complicate the domain model without requirement justification.
2. Accuracy of Relationships and Cardinalities: Model 1 = 5, Model 2 = 3; Evidence: Model 1 accurately captures the many-to-many relationship between houses and companies (`House "*" -- "*" Company`) and neatly handles the either/or constraint for carports and garages using a standard UML note. Model 2 specifies `House "1" -- "1..*" Company`, which improperly restricts a `Company` to only servicing a single `House`. 
Total: Model 1 = 10, Model 2 = 7
Choice: A
Reason:
1. Accuracy of Entities and Attributes: Model 1 adheres strictly to the requirements without adding unwarranted details. Model 2 unnecessarily introduces the `jobDate` attribute and adds a complex structural hierarchy for parking (`ParkingFacility`, `CarportParking`, `GarageParking`) instead of simply linking the carports and garages to the house.
2. Accuracy of Relationships and Cardinalities: Model 1 uses the correct `*` to `*` multiplicity for the `House` and `Company` relationship, reflecting the real-world reality that companies service multiple houses. Model 2 inaccurately assigns a `1` to `1..*` multiplicity, meaning a company can only service one house. Both models successfully represent the job logging mechanism by mapping instances back to exactly one house and company per job.
3. Rejected or checked issues: Model 2 uses unidirectional associations for `Job` (e.g., `Job --&gt; House`), which is semantically equivalent in this context and was not penalized. Model 2's use of single-quote comments was also ignored.
4. Overall judgment: Model 1 is the superior choice because it avoids unnecessary additions (hallucinated attributes and extra synthetic classes) and correctly assigns multiplicities to domain associations, providing a precise and requirement-faithful design.</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</si>
  <si>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</si>
  <si>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Both models identify the required core classes (`House`, `Basement`, `EarthBasement`, `ConcreteBasement`, `SemiDetachedHouse`, `Carport`, `Garage`, `Company`). Model 1 uses additional abstract classes (`ParkingFacility`) to structure constraints, which is acceptable, while Model 2 uses a direct approach with `JobLog`. Both are fully aligned with the domain.
2. Associations/Multiplicities between classes for domain reasoning: Model 1 = 4, Model 2 = 5; Evidence: Model 1 defines the House-to-Company relationship as `House "1" -- "1..*" Company`, which implies that a Company services exactly one House. This is a minor misalignment with domain logic where companies service multiple houses. Model 2 correctly identifies this as a many-to-many relationship (`House "*" -- "*" Company`) and successfully maps the `JobLog` relationship. Model 2 also effectively uses an XOR note for the parking logic, while Model 1 captures it structurally.
3. Model attributes with appropriate data types: Model 1 = 5, Model 2 = 5; Evidence: Both models capture all required attributes (`address`, `buildingMaterial`, `name`, `size`, `humidityLevel`, `hasGarden`/`hasOwnGarden`, `windowCount`/`numberOfWindows`, `isDouble`, `hasFlatRoof`, `hasAutomaticDoor`, `hours`, `price`/`agreedPrice`) with appropriate primitive types and enums.
4. Consistencies of Terminology with given context: Model 1 = 5, Model 2 = 5; Evidence: Both models strictly follow the terminology established in the requirements without any noticeable inconsistencies.
5. Adherence of UML class diagram standards: Model 1 = 5, Model 2 = 5; Evidence: Both models use correct PlantUML syntax, proper inheritance relationships (`&lt;|--`), and valid multiplicity/association definitions without violating standard conventions.
Total: Model 1 = 24, Model 2 = 25
Choice: B
Reason:
1. Appropriate conceptual classes aligned with the domain: Both models perfectly capture the required concepts. Model 1 builds an elegant inheritance structure for the parking facilities, whereas Model 2 introduces the explicit `JobLog` class directly mentioned in the requirement.
2. Associations/Multiplicities between classes for domain reasoning: Model 2 is slightly more accurate regarding the relationship between `House` and `Company`. Model 1 mistakenly restricts a `Company` to service exactly one `House` (`House "1" -- "1..*" Company`), whereas Model 2 accurately reflects a many-to-many relationship (`House "*" -- "*" Company`) suitable for the real-world context of servicing companies. Model 2 also handles the complex XOR constraint cleanly with a standard UML note.
3. Rejected or checked issues: Model 1's use of extra intermediate classes like `ParkingFacility` to enforce structural XOR was not penalized, as it is a valid object-oriented design choice. Similarly, Model 2's usage of float vs Model 1's usage of double/int was considered equivalent aliases for numerical representations.
4. Overall judgment: Both models are outstanding and highly detailed. However, Model 2 wins by a narrow margin because its multiplicity choices for the `House` and `Company` relationship better reflect the true domain logic compared to Model 1's restrictive one-to-many relationship.</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</si>
  <si>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</si>
  <si>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Both models correctly identify core classes like House, Basement, EarthBasement, ConcreteBasement, SemiDetachedHouse, Carport, Garage, Company, and a class for the job log (JobLog in Model 1, Job in Model 2). Model 2 introduces an elegant polymorphic wrapper (ParkingFacility) to handle the XOR logic structurally, while Model 1 relies on a note, both of which are valid conceptual modeling choices.
2. Associations/Multiplicities between classes for domain reasoning: Model 1 = 5, Model 2 = 4; Evidence: Model 1 correctly maps the many-to-many relationship between House and Company (`House "*" -- "*" Company`) and links the JobLog accordingly. Model 2 incorrectly assigns a multiplicity of `1` on the House side of the Company association (`House "1" -- "1..*" Company`), which implies a company can only service exactly one house, contradicting realistic domain logic and the nature of service companies.
3. Model attributes with appropriate data types: Model 1 = 5, Model 2 = 5; Evidence: Both models capture all necessary attributes with logical data types (e.g., `address: String`, `buildingMaterial: BuildingMaterial`, `isDouble: boolean`, `humidityLevel` as float/double). Model 2 includes an extra `jobDate`, which is a harmless and logical addition.
4. Consistencies of Terminology with given context: Model 1 = 5, Model 2 = 5; Evidence: Both models use terminology perfectly aligned with the prompt, such as "EarthBasement", "SemiDetachedHouse", "JobLog" / "Job", etc. 
5. Adherence of UML class diagram standards: Model 1 = 5, Model 2 = 5; Evidence: Both models follow proper PlantUML syntax. Generalizations (`&lt;|--`) and associations (`--`, `--&gt;`, `*--`) are well-formed and visually readable. 
Total: Model 1 = 25, Model 2 = 24
Choice: A
Reason:
1. Conceptual classes: Both models excel at capturing the domain elements. Model 2's structural workaround for the "either two carports or a garage" using `ParkingFacility` subclasses is clever, but Model 1's approach of using direct associations with a clarifying note is also standard and perfectly valid.
2. Associations/Multiplicities: Model 1 flawlessly captures the domain relationships, particularly the many-to-many nature of Houses and service Companies. Model 2 falters slightly by restricting a Company to exactly one House (`House "1" -- "1..*" Company`), which impairs domain reasoning for a service business. 
3. Rejected or checked issues: The prompt states "exactly two carports or a garage". Model 2 enforces this via composition and multiplicity `2` / `1` on subclasses. Model 1 sets multiplicities to `0..2` and `0..1` and restricts them via a UML note. Neither approach is penalized as both are standard ways to model an XOR constraint in UML.
4. Overall judgment: Model 1 is slightly better because it perfectly models all multiplicities, notably accurately representing the many-to-many relationship between companies and the houses they service, whereas Model 2 makes a logical multiplicity error on that association. Both are very high-quality diagrams.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</si>
  <si>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</si>
  <si>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5; Evidence: Both models successfully decouple building materials (using an Enum) and separate basement types into subclasses. However, Model 1 introduces intermediate wrapper classes (`ParkingFacility`, `CarportParking`, `GarageParking`) which slightly decreases cohesion by separating the semi-detached house from the actual `Carport` and `Garage` entities. Model 2 maintains high cohesion by linking them directly and using `JobLog` to decouple `House` and `Company`.
2. Complexity: Model 1 = 3, Model 2 = 5; Evidence: Model 1 contains 13 classes and introduces a deep artificial hierarchy (`ParkingFacility` -&gt; `CarportParking`, `GarageParking`) just to enforce the "either two carports or a garage" constraint structurally. Model 2 appropriately balances complexity by using only 9 classes and relying on a standard UML note ("Has either exactly two Carports...") to enforce the XOR constraint, avoiding unnecessary structural overhead.
3. Practicability: Model 1 = 3, Model 2 = 5; Evidence: Model 1 defines the relationship as `House "1" -- "1..*" Company`, which implies a company can only service exactly one house, lacking real-world applicability. Model 2 uses `House "*" -- "*" Company` along with `JobLog` being related to both with a many-to-one multiplicity, which correctly reflects that companies service multiple houses over time. Model 2's straightforward mapping of requirements makes it more readable and maintainable.
Total: Model 1 = 10, Model 2 = 15
Choice: B
Reason:
1. Cohesion and Decoupling: Model 2 is slightly better because it avoids wrapping entities in artificial grouping classes, allowing `SemiDetachedHouse` to be directly associated with its parking options.
2. Complexity: Model 1 over-engineers the solution to the XOR parking constraint by creating three intermediate conceptual classes not present in the domain (`ParkingFacility`, `CarportParking`, `GarageParking`). Model 2 correctly handles this with a simple constraint note, remaining faithful to the instructions that not every concept needs to become a class.
3. Practicability: Model 2 accurately models the real-world domain where companies can work on multiple houses (`*` to `*`), whereas Model 1 strictly restricts a `Company` to a single `House` (`1` to `1..*`). Model 2 provides a more sensible, readable, and practical blueprint for implementation.
4. Overall judgment: Model 2 is the superior choice. It avoids unnecessary complexity while remaining perfectly faithful to all domain constraints, effectively leveraging UML notes. It also models the multiplicities between houses and companies in a much more practical and accurate way.</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</si>
  <si>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</si>
  <si>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5; Evidence: Both models adequately separate the main concepts into classes (e.g., `House`, `Company`, `Basement`). However, Model 2 achieves slightly better decoupling by introducing the `ParkingFacility` abstraction, which decouples the `SemiDetachedHouse` from directly managing the XOR constraint between `Carport` and `Garage`.
2. Complexity: Model 1 = 5, Model 2 = 4; Evidence: Model 1 keeps the class count strictly aligned with the nouns in the text (9 classes, 1 enum). Model 2 introduces three additional conceptual classes (`ParkingFacility`, `CarportParking`, `GarageParking`) to model the constraints, slightly increasing the complexity and depth of the inheritance tree, though arguably for a good architectural reason.
3. Practicability: Model 1 = 4, Model 2 = 5; Evidence: Model 1 relies on a note to enforce the XOR constraint ("Has either exactly two Carports or exactly one Garage"), which leaves room for invalid software states if not manually programmed. Model 2 translates this constraint into a robust structural pattern using polymorphism (`CarportParking *-- "2" Carport` vs `GarageParking *-- "1" Garage`), which makes it impossible to represent an invalid state (e.g., having both a carport and a garage) in object-oriented code. This heavily supports robust testing strategies and practical implementation.
Total: Model 1 = 13, Model 2 = 14
Choice: B
Reason:
1. Cohesion and Decoupling: Model 2 provides a more cohesive approach to the parking choices by encapsulating them under a `ParkingFacility` hierarchy, whereas Model 1 links the specific parking types directly to `SemiDetachedHouse`.
2. Complexity: Model 1 is simpler and maps directly to the domain text, whereas Model 2 introduces a few wrapper classes. While slightly more complex, Model 2's added structure serves a concrete structural purpose. 
3. Practicability: Model 2 is exceptional in its practicability. By using intermediate wrapper classes and polymorphism, it structurally enforces the strict requirement ("either exactly two carports or a garage"). Model 1's reliance on a text note is less robust for actual software implementation and testing, as it cannot be automatically enforced by standard object-oriented type systems. Both models accurately capture the `JobLog` / `Job` mechanism to track hours and price.
4. Overall judgment: Model 2 is slightly better overall because its object-oriented design naturally enforces a complex domain constraint (XOR between parking types and precise multiplicities), resulting in a more robust and practical blueprint for implementation compared to Model 1's note-based approach.</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</si>
  <si>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</si>
  <si>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Requirements Alignment: Model 1 = 5, Model 2 = 2; Evidence: Model 1 captures all functionalities, including the specific building materials (via an enum), the exact "two carports or a garage" rule (via a polymorphic `ParkingFacility` structure and exact multiplicities `2` and `1`), and the job log linking both a `House` and a `Company`. Model 2 misses the constraint on building materials (using a plain String), fails to enforce the XOR or cardinalities for carports and garages, and associates `JobLog` only with `Company` (losing the context of which `House` the job was carried out in).
2. Conceptual Classes and Relationships: Model 1 = 5, Model 2 = 2; Evidence: Model 1 correctly uses inheritance (`House` &lt;|-- `SemiDetachedHouse`, `Basement` &lt;|-- `EarthBasement`), composition for basements (`0..1`), and creates a `Job` class associating `House` and `Company`. Model 2 uses unconstrained aggregations (`o--`) without multiplicities for basements, carports, garages, and companies, failing to model cardinalities entirely.
Total: Model 1 = 10, Model 2 = 4
Choice: A
Reason:
1. Requirements Alignment: Model 1 strictly aligns with the requirements. It explicitly models the building materials using an enumeration, whereas Model 2 uses a basic String. Model 1 accurately captures the complex requirement that a semi-detached house has either two carports or a garage by abstracting a `ParkingFacility` with specific subclasses and multiplicities (`2` for `Carport`, `1` for `Garage`). Model 2 merely adds unconstrained associations to both `Carport` and `Garage`, failing to represent the "either/or" or the strict "two carports" constraint.
2. Conceptual Classes and Relationships: Model 1 represents the job log efficiently by associating `Job` with both `House` and `Company`, perfectly satisfying the requirement: "Whenever a company carries out a job in a house". Model 2 associates `JobLog` only with `Company`, losing the crucial relationship to the `House`. Additionally, Model 1 includes the precise multiplicities required by the domain (e.g., `0..1` for `Basement`), while Model 2 completely omits multiplicities.
3. Rejected or checked issues: Model 1's inclusion of a `jobDate` attribute in `Job` and the `ParkingFacility` intermediate classes are not penalized as hallucinations; they are necessary, transparent refinements to model the complex XOR constraint and real-world event logging required by the prompt.
4. Overall judgment: Model 1 provides a highly accurate, precise, and well-constrained UML representation of the requirements. Model 2 is severely lacking in multiplicities, relationship precision, and crucial domain logic, making Model 1 unequivocally better.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</si>
  <si>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</si>
  <si>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Requirements (Domain Modeling): Model 1 = 2, Model 2 = 5; Evidence: Model 1 defines basic classes but fails to capture the "exactly two carports or a garage" XOR constraint, misses the restricted set of building materials, and incorrectly models `JobLog` as only connected to `Company` without linking it to the `House`. Model 2 explicitly models the material constraint with an Enum (`BuildingMaterial`), brilliantly captures the XOR constraint by introducing an intermediate `ParkingFacility` superclass with two subclasses (`CarportParking` and `GarageParking`), and correctly links `Job` to both `House` and `Company`.
2. Class definitions and attributes: Model 1 = 4, Model 2 = 5; Evidence: Both models capture the required attributes for `House`, `Basement`, `SemiDetachedHouse`, `Carport`, `Garage`, `Company`, and the job log. Model 2 is slightly more robust by using an Enum for the exact building materials (WOOD, BRICK, CONCRETE) as specified in the prompt.
3. Associations, Multiplicities, and Relationships: Model 1 = 1, Model 2 = 5; Evidence: Model 1 completely omits all multiplicities (e.g., missing the `0..1` for basement, exactly `2` for carports, and `1` for garage) and uses weak aggregations everywhere. Model 2 provides accurate multiplicities throughout: `House *-- "0..1" Basement`, `SemiDetachedHouse *-- "1" ParkingFacility`, `CarportParking *-- "2" Carport`, and `GarageParking *-- "1" Garage`. It also properly models the `Job` log as having explicit many-to-one associations to both `House` and `Company`.
Total: Model 1 = 7, Model 2 = 15
Choice: B
Reason:
1. Alignment with Requirements (Domain Modeling): Model 2 is highly accurate in representing the business logic. It handles the complex "either two carports or a garage" requirement creatively and accurately using an inheritance tree for a `ParkingFacility` concept, whereas Model 1 just aggregates both without constraints. Model 2 also properly connects the `Job` log to both the company and the house, which is essential to track where a job was done. Model 1 only connects `JobLog` to `Company`, losing the context of the house entirely.
2. Class definitions and attributes: Model 2 perfectly restricts the building materials using an Enum (`BuildingMaterial {WOOD, BRICK, CONCRETE}`), whereas Model 1 just uses a generic String.
3. Associations, Multiplicities, and Relationships: Model 2 includes precise and correct multiplicities (`0..1` for basements, exactly `2` for carports, `1..*` for servicing companies) which are strictly demanded by the prompt. Model 1 omits multiplicities entirely, leaving the exact structural constraints ambiguous.
4. Overall judgment: Model 2 is vastly superior because it faithfully models all the nuanced constraints (multiplicities, XOR relationships, ternary-like association resolution for the job log, and enumerations for material), while Model 1 is a very simplistic interpretation lacking structural integrity.</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</si>
  <si>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</si>
  <si>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Both models correctly identify the core domain classes like House, Basement, EarthBasement, SemiDetachedHouse, etc. Model 1 introduces intermediate conceptual classes (`ParkingFacility`, `CarportParking`, `GarageParking`) to elegantly resolve the "either two carports or a garage" constraint. Model 2 captures the basic classes but does not conceptualize the job log as a link between House and Company, missing a part of the domain concept.
2. Associations/Multiplicities between classes for domain reasoning: Model 1 = 5, Model 2 = 2; Evidence: Model 1 provides excellent associations and multiplicities, correctly modeling "0..1" for the basement, "2" for carports, and resolving the XOR constraint using polymorphism. It also correctly links `Job` to both `House` and `Company`. Model 2 is completely missing multiplicities. It fails to model the XOR constraint (allowing a SemiDetachedHouse to have both carports and a garage indefinitely), misses the "exactly two" carports rule, and links `JobLog` only to `Company` via aggregation, losing the connection to `House`.
3. Model attributes with appropriate data types: Model 1 = 5, Model 2 = 4; Evidence: Both models include the required attributes. Model 1 correctly models the closed list of building materials (wood, brick, concrete) as an Enum and uses numeric types for size. Model 2 uses `String` for both `buildingMaterial` and `size`, which is acceptable but slightly less precise than Model 1.
4. Consistencies of Terminology with given context: Model 1 = 5, Model 2 = 5; Evidence: Both models use terminology fully consistent with the provided domain text (e.g., `SemiDetachedHouse`, `humidityLevel`, `isDouble`, `hasFlatRoof`). 
5. Adherence of UML class diagram standards: Model 1 = 5, Model 2 = 4; Evidence: Both models use valid PlantUML syntax. Model 1 perfectly adheres to UML modeling standards with well-defined multiplicities and relationships. Model 2's omission of all multiplicities reduces its strict adherence to thorough UML modeling standards for class diagrams.
Total: Model 1 = 25, Model 2 = 19
Choice: A
Reason:
1. Appropriate conceptual classes aligned with the domain: Model 1 successfully conceptualizes the relationship between the house, the company, and the job log, whereas Model 2 simply attaches the job log to the company. Model 1 also introduces brilliant helper classes to model the XOR parking constraint.
2. Associations/Multiplicities between classes for domain reasoning: This is where Model 1 vastly outperforms Model 2. Model 1 accurately applies all business rules (e.g., exactly two carports, 0..1 basement, linking jobs to both houses and companies). Model 2 lacks all multiplicities and fails to capture the "either/or" constraint for garages and carports.
3. Model attributes with appropriate data types: Model 1 uses an enumeration for the building material to strictly enforce the "wood, brick, or concrete" rule, whereas Model 2 just uses a generic String.
4. Overall judgment: Model 1 is a highly accurate, fully featured UML class diagram that elegantly handles complex domain constraints (multiplicities, closed lists, and XOR parking situations). Model 2 is an incomplete draft that misses all multiplicities and several structural relationships. Therefore, Model 1 is significantly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</si>
  <si>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</si>
  <si>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4, Model 2 = 5; Evidence: Model 1 correctly identifies most domain classes but fails to conceptually model the `JobLog` as a link between `House` and `Company`. Model 2 introduces a `BuildingMaterial` enum to capture the specific types (wood, brick, concrete) and elegantly uses an abstract `ParkingFacility` class with subclasses to handle the complex parking logic, while modeling `Job` appropriately.
2. Associations/Multiplicities between classes for domain reasoning: Model 1 = 2, Model 2 = 5; Evidence: Model 1 completely lacks multiplicities, misses the constraint of having either a garage or two carports, and leaves `JobLog` connected only to `Company` rather than linking `Company` and `House`. Model 2 accurately includes multiplicities (e.g., `"0..1" Basement`, `"2" Carport`, `"1" Garage`) and connects the `Job` class to both `Company` and `House`, successfully resolving the either-or parking requirement via inheritance.
3. Model attributes with appropriate data types: Model 1 = 4, Model 2 = 5; Evidence: Both models identify the required attributes and provide logical data types. Model 2 is slightly superior because it models `buildingMaterial` as a custom Enum (`WOOD`, `BRICK`, `CONCRETE`) explicitly derived from the text, whereas Model 1 just uses a `String`. 
4. Consistencies of Terminology with given context: Model 1 = 5, Model 2 = 5; Evidence: Both models use terms drawn directly from the prompt (e.g., `EarthBasement`, `SemiDetachedHouse`, `Carport`, `agreedPrice`). Model 2's addition of `ParkingFacility` represents an appropriate logical abstraction rather than an inconsistency.
5. Adherence of UML class diagram standards: Model 1 = 4, Model 2 = 5; Evidence: Both diagrams form valid PlantUML. Model 1 is syntactically fine but omits essential standard features like multiplicities. Model 2 uses standard composition, generalization, directional associations, and multiplicities correctly.
Total: Model 1 = 19, Model 2 = 25
Choice: B
Reason:
1. Appropriate conceptual classes: Model 2 uses an enumeration for building materials to constrain the choices as specified in the prompt, whereas Model 1 just uses a generic String. Model 2 also correctly identifies that a Job (JobLog) must conceptually associate a House and a Company.
2. Associations/Multiplicities: Model 1 omits all multiplicities, making it impossible to evaluate the constraints of having exactly 2 carports or exactly 1 garage, or the optionality of basements. Model 2 uses clever generalization (`ParkingFacility`) combined with composition multiplicities to strictly enforce the "either two carports or a garage" rule, and it explicitly links `Job` to both `House` and `Company`.
3. UML standards and Attributes: Model 2 displays a complete, professional grasp of UML notation, leveraging role names, multiplicities, compositions, and enumerations without violating any standards.
4. Overall judgment: Model 2 is vastly superior because it successfully tackles the hard constraints (the XOR relationship between garages and carports, the exact multiplicities, the intermediate Job tracking) that Model 1 completely ignores. Model 1 is severely limited by its lack of multiplicities and improper modeling of the job log relationship.</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</si>
  <si>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</si>
  <si>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correctly links the `Job` class to both `House` (`Job --&gt; "1" House`) and `Company` (`Job --&gt; "1" Company`), capturing the event decoupling. Model 2 incorrectly aggregates `JobLog` only under `Company` (`Company o-- JobLog`), failing to couple the job to the specific `House`.
2. Complexity: Model 1 = 5, Model 2 = 3; Evidence: Model 1 introduces intermediate conceptual classes (`ParkingFacility`, `CarportParking`, `GarageParking`) to explicitly capture the "either two carports or a garage" constraint with multiplicities (`*-- "2" Carport`, `*-- "1" Garage`). Model 2 has fewer classes but ignores this complexity entirely, simply using `SemiDetachedHouse o-- Carport` and `SemiDetachedHouse o-- Garage` without multiplicities or XOR logic.
3. Practicability: Model 1 = 5, Model 2 = 3; Evidence: Model 1 is highly practical, employing an enum for `BuildingMaterial` to enforce the restricted values (WOOD, BRICK, CONCRETE) and specifying accurate multiplicities across associations. Model 2 uses generic `String` for material and relies entirely on basic aggregations (`o--`) without multiplicities, leaving implementation constraints ambiguous.
Total: Model 1 = 15, Model 2 = 9
Choice: A
Reason:
1. Cohesion and Decoupling: Model 1 appropriately models the association between a company, a house, and the job performed by creating a central `Job` class linked to both `House` and `Company`. Model 2 leaves the `House` entirely out of the `JobLog` association, breaking the necessary linkage for the domain logic.
2. Complexity: Model 1 intelligently handles the complex "either two carports or a garage" requirement by utilizing polymorphism (`ParkingFacility` subclasses), which is a robust way to model XOR constraints in UML. Model 2 avoids this complexity but fails to meet the requirement.
3. Practicability: Model 1 provides a much more implementable blueprint. It uses an enum to strictly define building materials, whereas Model 2 uses a plain String. Furthermore, Model 1 includes clear multiplicities and types, whereas Model 2 relies on generic, unquantified aggregations that do not clearly guide developers.
4. Overall judgment: Model 1 is significantly better because it captures the nuance of the requirements—including the XOR parking constraint, restricted building materials, and the ternary nature of job logs—resulting in a precise and highly practical design. Model 2 is overly simplistic and misses key relationships and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</si>
  <si>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</si>
  <si>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5; Evidence: Model 1 couples `JobLog` only to `Company` (`Company o-- JobLog`), failing to link the job to the specific `House`. Model 2 handles this properly by making `Job` associate with both `House` and `Company`. Additionally, Model 2 decouples the complex parking constraint using a polymorphic `ParkingFacility` structure, whereas Model 1 directly couples `SemiDetachedHouse` to both `Carport` and `Garage`.
2. Complexity: Model 1 = 3, Model 2 = 5; Evidence: Model 1 uses raw strings for `buildingMaterial` and ignores structural constraints, making it overly simplistic. Model 2 introduces an Enum `BuildingMaterial` (WOOD, BRICK, CONCRETE) and specific structural classes (`ParkingFacility`, `CarportParking`, `GarageParking`) which perfectly encapsulate the complex "either two carports or a garage" requirement without violating UML semantics.
3. Practicability: Model 1 = 2, Model 2 = 5; Evidence: Model 1 omits all multiplicities (e.g., missing the exact `2` for carports or `0..1` for basement) and provides no way to enforce the XOR parking rule. Model 2 is highly practical and implementable, specifying precise multiplicities (`SemiDetachedHouse *-- "1" ParkingFacility`, `CarportParking *-- "2" Carport`, `House *-- "0..1" Basement`) and correctly modeling the `Job` log relationship.
Total: Model 1 = 8, Model 2 = 15
Choice: B
Reason:
1. Cohesion and Decoupling: Model 2 properly links the `Job` (job log) to both the `Company` performing it and the `House` where it occurs. Model 1 incorrectly attaches `JobLog` only to `Company`, completely losing the context of the house.
2. Complexity: Model 2 introduces intermediate concepts like `ParkingFacility` to enforce an "XOR" relationship logically (either a garage or two carports). This added complexity is fully justified by the domain requirement. It also properly restricts building materials using an Enum, whereas Model 1 uses a generic String.
3. Practicability: Model 2 defines explicit and accurate multiplicities throughout the diagram, which are crucial for actual implementation and testing. Model 1 lacks all multiplicities, making it impossible to validate constraints like "exactly two carports".
4. Overall judgment: Model 2 is an excellent representation of the requirements. It effectively uses object-oriented design patterns to solve structural constraints (the XOR parking situation) and accurately captures all relationships and multiplicities required by the prompt. Model 1 is incomplete and semantically weak. Therefore, Model 2 is substantially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</si>
  <si>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</si>
  <si>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and Associations: Model 1 = 5, Model 2 = 2; Evidence: Model 1 includes cardinalities (e.g., `0..1` for Basement, `0..2` for Carport) and perfectly associates `JobLog` with both `House` and `Company` to represent the job log constraint. It uses a note to capture the XOR constraint for Carports and Garages. Model 2 lacks cardinalities entirely, uses semantically incorrect aggregations (e.g., `House o-- Company`), and fails to link `JobLog` to `House` (it only aggregates it to `Company`).
Total: Model 1 = 5, Model 2 = 2
Choice: A
Reason:
1. Alignment with Requirements and Associations: Model 1 correctly captures all attributes, exact multiplicities, and complex constraints outlined in the prompt (e.g., using an enumeration for building materials, using a note to capture the "either two carports or a garage" constraint). It properly models `JobLog` as an associative entity linked to both `House` and `Company`. Model 2, on the other hand, misses all cardinalities. It also uses incorrect relationship types, such as defining `Company` as an aggregation of `House` (`House o-- Company`), which makes no semantic sense. Additionally, Model 2 completely misses the link between `JobLog` and `House`, which is critical for recording "whenever a company carries out a job in a house".
2. Overall judgment: Model 1 provides a highly accurate, complete, and semantically sound UML class diagram that strictly adheres to the requirements. Model 2 struggles with basic UML semantics and misses significant constraints and cardinalities. Therefore, Model 1 is far superior.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</si>
  <si>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</si>
  <si>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 Alignment and Attributes: Model 1 = 3, Model 2 = 5; Evidence: Both models include the required classes and attributes. However, Model 2 strictly aligns with the closed list of building materials by using an enum `BuildingMaterial (WOOD, BRICK, CONCRETE)`, while Model 1 just uses a generic `String`. Model 2 also correctly includes all specified attributes with appropriate types.
2. Relationships and Cardinalities: Model 1 = 2, Model 2 = 5; Evidence: Model 1 entirely misses cardinalities (e.g., exactly two carports or one garage, optional basement) and fails to link `JobLog` to `House` (it only aggregates `JobLog` under `Company`, losing the information of *which* house the job was for). Model 2 includes precise cardinalities (`0..1` for Basement, `0..2` for Carport, `0..1` for Garage), uses a note to enforce the XOR constraint between Carports and Garages, and correctly links `JobLog` to both `House` and `Company` to represent the job event.
Total: Model 1 = 5, Model 2 = 10
Choice: B
Reason:
1. Requirement Alignment and Attributes: Model 2 is superior because it captures the specific types of building materials using an enumeration, exactly as constrained by the prompt ("wood, brick, or concrete"). Model 1 uses a less restrictive String.
2. Relationships and Cardinalities: Model 2 excels by providing explicit and accurate multiplicities throughout the diagram. It correctly handles the complex constraint for `SemiDetachedHouse` having either two carports or a garage by using multiplicities and a clarifying note. Crucially, Model 2 associates `JobLog` with both `Company` and `House`, accurately reflecting that a job is carried out by a company *in a house*. Model 1 omits all cardinalities and fails to link `JobLog` to `House`, which breaks the core requirement of tracking where a job was done.
3. Overall judgment: Model 2 is significantly better due to its comprehensive use of multiplicities, accurate relationship modeling for the job logs, and better attribute typing (Enum). Model 1 is incomplete in its relational mapping and lacks cardinalities.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</si>
  <si>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</si>
  <si>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Both models identify the core classes (House, Basement, SemiDetachedHouse, Carport, Garage, Company, JobLog). Model 1 explicitly models `BuildingMaterial` as an enumeration representing the specific options (wood, brick, concrete), which perfectly aligns with the domain constraint, while Model 2 just uses a generic `String`.
2. Associations/Multiplicities between classes for domain reasoning: Model 1 = 5, Model 2 = 2; Evidence: Model 1 correctly captures the multiplicities, including a `0..1` to `Basement`, and models the complex constraint "either exactly two carports or a garage" using multiplicities (`0..2`, `0..1`) and a descriptive note. Model 1 also properly models `JobLog` as a relationship between `House` and `Company`. Model 2 completely omits all multiplicities and wrongly uses aggregation (`o--`) for all associations, notably failing to link `JobLog` to `House` (it only links it to `Company`).
3. Model attributes with appropriate data types: Model 1 = 5, Model 2 = 3; Evidence: Model 1 uses an Enum for `buildingMaterial`, `float` for `size`, and captures all required attributes. Model 2 uses `String` for `buildingMaterial` and inexplicably uses `String` for `size` (which represents a physical measurement).
4. Consistencies of Terminology with given context: Model 1 = 5, Model 2 = 5; Evidence: Both models use terminology perfectly aligned with the prompt (e.g., EarthBasement, humidityLevel, hasAutomaticDoor).
5. Adherence of UML class diagram standards: Model 1 = 5, Model 2 = 3; Evidence: Model 1 follows standard PlantUML syntax, inheritance, and association notations with proper multiplicities. Model 2 abuses the aggregation notation (`o--`) for relations where it does not make semantic sense (e.g., `House o-- Company`) and ignores multiplicities entirely, weakening the diagram's comprehensibility.
Total: Model 1 = 25, Model 2 = 17
Choice: A
Reason:
1. Associations/Multiplicities: Model 1 captures the structural constraints of the domain beautifully, providing correct multiplicities and an explicit note for the XOR condition between Carports and Garages. It also successfully represents the `JobLog` as tying together a `Company` and a `House`. Model 2 is completely missing multiplicities and fails to connect `JobLog` to `House`.
2. Attributes and Data Types: Model 1 uses an enumeration for the strictly defined building materials, which restricts the values properly. Model 2 relies on an unconstrained String and poorly assigns a String type to a quantitative property like basement `size`.
3. UML Standards: Model 2 misuses aggregation for basic associations (like between a House and a Company), whereas Model 1 strictly adheres to conventional and semantically correct relationship lines.
4. Overall judgment: Model 1 is far superior due to its accurate associations, enforcement of domain rules through multiplicities and notes, and correct usage of enumerations and data types. Model 2 is incomplete and semantically weak due to its lack of multiplicities and misuse of aggregation.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</si>
  <si>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</si>
  <si>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4, Model 2 = 5; Evidence: Both models correctly identify the core domain classes (`House`, `Basement`, `SemiDetachedHouse`, `Carport`, `Garage`, etc.). Model 2 goes a step further by accurately modeling `BuildingMaterial` as an enumeration (`WOOD`, `BRICK`, `CONCRETE`) based on the explicitly stated options, whereas Model 1 just uses a generic `String`.
2. Associations/Multiplicities between classes for domain reasoning: Model 1 = 2, Model 2 = 5; Evidence: Model 1 completely omits multiplicities, failing to capture critical domain rules like "exactly two carports or a garage" or "a house may have a basement" (0..1). Additionally, Model 1 links `JobLog` only to `Company`, missing the association to `House` (since a job is carried out "in a house"). Model 2 correctly applies multiplicities (`0..1` for Basement, `0..2` for Carports, `0..1` for Garage), uses an intermediate `JobLog` class connected to both `House` and `Company`, and includes a note to enforce the XOR constraint for Carports/Garages.
3. Model attributes with appropriate data types: Model 1 = 4, Model 2 = 5; Evidence: Both models assign appropriate attributes. Model 1 uses `String` for the `size` of the basement, which is acceptable but less precise than Model 2's `float`. Model 2 also correctly types `buildingMaterial` with the custom enum.
4. Consistencies of Terminology with given context: Model 1 = 5, Model 2 = 5; Evidence: Both models use terminology perfectly aligned with the prompt (e.g., `hasAutomaticDoor`, `humidityLevel`, `agreedPrice` vs `price`).
5. Adherence of UML class diagram standards: Model 1 = 4, Model 2 = 5; Evidence: Model 1 has no syntactic errors but uses loose aggregations (`o--`) without any multiplicities, which limits the expressive power of the diagram. Model 2 uses standard bidirectional associations with explicitly defined multiplicities and standard inheritance notations, fully adhering to UML best practices.
Total: Model 1 = 19, Model 2 = 25
Choice: B
Reason:
1. Appropriate conceptual classes: Model 2 is stronger because it defines an enum for `BuildingMaterial`, explicitly capturing the restricted choices (wood, brick, or concrete) outlined in the requirements. 
2. Associations/Multiplicities: Model 1 fails to model any multiplicities, completely missing vital domain constraints. Furthermore, Model 1 fails to associate `JobLog` with `House`, breaking the requirement that a job log records work done by a company *in a house*. Model 2 flawlessly models the connections, treating `JobLog` as an intermediate entity linking `House` and `Company`, and specifies the exact multiplicities alongside an explanatory note for the exclusive "carport or garage" constraint.
3. Attributes: Model 2 uses more precise data types (e.g., `float` for size rather than `String`) and integrates the enum perfectly. 
4. Overall judgment: Model 2 is significantly better as it captures the complete structure of the domain, including the ternary relationship represented by `JobLog` and all quantitative constraints through accurate multiplicities, whereas Model 1 lacks multiplicities entirely and misplaces the `JobLog` relationship.</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</si>
  <si>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</si>
  <si>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3; Evidence: Model 1 correctly decouples the many-to-many relationship between `House` and `Company` by linking the `JobLog` to both entities (`House "1" -- "*" JobLog`, `Company "1" -- "*" JobLog`). Model 2 links `JobLog` only to `Company` (`Company o-- JobLog`), failing to associate the job log with the specific house where the work was carried out, which reduces cohesion.
2. Complexity: Model 1 = 5, Model 2 = 4; Evidence: Both models identify the correct conceptual classes without introducing unnecessary entities. Model 1 explicitly captures the restricted building materials using an enumeration (`enum BuildingMaterial { WOOD, BRICK, CONCRETE }`), whereas Model 2 loosely defines it as a `String`. 
3. Practicability: Model 1 = 5, Model 2 = 2; Evidence: Model 1 is highly practical as it includes explicit multiplicities (`0..1`, `0..2`) and uses a note to capture the complex business rule for `SemiDetachedHouse` ("Has either exactly two Carports or exactly one Garage"). Model 2 completely omits multiplicities and fails to represent the XOR constraint between carports and garages, making it an incomplete blueprint for real-world implementation.
Total: Model 1 = 15, Model 2 = 9
Choice: A
Reason:
1. Cohesion and Decoupling: Model 1 handles the relationship between `House`, `Company`, and `JobLog` much better by explicitly linking the job log to both the house and the servicing company. Model 2 fails to associate `JobLog` with `House`, losing critical domain information.
2. Complexity: Both models keep the class counts reasonable and aligned with the requirements. Model 1's use of an enumeration for the building material accurately enforces the specified domain constraints (wood, brick, concrete) without overcomplicating the design.
3. Practicability: Model 1 provides a complete and readable structure with accurate multiplicities. It successfully addresses the strict constraint of having either two carports or one garage using a note and appropriate multiplicities. Model 2 omits all multiplicities and the XOR constraint entirely, making it too vague for practical implementation.
4. Overall judgment: Model 1 is significantly better because it accurately translates all business rules into the UML notation, captures the ternary-like nature of the job log, and enforces structural constraints (multiplicities, XOR rule, and enums) that Model 2 completely misses.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</si>
  <si>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</si>
  <si>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3, Model 2 = 5; Evidence: Model 1 links `JobLog` only to `Company` (`Company o-- JobLog`), decoupling it completely from `House`, which means the system cannot track which house a job was performed on. Model 2 correctly associates `JobLog` with both `House` and `Company` (`House "1" -- "*" JobLog` and `Company "1" -- "*" JobLog`), maintaining high cohesion for the job logging requirement.
2. Complexity: Model 1 = 4, Model 2 = 5; Evidence: Both models identify the correct conceptual classes without overcomplicating the design. However, Model 2 uses a `BuildingMaterial` Enum (WOOD, BRICK, CONCRETE) to elegantly handle the constrained material types mentioned in the requirement, whereas Model 1 just uses a `String`. Model 2 also correctly marks `Basement` as an abstract class.
3. Practicability: Model 1 = 3, Model 2 = 5; Evidence: Model 2 is highly practical as it includes explicit multiplicities (e.g., `House "1" -- "0..1" Basement`) and a note clarifying the strict XOR constraint ("Has either exactly two Carports or exactly one Garage") on `SemiDetachedHouse`. Model 1 is completely missing multiplicities and constraints, making the diagram too vague for direct implementation.
Total: Model 1 = 10, Model 2 = 15
Choice: B
Reason:
1. Cohesion and Decoupling: Model 2 correctly models the associative nature of `JobLog` by linking it to both `Company` and `House`. Model 1 fails to link `JobLog` to `House`, rendering the log practically useless for tracking house-specific jobs.
2. Complexity: Both models accurately capture the entities without bloated classes. Model 2 improves upon Model 1 by utilizing an Enum for `BuildingMaterial`, appropriately handling the strict constraint of "wood, brick, or concrete" without introducing heavy architectural complexity. 
3. Practicability: Model 2 provides a much clearer blueprint for development. It incorporates precise multiplicities to enforce rules like a house having at most one basement (`0..1`), and uses a UML note to explicitly enforce the "either two carports or a garage" constraint. Model 1 lacks all multiplicities, providing insufficient detail for real-world programming and testing.
4. Overall judgment: Model 2 is significantly better. It captures the complex relationships (such as the job log between a company and a house) accurately, uses appropriate data types (Enum), and clearly defines structural constraints and multiplicities that Model 1 completely omits.</t>
  </si>
  <si>
    <t>SellingGoods</t>
  </si>
  <si>
    <t>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</si>
  <si>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</si>
  <si>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 Alignment: Model 1 = 3, Model 2 = 5; Evidence: Model 1 fails to model the payment timing choice introduced in Step 3 ("choose to pay the invoice directly... or after") and misses the "missing" and "damaged" statuses required in Step 4. Model 2 accurately captures these with the `PaymentTiming` enum and by including `MISSING` and `DAMAGED` in the `ShipmentStatus` enum.
2. Classes, Relationships, and Clarity: Model 1 = 3, Model 2 = 5; Evidence: Step 4 explicitly mentions "partial deliveries of one or more order lines are possible." Model 1 links `Shipment` directly to `OrderLine` (`Shipment "1" o-- "1..*" OrderLine`), lacking a way to specify the shipped quantity for a partial order line delivery. Model 2 correctly resolves this by introducing a `ShipmentLine` class with a `shippedQuantity` attribute, mapping accurately to `OrderLine`. 
Total: Model 1 = 6, Model 2 = 10
Choice: B
Reason:
1. Requirement Alignment: Model 2 strictly follows the evolving requirements through all steps. It correctly captures the payment timing preference (Step 3) and the missing/damaged shipment states (Step 4), both of which are entirely omitted in Model 1.
2. Classes, Relationships, and Clarity: Model 2 provides a more robust and semantically accurate domain model for shipments. By using `ShipmentLine` to bridge `Shipment` and `OrderLine`, Model 2 successfully accommodates the requirement that an order line can be partially delivered across multiple shipments. Model 1's direct aggregation between `Shipment` and `OrderLine` fails to track how many items of an order line are in a specific shipment.
3. Rejected or checked issues: Both models correctly separate the head office address and delivery warehouse addresses. Model 1's use of composition (`*--`) and aggregation (`o--`) is syntactically fine, but the lack of domain-accurate classes (`ShipmentLine`) makes it semantically weaker. Model 2's use of plain associations is perfectly valid and does not incur any penalties.
4. Overall judgment: Model 2 is significantly better because it captures crucial business rules and edge cases explicitly stated in the requirements (payment timing, delivery failure states, partial order line shipments) that Model 1 overlooks.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</si>
  <si>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</si>
  <si>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Requirements: Model 1 = 5, Model 2 = 3; Evidence: Model 1 includes `MISSING` and `DAMAGED` in its `ShipmentStatus` enum and uses `PaymentTiming` in `Order` to capture when the customer chooses to pay. Model 1 also correctly models partial shipments of grouped order lines by introducing `ShipmentLine` with a `shippedQuantity`, linking back to `OrderLine`. Model 2 misses the "missing or damaged" requirement in its `ShipmentStatus` enum, lacks a way to capture the chosen payment timing, and links `Shipment` directly to `OrderLine` (`Shipment "1" o-- "1..*" OrderLine`), which fails to capture the specific quantity shipped per delivery when an order line is partially shipped.
Total: Model 1 = 5, Model 2 = 3
Choice: A
Reason:
1. Strict Alignment with Requirements: Model 1 successfully captures all iterative requirements through Step 4. It explicitly models the delivery statuses requested in Step 4 ("missing or damaged") by including `MISSING` and `DAMAGED` in the `ShipmentStatus` enum, whereas Model 2 overlooks them. 
Model 1 also accurately accommodates the complex requirement of shipping a group of order lines while allowing partial deliveries of a single order line. It does this by creating a `ShipmentLine` with a `shippedQuantity` that links many-to-one to an `OrderLine`. Model 2 directly aggregates `OrderLine` into `Shipment`, which means it cannot specify how many items of a particular order line are in a specific shipment if it is partially shipped. 
Finally, Model 1 captures the Step 3 requirement that customers can choose their payment timing ("directly when they place the order, or after the order has been delivered") by including a `PaymentTiming` enum and attribute on `Order`. Model 2 only records the `paidDate` and does not track the customer's chosen timing option.
2. Rejected or checked issues: Model 2 introduces a `Warehouse` class while Model 1 reuses the `Address` class with a `deliveryWarehouses` association role. Both are valid semantic choices for modeling the delivery locations required in Step 3 and neither was penalized.
3. Overall judgment: Model 1 is substantially better because it successfully models all the nuances of the evolving requirements, particularly the handling of partial quantities in grouped shipments, payment timing choices, and the specific delivery issue tracking statuses. Model 2 leaves out several of these key details.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</si>
  <si>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</si>
  <si>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2 includes `PaymentTiming` to capture the Step 3 requirement ("choose to pay the invoice directly when they place the order, or after the order has been delivered") and `ShipmentLine` for Step 4 ("partial deliveries of one or more order lines are possible"). Model 1 is missing these conceptual representations.
2. Associations/Multiplicities between classes for domain reasoning: Model 1 = 3, Model 2 = 5; Evidence: Model 1 models `Shipment "1" o-- "1..*" OrderLine`, which forces an `OrderLine` to belong to exactly one `Shipment`, contradicting the Step 4 allowance for partial deliveries of order lines. Model 2 uses `ShipmentLine` to bridge `Shipment` and `OrderLine` (`ShipmentLine "0..*" -- "1" OrderLine`), correctly allowing an order line to be fulfilled across multiple shipments.
3. Model attributes with appropriate data types: Model 1 = 3, Model 2 = 5; Evidence: Model 2 includes `paymentTiming` in `Order` and explicitly adds `MISSING` and `DAMAGED` to `ShipmentStatus` as requested in Step 4 to track problematic deliveries. Model 1 misses the payment timing attribute and only lists `PACKED`, `SHIPPED`, and `RECEIVED` for shipment status.
4. Consistencies of Terminology with given context: Model 1 = 4, Model 2 = 5; Evidence: Both models use context-appropriate terminology. Model 2 slightly edges out by including exact terminology for missing and damaged shipments, and payment timing.
5. Adherence of UML class diagram standards: Model 1 = 5, Model 2 = 5; Evidence: Both models use proper PlantUML syntax, valid class definitions, proper enums, and correct association representations without syntax errors.
Total: Model 1 = 18, Model 2 = 25
Choice: B
Reason:
1. Conceptual Classes &amp; Attributes: Model 2 successfully incorporates the evolving requirements from Steps 3 and 4, specifically by introducing `PaymentTiming` for the customer's choice of when to pay, and adding `MISSING` and `DAMAGED` to the `ShipmentStatus` enum to address the delivery issues described in the prompt. Model 1 omits these details.
2. Domain Reasoning &amp; Associations: Step 4 explicitly notes that "partial deliveries of one or more order lines are possible." Model 2 elegantly solves this by introducing a `ShipmentLine` class with its own `shippedQuantity`, allowing a single `OrderLine` to be fulfilled by multiple shipments. Model 1 connects `Shipment` directly to `OrderLine` with a "1" multiplicity on the shipment side, making it impossible to split an order line across multiple shipments.
3. Overall Judgment: Model 2 is much more robust and faithfully responds to the iterative requirements provided in the prompt. It handles partial line fulfillments, payment timing, and delivery problem tracking, whereas Model 1 overlooks several of these constraints. Therefore, Model 2 is the better response.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</si>
  <si>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</si>
  <si>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a `ShipmentLine` class, which elegantly solves the requirement that "partial deliveries of one or more order lines are possible" while shipping in groups. Model 2 uses a `Warehouse` class for delivery addresses, which is acceptable, but it lacks an intermediate class to track partial order line quantities per shipment.
2. Associations/Multiplicities between classes for domain reasoning: Model 1 = 5, Model 2 = 4; Evidence: Model 1 correctly links `ShipmentLine` to both `Shipment` and `OrderLine` (many-to-one), enabling accurate tracking of partial line shipments. Model 2 links `Shipment` directly to `OrderLine` (`Shipment "1" o-- "1..*" OrderLine`), creating a relationship that cannot capture the specific quantity of a product placed in a specific shipment.
3. Model attributes with appropriate data types: Model 1 = 5, Model 2 = 3; Evidence: Model 1 accurately captures Step 4's requirement to track missing or damaged deliveries by including `MISSING` and `DAMAGED` in `ShipmentStatus`. It also captures Step 3's payment timing choices with the `PaymentTiming` enum. Model 2 completely misses the missing/damaged statuses in its `ShipmentStatus` enum and lacks an attribute for payment timing preferences.
4. Consistencies of Terminology with given context: Model 1 = 5, Model 2 = 4; Evidence: Model 1 consistently uses terms from the text such as `vatNumber`, `paymentTiming`, and explicitly includes missing/damaged in statuses. Model 2 introduces generic terms but misses critical contextual terms (like missing/damaged delivery statuses).
5. Adherence of UML class diagram standards: Model 1 = 5, Model 2 = 5; Evidence: Both models represent valid PlantUML diagrams with correct class definitions, associations, and multiplicities.
Total: Model 1 = 25, Model 2 = 20
Choice: A
Reason:
1. Appropriate conceptual classes aligned with the domain: Model 1 introduces `ShipmentLine` to accurately handle partial deliveries of order lines within a grouped shipment, whereas Model 2 attempts to link `Shipment` directly to `OrderLine` without a way to store partial quantities.
2. Model attributes with appropriate data types: Model 1 captures all specific attribute requirements from the prompt, notably the `PaymentTiming` choices from Step 3 and the `MISSING` and `DAMAGED` shipment statuses from Step 4. Model 2 completely omits these required states and timing choices.
3. Associations/Multiplicities between classes for domain reasoning: Model 1's use of an association class-like structure (`ShipmentLine`) perfectly supports the many-to-many relationship with specific quantities needed between shipments and order lines, whereas Model 2's aggregation misses the quantitative aspect of the split.
4. Overall judgment: Model 1 is significantly better because it comprehensively addresses all steps of the evolving requirements, especially the specific edge cases (payment timing, missing/damaged statuses, and partial shipment groupings), which Model 2 overlooks.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</si>
  <si>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</si>
  <si>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Model 1 links `Shipment` directly to `OrderLine` (`Shipment "1" o-- "1..*" OrderLine`), which tightly couples them and makes tracking partial quantities of a single line across multiple shipments difficult. Model 2 introduces a `ShipmentLine` class (`ShipmentLine "0..*" -- "1" OrderLine`), cleanly decoupling the shipment details from the original order line and assigning a specific `shippedQuantity` to each shipment part.
2. Complexity: Model 1 = 4, Model 2 = 5; Evidence: Both models maintain a reasonable number of classes without over-engineering. Model 1 introduces a `Warehouse` class to hold addresses, while Model 2 simply uses associations with role names (`deliveryWarehouses`) between `Customer` and `Address`, which is a more streamlined and equally valid way to handle the complexity of Step 3's requirement.
3. Practicability: Model 1 = 3, Model 2 = 5; Evidence: Model 2 accurately reflects real-world business requirements from the prompt. For Step 3, Model 2 introduces `PaymentTiming` (`ON_ORDER`, `ON_DELIVERY`), whereas Model 1 lacks a way to capture the customer's choice of when to pay. For Step 4, Model 2 includes `MISSING` and `DAMAGED` in `ShipmentStatus`, which Model 1 completely omits. Furthermore, Model 2's `ShipmentLine` makes partial shipments highly practical to implement.
Total: Model 1 = 11, Model 2 = 15
Choice: B
Reason:
1. Cohesion and Decoupling: Model 2 exhibits better decoupling by using `ShipmentLine` as an intermediate class to map shipments to order lines, allowing varying shipped quantities per shipment. Model 1's direct aggregation makes it harder to manage split order lines.
2. Complexity: Both models keep the total number of classes and relationships at a manageable level. Model 2 is slightly more elegant by using role-named associations to `Address` rather than creating a dedicated `Warehouse` conceptual class just to wrap an address.
3. Practicability: Model 2 is significantly more practical because it captures several key requirements that Model 1 misses. Model 2 successfully includes the missing/damaged delivery statuses and the payment timing options (on order vs. on delivery), directly addressing the evolving business needs in Steps 3 and 4.
4. Overall judgment: Model 2 is the superior design. It faithfully incorporates all the iterative requirements from the prompt, whereas Model 1 misses crucial elements from the later steps (such as the payment timing choice and the negative shipment statuses) and struggles structurally to support partial order line deliveries.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</si>
  <si>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</si>
  <si>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introduces a `ShipmentLine` class that links a `Shipment` to an `OrderLine` while recording the `shippedQuantity`. This ensures high cohesion by separating the concept of the quantity ordered from the quantity shipped in a specific shipment. Model 2 directly links `Shipment` to `OrderLine` using an aggregation (`Shipment "1" o-- "1..*" OrderLine`), which might make it difficult to handle a scenario where an `OrderLine` is split across multiple shipments, tightening the coupling between shipments and original order lines.
2. Complexity: Model 1 = 5, Model 2 = 5; Evidence: Both models utilize a reasonable number of classes (8 classes each) and enums (3 in Model 1, 2 in Model 2) to accurately represent the problem domain. They both accurately discern between conceptual classes (like `Customer`, `Address`, `Order`) and attributes, keeping the complexity perfectly aligned with the iterative requirements from Step 1 to Step 4. 
3. Practicability: Model 1 = 5, Model 2 = 4; Evidence: Model 1 incorporates `MISSING` and `DAMAGED` into its `ShipmentStatus` enum, accurately reflecting the Step 4 requirements to track these states. It also explicitly models the Step 3 requirement that customers can choose when to pay via the `PaymentTiming` enum (`ON_ORDER`, `ON_DELIVERY`). Model 2 misses the missing and damaged statuses in its `ShipmentStatus` enum and does not explicitly capture the choice of payment timing, making it slightly less comprehensive for real-world application of the stated requirements.
Total: Model 1 = 15, Model 2 = 13
Choice: A
Reason:
1. Cohesion and Decoupling: Model 1 handles partial line shipments more elegantly by using a `ShipmentLine` association class (conceptually), which keeps the `OrderLine` and `Shipment` decoupled concerning shipped quantities. Model 2 groups `OrderLine` directly into `Shipment`, which reduces flexibility if a single order line is shipped in parts.
2. Complexity: Both models have an appropriate level of complexity, leveraging abstraction and relationships without over-engineering the solution. Neither model suffers from attribute bloat or unnecessary inheritance.
3. Practicability: Model 1 captures all specific requirements outlined in the prompt, including the payment timing options introduced in Step 3 and the detailed shipment statuses (Missing, Damaged) introduced in Step 4. Model 2 omits these specific details, reducing its overall practicability and completeness against the business rules.
4. Overall judgment: Model 1 is better because it more thoroughly addresses the nuanced business requirements from the prompt (payment timing, specific shipment statuses) while maintaining excellent structural design through the use of `ShipmentLine`.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</si>
  <si>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</si>
  <si>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3; Evidence: Model 1 accurately captures all four steps, using a clean model where `Shipment` groups 1..* `OrderLine`s with statuses (PACKED, SHIPPED, RECEIVED) and an `Order` tracks its overall fulfillment status, matching Step 4 perfectly. Model 2 introduces redundant `Shipment` and `Delivery` classes, both tracking similar statuses (PACKED, SHIPPED, RECEIVED) and both associating with `OrderLine` in overlapping ways (`Shipment "1" --&gt; "*" OrderLine` and `Delivery "*" --&gt; "*" OrderLine`), which complicates the requirement of tracking shipments. Additionally, Model 1 distinctly models `Address` and `Warehouse` to handle head offices and delivery locations, whereas Model 2 forces the head office into a class named `DeliveryAddress`.
Total: Model 1 = 5, Model 2 = 3
Choice: A
Reason:
1. Alignment with Requirements: Model 1 demonstrates excellent alignment with the iterative requirements. It accurately captures the transition in Step 4 where shipments now group order lines (`Shipment "1" o-- "1..*" OrderLine`), and tracks the required states using the `ShipmentStatus` enum. Model 2 struggles with Step 4, fragmenting the shipment/delivery concept into two separate classes (`Shipment` and `Delivery`) with overlapping state enums and confusing, redundant relationships to `OrderLine`. Furthermore, Model 1 uses composition (`Order *-- OrderLine`) and aggregation (`Shipment o-- OrderLine`) semantics appropriately, making the domain design much stronger. 
2. Rejected or checked issues: Model 2's usage of unidirectional associations and PlantUML single-quote comments (`'opposite`) are standard annotations and acceptable under the rules, so no penalties were applied for those. Model 2 also includes a `Company` class which isn't strictly prohibited but isn't as cohesive as Model 1's bounded context.
3. Overall judgment: Model 1 provides a more accurate, semantic, and well-structured representation of the domain requirements, avoiding the conceptual duplication and relationship clutter present in Model 2's handling of shipments and deliveries.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</si>
  <si>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</si>
  <si>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Strict Alignment with Requirements: Model 1 = 3, Model 2 = 4; Evidence: Step 1 requires recording "when orders are paid for and shipped." Model 2 includes `paidDate` in both `Order` and `Invoice`, whereas Model 1 only has a `PaymentStatus` enum without a date. Model 1 explicitly includes `DAMAGED` and `MISSING` in its `DeliveryStatus` enum (addressing the text in Step 4), whereas Model 2 limits its `ShipmentStatus` to `PACKED`, `SHIPPED`, and `RECEIVED` (also from Step 4), which slightly limits its tracking of the problems mentioned, but remains highly aligned. Model 1 unnecessarily splits `Shipment` and `Delivery` into two separate classes with different statuses, complicating the requirement.
2. Conceptual Classes and Relationships: Model 1 = 3, Model 2 = 5; Evidence: Step 3 states that supermarkets have several warehouses for different locations, and orders are delivered to these addresses. Model 2 elegantly solves this by introducing a `Warehouse` class (associated with an `Address`) and linking `Order` to `Warehouse`. Model 1 links `Customer` directly to multiple `DeliveryAddress` instances without a clear warehouse concept, making it less representative of the domain. Model 2 also properly models "group of order lines shipped together" by linking `Shipment` directly to `OrderLine`.
3. Associations, Cardinalities, and Relationship Types: Model 1 = 4, Model 2 = 5; Evidence: Model 2 leverages Composition (`*--`) for `Customer` to `Warehouse`, `Customer` to `Order`, and `Order` to `OrderLine`, and Aggregation (`o--`) for `Shipment` to `OrderLine`, accurately reflecting the lifecycle and ownership of these entities. Model 1 relies entirely on standard unidirectional associations (`--&gt;`).
4. Clarity in Class Names and Attributes: Model 1 = 4, Model 2 = 5; Evidence: Model 2 uses highly clear and reusable structures, such as extracting an `Address` class with standard attributes (`street`, `city`, etc.). Model 1 includes a redundant `Company` class that does not provide much value to the actual information system's domain logic, and uses primitive strings for complex types like `DeliveryAddress.address`. 
Total: Model 1 = 14, Model 2 = 19
Choice: B
Reason:
1. Strict Alignment with Requirements: Model 2 captures the chronological tracking better by including the required `paidDate` on orders/invoices, which Model 1 completely omits. While Model 1 models the damaged/missing delivery states explicitly, its decision to separate `Shipment` and `Delivery` into two parallel concepts convolutes the straightforward requirement of tracking a shipment's lifecycle.
2. Conceptual Classes and Relationships: Model 2 provides a much better abstraction for the Step 3 requirements by introducing the `Warehouse` class and linking it to a reusable `Address` class. This perfectly mimics the physical domain of large supermarkets with multiple delivery locations.
3. Associations, Cardinalities, and Relationship Types: Model 2 makes excellent use of UML aggregation and composition to show how orders own their lines, and how shipments group order lines.
4. Overall judgment: Model 2 is significantly more coherent and structurally sound. It directly answers the step-by-step evolutionary requirements with clean abstractions (like `Warehouse` and `Address`) and properly accounts for critical domain attributes (like payment dates) that Model 1 misses.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</si>
  <si>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</si>
  <si>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correctly identifies 'Warehouse', 'Shipment', 'Invoice', and 'Address', precisely matching the evolution of the requirements. Model 2 splits the shipping concept into 'Shipment' and 'Delivery' which adds unnecessary complexity and ambiguity to Step 4's requirement to track a shipment's status (packed, shipped, received).
2. Associations/Multiplicities between classes for domain reasoning: Model 1 = 4, Model 2 = 4; Evidence: Both models miss a dedicated association class or structure (like ShipmentLine) to fully handle "partial deliveries of one or more order lines" (splitting a single order line across multiple shipments). Model 1 links Shipment directly to OrderLine (1 to 1..*), and Model 2 links both Shipment and Delivery to OrderLine with overlapping multiplicities.
3. Model attributes with appropriate data types: Model 1 = 5, Model 2 = 4; Evidence: Model 1 includes well-typed attributes like `paidDate` on Order/Invoice and `receivedDate` on Shipment, directly satisfying Step 1/4 requirements. Model 2 relies heavily on status enums and misses explicit date tracking for payments (no `paidDate`), and encapsulates the address simply as a `String` inside `DeliveryAddress`.
4. Consistencies of Terminology with given context: Model 1 = 5, Model 2 = 4; Evidence: Model 1 aligns perfectly with the domain vocabulary (Warehouse, Order, Shipment, Invoice, OrderLine). Model 2 uses 'DeliveryAddress' instead of 'Warehouse' and mixes 'Delivery' with 'Shipment', slightly diverging from the text's clear reference to warehouses.
5. Adherence of UML class diagram standards: Model 1 = 5, Model 2 = 5; Evidence: Both models produce syntactically valid PlantUML diagrams. Model 1 properly uses composition and aggregation notations. Model 2's unidirectional arrows with opposite comments are fully valid standard tooling annotations.
Total: Model 1 = 24, Model 2 = 21
Choice: A
Reason:
1. Conceptual Classes: Model 1 successfully captures the domain concepts using `Warehouse` and `Shipment`, whereas Model 2 introduces an awkward split between `Shipment` and `Delivery` classes, causing redundancy.
2. Attributes: Model 1 meticulously tracks required timestamps (e.g., `paidDate`, `receivedDate`) as explicitly requested in the prompt ("want to record when orders are paid for and shipped"). Model 2 omits the payment date, relying only on a payment status enum.
3. Terminology: Model 1 uses the exact terminology provided in the prompt (e.g., Warehouse, Shipment), while Model 2 introduces variations (DeliveryAddress instead of Warehouse) that slightly dilute the domain model's accuracy.
4. Rejected issues: Model 2's use of single-quote comments (e.g., `'opposite company`) was explicitly ignored as per the instructions, treating them as harmless tooling annotations. Both models received full marks for UML standards despite these additions.
5. Overall judgment: Model 1 represents a much more cohesive, complete, and domain-accurate diagram. Its attributes and classes better reflect the chronological evolution of the system's requirements without adding unnecessary or redundant structures.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</si>
  <si>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</si>
  <si>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4, Model 2 = 5; Evidence: Both models successfully identify domain concepts like `Customer`, `Order`, `OrderLine`, `Product`, `Invoice`, and `Shipment`. Model 2 explicitly defines a `Warehouse` class with an `Address`, perfectly capturing the Step 3 requirement that supermarkets have "several warehouses that they use for different locations." Model 1 uses a `DeliveryAddress` class, which is acceptable, but unnecessarily splits `Shipment` and `Delivery` into two separate classes for Step 4.
2. Associations/Multiplicities between classes for domain reasoning: Model 1 = 3, Model 2 = 5; Evidence: Model 2 establishes clear and accurate relationships, such as `Customer "1" *-- "0..*" Warehouse`, `Order "1" -- "1" Warehouse : delivers to`, and `Shipment "1" o-- "1..*" OrderLine`. Model 1 features a convoluted triad of associations for shipments: `Shipment "1" --&gt; "*" Delivery`, `Shipment "1" --&gt; "*" OrderLine`, and `Delivery "*" --&gt; "*" OrderLine`, creating a redundant and confusing structure for grouping order lines.
3. Model attributes with appropriate data types: Model 1 = 3, Model 2 = 4; Evidence: Step 1 strictly requires to "record when orders are paid for and shipped." Model 2 includes `paidDate` on `Order` and `Invoice`, as well as `shipmentDate` on `Shipment`. Model 1 completely misses the paid date, only providing a `PaymentStatus` enum. Conversely, Step 4 mentions tracking if deliveries are "missing or damaged." Model 1 correctly captures these in `DeliveryStatus` (DAMAGED, MISSING), whereas Model 2 overlooks them in its `ShipmentStatus` enum (only PACKED, SHIPPED, RECEIVED).
4. Consistencies of Terminology with given context: Model 1 = 4, Model 2 = 5; Evidence: Both models adhere closely to the domain text. Model 2 consistently uses naming directly aligned with the prompts (e.g., `Warehouse`, `ShipmentStatus`). Model 1 introduces a redundant separation between `Delivery` and `Shipment` which slightly clutters the terminology, but remains mostly consistent.
5. Adherence of UML class diagram standards: Model 1 = 4, Model 2 = 5; Evidence: Both models use syntactically valid PlantUML. Model 2 effectively utilizes composition/aggregation and standard directional reading labels (`&gt;`), making the diagram highly readable. Model 1 relies exclusively on unidirectional arrows and uses single-quote comments for opposite roles (`'opposite company`), which is valid tooling notation but less semantically expressive than Model 2's structure.
Total: Model 1 = 18, Model 2 = 24
Choice: B
Reason:
1. Conceptual classes: Model 2 captures the domain more elegantly, specifically by modeling `Warehouse` and `Address` distinctively, while Model 1 unnecessarily splits shipments and deliveries into two tangled classes.
2. Associations: Model 2 applies precise and logical multiplicities, notably in linking `OrderLines` to `Shipments`. Model 1 creates confusing circular paths between `Shipment`, `Delivery`, and `OrderLine`.
3. Attributes: Model 2 properly records the `paidDate` as required in Step 1, which Model 1 misses. However, Model 2 misses the "damaged/missing" shipment statuses from Step 4. Despite this omission, Model 2's structural attributes and dates are much stronger.
4. Rejected or checked issues: Model 1's use of single-quote comments (`'opposite ...`) is standard tooling notation and was not penalized under UML standards. Instead, the score differences reflect the semantic clarity of the associations themselves.
5. Overall judgment: Model 2 provides a much cleaner, structurally sound, and accurate representation of the evolving requirements. Its handling of addresses/warehouses and order line grouping into shipments is highly effective, making it the better choice despite missing two enum literals.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</si>
  <si>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</si>
  <si>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3; Evidence: Model 1 clearly separates responsibilities, associating `Order` with a `Warehouse` for delivery, and grouping `OrderLine` objects under a `Shipment`. Model 2 introduces a central `Company` class that couples to both `Customer` and `Product`, acting as an unnecessary root node. Furthermore, Model 2 splits the shipping concept into two tightly coupled and overlapping classes (`Shipment` and `Delivery`), creating confusing cyclic dependencies where both link to `OrderLine` and each other.
2. Complexity: Model 1 = 5, Model 2 = 3; Evidence: Model 1 maintains an appropriate level of complexity with 8 classes and straightforward associations. The transition from line-by-line shipping to grouped shipments is elegantly handled by `Shipment "1" o-- "1..*" OrderLine`. Model 2 overcomplicates the design by creating redundant enums (`ShipmentStatus` and `DeliveryStatus` which both contain PACKED, SHIPPED, RECEIVED) and classes (`Shipment` and `Delivery`) to represent the exact same workflow phase. 
3. Practicability: Model 1 = 4, Model 2 = 3; Evidence: Model 1's design is highly readable and closely matches the domain's modularity requirements, effectively using the `Warehouse` class to differentiate delivery locations from the `headOfficeAddress`. Its only flaw is omitting explicit tracking for "damaged" or "missing" statuses from Step 4. Model 2 captures the "missing/damaged" requirement via `conditionNotes` and `DeliveryStatus` in the `Delivery` class. However, Model 2's duplicate state tracking across `Shipment` and `Delivery` makes it highly impractical to implement, test, and maintain in a real-world scenario.
Total: Model 1 = 14, Model 2 = 9
Choice: A
Reason:
1. Cohesion and Decoupling: Model 1 provides a highly cohesive design with well-defined boundaries. Model 2 suffers from low cohesion and high coupling due to the redundant `Shipment` and `Delivery` classes, which entangle the associations with `OrderLine`, as well as the unnecessary `Company` root class.
2. Complexity: Model 1 keeps the conceptual overhead low while satisfying the business rules. Model 2 artificially inflates complexity by duplicating states and concepts (e.g., `ShipmentStatus` vs `DeliveryStatus`).
3. Practicability: Model 1 represents a clean, extensible, and understandable domain model. Although Model 2 includes specific attributes/enums for damaged and missing deliveries, the structural messiness of maintaining synchronized states between a `Shipment` and a `Delivery` makes it much less practical for real-world development than Model 1. 
4. Rejected or checked issues: I checked the missing "damaged/missing" requirement in Model 1. While Model 1 omits these explicit statuses, this minor omission in a single enum is far less detrimental to the system's architecture than Model 2's fundamental structural duplication. Model 2's use of single quotes for comments (e.g., `'opposite company`) was ignored as standard tooling annotations per the strict instructions. 
5. Overall judgment: Model 1 is significantly better architected. It demonstrates a strong grasp of object-oriented design principles, offering a scalable and maintainable solution that neatly handles the iterative requirements without resorting to redundant structures like Model 2.</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</si>
  <si>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</si>
  <si>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3, Model 2 = 5; Evidence: Model 1 exhibits high coupling and redundant associations in its tracking design, linking `OrderLine` to `Order`, `Shipment`, and `Delivery` simultaneously (`Shipment "1" --&gt; "*" OrderLine`, `Delivery "*" --&gt; "*" OrderLine`, `Shipment "1" --&gt; "*" Delivery`). Model 2 maintains low coupling and high cohesion by neatly grouping `OrderLine`s under `Shipment` (`Shipment "1" o-- "1..*" OrderLine`) and logically structuring addresses via `Customer` and `Warehouse` dependencies.
2. Complexity: Model 1 = 3, Model 2 = 5; Evidence: Model 1 overcomplicates the design by splitting the delivery process into separate `Shipment` and `Delivery` classes, leading to parallel enums (`ShipmentStatus` and `DeliveryStatus`) and complex cyclic references. It also includes a `Company` class which acts as an unnecessary root node. Model 2 is appropriately balanced, using exactly the classes needed (8 classes, 2 enums) without redundant conceptual entities, while successfully abstracting `Address` to be reused by both `Customer` and `Warehouse`.
3. Practicability: Model 1 = 3, Model 2 = 4; Evidence: Model 1 correctly captures the business states like "missing" and "damaged" (`DeliveryStatus`) and payment choices (`PaymentMethod`), but fails to fulfill the requirement to "record when orders are paid for" as it lacks a paid date attribute (relying only on `PaymentStatus`). Model 2 is highly practical and readable; it properly includes `paidDate`, `shipmentDate`, and `receivedDate` to satisfy the temporal tracking requirements. However, Model 2 misses the explicit "missing/damaged" statuses in its `ShipmentStatus` enum, slightly reducing its domain coverage, though its modular architecture makes it much easier to extend and maintain.
Total: Model 1 = 9, Model 2 = 14
Choice: B
Reason:
1. Cohesion and Decoupling: Model 2 provides a much cleaner, decoupled structure. Model 1 creates a tangled web of associations between `Order`, `OrderLine`, `Shipment`, and `Delivery`, which breaks encapsulation and increases coupling. Model 2 uses aggregation nicely to group order lines into shipments.
2. Complexity: Model 2 avoids unnecessary classes. Model 1 introduces artificial complexity by separating `Shipment` and `Delivery` and duplicating status tracking across two parallel enums. Model 2 handles the domain with an elegant, manageable class count.
3. Practicability: While Model 1 successfully captures the literal requirement for missing/damaged statuses and payment methods, its structural flaws make it less practical to implement. It also misses the crucial timestamp requirement for payments. Model 2 captures the necessary timestamps (`paidDate`, `shipmentDate`) and presents a highly readable, modular design that would be robust for real-world programming and testing.
4. Overall judgment: Model 2 is significantly better designed structurally. Its appropriate use of attributes, logical relations, and avoidance of redundant classes make it a superior choice for software development, despite a minor omission in the enum values.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</si>
  <si>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</si>
  <si>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3; Evidence: Model 1 accurately captures the requirements across all steps, effectively handling Step 3's addresses via roles (`headOffice`, `deliveryWarehouses`) to a unified `Address` class, and Step 4's shipment groupings via `Shipment` and `ShipmentLine` which elegantly connect to `OrderLine`. It uses a single `ShipmentStatus` enum to track all required states (PACKED, SHIPPED, RECEIVED, MISSING, DAMAGED). Model 2 hallucinates a `Company` class. Furthermore, Model 2 creates confusing redundancies by separating `Shipment` and `Delivery` and giving them overlapping statuses (both have PACKED, SHIPPED, RECEIVED), and redundantly links both to `OrderLine`. Model 2 also forces a strict `1` to `1` relationship between `Order` and `Invoice`, which lacks the flexibility of Model 1's `0..1`.
Total: Model 1 = 5, Model 2 = 3
Choice: A
Reason:
1. Alignment with requirements: Model 1 strictly adheres to the domain requirements without making unnecessary additions. It effectively addresses Step 4's requirement to group order lines into shipments by introducing `Shipment` and `ShipmentLine`, allowing for quantities to be specified per shipment. Model 1 also correctly models the requested shipment statuses in a single enum. In contrast, Model 2 hallucinates a top-level `Company` class and overcomplicates Step 4 by splitting the shipping concept into `Shipment` and `Delivery` classes with overlapping statuses (e.g., both track PACKED, SHIPPED, RECEIVED), leading to a fragmented and confusing design. Model 2 also establishes redundant associations from both `Shipment` and `Delivery` directly to `OrderLine`.
2. Rejected or checked issues: Model 2 uses PlantUML single-quote comments for role labels (e.g., `'opposite company`), which is a valid tooling annotation and was not penalized as per the forbidden penalties. However, its structural decisions (hallucinated classes and redundancies) impact its domain alignment score.
3. Overall judgment: Model 1 is significantly better because it provides a clean, accurate, and structurally sound representation of the evolving requirements without introducing redundant classes or unrequested domain elements.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</si>
  <si>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</si>
  <si>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An analysis of the models based on the requirements and evaluation criteria:
```result
Scores:
1. Alignment with Requirements &amp; Functionality: Model 1 = 3, Model 2 = 5; Evidence: Model 1 uses a many-to-many relationship between `Shipment` and `OrderLine` without an intermediate class or attribute to specify the quantity shipped in a particular shipment. It also creates both a `Shipment` class and a `Delivery` class, which redundantly represent the same real-world entity from STEP 4. Model 2 elegantly solves the shipment grouping and partial delivery of order lines (STEP 4) by introducing `ShipmentLine` with a `shippedQuantity`, properly mapping how many items from a specific `OrderLine` are in a specific `Shipment`. Model 2 also cleanly models the shipment statuses (PACKED, SHIPPED, RECEIVED, MISSING, DAMAGED) in a single enum, whereas Model 1 splits them across `ShipmentStatus` and `DeliveryStatus`.
Total: Model 1 = 3, Model 2 = 5
Choice: B
Reason:
1. Alignment with Requirements &amp; Functionality: Model 2 accurately captures the evolving requirements through all steps. Crucially, in STEP 4, it uses a `ShipmentLine` to connect `Shipment` and `OrderLine`. Because the requirement states "partial deliveries of one or more order lines are possible", you must track the quantity shipped per shipment. Model 2 does this with `ShipmentLine.shippedQuantity`. Model 1 just links `Shipment` directly to `OrderLine` with a many-to-many relationship, making it impossible to know how many items of an order line were shipped in that specific shipment.
2. Conceptual Clarity: Model 2 effectively captures the STEP 3 address requirement by linking `Customer` to `Address` with distinct roles (`headOffice` and `deliveryWarehouses`), and linking `Order` to `Address` for the delivery location. Model 1 is acceptable here but names the class `DeliveryAddress` even for the head office, which is slightly less intuitive. 
3. Redundancy: Model 1 creates two separate classes (`Shipment` and `Delivery`) and two separate enums for tracking statuses, whereas the requirements describe a single concept (the shipment/delivery of a group of order lines). Model 2 efficiently consolidates this into one `Shipment` class with a comprehensive `ShipmentStatus` enum that includes PACKED, SHIPPED, RECEIVED, MISSING, and DAMAGED as requested in STEP 4.
4. Overall judgment: Model 2 is much stronger. It successfully models the necessary domain complexities (like partial quantities in a shipment via `ShipmentLine`) without introducing redundant classes or confusing data structures.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</si>
  <si>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</si>
  <si>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accurately captures the domain with distinct `Shipment` and `ShipmentLine` classes to group order lines as required in Step 4. Model 2 introduces both `Shipment` and `Delivery` classes, which creates a redundant separation of the same domain concept (tracking the physical dispatch and its status) and causes overlapping enumerations (`DeliveryStatus` vs `ShipmentStatus`).
2. Associations/Multiplicities between classes for domain reasoning: Model 1 = 5, Model 2 = 3; Evidence: Model 1 correctly models partial and grouped shipments by associating `Shipment` to `ShipmentLine`, and `ShipmentLine` to `OrderLine`. Model 2 features confusing, redundant associations where `Shipment` links to `Delivery`, `Shipment` links to `OrderLine`, and `Delivery` links to `OrderLine`, creating an ambiguous triad for shipment tracking.
3. Model attributes with appropriate data types: Model 1 = 5, Model 2 = 4; Evidence: Model 1 includes granular attributes for `Address` (street, city, postalCode) and correctly places `shippedQuantity` on `ShipmentLine` to track quantities per shipment. Model 2 simplifies `DeliveryAddress` to a single string and lacks an attribute to track the specific quantity of an `OrderLine` placed in a given `Shipment`.
4. Consistencies of Terminology with given context: Model 1 = 5, Model 2 = 4; Evidence: Model 1 precisely follows the terminology of the prompt (e.g., PACKED, SHIPPED, RECEIVED, MISSING, DAMAGED on a single shipment status). Model 2 splits the statuses awkwardly across two identical concepts (`ShippingStatus`, `DeliveryStatus`, `ShipmentStatus`).
5. Adherence of UML class diagram standards: Model 1 = 5, Model 2 = 5; Evidence: Both models use perfectly valid PlantUML syntax, relationships, and multiplicities. Model 2's use of single-quote comments and unidirectional arrows is completely standard and not penalized.
Total: Model 1 = 25, Model 2 = 19
Choice: A
Reason:
1. Appropriate conceptual classes aligned with the domain: Model 1 successfully implements the evolving requirements from Steps 1-4, utilizing `Shipment` and `ShipmentLine` to effectively model groups of order lines shipped together. Model 2 incorrectly splits the shipment concept into `Shipment` and `Delivery`, which confuses the domain model.
2. Associations/Multiplicities between classes for domain reasoning: Model 1 establishes a clear path from `Shipment` to `OrderLine` via `ShipmentLine`, accommodating partial deliveries gracefully. Model 2 connects `Shipment`, `Delivery`, and `OrderLine` in overlapping many-to-many associations that fail to clearly represent how order lines are grouped per shipment.
3. Rejected or checked issues: Model 2's use of single quotes for role names/comments (`'opposite ...`) and its preference for unidirectional associations were strictly ignored as per the negative constraints, and neither was penalized.
4. Overall judgment: Model 1 provides a significantly more coherent, accurate, and requirement-aligned domain model, especially regarding the complex evolution of shipment tracking and order line grouping in Step 4. Therefore, Model 1 is the better response.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</si>
  <si>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</si>
  <si>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3, Model 2 = 5; Evidence: Model 1 includes redundant classes for `Shipment` and `Delivery` when the requirement uses the terms interchangeably in Step 4, causing confusion. Model 2 elegantly uses `Shipment` and introduces `ShipmentLine` to cleanly handle partial shipments of order lines, perfectly aligning with the domain requirements.
2. Associations/Multiplicities between classes for domain reasoning: Model 1 = 2, Model 2 = 5; Evidence: Model 1 has tangled and confusing associations around shipments (`Shipment --&gt; Delivery`, `Shipment --&gt; OrderLine`, `Delivery --&gt; OrderLine`), and it uses `*` instead of `1..*` for order lines. Model 2 correctly models the relationships with `Order -- 1..* OrderLine` and connects shipments via `Shipment -- 1..* ShipmentLine` to `OrderLine`, which precisely enables the line-by-line shipment tracking requested.
3. Model attributes with appropriate data types: Model 1 = 4, Model 2 = 5; Evidence: Both models use appropriate data types. Model 2 captures the partial fulfillment status directly on the lines (`orderedQuantity` and `shippedQuantity` on `OrderLine`/`ShipmentLine`), which is highly practical. Model 1 tracks statuses but lacks quantity tracking for partial line deliveries.
4. Consistencies of Terminology with given context: Model 1 = 3, Model 2 = 5; Evidence: Model 1 creates confusing overlapping statuses (`ShipmentStatus` vs `DeliveryStatus`) that muddy the context of Step 4. Model 2 perfectly aligns with the prompt's terminology, summarizing payment options neatly into `PaymentTiming` (ON_ORDER, ON_DELIVERY) and consolidating the shipment statuses as requested.
5. Adherence of UML class diagram standards: Model 1 = 5, Model 2 = 5; Evidence: Both models adhere excellently to PlantUML syntax and UML standard notation. Model 1's use of single-quote comments and unidirectional associations is perfectly valid, as are Model 2's undirected associations.
Total: Model 1 = 17, Model 2 = 25
Choice: B
Reason:
1. Appropriate conceptual classes: Model 2 correctly resolves the domain's transition from whole-order shipping to line-by-line shipping by introducing `ShipmentLine`, a standard and effective design. Model 1 introduces a redundant `Delivery` class alongside `Shipment`, complicating the conceptual model unnecessarily.
2. Associations/Multiplicities: Model 2 accurately defines critical multiplicities (e.g., an order must have at least one order line `1..*`), while Model 1 relies on `*` (which means `0..*`), implying empty orders are valid. Furthermore, Model 1's associations between Shipments, Deliveries, and OrderLines are deeply convoluted and duplicate links.
3. Terminology and Attributes: Model 2 handles the Step 3 payment requirements beautifully with the `PaymentTiming` enum, and addresses the Step 4 delivery issues directly in a single `ShipmentStatus` enum. Model 1 creates duplicate enums and classes for deliveries and shipments.
4. Overall judgment: Model 2 is significantly better. It accurately tracks partial quantities, handles multiplicity constraints correctly, and avoids the unnecessary structural duplication found in Model 1.</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</si>
  <si>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</si>
  <si>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cleanly decouples the shipping of grouped order lines by introducing a `ShipmentLine` class that links a `Shipment` to an `OrderLine`. Model 2 suffers from high coupling and low cohesion in its shipping structure, creating overlapping many-to-many associations (`Shipment` to `OrderLine`, `Delivery` to `OrderLine`, and `Shipment` to `Delivery`) which scatters the responsibility of tracking what is shipped.
2. Complexity: Model 1 = 5, Model 2 = 3; Evidence: Model 1 maintains an appropriate level of complexity, utilizing 8 conceptual classes and 3 distinct enums that directly map to the requirements. Model 2 introduces unnecessary complexity by including a root `Company` class and redundant enumerations (`ShipmentStatus` with PACKED/SHIPPED/RECEIVED and `DeliveryStatus` with PACKED/SHIPPED/RECEIVED/DAMAGED/MISSING), as well as redundant status tracking (`ShippingStatus` on `Order`).
3. Practicability: Model 1 = 5, Model 2 = 3; Evidence: Model 1 provides a highly practical and readable design for Step 4's requirement to track groups of order lines and their delivery statuses (PACKED, SHIPPED, RECEIVED, MISSING, DAMAGED) centrally in the `Shipment` class. Model 2's separation of `Shipment` and `Delivery` creates a confusing data model where it is unclear whether the shipment or the delivery holds the definitive state of the physical items, making implementation and querying cumbersome.
Total: Model 1 = 15, Model 2 = 9
Choice: A
Reason:
1. Cohesion and Decoupling: Model 1 assigns discrete, well-defined responsibilities to its classes. The use of `ShipmentLine` perfectly captures the domain concept of picking specific quantities from an `OrderLine` for a single `Shipment`. Model 2 creates a tangled web between `Shipment`, `Delivery`, and `OrderLine`, reducing cohesion.
2. Complexity: Model 1 introduces exactly what is needed for the 4 steps. Model 2 overcomplicates the model by adding conceptual classes that don't add value (e.g., `Company`) and duplicating state across multiple similar enums (`DeliveryStatus`, `ShipmentStatus`, `ShippingStatus`).
3. Practicability: Model 1 is far more practical for real-world software design. By modeling `Shipment` with a comprehensive `ShipmentStatus` and linking it to `ShipmentLine`, it efficiently solves the Step 4 requirement of tracking grouped deliveries and handling missing/damaged states. Model 2's redundant entities would lead to data synchronization issues in a real application.
4. Rejected or checked issues: Model 2 includes PlantUML comments (e.g., `'opposite company`) and unidirectional association arrows. As per the strict evaluation guidelines, these were completely ignored and did not negatively impact Model 2's score.
5. Overall judgment: Model 1 accurately and elegantly models the evolving requirements from the prompt, maintaining high cohesion, low complexity, and strong practicability. Model 2 struggles with redundant classes, overlapping statuses, and a convoluted relationship structure for shipments. Therefore, Model 1 is significantly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</si>
  <si>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</si>
  <si>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separates the shipping concept into two tightly coupled classes (`Shipment` and `Delivery`), both linking to `OrderLine` with redundant enums (`DeliveryStatus` and `ShipmentStatus`), reducing cohesion and increasing coupling. Model 2 elegantly unifies this into a single `Shipment` class with a `ShipmentStatus` enum and decouples the many-to-many relationship between `Shipment` and `OrderLine` by introducing a highly cohesive `ShipmentLine` class.
2. Complexity: Model 1 = 2, Model 2 = 5; Evidence: Model 1 overcomplicates the domain by adding an unnecessary `Company` class (which typically represents the system itself and isn't needed) and maintaining redundant `Delivery` vs `Shipment` entities. Model 2 maintains an appropriate level of complexity by reusing the `Address` class for both head office and warehouses, and strictly introducing only necessary entities for the requirements.
3. Practicability: Model 1 = 2, Model 2 = 5; Evidence: In Model 1, `Shipment` has a many-to-many association to `OrderLine` without an association class, making it impossible in practice to track *how many* items of a partially fulfilled order line are in a specific shipment. Model 2 is highly practical for a real-world system because `ShipmentLine` explicitly includes `shippedQuantity`, allowing the system to properly handle the partial shipments grouped by line as requested in Steps 2 and 4.
Total: Model 1 = 6, Model 2 = 15
Choice: B
Reason:
1. Cohesion and Decoupling: Model 2 exhibits much better cohesion by correctly keeping delivery/shipment statuses in a single concept (`Shipment`), whereas Model 1 fractures this into `Shipment` and `Delivery` with overlapping responsibilities.
2. Complexity: Model 2 avoids unnecessary classes (like Model 1's `Company`) and efficiently reuses the `Address` class, keeping the domain model clean and aligned with the requirements. 
3. Practicability: Model 2 is far more practical for the business requirement of partial line-by-line shipments. By introducing `ShipmentLine` with a `shippedQuantity`, it provides a concrete mechanism to track how much of an `OrderLine` went out in a specific `Shipment`. Model 1 fails to record this quantity, rendering its partial shipment tracking unusable.
4. Overall judgment: Model 2 provides a highly accurate, practical, and well-structured representation of the evolving requirements. Model 1 struggles with domain misunderstandings, redundant classes, and missing attributes for partial shipments, making Model 2 the definitively better choice.
```</t>
  </si>
  <si>
    <t>TeamSportsScoutingSystem</t>
  </si>
  <si>
    <t>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</si>
  <si>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</si>
  <si>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Requirements Alignment &amp; No Additions: Model 1 = 4, Model 2 = 5; Evidence: Model 1 abstracts the "short list" into a `ScoutingState` enumeration and `ScoutingRecord` class. Model 2 explicitly models `LongListEntry` and `ShortListEntry`, and directly captures the requirement that the head scout sets up scouting assignments (`HeadScout "1" -- "0..*" ScoutingAssignment : creates &gt;`) and that both the head coach and head scout decide on short list players (associations from `HeadCoach` and `HeadScout` to `ShortListEntry`). Both avoid hallucinations, but Model 2 maps to the domain workflow more explicitly.
2. Conceptual Classes, Relationships, Cardinalities, and Types: Model 1 = 4, Model 2 = 5; Evidence: Both models correctly use inheritance for the employee roles (`Employee &lt;|-- HeadCoach`, etc.). Model 1 uses composition for attributes (`TargetProfile *-- "*" Attribute`), which is good, but uses predominantly unidirectional associations with missing reverse multiplicities. Model 2 provides clear, bidirectional multiplicities for almost all relationships (e.g., `Scout "1" -- "0..*" ScoutingReport`), giving a more complete structural picture of cardinalities across the system. 
3. Clarity in Class Names and Attributes: Model 1 = 5, Model 2 = 5; Evidence: Both models use highly descriptive class names (`TargetProfile`, `ScoutingAssignment`, `ScoutingReport`) and include appropriate attributes matching the requirements (e.g., `pros`, `cons`, and `recommendation` in `ScoutingReport`). Both accurately capture the player attributes (name and value) and positions.
Total: Model 1 = 13, Model 2 = 15
Choice: B
Reason:
1. Requirements Alignment: Model 2 translates the textual requirements into classes and associations more faithfully. For example, it explicitly models the creation of scouting assignments by the head scout and the joint approval of short-list entries by the head coach and head scout, whereas Model 1 leaves assignment creation somewhat vague and abstracts the short list into a state tracker.
2. Conceptual Relationships: Model 2 provides a more robust set of cardinalities on both ends of its associations, making the domain rules clearer (e.g., exactly 1 HeadScout creates 0..* ScoutingAssignments; 1 ScoutingAssignment is given to 1 Scout).
3. Rejected or checked issues: Model 1's use of two unidirectional arrows for `ScoutingAssignment` and `ScoutingReport` with opposite comments was not penalized, as it is semantically equivalent to a bidirectional association. Model 2's addition of an `AssignmentStatus` enum was not penalized as it is a standard implementation detail for assignments. 
4. Overall judgment: While both models provide strong UML designs, Model 2 captures the specific actors' responsibilities (who creates assignments, who approves short lists) more explicitly through relationships, making it the better conceptual model for the given requirements.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</si>
  <si>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</si>
  <si>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strictly: Model 1 = 5, Model 2 = 4; Evidence: Model 1 explicitly captures the "short list" via a `ShortListEntry` class and directly links it to both `HeadCoach` and `HeadScout` with an `approves` association, perfectly matching the requirement that they decide together. Model 1 also explicitly links `HeadScout` to `ScoutingAssignment` to represent setting them up. Model 2 represents the short list indirectly through a `SHORT_LIST` literal in the `ScoutingState` enum inside `ScoutingRecord`, and lacks a direct relationship showing the `HeadScout` creating scouting assignments, relying instead on `ScoutingRecord` to group them.
Total: Model 1 = 5, Model 2 = 4
Choice: A
Reason:
1. Alignment with requirement strictly: Model 1 provides a more direct and transparent mapping to the domain requirements. It explicitly models the "short list" as its own conceptual class (`ShortListEntry`), allowing direct associations from the `HeadCoach` and `HeadScout` to represent their joint decision process. Model 1 also correctly maps the responsibility of setting up scouting assignments directly to the `HeadScout`. Model 2 abstracts these into a centralized `ScoutingRecord` state machine. While technically functional, Model 2 loses the explicit structural clarity of who creates assignments and the distinct identity of the short list as requested in the text.
2. Rejected or checked issues: Both models correctly handle the fact that the Head Scout can carry out assignments themselves by having `HeadScout` inherit from `Scout`. The use of opposites or unidirectional associations in Model 2 (e.g., `'opposite produces`) was not penalized as per the forbidden penalties. 
4. Overall judgment: Model 1 is better because its class structure and associations more faithfully and explicitly capture the specific lists (Long vs. Short) and the exact actor responsibilities (approving short list entries, creating assignments) described in the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</si>
  <si>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</si>
  <si>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4, Model 2 = 5; Evidence: Model 1 uses a generic `ScoutingRecord` with a `ScoutingState` enum to manage lists, whereas Model 2 explicitly models `LongListEntry` and `ShortListEntry` as distinct conceptual classes, which better aligns with the domain description. Model 2 also correctly identifies `TargetPosition` and `ProfileAttribute`.
2. Associations/Multiplicities between classes for domain reasoning: Model 1 = 3, Model 2 = 5; Evidence: The requirement states the head scout sets up scouting assignments, which Model 2 captures explicitly (`HeadScout "1" -- "0..*" ScoutingAssignment : creates &gt;`), while Model 1 lacks an association between `HeadScout` and `ScoutingAssignment`. Model 2 also explicitly captures both the head coach and head scout deciding on the short list (`approves &gt; ShortListEntry`).
3. Model attributes with appropriate data types: Model 1 = 4, Model 2 = 5; Evidence: Both models provide good attributes. Model 2 uses robust types like `UUID` and `Decimal` for currency (`amount` in `ContractOffer`), whereas Model 1 uses standard basic types (`int`, `double`).
4. Consistencies of Terminology with given context: Model 1 = 4, Model 2 = 5; Evidence: Model 2 closely mirrors the exact wording of the prompt for recommendations (`FIRST_TEAM_PLAYER` vs Model 1's `FIRST_TEAM`) and terms like `ShortListEntry`.
5. Adherence of UML class diagram standards: Model 1 = 5, Model 2 = 5; Evidence: Both models use correct PlantUML syntax for classes, inheritances, and associations. Neither violates UML conventions.
Total: Model 1 = 20, Model 2 = 25
Choice: B
Reason:
1. Appropriate conceptual classes: Model 2 is superior as it explicitly models the `ShortListEntry`, making the transition from long list to short list clearer. Model 1 attempts to handle this with a `ScoutingRecord` and state enum, which is a bit abstract and less directly aligned with the domain text.
2. Associations/Multiplicities: Model 2 accurately captures crucial workflow constraints from the prompt, specifically the `HeadScout` setting up `ScoutingAssignment`s, and the joint decision-making by `HeadCoach` and `HeadScout` to approve players to the short list. Model 1 omits the relationship between `HeadScout` and the creation of scouting assignments.
3. Model attributes and Terminology: Both models perform well, but Model 2 is slightly more precise in matching the exact terminology from the requirements (e.g., `FIRST_TEAM_PLAYER` vs `FIRST_TEAM`) and utilizes appropriate data types.
4. Overall judgment: Model 2 translates the business rules and workflow into structural relationships much more faithfully than Model 1, especially concerning the responsibilities of the Head Scout. Therefore, Model 2 is the better response.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</si>
  <si>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</si>
  <si>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explicitly models "ShortListEntry", "TargetPosition", and "ProfileAttribute", directly reflecting the requirement concepts. Model 2 models the short list as a state within a "ScoutingRecord" class and uses a generic "Attribute", which is slightly less direct but still acceptable.
2. Associations/Multiplicities between classes for domain reasoning: Model 1 = 5, Model 2 = 3; Evidence: Model 1 correctly captures the domain reasoning, such as the HeadScout creating ScoutingAssignments for a specific player, and both the HeadCoach and HeadScout being associated with ShortListEntry. Model 2 misses the relationship between HeadScout and ScoutingAssignment, placing the HeadScout's evaluation association on the generic "ScoutingRecord" instead.
3. Model attributes with appropriate data types: Model 1 = 5, Model 2 = 5; Evidence: Both models use appropriate data types. Model 1 uses UUID, String, Date, Decimal. Model 2 uses int, String, Date, double. Both correctly model the enums for Recommendation.
4. Consistencies of Terminology with given context: Model 1 = 5, Model 2 = 4; Evidence: Model 1 uses terms strictly from the prompt ("ProfileAttribute", "ShortListEntry", "ContractOffer"). Model 2 uses mostly consistent terms but slightly deviates with "Attribute" and "Offer", and abstracts the lists into "ScoutingState".
5. Adherence of UML class diagram standards: Model 1 = 5, Model 2 = 4; Evidence: Model 1 perfectly adheres to UML standards with standard associations and multiplicities. Model 2 uses `List&lt;Position&gt;` as an attribute type, which is an implementation-level language detail rather than a standard UML multiplicity/association.
Total: Model 1 = 25, Model 2 = 20
Choice: A
Reason:
1. Appropriate conceptual classes aligned with the domain: Model 1 better captures domain-specific concepts by using explicit classes like ShortListEntry and ProfileAttribute, whereas Model 2 abstracts some of these into states and generic classes.
2. Associations/Multiplicities between classes for domain reasoning: Model 1 perfectly maps the business rules, such as the HeadScout setting up scouting assignments and the joint decision of HeadCoach and HeadScout on the short list. Model 2 misses the explicit association of the HeadScout creating assignments.
3. Model attributes with appropriate data types: Both models perform excellently here, capturing attributes from the text and assigning proper types.
4. Consistencies of Terminology with given context: Model 1 aligns perfectly with the text's terminology (ShortListEntry, ProfileAttribute, TargetPosition). Model 2 uses slightly looser terminology.
5. Adherence of UML class diagram standards: Model 1 follows UML standards cleanly, whereas Model 2 uses language-specific collection syntax (`List&lt;Position&gt;`) for attributes instead of modeling them via standard UML associations or multiplicities.
6. Overall judgment: Model 1 is significantly better because it captures the relationships and domain reasoning more explicitly, especially the assignment creation by the HeadScout and the shortlisting process, while maintaining excellent UML standard adherence.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</si>
  <si>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</si>
  <si>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exhibit high cohesion by separating concerns into distinct classes (e.g., `TargetProfile`, `ScoutingAssignment`, `ScoutingReport`). Decoupling is maintained through a clear inheritance hierarchy for `Employee` (`HeadCoach`, `Director`, `Scout`, `HeadScout`) and distributed associations.
2. Complexity: Model 1 = 5, Model 2 = 5; Evidence: Model 1 uses 12 classes and 3 enums (like `Position` and `ScoutingState`), aggregating the scouting lifecycle into a `ScoutingRecord`. Model 2 uses 13 classes and 2 enums, explicitly modeling lists (`LongListEntry`, `ShortListEntry`). Both models keep the total number of classes and inheritance depth (2 levels) perfectly balanced for the requirement.
3. Practicability: Model 1 = 5, Model 2 = 5; Evidence: Model 1 practically represents the scouting pipeline using a state-driven `ScoutingRecord` class, which handles the progression from LONG_LIST to SHORT_LIST. Model 2 represents this progression via explicit `ShortListEntry` classes and precisely maps the dual approval process (`HeadCoach` and `HeadScout` both linked to `ShortListEntry`). Both designs are readable, modular, and highly actionable for implementation and testing.
Total: Model 1 = 15, Model 2 = 15
Choice: C
Reason:
1. Cohesion and Decoupling: Both models successfully isolate concepts. Model 1's `ScoutingRecord` acts as a cohesive central point for a player's evaluation, while Model 2 keeps list entries and assignments completely decoupled but well-associated with the respective actors.
2. Complexity: Both models avoid over-engineering. Model 1 smartly utilizes enums to manage states and target positions, keeping the class count low. Model 2 uses explicit domain classes (`TargetPosition`, `ShortListEntry`) that map directly to the text without causing clutter.
3. Practicability: Both models reflect a strong understanding of real-world software design. Model 1's state machine approach (`ScoutingState`) is a standard and robust way to track lifecycles in software. Model 2's direct mapping of responsibilities (e.g., `HeadScout` creates `ScoutingAssignment`, `HeadCoach` and `HeadScout` approve `ShortListEntry`) ensures the business rules are explicitly captured in the relationships.
4. Overall judgment: The two models provide equally valid, high-quality, and robust architectural designs for the scouting system. They represent slightly different but equally practical modeling paradigms (state-driven vs. explicit entity-driven), resulting in a definitive tie.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</si>
  <si>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</si>
  <si>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explicitly separates the concepts of `LongListEntry` and `ShortListEntry` into dedicated classes, ensuring high cohesion for the distinct stages of scouting. Model 2 centralizes the player's progression into a single `ScoutingRecord` with a `ScoutingState` enum, which slightly increases the responsibilities of that class and couples the different list concepts together.
2. Complexity: Model 1 = 5, Model 2 = 5; Evidence: Both models maintain an appropriate level of complexity. Model 1 uses 13 classes and 2 enums, appropriately distinguishing conceptual classes like `TargetPosition` and `ProfileAttribute`. Model 2 uses 11 classes and 3 enums, leveraging an enum list `List&lt;Position&gt;` for target positions, which is an equally valid and well-balanced approach.
3. Practicability: Model 1 = 5, Model 2 = 4; Evidence: Model 1 provides high practicability by directly reflecting the domain vocabulary (Long List, Short List) as tangible entities, making it extremely readable and easy to validate against the requirements. Model 2 is also practical by treating the scouting process as a state pipeline via `ScoutingRecord`, but it loses the explicit representation of the short list as a distinct collection or entry type, making it slightly harder to independently query or manage short-listed players versus long-listed players without filtering by state.
Total: Model 1 = 15, Model 2 = 13
Choice: A
Reason:
1. Cohesion and Decoupling: Model 1 provides a more decoupled design by separating `LongListEntry` and `ShortListEntry` into distinct classes, allowing each to evolve independently (e.g., different approval rules or metadata). Model 2's reliance on `ScoutingRecord` to track all states centralizes the logic, which is slightly less cohesive in representing the distinct lists mentioned in the requirements.
2. Complexity: Both models successfully manage complexity. Model 1's explicit classes for `TargetPosition` and `ProfileAttribute` are just as effective as Model 2's use of a `Position` enum list and `Attribute` class. The inheritance structures for `Employee` are identical and perfectly executed in both.
3. Practicability: Model 1 aligns more directly with the business domain by providing concrete structures for both lists. This makes the implementation of specific domain rules (e.g., "head coach and head scout decide upon which players to move to the short list") very clear via the `approves` associations to `ShortListEntry`. Model 2 captures the workflow using a state machine (`ScoutingState`), which is a viable technical solution but slightly less transparent for non-technical stakeholders reviewing the domain model.
4. Overall judgment: While both models are professionally designed and semantically correct, Model 1 captures the specific nuances of the requirements (such as the distinct concepts of Long Lists and Short Lists) more explicitly and with better separation of concerns, making it the stronger choice.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</si>
  <si>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</si>
  <si>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Requirements: Model 1 = 5, Model 2 = 2; Evidence: Model 1 captures all domain processes, representing the long list (`LongListEntry`), assignments (`ScoutingAssignment`), reports (`ScoutingReport` with `Recommendation` enum), and short list/recommendations via `ScoutingState`. Model 2 completely misses the long list, places the `shortList` as an attribute inside `ScoutingAssignment` (which does not make business sense), and lacks a direct link between an assignment and the specific player being scouted.
2. Conceptual Classes and Relationships: Model 1 = 5, Model 2 = 2; Evidence: Model 1 uses correct inheritance semantics (`Employee &lt;|-- HeadCoach` meaning HeadCoach extends Employee), composition for attributes (`TargetProfile *-- "*" Attribute`), and well-defined associations with explicit multiplicities (e.g., `ScoutingAssignment --&gt; "1" Player`). Model 2 uses backward inheritance (`Employee --|&gt; HeadCoach` means Employee extends HeadCoach in PlantUML), lacks player-to-assignment relationships, and uses invalid association syntax by pointing to an attribute instead of a class (`ScoutingReport --&gt; "1" relatedAssignment`).
3. Clarity in Class Names and Attributes: Model 1 = 5, Model 2 = 3; Evidence: Model 1 elegantly utilizes Enums (`Position`, `Recommendation`, `ScoutingState`) to enforce specific domain values, and its class names directly reflect the terminology in the prompt. Model 2 has redundant properties that mix attributes and associations (e.g., `relatedAssignment` is typed as an attribute in `ScoutingReport`, and then improperly used in the association definition).
Total: Model 1 = 15, Model 2 = 7
Choice: A
Reason:
1. Alignment with Requirements: Model 1 strictly adheres to the workflow described in the prompt. It models the long list, scouting assignments, reporting with specific recommendation outcomes, and state transitions (short-listed, recommended, offer made). Model 2 fails to properly capture the long list and short list mechanisms, arbitrarily embedding a short list into a scouting assignment.
2. Conceptual Classes and Relationships: Model 1 accurately applies UML relationships, including correct generalization, composition, and associations with proper cardinalities mapping players to their assignments and reports. Model 2 contains fundamental UML flaws, most notably backward inheritance arrows (making Employee a subclass of the specific roles) and invalid association targets.
3. Clarity in Class Names and Attributes: Model 1 makes excellent use of enumerations to capture the constrained lists in the requirements (e.g., positions, recommendations) and maintains clean class structures. Model 2 struggles with redundancy, mixing attributes and object references poorly.
4. Overall judgment: Model 1 is a highly accurate, structurally sound, and comprehensive representation of the requirements. Model 2 suffers from missing requirements, poor domain logic, and several UML syntax/semantic errors, making Model 1 significantly better.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</si>
  <si>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</si>
  <si>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and Functional Completeness: Model 1 = 2, Model 2 = 5; Evidence: Model 1 puts `shortList` as an attribute of `ScoutingAssignment`, which contradicts the requirement that assignments are for investigating a specific player and the short list is decided later. Model 1 also has `HeadScout` recommending a `PlayerProfile` instead of a player. Model 2 accurately covers the workflow, capturing the long list via `LongListEntry`, assignments linked to a specific `Player` and `Scout`, scouting reports, and the short list/recommendation via `ScoutingState` on a `ScoutingRecord`.
2. Conceptual Classes and Relationships: Model 1 = 2, Model 2 = 5; Evidence: Model 1 misses the conceptual relationship between a scout noting a player and the target profile (it just has `Scout --&gt; "*" Player : notes`). Model 2 correctly links `LongListEntry` to both `Player` and `TargetProfile`. Model 2 also correctly models `HeadScout` as a subclass of `Scout` (`Scout &lt;|-- HeadScout`), whereas Model 1 makes them siblings. Model 2 uses appropriate relationship types like composition (`TargetProfile *-- "*" Attribute`).
3. Clarity in Class Names and Attributes: Model 1 = 3, Model 2 = 5; Evidence: Model 1 uses raw strings for bounded concepts (e.g., `targetPosition : String`, `recommendation : String`). Model 2 uses precise enums (`Position`, `Recommendation`) directly mirroring the examples in the prompt, and clearly segregates domain concepts into classes like `TargetProfile`, `ScoutingAssignment`, and `Offer`.
Total: Model 1 = 7, Model 2 = 15
Choice: B
Reason:
1. Alignment and Functional Completeness: Model 2 perfectly captures the requirements, including tracking players from the long list to the short list and eventually making an offer. Model 1 fails to model the lists properly, incorrectly embedding a `shortList` of multiple players inside a single `ScoutingAssignment`, and having the Head Scout recommend a `PlayerProfile` instead of an actual player.
2. Conceptual Classes and Relationships: Model 2 excels at connecting the entities accurately. It uses a `LongListEntry` to correctly associate a player with the matched profile and the logging scout. Model 2 also properly utilizes inheritance, accurately making `HeadScout` inherit from `Scout`. Model 1's associations are vague or conceptually flawed (e.g., `HeadCoach --&gt; "*" PlayerProfile : decides`).
3. Clarity in Class Names and Attributes: Model 2 introduces highly relevant enums (`Position`, `Recommendation`) that capture the exact examples provided in the requirements, leading to a much stronger domain model.
4. Overall judgment: Model 2 provides a comprehensive, accurate, and structurally sound representation of the domain described in the text, whereas Model 1 struggles with incorrect associations, misplaced attributes, and a failure to capture the list mechanics properly. Therefore, Model 2 is much better.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</si>
  <si>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</si>
  <si>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correctly includes classes and enums for all domain concepts, including `LongListEntry`, `ScoutingRecord` (to handle states like short list), and `Offer`. Model 2 misses classes or clear representations for the long list, short list (modeled incorrectly as a list inside an assignment), and official offers.
2. Associations/Multiplicities between classes for domain reasoning: Model 1 = 5, Model 2 = 2; Evidence: Model 1 correctly links `LongListEntry` to `Player` and `TargetProfile`, and handles the assignment-to-report flow well. Model 2 is missing the relationship between a scout noting a player and the target profile for the long list, and it applies a flawed domain model where `ScoutingAssignment` investigates a `PlayerProfile` rather than a specific `Player`.
3. Model attributes with appropriate data types: Model 1 = 5, Model 2 = 3; Evidence: Model 1 extensively uses specific Enums (`Position`, `Recommendation`, `ScoutingState`) which perfectly align with the text's examples. Model 2 uses basic `String` types for these and incorrectly places `shortList : List&lt;Player&gt;` as an attribute inside `ScoutingAssignment`, which contradicts the domain where the short list is a global club status, not a per-assignment property.
4. Consistencies of Terminology with given context: Model 1 = 5, Model 2 = 3; Evidence: Model 1 uses terms from the text exactly (e.g., `TargetProfile`, `LongListEntry`, `Recommendation`). Model 2 misses "Long List", "Offer", and changes target profile to `PlayerProfile`.
5. Adherence of UML class diagram standards: Model 1 = 5, Model 2 = 2; Evidence: Model 1 fully adheres to UML standards with correct inheritance (`Employee &lt;|-- HeadCoach` means HeadCoach inherits from Employee). Model 2 has backwards inheritance (`Employee --|&gt; HeadCoach` makes Employee the subclass) and creates syntax issues by linking an association to a property name (`ScoutingReport --&gt; "1" relatedAssignment`) instead of the actual class (`ScoutingAssignment`).
Total: Model 1 = 25, Model 2 = 13
Choice: A
Reason:
1. Appropriate conceptual classes aligned with the domain: Model 1 precisely identifies all necessary domain classes, including explicit classes/enums for Long List, Short List (via state), and Offers. Model 2 misses several key concepts like the long list and official offers.
2. Associations/Multiplicities between classes for domain reasoning: Model 1 successfully captures the workflow of scouts logging players against target profiles and assignments investigating specific players. Model 2 fails to properly link players to profiles during the scouting phase and incorrectly links assignments to profiles rather than players.
3. Model attributes with appropriate data types: Model 1 leverages enumerations for roles, positions, and recommendations, capturing the requirement's constraints perfectly. Model 2 relies entirely on strings and semantically misplaces the `shortList` inside a single scouting assignment.
4. Consistencies of Terminology with given context: Model 1 perfectly mirrors the prompt's vocabulary. Model 2 omits or slightly alters several key terms.
5. Adherence of UML class diagram standards: Model 1 uses standard PlantUML syntax flawlessly. Model 2 contains backwards generalization arrows and improper association targets.
6. Overall judgment: Model 1 is an excellent, highly accurate representation of the domain with correct UML syntax and strong domain reasoning. Model 2 suffers from backwards inheritance, missing conceptual classes, and flawed domain relationships. Model 1 is vastly superior.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</si>
  <si>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</si>
  <si>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3, Model 2 = 5; Evidence: Model 1 misses an explicit `Offer` class (using an association instead) and fails to properly conceptualize the long list and short list. Model 1 also models `HeadScout` and `Scout` as direct siblings rather than making `HeadScout` a subclass of `Scout`. Model 2 includes `LongListEntry`, `TargetProfile`, `Offer`, and uses a `ScoutingRecord` to track state (Long List, Short List), accurately capturing the domain concepts.
2. Associations/Multiplicities between classes for domain reasoning: Model 1 = 2, Model 2 = 5; Evidence: In Model 1, `ScoutingAssignment` investigates a `PlayerProfile` instead of a specific `Player`, which makes no domain sense. Furthermore, its associations often lack multiplicities on one side or incorrectly use simple strings/lists for complex relations. Model 2 properly links `ScoutingAssignment` to a `Player` and an assigned `Scout`, connects `LongListEntry` to both a `Player` and a `TargetProfile`, and links `Offer` to the `Player`.
3. Model attributes with appropriate data types: Model 1 = 2, Model 2 = 5; Evidence: Model 1 incorrectly models `shortList` as a `List&lt;Player&gt;` inside `ScoutingAssignment`. It also relies entirely on basic `String` types for constrained fields like `recommendation` and `targetPosition`. Model 2 effectively uses Enums (`Position`, `Recommendation`, `ScoutingState`) for constrained domain vocabularies and appropriately types standard fields (e.g., `Date`, `double`).
4. Consistencies of Terminology with given context: Model 1 = 3, Model 2 = 5; Evidence: Model 1 uses some correct terminology but misplaces terms like `shortList` within an assignment rather than as a status or a club-wide list. It also places a `decision` attribute inside the `ScoutingReport` when the decision is made after comparing reports. Model 2 perfectly mirrors the prompt's vocabulary (`TargetProfile`, `LongListEntry`, `ScoutingAssignment`, `Offer`, and `Recommendation`).
5. Adherence of UML class diagram standards: Model 1 = 4, Model 2 = 5; Evidence: Both models use valid PlantUML syntax. Model 1 has a slight redundancy where `relatedAssignment` is both an attribute and an association target. Model 2 properly uses compositions (`*--`), inheritances (`&lt;|--`), and explicit enums, fully adhering to standard UML modeling practices.
Total: Model 1 = 14, Model 2 = 25
Choice: B
Reason:
1. Appropriate conceptual classes aligned with the domain: Model 2 introduces specific, necessary classes such as `Offer` and `LongListEntry` and correctly structures the employee hierarchy (HeadScout extending Scout). Model 1 misses the `Offer` class and struggles to represent the lists correctly.
2. Associations/Multiplicities between classes for domain reasoning: Model 2 creates a fully traceable workflow where assignments target players and are completed by scouts, culminating in offers. Model 1 incorrectly points assignments to player profiles rather than actual players.
3. Model attributes with appropriate data types: Model 2's use of enumerations perfectly captures the fixed choices mentioned in the prompt (e.g., GK, LB, CM for positions; Key Player, Reserve Team for recommendations). Model 1 relies on unconstrained strings.
4. Overall judgment: Model 2 provides a highly accurate, robust, and well-structured representation of the scouting workflow. Model 1 suffers from serious domain inaccuracies, poor association mappings, and weak attribute typing. Therefore, Model 2 is significantly better.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</si>
  <si>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</si>
  <si>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3; Evidence: Model 1 achieves high cohesion by separating the scouting workflow into distinct, purpose-driven classes (`LongListEntry`, `ScoutingAssignment`, `ScoutingReport`, `Offer`). Model 2 reduces cohesion by mixing lists and assignments, explicitly placing `shortList : List&lt;Player&gt;` as an attribute within `ScoutingAssignment`, coupling two distinct domain concepts.
2. Complexity: Model 1 = 5, Model 2 = 2; Evidence: Model 1 handles complexity elegantly with a clear inheritance depth of 2 (`Employee &lt;|-- Scout &lt;|-- HeadScout`) and uses Enums for closed lists like positions and recommendations. Model 2 struggles with conceptual complexity due to invalid inheritance syntax (`Employee --|&gt; HeadCoach` indicates that `Employee` is a subclass of `HeadCoach`, which fundamentally breaks the object-oriented structure).
3. Practicability: Model 1 = 5, Model 2 = 2; Evidence: Model 1 is highly practical, capturing the entire real-world workflow from the long list to an official offer using `ScoutingRecord` and its `ScoutingState` enum. Model 2 omits the "long list" entirely and models the final official offer merely as a `makesOffer` association without an `Offer` class to store offer details (e.g., amount, date), limiting its viability in a real application.
Total: Model 1 = 15, Model 2 = 7
Choice: A
Reason:
1. Cohesion and Decoupling: Model 1 maintains low coupling and high cohesion by dedicating specific classes to individual tasks (e.g., separating the assignment from the report and the long list entry). Model 2 clumps unrelated data together, such as storing the short list inside a scouting assignment.
2. Complexity: Model 1 properly implements generalization to model roles and uses enums to constrain specific domain values. Model 2 incorrectly points the UML generalization arrows (using `--|&gt;` from Employee to the specific roles), inadvertently making the generic Employee class inherit from the specific roles.
3. Practicability: Model 1 accurately reflects the business process outlined in the requirements. It maps out the long list, short list transitions, and the final offer. Model 2 misses key elements of the workflow (no long list, no offer entity) and relies heavily on primitive Strings for elements that should be structurally defined.
4. Overall judgment: Model 1 demonstrates a mature, robust, and accurate representation of the scouting system, perfectly aligning with all requirements and UML best practices. Model 2 suffers from syntax errors in its inheritance tree and fails to capture critical domain structures.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</si>
  <si>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</si>
  <si>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5; Evidence: In Model 1, `ScoutingAssignment` contains `shortList : List&lt;Player&gt;` and `scoutingResults : List&lt;String&gt;`, which reduces cohesion since an assignment to evaluate a single player shouldn't contain the entire short list. Model 2 maintains high cohesion by separating concerns into `LongListEntry`, `ScoutingAssignment`, and `ScoutingRecord`, ensuring each class manages only its specific domain concept without unnecessary coupling.
2. Complexity: Model 1 = 3, Model 2 = 5; Evidence: Model 1 uses primitive strings for complex domain types (e.g., `targetPosition : String`, `recommendation : String`) and has 11 standard classes. Model 2 introduces 12 classes and 3 enumerations (`Position`, `Recommendation`, `ScoutingState`), balancing complexity by using appropriate data structures for defined sets of values (e.g., `KEY_PLAYER`, `FIRST_TEAM`) as requested in the prompt.
3. Practicability: Model 1 = 3, Model 2 = 5; Evidence: Model 2 explicitly models domain workflows required for practicability, such as tracking a player's progress through `ScoutingRecord` (using `ScoutingState`), and handles the final step with a dedicated `Offer` class. Model 1 struggles to represent the long list/short list dynamic properly and relies on vague associations like `HeadCoach --&gt; "*" PlayerProfile : decides`.
Total: Model 1 = 9, Model 2 = 15
Choice: B
Reason:
1. Cohesion and Decoupling: Model 2 is superior because it delegates responsibilities appropriately (e.g., separating the assignment details from the scouting report and the overall tracking record). Model 1 awkwardly places the `shortList` inside `ScoutingAssignment`, which violates high cohesion.
2. Complexity: Model 2 perfectly maps the domain requirements into its structure, using enums for positions and recommendations to constrain values exactly as described in the prompt. Model 1 oversimplifies these constraints into basic strings, making the system more prone to errors and harder to scale.
3. Practicability: Model 2 offers a much more readable and implementable design for a real-world application. It introduces classes like `LongListEntry` and `Offer` to capture specific business processes, whereas Model 1 misses the final offer process structurally and fails to distinguish between long-listed and short-listed states effectively.
4. Overall judgment: Model 2 demonstrates a deeper understanding of real-world software design, utilizing enumerations, state tracking, and clear separation of concerns, making it significantly better than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</si>
  <si>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</si>
  <si>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the given requirement: Model 1 = 5, Model 2 = 2; Evidence: Model 1 successfully captures all required functionalities without hallucinations, explicitly modeling the "Long List" (`LongListEntry`), "Short List" (`ShortListEntry`), and official offers (`ContractOffer`). Model 2 omits the Long List entirely, incorrectly models the Short List as a `List&lt;Player&gt;` attribute within `ScoutingAssignment`, and introduces a hallucinated `Team` class.
2. Conceptual classes and their relationships accurately represent essentials: Model 1 = 5, Model 2 = 2; Evidence: Model 1 correctly connects `ScoutingAssignment` to a specific `Player` being investigated. Model 2 wrongly links `ScoutingAssignment` to `PlayerProfile` for investigation, failing to represent that scouts investigate actual players, not abstract profiles. Additionally, Model 1 correctly includes both the Head Coach and Head Scout in the approval of the short list, while Model 2 misses this collaborative relationship.
3. Detailed focus on associations, cardinalities, and relationship types: Model 1 = 5, Model 2 = 2; Evidence: Model 1 applies the correct inheritance syntax (`Employee &lt;|-- HeadCoach`, meaning `HeadCoach` extends `Employee`), proper cardinalities (e.g., `1` to `0..*`), and appropriate associations for assignments. Model 2 uses backwards inheritance syntax (`Employee --|&gt; HeadCoach`, which makes `Employee` inherit from the roles), uses vague `*` multiplicities instead of bounded ranges, and lacks a clear assignment relationship between a `Scout` and a `ScoutingAssignment`. 
4. Clarity in class names and optional inclusion of attributes: Model 1 = 5, Model 2 = 3; Evidence: Model 1 excellently uses an enumeration for `Recommendation` as explicitly required (e.g., `KEY_PLAYER`, etc.) and clear attributes. Model 2 uses basic `String` types for recommendations and incorrectly handles associations as collection attributes (e.g., `shortList : List&lt;Player&gt;`), which bypasses proper UML relationship modeling.
Total: Model 1 = 20, Model 2 = 9
Choice: A
Reason:
1. Alignment with the given requirement: Model 1 rigorously covers all steps of the scouting process, including the target profile creation, long list evaluation, assignment creation, reporting, short list refinement, and the final contract offer. Model 2 misses the long list and heavily misplaces the short list concept.
2. Conceptual classes and their relationships: Model 1 makes logical connections, such as a scout investigating a specific player for an assignment. Model 2 nonsensically has scouting assignments investigate player profiles. 
3. Associations, cardinalities, and relationship types: Model 1 showcases excellent UML mechanics, properly establishing cardinalities and inheritance. Model 2 contains fundamentally reversed inheritance arrows making `Employee` a subclass of the specific roles, and relies on attributes for relationships instead of association lines.
4. Overall judgment: Model 1 is a highly accurate, domain-faithful, and technically correct UML representation of the requirements. Model 2 struggles with fundamental UML inheritance syntax, omits crucial workflow steps, and misrepresents the domain logic. Model 1 is vastly superior.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</si>
  <si>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</si>
  <si>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Model 1 = 2, Model 2 = 5; Evidence: Model 1 models the short list as a `List&lt;Player&gt;` attribute inside `ScoutingAssignment`, which incorrectly implies short lists are specific to individual assignments. It entirely misses the "long list" concept except as a vague `Scout --&gt; Player : notes` association. Model 2 explicitly models `LongListEntry` and `ShortListEntry` as association classes/entities linking players to target profiles, perfectly capturing the requirement. Model 2 also correctly models the recommendation options using an Enum (`Recommendation`), and includes a `ContractOffer` class for the director's official offer, whereas Model 1 only has a vague `makesOffer` association. Model 2 explicitly defines cardinalities for all associations, whereas Model 1 lacks full multiplicity definition on both ends of associations.
Total: Model 1 = 2, Model 2 = 5
Choice: B
Reason:
1. Requirement Alignment: Model 2 aligns much more strictly with the requirements. It successfully captures the workflow using intermediary workflow concepts like `LongListEntry`, `ShortListEntry`, and `ContractOffer`. This allows it to properly relate Players to TargetProfiles during the long-list and short-list phases, and assign approvals appropriately. Model 1 struggles with these lists, inappropriately nesting the short list inside `ScoutingAssignment` as an attribute, which breaks the domain logic. Furthermore, Model 2 captures the exact values for recommendations via the `Recommendation` enumeration as requested, while Model 1 just uses a generic `String`.
2. Overall judgment: Model 2 demonstrates superior domain modeling, accurately capturing the entities, associations, and workflow specified in the prompt without violating any business constraints. Model 1 is incomplete and models the scouting phases inaccurately.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</si>
  <si>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</si>
  <si>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3; Evidence: Model 1 correctly identifies all key domain concepts including `LongListEntry`, `ShortListEntry`, `TargetProfile`, and `ContractOffer`. Model 2 misses the "long list" entirely and models the "short list" as a `List&lt;Player&gt;` attribute within `ScoutingAssignment`, which fails to capture the conceptual workflow where assignments are made for short-listed players.
2. Associations/Multiplicities between classes for domain reasoning: Model 1 = 5, Model 2 = 2; Evidence: Model 1 accurately captures the domain reasoning, such as `HeadScout` assigning `ScoutingAssignment` to `Scout`, and both `HeadCoach` and `HeadScout` approving `ShortListEntry`. Model 2 misses the link between a scout and a specific assignment, incorrectly associates `ScoutingAssignment` with `PlayerProfile` rather than a specific `Player`, and has backward inheritance directions (e.g., `Employee --|&gt; HeadCoach` means `Employee` inherits from `HeadCoach`).
3. Model attributes with appropriate data types: Model 1 = 5, Model 2 = 3; Evidence: Model 1 utilizes highly appropriate data types and enumerations (e.g., `Recommendation`, `AssignmentStatus`), capturing attributes like pros, cons, and dates accurately. Model 2 relies heavily on raw `String` types for complex attributes (e.g., `scoutingResults : List&lt;String&gt;`) and incorrectly embeds `shortList : List&lt;Player&gt;` within `ScoutingAssignment`. 
4. Consistencies of Terminology with given context: Model 1 = 5, Model 2 = 3; Evidence: Model 1 uses the exact terminology from the prompt (`TargetProfile`, `TargetPosition`, `LongListEntry`, `ShortListEntry`). Model 2 deviates slightly with `PlayerProfile` and misses the critical "long list" terminology altogether.
5. Adherence of UML class diagram standards: Model 1 = 5, Model 2 = 2; Evidence: Model 1 forms a structurally sound and syntactically correct PlantUML diagram. Model 2 violates standard UML inheritance notation by placing the triangle arrow pointing towards the subclass (`Employee --|&gt; HeadCoach`), and it redundantly models associations both as text attributes (`relatedAssignment : ScoutingAssignment`) and as relationship lines.
Total: Model 1 = 25, Model 2 = 13
Choice: A
Reason:
1. Appropriate conceptual classes aligned with the domain: Model 1 perfectly extracts the core domain classes, especially the intermediate list entries (Long/Short lists) required to track the progression of a player. Model 2 lacks the long list concept and poorly structures the short list.
2. Associations/Multiplicities between classes for domain reasoning: Model 1's relationships map cleanly to the business logic described in the prompt. Model 2 completely misunderstands the inheritance relationship between Employee and the specific roles (pointing the arrow backward), and fails to associate scouting assignments with the individual players being investigated.
3. Model attributes with appropriate data types: Model 1 uses well-defined Enums for the explicit recommendation types and assignment statuses mentioned in the prompt. Model 2 defaults to basic String/List structures.
4. Overall judgment: Model 1 is an excellent, highly accurate UML representation of the provided requirements. Model 2 suffers from critical UML notation errors (reversed inheritance), domain inaccuracies (missing long lists, misplaced short lists), and weaker attribute typing. Therefore, Model 1 is far superior.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</si>
  <si>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</si>
  <si>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3, Model 2 = 5; Evidence: Model 1 misses explicit classes for the "Long List" and "Short List" (attempting to incorrectly embed the short list as a List attribute in `ScoutingAssignment`), whereas Model 2 accurately captures `LongListEntry` and `ShortListEntry` as specific domain concepts. Model 2 also correctly represents the `Recommendation` choices as an Enum.
2. Associations/Multiplicities between classes for domain reasoning: Model 1 = 2, Model 2 = 5; Evidence: Model 1 completely misses the association between a scouting assignment and the specific `Player` being investigated (incorrectly linking it to `PlayerProfile`). Model 2 correctly connects `ScoutingAssignment` to `Player` and `Scout`, and effectively models the joint decision for the short list by associating both `HeadCoach` and `HeadScout` to `ShortListEntry`.
3. Model attributes with appropriate data types: Model 1 = 2, Model 2 = 5; Evidence: Model 1 uses raw generic lists (`List&lt;Player&gt;`, `List&lt;Attribute&gt;`) instead of proper UML associations, and erroneously places `shortList` inside `ScoutingAssignment`. Model 2 defines precise attributes with appropriate data types (e.g., UUID, Date, String) and leverages enums (`Recommendation`) for constrained choices defined in the prompt.
4. Consistencies of Terminology with given context: Model 1 = 3, Model 2 = 5; Evidence: Model 1 drops the "Long List" terminology completely and refers to the short list only as a misplaced attribute. Model 2 precisely uses "LongListEntry", "ShortListEntry", "TargetProfile", and explicitly lists the exact recommendation types ("KEY_PLAYER", etc.) mentioned in the requirements.
5. Adherence of UML class diagram standards: Model 1 = 2, Model 2 = 5; Evidence: Model 1 creates reverse inheritance relationships (`Employee --|&gt; HeadCoach` makes `Employee` inherit from `HeadCoach` in PlantUML syntax) and duplicates association links as textual attributes (e.g., `relatedAssignment : ScoutingAssignment` inside `ScoutingReport` alongside the association line). Model 2 correctly models inheritance (`Employee &lt;|-- HeadCoach`), utilizes directional labels, and maintains perfectly compliant multiplicities and associations.
Total: Model 1 = 12, Model 2 = 25
Choice: B
Reason:
1. Appropriate conceptual classes aligned with the domain: Model 2 completely encapsulates all domain concepts, notably introducing proper entry classes for the Short and Long lists. Model 1 ignores these or improperly condenses them.
2. Associations/Multiplicities between classes for domain reasoning: Model 2 accurately reflects the business logic, correctly routing Head Scout and Head Coach approvals to the Short List, and linking assignments directly to scouts and players. Model 1 contains fatal domain logic errors, such as having a scouting assignment investigate a "PlayerProfile" rather than a player.
3. Model attributes with appropriate data types: Model 2 uses appropriate primitives, enums, and dates. Model 1 violates UML norms by dumping complex domain objects (like `Player`) into `List&lt;Player&gt;` typed attributes rather than utilizing associations, and poorly delegates domain lists.
4. Adherence of UML class diagram standards: Model 1 incorrectly draws its inheritance arrows backward, meaning all specialized roles become superclasses to `Employee`. Model 2 executes perfect PlantUML syntax and adheres strictly to UML conventions.
5. Overall judgment: Model 2 is an expertly crafted UML diagram that perfectly adheres to both the domain logic and UML syntax. Model 1 suffers from fundamental domain misunderstandings, backward inheritance lines, and poor attribute typing. Therefore, Model 2 is substantially better.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</si>
  <si>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</si>
  <si>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effectively decouples the concepts of "Long List" and "Short List" into distinct conceptual entry classes (`LongListEntry`, `ShortListEntry`) that connect a `Player` to a `TargetProfile`. Model 2 poorly couples the "short list" concept as an attribute inside `ScoutingAssignment` (`shortList : List&lt;Player&gt;`), which violates cohesion as assignments and lists serve distinct functional purposes.
2. Complexity: Model 1 = 5, Model 2 = 3; Evidence: Model 1 leverages UML features optimally, using Enums (`Recommendation`, `AssignmentStatus`) to constrain values appropriately and utilizing association classes/intermediate entities to resolve domain complexity logically. Model 2 struggles with complexity management, redundantly defining `List&lt;Attribute&gt;` as an attribute in `PlayerProfile` while also drawing an association to the `Attribute` class, and using primitive collections (`List&lt;String&gt;`) for `pros` and `cons` rather than structuring the report logically.
3. Practicability: Model 1 = 5, Model 2 = 2; Evidence: Model 1 provides a highly practical design where the workflow from `LongListEntry` to `ScoutingAssignment`, then to `ScoutingReport`, and finally to `ContractOffer` tracks perfectly with the requirement. Model 2 lacks an official offer class (only an association `makesOffer` from `Director` to `Player`) and incorrectly models `HeadScout` as a direct subclass of `Employee` rather than `Scout`, which means `HeadScout` would not inherit scout behaviors required by the text.
Total: Model 1 = 15, Model 2 = 8
Choice: A
Reason:
1. Cohesion and Decoupling: Model 1 demonstrates superior decoupling by modeling list entries and assignments as separate classes. Model 2 lumps the short list into `ScoutingAssignment` as a list attribute, mixing two distinct domain concepts and reducing cohesion.
2. Complexity: Model 1's complexity is well-calibrated to the requirements, introducing domain-accurate classes like `ContractOffer` and enums for restricted values. Model 2 introduces redundant structures (defining attributes as lists within the class while also showing associations) and misses intermediate workflow entities, leading to an overly simplistic yet tangled design.
3. Practicability: Model 1 perfectly aligns with the real-world workflow requested, showing clear progression from long lists to assignments, reports, short lists, and offers. Model 2 fails to properly capture the inheritance of `HeadScout` (who should inherit from `Scout` to carry out scouting assignments), misses the explicit representation of an offer, and incorrectly links assignments to investigating a `PlayerProfile` rather than a specific `Player`.
4. Overall judgment: Model 1 offers a highly cohesive, practically structured, and domain-accurate representation of the scouting system, correctly translating all business rules into robust UML semantics. Model 2 is flawed in both domain accuracy and UML structural choices. Therefore, Model 1 is significantly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</si>
  <si>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</si>
  <si>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places `shortList : List&lt;Player&gt;` and `scoutingResults : List&lt;String&gt;` as attributes within `ScoutingAssignment`, reducing cohesion by mixing assignment tracking with global list management. Model 2 decouples these concerns by introducing dedicated `LongListEntry` and `ShortListEntry` classes, linking them independently to `Player` and `TargetProfile`.
2. Complexity: Model 1 = 3, Model 2 = 5; Evidence: Model 1 uses 11 classes but under-represents domain concepts, relying on `List&lt;String&gt;` for results and omitting a long list entirely. Model 2 appropriately scales complexity with 14 conceptual classes and 2 enums (`Recommendation`, `AssignmentStatus`), accurately capturing the requirements without overloading attributes. Furthermore, Model 2 properly utilizes the inheritance tree by making `HeadScout` a subclass of `Scout`, whereas Model 1 makes them siblings inheriting directly from `Employee`.
3. Practicability: Model 1 = 2, Model 2 = 5; Evidence: Model 1 includes inaccurate representations of the business logic, such as `HeadCoach --&gt; "*" PlayerProfile : decides` (instead of deciding on short-listed players) and `Director --&gt; "*" Player : makesOffer` without capturing the offer details. Model 2 provides a highly practical, readable, and modular design where domain workflows are clear (e.g., `Director` making a `ContractOffer` to a `Player`, and `ScoutingReport` cleanly tying to `ScoutingAssignment` with structured enums for recommendations).
Total: Model 1 = 7, Model 2 = 15
Choice: B
Reason:
1. Cohesion and Decoupling: Model 2 exhibits much higher cohesion and lower coupling by separating concerns into distinct classes like `LongListEntry` and `ShortListEntry`. Model 1 improperly couples the shortlist and results to the `ScoutingAssignment` class as list attributes.
2. Complexity: Model 2 balances conceptual complexity perfectly. It introduces enums for bounded choices (e.g., `Recommendation`) and explicitly models domain entities requested in the prompt, whereas Model 1 relies too heavily on primitive string lists and attributes. 
3. Practicability: Model 2 maps directly to the real-world workflow described in the prompt. The associations strictly follow the rules (e.g., head coach and head scout approving short list entries, director making explicit contract offers). Model 1 has confusing relationships that do not align with the text, making it much less practical for actual software implementation.
4. Overall judgment: Model 2 is superior because it accurately identifies the necessary domain entities, structures its inheritance logically, and maintains high cohesion and clarity, making it highly practical for software development. Model 1 is incomplete and structurally flawed in its associations.
```</t>
  </si>
  <si>
    <t>TileOGame</t>
  </si>
  <si>
    <t>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</si>
  <si>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</si>
  <si>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Requirements Alignment and Domain Concepts: Model 1 = 4, Model 2 = 3; Evidence: Both models identify core concepts like Game, Player, Tile, ActionTile, Deck, ActionCard, and Die. Model 2 includes a specific `ConnectionPiece` class, which aligns well with the physical board game domain, whereas Model 1 abstracts spare pieces into an integer (`spareConnectionPieces`) and placed pieces into direct associations between tiles. However, Model 1 accurately models the "hidden tile" as a boolean (`isHidden`) which allows any tile to be designated as hidden without altering its class structure, whereas Model 2 uses a `HiddenTile` subclass which is more rigid.
2. Associations, Cardinalities, and Relationships: Model 1 = 5, Model 2 = 1; Evidence: The prompt explicitly asks for a detailed focus on "the associations between classes, their cardinalities". Model 1 provides exhaustive and highly accurate multiplicities across the board, perfectly enforcing requirements: `"2..4" Player`, `"32" ActionCard`, and `0..1` for `rightTile`, `leftTile`, `topTile`, and `bottomTile` (enforcing "At the most one tile can be connected on each side"). Model 2 fails to provide almost any multiplicities on its associations, entirely missing the structural enforcement of 2-4 players, 32 cards, 32 connection pieces, and the maximum of 1 connection per tile side.
Total: Model 1 = 9, Model 2 = 4
Choice: A
Reason:
1. Requirements Alignment and Domain Concepts: Model 2 introduces physical concepts like `ConnectionPiece` and `ConnectionPiecePile`, which are good visual representations. Model 1 approaches connection pieces slightly more abstractly by keeping track of the count of spare pieces and using directional associations (`rightTile`, `leftTile`, etc.) to represent active connections. Both representations achieve the required domain logic, but Model 1 is more flexible regarding the hidden tile by assigning it as a boolean rather than a static subclass (`HiddenTile` in Model 2), which better represents how a designer selects a regular tile to be hidden.
2. Associations, Cardinalities, and Relationships: Model 1 completely outperforms Model 2 in this critical requirement. Model 1 utilizes structural UML features (cardinalities) to perfectly limit the game to 2 to 4 players, guarantee exactly 32 action cards, and ensure that each side of a tile can only connect to at most one other tile (`0..1`). Model 2 omits almost all numerical multiplicities on its associations, relying only on unstructured lines or internal arrays without fixed sizes, thereby failing to enforce the strict numerical constraints defined in the text.
3. Rejected or checked issues: Model 2's explicit `TileColor` enum with `WHITE` and `BLACK` is a nice literal translation of the requirement, but Model 1's `isVisited: boolean` is semantically equivalent for state tracking and is not penalized. 
4. Overall judgment: Model 1 is much stronger because it successfully leverages UML associations and multiplicities to enforce the strict constraints of the game (exact counts for players, cards, and tile connections), whereas Model 2 completely neglects cardinalities, making its diagram structurally incomplete.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</si>
  <si>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</si>
  <si>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Requirements Alignment: Model 1 = 5, Model 2 = 4; Evidence: Model 1 captures all required functionalities including the pile of 32 spare connection pieces and the ability to add/remove them from specific tiles. Model 2 represents spare connection pieces merely as an integer (`spareConnectionPieces: int` in `Game`) and does not explicitly model the physical connection pieces being placed on or removed from the board, limiting its alignment with the gameplay mechanics.
2. Conceptual Classes and Relationships: Model 1 = 5, Model 2 = 3; Evidence: Model 1 accurately includes essential conceptual classes like `ConnectionPiece`, `ConnectionPiecePile`, `HiddenTile`, and `ActionTile`. Model 2 misses the `ConnectionPiece` class entirely, relying on unidirectional tile associations (`rightTile`, `leftTile`) and boolean flags (`isConnectedRight`), which fails to conceptually represent the movable connection pieces described in the requirements.
3. Associations, Cardinalities, and Relationship Types: Model 1 = 2, Model 2 = 5; Evidence: Model 1 completely omits all cardinalities/multiplicities on its associations (e.g., `Game *-- GameBoard`, `ConnectionPiece --&gt; Tile`), which is a significant omission given the prompt's specific instruction. Model 2 includes detailed and accurate cardinalities (e.g., `Game "1" *-- "2..4" Player`, `Deck "1" *-- "32" ActionCard`), strictly following the detailed focus requirement.
4. Clarity in Class Names and Attributes: Model 1 = 5, Model 2 = 4; Evidence: Model 1 uses clear enums for restricted choices (`ActionCardType`, `PlayingPieceColor`, `TileColor`) and includes appropriate attributes for cooldowns (`cooldownTurns` in `ActionTile`). Model 2 relies on generic types like `String` for `color` and includes slightly less descriptive state tracking.
Total: Model 1 = 17, Model 2 = 16
Choice: A
Reason:
1. Requirements Alignment: Model 1 successfully incorporates all aspects of the game design and gameplay, including the manipulation of connection pieces. Model 2 simplifies the connection pieces into an integer counter and boolean flags, which struggles to support the requirement of placing and removing pieces between specific tiles.
2. Conceptual Classes and Relationships: Model 1 defines a robust domain model with distinct classes for `ConnectionPiece`, `ConnectionPiecePile`, and `Deck`. Model 2 is conceptually weaker due to the absence of a `ConnectionPiece` class, which is a core physical element of the board game. 
3. Associations, Cardinalities, and Relationship Types: Model 2 is far superior in this aspect, providing exact multiplicities (`2..4`, `32`, etc.) as requested by the prompt. Model 1 completely ignores cardinalities, which is its primary weakness.
4. Clarity in Class Names and Attributes: Model 1 utilizes enums and detailed attributes (e.g., `currentCooldown`) that map perfectly to the requirement's descriptions, whereas Model 2 uses basic Strings for attributes like color.
5. Overall judgment: While Model 2 strictly follows the UML cardinality requirements, Model 1 provides a significantly more accurate and comprehensive conceptual domain model. The presence of actual classes for essential game components (like connection pieces) makes Model 1 functionally superior for a board game application, outweighing its lack of multiplicity notations. Therefore, Model 1 is slightly better overall.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</si>
  <si>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</si>
  <si>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4, Model 2 = 5; Evidence: Model 1 identifies core classes like `Game`, `Board`, `Tile`, `Player`, and `ActionCard`, but simplifies `ConnectionPiece` to an integer count and direct associations. Model 2 explicitly models `ConnectionPiece` and `ConnectionPiecePile`, which perfectly aligns with the domain where these pieces are tangible items moved between the board and a spare pile.
2. Associations/Multiplicities between classes for domain reasoning: Model 1 = 5, Model 2 = 2; Evidence: Model 1 accurately models critical domain constraints using multiplicities, such as `Game "1" *-- "2..4" Player`, `Deck "1" *-- "32" ActionCard`, and `Tile --&gt; "0..1" Tile` for the four directions. Model 2 almost completely omits multiplicities across its associations (e.g., `Game --&gt; Player`, `Deck *- ActionCard`), failing to represent key constraints like 2-4 players or 32 action cards in its relationships.
3. Model attributes with appropriate data types: Model 1 = 4, Model 2 = 4; Evidence: Both models identify important attributes. Model 1 tracks connection states directly in `Tile` (`isConnectedRight`, etc.) and effectively uses `turnsAsRegular` and `turnsRemaining` for the action tile's state change. Model 2 uses appropriate enumerations (`PlayingPieceColor`, `TileColor`) and tracks action tile states via `cooldownTurns`, though it relies on arrays (`ActionCard[]`) rather than standard UML multiplicities to denote collections.
4. Consistencies of Terminology with given context: Model 1 = 5, Model 2 = 4; Evidence: Model 1 closely mirrors the prompt's language (e.g., `turnsAsRegular`, `spareConnectionPieces`, `isNextTurnLost`). Model 2 introduces slightly different terminology like `cooldownTurns` and `HiddenTile` as a subclass (the requirement states the designer indicates *the* hidden tile, meaning it's a property rather than a fundamentally different structural type), though it still generally aligns with the context.
5. Adherence of UML class diagram standards: Model 1 = 5, Model 2 = 4; Evidence: Model 1 forms a complete and well-structured UML diagram with strict adherence to notation, relationships, and multiplicities. Model 2 is syntactically valid in PlantUML but the widespread omission of multiplicities makes it incomplete as a detailed UML class diagram.
Total: Model 1 = 23, Model 2 = 19
Choice: A
Reason:
1. Appropriate conceptual classes aligned with the domain: Model 2 is slightly better as it explicitly introduces `ConnectionPiece` and `ConnectionPiecePile` as classes, capturing the physical nature of these items mentioned in the requirements. Model 1 abstracts them into an integer variable (`spareConnectionPieces`) and direct tile-to-tile associations.
2. Associations/Multiplicities between classes for domain reasoning: Model 1 is vastly superior here. It explicitly captures the strict business rules (2 to 4 players, 32 action cards, maximum 1 connection per side) using exact UML multiplicities (`2..4`, `32`, `0..1`). Model 2 completely misses multiplicities on its associations, severely hampering the diagram's ability to communicate domain constraints.
3. Model attributes with appropriate data types: Both models provide solid attributes, correctly modeling states, colors, and identifiers. Model 1 handles the action tile's temporary state change effectively through explicit integer attributes, while Model 2 introduces a "cooldown" concept which is functionally equivalent.
4. Overall judgment: Model 1 is the better diagram because it rigorously applies UML multiplicities to represent critical numerical constraints defined in the requirements. While Model 2 includes slightly better conceptual mapping for connection pieces, its complete lack of associative multiplicities makes it significantly less useful for formal domain reasoning and implementation modeling.</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</si>
  <si>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</si>
  <si>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4; Evidence: Model 1 explicitly models `ConnectionPiece` and `ConnectionPiecePile`, which perfectly aligns with the domain requirement of taking or removing a physical connection piece from a pile of spares. Model 2 abstracts this away into a primitive `spareConnectionPieces: int` attribute on `Game` and self-associations on `Tile`, missing the physical piece concept.
2. Associations/Multiplicities between classes for domain reasoning: Model 1 = 2, Model 2 = 5; Evidence: Model 1 provides almost no multiplicities (e.g., `Game --&gt; Player : has players` and `Deck *- ActionCard : contains`), failing to capture critical domain rules like 2-4 players or exactly 32 action cards. Model 2 correctly implements these essential constraints (e.g., `Game "1" *-- "2..4" Player : players`, `Deck "1" *-- "32" ActionCard : cards`, and `Tile --&gt; "0..1" Tile`).
3. Model attributes with appropriate data types: Model 1 = 4, Model 2 = 4; Evidence: Both models adequately capture attributes. Model 1 correctly includes `cooldownTurns` on `ActionTile` and uses enums for card types. Model 2 includes `turnsAsRegular` on `ActionTile` and `isHidden` on `Tile`.
4. Consistencies of Terminology with given context: Model 1 = 5, Model 2 = 4; Evidence: Model 1 meticulously uses the exact terminology from the prompt (e.g., `GameDesigner`, `GameBoard`, `ConnectionPiece`). Model 2 abbreviates some of these (`Designer`, `Board`) but remains largely consistent. 
5. Adherence of UML class diagram standards: Model 1 = 4, Model 2 = 5; Evidence: Model 1 creates a valid diagram but heavily relies on arrows without multiplicities, leaning towards a sketch rather than a strictly modeled class diagram. Model 2 uses rigorous UML notation, properly combining associations, role names, and multiplicities throughout.
Total: Model 1 = 20, Model 2 = 22
Choice: B
Reason:
1. Appropriate conceptual classes aligned with the domain: Model 1 does a slightly better job by explicitly creating classes for `ConnectionPiece`, representing the physical tokens players manipulate when connecting/disconnecting tiles.
2. Associations/Multiplicities between classes for domain reasoning: Model 2 is vastly superior here. The prompt specifies strict limits (2 to 4 players, exactly 32 action cards, at most one tile connected on each side). Model 2 models all of these perfectly. Model 1 completely omits multiplicities, severely compromising the domain reasoning of the diagram.
3. Adherence of UML class diagram standards: Model 2 provides a more complete, standardized UML diagram by consistently applying multiplicities, roles, and cardinalities to its relations, whereas Model 1 leaves these definitions blank.
4. Overall judgment: While Model 1 correctly conceptualizes physical elements like connection pieces, Model 2's consistent use of multiplicities makes it semantically far more accurate to the specific mathematical rules of the game's domain (2-4 players, 32 cards, 0..1 connections per side). Therefore, Model 2 is better.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</si>
  <si>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</si>
  <si>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3, Model 2 = 4; Evidence: Model 1 overloads the `Tile` class with self-associations (e.g., `rightTile`) and connection booleans (`isConnectedRight`), coupling the tile structure tightly to the tiles themselves. Model 2 decouples this by introducing a `ConnectionPiece` class that connects two `Tile` objects, which better adheres to the single responsibility principle.
2. Complexity: Model 1 = 3, Model 2 = 4; Evidence: Model 1 lacks the explicit `ConnectionPiece` class, opting instead to track spare pieces as a simple `int` (`spareConnectionPieces`) and connections as boolean attributes. Model 2 appropriately models the domain complexity by including `ConnectionPiece` and `ConnectionPiecePile` classes, as well as an inheritance tree for `Tile` (`RegularTile`, `ActionTile`, `HiddenTile`), accurately reflecting the requirement without overcomplicating it.
3. Practicability: Model 1 = 3, Model 2 = 4; Evidence: Model 2 is far more practical for implementation because it provides comprehensive methods (e.g., `executeActionCard(card)`, `connect(tile1, tile2)`, `decreaseCooldown()`). Furthermore, the requirement explicitly states action cards can "connect two adjacent tiles with a connection piece from the pile" or "remove a connection piece from the board and place it in the pile". Model 2's explicit `ConnectionPiece` and `ConnectionPiecePile` make implementing this logic straightforward, whereas Model 1's integer counter makes tracking specific disconnected sides ambiguous. 
Total: Model 1 = 9, Model 2 = 12
Choice: B
Reason:
1. Cohesion and Decoupling: Model 2 demonstrates better separation of concerns by isolating the concept of tile connections into its own `ConnectionPiece` class, rather than forcing the `Tile` class to manage all adjacency and connection logic natively as seen in Model 1.
2. Complexity: Model 2 strikes a better balance of conceptual classes versus attributes. While Model 1 avoids class explosion, it goes too far by omitting the `ConnectionPiece` and mapping it to integers and booleans. Model 2 accurately captures the domain entities required by the prompt.
3. Practicability: Model 2 supports the game's mechanics—specifically the drawing and placing of spare connection pieces—much more effectively due to its class structure and the inclusion of well-defined methods across its classes. Model 1 lacks the methods necessary to demonstrate how the software's behaviors would be programmed.
4. Overall judgment: Model 2 is significantly better because it captures the crucial mechanics of the board game (specifically the physical connection pieces and piles) and includes methods that outline how the system operates, providing a much stronger blueprint for actual development.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</si>
  <si>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</si>
  <si>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4; Evidence: Model 1 distinctly separates physical game components into highly cohesive classes, such as `ConnectionPiecePile` and `ConnectionPiece`, ensuring that logic involving spare pieces is decoupled from the main game loop. Model 2 opts to store spare pieces as a primitive `spareConnectionPieces: int` directly within the `Game` class, which slightly reduces cohesion by mixing inventory management into the top-level game controller. 
2. Complexity: Model 1 = 4, Model 2 = 5; Evidence: Model 1 incorporates 15 classes, relying heavily on inheritance (e.g., `Tile` -&gt; `RegularTile`, `ActionTile`, `HiddenTile`). Model 2 has a slightly better conceptual balance for attributes vs. classes (10 classes), correctly using booleans like `isHidden` and `isStartingPosition` on `Tile` rather than full subclasses, and includes strict multiplicities like `2..4` for Players and `32` for ActionCards.
3. Practicability: Model 1 = 5, Model 2 = 3; Evidence: Model 1 includes comprehensive behavioral methods (e.g., `triggerAction()`, `decreaseCooldown()`, `markVisited()`, `drawCard()`) that clearly illustrate how the software will implement the business logic and state changes defined in the requirements. Model 2 is primarily structural and omits almost all methods (except `roll()` in `Die`), making it less practical for developers to understand how game state changes (like applying action cards or managing cooldowns) will be executed. Furthermore, since action cards dictate removing and placing connection pieces, Model 1's explicit `ConnectionPiece` object makes implementing this functionality much more practical than Model 2's direct `rightTile`/`leftTile` associations.
Total: Model 1 = 14, Model 2 = 12
Choice: A
Reason:
1. Cohesion and Decoupling: Model 1 demonstrates superior decoupling by objectifying `ConnectionPiece` and `ConnectionPiecePile`. This strictly isolates the responsibility of managing board connections and the spare inventory, making the execution of action cards that manipulate these pieces much cleaner. Model 2 lumps the spare connection count into the `Game` class.
2. Complexity: Model 2 is slightly more balanced by avoiding unnecessary subclasses for states like `isHidden` or `isStartingPosition`, preferring simple boolean attributes. It also strictly models the `2..4` and `32` multiplicities. However, Model 1's complexity is highly functional and justified by the requirements.
3. Practicability: Model 1 vastly outperforms Model 2 here. By defining methods across the classes, Model 1 provides a readable blueprint of the system's behaviors, such as how turns are skipped (`skipTurn()`), how cooldowns are managed (`decreaseCooldown()`), and how cards are executed (`executeActionCard()`). Model 2's lack of methods limits its usefulness as a blueprint for programming and testing the actual game loop.
4. Overall judgment: Model 1 is the better choice because it successfully translates complex domain rules—specifically the manipulation of physical board connections and dynamic turn effects—into clear, actionable, and behavior-rich class definitions. Model 2 is structurally sound but too anemic in its behavioral definitions to be as practical.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</si>
  <si>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</si>
  <si>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 Alignment: Model 1 = 3, Model 2 = 5; Evidence: Model 1 models connections using direct self-associations on `Tile` (`rightTile`, `leftTile`) and boolean flags (`isConnectedRight`), omitting the `ConnectionPiece` class entirely from the board layout. Model 2 explicitly models `ConnectionPiece` as a class with an aggregation relationship from `Tile` for all four sides and a `connects` association to two tiles. Additionally, Model 2 captures the white/black color change logic using a `TileColor` enumeration, whereas Model 1 uses a generic `String` color and an `isVisited` boolean.
Total: Model 1 = 3, Model 2 = 5
Choice: B
Reason:
1. Requirement Alignment: Model 2 accurately captures `ConnectionPiece` as an independent entity that links two tiles. This strictly aligns with the business rules, which dictate that the designer connects tiles with "connection pieces" and that specific action cards can add or remove these physical pieces from the board. Model 1 fails to represent this entity on the board, heavily compromising the ability to model the connection removal/addition mechanics. Model 2 also does a better job capturing domain constraints like `PieceColor` and `TileColor` using specific enumerations.
2. Rejected or checked issues: Both models correctly represent the 32 action cards and the 5 specific actions. Model 1 uses an `ActionCardType` enum, while Model 2 uses abstract classes and inheritance; both are semantically valid in UML for defining predefined choices. Additionally, both models handle the requirement that action tiles "turn into a regular tile for a number of turns" by using integer countdown attributes (`turnsRemaining` and `remainingCooldown`), which is a practical way to handle the state change without physically replacing the object in memory.
3. Overall judgment: Model 2 is superior because it comprehensively models the tangible domain entities explicitly described in the requirements—most notably the `ConnectionPiece`. Model 1's omission of the connection piece entity makes it inadequate for representing the board state modifications required by the action cards.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</si>
  <si>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</si>
  <si>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Requirements: Model 1 = 5, Model 2 = 3; Evidence: Model 1 explicitly includes a `ConnectionPiece` class with relationships to `Tile` (`Tile "1" o-- "0..1" ConnectionPiece` for each direction, and `ConnectionPiece --&gt; "2" Tile`). This accurately captures the requirement's mechanics of removing and adding connection pieces from/to a pile of spare pieces. Model 2 omits the `ConnectionPiece` class entirely, relying instead on direct tile-to-tile associations (e.g., `Tile --&gt; "0..1" Tile : rightTile`) and boolean flags (`isConnectedRight`), which conceptually falls short of modeling the distinct physical connection pieces that players interact with via action cards. Furthermore, Model 1 uses clear inheritance for `ActionCard` and `Tile` variants, while Model 2 collapses some variants into attributes or enums. Both models correctly identify core cardinalities, such as `2..4` Players and `32` ActionCards.
Total: Model 1 = 5, Model 2 = 3
Choice: A
Reason:
1. Alignment with Requirements: Model 1 demonstrates a much deeper understanding of the domain by explicitly modeling the `ConnectionPiece`. The requirement specifically states that players can "connect two adjacent tiles with a connection piece" and "remove a connection piece from the board". Without an explicit class to represent these pieces as Model 2 does, it becomes conceptually difficult to represent the action of picking up and placing these distinct entities. Model 1 also elegantly handles the 5 predefined action card choices using polymorphism (`ActionCard` subclasses) and represents the `HiddenTile` as a distinct subclass. Model 2's reliance on boolean flags for hidden tiles and direct self-associations for tile connections makes it less expressive and slightly misaligned with the physical realities described in the prompt.
2. Rejected or checked issues: Model 2's use of single quotes for comments (`'opposite leftTile`) was ignored as per the negative constraints, and Model 2 was not penalized for this formatting. Both models chose to represent the 32 spare connection pieces as an `int` inside the `Game` class rather than as 32 instantiated objects in a pile; this abstraction is acceptable for both, but Model 1 is superior because it at least defines the `ConnectionPiece` class for the ones actively on the board.
3. Overall judgment: Model 1 is better because it accurately translates critical domain nouns (like Connection Pieces and specific Action Cards) into distinct structural elements, whereas Model 2 oversimplifies them into primitive properties and direct associations, losing essential semantic meaning.</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</si>
  <si>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</si>
  <si>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3, Model 2 = 5; Evidence: Model 2 correctly identifies `ConnectionPiece` as a distinct class, which is vital because connection pieces are distinct physical objects that can be added to or removed from the board and the spare pile via action cards. Model 1 omits this class entirely, instead attempting to represent it using boolean attributes (`isConnectedRight`, etc.) on the `Tile` class. Model 2 also makes better use of polymorphism for the different tile and card types.
2. Associations/Multiplicities between classes for domain reasoning: Model 1 = 3, Model 2 = 5; Evidence: In Model 1, the lack of a `ConnectionPiece` class forces it to directly associate `Tile` with `Tile` (e.g., `rightTile`). This makes it difficult to reason about the action of removing a connection piece without losing the concept of physical adjacency. Model 2 correctly models `Tile "1" o-- "0..1" ConnectionPiece` for each direction, and `ConnectionPiece --&gt; "2" Tile : connects`, accurately reflecting the game mechanics.
3. Model attributes with appropriate data types: Model 1 = 4, Model 2 = 5; Evidence: Model 2 defines specific enums like `TileColor` (WHITE, BLACK) and `PieceColor` (RED, BLUE, GREEN, YELLOW) which strictly enforce the domain rules. Model 1 uses raw Strings for `color`, which is acceptable but less robust. Both models correctly track `spareConnectionPieces` and action tile cooldowns.
4. Consistencies of Terminology with given context: Model 1 = 5, Model 2 = 5; Evidence: Both models use terminology derived directly from the prompt, such as `spareConnectionPieces`, `HiddenTile`/`isHidden`, `ActionTile`, and specific action card names/types.
5. Adherence of UML class diagram standards: Model 1 = 5, Model 2 = 5; Evidence: Both diagrams use valid PlantUML syntax, correctly apply multiplicities, and utilize valid directional and compositional relationships without any major UML violations.
Total: Model 1 = 20, Model 2 = 25
Choice: B
Reason:
1. Appropriate conceptual classes: Model 2 accurately captures the domain by modeling `ConnectionPiece` as an explicit class. Since the requirements state players can add or remove connection pieces to/from a spare pile, treating them as entities is crucial. Model 1 misses this concept, reducing it to boolean flags. 
2. Associations/Multiplicities: Because Model 2 includes `ConnectionPiece`, it is able to correctly associate tiles to connection pieces and connection pieces to tiles. Model 1's direct tile-to-tile mapping fails to adequately represent the physical placement and removal of connection pieces.
3. Model attributes: Model 2 provides slightly more precise data types by using domain-specific Enums (like `TileColor` and `PieceColor`) compared to Model 1's use of primitive Strings for colors.
4. Overall judgment: Model 2 presents a much stronger and more accurate domain representation, primarily due to its handling of `ConnectionPiece` and its use of polymorphism for varying tile and card behaviors. Therefore, Model 2 is significantly better.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</si>
  <si>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</si>
  <si>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correctly identifies `ConnectionPiece` as a class, which aligns with the requirement to "connect two adjacent tiles with a connection piece" and "remove a connection piece from the board". It also uses subclasses for the tiles and action cards. Model 2 abstracts connection pieces and hidden status into boolean flags (`isConnectedRight`, `isHidden`) on the `Tile` class, missing the physical representation of the connection piece.
2. Associations/Multiplicities between classes for domain reasoning: Model 1 = 5, Model 2 = 4; Evidence: Model 1 effectively models the connections between tiles by associating `Tile` with 0..1 `ConnectionPiece` on all four sides, and mapping `Player` to a specific `startingPosition` Tile. Model 2 associates tiles directly with other tiles, bypassing the connection pieces, though it does correctly capture the 32 `ActionCard` multiplicity in the `Deck`.
3. Model attributes with appropriate data types: Model 1 = 5, Model 2 = 3; Evidence: Model 1 uses typed enums (`TileColor`, `PieceColor`) and correctly associates `startingPosition` as a link from `Player` to `Tile`. Model 2 incorrectly defines `isStartingPosition: boolean` on `Tile`, which does not support the requirement that "each player" has a starting position (as they might start on different tiles), and uses plain Strings for colors.
4. Consistencies of Terminology with given context: Model 1 = 5, Model 2 = 5; Evidence: Both models use domain-accurate terminology such as `spareConnectionPieces`, `ActionCard`, `HiddenTile` (or `isHidden`), and `Die`.
5. Adherence of UML class diagram standards: Model 1 = 5, Model 2 = 5; Evidence: Both diagrams form completely valid and readable PlantUML structures, using standard multiplicities, visibility, and inheritance notations.
Total: Model 1 = 25, Model 2 = 20
Choice: A
Reason:
1. Appropriate conceptual classes aligned with the domain: Model 1 extracts the `ConnectionPiece` into its own class, which makes handling the spare connection pile and connection mechanics explicit and accurate to the requirement. Model 2 relies heavily on boolean flags, omitting key domain objects.
2. Model attributes with appropriate data types: Model 1 correctly manages starting locations by linking players to their starting tiles, while Model 2 uses a flawed `isStartingPosition` boolean attribute on `Tile` which wouldn't easily track which player starts where.
3. Associations/Multiplicities between classes for domain reasoning: Model 1's handling of the 4 directional connections via explicit connection pieces rather than direct tile-to-tile links is much closer to the physical domain logic required for actions like "remove a connection piece".
4. Overall judgment: Model 1 provides a significantly more robust, domain-aligned, and accurate representation of the requirements. Model 2 oversimplifies key interactive elements into primitive types and booleans.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</si>
  <si>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</si>
  <si>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3, Model 2 = 5; Evidence: Model 1 overloads the `Tile` class with numerous boolean attributes (`isVisited`, `isHidden`, `isStartingPosition`, `isConnectedRight`, etc.) and handles action cards via an `ActionCardType` enum, leading to lower cohesion. Model 2 achieves higher cohesion and lower coupling by utilizing polymorphism for `Tile` (`RegularTile`, `HiddenTile`, `ActionTile`) and `ActionCard` (e.g., `ExtraTurnCard`, `ConnectTilesCard`), and by extracting the `ConnectionPiece` into its own class rather than relying on boolean flags.
2. Complexity: Model 1 = 3, Model 2 = 4; Evidence: Model 1 has a lower total number of classes (10 classes, 2 enums) but misses the conceptual representation of connection pieces on the board. Model 2 introduces a higher number of classes (17 classes, 4 enums) with a shallow depth of inheritance (1 level for Tiles and ActionCards), which perfectly aligns with the domain requirements without adding unnecessary layers or implementation-oriented bloat.
3. Practicability: Model 1 = 3, Model 2 = 5; Evidence: Model 1 makes it difficult to program the requirement "remove a connection piece from the board and place it in the pile" because connections are just self-associations and boolean flags (`isConnectedRight`) on `Tile`. Model 2 explicitly models `ConnectionPiece` objects that connect 2 tiles, making the adding and removing of connections highly practical to implement and test. Model 2 also cleanly models the action tile cooldown (`cooldownTurns`, `remainingCooldown`) and player states.
Total: Model 1 = 9, Model 2 = 14
Choice: B
Reason:
1. Cohesion and Decoupling: Model 2 is superior because it applies proper object-oriented principles (polymorphism for tiles and action cards) to separate concerns. Each subclass has a distinct responsibility. Model 1 suffers from low cohesion by grouping all tile variations into a single `Tile` class heavily reliant on boolean flags.
2. Complexity: While Model 1 is simpler in terms of class count, its simplicity comes at the expense of domain accuracy. Model 2's use of inheritance and distinct entity classes (`ConnectionPiece`) balances the complexity perfectly with the specific requirements detailed in the prompt.
3. Practicability: Model 2 provides a much more viable structure for real-world application. Specifically, the action cards require manipulating connection pieces on the board. Model 2's dedicated `ConnectionPiece` class facilitates this functionality seamlessly, whereas Model 1's reliance on boolean attributes (`isConnectedRight`, etc.) and direct tile associations makes state manipulation cumbersome. Both models handle the action tile cooldown effectively.
4. Overall judgment: Model 2 is the better design due to its stronger adherence to OOP principles, higher cohesion, and practical representation of the game's mechanics (especially regarding connection pieces and card effects).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</si>
  <si>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</si>
  <si>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delegates specific card behaviors to separate subclasses (`ExtraTurnCard`, `ConnectTilesCard`, etc.) via an abstract `ActionCard` class with an `execute` method, ensuring high cohesion. Model 2 uses an `ActionCardType` enum inside a single `ActionCard` class, which would force a switch-statement design and couple all card logic together. Model 1 also separates the `ConnectionPiece` into its own class, while Model 2 conflates connections directly into the `Tile` class.
2. Complexity: Model 1 = 5, Model 2 = 3; Evidence: Model 1 correctly translates conceptual nouns into distinct classes (`HiddenTile`, `RegularTile`, `ConnectionPiece`). Model 2 introduces redundant complexity within the `Tile` class by keeping both association links (`rightTile`, `leftTile`) and boolean flags (`isConnectedRight`, `isConnectedLeft`), while missing the `ConnectionPiece` class entirely.
3. Practicability: Model 1 = 5, Model 2 = 3; Evidence: Model 1 explicitly supports the requirement to add/remove connection pieces by modeling `ConnectionPiece` as an object that can be moved between the board and spare pile. Model 2 only stores `spareConnectionPieces` as an integer and connects tiles directly, making the requirement to "remove a connection piece from the board" much harder to program and track robustly. Model 1's use of polymorphism for tiles and cards offers clear modularity for testing.
Total: Model 1 = 15, Model 2 = 9
Choice: A
Reason:
1. Cohesion and Decoupling: Model 1 achieves much better decoupling and higher cohesion by using the Strategy/Command pattern for action cards (subclasses like `MoveToTileCard`) and separating the `ConnectionPiece` from the `Tile`. Model 2 centralizes card types in an enum and tile states into a heavy `Tile` class with many flags.
2. Complexity: Model 1 accurately creates classes for distinct domain concepts (e.g., `ConnectionPiece`, `HiddenTile`). Model 2 under-models the domain by omitting the connection piece class and instead cluttering `Tile` with redundant attributes (e.g., having both a `rightTile` association and an `isConnectedRight` boolean).
3. Practicability: Model 1 provides a highly practical design where adding/removing connection pieces or triggering card behaviors is modular and testable. Model 2's direct tile-to-tile links make the specific requirement of manipulating physical connection pieces awkward to implement.
4. Rejected or checked issues: I ignored the use of single-quote comments in Model 2 (`'opposite leftTile`) as instructed, and did not penalize the absence of `abstract` on Model 2's classes.
5. Overall judgment: Model 1 provides a significantly superior, more extensible object-oriented design that closely aligns with the domain requirements, making it the better choice.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</si>
  <si>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</si>
  <si>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Domain Conceptual Alignment (Classes, Attributes, and Requirements Coverage): Model 1 = 4, Model 2 = 5; Evidence: Both models correctly capture the core domains (Game, Tiles, Players, Die, Cards). They both correctly model the Action Tile cooldown mechanism (Model 1 uses `cooldownTurns`/`currentCooldown`, Model 2 uses `cooldownTurns`/`remainingCooldown`). Model 2 models the 5 predefined action card choices as concrete subclasses of `ActionCard`, which is highly appropriate for differing execution logic, whereas Model 1 groups them under an Enum. Model 1 does a slightly better job explicitly modeling the `ConnectionPiecePile`, while Model 2 abstracts it to `spareConnectionPieces: int`, but both are acceptable.
2. Structural Detail and Constraints (Associations, Cardinalities, and Relationships): Model 1 = 2, Model 2 = 5; Evidence: The prompt explicitly provides several strict numerical constraints: "Two to four players", a "deck of 32 action cards", and that a tile can connect on its left, right, top, and bottom with "At the most one tile... connected on each side". Model 2 perfectly captures these with explicit multiplicities: `Game "1" o-- "2..4" Player`, `Deck "1" *-- "32" ActionCard`, and four separate `0..1` associations from `Tile` to `ConnectionPiece` for each direction. Model 1 completely omits cardinalities and fails to enforce the per-side connection limit structurally, only loosely linking `ConnectionPiece` to `Tile`.
Total: Model 1 = 6, Model 2 = 10
Choice: B
Reason:
1. Domain Conceptual Alignment (Classes, Attributes, and Requirements Coverage): Model 2 represents the specific instructions of the action cards better by using subclasses, which allows polymorphic execution of the distinct card abilities. Both accurately represent the tile states and cooldowns.
2. Structural Detail and Constraints (Associations, Cardinalities, and Relationships): Model 2 is vastly superior in its UML structural constraints. It strictly aligns with the requirements by applying exact cardinalities (2..4 players, 32 action cards) and models the exact topological rules for tiles (four specific associations with 0..1 multiplicity for the connection directions). Model 1 leaves all associations open-ended (e.g., missing `*`, `1`, `0..1`), meaning it fails to document the strict business rules outlined in the prompt.
3. Rejected or checked issues: I did not penalize Model 2 for representing the pile of spare pieces as an `int` instead of a separate class, because tracking the count of identical spare pieces via an attribute is a semantically valid abstraction of a "pile".
4. Overall judgment: Model 2 provides a much more rigorous and complete UML diagram, primarily because it fully leverages UML multiplicities and associations to enforce the game's distinct numerical and physical constraints, which Model 1 ignores.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</si>
  <si>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</si>
  <si>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Requirements Alignment &amp; Conceptual Modeling: Model 1 = 5, Model 2 = 4; Evidence: Both models accurately capture the core domain entities (`Game`, `Player`, `Tile`, `Deck`, `ConnectionPiece`, `Die`, etc.). Both models successfully handle the tile color changing from white to black (visited) and the Action Tile cooldown mechanism. Model 1 explicitly models the 5 predefined action card behaviors as subclasses executing the command pattern, whereas Model 2 uses an `ActionCardType` enum. 
2. Associations, Cardinalities, &amp; Relationships: Model 1 = 5, Model 2 = 2; Evidence: The requirement strictly specifies "Two to four players", a deck of "32 action cards", and "At the most one tile can be connected on each side". Model 1 captures these perfectly with explicit multiplicities: `Game "1" o-- "2..4" Player`, `Deck "1" *-- "32" ActionCard`, and `Tile "1" o-- "0..1" ConnectionPiece` for each of the 4 sides. It also explicitly models the starting position (`Player --&gt; "1" Tile : startingPosition`). Model 2 completely omits multiplicities for players (`Game --&gt; Player`), cards in the deck (`Deck *- ActionCard`), and fails to structurally enforce the maximum of one connection per side for tiles (`ConnectionPiece --&gt; Tile : connects` with no multiplicity). Model 2 also misses a structural association for a player's starting position.
Total: Model 1 = 10, Model 2 = 6
Choice: A
Reason:
1. Requirements Alignment &amp; Conceptual Modeling: Both models capture the essence of the game domain, including the board, action tiles with cooldowns, connection pieces, and dies. However, Model 1 slightly edges out Model 2 by providing a more extensible structure for Action Cards (using polymorphism rather than a simple enum, which fits the complex varying behaviors required by the game).
2. Associations, Cardinalities, &amp; Relationships: This is where Model 1 vastly outperforms Model 2. The requirements are rich in numerical constraints (2-4 players, 32 cards, exactly 4 sides with 0 or 1 connection each). Model 1 meticulously translates these domain rules into valid UML multiplicities (`2..4`, `32`, `0..1` for specific sides). Model 2 ignores almost all multiplicities, rendering its structural constraints too weak to accurately reflect the game rules. Model 1 also correctly maps the "starting positions of each player" using a specific association, whereas Model 2 only includes it as a method parameter in `GameDesigner` without retaining it structurally.
3. Rejected or checked issues: I did not penalize Model 1 for storing the spare connection pieces count as an `int` attribute (`spareConnectionPieces: int` in `Game`) rather than modeling a dedicated pile class like Model 2 (`ConnectionPiecePile`), because both approaches semantically satisfy the existence of the spare pile. I also did not penalize Model 2 for using an enum instead of subclasses for Action Cards, though the structural approach in Model 1 is richer.
4. Overall judgment: Model 1 is much better because it strictly adheres to the numerical constraints, cardinalities, and structural boundaries outlined in the prompt, resulting in a much more accurate and comprehensive UML diagram.</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</si>
  <si>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</si>
  <si>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4, Model 2 = 5; Evidence: Both models correctly identify the core domain classes like Game, Player, Tile (and its variants: Regular, Action, Hidden), and ConnectionPiece. Model 1 uses an enum `ActionCardType` combined with an `ActionCard` class, while Model 2 uses an abstract `ActionCard` with specific subclasses (e.g., `ExtraTurnCard`, `MoveToTileCard`), which allows for better behavioral encapsulation for each unique card type. 
2. Associations/Multiplicities between classes for domain reasoning: Model 1 = 1, Model 2 = 5; Evidence: Model 1 completely omits multiplicities on all associations, meaning critical domain constraints (e.g., 2 to 4 players, exactly 32 action cards, at most 1 connection piece per side) are entirely absent from the diagram. Model 2 explicitly models all of these constraints (e.g., `Game "1" o-- "2..4" Player`, `Deck "1" *-- "32" ActionCard`, and `Tile "1" o-- "0..1" ConnectionPiece` for each of the four directions).
3. Model attributes with appropriate data types: Model 1 = 4, Model 2 = 4; Evidence: Both models identify critical state variables. Model 1 tracks the Action Tile cooldown via `cooldownTurns` and `currentCooldown`, and the visited state via `TileColor`. Model 2 similarly tracks `remainingCooldown` and `TileColor`. Both represent the pieces and dice appropriately. Model 1 models the spare connection pieces explicitly as an array in `ConnectionPiecePile`, while Model 2 abstracts this slightly into an integer `spareConnectionPieces: int` on the `Game` class.
4. Consistencies of Terminology with given context: Model 1 = 5, Model 2 = 5; Evidence: Both models use terminology perfectly aligned with the prompt, such as `cooldownTurns`, `markVisited`, `HiddenTile`, and `ActionTile`.
5. Adherence of UML class diagram standards: Model 1 = 4, Model 2 = 5; Evidence: Both models use correct PlantUML syntax. Model 1 misses the standard practice of annotating relationships with multiplicities. Model 2 properly utilizes directional associations, compositions, aggregations, and multiplicities comprehensively without syntax errors.
Total: Model 1 = 18, Model 2 = 24
Choice: B
Reason:
1. Appropriate conceptual classes aligned with the domain: Model 2 is slightly better as it utilizes inheritance for the `ActionCard` types, allowing the specific execution logic of each card to be encapsulated in subclasses rather than relying on a single class with an enum type like Model 1. 
2. Associations/Multiplicities between classes for domain reasoning: This is the primary differentiator. Model 1 completely omits multiplicities, failing to capture the strict domain rules mentioned in the prompt (2-4 players, 32 action cards, max 1 connection per side). Model 2 models these exact multiplicities explicitly and correctly.
3. Model attributes with appropriate data types: Both models do a good job capturing necessary state (like the cooldowns for action tiles and the tile colors to indicate visitation). 
4. Rejected or checked issues: Model 1 explicitly models a `ConnectionPiecePile` class, whereas Model 2 uses an integer attribute for spare pieces. Since connection pieces are identical, Model 2's abstraction is perfectly valid and is not penalized, especially given its superiority in defining the structural constraints of the board.
5. Overall judgment: Model 2 is vastly superior due to its comprehensive and precise use of multiplicities to enforce domain rules. Model 1's lack of multiplicities leaves the structural diagram largely incomplete from a domain reasoning perspective. Model 2 also makes better structural choices regarding the action cards.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</si>
  <si>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</si>
  <si>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Both models correctly identify the key domain concepts such as `Game`, `Player`, `PlayingPiece`, `Tile` (with subclasses `RegularTile`, `HiddenTile`, `ActionTile`), `ConnectionPiece`, `Deck`, `Die`, and `GameDesigner`. Model 1 uses an abstract `ActionCard` with specific subclasses for the five predefined actions, while Model 2 uses an `ActionCardType` enum along with a `ConnectionPiecePile` class. Both approaches accurately represent the domain requirements.
2. Associations/Multiplicities between classes for domain reasoning: Model 1 = 5, Model 2 = 1; Evidence: Model 1 thoroughly defines essential business rules using multiplicities, such as `2..4` for Players, `32` for Action Cards, and distinctly models the rule "at most one tile can be connected on each side" through four separate associations (`0..1` for `rightConnection`, `leftConnection`, `topConnection`, `bottomConnection`). Model 2 completely omits multiplicities from all of its associations, losing critical domain constraints (e.g., player count limits, deck size, and connection rules).
3. Model attributes with appropriate data types: Model 1 = 5, Model 2 = 5; Evidence: Both models use appropriate attributes and data types. Model 1 tracks the spare pieces and action tile states well (`spareConnectionPieces: int`, `cooldownTurns: int`), while Model 2 appropriately utilizes arrays/collections (`cards : ActionCard[]`, `sparePieces : ConnectionPiece[]`) and enumerations (`TileColor`, `PlayingPieceColor`).
4. Consistencies of Terminology with given context: Model 1 = 5, Model 2 = 5; Evidence: Both models strictly adhere to the terminology presented in the prompt, using terms like `HiddenTile`, `ActionTile`, `ConnectionPiece`, `PlayingPiece`, and `TileColor` with `WHITE` and `BLACK`.
5. Adherence of UML class diagram standards: Model 1 = 5, Model 2 = 4; Evidence: Both diagrams use correct PlantUML syntax and properly indicate generalization (`&lt;|--`), composition (`*--`), and directed associations (`--&gt;`). Model 2 receives a slightly lower score for missing multiplicity notations entirely on its relationship lines, which is standard practice in comprehensive UML modeling.
Total: Model 1 = 25, Model 2 = 20
Choice: A
Reason:
1. Associations/Multiplicities: Model 1 is significantly superior because it explicitly models the domain constraints using standard UML multiplicities (e.g., `2..4` players, `32` cards, and `0..1` connection pieces per side). Model 2 fails to include any multiplicities on its associations, meaning critical rules from the requirements are structurally absent from the diagram connections.
2. Domain Alignment: While both models capture the core classes, Model 1's approach to explicitly defining the four connection sides on the `Tile` class using composition (`rightConnection`, `leftConnection`, etc.) directly answers the requirement that "at most one tile can be connected on each side".
3. Overall judgment: Both models are well thought out in terms of naming, attributes, and class structures. However, Model 1 acts as a much more complete and constraint-enforcing UML diagram due to its rigorous and accurate application of multiplicities and structural relationships, making it the better response.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</si>
  <si>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</si>
  <si>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4; Evidence: Both models achieve high cohesion. Model 1 groups spare pieces into a dedicated `ConnectionPiecePile` class, while Model 2 delegates card-specific logic to subclasses of `ActionCard` (`ExtraTurnCard`, `ConnectTilesCard`, etc.) avoiding large switch statements. Both approaches decouple the mechanics effectively.
2. Complexity: Model 1 = 4, Model 2 = 4; Evidence: Model 1 uses 14 classes and utilizes an enum `ActionCardType` to distinguish cards. Model 2 introduces slightly more complexity with 19 classes due to the inheritance tree for `ActionCard` (depth 1), but this perfectly aligns with object-oriented practices for command patterns. Neither model includes unnecessary conceptual bloat.
3. Practicability: Model 1 = 3, Model 2 = 5; Evidence: Model 2 is significantly more practical because it explicitly models the domain constraints using UML multiplicities. For example, it enforces the player count with `Game "1" o-- "2..4" Player`, the card count with `Deck "1" *-- "32" ActionCard`, and strictly models the tile connections with `Tile "1" o-- "0..1" ConnectionPiece` for each direction (`rightConnection`, `leftConnection`, etc.), satisfying the "At the most one tile can be connected on each side" requirement structurally. Model 1 relies on arrays and method parameters but omits structural multiplicities, leaving constraints unenforced at the design level.
Total: Model 1 = 11, Model 2 = 13
Choice: B
Reason:
1. Cohesion and Decoupling: Both models demonstrate good separation of concerns. Model 1 successfully isolates the connection piece pile, while Model 2 uses polymorphism to handle action card behaviors, ensuring game logic is well-distributed.
2. Complexity: Both models keep the number of classes and methods at an appropriate level for the domain. Model 2's use of subclasses for action cards adds a few more classes but remains completely justifiable and easy to navigate.
3. Practicability: Model 2 stands out by comprehensively utilizing UML multiplicities and targeted associations to enforce the game's strict rules (2-4 players, exactly 32 cards, 1 connection per side). By defining associations like `Tile "1" o-- "0..1" ConnectionPiece : rightConnection`, Model 2 guarantees the structural integrity of the game board. Model 1 lacks these UML relationship constraints, which would require developers to infer or manually implement checks.
4. Overall judgment: Model 2 provides a more robust and accurate representation of the requirements by embedding constraints into the diagram's semantics, making it highly practical for implementation and testing.</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</si>
  <si>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</si>
  <si>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utilizes polymorphism for action cards by defining an abstract `ActionCard` class with subclasses (e.g., `ExtraTurnCard`, `ConnectTilesCard`) that implement the `execute(game: Game, player: Player)` method, ensuring high cohesion. Model 2 centralizes action card types using an `ActionCardType` enum within a single `ActionCard` class, which lowers cohesion by requiring a single class to handle multiple distinct behaviors.
2. Complexity: Model 1 = 5, Model 2 = 4; Evidence: Both models strike a good balance in complexity. Model 1 manages the 32 spare connection pieces using a simple integer attribute (`spareConnectionPieces: int` in `Game`), which is adequate. Model 2 introduces a `ConnectionPiecePile` class, which adds slight structural complexity but encapsulates the array of spare pieces. However, Model 1 manages the 4-direction layout perfectly with separate associations rather than storing side data within the connection. 
3. Practicability: Model 1 = 5, Model 2 = 3; Evidence: Model 1 accurately captures several crucial constraints from the requirements that Model 2 misses. Model 1 enforces 2 to 4 players (`Game "1" o-- "2..4" Player`), exactly 32 action cards (`Deck "1" *-- "32" ActionCard`), and the rule that at most one tile can be connected on each side by using four separate `0..1` associations (`rightConnection`, `leftConnection`, etc.) from `Tile` to `ConnectionPiece`. Model 2 leaves player count and deck size unspecified (`ActionCard[]`, `Game --&gt; Player`) and cannot enforce the one-connection-per-side rule with its generic `ConnectionPiece --&gt; Tile` association.
Total: Model 1 = 15, Model 2 = 11
Choice: A
Reason:
1. Cohesion and Decoupling: Model 1 is better because it uses the Strategy/Command pattern for action cards via subclasses, while Model 2 uses an enum that would require switch statements, tightly coupling all behaviors into one class. 
2. Complexity: Both models keep the total number of classes reasonable. Model 1 handles the directional connection pieces more intuitively by tying them directly to the tile sides.
3. Practicability: Model 1 is significantly more practical because it strictly enforces domain rules via multiplicities. It explicitly models the 2..4 player limits, the exactly 32-card deck, and the 1 connection per side limit using 0..1 associations. Model 2 is too permissive, failing to document these critical constraints structurally.
4. Overall judgment: Model 1 effectively harnesses UML semantic features (like explicit multiplicities and polymorphic inheritance) to document domain rules directly in the design, making it more accurate and easier to maintain. Model 2 is well-structured but misses key numerical and structural limits. Therefore, Model 1 is the better choice.
```</t>
  </si>
  <si>
    <t>University</t>
  </si>
  <si>
    <t>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</si>
  <si>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</si>
  <si>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Completeness and Alignment with Requirements: Model 1 = 5, Model 2 = 3; Evidence: Model 1 accurately includes all required entities, distinguishing `ResearchStaff` and `ResearchAssistant`, and properly introduces `ProjectInvolvement` to capture the `hours` an RA spends on a project. Model 2 omits the `ResearchAssistant` class (merging it with `ResearchStaff`) and attempts to place the `hours` attribute on an association label (`involved in (hours : int)`), which fails to formally capture the data.
2. UML Syntax and Semantics: Model 1 = 5, Model 2 = 3; Evidence: Model 1 uses standard multiplicities (`1..*`, `*`) and formally valid structures like intermediate classes for association attributes. Model 2 uses informal multiplicity strings like `"many"` and invalid pseudo-syntax on an association label (`(hours : int)`) instead of using an association class or an intermediate concept class.
Total: Model 1 = 10, Model 2 = 6
Choice: A
Reason:
1. Completeness and Alignment with Requirements: Model 1 flawlessly captures the domain as described. It separates `ResearchStaff` from `ResearchAssistant` as required ("A distinction is made between research and administrative staff. Research assistants (RA) are assigned..."). Model 2 conflates these two concepts. Furthermore, Model 1 correctly handles the "hours" property for project involvements by creating a `ProjectInvolvement` class, whereas Model 2 simply writes `(hours : int)` in the association label, which does not define a structural attribute in UML.
2. UML Syntax and Semantics: Model 1 relies on standard PlantUML syntax, multiplicities, and class relations. Model 2 uses non-standard multiplicity literals (`"many"`) and fails to properly model the association attribute, rendering the hours requirement structurally unfulfilled. 
3. Rejected or checked issues: Model 1 uses split opposite unidirectional associations (e.g., `A --&gt; B` and `B --&gt; A`) and PlantUML comments (e.g., `'opposite dean`). According to the strict guidelines, these are completely valid and semantically equivalent to bidirectional associations, so they were not penalized.
4. Overall judgment: Model 1 is far superior due to its correct identification of all domain classes (including RA), structural correctness for association attributes, and strict adherence to standard UML notation. Model 2 misses a key class and uses informal text to bypass structural modeling.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</si>
  <si>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</si>
  <si>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Requirements: Model 1 = 4, Model 2 = 5; Evidence: Model 1 equates "ResearchStaff" directly with "ResearchAssistant" and places the project hours inside a relationship text label (`involved in (hours : int)`). Model 2 accurately separates the general `ResearchStaff` from `ResearchAssistant` and captures the project involvement hours in a dedicated intermediate class `ProjectInvolvement`, strictly adhering to the requirements.
2. UML Semantics and Relationships: Model 1 = 4, Model 2 = 5; Evidence: Model 1 uses textual labels to represent what should be an association attribute (`hours : int`), which is semantically weak and not standard UML structure. Model 2 correctly utilizes an intermediate entity (`ProjectInvolvement`) to resolve the many-to-many relationship with an attribute. Model 2's use of explicit opposite-direction associations is perfectly valid per UML standards.
Total: Model 1 = 8, Model 2 = 10
Choice: B
Reason:
1. Alignment with Requirements: Model 2 captures the domain hierarchy more faithfully. The requirement states a distinction between research and administrative staff, and then specifically introduces "Research assistants (RA)" as a specific role. Model 2 models `ResearchAssistant` as a subclass of `ResearchStaff`, whereas Model 1 conflates the two. 
2. UML Semantics and Relationships: Model 2 properly structuralizes the "hours" attribute for project involvement by using an intermediate class (`ProjectInvolvement`). Model 1 attempts to wedge this attribute into a text label on an association arrow, which does not structurally persist the attribute in a valid UML format. 
3. Rejected or checked issues: Model 2 uses paired unidirectional arrows (e.g., `Faculty --&gt; Employee` and `Employee --&gt; Faculty`) along with single-quote comments for opposite roles. According to the strict guidelines, this is semantically identical to a bidirectional line and the standard tooling annotations must be ignored, so no penalty was applied. Model 2 also added a `name` attribute to `University`, which is a benign and common addition that does not detract from the strict domain requirements.
4. Overall judgment: Model 2 provides a more structurally sound and semantically correct UML diagram. It resolves the many-to-many association with an attribute gracefully and accurately translates the nuanced staff hierarchy described in the prompt. Model 1 is good but cuts corners on UML semantics for association attributes.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</si>
  <si>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</si>
  <si>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3; Evidence: Model 1 correctly identifies `ResearchAssistant` and introduces `ProjectInvolvement` to capture the relationship state. Model 2 completely misses the `ResearchAssistant` class (merging it into `ResearchStaff`) and misses an association class or intermediate class to hold the project involvement hours.
2. Associations/Multiplicities between classes for domain reasoning: Model 1 = 5, Model 2 = 2; Evidence: Model 1 uses standard standard multiplicities like `1..*` and `0..*`. Model 2 uses non-standard terms like `"many"` for multiplicities, which is incorrect in UML.
3. Model attributes with appropriate data types: Model 1 = 5, Model 2 = 4; Evidence: Both models correctly type most attributes. However, Model 1 correctly places `fieldOfResearch` in `ResearchAssistant`, while Model 2 places it in `ResearchStaff` due to missing the subclass. Model 2 also fails to properly model the `hours` attribute structurally, putting it as text `(hours : int)` on an association label.
4. Consistencies of Terminology with given context: Model 1 = 5, Model 2 = 3; Evidence: Model 1 perfectly follows the terminology (e.g., ResearchStaff, ResearchAssistant, Lecturer). Model 2 drops "ResearchAssistant" entirely, confusing general research staff with research assistants.
5. Adherence of UML class diagram standards: Model 1 = 5, Model 2 = 3; Evidence: Model 1 adheres strictly to standard PlantUML and UML syntax. Model 2 violates standard multiplicity notation by using `"many"` and attempts to put an attribute inside an association text label `(hours : int)` instead of using an association class or intermediate entity.
Total: Model 1 = 25, Model 2 = 15
Choice: A
Reason:
1. Appropriate conceptual classes: Model 1 correctly extracts the full hierarchy required by the prompt (`Employee` -&gt; `ResearchStaff` -&gt; `ResearchAssistant` -&gt; `Lecturer`). Model 2 skips the `ResearchAssistant` class altogether, treating all `ResearchStaff` as identical, which compromises domain accuracy.
2. Associations and Multiplicities: Model 1 employs standard and accurate multiplicities (`1..*`, `0..*`). Model 2 applies invalid literal string `"many"` for multiplicities, breaking formal UML rules.
3. Handling association attributes: The prompt requires tracking the "number of hours" an RA is involved in a project. Model 1 handles this gracefully by creating a `ProjectInvolvement` class. Model 2 just writes `(hours : int)` on the association line, which is syntactically invalid for declaring actual attributes in PlantUML/UML.
4. Overall judgment: Model 1 provides a highly accurate, structurally sound, and compliant UML class diagram that perfectly aligns with the domain description. Model 2 suffers from missing classes, non-standard UML notations, and improper attribute placement. Response 1 is significantly better.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</si>
  <si>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</si>
  <si>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merges the concepts of "Research staff" and "Research assistants (RA)" into a single `ResearchStaff` class, whereas Model 2 accurately separates them (`ResearchStaff &lt;|-- ResearchAssistant`). Model 2 also correctly introduces `ProjectInvolvement` to capture the relationship state, while Model 1 misses a structural class for this.
2. Associations/Multiplicities between classes for domain reasoning: Model 1 = 3, Model 2 = 5; Evidence: Model 1 uses the non-standard literal "many" for multiplicities instead of `*` or `0..*`, and it attempts to capture the project hours using a text label `(hours : int)` on an association rather than a formal association class. Model 2 correctly handles the many-to-many project relationship using the `ProjectInvolvement` intermediate class and uses standard UML multiplicities (`1..*`, `*`, `0..1`). 
3. Model attributes with appropriate data types: Model 1 = 4, Model 2 = 5; Evidence: Both models capture the core attributes correctly, but Model 1 fails to structurally model `hours` for project involvement, leaving it as plain text on a relationship arrow. Model 2 correctly models `hours` as an `int` within the `ProjectInvolvement` class.
4. Consistencies of Terminology with given context: Model 1 = 4, Model 2 = 5; Evidence: Model 1 uses `ResearchStaff` where the prompt specifically mentions "Research assistants (RA)", causing a slight terminology misalignment. Model 2 perfectly adheres to the provided terminology (`ResearchStaff`, `ResearchAssistant`, `Lecturer`, `AdministrativeStaff`).
5. Adherence of UML class diagram standards: Model 1 = 3, Model 2 = 5; Evidence: Model 1 violates UML multiplicity standards by using the string `"many"` instead of standard bounds. It also violates structural modeling by trying to declare an attribute `(hours : int)` inside a relationship text label. Model 2 fully adheres to PlantUML and UML standards (the single-quote comments defining opposites are standard tooling annotations and valid).
Total: Model 1 = 18, Model 2 = 25
Choice: B
Reason:
1. Appropriate conceptual classes: Model 2 properly breaks down the inheritance hierarchy between Research Staff and Research Assistants, and models the many-to-many relationship with projects using an explicit intermediate class (`ProjectInvolvement`). Model 1 merges the staff concepts.
2. Associations/Multiplicities: Model 2 uses standard numerical bounds for multiplicities (`1..*`, `*`), whereas Model 1 uses non-standard text (`"many"`).
3. Model attributes: Model 2 successfully incorporates the `hours` attribute as a formal attribute inside `ProjectInvolvement`. Model 1 improperly appends it to a relationship label.
4. Rejected or checked issues: Model 2 uses two opposite unidirectional arrows (e.g., `A --&gt; B` and `B --&gt; A`) and single-quote comments (e.g., `'opposite`). Following the strict forbidden penalty rules, these are semantically identical to a single bidirectional line and represent standard tooling annotations, so they were not penalized.
5. Overall judgment: Model 2 is significantly stronger because it accurately handles the domain hierarchy, correctly structuralizes association attributes (hours), adheres to correct UML terminology, and applies valid multiplicity notation. Model 1 falls short by using non-standard UML syntax and oversimplifying the research staff hierarchy.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</si>
  <si>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</si>
  <si>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explicitly uses a `ProjectInvolvement` class to capture the `hours` attribute for the relationship between RAs and Projects, ensuring high cohesion by encapsulating relationship-specific data. Model 2 attempts to place `(hours : int)` as text on the association label (`involved in (hours : int)`), which fails to structurally decouple this data into a proper association class or entity.
2. Complexity: Model 1 = 5, Model 2 = 4; Evidence: Model 1 creates a precise inheritance tree (`Employee` -&gt; `ResearchStaff` -&gt; `ResearchAssistant` -&gt; `Lecturer`) that accurately mirrors the specific concepts introduced in the text. Model 2 skips the `ResearchAssistant` class entirely, merging its attributes (`fieldOfResearch`) directly into `ResearchStaff`, slightly oversimplifying the domain model provided in the requirements.
3. Practicability: Model 1 = 5, Model 2 = 3; Evidence: Model 1 uses standard UML multiplicities (e.g., `1..*`, `*`) and constructs, making it highly practical for code generation and maintenance. Model 2 uses non-standard multiplicity literals (e.g., `"many"`) and improperly models the project hours attribute as string text on an association line, reducing its viability for real-world implementation and tooling.
Total: Model 1 = 15, Model 2 = 10
Choice: A
Reason:
1. Cohesion and Decoupling: Model 1 correctly extracts the many-to-many relationship attribute (hours) into a dedicated `ProjectInvolvement` class, maintaining excellent structural integrity. Model 2 fails to properly model this, relying on an informal text note on the association.
2. Complexity: Model 1 strikes the right balance of complexity by accurately capturing the conceptual difference between general research staff, research assistants, and lecturers. Model 2 collapses these concepts in a way that loses the explicit "Research Assistant" entity requested by the prompt.
3. Practicability: Model 1 is completely standard, readable, and ready for implementation. Model 2's use of non-standard multiplicities ("many") and unparseable association attributes makes it significantly less practical for a real-world software design environment.
4. Overall judgment: Model 1 is superior because it accurately adheres to UML standards, correctly models complex relationships (using an intermediate class for association attributes), and captures the domain concepts with exact precision.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</si>
  <si>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</si>
  <si>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5; Evidence: Both models achieve good cohesion by separating entities like `Employee`, `Institute`, and `Course`. Model 2 goes further by introducing `ProjectInvolvement` to encapsulate the relationship and its specific attribute (`hours`) between `ResearchAssistant` and `Project`, preventing the leakage of relationship-specific attributes into the core entities and maintaining better decoupling.
2. Complexity: Model 1 = 4, Model 2 = 5; Evidence: Model 1 has a simpler hierarchy (`Employee` -&gt; `ResearchStaff` -&gt; `Lecturer`) but misses the distinction between research staff generally and "Research assistants (RA)" specifically. It also attempts to handle relationship complexity using a text label `involved in (hours : int)`. Model 2 utilizes a deeper but requirement-aligned inheritance tree (`Employee` -&gt; `ResearchStaff` -&gt; `ResearchAssistant` -&gt; `Lecturer`) and formally introduces `ProjectInvolvement`, adding necessary and well-balanced structural complexity.
3. Practicability: Model 1 = 3, Model 2 = 5; Evidence: Model 1 models the hours an RA spends on a project purely as text on an association line (`ResearchStaff "many" --&gt; "0..*" Project : involved in (hours : int)`), which does not translate into a valid programmatic structure or database schema. Model 2 uses an intermediate class `ProjectInvolvement` with an `hours : int` attribute linking `ResearchAssistant` and `Project`, making it highly practical, readable, and directly translatable to code and relational databases.
Total: Model 1 = 11, Model 2 = 15
Choice: B
Reason:
1. Cohesion and Decoupling: Model 2 exhibits superior design by using `ProjectInvolvement` to manage the many-to-many relationship between research assistants and projects. This keeps the `ResearchAssistant` and `Project` classes cohesive and correctly decoupled.
2. Complexity: While Model 2 has more classes (11 vs 9), the added complexity is entirely justified by the requirements. It accurately captures the nuanced roles (`ResearchStaff`, `ResearchAssistant`, and `Lecturer`) and introduces an association-equivalent class (`ProjectInvolvement`) to hold state that belongs strictly to the relationship, whereas Model 1 tries to bypass this complexity improperly.
3. Practicability: Model 2 is significantly more practical for software development. The use of intermediate classes for many-to-many relationships with attributes (like `hours` spent on a project) is a standard and robust engineering practice. Model 1's reliance on a text note on an association line is semantically weak and cannot be directly implemented in code.
4. Rejected or checked issues: Model 2 uses two opposite unidirectional associations to represent bidirectionality (e.g., `Employee --&gt; Faculty` and `Faculty --&gt; Employee`), along with single-quote PlantUML comments (e.g., `'opposite`). Following the strict instructions, this style was treated as fully acceptable and semantically equivalent to bidirectional lines; no penalties were applied. 
5. Overall judgment: Model 2 is structurally much sounder and more aligned with the domain requirements. It correctly models the inheritance chain specified in the prompt and effectively utilizes an intermediate class to map relationship attributes, making it a distinctly better and more viable software design.</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</si>
  <si>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</si>
  <si>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Requirements: Model 1 = 5, Model 2 = 4; Evidence: Both models capture the required entities such as University, Faculty, Institute, Employee variations, Project, and Course. Model 1 uses an `address : String` attribute for Institute, strictly adhering to the requirements without adding details. Model 2 creates an `Address` class with hallucinated attributes (`street`, `city`, `zipCode`). Model 1 successfully represents the total number of employees as an attribute, and Model 2 does the same. 
2. Relationships and Cardinalities: Model 1 = 5, Model 2 = 3; Evidence: For the assignment of Research Assistants (RA) to institutes, Model 1 correctly maps the `1..*` multiplicity for the assigned institutes. When dealing with the many-to-many relationship between RA and Project with a specific attribute (`hours`), Model 1 correctly models a reified association class (`ProjectInvolvement`) where one RA has many involvements and each involvement points to one Project. Model 2 incorrectly assigns a many-to-many multiplicity between `ResearchAssistant` and `ProjectInvolvement` (`ResearchAssistant "0..*" -- "0..*" ProjectInvolvement`), which semantically implies that an involvement record with a specific hour count can be shared by multiple RAs.
Total: Model 1 = 10, Model 2 = 7
Choice: A
Reason:
1. Alignment with Requirements: Model 1 correctly captures all domain requirements without hallucinating additional details. Model 2 unnecessarily fabricates attributes for the `Address` class (`street`, `city`, `zipCode`), going slightly beyond the scope of the prompt.
2. Relationships and Cardinalities: Model 1 accurately reifies the many-to-many relationship between RAs and Projects by introducing `ProjectInvolvement` and applying the correct one-to-many multiplicities. Model 2 incorrectly defines a many-to-many relationship between `ResearchAssistant` and `ProjectInvolvement`, which breaks the domain logic that a specific involvement (hours worked) maps exactly one RA to one Project. 
3. Overall judgment: Model 1 is noticeably better because it precisely follows the multiplicity rules for intermediate classes, while strictly staying within the boundaries of the provided requirements without hallucinating attributes.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</si>
  <si>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</si>
  <si>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Requirements Coverage &amp; Additions: Model 1 = 4, Model 2 = 5; Evidence: Both models cover the core entities well. Model 1 introduces an explicit `Address` class for the institute's address, which is acceptable, but misses the structural relationship that an Employee is "of the university" (no link between University and Employee). Model 2 models the address as an attribute `address : String` inside `Institute`, which perfectly matches the scope, and correctly links `Employee` to `University` (`University --&gt; "*" Employee`). Model 2 adds a minor `name` attribute to University, which is a harmless logical deduction.
2. Class Associations &amp; Multiplicities: Model 1 = 3, Model 2 = 5; Evidence: The requirement states: "Research assistants (RA) are assigned to at least one institute." Model 1 defines this as `ResearchAssistant "1..*" -- "0..*" Institute`, which incorrectly applies the `0..*` cardinality to the Institute side (meaning an RA can be assigned to 0 institutes). Model 2 correctly defines `ResearchAssistant --&gt; "1..*" Institute`. Furthermore, for project involvements, Model 1 incorrectly models the intermediate class as a many-to-many relationship with ResearchAssistant (`ResearchAssistant "0..*" -- "0..*" ProjectInvolvement`), whereas Model 2 accurately models the 1-to-N decomposition (`ResearchAssistant --&gt; "0..*" ProjectInvolvement` and `ProjectInvolvement --&gt; "1" Project`). 
3. Domain Class Design: Model 1 = 5, Model 2 = 5; Evidence: Both models accurately capture the class names, attributes (e.g., `totalEmployees`, `socialSecurityNumber`, `fieldOfResearch`), and inheritance hierarchy (Lecturer -&gt; ResearchAssistant -&gt; ResearchStaff -&gt; Employee).
Total: Model 1 = 12, Model 2 = 15
Choice: B
Reason:
1. Requirements Coverage &amp; Additions: Both models correctly avoid unwarranted hallucinations. Model 2 is slightly more comprehensive as it explicitly connects Employees to the University, satisfying the requirement that they are "employees of the university", whereas Model 1 leaves Employee as an isolated hierarchy except for the dean role.
2. Class Associations &amp; Multiplicities: Model 2 translates the cardinalities much more accurately than Model 1. Model 1 fails the "at least one institute" constraint by placing a `0..*` multiplicity on the Institute side. It also incorrectly specifies a many-to-many relationship between `ResearchAssistant` and the `ProjectInvolvement` intermediate class. Model 2 flawlessly captures the `1..*` assignment to Institutes and properly decomposes the many-to-many project involvement.
3. Domain Class Design: Both models represent the attributes, class responsibilities, and inheritance perfectly.
4. Rejected or checked issues: The two opposite unidirectional associations in Model 2 (e.g., `A --&gt; B` and `B --&gt; A` with `'opposite` comments) were treated as 100% semantically equivalent to bidirectional associations and were not penalized, in strict adherence to the forbidden penalty rules. Model 1's use of an explicit `Address` class was also treated as a valid design refinement. 
5. Overall judgment: Model 2 is the better response. It perfectly captures all required associations and specific multiplicational constraints, whereas Model 1 makes significant errors in the multiplicities for Institute assignments and ProjectInvolvements.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</si>
  <si>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</si>
  <si>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the core classes such as University, Faculty, Institute, Employee, ResearchStaff, AdministrativeStaff, ResearchAssistant, Lecturer, Project, Course, and ProjectInvolvement.
2. Associations/Multiplicities between classes for domain reasoning: Model 1 = 5, Model 2 = 4; Evidence: Model 1 explicitly connects all employees to the University (`University --&gt; "*" Employee`), accurately capturing "employee of the university". It also correctly models the intermediate class `ProjectInvolvement` (1 RA has multiple involvements, each belonging to 1 project). Model 2 misses the general University-to-Employee association (only linking the dean) and incorrectly assigns a many-to-many multiplicity between `ResearchAssistant` and `ProjectInvolvement` (`ResearchAssistant "0..*" -- "0..*" ProjectInvolvement`), which incorrectly implies multiple RAs could share the same involvement record.
3. Model attributes with appropriate data types: Model 1 = 5, Model 2 = 5; Evidence: Both models correctly assign attributes like `totalEmployees`, `fieldOfResearch`, `hours`, etc. Model 1 uses an `address` string for Institute, while Model 2 extracts `Address` into a separate class; both approaches are valid domain representations. Model 1 accurately maps "unique number" to `id : int`, while Model 2 uses `id : String`, both of which are acceptable.
4. Consistencies of Terminology with given context: Model 1 = 5, Model 2 = 5; Evidence: Terminology strictly aligns with the prompt in both models (e.g., "ResearchAssistant", "Lecturer", "dean", "socialSecurityNumber").
5. Adherence of UML class diagram standards: Model 1 = 5, Model 2 = 5; Evidence: Both models use valid PlantUML syntax. Model 1's use of paired unidirectional arrows (e.g., `A --&gt; B` and `B --&gt; A`) to simulate bidirectional associations is semantically equivalent and completely valid under standard UML practices.
Total: Model 1 = 25, Model 2 = 24
Choice: A
Reason:
1. Associations/Multiplicities: Model 1 presents a structurally sound model for the intermediate class `ProjectInvolvement` connecting RAs to Projects. Model 2 uses a many-to-many multiplicity between `ResearchAssistant` and `ProjectInvolvement`, which breaks the semantics of an associative entity tracking individual hours. Model 1 also correctly establishes that all Employees belong to the University, whereas Model 2 leaves Employees (other than the dean) unassociated with the University structure.
2. Rejected or checked issues: Model 1's use of paired unidirectional arrows (with `'opposite` comments) is explicitly protected by the evaluation guidelines as semantically equivalent to standard bidirectional associations. No penalty is applied for this modeling style. Model 2's extraction of the `Address` class is also treated as a valid architectural choice without penalty.
3. Overall judgment: Model 1 slightly edges out Model 2 due to more precise multiplicities in tracking project hours and a complete representation of the University's relationship to its employees. Model 1 is therefore chosen as the better response.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</si>
  <si>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</si>
  <si>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core domain concepts such as University, Faculty, Institute, Employee, ResearchStaff, AdministrativeStaff, ResearchAssistant, Lecturer, Project, Course, and an intermediate entity for ProjectInvolvement. Model 1 extracts Address into a separate class, while Model 2 uses an attribute, both of which are valid conceptual representations.
2. Associations/Multiplicities between classes for domain reasoning: Model 1 = 3, Model 2 = 5; Evidence: Model 1 incorrectly models the multiplicity between ResearchAssistant and Institute as `ResearchAssistant "1..*" -- "0..*" Institute`, which implies an RA can be assigned to zero institutes, violating the "at least one" requirement. Furthermore, Model 1 models `ResearchAssistant "0..*" -- "0..*" ProjectInvolvement` as a many-to-many relationship, which is semantically incorrect for a linking class. Model 2 correctly captures the "at least one" constraint with `ResearchAssistant --&gt; "1..*" Institute` and maps involvements appropriately.
3. Model attributes with appropriate data types: Model 1 = 5, Model 2 = 5; Evidence: Both models correctly assign the requested attributes (e.g., social security number, name, email, fieldOfResearch, project dates, course ID/name/duration) to the right classes with logical data types (String, Date, int/double). 
4. Consistencies of Terminology with given context: Model 1 = 5, Model 2 = 5; Evidence: Both models use terms identical to the prompt (e.g., Faculty, Institute, AdministrativeStaff, ResearchAssistant, Lecturer, Course).
5. Adherence of UML class diagram standards: Model 1 = 5, Model 2 = 5; Evidence: Both models produce syntactically valid PlantUML diagrams. Model 2's use of opposite unidirectional arrows (e.g., `A --&gt; B` and `B --&gt; A`) and single-quote comments are standard and explicitly permitted by the evaluation rules.
Total: Model 1 = 23, Model 2 = 25
Choice: B
Reason:
1. Associations/Multiplicities: Model 2 is superior because it accurately captures the mandatory business rule that Research Assistants are assigned to "at least one" institute (`1..*`), whereas Model 1 leaves the institute side as `0..*`. Additionally, Model 1 erroneously specifies a many-to-many multiplicity between `ResearchAssistant` and `ProjectInvolvement`, which breaks the domain logic of an assignment/involvement class (which should map one RA to one Project per instance). Model 2 correctly models a one-to-many composition-like structure for the involvements.
2. Conceptual Classes &amp; Attributes: Both models do an excellent job capturing the required inheritance hierarchies (Employee -&gt; Research/Admin -&gt; RA -&gt; Lecturer) and necessary fields.
3. Rejected or checked issues: Model 2's usage of opposite unidirectional arrows (e.g., `Faculty --&gt; Employee` and `Employee --&gt; Faculty`) and PlantUML end-of-line comments (`'opposite ...`) are strictly permitted by the prompt's negative constraints and were not penalized. 
4. Overall judgment: Model 2 accurately models all domain multiplicities and constraints without semantic errors, whereas Model 1 misses a key multiplicity constraint and misshapes an intermediate association class. Thus, Model 2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</si>
  <si>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</si>
  <si>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5; Evidence: Both models successfully decouple the complex many-to-many relationship between `ResearchAssistant` and `Project` by introducing the intermediate `ProjectInvolvement` class to hold the `hours` attribute, maintaining high cohesion. Both models properly segregate staff types using an inheritance tree from `Employee`.
2. Complexity: Model 1 = 5, Model 2 = 4; Evidence: Model 1 models `address` simply as an attribute of `Institute`, which aligns perfectly with the requirement. Model 2 unnecessarily creates a separate `Address` class (`street`, `city`, `zipCode`), which increases the number of classes and overall complexity without a direct prompt from the requirements.
3. Practicability: Model 1 = 5, Model 2 = 3; Evidence: Model 1 correctly structures the intermediate `ProjectInvolvement` class with a 1-to-many relationship from `ResearchAssistant` to `ProjectInvolvement` and a many-to-1 relationship from `ProjectInvolvement` to `Project`. Model 2 incorrectly defines the relationship as `ResearchAssistant "0..*" -- "0..*" ProjectInvolvement`, implying that a single involvement record (and its specific hours) is shared among multiple RAs, which is practically flawed for tracking individual RA hours. 
Total: Model 1 = 15, Model 2 = 12
Choice: A
Reason:
1. Cohesion and Decoupling: Both models perform well by separating conceptual entities effectively and identifying the need for an intermediate class (`ProjectInvolvement`) to hold the association attribute (`hours`).
2. Complexity: Model 1 maintains an appropriate level of complexity by using a simple `String` attribute for the institute's address. Model 2 artificially inflates the diagram's complexity by introducing an extraneous `Address` class with attributes that were never requested.
3. Practicability: Model 1 provides a highly practical and logically sound data structure. It accurately maps the cardinalities for the `ProjectInvolvement` intermediate class. Model 2 makes a critical modeling error by assigning a many-to-many multiplicity between `ResearchAssistant` and `ProjectInvolvement`, which breaks the standard pattern for resolving association classes and makes tracking individual hours impractical. 
4. Rejected or checked issues: Model 1 uses pairs of opposite-direction unidirectional associations (e.g., `A --&gt; B` and `B --&gt; A`). According to the strict evaluation guidelines, these are semantically identical to standard bidirectional associations, so no penalties were applied to Model 1 for this graphical representation style.
5. Overall judgment: Model 1 perfectly balances simplicity and functional correctness, accurately capturing multiplicities and avoiding unnecessary conceptual bloat. Model 2 suffers from an incorrect intermediate class multiplicity and slight over-engineering, making Model 1 the better design.</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</si>
  <si>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</si>
  <si>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Both models successfully decouple administrative and research staff using inheritance. However, Model 1 creates a many-to-many relationship between `ResearchAssistant` and the intermediate class `ProjectInvolvement` (`ResearchAssistant "0..*" -- "0..*" ProjectInvolvement`), which muddles the cohesion of the involvement record (it should belong to exactly one assistant). Model 2 correctly structures this with a unidirectional one-to-many path (`ResearchAssistant --&gt; "0..*" ProjectInvolvement`).
2. Complexity: Model 1 = 4, Model 2 = 5; Evidence: Model 1 introduces an additional `Address` class for the institute. While conceptually valid, it slightly increases the number of classes compared to Model 2, which simply uses an `address : String` attribute on `Institute`. Model 2 strikes a perfect balance of complexity, using an appropriate number of classes to satisfy the requirements without overcomplicating the model.
3. Practicability: Model 1 = 4, Model 2 = 5; Evidence: Model 2 is more practical for real-world implementation. It explicitly links `University` and `Employee` (`University --&gt; "*" Employee`), which logically supports the requirement that "The total number of employees is known" and that the university manages its staff. Model 1 leaves `Employee` disconnected from the `University` except through the `dean` role on `Faculty`.
Total: Model 1 = 12, Model 2 = 15
Choice: B
Reason:
1. Cohesion and Decoupling: Model 2 provides a semantically stronger model for the association class pattern. By defining the `ProjectInvolvement` links properly, it ensures that each involvement is specific to a single RA and Project, avoiding the ambiguous many-to-many linkage seen in Model 1 (`ResearchAssistant "0..*" -- "0..*" ProjectInvolvement`).
2. Complexity: Both models accurately capture the class hierarchy for staff (`Employee` -&gt; `ResearchStaff` -&gt; `ResearchAssistant` -&gt; `Lecturer`). Model 2 keeps the class count slightly lower by using a primitive attribute for the institute's address, which is fully sufficient for the requirement.
3. Practicability: Model 2 provides clear traceability between the `University` and all its `Employee`s, making it practically viable to calculate or track the total number of employees.
4. Rejected or checked issues: Model 2 uses two opposite unidirectional associations for several relationships (e.g., between `Lecturer` and `Course`). As per the strict guidelines, this is semantically equivalent to a single bidirectional line and was not penalized.
5. Overall judgment: Model 2 represents a more accurate, readable, and structurally sound UML design. It handles the intermediate `ProjectInvolvement` entity correctly and provides better overall connectivity for the university's employees, making it the superior choice.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</si>
  <si>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</si>
  <si>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Requirements: Model 1 = 4, Model 2 = 3; Evidence: Model 1 accurately captures the "at least one institute" constraint with the multiplicity `1..*` on the `Institute` side of the association (`ResearchStaff "many" --&gt; "1..*" Institute`). Model 2 fails this constraint by using `0..*` for `Institute` (`ResearchAssistant "1..*" -- "0..*" Institute`). For the project involvement hours, Model 1 informally annotates the association `involved in (hours : int)`, whereas Model 2 creates a `ProjectInvolvement` class but incorrectly links it with a many-to-many association to `ResearchAssistant` (`ResearchAssistant "0..*" -- "0..*" ProjectInvolvement`), which breaks the semantics of an associative entity. Model 2 also slightly over-engineers the `Address` class with unrequested attributes (`street`, `city`, `zipCode`), while Model 1 simply uses a `String` as required by "the address of each institute is known."
Total: Model 1 = 4, Model 2 = 3
Choice: A
Reason:
1. Alignment with Requirements: Model 1 correctly enforces the explicit constraint that Research Assistants are assigned to "at least one institute" by using the `1..*` multiplicity. Model 2 uses `0..*`, which contradicts the requirement. Furthermore, while Model 2 attempts to model the project involvement hours with a dedicated intermediate class (`ProjectInvolvement`), it incorrectly sets a many-to-many relationship between `ResearchAssistant` and `ProjectInvolvement`, meaning one involvement record could belong to multiple RAs, which logically fails to represent a specific RA's hours on a specific project. Model 1's approach of annotating the association, while less formally structured as an association class, avoids this logical error. 
2. Rejected or checked issues: Both models correctly handle the hierarchical structure of the university, the dean assignment, and the inheritance of lecturers. Model 1 conflates `ResearchStaff` and `ResearchAssistant`, but since the requirement does not specify any other types of research staff, this simplification is acceptable. Model 2's addition of specific address attributes was not heavily penalized, but it constitutes a minor hallucination compared to Model 1's direct `String`.
3. Overall judgment: Model 1 provides a more accurate translation of the business rules and constraints (especially multiplicities) into UML, making it the better model despite its simpler representation of association attributes.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</si>
  <si>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</si>
  <si>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 Alignment: Model 1 = 5, Model 2 = 3; Evidence: Model 1 explicitly includes `ResearchAssistant` as a subclass of `ResearchStaff` with the `fieldOfResearch` attribute, accurately reflecting the specific requirement mention of RAs. It also correctly handles the many-to-many relationship involving "a certain number of hours" between RAs and Projects by using an associative/intermediate class `ProjectInvolvement` with an `hours` attribute. Model 2 merges RAs into `ResearchStaff` (losing the explicit RA concept) and attempts to model the hours by adding text to the association label (`involved in (hours : int)`), which does not have valid semantic meaning in standard UML for capturing association attributes. Both models successfully capture the University, Faculty, Institute, Employee (and Dean role), and Course constraints.
Total: Model 1 = 5, Model 2 = 3
Choice: A
Reason:
1. Requirement Alignment: Model 1 demonstrates a much stronger grasp of UML semantics by using an intermediate class (`ProjectInvolvement`) to capture the association attribute (`hours`) between Research Assistants and Projects. Model 2 simply writes this in the association label, which is not structurally sound. Furthermore, Model 1 explicitly models `ResearchAssistant` as distinct from general `ResearchStaff`, whereas Model 2 conflates the two. Model 1 correctly captures all attributes, associations, and multiplicities using standard syntax.
2. Rejected or checked issues: Model 2 uses "many" instead of `*` or `0..*` for multiplicities. While technically non-standard UML, it is understandable; however, Model 1's usage of standard multiplicity literals (`0..*`) is slightly more precise. Model 1's choice to extract `Address` into a separate class versus Model 2's use of a string attribute `address` are both acceptable interpretations, so neither was penalized.
3. Overall judgment: Model 1 is noticeably better because it fully captures the nuanced relationships (such as association attributes) and maintains strict fidelity to the entities named in the prompt (like Research Assistants) using correct UML syntax.</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</si>
  <si>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</si>
  <si>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4, Model 2 = 5; Evidence: Model 1 conflates "Research staff" and "Research assistants" into a single `ResearchStaff` class, and missing a class to properly capture the project involvement hours. Model 2 correctly distinguishes `ResearchStaff` and `ResearchAssistant`, and adds `ProjectInvolvement` to properly handle the intermediate association concept.
2. Associations/Multiplicities between classes for domain reasoning: Model 1 = 3, Model 2 = 3; Evidence: The requirement states "Research assistants (RA) are assigned to at least one institute." Model 1 correctly uses `1..*` on the Institute side, but uses a non-standard `many` literal. Model 2 incorrectly uses `0..*` on the Institute side (`ResearchAssistant "1..*" -- "0..*" Institute`), failing to capture the "at least one" constraint.
3. Model attributes with appropriate data types: Model 1 = 4, Model 2 = 5; Evidence: Model 1 models the "hours" for project involvement merely as a text note on an association label (`involved in (hours : int)`), which does not structurally model it as an attribute. Model 2 correctly places `hours: int` in the `ProjectInvolvement` class.
4. Consistencies of Terminology with given context: Model 1 = 4, Model 2 = 5; Evidence: Model 1 uses `ResearchStaff` where the requirement specifically references "Research assistants (RA)" for assignments and teaching. Model 2 properly introduces and uses the `ResearchAssistant` terminology.
5. Adherence of UML class diagram standards: Model 1 = 3, Model 2 = 5; Evidence: Model 1 uses the non-standard literal `"many"` for multiplicity instead of standard notations like `*` or `0..*`. It also attempts to put attributes inside an association label. Model 2 strictly adheres to standard UML multiplicities and structural notations.
Total: Model 1 = 18, Model 2 = 23
Choice: B
Reason:
1. Appropriate conceptual classes: Model 2 is superior because it explicitly extracts the `ProjectInvolvement` association class (handling the hours properly) and accurately reflects the distinction between general research staff and research assistants. Model 1 overlooks these structural details.
2. Model attributes: Model 2 successfully turns the "hours" requirement into a structural attribute within an intermediate class. Model 1 relies on arbitrary text inside a relationship label, which does not amount to a valid UML attribute.
3. Adherence to UML standards: Model 2 uses entirely valid PlantUML and standard UML constructs. Model 1 uses invalid multiplicity strings (`"many"`) which makes it technically flawed under strict UML standards.
4. Rejected or checked issues: Model 2's multiplicity error on the RA-Institute relationship (using `0..*` instead of `1..*`) is noted and penalized in the Associations criteria. However, Model 1's use of `"many"` is also penalized. Similarly, Model 2's extraction of the `Address` class is a valid modeling choice and not penalized.
5. Overall judgment: Although Model 2 makes a domain multiplicity mistake on the Institute assignment constraint, Model 1 suffers from several broader standard violations (invalid multiplicity literals, treating attributes as text labels) and misses the exact class conceptualization for RAs. Model 2 represents a much stronger and structurally sound UML design.</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</si>
  <si>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</si>
  <si>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3; Evidence: Model 1 correctly identifies all domain classes including `ResearchAssistant` and an intermediate class `ProjectInvolvement` to handle the association attributes. Model 2 merges `ResearchAssistant` into `ResearchStaff`, losing a domain concept, and fails to model an association class to handle project involvement hours.
2. Associations/Multiplicities between classes for domain reasoning: Model 1 = 5, Model 2 = 3; Evidence: Model 1 uses correct and formal multiplicities (e.g., `0..*`, `1..*`) and models the complex many-to-many project involvement with an explicit intermediate class. Model 2 uses the non-standard multiplicity literal `"many"` and attempts to model the hours of involvement merely as text inside an association label (`"involved in (hours : int)"`), which does not formally establish the relationship structure.
3. Model attributes with appropriate data types: Model 1 = 5, Model 2 = 3; Evidence: Model 1 captures all required attributes, correctly placing `hours` in `ProjectInvolvement` and creating an `Address` class. Model 2 misses the `hours` attribute as a formal class property (relegating it to a label string) but correctly assigns data types to the rest.
4. Consistencies of Terminology with given context: Model 1 = 5, Model 2 = 3; Evidence: Model 1 uses exact terminology from the requirements (`ResearchAssistant`, `Lecturer`, `totalEmployees`). Model 2 applies requirement-specific features (field of research, institute assignment, project involvement) to the broader `ResearchStaff` class instead of the required `Research assistants (RA)`. 
5. Adherence of UML class diagram standards: Model 1 = 5, Model 2 = 3; Evidence: Model 1 follows standard UML notation, using standard multiplicities (`0..*`) and correct class inheritance/associations. Model 2 violates standard UML multiplicities by using the literal `"many"` and violates structural notation by placing an attribute declaration inside a relationship name label.
Total: Model 1 = 25, Model 2 = 15
Choice: A
Reason:
1. Appropriate conceptual classes: Model 1 fully maps the requirement to classes, including a dedicated class to resolve the association attribute (hours) for project involvement. Model 2 merges distinct concepts (`ResearchAssistant` and `ResearchStaff`) and misses an entity to store the association attribute.
2. Associations &amp; Attributes: Model 1 captures all structural links with proper UML multiplicities and encapsulates attributes flawlessly. Model 2 incorrectly attempts to define an attribute inside a relationship text label (`"involved in (hours : int)"`), which violates UML object-oriented design principles and renders the attribute practically non-existent in the schema.
3. Terminology &amp; Standards: Model 1 adheres to the strict terminology given in the prompt, distinguishing between research staff generally and research assistants specifically. Model 2 uses non-standard multiplicity literals (`"many"`) and fails to maintain exact terminology.
4. Overall judgment: Model 1 is an excellent, structurally sound representation of the domain that fully conforms to UML standards. Model 2 contains several UML flaws and misses key domain distinctions, making Model 1 significantly better.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</si>
  <si>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</si>
  <si>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Model 2 properly isolates the state of the many-to-many relationship between research assistants and projects into a cohesive `ProjectInvolvement` class to hold the `hours` attribute. Model 1 attempts to place this data informally on the association label (`involved in (hours : int)`), which does not adhere to proper structural decoupling. 
2. Complexity: Model 1 = 4, Model 2 = 5; Evidence: Model 2 aligns perfectly with the domain's conceptual complexity by mapping the inheritance chain correctly (`Employee` &lt;|-- `ResearchStaff` &lt;|-- `ResearchAssistant` &lt;|-- `Lecturer`), effectively separating general research staff from specific RAs as detailed in the prompt. Model 1 merges the concepts of Research Staff and Research Assistant into a single `ResearchStaff` class, slightly oversimplifying the required domain entities.
3. Practicability: Model 1 = 3, Model 2 = 5; Evidence: Model 2 is highly practical because the intermediate `ProjectInvolvement` class can directly translate to an associative table in a database or a mapping entity in code. Model 1's approach of defining `(hours : int)` directly on the association line is not standard or executable UML, which would cause ambiguity during implementation. Model 2 also correctly uses standard multiplicities (`0..*`) compared to Model 1's text-based `"many"`.
Total: Model 1 = 11, Model 2 = 15
Choice: B
Reason:
1. Cohesion and Decoupling: Model 2 excels by using an intermediate class (`ProjectInvolvement`) to represent the many-to-many association payload (hours). This ensures that each class has a singular, cohesive purpose. Model 1 uses an informal label for the attribute, which weakens the structural representation.
2. Complexity: Model 2 captures the domain semantics with ideal depth, distinguishing between `ResearchStaff` and `ResearchAssistant`, whereas Model 1 condenses them, missing a distinct conceptual nuance from the requirements. 
3. Rejected or checked issues: Model 2 extracts `Address` into its own class while Model 1 uses a `String` attribute. Both are perfectly valid design choices for "The address of each institute is known" and neither was penalized. Furthermore, optional abstractness on Model 2's `Employee` class was noted but did not negatively impact the score.
4. Overall judgment: Model 2 is superior because it provides a more strictly valid, standard, and implementable UML structure. The proper handling of the many-to-many relationship payload (project hours) and the precise modeling of the employee inheritance hierarchy make it much more suitable for real-world software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</si>
  <si>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</si>
  <si>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introduces a `ProjectInvolvement` class to store the `hours` attribute, keeping `ResearchAssistant` and `Project` decoupled and cohesive. Model 2 attempts to place the `hours` attribute inside a plain text association label (`involved in (hours : int)`), which does not structurally encapsulate the data.
2. Complexity: Model 1 = 5, Model 2 = 3; Evidence: Model 1 correctly captures the required conceptual hierarchy (`Employee` -&gt; `ResearchStaff` -&gt; `ResearchAssistant` -&gt; `Lecturer`), ensuring the complexity aligns with the domain. Model 2 misses the `ResearchAssistant` class entirely, merging its attributes (`fieldOfResearch`) and relationships directly into `ResearchStaff`.
3. Practicability: Model 1 = 4, Model 2 = 2; Evidence: Model 1 is highly practical and uses standard UML constructs, though it slightly misrepresents the RA-Institute multiplicity (`0..*` instead of `1..*`). Model 2 is less practical due to non-standard multiplicities (using the word `"many"`) and lacking a programmatic structure for the project involvement hours, which would hinder implementation.
Total: Model 1 = 14, Model 2 = 8
Choice: A
Reason:
1. Cohesion and Decoupling: Model 1 effectively decouples the many-to-many relationship between research assistants and projects by utilizing an intermediate `ProjectInvolvement` class to handle the `hours` attribute. Model 2 fails to provide a structural element for this, relying on an informal text label.
2. Complexity: Model 1 properly balances complexity by modeling all domain nouns as appropriate classes (`ResearchStaff`, `ResearchAssistant`, `Lecturer`), matching the detailed requirements. Model 2 under-models the domain by conflating `ResearchAssistant` with `ResearchStaff`.
3. Practicability: Model 1 presents a structurally sound, highly readable, and implementable UML diagram. Model 2 uses non-standard multiplicity literals (`"many"`) and fails to model the association attribute practically, making it much harder to translate into code or a database schema.
4. Overall judgment: Model 1 is substantially better. It accurately represents the conceptual hierarchy of employees and successfully solves the problem of storing the "hours" property in a many-to-many relationship. While Model 1 has a minor multiplicity inaccuracy regarding the minimum number of institutes, Model 2 suffers from missing domain concepts and non-standard syntax.
```</t>
  </si>
  <si>
    <t>候选对</t>
  </si>
  <si>
    <t>方向</t>
  </si>
  <si>
    <t>子指标编号</t>
  </si>
  <si>
    <t>子指标名称</t>
  </si>
  <si>
    <t>Model 1实际候选</t>
  </si>
  <si>
    <t>Model 1分数</t>
  </si>
  <si>
    <t>Model 2实际候选</t>
  </si>
  <si>
    <t>Model 2分数</t>
  </si>
  <si>
    <t>分数差(M1-M2)</t>
  </si>
  <si>
    <t>位置Choice</t>
  </si>
  <si>
    <t>人工结果</t>
  </si>
  <si>
    <t>与人工一致</t>
  </si>
  <si>
    <t>原five Choice</t>
  </si>
  <si>
    <t>源行</t>
  </si>
  <si>
    <t>Appropriate conceptual classes aligned with the domain</t>
  </si>
  <si>
    <t>Associations/Multiplicities between classes for domain reasoning</t>
  </si>
  <si>
    <t>Model attributes with appropriate data types</t>
  </si>
  <si>
    <t>Consistencies of Terminology with given context</t>
  </si>
  <si>
    <t>Adherence of UML class diagram standards</t>
  </si>
  <si>
    <t>l2r Model1候选</t>
  </si>
  <si>
    <t>l2r M1分</t>
  </si>
  <si>
    <t>l2r Model2候选</t>
  </si>
  <si>
    <t>l2r M2分</t>
  </si>
  <si>
    <t>l2r实际结果</t>
  </si>
  <si>
    <t>r2l Model1候选</t>
  </si>
  <si>
    <t>r2l M1分</t>
  </si>
  <si>
    <t>r2l Model2候选</t>
  </si>
  <si>
    <t>r2l M2分</t>
  </si>
  <si>
    <t>r2l实际结果</t>
  </si>
  <si>
    <t>方向一致</t>
  </si>
  <si>
    <t>最终Judge结果</t>
  </si>
  <si>
    <t>l2r明细行</t>
  </si>
  <si>
    <t>r2l明细行</t>
  </si>
  <si>
    <t>最终平局来源</t>
  </si>
  <si>
    <t>five 指标五个子指标的分数解析与方向合并汇总</t>
  </si>
  <si>
    <t>每条five输出分别提取Model 1/2的五项1–5分；先按l2r/r2l映射回真实候选，再对同一子指标合并方向：一致则保留，不一致则记D(平局)。</t>
  </si>
  <si>
    <t>表1  五个子指标的顺序一致性、与人工一致性及最终结果分布</t>
  </si>
  <si>
    <t>编号</t>
  </si>
  <si>
    <t>子指标</t>
  </si>
  <si>
    <t>总候选对</t>
  </si>
  <si>
    <t>方向一致数</t>
  </si>
  <si>
    <t>方向一致率</t>
  </si>
  <si>
    <t>最终Judge N</t>
  </si>
  <si>
    <t>与人工一致数</t>
  </si>
  <si>
    <t>C_m,h</t>
  </si>
  <si>
    <t>随机一致率Pe</t>
  </si>
  <si>
    <t>Cohen's κ</t>
  </si>
  <si>
    <t>A数</t>
  </si>
  <si>
    <t>B数</t>
  </si>
  <si>
    <t>C数</t>
  </si>
  <si>
    <t>D(平局)数</t>
  </si>
  <si>
    <t>平局率</t>
  </si>
  <si>
    <t>双向评分平局数</t>
  </si>
  <si>
    <t>方向冲突转平局数</t>
  </si>
  <si>
    <t>解析质量检查</t>
  </si>
  <si>
    <t>five方向记录数</t>
  </si>
  <si>
    <t>应解析子指标分数对</t>
  </si>
  <si>
    <t>成功解析子指标分数对</t>
  </si>
  <si>
    <t>解析失败数</t>
  </si>
  <si>
    <t>五项总分推导Choice与原five Choice一致</t>
  </si>
  <si>
    <t>五项总分推导Choice与原five Choice不一致的记录（仅用于校验，不覆盖原判定）</t>
  </si>
  <si>
    <t>Model1总分</t>
  </si>
  <si>
    <t>Model2总分</t>
  </si>
  <si>
    <t>总分Choice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</si>
</sst>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s>
  <fonts count="26">
    <font>
      <sz val="11"/>
      <color theme="1"/>
      <name val="DengXian"/>
      <charset val="134"/>
    </font>
    <font>
      <b/>
      <sz val="16"/>
      <color rgb="FFFFFFFF"/>
      <name val="DengXian"/>
      <charset val="134"/>
    </font>
    <font>
      <sz val="10"/>
      <color theme="1"/>
      <name val="DengXian"/>
      <charset val="134"/>
    </font>
    <font>
      <b/>
      <sz val="11"/>
      <color rgb="FF17365D"/>
      <name val="DengXian"/>
      <charset val="134"/>
    </font>
    <font>
      <b/>
      <sz val="10"/>
      <color rgb="FFFFFFFF"/>
      <name val="DengXian"/>
      <charset val="134"/>
    </font>
    <font>
      <sz val="10"/>
      <name val="Calibri"/>
      <charset val="134"/>
    </font>
    <font>
      <sz val="10"/>
      <name val="宋体-简"/>
      <charset val="134"/>
    </font>
    <font>
      <sz val="11"/>
      <color theme="1"/>
      <name val="宋体"/>
      <charset val="134"/>
    </font>
    <font>
      <sz val="11"/>
      <color rgb="FF0000FF"/>
      <name val="宋体"/>
      <charset val="134"/>
    </font>
    <font>
      <sz val="11"/>
      <color rgb="FF800080"/>
      <name val="宋体"/>
      <charset val="134"/>
    </font>
    <font>
      <sz val="11"/>
      <color rgb="FFFF000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b/>
      <sz val="11"/>
      <color rgb="FFFFFFFF"/>
      <name val="宋体"/>
      <charset val="134"/>
    </font>
    <font>
      <sz val="11"/>
      <color rgb="FFFA7D00"/>
      <name val="宋体"/>
      <charset val="134"/>
    </font>
    <font>
      <b/>
      <sz val="11"/>
      <color theme="1"/>
      <name val="宋体"/>
      <charset val="134"/>
    </font>
    <font>
      <sz val="11"/>
      <color rgb="FF006100"/>
      <name val="宋体"/>
      <charset val="134"/>
    </font>
    <font>
      <sz val="11"/>
      <color rgb="FF9C0006"/>
      <name val="宋体"/>
      <charset val="134"/>
    </font>
    <font>
      <sz val="11"/>
      <color rgb="FF9C6500"/>
      <name val="宋体"/>
      <charset val="134"/>
    </font>
    <font>
      <sz val="11"/>
      <color theme="0"/>
      <name val="宋体"/>
      <charset val="134"/>
    </font>
  </fonts>
  <fills count="37">
    <fill>
      <patternFill patternType="none"/>
    </fill>
    <fill>
      <patternFill patternType="gray125"/>
    </fill>
    <fill>
      <patternFill patternType="solid">
        <fgColor rgb="FF17365D"/>
        <bgColor indexed="64"/>
      </patternFill>
    </fill>
    <fill>
      <patternFill patternType="solid">
        <fgColor rgb="FFD9EAF7"/>
        <bgColor indexed="64"/>
      </patternFill>
    </fill>
    <fill>
      <patternFill patternType="solid">
        <fgColor rgb="FF4472C4"/>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6" borderId="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7" borderId="4" applyNumberFormat="0" applyAlignment="0" applyProtection="0">
      <alignment vertical="center"/>
    </xf>
    <xf numFmtId="0" fontId="17" fillId="8" borderId="5" applyNumberFormat="0" applyAlignment="0" applyProtection="0">
      <alignment vertical="center"/>
    </xf>
    <xf numFmtId="0" fontId="18" fillId="8" borderId="4" applyNumberFormat="0" applyAlignment="0" applyProtection="0">
      <alignment vertical="center"/>
    </xf>
    <xf numFmtId="0" fontId="19" fillId="9" borderId="6" applyNumberFormat="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7" fillId="18" borderId="0" applyNumberFormat="0" applyBorder="0" applyAlignment="0" applyProtection="0">
      <alignment vertical="center"/>
    </xf>
    <xf numFmtId="0" fontId="7"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7" fillId="26" borderId="0" applyNumberFormat="0" applyBorder="0" applyAlignment="0" applyProtection="0">
      <alignment vertical="center"/>
    </xf>
    <xf numFmtId="0" fontId="7"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7" fillId="30" borderId="0" applyNumberFormat="0" applyBorder="0" applyAlignment="0" applyProtection="0">
      <alignment vertical="center"/>
    </xf>
    <xf numFmtId="0" fontId="7"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7" fillId="34" borderId="0" applyNumberFormat="0" applyBorder="0" applyAlignment="0" applyProtection="0">
      <alignment vertical="center"/>
    </xf>
    <xf numFmtId="0" fontId="7" fillId="35" borderId="0" applyNumberFormat="0" applyBorder="0" applyAlignment="0" applyProtection="0">
      <alignment vertical="center"/>
    </xf>
    <xf numFmtId="0" fontId="25" fillId="36" borderId="0" applyNumberFormat="0" applyBorder="0" applyAlignment="0" applyProtection="0">
      <alignment vertical="center"/>
    </xf>
  </cellStyleXfs>
  <cellXfs count="14">
    <xf numFmtId="0" fontId="0" fillId="0" borderId="0" xfId="0"/>
    <xf numFmtId="0" fontId="1" fillId="2" borderId="0" xfId="0" applyNumberFormat="1" applyFont="1" applyFill="1" applyBorder="1" applyAlignment="1">
      <alignment horizontal="center" vertical="center"/>
    </xf>
    <xf numFmtId="0" fontId="2" fillId="0" borderId="0" xfId="0" applyNumberFormat="1" applyFont="1" applyFill="1" applyBorder="1" applyAlignment="1">
      <alignment vertical="center"/>
    </xf>
    <xf numFmtId="0" fontId="2" fillId="3" borderId="0" xfId="0" applyNumberFormat="1" applyFont="1" applyFill="1" applyBorder="1" applyAlignment="1">
      <alignment horizontal="left" vertical="center" wrapText="1"/>
    </xf>
    <xf numFmtId="0" fontId="3" fillId="0" borderId="0" xfId="0" applyNumberFormat="1" applyFont="1" applyFill="1" applyBorder="1" applyAlignment="1">
      <alignment vertical="center"/>
    </xf>
    <xf numFmtId="0" fontId="4" fillId="4" borderId="0" xfId="0" applyNumberFormat="1" applyFont="1" applyFill="1" applyBorder="1" applyAlignment="1">
      <alignment horizontal="center" vertical="center" wrapText="1"/>
    </xf>
    <xf numFmtId="0" fontId="2" fillId="0" borderId="0" xfId="0" applyNumberFormat="1" applyFont="1" applyFill="1" applyBorder="1" applyAlignment="1">
      <alignment vertical="center" wrapText="1"/>
    </xf>
    <xf numFmtId="10" fontId="2" fillId="0" borderId="0" xfId="0" applyNumberFormat="1" applyFont="1" applyFill="1" applyBorder="1" applyAlignment="1">
      <alignment vertical="center"/>
    </xf>
    <xf numFmtId="0" fontId="2" fillId="5" borderId="0" xfId="0" applyNumberFormat="1" applyFont="1" applyFill="1" applyBorder="1" applyAlignment="1">
      <alignment vertical="center"/>
    </xf>
    <xf numFmtId="10" fontId="2" fillId="5" borderId="0" xfId="0" applyNumberFormat="1" applyFont="1" applyFill="1" applyBorder="1" applyAlignment="1">
      <alignment vertical="center"/>
    </xf>
    <xf numFmtId="176" fontId="2" fillId="0" borderId="0" xfId="0" applyNumberFormat="1" applyFont="1" applyFill="1" applyBorder="1" applyAlignment="1">
      <alignment vertical="center"/>
    </xf>
    <xf numFmtId="0" fontId="5" fillId="0" borderId="0" xfId="0" applyFont="1" applyAlignment="1">
      <alignment vertical="center"/>
    </xf>
    <xf numFmtId="0" fontId="6" fillId="0" borderId="0" xfId="0" applyFont="1" applyAlignment="1">
      <alignment vertical="center"/>
    </xf>
    <xf numFmtId="0" fontId="0" fillId="0" borderId="0" xfId="0" applyNumberFormat="1" applyFont="1" applyFill="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2">
    <dxf>
      <font>
        <color rgb="FF375623"/>
      </font>
      <fill>
        <patternFill patternType="solid">
          <bgColor rgb="FFE2F0D9"/>
        </patternFill>
      </fill>
    </dxf>
    <dxf>
      <font>
        <color rgb="FF9C0006"/>
      </font>
      <fill>
        <patternFill patternType="solid">
          <bgColor rgb="FFFCE4D6"/>
        </patternFill>
      </fill>
    </dxf>
    <dxf>
      <fill>
        <patternFill patternType="solid">
          <bgColor rgb="FFE2F0D9"/>
        </patternFill>
      </fill>
    </dxf>
    <dxf>
      <fill>
        <patternFill patternType="solid">
          <bgColor rgb="FFFCE4D6"/>
        </patternFill>
      </fill>
    </dxf>
    <dxf>
      <fill>
        <patternFill patternType="solid">
          <bgColor rgb="FFFFF2CC"/>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1"/>
      <tableStyleElement type="headerRow" dxfId="10"/>
      <tableStyleElement type="totalRow" dxfId="9"/>
      <tableStyleElement type="firstColumn" dxfId="8"/>
      <tableStyleElement type="lastColumn" dxfId="7"/>
      <tableStyleElement type="firstRowStripe" dxfId="6"/>
      <tableStyleElement type="firstColumnStripe" dxfId="5"/>
    </tableStyle>
    <tableStyle name="PivotStylePreset2_Accent1" table="0" count="10" xr9:uid="{267968C8-6FFD-4C36-ACC1-9EA1FD1885CA}">
      <tableStyleElement type="headerRow" dxfId="21"/>
      <tableStyleElement type="totalRow" dxfId="20"/>
      <tableStyleElement type="firstRowStripe" dxfId="19"/>
      <tableStyleElement type="firstColumnStripe" dxfId="18"/>
      <tableStyleElement type="firstSubtotalRow" dxfId="17"/>
      <tableStyleElement type="secondSubtotalRow" dxfId="16"/>
      <tableStyleElement type="firstRowSubheading" dxfId="15"/>
      <tableStyleElement type="secondRowSubheading" dxfId="14"/>
      <tableStyleElement type="pageFieldLabels" dxfId="13"/>
      <tableStyleElement type="pageFieldValues" dxfId="1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17"/>
  <sheetViews>
    <sheetView workbookViewId="0">
      <selection activeCell="A1" sqref="A1"/>
    </sheetView>
  </sheetViews>
  <sheetFormatPr defaultColWidth="9.64601769911504" defaultRowHeight="13.85"/>
  <cols>
    <col min="1" max="1" width="29.8938053097345" customWidth="1"/>
    <col min="2" max="2" width="60" customWidth="1"/>
    <col min="3" max="3" width="7.10619469026549" customWidth="1"/>
    <col min="4" max="4" width="10.5663716814159" customWidth="1"/>
    <col min="5" max="5" width="4.10619469026549" customWidth="1"/>
    <col min="6" max="6" width="80" customWidth="1"/>
    <col min="7" max="8" width="9.56637168141593" customWidth="1"/>
    <col min="9" max="9" width="11.1061946902655" customWidth="1"/>
    <col min="10" max="11" width="6.56637168141593" customWidth="1"/>
    <col min="12" max="12" width="16.8141592920354" customWidth="1"/>
  </cols>
  <sheetData>
    <row r="1" ht="13" customHeight="1" spans="1:13">
      <c r="A1" s="11" t="s">
        <v>0</v>
      </c>
      <c r="B1" s="11" t="s">
        <v>1</v>
      </c>
      <c r="C1" s="11" t="s">
        <v>2</v>
      </c>
      <c r="D1" s="11" t="s">
        <v>3</v>
      </c>
      <c r="E1" s="11" t="s">
        <v>4</v>
      </c>
      <c r="F1" s="12" t="s">
        <v>5</v>
      </c>
      <c r="G1" s="11" t="s">
        <v>6</v>
      </c>
      <c r="H1" s="11" t="s">
        <v>7</v>
      </c>
      <c r="I1" s="12" t="s">
        <v>8</v>
      </c>
      <c r="J1" s="11" t="s">
        <v>9</v>
      </c>
      <c r="K1" s="11" t="s">
        <v>10</v>
      </c>
      <c r="L1" s="11" t="s">
        <v>11</v>
      </c>
      <c r="M1" t="s">
        <v>12</v>
      </c>
    </row>
    <row r="2" ht="18" customHeight="1" spans="1:13">
      <c r="A2" t="s">
        <v>13</v>
      </c>
      <c r="B2" s="13" t="s">
        <v>14</v>
      </c>
      <c r="C2" t="s">
        <v>15</v>
      </c>
      <c r="D2" t="s">
        <v>16</v>
      </c>
      <c r="E2" t="s">
        <v>17</v>
      </c>
      <c r="F2" s="13" t="s">
        <v>18</v>
      </c>
      <c r="G2" t="s">
        <v>19</v>
      </c>
      <c r="H2" t="s">
        <v>20</v>
      </c>
      <c r="I2" t="s">
        <v>21</v>
      </c>
      <c r="J2" t="s">
        <v>22</v>
      </c>
      <c r="K2" t="str">
        <f t="shared" ref="K2:K65" si="0">IF(OR(J2="",C2="",E2=""),"",IF(J2="C","D(平局)",IF(J2=IF(E2="l2r","A","B"),LEFT(C2,1),RIGHT(C2,1))))</f>
        <v>A</v>
      </c>
      <c r="L2" t="s">
        <v>22</v>
      </c>
      <c r="M2">
        <f>IF(OR(K2="",L2=""),"",--(K2=L2))</f>
        <v>1</v>
      </c>
    </row>
    <row r="3" ht="18" customHeight="1" spans="1:13">
      <c r="A3" t="s">
        <v>13</v>
      </c>
      <c r="B3" s="13" t="s">
        <v>14</v>
      </c>
      <c r="C3" t="s">
        <v>15</v>
      </c>
      <c r="D3" t="s">
        <v>16</v>
      </c>
      <c r="E3" t="s">
        <v>23</v>
      </c>
      <c r="F3" s="13" t="s">
        <v>24</v>
      </c>
      <c r="G3" t="s">
        <v>19</v>
      </c>
      <c r="H3" t="s">
        <v>20</v>
      </c>
      <c r="I3" t="s">
        <v>25</v>
      </c>
      <c r="J3" t="s">
        <v>26</v>
      </c>
      <c r="K3" t="str">
        <f t="shared" si="0"/>
        <v>A</v>
      </c>
      <c r="L3" t="s">
        <v>22</v>
      </c>
      <c r="M3">
        <f t="shared" ref="M3:M66" si="1">IF(OR(K3="",L3=""),"",--(K3=L3))</f>
        <v>1</v>
      </c>
    </row>
    <row r="4" ht="18" customHeight="1" spans="1:13">
      <c r="A4" t="s">
        <v>13</v>
      </c>
      <c r="B4" s="13" t="s">
        <v>14</v>
      </c>
      <c r="C4" t="s">
        <v>15</v>
      </c>
      <c r="D4" t="s">
        <v>27</v>
      </c>
      <c r="E4" t="s">
        <v>17</v>
      </c>
      <c r="F4" s="13" t="s">
        <v>28</v>
      </c>
      <c r="G4" t="s">
        <v>19</v>
      </c>
      <c r="H4" t="s">
        <v>20</v>
      </c>
      <c r="I4" t="s">
        <v>29</v>
      </c>
      <c r="J4" t="s">
        <v>22</v>
      </c>
      <c r="K4" t="str">
        <f t="shared" si="0"/>
        <v>A</v>
      </c>
      <c r="L4" t="s">
        <v>22</v>
      </c>
      <c r="M4">
        <f t="shared" si="1"/>
        <v>1</v>
      </c>
    </row>
    <row r="5" ht="18" customHeight="1" spans="1:13">
      <c r="A5" t="s">
        <v>13</v>
      </c>
      <c r="B5" s="13" t="s">
        <v>14</v>
      </c>
      <c r="C5" t="s">
        <v>15</v>
      </c>
      <c r="D5" t="s">
        <v>27</v>
      </c>
      <c r="E5" t="s">
        <v>23</v>
      </c>
      <c r="F5" s="13" t="s">
        <v>30</v>
      </c>
      <c r="G5" t="s">
        <v>19</v>
      </c>
      <c r="H5" t="s">
        <v>20</v>
      </c>
      <c r="I5" t="s">
        <v>31</v>
      </c>
      <c r="J5" t="s">
        <v>26</v>
      </c>
      <c r="K5" t="str">
        <f t="shared" si="0"/>
        <v>A</v>
      </c>
      <c r="L5" t="s">
        <v>22</v>
      </c>
      <c r="M5">
        <f t="shared" si="1"/>
        <v>1</v>
      </c>
    </row>
    <row r="6" ht="18" customHeight="1" spans="1:13">
      <c r="A6" t="s">
        <v>13</v>
      </c>
      <c r="B6" s="13" t="s">
        <v>14</v>
      </c>
      <c r="C6" t="s">
        <v>15</v>
      </c>
      <c r="D6" t="s">
        <v>32</v>
      </c>
      <c r="E6" t="s">
        <v>17</v>
      </c>
      <c r="F6" s="13" t="s">
        <v>33</v>
      </c>
      <c r="G6" t="s">
        <v>19</v>
      </c>
      <c r="H6" t="s">
        <v>20</v>
      </c>
      <c r="I6" t="s">
        <v>34</v>
      </c>
      <c r="J6" t="s">
        <v>22</v>
      </c>
      <c r="K6" t="str">
        <f t="shared" si="0"/>
        <v>A</v>
      </c>
      <c r="L6" t="s">
        <v>22</v>
      </c>
      <c r="M6">
        <f t="shared" si="1"/>
        <v>1</v>
      </c>
    </row>
    <row r="7" ht="18" customHeight="1" spans="1:13">
      <c r="A7" t="s">
        <v>13</v>
      </c>
      <c r="B7" s="13" t="s">
        <v>14</v>
      </c>
      <c r="C7" t="s">
        <v>15</v>
      </c>
      <c r="D7" t="s">
        <v>32</v>
      </c>
      <c r="E7" t="s">
        <v>23</v>
      </c>
      <c r="F7" s="13" t="s">
        <v>35</v>
      </c>
      <c r="G7" t="s">
        <v>19</v>
      </c>
      <c r="H7" t="s">
        <v>20</v>
      </c>
      <c r="I7" t="s">
        <v>36</v>
      </c>
      <c r="J7" t="s">
        <v>22</v>
      </c>
      <c r="K7" t="str">
        <f t="shared" si="0"/>
        <v>B</v>
      </c>
      <c r="L7" t="s">
        <v>22</v>
      </c>
      <c r="M7">
        <f t="shared" si="1"/>
        <v>0</v>
      </c>
    </row>
    <row r="8" ht="18" customHeight="1" spans="1:13">
      <c r="A8" t="s">
        <v>13</v>
      </c>
      <c r="B8" s="13" t="s">
        <v>14</v>
      </c>
      <c r="C8" t="s">
        <v>37</v>
      </c>
      <c r="D8" t="s">
        <v>16</v>
      </c>
      <c r="E8" t="s">
        <v>17</v>
      </c>
      <c r="F8" s="13" t="s">
        <v>38</v>
      </c>
      <c r="G8" t="s">
        <v>19</v>
      </c>
      <c r="H8" t="s">
        <v>20</v>
      </c>
      <c r="I8" t="s">
        <v>39</v>
      </c>
      <c r="J8" t="s">
        <v>22</v>
      </c>
      <c r="K8" t="str">
        <f t="shared" si="0"/>
        <v>A</v>
      </c>
      <c r="L8" t="s">
        <v>22</v>
      </c>
      <c r="M8">
        <f t="shared" si="1"/>
        <v>1</v>
      </c>
    </row>
    <row r="9" ht="18" customHeight="1" spans="1:13">
      <c r="A9" t="s">
        <v>13</v>
      </c>
      <c r="B9" s="13" t="s">
        <v>14</v>
      </c>
      <c r="C9" t="s">
        <v>37</v>
      </c>
      <c r="D9" t="s">
        <v>16</v>
      </c>
      <c r="E9" t="s">
        <v>23</v>
      </c>
      <c r="F9" s="13" t="s">
        <v>40</v>
      </c>
      <c r="G9" t="s">
        <v>19</v>
      </c>
      <c r="H9" t="s">
        <v>20</v>
      </c>
      <c r="I9" t="s">
        <v>41</v>
      </c>
      <c r="J9" t="s">
        <v>26</v>
      </c>
      <c r="K9" t="str">
        <f t="shared" si="0"/>
        <v>A</v>
      </c>
      <c r="L9" t="s">
        <v>22</v>
      </c>
      <c r="M9">
        <f t="shared" si="1"/>
        <v>1</v>
      </c>
    </row>
    <row r="10" ht="18" customHeight="1" spans="1:13">
      <c r="A10" t="s">
        <v>13</v>
      </c>
      <c r="B10" s="13" t="s">
        <v>14</v>
      </c>
      <c r="C10" t="s">
        <v>37</v>
      </c>
      <c r="D10" t="s">
        <v>27</v>
      </c>
      <c r="E10" t="s">
        <v>17</v>
      </c>
      <c r="F10" s="13" t="s">
        <v>42</v>
      </c>
      <c r="G10" t="s">
        <v>19</v>
      </c>
      <c r="H10" t="s">
        <v>20</v>
      </c>
      <c r="I10" t="s">
        <v>43</v>
      </c>
      <c r="J10" t="s">
        <v>22</v>
      </c>
      <c r="K10" t="str">
        <f t="shared" si="0"/>
        <v>A</v>
      </c>
      <c r="L10" t="s">
        <v>22</v>
      </c>
      <c r="M10">
        <f t="shared" si="1"/>
        <v>1</v>
      </c>
    </row>
    <row r="11" ht="18" customHeight="1" spans="1:13">
      <c r="A11" t="s">
        <v>13</v>
      </c>
      <c r="B11" s="13" t="s">
        <v>14</v>
      </c>
      <c r="C11" t="s">
        <v>37</v>
      </c>
      <c r="D11" t="s">
        <v>27</v>
      </c>
      <c r="E11" t="s">
        <v>23</v>
      </c>
      <c r="F11" s="13" t="s">
        <v>44</v>
      </c>
      <c r="G11" t="s">
        <v>19</v>
      </c>
      <c r="H11" t="s">
        <v>20</v>
      </c>
      <c r="I11" t="s">
        <v>45</v>
      </c>
      <c r="J11" t="s">
        <v>26</v>
      </c>
      <c r="K11" t="str">
        <f t="shared" si="0"/>
        <v>A</v>
      </c>
      <c r="L11" t="s">
        <v>22</v>
      </c>
      <c r="M11">
        <f t="shared" si="1"/>
        <v>1</v>
      </c>
    </row>
    <row r="12" ht="18" customHeight="1" spans="1:13">
      <c r="A12" t="s">
        <v>13</v>
      </c>
      <c r="B12" s="13" t="s">
        <v>14</v>
      </c>
      <c r="C12" t="s">
        <v>37</v>
      </c>
      <c r="D12" t="s">
        <v>32</v>
      </c>
      <c r="E12" t="s">
        <v>17</v>
      </c>
      <c r="F12" s="13" t="s">
        <v>46</v>
      </c>
      <c r="G12" t="s">
        <v>19</v>
      </c>
      <c r="H12" t="s">
        <v>20</v>
      </c>
      <c r="I12" t="s">
        <v>47</v>
      </c>
      <c r="J12" t="s">
        <v>22</v>
      </c>
      <c r="K12" t="str">
        <f t="shared" si="0"/>
        <v>A</v>
      </c>
      <c r="L12" t="s">
        <v>22</v>
      </c>
      <c r="M12">
        <f t="shared" si="1"/>
        <v>1</v>
      </c>
    </row>
    <row r="13" ht="18" customHeight="1" spans="1:13">
      <c r="A13" t="s">
        <v>13</v>
      </c>
      <c r="B13" s="13" t="s">
        <v>14</v>
      </c>
      <c r="C13" t="s">
        <v>37</v>
      </c>
      <c r="D13" t="s">
        <v>32</v>
      </c>
      <c r="E13" t="s">
        <v>23</v>
      </c>
      <c r="F13" s="13" t="s">
        <v>48</v>
      </c>
      <c r="G13" t="s">
        <v>19</v>
      </c>
      <c r="H13" t="s">
        <v>20</v>
      </c>
      <c r="I13" t="s">
        <v>49</v>
      </c>
      <c r="J13" t="s">
        <v>26</v>
      </c>
      <c r="K13" t="str">
        <f t="shared" si="0"/>
        <v>A</v>
      </c>
      <c r="L13" t="s">
        <v>22</v>
      </c>
      <c r="M13">
        <f t="shared" si="1"/>
        <v>1</v>
      </c>
    </row>
    <row r="14" ht="18" customHeight="1" spans="1:13">
      <c r="A14" t="s">
        <v>13</v>
      </c>
      <c r="B14" s="13" t="s">
        <v>14</v>
      </c>
      <c r="C14" t="s">
        <v>50</v>
      </c>
      <c r="D14" t="s">
        <v>16</v>
      </c>
      <c r="E14" t="s">
        <v>17</v>
      </c>
      <c r="F14" s="13" t="s">
        <v>51</v>
      </c>
      <c r="G14" t="s">
        <v>19</v>
      </c>
      <c r="H14" t="s">
        <v>20</v>
      </c>
      <c r="I14" t="s">
        <v>52</v>
      </c>
      <c r="J14" t="s">
        <v>22</v>
      </c>
      <c r="K14" t="str">
        <f t="shared" si="0"/>
        <v>B</v>
      </c>
      <c r="L14" t="s">
        <v>26</v>
      </c>
      <c r="M14">
        <f t="shared" si="1"/>
        <v>1</v>
      </c>
    </row>
    <row r="15" ht="18" customHeight="1" spans="1:13">
      <c r="A15" t="s">
        <v>13</v>
      </c>
      <c r="B15" s="13" t="s">
        <v>14</v>
      </c>
      <c r="C15" t="s">
        <v>50</v>
      </c>
      <c r="D15" t="s">
        <v>16</v>
      </c>
      <c r="E15" t="s">
        <v>23</v>
      </c>
      <c r="F15" s="13" t="s">
        <v>53</v>
      </c>
      <c r="G15" t="s">
        <v>19</v>
      </c>
      <c r="H15" t="s">
        <v>20</v>
      </c>
      <c r="I15" t="s">
        <v>54</v>
      </c>
      <c r="J15" t="s">
        <v>26</v>
      </c>
      <c r="K15" t="str">
        <f t="shared" si="0"/>
        <v>B</v>
      </c>
      <c r="L15" t="s">
        <v>26</v>
      </c>
      <c r="M15">
        <f t="shared" si="1"/>
        <v>1</v>
      </c>
    </row>
    <row r="16" ht="18" customHeight="1" spans="1:13">
      <c r="A16" t="s">
        <v>13</v>
      </c>
      <c r="B16" s="13" t="s">
        <v>14</v>
      </c>
      <c r="C16" t="s">
        <v>50</v>
      </c>
      <c r="D16" t="s">
        <v>27</v>
      </c>
      <c r="E16" t="s">
        <v>17</v>
      </c>
      <c r="F16" s="13" t="s">
        <v>55</v>
      </c>
      <c r="G16" t="s">
        <v>19</v>
      </c>
      <c r="H16" t="s">
        <v>20</v>
      </c>
      <c r="I16" t="s">
        <v>56</v>
      </c>
      <c r="J16" t="s">
        <v>22</v>
      </c>
      <c r="K16" t="str">
        <f t="shared" si="0"/>
        <v>B</v>
      </c>
      <c r="L16" t="s">
        <v>26</v>
      </c>
      <c r="M16">
        <f t="shared" si="1"/>
        <v>1</v>
      </c>
    </row>
    <row r="17" ht="18" customHeight="1" spans="1:13">
      <c r="A17" t="s">
        <v>13</v>
      </c>
      <c r="B17" s="13" t="s">
        <v>14</v>
      </c>
      <c r="C17" t="s">
        <v>50</v>
      </c>
      <c r="D17" t="s">
        <v>27</v>
      </c>
      <c r="E17" t="s">
        <v>23</v>
      </c>
      <c r="F17" s="13" t="s">
        <v>57</v>
      </c>
      <c r="G17" t="s">
        <v>19</v>
      </c>
      <c r="H17" t="s">
        <v>20</v>
      </c>
      <c r="I17" t="s">
        <v>58</v>
      </c>
      <c r="J17" t="s">
        <v>26</v>
      </c>
      <c r="K17" t="str">
        <f t="shared" si="0"/>
        <v>B</v>
      </c>
      <c r="L17" t="s">
        <v>26</v>
      </c>
      <c r="M17">
        <f t="shared" si="1"/>
        <v>1</v>
      </c>
    </row>
    <row r="18" ht="18" customHeight="1" spans="1:13">
      <c r="A18" t="s">
        <v>13</v>
      </c>
      <c r="B18" s="13" t="s">
        <v>14</v>
      </c>
      <c r="C18" t="s">
        <v>50</v>
      </c>
      <c r="D18" t="s">
        <v>32</v>
      </c>
      <c r="E18" t="s">
        <v>17</v>
      </c>
      <c r="F18" s="13" t="s">
        <v>59</v>
      </c>
      <c r="G18" t="s">
        <v>19</v>
      </c>
      <c r="H18" t="s">
        <v>20</v>
      </c>
      <c r="I18" t="s">
        <v>60</v>
      </c>
      <c r="J18" t="s">
        <v>22</v>
      </c>
      <c r="K18" t="str">
        <f t="shared" si="0"/>
        <v>B</v>
      </c>
      <c r="L18" t="s">
        <v>26</v>
      </c>
      <c r="M18">
        <f t="shared" si="1"/>
        <v>1</v>
      </c>
    </row>
    <row r="19" ht="18" customHeight="1" spans="1:13">
      <c r="A19" t="s">
        <v>13</v>
      </c>
      <c r="B19" s="13" t="s">
        <v>14</v>
      </c>
      <c r="C19" t="s">
        <v>50</v>
      </c>
      <c r="D19" t="s">
        <v>32</v>
      </c>
      <c r="E19" t="s">
        <v>23</v>
      </c>
      <c r="F19" s="13" t="s">
        <v>61</v>
      </c>
      <c r="G19" t="s">
        <v>19</v>
      </c>
      <c r="H19" t="s">
        <v>20</v>
      </c>
      <c r="I19" t="s">
        <v>62</v>
      </c>
      <c r="J19" t="s">
        <v>26</v>
      </c>
      <c r="K19" t="str">
        <f t="shared" si="0"/>
        <v>B</v>
      </c>
      <c r="L19" t="s">
        <v>26</v>
      </c>
      <c r="M19">
        <f t="shared" si="1"/>
        <v>1</v>
      </c>
    </row>
    <row r="20" ht="18" customHeight="1" spans="1:13">
      <c r="A20" t="s">
        <v>63</v>
      </c>
      <c r="B20" s="13" t="s">
        <v>64</v>
      </c>
      <c r="C20" t="s">
        <v>15</v>
      </c>
      <c r="D20" t="s">
        <v>16</v>
      </c>
      <c r="E20" t="s">
        <v>17</v>
      </c>
      <c r="F20" s="13" t="s">
        <v>65</v>
      </c>
      <c r="G20" t="s">
        <v>19</v>
      </c>
      <c r="H20" t="s">
        <v>20</v>
      </c>
      <c r="I20" t="s">
        <v>66</v>
      </c>
      <c r="J20" t="s">
        <v>22</v>
      </c>
      <c r="K20" t="str">
        <f t="shared" si="0"/>
        <v>A</v>
      </c>
      <c r="L20" t="s">
        <v>22</v>
      </c>
      <c r="M20">
        <f t="shared" si="1"/>
        <v>1</v>
      </c>
    </row>
    <row r="21" ht="18" customHeight="1" spans="1:13">
      <c r="A21" t="s">
        <v>63</v>
      </c>
      <c r="B21" s="13" t="s">
        <v>64</v>
      </c>
      <c r="C21" t="s">
        <v>15</v>
      </c>
      <c r="D21" t="s">
        <v>16</v>
      </c>
      <c r="E21" t="s">
        <v>23</v>
      </c>
      <c r="F21" s="13" t="s">
        <v>67</v>
      </c>
      <c r="G21" t="s">
        <v>19</v>
      </c>
      <c r="H21" t="s">
        <v>20</v>
      </c>
      <c r="I21" t="s">
        <v>68</v>
      </c>
      <c r="J21" t="s">
        <v>22</v>
      </c>
      <c r="K21" t="str">
        <f t="shared" si="0"/>
        <v>B</v>
      </c>
      <c r="L21" t="s">
        <v>22</v>
      </c>
      <c r="M21">
        <f t="shared" si="1"/>
        <v>0</v>
      </c>
    </row>
    <row r="22" ht="18" customHeight="1" spans="1:13">
      <c r="A22" t="s">
        <v>63</v>
      </c>
      <c r="B22" s="13" t="s">
        <v>64</v>
      </c>
      <c r="C22" t="s">
        <v>15</v>
      </c>
      <c r="D22" t="s">
        <v>27</v>
      </c>
      <c r="E22" t="s">
        <v>17</v>
      </c>
      <c r="F22" s="13" t="s">
        <v>69</v>
      </c>
      <c r="G22" t="s">
        <v>19</v>
      </c>
      <c r="H22" t="s">
        <v>20</v>
      </c>
      <c r="I22" t="s">
        <v>70</v>
      </c>
      <c r="J22" t="s">
        <v>22</v>
      </c>
      <c r="K22" t="str">
        <f t="shared" si="0"/>
        <v>A</v>
      </c>
      <c r="L22" t="s">
        <v>22</v>
      </c>
      <c r="M22">
        <f t="shared" si="1"/>
        <v>1</v>
      </c>
    </row>
    <row r="23" ht="18" customHeight="1" spans="1:13">
      <c r="A23" t="s">
        <v>63</v>
      </c>
      <c r="B23" s="13" t="s">
        <v>64</v>
      </c>
      <c r="C23" t="s">
        <v>15</v>
      </c>
      <c r="D23" t="s">
        <v>27</v>
      </c>
      <c r="E23" t="s">
        <v>23</v>
      </c>
      <c r="F23" s="13" t="s">
        <v>71</v>
      </c>
      <c r="G23" t="s">
        <v>19</v>
      </c>
      <c r="H23" t="s">
        <v>20</v>
      </c>
      <c r="I23" t="s">
        <v>72</v>
      </c>
      <c r="J23" t="s">
        <v>26</v>
      </c>
      <c r="K23" t="str">
        <f t="shared" si="0"/>
        <v>A</v>
      </c>
      <c r="L23" t="s">
        <v>22</v>
      </c>
      <c r="M23">
        <f t="shared" si="1"/>
        <v>1</v>
      </c>
    </row>
    <row r="24" ht="18" customHeight="1" spans="1:13">
      <c r="A24" t="s">
        <v>63</v>
      </c>
      <c r="B24" s="13" t="s">
        <v>64</v>
      </c>
      <c r="C24" t="s">
        <v>15</v>
      </c>
      <c r="D24" t="s">
        <v>32</v>
      </c>
      <c r="E24" t="s">
        <v>17</v>
      </c>
      <c r="F24" s="13" t="s">
        <v>73</v>
      </c>
      <c r="G24" t="s">
        <v>19</v>
      </c>
      <c r="H24" t="s">
        <v>20</v>
      </c>
      <c r="I24" t="s">
        <v>74</v>
      </c>
      <c r="J24" t="s">
        <v>22</v>
      </c>
      <c r="K24" t="str">
        <f t="shared" si="0"/>
        <v>A</v>
      </c>
      <c r="L24" t="s">
        <v>22</v>
      </c>
      <c r="M24">
        <f t="shared" si="1"/>
        <v>1</v>
      </c>
    </row>
    <row r="25" ht="18" customHeight="1" spans="1:13">
      <c r="A25" t="s">
        <v>63</v>
      </c>
      <c r="B25" s="13" t="s">
        <v>64</v>
      </c>
      <c r="C25" t="s">
        <v>15</v>
      </c>
      <c r="D25" t="s">
        <v>32</v>
      </c>
      <c r="E25" t="s">
        <v>23</v>
      </c>
      <c r="F25" s="13" t="s">
        <v>75</v>
      </c>
      <c r="G25" t="s">
        <v>19</v>
      </c>
      <c r="H25" t="s">
        <v>20</v>
      </c>
      <c r="I25" t="s">
        <v>76</v>
      </c>
      <c r="J25" t="s">
        <v>77</v>
      </c>
      <c r="K25" t="str">
        <f t="shared" si="0"/>
        <v>D(平局)</v>
      </c>
      <c r="L25" t="s">
        <v>22</v>
      </c>
      <c r="M25">
        <f t="shared" si="1"/>
        <v>0</v>
      </c>
    </row>
    <row r="26" ht="18" customHeight="1" spans="1:13">
      <c r="A26" t="s">
        <v>63</v>
      </c>
      <c r="B26" s="13" t="s">
        <v>64</v>
      </c>
      <c r="C26" t="s">
        <v>37</v>
      </c>
      <c r="D26" t="s">
        <v>16</v>
      </c>
      <c r="E26" t="s">
        <v>17</v>
      </c>
      <c r="F26" s="13" t="s">
        <v>78</v>
      </c>
      <c r="G26" t="s">
        <v>19</v>
      </c>
      <c r="H26" t="s">
        <v>20</v>
      </c>
      <c r="I26" t="s">
        <v>79</v>
      </c>
      <c r="J26" t="s">
        <v>22</v>
      </c>
      <c r="K26" t="str">
        <f t="shared" si="0"/>
        <v>A</v>
      </c>
      <c r="L26" t="s">
        <v>22</v>
      </c>
      <c r="M26">
        <f t="shared" si="1"/>
        <v>1</v>
      </c>
    </row>
    <row r="27" ht="18" customHeight="1" spans="1:13">
      <c r="A27" t="s">
        <v>63</v>
      </c>
      <c r="B27" s="13" t="s">
        <v>64</v>
      </c>
      <c r="C27" t="s">
        <v>37</v>
      </c>
      <c r="D27" t="s">
        <v>16</v>
      </c>
      <c r="E27" t="s">
        <v>23</v>
      </c>
      <c r="F27" s="13" t="s">
        <v>80</v>
      </c>
      <c r="G27" t="s">
        <v>19</v>
      </c>
      <c r="H27" t="s">
        <v>20</v>
      </c>
      <c r="I27" t="s">
        <v>81</v>
      </c>
      <c r="J27" t="s">
        <v>26</v>
      </c>
      <c r="K27" t="str">
        <f t="shared" si="0"/>
        <v>A</v>
      </c>
      <c r="L27" t="s">
        <v>22</v>
      </c>
      <c r="M27">
        <f t="shared" si="1"/>
        <v>1</v>
      </c>
    </row>
    <row r="28" ht="18" customHeight="1" spans="1:13">
      <c r="A28" t="s">
        <v>63</v>
      </c>
      <c r="B28" s="13" t="s">
        <v>64</v>
      </c>
      <c r="C28" t="s">
        <v>37</v>
      </c>
      <c r="D28" t="s">
        <v>27</v>
      </c>
      <c r="E28" t="s">
        <v>17</v>
      </c>
      <c r="F28" s="13" t="s">
        <v>82</v>
      </c>
      <c r="G28" t="s">
        <v>19</v>
      </c>
      <c r="H28" t="s">
        <v>20</v>
      </c>
      <c r="I28" t="s">
        <v>83</v>
      </c>
      <c r="J28" t="s">
        <v>22</v>
      </c>
      <c r="K28" t="str">
        <f t="shared" si="0"/>
        <v>A</v>
      </c>
      <c r="L28" t="s">
        <v>22</v>
      </c>
      <c r="M28">
        <f t="shared" si="1"/>
        <v>1</v>
      </c>
    </row>
    <row r="29" ht="18" customHeight="1" spans="1:13">
      <c r="A29" t="s">
        <v>63</v>
      </c>
      <c r="B29" s="13" t="s">
        <v>64</v>
      </c>
      <c r="C29" t="s">
        <v>37</v>
      </c>
      <c r="D29" t="s">
        <v>27</v>
      </c>
      <c r="E29" t="s">
        <v>23</v>
      </c>
      <c r="F29" s="13" t="s">
        <v>84</v>
      </c>
      <c r="G29" t="s">
        <v>19</v>
      </c>
      <c r="H29" t="s">
        <v>20</v>
      </c>
      <c r="I29" t="s">
        <v>85</v>
      </c>
      <c r="J29" t="s">
        <v>26</v>
      </c>
      <c r="K29" t="str">
        <f t="shared" si="0"/>
        <v>A</v>
      </c>
      <c r="L29" t="s">
        <v>22</v>
      </c>
      <c r="M29">
        <f t="shared" si="1"/>
        <v>1</v>
      </c>
    </row>
    <row r="30" ht="18" customHeight="1" spans="1:13">
      <c r="A30" t="s">
        <v>63</v>
      </c>
      <c r="B30" s="13" t="s">
        <v>64</v>
      </c>
      <c r="C30" t="s">
        <v>37</v>
      </c>
      <c r="D30" t="s">
        <v>32</v>
      </c>
      <c r="E30" t="s">
        <v>17</v>
      </c>
      <c r="F30" s="13" t="s">
        <v>86</v>
      </c>
      <c r="G30" t="s">
        <v>19</v>
      </c>
      <c r="H30" t="s">
        <v>20</v>
      </c>
      <c r="I30" t="s">
        <v>87</v>
      </c>
      <c r="J30" t="s">
        <v>22</v>
      </c>
      <c r="K30" t="str">
        <f t="shared" si="0"/>
        <v>A</v>
      </c>
      <c r="L30" t="s">
        <v>22</v>
      </c>
      <c r="M30">
        <f t="shared" si="1"/>
        <v>1</v>
      </c>
    </row>
    <row r="31" ht="18" customHeight="1" spans="1:13">
      <c r="A31" t="s">
        <v>63</v>
      </c>
      <c r="B31" s="13" t="s">
        <v>64</v>
      </c>
      <c r="C31" t="s">
        <v>37</v>
      </c>
      <c r="D31" t="s">
        <v>32</v>
      </c>
      <c r="E31" t="s">
        <v>23</v>
      </c>
      <c r="F31" s="13" t="s">
        <v>88</v>
      </c>
      <c r="G31" t="s">
        <v>19</v>
      </c>
      <c r="H31" t="s">
        <v>20</v>
      </c>
      <c r="I31" t="s">
        <v>89</v>
      </c>
      <c r="J31" t="s">
        <v>26</v>
      </c>
      <c r="K31" t="str">
        <f t="shared" si="0"/>
        <v>A</v>
      </c>
      <c r="L31" t="s">
        <v>22</v>
      </c>
      <c r="M31">
        <f t="shared" si="1"/>
        <v>1</v>
      </c>
    </row>
    <row r="32" ht="18" customHeight="1" spans="1:13">
      <c r="A32" t="s">
        <v>63</v>
      </c>
      <c r="B32" s="13" t="s">
        <v>64</v>
      </c>
      <c r="C32" t="s">
        <v>50</v>
      </c>
      <c r="D32" t="s">
        <v>16</v>
      </c>
      <c r="E32" t="s">
        <v>17</v>
      </c>
      <c r="F32" s="13" t="s">
        <v>90</v>
      </c>
      <c r="G32" t="s">
        <v>19</v>
      </c>
      <c r="H32" t="s">
        <v>20</v>
      </c>
      <c r="I32" t="s">
        <v>91</v>
      </c>
      <c r="J32" t="s">
        <v>22</v>
      </c>
      <c r="K32" t="str">
        <f t="shared" si="0"/>
        <v>B</v>
      </c>
      <c r="L32" t="s">
        <v>26</v>
      </c>
      <c r="M32">
        <f t="shared" si="1"/>
        <v>1</v>
      </c>
    </row>
    <row r="33" ht="18" customHeight="1" spans="1:13">
      <c r="A33" t="s">
        <v>63</v>
      </c>
      <c r="B33" s="13" t="s">
        <v>64</v>
      </c>
      <c r="C33" t="s">
        <v>50</v>
      </c>
      <c r="D33" t="s">
        <v>16</v>
      </c>
      <c r="E33" t="s">
        <v>23</v>
      </c>
      <c r="F33" s="13" t="s">
        <v>92</v>
      </c>
      <c r="G33" t="s">
        <v>19</v>
      </c>
      <c r="H33" t="s">
        <v>20</v>
      </c>
      <c r="I33" t="s">
        <v>93</v>
      </c>
      <c r="J33" t="s">
        <v>26</v>
      </c>
      <c r="K33" t="str">
        <f t="shared" si="0"/>
        <v>B</v>
      </c>
      <c r="L33" t="s">
        <v>26</v>
      </c>
      <c r="M33">
        <f t="shared" si="1"/>
        <v>1</v>
      </c>
    </row>
    <row r="34" ht="18" customHeight="1" spans="1:13">
      <c r="A34" t="s">
        <v>63</v>
      </c>
      <c r="B34" s="13" t="s">
        <v>64</v>
      </c>
      <c r="C34" t="s">
        <v>50</v>
      </c>
      <c r="D34" t="s">
        <v>27</v>
      </c>
      <c r="E34" t="s">
        <v>17</v>
      </c>
      <c r="F34" s="13" t="s">
        <v>94</v>
      </c>
      <c r="G34" t="s">
        <v>19</v>
      </c>
      <c r="H34" t="s">
        <v>20</v>
      </c>
      <c r="I34" t="s">
        <v>95</v>
      </c>
      <c r="J34" t="s">
        <v>22</v>
      </c>
      <c r="K34" t="str">
        <f t="shared" si="0"/>
        <v>B</v>
      </c>
      <c r="L34" t="s">
        <v>26</v>
      </c>
      <c r="M34">
        <f t="shared" si="1"/>
        <v>1</v>
      </c>
    </row>
    <row r="35" ht="18" customHeight="1" spans="1:13">
      <c r="A35" t="s">
        <v>63</v>
      </c>
      <c r="B35" s="13" t="s">
        <v>64</v>
      </c>
      <c r="C35" t="s">
        <v>50</v>
      </c>
      <c r="D35" t="s">
        <v>27</v>
      </c>
      <c r="E35" t="s">
        <v>23</v>
      </c>
      <c r="F35" s="13" t="s">
        <v>96</v>
      </c>
      <c r="G35" t="s">
        <v>19</v>
      </c>
      <c r="H35" t="s">
        <v>20</v>
      </c>
      <c r="I35" t="s">
        <v>97</v>
      </c>
      <c r="J35" t="s">
        <v>26</v>
      </c>
      <c r="K35" t="str">
        <f t="shared" si="0"/>
        <v>B</v>
      </c>
      <c r="L35" t="s">
        <v>26</v>
      </c>
      <c r="M35">
        <f t="shared" si="1"/>
        <v>1</v>
      </c>
    </row>
    <row r="36" ht="18" customHeight="1" spans="1:13">
      <c r="A36" t="s">
        <v>63</v>
      </c>
      <c r="B36" s="13" t="s">
        <v>64</v>
      </c>
      <c r="C36" t="s">
        <v>50</v>
      </c>
      <c r="D36" t="s">
        <v>32</v>
      </c>
      <c r="E36" t="s">
        <v>17</v>
      </c>
      <c r="F36" s="13" t="s">
        <v>98</v>
      </c>
      <c r="G36" t="s">
        <v>19</v>
      </c>
      <c r="H36" t="s">
        <v>20</v>
      </c>
      <c r="I36" t="s">
        <v>99</v>
      </c>
      <c r="J36" t="s">
        <v>22</v>
      </c>
      <c r="K36" t="str">
        <f t="shared" si="0"/>
        <v>B</v>
      </c>
      <c r="L36" t="s">
        <v>26</v>
      </c>
      <c r="M36">
        <f t="shared" si="1"/>
        <v>1</v>
      </c>
    </row>
    <row r="37" ht="18" customHeight="1" spans="1:13">
      <c r="A37" t="s">
        <v>63</v>
      </c>
      <c r="B37" s="13" t="s">
        <v>64</v>
      </c>
      <c r="C37" t="s">
        <v>50</v>
      </c>
      <c r="D37" t="s">
        <v>32</v>
      </c>
      <c r="E37" t="s">
        <v>23</v>
      </c>
      <c r="F37" s="13" t="s">
        <v>100</v>
      </c>
      <c r="G37" t="s">
        <v>19</v>
      </c>
      <c r="H37" t="s">
        <v>20</v>
      </c>
      <c r="I37" t="s">
        <v>101</v>
      </c>
      <c r="J37" t="s">
        <v>26</v>
      </c>
      <c r="K37" t="str">
        <f t="shared" si="0"/>
        <v>B</v>
      </c>
      <c r="L37" t="s">
        <v>26</v>
      </c>
      <c r="M37">
        <f t="shared" si="1"/>
        <v>1</v>
      </c>
    </row>
    <row r="38" ht="18" customHeight="1" spans="1:13">
      <c r="A38" t="s">
        <v>102</v>
      </c>
      <c r="B38" s="13" t="s">
        <v>103</v>
      </c>
      <c r="C38" t="s">
        <v>15</v>
      </c>
      <c r="D38" t="s">
        <v>16</v>
      </c>
      <c r="E38" t="s">
        <v>17</v>
      </c>
      <c r="F38" s="13" t="s">
        <v>104</v>
      </c>
      <c r="G38" t="s">
        <v>19</v>
      </c>
      <c r="H38" t="s">
        <v>20</v>
      </c>
      <c r="I38" t="s">
        <v>105</v>
      </c>
      <c r="J38" t="s">
        <v>22</v>
      </c>
      <c r="K38" t="str">
        <f t="shared" si="0"/>
        <v>A</v>
      </c>
      <c r="L38" t="s">
        <v>106</v>
      </c>
      <c r="M38">
        <f t="shared" si="1"/>
        <v>0</v>
      </c>
    </row>
    <row r="39" ht="18" customHeight="1" spans="1:13">
      <c r="A39" t="s">
        <v>102</v>
      </c>
      <c r="B39" s="13" t="s">
        <v>103</v>
      </c>
      <c r="C39" t="s">
        <v>15</v>
      </c>
      <c r="D39" t="s">
        <v>16</v>
      </c>
      <c r="E39" t="s">
        <v>23</v>
      </c>
      <c r="F39" s="13" t="s">
        <v>107</v>
      </c>
      <c r="G39" t="s">
        <v>19</v>
      </c>
      <c r="H39" t="s">
        <v>20</v>
      </c>
      <c r="I39" t="s">
        <v>108</v>
      </c>
      <c r="J39" t="s">
        <v>26</v>
      </c>
      <c r="K39" t="str">
        <f t="shared" si="0"/>
        <v>A</v>
      </c>
      <c r="L39" t="s">
        <v>106</v>
      </c>
      <c r="M39">
        <f t="shared" si="1"/>
        <v>0</v>
      </c>
    </row>
    <row r="40" ht="18" customHeight="1" spans="1:13">
      <c r="A40" t="s">
        <v>102</v>
      </c>
      <c r="B40" s="13" t="s">
        <v>103</v>
      </c>
      <c r="C40" t="s">
        <v>15</v>
      </c>
      <c r="D40" t="s">
        <v>27</v>
      </c>
      <c r="E40" t="s">
        <v>17</v>
      </c>
      <c r="F40" s="13" t="s">
        <v>109</v>
      </c>
      <c r="G40" t="s">
        <v>19</v>
      </c>
      <c r="H40" t="s">
        <v>20</v>
      </c>
      <c r="I40" t="s">
        <v>110</v>
      </c>
      <c r="J40" t="s">
        <v>22</v>
      </c>
      <c r="K40" t="str">
        <f t="shared" si="0"/>
        <v>A</v>
      </c>
      <c r="L40" t="s">
        <v>106</v>
      </c>
      <c r="M40">
        <f t="shared" si="1"/>
        <v>0</v>
      </c>
    </row>
    <row r="41" ht="18" customHeight="1" spans="1:13">
      <c r="A41" t="s">
        <v>102</v>
      </c>
      <c r="B41" s="13" t="s">
        <v>103</v>
      </c>
      <c r="C41" t="s">
        <v>15</v>
      </c>
      <c r="D41" t="s">
        <v>27</v>
      </c>
      <c r="E41" t="s">
        <v>23</v>
      </c>
      <c r="F41" s="13" t="s">
        <v>111</v>
      </c>
      <c r="G41" t="s">
        <v>19</v>
      </c>
      <c r="H41" t="s">
        <v>20</v>
      </c>
      <c r="I41" t="s">
        <v>112</v>
      </c>
      <c r="J41" t="s">
        <v>77</v>
      </c>
      <c r="K41" t="str">
        <f t="shared" si="0"/>
        <v>D(平局)</v>
      </c>
      <c r="L41" t="s">
        <v>106</v>
      </c>
      <c r="M41">
        <f t="shared" si="1"/>
        <v>1</v>
      </c>
    </row>
    <row r="42" ht="18" customHeight="1" spans="1:13">
      <c r="A42" t="s">
        <v>102</v>
      </c>
      <c r="B42" s="13" t="s">
        <v>103</v>
      </c>
      <c r="C42" t="s">
        <v>15</v>
      </c>
      <c r="D42" t="s">
        <v>32</v>
      </c>
      <c r="E42" t="s">
        <v>17</v>
      </c>
      <c r="F42" s="13" t="s">
        <v>113</v>
      </c>
      <c r="G42" t="s">
        <v>19</v>
      </c>
      <c r="H42" t="s">
        <v>20</v>
      </c>
      <c r="I42" t="s">
        <v>114</v>
      </c>
      <c r="J42" t="s">
        <v>22</v>
      </c>
      <c r="K42" t="str">
        <f t="shared" si="0"/>
        <v>A</v>
      </c>
      <c r="L42" t="s">
        <v>106</v>
      </c>
      <c r="M42">
        <f t="shared" si="1"/>
        <v>0</v>
      </c>
    </row>
    <row r="43" ht="18" customHeight="1" spans="1:13">
      <c r="A43" t="s">
        <v>102</v>
      </c>
      <c r="B43" s="13" t="s">
        <v>103</v>
      </c>
      <c r="C43" t="s">
        <v>15</v>
      </c>
      <c r="D43" t="s">
        <v>32</v>
      </c>
      <c r="E43" t="s">
        <v>23</v>
      </c>
      <c r="F43" s="13" t="s">
        <v>115</v>
      </c>
      <c r="G43" t="s">
        <v>19</v>
      </c>
      <c r="H43" t="s">
        <v>20</v>
      </c>
      <c r="I43" t="s">
        <v>116</v>
      </c>
      <c r="J43" t="s">
        <v>26</v>
      </c>
      <c r="K43" t="str">
        <f t="shared" si="0"/>
        <v>A</v>
      </c>
      <c r="L43" t="s">
        <v>106</v>
      </c>
      <c r="M43">
        <f t="shared" si="1"/>
        <v>0</v>
      </c>
    </row>
    <row r="44" ht="18" customHeight="1" spans="1:13">
      <c r="A44" t="s">
        <v>102</v>
      </c>
      <c r="B44" s="13" t="s">
        <v>103</v>
      </c>
      <c r="C44" t="s">
        <v>37</v>
      </c>
      <c r="D44" t="s">
        <v>16</v>
      </c>
      <c r="E44" t="s">
        <v>17</v>
      </c>
      <c r="F44" s="13" t="s">
        <v>117</v>
      </c>
      <c r="G44" t="s">
        <v>19</v>
      </c>
      <c r="H44" t="s">
        <v>20</v>
      </c>
      <c r="I44" t="s">
        <v>118</v>
      </c>
      <c r="J44" t="s">
        <v>22</v>
      </c>
      <c r="K44" t="str">
        <f t="shared" si="0"/>
        <v>A</v>
      </c>
      <c r="L44" t="s">
        <v>22</v>
      </c>
      <c r="M44">
        <f t="shared" si="1"/>
        <v>1</v>
      </c>
    </row>
    <row r="45" ht="18" customHeight="1" spans="1:13">
      <c r="A45" t="s">
        <v>102</v>
      </c>
      <c r="B45" s="13" t="s">
        <v>103</v>
      </c>
      <c r="C45" t="s">
        <v>37</v>
      </c>
      <c r="D45" t="s">
        <v>16</v>
      </c>
      <c r="E45" t="s">
        <v>23</v>
      </c>
      <c r="F45" s="13" t="s">
        <v>119</v>
      </c>
      <c r="G45" t="s">
        <v>19</v>
      </c>
      <c r="H45" t="s">
        <v>20</v>
      </c>
      <c r="I45" t="s">
        <v>120</v>
      </c>
      <c r="J45" t="s">
        <v>26</v>
      </c>
      <c r="K45" t="str">
        <f t="shared" si="0"/>
        <v>A</v>
      </c>
      <c r="L45" t="s">
        <v>22</v>
      </c>
      <c r="M45">
        <f t="shared" si="1"/>
        <v>1</v>
      </c>
    </row>
    <row r="46" ht="18" customHeight="1" spans="1:13">
      <c r="A46" t="s">
        <v>102</v>
      </c>
      <c r="B46" s="13" t="s">
        <v>103</v>
      </c>
      <c r="C46" t="s">
        <v>37</v>
      </c>
      <c r="D46" t="s">
        <v>27</v>
      </c>
      <c r="E46" t="s">
        <v>17</v>
      </c>
      <c r="F46" s="13" t="s">
        <v>121</v>
      </c>
      <c r="G46" t="s">
        <v>19</v>
      </c>
      <c r="H46" t="s">
        <v>20</v>
      </c>
      <c r="I46" t="s">
        <v>122</v>
      </c>
      <c r="J46" t="s">
        <v>22</v>
      </c>
      <c r="K46" t="str">
        <f t="shared" si="0"/>
        <v>A</v>
      </c>
      <c r="L46" t="s">
        <v>22</v>
      </c>
      <c r="M46">
        <f t="shared" si="1"/>
        <v>1</v>
      </c>
    </row>
    <row r="47" ht="18" customHeight="1" spans="1:13">
      <c r="A47" t="s">
        <v>102</v>
      </c>
      <c r="B47" s="13" t="s">
        <v>103</v>
      </c>
      <c r="C47" t="s">
        <v>37</v>
      </c>
      <c r="D47" t="s">
        <v>27</v>
      </c>
      <c r="E47" t="s">
        <v>23</v>
      </c>
      <c r="F47" s="13" t="s">
        <v>123</v>
      </c>
      <c r="G47" t="s">
        <v>19</v>
      </c>
      <c r="H47" t="s">
        <v>20</v>
      </c>
      <c r="I47" t="s">
        <v>124</v>
      </c>
      <c r="J47" t="s">
        <v>26</v>
      </c>
      <c r="K47" t="str">
        <f t="shared" si="0"/>
        <v>A</v>
      </c>
      <c r="L47" t="s">
        <v>22</v>
      </c>
      <c r="M47">
        <f t="shared" si="1"/>
        <v>1</v>
      </c>
    </row>
    <row r="48" ht="18" customHeight="1" spans="1:13">
      <c r="A48" t="s">
        <v>102</v>
      </c>
      <c r="B48" s="13" t="s">
        <v>103</v>
      </c>
      <c r="C48" t="s">
        <v>37</v>
      </c>
      <c r="D48" t="s">
        <v>32</v>
      </c>
      <c r="E48" t="s">
        <v>17</v>
      </c>
      <c r="F48" s="13" t="s">
        <v>125</v>
      </c>
      <c r="G48" t="s">
        <v>19</v>
      </c>
      <c r="H48" t="s">
        <v>20</v>
      </c>
      <c r="I48" t="s">
        <v>126</v>
      </c>
      <c r="J48" t="s">
        <v>22</v>
      </c>
      <c r="K48" t="str">
        <f t="shared" si="0"/>
        <v>A</v>
      </c>
      <c r="L48" t="s">
        <v>22</v>
      </c>
      <c r="M48">
        <f t="shared" si="1"/>
        <v>1</v>
      </c>
    </row>
    <row r="49" ht="18" customHeight="1" spans="1:13">
      <c r="A49" t="s">
        <v>102</v>
      </c>
      <c r="B49" s="13" t="s">
        <v>103</v>
      </c>
      <c r="C49" t="s">
        <v>37</v>
      </c>
      <c r="D49" t="s">
        <v>32</v>
      </c>
      <c r="E49" t="s">
        <v>23</v>
      </c>
      <c r="F49" s="13" t="s">
        <v>127</v>
      </c>
      <c r="G49" t="s">
        <v>19</v>
      </c>
      <c r="H49" t="s">
        <v>20</v>
      </c>
      <c r="I49" t="s">
        <v>128</v>
      </c>
      <c r="J49" t="s">
        <v>26</v>
      </c>
      <c r="K49" t="str">
        <f t="shared" si="0"/>
        <v>A</v>
      </c>
      <c r="L49" t="s">
        <v>22</v>
      </c>
      <c r="M49">
        <f t="shared" si="1"/>
        <v>1</v>
      </c>
    </row>
    <row r="50" ht="18" customHeight="1" spans="1:13">
      <c r="A50" t="s">
        <v>102</v>
      </c>
      <c r="B50" s="13" t="s">
        <v>103</v>
      </c>
      <c r="C50" t="s">
        <v>50</v>
      </c>
      <c r="D50" t="s">
        <v>16</v>
      </c>
      <c r="E50" t="s">
        <v>17</v>
      </c>
      <c r="F50" s="13" t="s">
        <v>129</v>
      </c>
      <c r="G50" t="s">
        <v>19</v>
      </c>
      <c r="H50" t="s">
        <v>20</v>
      </c>
      <c r="I50" t="s">
        <v>130</v>
      </c>
      <c r="J50" t="s">
        <v>22</v>
      </c>
      <c r="K50" t="str">
        <f t="shared" si="0"/>
        <v>B</v>
      </c>
      <c r="L50" t="s">
        <v>26</v>
      </c>
      <c r="M50">
        <f t="shared" si="1"/>
        <v>1</v>
      </c>
    </row>
    <row r="51" ht="18" customHeight="1" spans="1:13">
      <c r="A51" t="s">
        <v>102</v>
      </c>
      <c r="B51" s="13" t="s">
        <v>103</v>
      </c>
      <c r="C51" t="s">
        <v>50</v>
      </c>
      <c r="D51" t="s">
        <v>16</v>
      </c>
      <c r="E51" t="s">
        <v>23</v>
      </c>
      <c r="F51" s="13" t="s">
        <v>131</v>
      </c>
      <c r="G51" t="s">
        <v>19</v>
      </c>
      <c r="H51" t="s">
        <v>20</v>
      </c>
      <c r="I51" t="s">
        <v>132</v>
      </c>
      <c r="J51" t="s">
        <v>26</v>
      </c>
      <c r="K51" t="str">
        <f t="shared" si="0"/>
        <v>B</v>
      </c>
      <c r="L51" t="s">
        <v>26</v>
      </c>
      <c r="M51">
        <f t="shared" si="1"/>
        <v>1</v>
      </c>
    </row>
    <row r="52" ht="18" customHeight="1" spans="1:13">
      <c r="A52" t="s">
        <v>102</v>
      </c>
      <c r="B52" s="13" t="s">
        <v>103</v>
      </c>
      <c r="C52" t="s">
        <v>50</v>
      </c>
      <c r="D52" t="s">
        <v>27</v>
      </c>
      <c r="E52" t="s">
        <v>17</v>
      </c>
      <c r="F52" s="13" t="s">
        <v>133</v>
      </c>
      <c r="G52" t="s">
        <v>19</v>
      </c>
      <c r="H52" t="s">
        <v>20</v>
      </c>
      <c r="I52" t="s">
        <v>134</v>
      </c>
      <c r="J52" t="s">
        <v>22</v>
      </c>
      <c r="K52" t="str">
        <f t="shared" si="0"/>
        <v>B</v>
      </c>
      <c r="L52" t="s">
        <v>26</v>
      </c>
      <c r="M52">
        <f t="shared" si="1"/>
        <v>1</v>
      </c>
    </row>
    <row r="53" ht="18" customHeight="1" spans="1:13">
      <c r="A53" t="s">
        <v>102</v>
      </c>
      <c r="B53" s="13" t="s">
        <v>103</v>
      </c>
      <c r="C53" t="s">
        <v>50</v>
      </c>
      <c r="D53" t="s">
        <v>27</v>
      </c>
      <c r="E53" t="s">
        <v>23</v>
      </c>
      <c r="F53" s="13" t="s">
        <v>135</v>
      </c>
      <c r="G53" t="s">
        <v>19</v>
      </c>
      <c r="H53" t="s">
        <v>20</v>
      </c>
      <c r="I53" t="s">
        <v>136</v>
      </c>
      <c r="J53" t="s">
        <v>26</v>
      </c>
      <c r="K53" t="str">
        <f t="shared" si="0"/>
        <v>B</v>
      </c>
      <c r="L53" t="s">
        <v>26</v>
      </c>
      <c r="M53">
        <f t="shared" si="1"/>
        <v>1</v>
      </c>
    </row>
    <row r="54" ht="18" customHeight="1" spans="1:13">
      <c r="A54" t="s">
        <v>102</v>
      </c>
      <c r="B54" s="13" t="s">
        <v>103</v>
      </c>
      <c r="C54" t="s">
        <v>50</v>
      </c>
      <c r="D54" t="s">
        <v>32</v>
      </c>
      <c r="E54" t="s">
        <v>17</v>
      </c>
      <c r="F54" s="13" t="s">
        <v>137</v>
      </c>
      <c r="G54" t="s">
        <v>19</v>
      </c>
      <c r="H54" t="s">
        <v>20</v>
      </c>
      <c r="I54" t="s">
        <v>138</v>
      </c>
      <c r="J54" t="s">
        <v>22</v>
      </c>
      <c r="K54" t="str">
        <f t="shared" si="0"/>
        <v>B</v>
      </c>
      <c r="L54" t="s">
        <v>26</v>
      </c>
      <c r="M54">
        <f t="shared" si="1"/>
        <v>1</v>
      </c>
    </row>
    <row r="55" ht="18" customHeight="1" spans="1:13">
      <c r="A55" t="s">
        <v>102</v>
      </c>
      <c r="B55" s="13" t="s">
        <v>103</v>
      </c>
      <c r="C55" t="s">
        <v>50</v>
      </c>
      <c r="D55" t="s">
        <v>32</v>
      </c>
      <c r="E55" t="s">
        <v>23</v>
      </c>
      <c r="F55" s="13" t="s">
        <v>139</v>
      </c>
      <c r="G55" t="s">
        <v>19</v>
      </c>
      <c r="H55" t="s">
        <v>20</v>
      </c>
      <c r="I55" t="s">
        <v>140</v>
      </c>
      <c r="J55" t="s">
        <v>26</v>
      </c>
      <c r="K55" t="str">
        <f t="shared" si="0"/>
        <v>B</v>
      </c>
      <c r="L55" t="s">
        <v>26</v>
      </c>
      <c r="M55">
        <f t="shared" si="1"/>
        <v>1</v>
      </c>
    </row>
    <row r="56" ht="18" customHeight="1" spans="1:13">
      <c r="A56" t="s">
        <v>141</v>
      </c>
      <c r="B56" s="13" t="s">
        <v>142</v>
      </c>
      <c r="C56" t="s">
        <v>15</v>
      </c>
      <c r="D56" t="s">
        <v>16</v>
      </c>
      <c r="E56" t="s">
        <v>17</v>
      </c>
      <c r="F56" s="13" t="s">
        <v>143</v>
      </c>
      <c r="G56" t="s">
        <v>19</v>
      </c>
      <c r="H56" t="s">
        <v>20</v>
      </c>
      <c r="I56" t="s">
        <v>144</v>
      </c>
      <c r="J56" t="s">
        <v>77</v>
      </c>
      <c r="K56" t="str">
        <f t="shared" si="0"/>
        <v>D(平局)</v>
      </c>
      <c r="L56" t="s">
        <v>106</v>
      </c>
      <c r="M56">
        <f t="shared" si="1"/>
        <v>1</v>
      </c>
    </row>
    <row r="57" ht="18" customHeight="1" spans="1:13">
      <c r="A57" t="s">
        <v>141</v>
      </c>
      <c r="B57" s="13" t="s">
        <v>142</v>
      </c>
      <c r="C57" t="s">
        <v>15</v>
      </c>
      <c r="D57" t="s">
        <v>16</v>
      </c>
      <c r="E57" t="s">
        <v>23</v>
      </c>
      <c r="F57" s="13" t="s">
        <v>145</v>
      </c>
      <c r="G57" t="s">
        <v>19</v>
      </c>
      <c r="H57" t="s">
        <v>20</v>
      </c>
      <c r="I57" t="s">
        <v>146</v>
      </c>
      <c r="J57" t="s">
        <v>22</v>
      </c>
      <c r="K57" t="str">
        <f t="shared" si="0"/>
        <v>B</v>
      </c>
      <c r="L57" t="s">
        <v>106</v>
      </c>
      <c r="M57">
        <f t="shared" si="1"/>
        <v>0</v>
      </c>
    </row>
    <row r="58" ht="18" customHeight="1" spans="1:13">
      <c r="A58" t="s">
        <v>141</v>
      </c>
      <c r="B58" s="13" t="s">
        <v>142</v>
      </c>
      <c r="C58" t="s">
        <v>15</v>
      </c>
      <c r="D58" t="s">
        <v>27</v>
      </c>
      <c r="E58" t="s">
        <v>17</v>
      </c>
      <c r="F58" s="13" t="s">
        <v>147</v>
      </c>
      <c r="G58" t="s">
        <v>19</v>
      </c>
      <c r="H58" t="s">
        <v>20</v>
      </c>
      <c r="I58" t="s">
        <v>148</v>
      </c>
      <c r="J58" t="s">
        <v>77</v>
      </c>
      <c r="K58" t="str">
        <f t="shared" si="0"/>
        <v>D(平局)</v>
      </c>
      <c r="L58" t="s">
        <v>106</v>
      </c>
      <c r="M58">
        <f t="shared" si="1"/>
        <v>1</v>
      </c>
    </row>
    <row r="59" ht="18" customHeight="1" spans="1:13">
      <c r="A59" t="s">
        <v>141</v>
      </c>
      <c r="B59" s="13" t="s">
        <v>142</v>
      </c>
      <c r="C59" t="s">
        <v>15</v>
      </c>
      <c r="D59" t="s">
        <v>27</v>
      </c>
      <c r="E59" t="s">
        <v>23</v>
      </c>
      <c r="F59" s="13" t="s">
        <v>149</v>
      </c>
      <c r="G59" t="s">
        <v>19</v>
      </c>
      <c r="H59" t="s">
        <v>20</v>
      </c>
      <c r="I59" t="s">
        <v>150</v>
      </c>
      <c r="J59" t="s">
        <v>77</v>
      </c>
      <c r="K59" t="str">
        <f t="shared" si="0"/>
        <v>D(平局)</v>
      </c>
      <c r="L59" t="s">
        <v>106</v>
      </c>
      <c r="M59">
        <f t="shared" si="1"/>
        <v>1</v>
      </c>
    </row>
    <row r="60" ht="18" customHeight="1" spans="1:13">
      <c r="A60" t="s">
        <v>141</v>
      </c>
      <c r="B60" s="13" t="s">
        <v>142</v>
      </c>
      <c r="C60" t="s">
        <v>15</v>
      </c>
      <c r="D60" t="s">
        <v>32</v>
      </c>
      <c r="E60" t="s">
        <v>17</v>
      </c>
      <c r="F60" s="13" t="s">
        <v>151</v>
      </c>
      <c r="G60" t="s">
        <v>19</v>
      </c>
      <c r="H60" t="s">
        <v>20</v>
      </c>
      <c r="I60" t="s">
        <v>152</v>
      </c>
      <c r="J60" t="s">
        <v>77</v>
      </c>
      <c r="K60" t="str">
        <f t="shared" si="0"/>
        <v>D(平局)</v>
      </c>
      <c r="L60" t="s">
        <v>106</v>
      </c>
      <c r="M60">
        <f t="shared" si="1"/>
        <v>1</v>
      </c>
    </row>
    <row r="61" ht="18" customHeight="1" spans="1:13">
      <c r="A61" t="s">
        <v>141</v>
      </c>
      <c r="B61" s="13" t="s">
        <v>142</v>
      </c>
      <c r="C61" t="s">
        <v>15</v>
      </c>
      <c r="D61" t="s">
        <v>32</v>
      </c>
      <c r="E61" t="s">
        <v>23</v>
      </c>
      <c r="F61" s="13" t="s">
        <v>153</v>
      </c>
      <c r="G61" t="s">
        <v>19</v>
      </c>
      <c r="H61" t="s">
        <v>20</v>
      </c>
      <c r="I61" t="s">
        <v>154</v>
      </c>
      <c r="J61" t="s">
        <v>77</v>
      </c>
      <c r="K61" t="str">
        <f t="shared" si="0"/>
        <v>D(平局)</v>
      </c>
      <c r="L61" t="s">
        <v>106</v>
      </c>
      <c r="M61">
        <f t="shared" si="1"/>
        <v>1</v>
      </c>
    </row>
    <row r="62" ht="18" customHeight="1" spans="1:13">
      <c r="A62" t="s">
        <v>141</v>
      </c>
      <c r="B62" s="13" t="s">
        <v>142</v>
      </c>
      <c r="C62" t="s">
        <v>37</v>
      </c>
      <c r="D62" t="s">
        <v>16</v>
      </c>
      <c r="E62" t="s">
        <v>17</v>
      </c>
      <c r="F62" s="13" t="s">
        <v>155</v>
      </c>
      <c r="G62" t="s">
        <v>19</v>
      </c>
      <c r="H62" t="s">
        <v>20</v>
      </c>
      <c r="I62" t="s">
        <v>156</v>
      </c>
      <c r="J62" t="s">
        <v>22</v>
      </c>
      <c r="K62" t="str">
        <f t="shared" si="0"/>
        <v>A</v>
      </c>
      <c r="L62" t="s">
        <v>22</v>
      </c>
      <c r="M62">
        <f t="shared" si="1"/>
        <v>1</v>
      </c>
    </row>
    <row r="63" ht="18" customHeight="1" spans="1:13">
      <c r="A63" t="s">
        <v>141</v>
      </c>
      <c r="B63" s="13" t="s">
        <v>142</v>
      </c>
      <c r="C63" t="s">
        <v>37</v>
      </c>
      <c r="D63" t="s">
        <v>16</v>
      </c>
      <c r="E63" t="s">
        <v>23</v>
      </c>
      <c r="F63" s="13" t="s">
        <v>157</v>
      </c>
      <c r="G63" t="s">
        <v>19</v>
      </c>
      <c r="H63" t="s">
        <v>20</v>
      </c>
      <c r="I63" t="s">
        <v>158</v>
      </c>
      <c r="J63" t="s">
        <v>22</v>
      </c>
      <c r="K63" t="str">
        <f t="shared" si="0"/>
        <v>C</v>
      </c>
      <c r="L63" t="s">
        <v>22</v>
      </c>
      <c r="M63">
        <f t="shared" si="1"/>
        <v>0</v>
      </c>
    </row>
    <row r="64" ht="18" customHeight="1" spans="1:13">
      <c r="A64" t="s">
        <v>141</v>
      </c>
      <c r="B64" s="13" t="s">
        <v>142</v>
      </c>
      <c r="C64" t="s">
        <v>37</v>
      </c>
      <c r="D64" t="s">
        <v>27</v>
      </c>
      <c r="E64" t="s">
        <v>17</v>
      </c>
      <c r="F64" s="13" t="s">
        <v>159</v>
      </c>
      <c r="G64" t="s">
        <v>19</v>
      </c>
      <c r="H64" t="s">
        <v>20</v>
      </c>
      <c r="I64" t="s">
        <v>160</v>
      </c>
      <c r="J64" t="s">
        <v>22</v>
      </c>
      <c r="K64" t="str">
        <f t="shared" si="0"/>
        <v>A</v>
      </c>
      <c r="L64" t="s">
        <v>22</v>
      </c>
      <c r="M64">
        <f t="shared" si="1"/>
        <v>1</v>
      </c>
    </row>
    <row r="65" ht="18" customHeight="1" spans="1:13">
      <c r="A65" t="s">
        <v>141</v>
      </c>
      <c r="B65" s="13" t="s">
        <v>142</v>
      </c>
      <c r="C65" t="s">
        <v>37</v>
      </c>
      <c r="D65" t="s">
        <v>27</v>
      </c>
      <c r="E65" t="s">
        <v>23</v>
      </c>
      <c r="F65" s="13" t="s">
        <v>161</v>
      </c>
      <c r="G65" t="s">
        <v>19</v>
      </c>
      <c r="H65" t="s">
        <v>20</v>
      </c>
      <c r="I65" t="s">
        <v>162</v>
      </c>
      <c r="J65" t="s">
        <v>26</v>
      </c>
      <c r="K65" t="str">
        <f t="shared" si="0"/>
        <v>A</v>
      </c>
      <c r="L65" t="s">
        <v>22</v>
      </c>
      <c r="M65">
        <f t="shared" si="1"/>
        <v>1</v>
      </c>
    </row>
    <row r="66" ht="18" customHeight="1" spans="1:13">
      <c r="A66" t="s">
        <v>141</v>
      </c>
      <c r="B66" s="13" t="s">
        <v>142</v>
      </c>
      <c r="C66" t="s">
        <v>37</v>
      </c>
      <c r="D66" t="s">
        <v>32</v>
      </c>
      <c r="E66" t="s">
        <v>17</v>
      </c>
      <c r="F66" s="13" t="s">
        <v>163</v>
      </c>
      <c r="G66" t="s">
        <v>19</v>
      </c>
      <c r="H66" t="s">
        <v>20</v>
      </c>
      <c r="I66" t="s">
        <v>164</v>
      </c>
      <c r="J66" t="s">
        <v>22</v>
      </c>
      <c r="K66" t="str">
        <f t="shared" ref="K66:K129" si="2">IF(OR(J66="",C66="",E66=""),"",IF(J66="C","D(平局)",IF(J66=IF(E66="l2r","A","B"),LEFT(C66,1),RIGHT(C66,1))))</f>
        <v>A</v>
      </c>
      <c r="L66" t="s">
        <v>22</v>
      </c>
      <c r="M66">
        <f t="shared" si="1"/>
        <v>1</v>
      </c>
    </row>
    <row r="67" ht="18" customHeight="1" spans="1:13">
      <c r="A67" t="s">
        <v>141</v>
      </c>
      <c r="B67" s="13" t="s">
        <v>142</v>
      </c>
      <c r="C67" t="s">
        <v>37</v>
      </c>
      <c r="D67" t="s">
        <v>32</v>
      </c>
      <c r="E67" t="s">
        <v>23</v>
      </c>
      <c r="F67" s="13" t="s">
        <v>165</v>
      </c>
      <c r="G67" t="s">
        <v>19</v>
      </c>
      <c r="H67" t="s">
        <v>20</v>
      </c>
      <c r="I67" t="s">
        <v>166</v>
      </c>
      <c r="J67" t="s">
        <v>26</v>
      </c>
      <c r="K67" t="str">
        <f t="shared" si="2"/>
        <v>A</v>
      </c>
      <c r="L67" t="s">
        <v>22</v>
      </c>
      <c r="M67">
        <f t="shared" ref="M67:M130" si="3">IF(OR(K67="",L67=""),"",--(K67=L67))</f>
        <v>1</v>
      </c>
    </row>
    <row r="68" ht="18" customHeight="1" spans="1:13">
      <c r="A68" t="s">
        <v>141</v>
      </c>
      <c r="B68" s="13" t="s">
        <v>142</v>
      </c>
      <c r="C68" t="s">
        <v>50</v>
      </c>
      <c r="D68" t="s">
        <v>16</v>
      </c>
      <c r="E68" t="s">
        <v>17</v>
      </c>
      <c r="F68" s="13" t="s">
        <v>167</v>
      </c>
      <c r="G68" t="s">
        <v>19</v>
      </c>
      <c r="H68" t="s">
        <v>20</v>
      </c>
      <c r="I68" t="s">
        <v>168</v>
      </c>
      <c r="J68" t="s">
        <v>22</v>
      </c>
      <c r="K68" t="str">
        <f t="shared" si="2"/>
        <v>B</v>
      </c>
      <c r="L68" t="s">
        <v>26</v>
      </c>
      <c r="M68">
        <f t="shared" si="3"/>
        <v>1</v>
      </c>
    </row>
    <row r="69" ht="18" customHeight="1" spans="1:13">
      <c r="A69" t="s">
        <v>141</v>
      </c>
      <c r="B69" s="13" t="s">
        <v>142</v>
      </c>
      <c r="C69" t="s">
        <v>50</v>
      </c>
      <c r="D69" t="s">
        <v>16</v>
      </c>
      <c r="E69" t="s">
        <v>23</v>
      </c>
      <c r="F69" s="13" t="s">
        <v>169</v>
      </c>
      <c r="G69" t="s">
        <v>19</v>
      </c>
      <c r="H69" t="s">
        <v>20</v>
      </c>
      <c r="I69" t="s">
        <v>170</v>
      </c>
      <c r="J69" t="s">
        <v>26</v>
      </c>
      <c r="K69" t="str">
        <f t="shared" si="2"/>
        <v>B</v>
      </c>
      <c r="L69" t="s">
        <v>26</v>
      </c>
      <c r="M69">
        <f t="shared" si="3"/>
        <v>1</v>
      </c>
    </row>
    <row r="70" ht="18" customHeight="1" spans="1:13">
      <c r="A70" t="s">
        <v>141</v>
      </c>
      <c r="B70" s="13" t="s">
        <v>142</v>
      </c>
      <c r="C70" t="s">
        <v>50</v>
      </c>
      <c r="D70" t="s">
        <v>27</v>
      </c>
      <c r="E70" t="s">
        <v>17</v>
      </c>
      <c r="F70" s="13" t="s">
        <v>171</v>
      </c>
      <c r="G70" t="s">
        <v>19</v>
      </c>
      <c r="H70" t="s">
        <v>20</v>
      </c>
      <c r="I70" t="s">
        <v>172</v>
      </c>
      <c r="J70" t="s">
        <v>22</v>
      </c>
      <c r="K70" t="str">
        <f t="shared" si="2"/>
        <v>B</v>
      </c>
      <c r="L70" t="s">
        <v>26</v>
      </c>
      <c r="M70">
        <f t="shared" si="3"/>
        <v>1</v>
      </c>
    </row>
    <row r="71" ht="18" customHeight="1" spans="1:13">
      <c r="A71" t="s">
        <v>141</v>
      </c>
      <c r="B71" s="13" t="s">
        <v>142</v>
      </c>
      <c r="C71" t="s">
        <v>50</v>
      </c>
      <c r="D71" t="s">
        <v>27</v>
      </c>
      <c r="E71" t="s">
        <v>23</v>
      </c>
      <c r="F71" s="13" t="s">
        <v>173</v>
      </c>
      <c r="G71" t="s">
        <v>19</v>
      </c>
      <c r="H71" t="s">
        <v>20</v>
      </c>
      <c r="I71" t="s">
        <v>174</v>
      </c>
      <c r="J71" t="s">
        <v>26</v>
      </c>
      <c r="K71" t="str">
        <f t="shared" si="2"/>
        <v>B</v>
      </c>
      <c r="L71" t="s">
        <v>26</v>
      </c>
      <c r="M71">
        <f t="shared" si="3"/>
        <v>1</v>
      </c>
    </row>
    <row r="72" ht="18" customHeight="1" spans="1:13">
      <c r="A72" t="s">
        <v>141</v>
      </c>
      <c r="B72" s="13" t="s">
        <v>142</v>
      </c>
      <c r="C72" t="s">
        <v>50</v>
      </c>
      <c r="D72" t="s">
        <v>32</v>
      </c>
      <c r="E72" t="s">
        <v>17</v>
      </c>
      <c r="F72" s="13" t="s">
        <v>175</v>
      </c>
      <c r="G72" t="s">
        <v>19</v>
      </c>
      <c r="H72" t="s">
        <v>20</v>
      </c>
      <c r="I72" t="s">
        <v>176</v>
      </c>
      <c r="J72" t="s">
        <v>22</v>
      </c>
      <c r="K72" t="str">
        <f t="shared" si="2"/>
        <v>B</v>
      </c>
      <c r="L72" t="s">
        <v>26</v>
      </c>
      <c r="M72">
        <f t="shared" si="3"/>
        <v>1</v>
      </c>
    </row>
    <row r="73" ht="18" customHeight="1" spans="1:13">
      <c r="A73" t="s">
        <v>141</v>
      </c>
      <c r="B73" s="13" t="s">
        <v>142</v>
      </c>
      <c r="C73" t="s">
        <v>50</v>
      </c>
      <c r="D73" t="s">
        <v>32</v>
      </c>
      <c r="E73" t="s">
        <v>23</v>
      </c>
      <c r="F73" s="13" t="s">
        <v>177</v>
      </c>
      <c r="G73" t="s">
        <v>19</v>
      </c>
      <c r="H73" t="s">
        <v>20</v>
      </c>
      <c r="I73" t="s">
        <v>178</v>
      </c>
      <c r="J73" t="s">
        <v>26</v>
      </c>
      <c r="K73" t="str">
        <f t="shared" si="2"/>
        <v>B</v>
      </c>
      <c r="L73" t="s">
        <v>26</v>
      </c>
      <c r="M73">
        <f t="shared" si="3"/>
        <v>1</v>
      </c>
    </row>
    <row r="74" ht="18" customHeight="1" spans="1:13">
      <c r="A74" t="s">
        <v>179</v>
      </c>
      <c r="B74" s="13" t="s">
        <v>180</v>
      </c>
      <c r="C74" t="s">
        <v>15</v>
      </c>
      <c r="D74" t="s">
        <v>16</v>
      </c>
      <c r="E74" t="s">
        <v>17</v>
      </c>
      <c r="F74" s="13" t="s">
        <v>181</v>
      </c>
      <c r="G74" t="s">
        <v>19</v>
      </c>
      <c r="H74" t="s">
        <v>20</v>
      </c>
      <c r="I74" t="s">
        <v>182</v>
      </c>
      <c r="J74" t="s">
        <v>26</v>
      </c>
      <c r="K74" t="str">
        <f t="shared" si="2"/>
        <v>B</v>
      </c>
      <c r="L74" t="s">
        <v>26</v>
      </c>
      <c r="M74">
        <f t="shared" si="3"/>
        <v>1</v>
      </c>
    </row>
    <row r="75" ht="18" customHeight="1" spans="1:13">
      <c r="A75" t="s">
        <v>179</v>
      </c>
      <c r="B75" s="13" t="s">
        <v>180</v>
      </c>
      <c r="C75" t="s">
        <v>15</v>
      </c>
      <c r="D75" t="s">
        <v>16</v>
      </c>
      <c r="E75" t="s">
        <v>23</v>
      </c>
      <c r="F75" s="13" t="s">
        <v>183</v>
      </c>
      <c r="G75" t="s">
        <v>19</v>
      </c>
      <c r="H75" t="s">
        <v>20</v>
      </c>
      <c r="I75" t="s">
        <v>184</v>
      </c>
      <c r="J75" t="s">
        <v>22</v>
      </c>
      <c r="K75" t="str">
        <f t="shared" si="2"/>
        <v>B</v>
      </c>
      <c r="L75" t="s">
        <v>26</v>
      </c>
      <c r="M75">
        <f t="shared" si="3"/>
        <v>1</v>
      </c>
    </row>
    <row r="76" ht="18" customHeight="1" spans="1:13">
      <c r="A76" t="s">
        <v>179</v>
      </c>
      <c r="B76" s="13" t="s">
        <v>180</v>
      </c>
      <c r="C76" t="s">
        <v>15</v>
      </c>
      <c r="D76" t="s">
        <v>27</v>
      </c>
      <c r="E76" t="s">
        <v>17</v>
      </c>
      <c r="F76" s="13" t="s">
        <v>185</v>
      </c>
      <c r="G76" t="s">
        <v>19</v>
      </c>
      <c r="H76" t="s">
        <v>20</v>
      </c>
      <c r="I76" t="s">
        <v>186</v>
      </c>
      <c r="J76" t="s">
        <v>26</v>
      </c>
      <c r="K76" t="str">
        <f t="shared" si="2"/>
        <v>B</v>
      </c>
      <c r="L76" t="s">
        <v>26</v>
      </c>
      <c r="M76">
        <f t="shared" si="3"/>
        <v>1</v>
      </c>
    </row>
    <row r="77" ht="18" customHeight="1" spans="1:13">
      <c r="A77" t="s">
        <v>179</v>
      </c>
      <c r="B77" s="13" t="s">
        <v>180</v>
      </c>
      <c r="C77" t="s">
        <v>15</v>
      </c>
      <c r="D77" t="s">
        <v>27</v>
      </c>
      <c r="E77" t="s">
        <v>23</v>
      </c>
      <c r="F77" s="13" t="s">
        <v>187</v>
      </c>
      <c r="G77" t="s">
        <v>19</v>
      </c>
      <c r="H77" t="s">
        <v>20</v>
      </c>
      <c r="I77" t="s">
        <v>188</v>
      </c>
      <c r="J77" t="s">
        <v>22</v>
      </c>
      <c r="K77" t="str">
        <f t="shared" si="2"/>
        <v>B</v>
      </c>
      <c r="L77" t="s">
        <v>26</v>
      </c>
      <c r="M77">
        <f t="shared" si="3"/>
        <v>1</v>
      </c>
    </row>
    <row r="78" ht="18" customHeight="1" spans="1:13">
      <c r="A78" t="s">
        <v>179</v>
      </c>
      <c r="B78" s="13" t="s">
        <v>180</v>
      </c>
      <c r="C78" t="s">
        <v>15</v>
      </c>
      <c r="D78" t="s">
        <v>32</v>
      </c>
      <c r="E78" t="s">
        <v>17</v>
      </c>
      <c r="F78" s="13" t="s">
        <v>189</v>
      </c>
      <c r="G78" t="s">
        <v>19</v>
      </c>
      <c r="H78" t="s">
        <v>20</v>
      </c>
      <c r="I78" t="s">
        <v>190</v>
      </c>
      <c r="J78" t="s">
        <v>22</v>
      </c>
      <c r="K78" t="str">
        <f t="shared" si="2"/>
        <v>A</v>
      </c>
      <c r="L78" t="s">
        <v>26</v>
      </c>
      <c r="M78">
        <f t="shared" si="3"/>
        <v>0</v>
      </c>
    </row>
    <row r="79" ht="18" customHeight="1" spans="1:13">
      <c r="A79" t="s">
        <v>179</v>
      </c>
      <c r="B79" s="13" t="s">
        <v>180</v>
      </c>
      <c r="C79" t="s">
        <v>15</v>
      </c>
      <c r="D79" t="s">
        <v>32</v>
      </c>
      <c r="E79" t="s">
        <v>23</v>
      </c>
      <c r="F79" s="13" t="s">
        <v>191</v>
      </c>
      <c r="G79" t="s">
        <v>19</v>
      </c>
      <c r="H79" t="s">
        <v>20</v>
      </c>
      <c r="I79" t="s">
        <v>192</v>
      </c>
      <c r="J79" t="s">
        <v>22</v>
      </c>
      <c r="K79" t="str">
        <f t="shared" si="2"/>
        <v>B</v>
      </c>
      <c r="L79" t="s">
        <v>26</v>
      </c>
      <c r="M79">
        <f t="shared" si="3"/>
        <v>1</v>
      </c>
    </row>
    <row r="80" ht="18" customHeight="1" spans="1:13">
      <c r="A80" t="s">
        <v>179</v>
      </c>
      <c r="B80" s="13" t="s">
        <v>180</v>
      </c>
      <c r="C80" t="s">
        <v>37</v>
      </c>
      <c r="D80" t="s">
        <v>16</v>
      </c>
      <c r="E80" t="s">
        <v>17</v>
      </c>
      <c r="F80" s="13" t="s">
        <v>193</v>
      </c>
      <c r="G80" t="s">
        <v>19</v>
      </c>
      <c r="H80" t="s">
        <v>20</v>
      </c>
      <c r="I80" t="s">
        <v>194</v>
      </c>
      <c r="J80" t="s">
        <v>77</v>
      </c>
      <c r="K80" t="str">
        <f t="shared" si="2"/>
        <v>D(平局)</v>
      </c>
      <c r="L80" t="s">
        <v>22</v>
      </c>
      <c r="M80">
        <f t="shared" si="3"/>
        <v>0</v>
      </c>
    </row>
    <row r="81" ht="18" customHeight="1" spans="1:13">
      <c r="A81" t="s">
        <v>179</v>
      </c>
      <c r="B81" s="13" t="s">
        <v>180</v>
      </c>
      <c r="C81" t="s">
        <v>37</v>
      </c>
      <c r="D81" t="s">
        <v>16</v>
      </c>
      <c r="E81" t="s">
        <v>23</v>
      </c>
      <c r="F81" s="13" t="s">
        <v>195</v>
      </c>
      <c r="G81" t="s">
        <v>19</v>
      </c>
      <c r="H81" t="s">
        <v>20</v>
      </c>
      <c r="I81" t="s">
        <v>196</v>
      </c>
      <c r="J81" t="s">
        <v>22</v>
      </c>
      <c r="K81" t="str">
        <f t="shared" si="2"/>
        <v>C</v>
      </c>
      <c r="L81" t="s">
        <v>22</v>
      </c>
      <c r="M81">
        <f t="shared" si="3"/>
        <v>0</v>
      </c>
    </row>
    <row r="82" ht="18" customHeight="1" spans="1:13">
      <c r="A82" t="s">
        <v>179</v>
      </c>
      <c r="B82" s="13" t="s">
        <v>180</v>
      </c>
      <c r="C82" t="s">
        <v>37</v>
      </c>
      <c r="D82" t="s">
        <v>27</v>
      </c>
      <c r="E82" t="s">
        <v>17</v>
      </c>
      <c r="F82" s="13" t="s">
        <v>197</v>
      </c>
      <c r="G82" t="s">
        <v>19</v>
      </c>
      <c r="H82" t="s">
        <v>20</v>
      </c>
      <c r="I82" t="s">
        <v>198</v>
      </c>
      <c r="J82" t="s">
        <v>22</v>
      </c>
      <c r="K82" t="str">
        <f t="shared" si="2"/>
        <v>A</v>
      </c>
      <c r="L82" t="s">
        <v>22</v>
      </c>
      <c r="M82">
        <f t="shared" si="3"/>
        <v>1</v>
      </c>
    </row>
    <row r="83" ht="18" customHeight="1" spans="1:13">
      <c r="A83" t="s">
        <v>179</v>
      </c>
      <c r="B83" s="13" t="s">
        <v>180</v>
      </c>
      <c r="C83" t="s">
        <v>37</v>
      </c>
      <c r="D83" t="s">
        <v>27</v>
      </c>
      <c r="E83" t="s">
        <v>23</v>
      </c>
      <c r="F83" s="13" t="s">
        <v>199</v>
      </c>
      <c r="G83" t="s">
        <v>19</v>
      </c>
      <c r="H83" t="s">
        <v>20</v>
      </c>
      <c r="I83" t="s">
        <v>200</v>
      </c>
      <c r="J83" t="s">
        <v>22</v>
      </c>
      <c r="K83" t="str">
        <f t="shared" si="2"/>
        <v>C</v>
      </c>
      <c r="L83" t="s">
        <v>22</v>
      </c>
      <c r="M83">
        <f t="shared" si="3"/>
        <v>0</v>
      </c>
    </row>
    <row r="84" ht="18" customHeight="1" spans="1:13">
      <c r="A84" t="s">
        <v>179</v>
      </c>
      <c r="B84" s="13" t="s">
        <v>180</v>
      </c>
      <c r="C84" t="s">
        <v>37</v>
      </c>
      <c r="D84" t="s">
        <v>32</v>
      </c>
      <c r="E84" t="s">
        <v>17</v>
      </c>
      <c r="F84" s="13" t="s">
        <v>201</v>
      </c>
      <c r="G84" t="s">
        <v>19</v>
      </c>
      <c r="H84" t="s">
        <v>20</v>
      </c>
      <c r="I84" t="s">
        <v>202</v>
      </c>
      <c r="J84" t="s">
        <v>22</v>
      </c>
      <c r="K84" t="str">
        <f t="shared" si="2"/>
        <v>A</v>
      </c>
      <c r="L84" t="s">
        <v>22</v>
      </c>
      <c r="M84">
        <f t="shared" si="3"/>
        <v>1</v>
      </c>
    </row>
    <row r="85" ht="18" customHeight="1" spans="1:13">
      <c r="A85" t="s">
        <v>179</v>
      </c>
      <c r="B85" s="13" t="s">
        <v>180</v>
      </c>
      <c r="C85" t="s">
        <v>37</v>
      </c>
      <c r="D85" t="s">
        <v>32</v>
      </c>
      <c r="E85" t="s">
        <v>23</v>
      </c>
      <c r="F85" s="13" t="s">
        <v>203</v>
      </c>
      <c r="G85" t="s">
        <v>19</v>
      </c>
      <c r="H85" t="s">
        <v>20</v>
      </c>
      <c r="I85" t="s">
        <v>204</v>
      </c>
      <c r="J85" t="s">
        <v>22</v>
      </c>
      <c r="K85" t="str">
        <f t="shared" si="2"/>
        <v>C</v>
      </c>
      <c r="L85" t="s">
        <v>22</v>
      </c>
      <c r="M85">
        <f t="shared" si="3"/>
        <v>0</v>
      </c>
    </row>
    <row r="86" ht="18" customHeight="1" spans="1:13">
      <c r="A86" t="s">
        <v>179</v>
      </c>
      <c r="B86" s="13" t="s">
        <v>180</v>
      </c>
      <c r="C86" t="s">
        <v>50</v>
      </c>
      <c r="D86" t="s">
        <v>16</v>
      </c>
      <c r="E86" t="s">
        <v>17</v>
      </c>
      <c r="F86" s="13" t="s">
        <v>205</v>
      </c>
      <c r="G86" t="s">
        <v>19</v>
      </c>
      <c r="H86" t="s">
        <v>20</v>
      </c>
      <c r="I86" t="s">
        <v>206</v>
      </c>
      <c r="J86" t="s">
        <v>22</v>
      </c>
      <c r="K86" t="str">
        <f t="shared" si="2"/>
        <v>B</v>
      </c>
      <c r="L86" t="s">
        <v>26</v>
      </c>
      <c r="M86">
        <f t="shared" si="3"/>
        <v>1</v>
      </c>
    </row>
    <row r="87" ht="18" customHeight="1" spans="1:13">
      <c r="A87" t="s">
        <v>179</v>
      </c>
      <c r="B87" s="13" t="s">
        <v>180</v>
      </c>
      <c r="C87" t="s">
        <v>50</v>
      </c>
      <c r="D87" t="s">
        <v>16</v>
      </c>
      <c r="E87" t="s">
        <v>23</v>
      </c>
      <c r="F87" s="13" t="s">
        <v>207</v>
      </c>
      <c r="G87" t="s">
        <v>19</v>
      </c>
      <c r="H87" t="s">
        <v>20</v>
      </c>
      <c r="I87" t="s">
        <v>208</v>
      </c>
      <c r="J87" t="s">
        <v>22</v>
      </c>
      <c r="K87" t="str">
        <f t="shared" si="2"/>
        <v>C</v>
      </c>
      <c r="L87" t="s">
        <v>26</v>
      </c>
      <c r="M87">
        <f t="shared" si="3"/>
        <v>0</v>
      </c>
    </row>
    <row r="88" ht="18" customHeight="1" spans="1:13">
      <c r="A88" t="s">
        <v>179</v>
      </c>
      <c r="B88" s="13" t="s">
        <v>180</v>
      </c>
      <c r="C88" t="s">
        <v>50</v>
      </c>
      <c r="D88" t="s">
        <v>27</v>
      </c>
      <c r="E88" t="s">
        <v>17</v>
      </c>
      <c r="F88" s="13" t="s">
        <v>209</v>
      </c>
      <c r="G88" t="s">
        <v>19</v>
      </c>
      <c r="H88" t="s">
        <v>20</v>
      </c>
      <c r="I88" t="s">
        <v>210</v>
      </c>
      <c r="J88" t="s">
        <v>22</v>
      </c>
      <c r="K88" t="str">
        <f t="shared" si="2"/>
        <v>B</v>
      </c>
      <c r="L88" t="s">
        <v>26</v>
      </c>
      <c r="M88">
        <f t="shared" si="3"/>
        <v>1</v>
      </c>
    </row>
    <row r="89" ht="18" customHeight="1" spans="1:13">
      <c r="A89" t="s">
        <v>179</v>
      </c>
      <c r="B89" s="13" t="s">
        <v>180</v>
      </c>
      <c r="C89" t="s">
        <v>50</v>
      </c>
      <c r="D89" t="s">
        <v>27</v>
      </c>
      <c r="E89" t="s">
        <v>23</v>
      </c>
      <c r="F89" s="13" t="s">
        <v>211</v>
      </c>
      <c r="G89" t="s">
        <v>19</v>
      </c>
      <c r="H89" t="s">
        <v>20</v>
      </c>
      <c r="I89" t="s">
        <v>212</v>
      </c>
      <c r="J89" t="s">
        <v>22</v>
      </c>
      <c r="K89" t="str">
        <f t="shared" si="2"/>
        <v>C</v>
      </c>
      <c r="L89" t="s">
        <v>26</v>
      </c>
      <c r="M89">
        <f t="shared" si="3"/>
        <v>0</v>
      </c>
    </row>
    <row r="90" ht="18" customHeight="1" spans="1:13">
      <c r="A90" t="s">
        <v>179</v>
      </c>
      <c r="B90" s="13" t="s">
        <v>180</v>
      </c>
      <c r="C90" t="s">
        <v>50</v>
      </c>
      <c r="D90" t="s">
        <v>32</v>
      </c>
      <c r="E90" t="s">
        <v>17</v>
      </c>
      <c r="F90" s="13" t="s">
        <v>213</v>
      </c>
      <c r="G90" t="s">
        <v>19</v>
      </c>
      <c r="H90" t="s">
        <v>20</v>
      </c>
      <c r="I90" t="s">
        <v>214</v>
      </c>
      <c r="J90" t="s">
        <v>22</v>
      </c>
      <c r="K90" t="str">
        <f t="shared" si="2"/>
        <v>B</v>
      </c>
      <c r="L90" t="s">
        <v>26</v>
      </c>
      <c r="M90">
        <f t="shared" si="3"/>
        <v>1</v>
      </c>
    </row>
    <row r="91" ht="18" customHeight="1" spans="1:13">
      <c r="A91" t="s">
        <v>179</v>
      </c>
      <c r="B91" s="13" t="s">
        <v>180</v>
      </c>
      <c r="C91" t="s">
        <v>50</v>
      </c>
      <c r="D91" t="s">
        <v>32</v>
      </c>
      <c r="E91" t="s">
        <v>23</v>
      </c>
      <c r="F91" s="13" t="s">
        <v>215</v>
      </c>
      <c r="G91" t="s">
        <v>19</v>
      </c>
      <c r="H91" t="s">
        <v>20</v>
      </c>
      <c r="I91" t="s">
        <v>216</v>
      </c>
      <c r="J91" t="s">
        <v>77</v>
      </c>
      <c r="K91" t="str">
        <f t="shared" si="2"/>
        <v>D(平局)</v>
      </c>
      <c r="L91" t="s">
        <v>26</v>
      </c>
      <c r="M91">
        <f t="shared" si="3"/>
        <v>0</v>
      </c>
    </row>
    <row r="92" ht="18" customHeight="1" spans="1:13">
      <c r="A92" t="s">
        <v>217</v>
      </c>
      <c r="B92" s="13" t="s">
        <v>218</v>
      </c>
      <c r="C92" t="s">
        <v>15</v>
      </c>
      <c r="D92" t="s">
        <v>16</v>
      </c>
      <c r="E92" t="s">
        <v>17</v>
      </c>
      <c r="F92" s="13" t="s">
        <v>219</v>
      </c>
      <c r="G92" t="s">
        <v>19</v>
      </c>
      <c r="H92" t="s">
        <v>20</v>
      </c>
      <c r="I92" t="s">
        <v>220</v>
      </c>
      <c r="J92" t="s">
        <v>22</v>
      </c>
      <c r="K92" t="str">
        <f t="shared" si="2"/>
        <v>A</v>
      </c>
      <c r="L92" t="s">
        <v>22</v>
      </c>
      <c r="M92">
        <f t="shared" si="3"/>
        <v>1</v>
      </c>
    </row>
    <row r="93" ht="18" customHeight="1" spans="1:13">
      <c r="A93" t="s">
        <v>217</v>
      </c>
      <c r="B93" s="13" t="s">
        <v>218</v>
      </c>
      <c r="C93" t="s">
        <v>15</v>
      </c>
      <c r="D93" t="s">
        <v>16</v>
      </c>
      <c r="E93" t="s">
        <v>23</v>
      </c>
      <c r="F93" s="13" t="s">
        <v>221</v>
      </c>
      <c r="G93" t="s">
        <v>19</v>
      </c>
      <c r="H93" t="s">
        <v>20</v>
      </c>
      <c r="I93" t="s">
        <v>222</v>
      </c>
      <c r="J93" t="s">
        <v>26</v>
      </c>
      <c r="K93" t="str">
        <f t="shared" si="2"/>
        <v>A</v>
      </c>
      <c r="L93" t="s">
        <v>22</v>
      </c>
      <c r="M93">
        <f t="shared" si="3"/>
        <v>1</v>
      </c>
    </row>
    <row r="94" ht="18" customHeight="1" spans="1:13">
      <c r="A94" t="s">
        <v>217</v>
      </c>
      <c r="B94" s="13" t="s">
        <v>218</v>
      </c>
      <c r="C94" t="s">
        <v>15</v>
      </c>
      <c r="D94" t="s">
        <v>27</v>
      </c>
      <c r="E94" t="s">
        <v>17</v>
      </c>
      <c r="F94" s="13" t="s">
        <v>223</v>
      </c>
      <c r="G94" t="s">
        <v>19</v>
      </c>
      <c r="H94" t="s">
        <v>20</v>
      </c>
      <c r="I94" t="s">
        <v>224</v>
      </c>
      <c r="J94" t="s">
        <v>22</v>
      </c>
      <c r="K94" t="str">
        <f t="shared" si="2"/>
        <v>A</v>
      </c>
      <c r="L94" t="s">
        <v>22</v>
      </c>
      <c r="M94">
        <f t="shared" si="3"/>
        <v>1</v>
      </c>
    </row>
    <row r="95" ht="18" customHeight="1" spans="1:13">
      <c r="A95" t="s">
        <v>217</v>
      </c>
      <c r="B95" s="13" t="s">
        <v>218</v>
      </c>
      <c r="C95" t="s">
        <v>15</v>
      </c>
      <c r="D95" t="s">
        <v>27</v>
      </c>
      <c r="E95" t="s">
        <v>23</v>
      </c>
      <c r="F95" s="13" t="s">
        <v>225</v>
      </c>
      <c r="G95" t="s">
        <v>19</v>
      </c>
      <c r="H95" t="s">
        <v>20</v>
      </c>
      <c r="I95" t="s">
        <v>226</v>
      </c>
      <c r="J95" t="s">
        <v>26</v>
      </c>
      <c r="K95" t="str">
        <f t="shared" si="2"/>
        <v>A</v>
      </c>
      <c r="L95" t="s">
        <v>22</v>
      </c>
      <c r="M95">
        <f t="shared" si="3"/>
        <v>1</v>
      </c>
    </row>
    <row r="96" ht="18" customHeight="1" spans="1:13">
      <c r="A96" t="s">
        <v>217</v>
      </c>
      <c r="B96" s="13" t="s">
        <v>218</v>
      </c>
      <c r="C96" t="s">
        <v>15</v>
      </c>
      <c r="D96" t="s">
        <v>32</v>
      </c>
      <c r="E96" t="s">
        <v>17</v>
      </c>
      <c r="F96" s="13" t="s">
        <v>227</v>
      </c>
      <c r="G96" t="s">
        <v>19</v>
      </c>
      <c r="H96" t="s">
        <v>20</v>
      </c>
      <c r="I96" t="s">
        <v>228</v>
      </c>
      <c r="J96" t="s">
        <v>22</v>
      </c>
      <c r="K96" t="str">
        <f t="shared" si="2"/>
        <v>A</v>
      </c>
      <c r="L96" t="s">
        <v>22</v>
      </c>
      <c r="M96">
        <f t="shared" si="3"/>
        <v>1</v>
      </c>
    </row>
    <row r="97" ht="18" customHeight="1" spans="1:13">
      <c r="A97" t="s">
        <v>217</v>
      </c>
      <c r="B97" s="13" t="s">
        <v>218</v>
      </c>
      <c r="C97" t="s">
        <v>15</v>
      </c>
      <c r="D97" t="s">
        <v>32</v>
      </c>
      <c r="E97" t="s">
        <v>23</v>
      </c>
      <c r="F97" s="13" t="s">
        <v>229</v>
      </c>
      <c r="G97" t="s">
        <v>19</v>
      </c>
      <c r="H97" t="s">
        <v>20</v>
      </c>
      <c r="I97" t="s">
        <v>230</v>
      </c>
      <c r="J97" t="s">
        <v>26</v>
      </c>
      <c r="K97" t="str">
        <f t="shared" si="2"/>
        <v>A</v>
      </c>
      <c r="L97" t="s">
        <v>22</v>
      </c>
      <c r="M97">
        <f t="shared" si="3"/>
        <v>1</v>
      </c>
    </row>
    <row r="98" ht="18" customHeight="1" spans="1:13">
      <c r="A98" t="s">
        <v>217</v>
      </c>
      <c r="B98" s="13" t="s">
        <v>218</v>
      </c>
      <c r="C98" t="s">
        <v>37</v>
      </c>
      <c r="D98" t="s">
        <v>16</v>
      </c>
      <c r="E98" t="s">
        <v>17</v>
      </c>
      <c r="F98" s="13" t="s">
        <v>231</v>
      </c>
      <c r="G98" t="s">
        <v>19</v>
      </c>
      <c r="H98" t="s">
        <v>20</v>
      </c>
      <c r="I98" t="s">
        <v>232</v>
      </c>
      <c r="J98" t="s">
        <v>22</v>
      </c>
      <c r="K98" t="str">
        <f t="shared" si="2"/>
        <v>A</v>
      </c>
      <c r="L98" t="s">
        <v>22</v>
      </c>
      <c r="M98">
        <f t="shared" si="3"/>
        <v>1</v>
      </c>
    </row>
    <row r="99" ht="18" customHeight="1" spans="1:13">
      <c r="A99" t="s">
        <v>217</v>
      </c>
      <c r="B99" s="13" t="s">
        <v>218</v>
      </c>
      <c r="C99" t="s">
        <v>37</v>
      </c>
      <c r="D99" t="s">
        <v>16</v>
      </c>
      <c r="E99" t="s">
        <v>23</v>
      </c>
      <c r="F99" s="13" t="s">
        <v>233</v>
      </c>
      <c r="G99" t="s">
        <v>19</v>
      </c>
      <c r="H99" t="s">
        <v>20</v>
      </c>
      <c r="I99" t="s">
        <v>234</v>
      </c>
      <c r="J99" t="s">
        <v>26</v>
      </c>
      <c r="K99" t="str">
        <f t="shared" si="2"/>
        <v>A</v>
      </c>
      <c r="L99" t="s">
        <v>22</v>
      </c>
      <c r="M99">
        <f t="shared" si="3"/>
        <v>1</v>
      </c>
    </row>
    <row r="100" ht="18" customHeight="1" spans="1:13">
      <c r="A100" t="s">
        <v>217</v>
      </c>
      <c r="B100" s="13" t="s">
        <v>218</v>
      </c>
      <c r="C100" t="s">
        <v>37</v>
      </c>
      <c r="D100" t="s">
        <v>27</v>
      </c>
      <c r="E100" t="s">
        <v>17</v>
      </c>
      <c r="F100" s="13" t="s">
        <v>235</v>
      </c>
      <c r="G100" t="s">
        <v>19</v>
      </c>
      <c r="H100" t="s">
        <v>20</v>
      </c>
      <c r="I100" t="s">
        <v>236</v>
      </c>
      <c r="J100" t="s">
        <v>22</v>
      </c>
      <c r="K100" t="str">
        <f t="shared" si="2"/>
        <v>A</v>
      </c>
      <c r="L100" t="s">
        <v>22</v>
      </c>
      <c r="M100">
        <f t="shared" si="3"/>
        <v>1</v>
      </c>
    </row>
    <row r="101" ht="18" customHeight="1" spans="1:13">
      <c r="A101" t="s">
        <v>217</v>
      </c>
      <c r="B101" s="13" t="s">
        <v>218</v>
      </c>
      <c r="C101" t="s">
        <v>37</v>
      </c>
      <c r="D101" t="s">
        <v>27</v>
      </c>
      <c r="E101" t="s">
        <v>23</v>
      </c>
      <c r="F101" s="13" t="s">
        <v>237</v>
      </c>
      <c r="G101" t="s">
        <v>19</v>
      </c>
      <c r="H101" t="s">
        <v>20</v>
      </c>
      <c r="I101" t="s">
        <v>238</v>
      </c>
      <c r="J101" t="s">
        <v>26</v>
      </c>
      <c r="K101" t="str">
        <f t="shared" si="2"/>
        <v>A</v>
      </c>
      <c r="L101" t="s">
        <v>22</v>
      </c>
      <c r="M101">
        <f t="shared" si="3"/>
        <v>1</v>
      </c>
    </row>
    <row r="102" ht="18" customHeight="1" spans="1:13">
      <c r="A102" t="s">
        <v>217</v>
      </c>
      <c r="B102" s="13" t="s">
        <v>218</v>
      </c>
      <c r="C102" t="s">
        <v>37</v>
      </c>
      <c r="D102" t="s">
        <v>32</v>
      </c>
      <c r="E102" t="s">
        <v>17</v>
      </c>
      <c r="F102" s="13" t="s">
        <v>239</v>
      </c>
      <c r="G102" t="s">
        <v>19</v>
      </c>
      <c r="H102" t="s">
        <v>20</v>
      </c>
      <c r="I102" t="s">
        <v>240</v>
      </c>
      <c r="J102" t="s">
        <v>22</v>
      </c>
      <c r="K102" t="str">
        <f t="shared" si="2"/>
        <v>A</v>
      </c>
      <c r="L102" t="s">
        <v>22</v>
      </c>
      <c r="M102">
        <f t="shared" si="3"/>
        <v>1</v>
      </c>
    </row>
    <row r="103" ht="18" customHeight="1" spans="1:13">
      <c r="A103" t="s">
        <v>217</v>
      </c>
      <c r="B103" s="13" t="s">
        <v>218</v>
      </c>
      <c r="C103" t="s">
        <v>37</v>
      </c>
      <c r="D103" t="s">
        <v>32</v>
      </c>
      <c r="E103" t="s">
        <v>23</v>
      </c>
      <c r="F103" s="13" t="s">
        <v>241</v>
      </c>
      <c r="G103" t="s">
        <v>19</v>
      </c>
      <c r="H103" t="s">
        <v>20</v>
      </c>
      <c r="I103" t="s">
        <v>242</v>
      </c>
      <c r="J103" t="s">
        <v>26</v>
      </c>
      <c r="K103" t="str">
        <f t="shared" si="2"/>
        <v>A</v>
      </c>
      <c r="L103" t="s">
        <v>22</v>
      </c>
      <c r="M103">
        <f t="shared" si="3"/>
        <v>1</v>
      </c>
    </row>
    <row r="104" ht="18" customHeight="1" spans="1:13">
      <c r="A104" t="s">
        <v>217</v>
      </c>
      <c r="B104" s="13" t="s">
        <v>218</v>
      </c>
      <c r="C104" t="s">
        <v>50</v>
      </c>
      <c r="D104" t="s">
        <v>16</v>
      </c>
      <c r="E104" t="s">
        <v>17</v>
      </c>
      <c r="F104" s="13" t="s">
        <v>243</v>
      </c>
      <c r="G104" t="s">
        <v>19</v>
      </c>
      <c r="H104" t="s">
        <v>20</v>
      </c>
      <c r="I104" t="s">
        <v>244</v>
      </c>
      <c r="J104" t="s">
        <v>22</v>
      </c>
      <c r="K104" t="str">
        <f t="shared" si="2"/>
        <v>B</v>
      </c>
      <c r="L104" t="s">
        <v>26</v>
      </c>
      <c r="M104">
        <f t="shared" si="3"/>
        <v>1</v>
      </c>
    </row>
    <row r="105" ht="18" customHeight="1" spans="1:13">
      <c r="A105" t="s">
        <v>217</v>
      </c>
      <c r="B105" s="13" t="s">
        <v>218</v>
      </c>
      <c r="C105" t="s">
        <v>50</v>
      </c>
      <c r="D105" t="s">
        <v>16</v>
      </c>
      <c r="E105" t="s">
        <v>23</v>
      </c>
      <c r="F105" s="13" t="s">
        <v>245</v>
      </c>
      <c r="G105" t="s">
        <v>19</v>
      </c>
      <c r="H105" t="s">
        <v>20</v>
      </c>
      <c r="I105" t="s">
        <v>246</v>
      </c>
      <c r="J105" t="s">
        <v>26</v>
      </c>
      <c r="K105" t="str">
        <f t="shared" si="2"/>
        <v>B</v>
      </c>
      <c r="L105" t="s">
        <v>26</v>
      </c>
      <c r="M105">
        <f t="shared" si="3"/>
        <v>1</v>
      </c>
    </row>
    <row r="106" ht="18" customHeight="1" spans="1:13">
      <c r="A106" t="s">
        <v>217</v>
      </c>
      <c r="B106" s="13" t="s">
        <v>218</v>
      </c>
      <c r="C106" t="s">
        <v>50</v>
      </c>
      <c r="D106" t="s">
        <v>27</v>
      </c>
      <c r="E106" t="s">
        <v>17</v>
      </c>
      <c r="F106" s="13" t="s">
        <v>247</v>
      </c>
      <c r="G106" t="s">
        <v>19</v>
      </c>
      <c r="H106" t="s">
        <v>20</v>
      </c>
      <c r="I106" t="s">
        <v>248</v>
      </c>
      <c r="J106" t="s">
        <v>22</v>
      </c>
      <c r="K106" t="str">
        <f t="shared" si="2"/>
        <v>B</v>
      </c>
      <c r="L106" t="s">
        <v>26</v>
      </c>
      <c r="M106">
        <f t="shared" si="3"/>
        <v>1</v>
      </c>
    </row>
    <row r="107" ht="18" customHeight="1" spans="1:13">
      <c r="A107" t="s">
        <v>217</v>
      </c>
      <c r="B107" s="13" t="s">
        <v>218</v>
      </c>
      <c r="C107" t="s">
        <v>50</v>
      </c>
      <c r="D107" t="s">
        <v>27</v>
      </c>
      <c r="E107" t="s">
        <v>23</v>
      </c>
      <c r="F107" s="13" t="s">
        <v>249</v>
      </c>
      <c r="G107" t="s">
        <v>19</v>
      </c>
      <c r="H107" t="s">
        <v>20</v>
      </c>
      <c r="I107" t="s">
        <v>250</v>
      </c>
      <c r="J107" t="s">
        <v>26</v>
      </c>
      <c r="K107" t="str">
        <f t="shared" si="2"/>
        <v>B</v>
      </c>
      <c r="L107" t="s">
        <v>26</v>
      </c>
      <c r="M107">
        <f t="shared" si="3"/>
        <v>1</v>
      </c>
    </row>
    <row r="108" ht="18" customHeight="1" spans="1:13">
      <c r="A108" t="s">
        <v>217</v>
      </c>
      <c r="B108" s="13" t="s">
        <v>218</v>
      </c>
      <c r="C108" t="s">
        <v>50</v>
      </c>
      <c r="D108" t="s">
        <v>32</v>
      </c>
      <c r="E108" t="s">
        <v>17</v>
      </c>
      <c r="F108" s="13" t="s">
        <v>251</v>
      </c>
      <c r="G108" t="s">
        <v>19</v>
      </c>
      <c r="H108" t="s">
        <v>20</v>
      </c>
      <c r="I108" t="s">
        <v>252</v>
      </c>
      <c r="J108" t="s">
        <v>22</v>
      </c>
      <c r="K108" t="str">
        <f t="shared" si="2"/>
        <v>B</v>
      </c>
      <c r="L108" t="s">
        <v>26</v>
      </c>
      <c r="M108">
        <f t="shared" si="3"/>
        <v>1</v>
      </c>
    </row>
    <row r="109" ht="18" customHeight="1" spans="1:13">
      <c r="A109" t="s">
        <v>217</v>
      </c>
      <c r="B109" s="13" t="s">
        <v>218</v>
      </c>
      <c r="C109" t="s">
        <v>50</v>
      </c>
      <c r="D109" t="s">
        <v>32</v>
      </c>
      <c r="E109" t="s">
        <v>23</v>
      </c>
      <c r="F109" s="13" t="s">
        <v>253</v>
      </c>
      <c r="G109" t="s">
        <v>19</v>
      </c>
      <c r="H109" t="s">
        <v>20</v>
      </c>
      <c r="I109" t="s">
        <v>254</v>
      </c>
      <c r="J109" t="s">
        <v>26</v>
      </c>
      <c r="K109" t="str">
        <f t="shared" si="2"/>
        <v>B</v>
      </c>
      <c r="L109" t="s">
        <v>26</v>
      </c>
      <c r="M109">
        <f t="shared" si="3"/>
        <v>1</v>
      </c>
    </row>
    <row r="110" ht="18" customHeight="1" spans="1:13">
      <c r="A110" t="s">
        <v>255</v>
      </c>
      <c r="B110" s="13" t="s">
        <v>256</v>
      </c>
      <c r="C110" t="s">
        <v>15</v>
      </c>
      <c r="D110" t="s">
        <v>16</v>
      </c>
      <c r="E110" t="s">
        <v>17</v>
      </c>
      <c r="F110" s="13" t="s">
        <v>257</v>
      </c>
      <c r="G110" t="s">
        <v>19</v>
      </c>
      <c r="H110" t="s">
        <v>20</v>
      </c>
      <c r="I110" t="s">
        <v>258</v>
      </c>
      <c r="J110" t="s">
        <v>22</v>
      </c>
      <c r="K110" t="str">
        <f t="shared" si="2"/>
        <v>A</v>
      </c>
      <c r="L110" t="s">
        <v>22</v>
      </c>
      <c r="M110">
        <f t="shared" si="3"/>
        <v>1</v>
      </c>
    </row>
    <row r="111" ht="18" customHeight="1" spans="1:13">
      <c r="A111" t="s">
        <v>255</v>
      </c>
      <c r="B111" s="13" t="s">
        <v>256</v>
      </c>
      <c r="C111" t="s">
        <v>15</v>
      </c>
      <c r="D111" t="s">
        <v>16</v>
      </c>
      <c r="E111" t="s">
        <v>23</v>
      </c>
      <c r="F111" s="13" t="s">
        <v>259</v>
      </c>
      <c r="G111" t="s">
        <v>19</v>
      </c>
      <c r="H111" t="s">
        <v>20</v>
      </c>
      <c r="I111" t="s">
        <v>260</v>
      </c>
      <c r="J111" t="s">
        <v>26</v>
      </c>
      <c r="K111" t="str">
        <f t="shared" si="2"/>
        <v>A</v>
      </c>
      <c r="L111" t="s">
        <v>22</v>
      </c>
      <c r="M111">
        <f t="shared" si="3"/>
        <v>1</v>
      </c>
    </row>
    <row r="112" ht="18" customHeight="1" spans="1:13">
      <c r="A112" t="s">
        <v>255</v>
      </c>
      <c r="B112" s="13" t="s">
        <v>256</v>
      </c>
      <c r="C112" t="s">
        <v>15</v>
      </c>
      <c r="D112" t="s">
        <v>27</v>
      </c>
      <c r="E112" t="s">
        <v>17</v>
      </c>
      <c r="F112" s="13" t="s">
        <v>261</v>
      </c>
      <c r="G112" t="s">
        <v>19</v>
      </c>
      <c r="H112" t="s">
        <v>20</v>
      </c>
      <c r="I112" t="s">
        <v>262</v>
      </c>
      <c r="J112" t="s">
        <v>22</v>
      </c>
      <c r="K112" t="str">
        <f t="shared" si="2"/>
        <v>A</v>
      </c>
      <c r="L112" t="s">
        <v>22</v>
      </c>
      <c r="M112">
        <f t="shared" si="3"/>
        <v>1</v>
      </c>
    </row>
    <row r="113" ht="18" customHeight="1" spans="1:13">
      <c r="A113" t="s">
        <v>255</v>
      </c>
      <c r="B113" s="13" t="s">
        <v>256</v>
      </c>
      <c r="C113" t="s">
        <v>15</v>
      </c>
      <c r="D113" t="s">
        <v>27</v>
      </c>
      <c r="E113" t="s">
        <v>23</v>
      </c>
      <c r="F113" s="13" t="s">
        <v>263</v>
      </c>
      <c r="G113" t="s">
        <v>19</v>
      </c>
      <c r="H113" t="s">
        <v>20</v>
      </c>
      <c r="I113" t="s">
        <v>264</v>
      </c>
      <c r="J113" t="s">
        <v>26</v>
      </c>
      <c r="K113" t="str">
        <f t="shared" si="2"/>
        <v>A</v>
      </c>
      <c r="L113" t="s">
        <v>22</v>
      </c>
      <c r="M113">
        <f t="shared" si="3"/>
        <v>1</v>
      </c>
    </row>
    <row r="114" ht="18" customHeight="1" spans="1:13">
      <c r="A114" t="s">
        <v>255</v>
      </c>
      <c r="B114" s="13" t="s">
        <v>256</v>
      </c>
      <c r="C114" t="s">
        <v>15</v>
      </c>
      <c r="D114" t="s">
        <v>32</v>
      </c>
      <c r="E114" t="s">
        <v>17</v>
      </c>
      <c r="F114" s="13" t="s">
        <v>265</v>
      </c>
      <c r="G114" t="s">
        <v>19</v>
      </c>
      <c r="H114" t="s">
        <v>20</v>
      </c>
      <c r="I114" t="s">
        <v>266</v>
      </c>
      <c r="J114" t="s">
        <v>22</v>
      </c>
      <c r="K114" t="str">
        <f t="shared" si="2"/>
        <v>A</v>
      </c>
      <c r="L114" t="s">
        <v>22</v>
      </c>
      <c r="M114">
        <f t="shared" si="3"/>
        <v>1</v>
      </c>
    </row>
    <row r="115" ht="18" customHeight="1" spans="1:13">
      <c r="A115" t="s">
        <v>255</v>
      </c>
      <c r="B115" s="13" t="s">
        <v>256</v>
      </c>
      <c r="C115" t="s">
        <v>15</v>
      </c>
      <c r="D115" t="s">
        <v>32</v>
      </c>
      <c r="E115" t="s">
        <v>23</v>
      </c>
      <c r="F115" s="13" t="s">
        <v>267</v>
      </c>
      <c r="G115" t="s">
        <v>19</v>
      </c>
      <c r="H115" t="s">
        <v>20</v>
      </c>
      <c r="I115" t="s">
        <v>268</v>
      </c>
      <c r="J115" t="s">
        <v>26</v>
      </c>
      <c r="K115" t="str">
        <f t="shared" si="2"/>
        <v>A</v>
      </c>
      <c r="L115" t="s">
        <v>22</v>
      </c>
      <c r="M115">
        <f t="shared" si="3"/>
        <v>1</v>
      </c>
    </row>
    <row r="116" ht="18" customHeight="1" spans="1:13">
      <c r="A116" t="s">
        <v>255</v>
      </c>
      <c r="B116" s="13" t="s">
        <v>256</v>
      </c>
      <c r="C116" t="s">
        <v>37</v>
      </c>
      <c r="D116" t="s">
        <v>16</v>
      </c>
      <c r="E116" t="s">
        <v>17</v>
      </c>
      <c r="F116" s="13" t="s">
        <v>269</v>
      </c>
      <c r="G116" t="s">
        <v>19</v>
      </c>
      <c r="H116" t="s">
        <v>20</v>
      </c>
      <c r="I116" t="s">
        <v>270</v>
      </c>
      <c r="J116" t="s">
        <v>22</v>
      </c>
      <c r="K116" t="str">
        <f t="shared" si="2"/>
        <v>A</v>
      </c>
      <c r="L116" t="s">
        <v>22</v>
      </c>
      <c r="M116">
        <f t="shared" si="3"/>
        <v>1</v>
      </c>
    </row>
    <row r="117" ht="18" customHeight="1" spans="1:13">
      <c r="A117" t="s">
        <v>255</v>
      </c>
      <c r="B117" s="13" t="s">
        <v>256</v>
      </c>
      <c r="C117" t="s">
        <v>37</v>
      </c>
      <c r="D117" t="s">
        <v>16</v>
      </c>
      <c r="E117" t="s">
        <v>23</v>
      </c>
      <c r="F117" s="13" t="s">
        <v>271</v>
      </c>
      <c r="G117" t="s">
        <v>19</v>
      </c>
      <c r="H117" t="s">
        <v>20</v>
      </c>
      <c r="I117" t="s">
        <v>272</v>
      </c>
      <c r="J117" t="s">
        <v>26</v>
      </c>
      <c r="K117" t="str">
        <f t="shared" si="2"/>
        <v>A</v>
      </c>
      <c r="L117" t="s">
        <v>22</v>
      </c>
      <c r="M117">
        <f t="shared" si="3"/>
        <v>1</v>
      </c>
    </row>
    <row r="118" ht="18" customHeight="1" spans="1:13">
      <c r="A118" t="s">
        <v>255</v>
      </c>
      <c r="B118" s="13" t="s">
        <v>256</v>
      </c>
      <c r="C118" t="s">
        <v>37</v>
      </c>
      <c r="D118" t="s">
        <v>27</v>
      </c>
      <c r="E118" t="s">
        <v>17</v>
      </c>
      <c r="F118" s="13" t="s">
        <v>273</v>
      </c>
      <c r="G118" t="s">
        <v>19</v>
      </c>
      <c r="H118" t="s">
        <v>20</v>
      </c>
      <c r="I118" t="s">
        <v>274</v>
      </c>
      <c r="J118" t="s">
        <v>22</v>
      </c>
      <c r="K118" t="str">
        <f t="shared" si="2"/>
        <v>A</v>
      </c>
      <c r="L118" t="s">
        <v>22</v>
      </c>
      <c r="M118">
        <f t="shared" si="3"/>
        <v>1</v>
      </c>
    </row>
    <row r="119" ht="18" customHeight="1" spans="1:13">
      <c r="A119" t="s">
        <v>255</v>
      </c>
      <c r="B119" s="13" t="s">
        <v>256</v>
      </c>
      <c r="C119" t="s">
        <v>37</v>
      </c>
      <c r="D119" t="s">
        <v>27</v>
      </c>
      <c r="E119" t="s">
        <v>23</v>
      </c>
      <c r="F119" s="13" t="s">
        <v>275</v>
      </c>
      <c r="G119" t="s">
        <v>19</v>
      </c>
      <c r="H119" t="s">
        <v>20</v>
      </c>
      <c r="I119" t="s">
        <v>276</v>
      </c>
      <c r="J119" t="s">
        <v>26</v>
      </c>
      <c r="K119" t="str">
        <f t="shared" si="2"/>
        <v>A</v>
      </c>
      <c r="L119" t="s">
        <v>22</v>
      </c>
      <c r="M119">
        <f t="shared" si="3"/>
        <v>1</v>
      </c>
    </row>
    <row r="120" ht="18" customHeight="1" spans="1:13">
      <c r="A120" t="s">
        <v>255</v>
      </c>
      <c r="B120" s="13" t="s">
        <v>256</v>
      </c>
      <c r="C120" t="s">
        <v>37</v>
      </c>
      <c r="D120" t="s">
        <v>32</v>
      </c>
      <c r="E120" t="s">
        <v>17</v>
      </c>
      <c r="F120" s="13" t="s">
        <v>277</v>
      </c>
      <c r="G120" t="s">
        <v>19</v>
      </c>
      <c r="H120" t="s">
        <v>20</v>
      </c>
      <c r="I120" t="s">
        <v>278</v>
      </c>
      <c r="J120" t="s">
        <v>22</v>
      </c>
      <c r="K120" t="str">
        <f t="shared" si="2"/>
        <v>A</v>
      </c>
      <c r="L120" t="s">
        <v>22</v>
      </c>
      <c r="M120">
        <f t="shared" si="3"/>
        <v>1</v>
      </c>
    </row>
    <row r="121" ht="18" customHeight="1" spans="1:13">
      <c r="A121" t="s">
        <v>255</v>
      </c>
      <c r="B121" s="13" t="s">
        <v>256</v>
      </c>
      <c r="C121" t="s">
        <v>37</v>
      </c>
      <c r="D121" t="s">
        <v>32</v>
      </c>
      <c r="E121" t="s">
        <v>23</v>
      </c>
      <c r="F121" s="13" t="s">
        <v>279</v>
      </c>
      <c r="G121" t="s">
        <v>19</v>
      </c>
      <c r="H121" t="s">
        <v>20</v>
      </c>
      <c r="I121" t="s">
        <v>280</v>
      </c>
      <c r="J121" t="s">
        <v>26</v>
      </c>
      <c r="K121" t="str">
        <f t="shared" si="2"/>
        <v>A</v>
      </c>
      <c r="L121" t="s">
        <v>22</v>
      </c>
      <c r="M121">
        <f t="shared" si="3"/>
        <v>1</v>
      </c>
    </row>
    <row r="122" ht="18" customHeight="1" spans="1:13">
      <c r="A122" t="s">
        <v>255</v>
      </c>
      <c r="B122" s="13" t="s">
        <v>256</v>
      </c>
      <c r="C122" t="s">
        <v>50</v>
      </c>
      <c r="D122" t="s">
        <v>16</v>
      </c>
      <c r="E122" t="s">
        <v>17</v>
      </c>
      <c r="F122" s="13" t="s">
        <v>281</v>
      </c>
      <c r="G122" t="s">
        <v>19</v>
      </c>
      <c r="H122" t="s">
        <v>20</v>
      </c>
      <c r="I122" t="s">
        <v>282</v>
      </c>
      <c r="J122" t="s">
        <v>26</v>
      </c>
      <c r="K122" t="str">
        <f t="shared" si="2"/>
        <v>C</v>
      </c>
      <c r="L122" t="s">
        <v>77</v>
      </c>
      <c r="M122">
        <f t="shared" si="3"/>
        <v>1</v>
      </c>
    </row>
    <row r="123" ht="18" customHeight="1" spans="1:13">
      <c r="A123" t="s">
        <v>255</v>
      </c>
      <c r="B123" s="13" t="s">
        <v>256</v>
      </c>
      <c r="C123" t="s">
        <v>50</v>
      </c>
      <c r="D123" t="s">
        <v>16</v>
      </c>
      <c r="E123" t="s">
        <v>23</v>
      </c>
      <c r="F123" s="13" t="s">
        <v>283</v>
      </c>
      <c r="G123" t="s">
        <v>19</v>
      </c>
      <c r="H123" t="s">
        <v>20</v>
      </c>
      <c r="I123" t="s">
        <v>284</v>
      </c>
      <c r="J123" t="s">
        <v>22</v>
      </c>
      <c r="K123" t="str">
        <f t="shared" si="2"/>
        <v>C</v>
      </c>
      <c r="L123" t="s">
        <v>77</v>
      </c>
      <c r="M123">
        <f t="shared" si="3"/>
        <v>1</v>
      </c>
    </row>
    <row r="124" ht="18" customHeight="1" spans="1:13">
      <c r="A124" t="s">
        <v>255</v>
      </c>
      <c r="B124" s="13" t="s">
        <v>256</v>
      </c>
      <c r="C124" t="s">
        <v>50</v>
      </c>
      <c r="D124" t="s">
        <v>27</v>
      </c>
      <c r="E124" t="s">
        <v>17</v>
      </c>
      <c r="F124" s="13" t="s">
        <v>285</v>
      </c>
      <c r="G124" t="s">
        <v>19</v>
      </c>
      <c r="H124" t="s">
        <v>20</v>
      </c>
      <c r="I124" t="s">
        <v>286</v>
      </c>
      <c r="J124" t="s">
        <v>77</v>
      </c>
      <c r="K124" t="str">
        <f t="shared" si="2"/>
        <v>D(平局)</v>
      </c>
      <c r="L124" t="s">
        <v>77</v>
      </c>
      <c r="M124">
        <f t="shared" si="3"/>
        <v>0</v>
      </c>
    </row>
    <row r="125" ht="18" customHeight="1" spans="1:13">
      <c r="A125" t="s">
        <v>255</v>
      </c>
      <c r="B125" s="13" t="s">
        <v>256</v>
      </c>
      <c r="C125" t="s">
        <v>50</v>
      </c>
      <c r="D125" t="s">
        <v>27</v>
      </c>
      <c r="E125" t="s">
        <v>23</v>
      </c>
      <c r="F125" s="13" t="s">
        <v>287</v>
      </c>
      <c r="G125" t="s">
        <v>19</v>
      </c>
      <c r="H125" t="s">
        <v>20</v>
      </c>
      <c r="I125" t="s">
        <v>288</v>
      </c>
      <c r="J125" t="s">
        <v>77</v>
      </c>
      <c r="K125" t="str">
        <f t="shared" si="2"/>
        <v>D(平局)</v>
      </c>
      <c r="L125" t="s">
        <v>77</v>
      </c>
      <c r="M125">
        <f t="shared" si="3"/>
        <v>0</v>
      </c>
    </row>
    <row r="126" ht="18" customHeight="1" spans="1:13">
      <c r="A126" t="s">
        <v>255</v>
      </c>
      <c r="B126" s="13" t="s">
        <v>256</v>
      </c>
      <c r="C126" t="s">
        <v>50</v>
      </c>
      <c r="D126" t="s">
        <v>32</v>
      </c>
      <c r="E126" t="s">
        <v>17</v>
      </c>
      <c r="F126" s="13" t="s">
        <v>289</v>
      </c>
      <c r="G126" t="s">
        <v>19</v>
      </c>
      <c r="H126" t="s">
        <v>20</v>
      </c>
      <c r="I126" t="s">
        <v>290</v>
      </c>
      <c r="J126" t="s">
        <v>77</v>
      </c>
      <c r="K126" t="str">
        <f t="shared" si="2"/>
        <v>D(平局)</v>
      </c>
      <c r="L126" t="s">
        <v>77</v>
      </c>
      <c r="M126">
        <f t="shared" si="3"/>
        <v>0</v>
      </c>
    </row>
    <row r="127" ht="18" customHeight="1" spans="1:13">
      <c r="A127" t="s">
        <v>255</v>
      </c>
      <c r="B127" s="13" t="s">
        <v>256</v>
      </c>
      <c r="C127" t="s">
        <v>50</v>
      </c>
      <c r="D127" t="s">
        <v>32</v>
      </c>
      <c r="E127" t="s">
        <v>23</v>
      </c>
      <c r="F127" s="13" t="s">
        <v>291</v>
      </c>
      <c r="G127" t="s">
        <v>19</v>
      </c>
      <c r="H127" t="s">
        <v>20</v>
      </c>
      <c r="I127" t="s">
        <v>292</v>
      </c>
      <c r="J127" t="s">
        <v>22</v>
      </c>
      <c r="K127" t="str">
        <f t="shared" si="2"/>
        <v>C</v>
      </c>
      <c r="L127" t="s">
        <v>77</v>
      </c>
      <c r="M127">
        <f t="shared" si="3"/>
        <v>1</v>
      </c>
    </row>
    <row r="128" ht="18" customHeight="1" spans="1:13">
      <c r="A128" t="s">
        <v>293</v>
      </c>
      <c r="B128" s="13" t="s">
        <v>294</v>
      </c>
      <c r="C128" t="s">
        <v>15</v>
      </c>
      <c r="D128" t="s">
        <v>16</v>
      </c>
      <c r="E128" t="s">
        <v>17</v>
      </c>
      <c r="F128" s="13" t="s">
        <v>295</v>
      </c>
      <c r="G128" t="s">
        <v>19</v>
      </c>
      <c r="H128" t="s">
        <v>20</v>
      </c>
      <c r="I128" t="s">
        <v>296</v>
      </c>
      <c r="J128" t="s">
        <v>77</v>
      </c>
      <c r="K128" t="str">
        <f t="shared" si="2"/>
        <v>D(平局)</v>
      </c>
      <c r="L128" t="s">
        <v>22</v>
      </c>
      <c r="M128">
        <f t="shared" si="3"/>
        <v>0</v>
      </c>
    </row>
    <row r="129" ht="18" customHeight="1" spans="1:13">
      <c r="A129" t="s">
        <v>293</v>
      </c>
      <c r="B129" s="13" t="s">
        <v>294</v>
      </c>
      <c r="C129" t="s">
        <v>15</v>
      </c>
      <c r="D129" t="s">
        <v>16</v>
      </c>
      <c r="E129" t="s">
        <v>23</v>
      </c>
      <c r="F129" s="13" t="s">
        <v>297</v>
      </c>
      <c r="G129" t="s">
        <v>19</v>
      </c>
      <c r="H129" t="s">
        <v>20</v>
      </c>
      <c r="I129" t="s">
        <v>298</v>
      </c>
      <c r="J129" t="s">
        <v>22</v>
      </c>
      <c r="K129" t="str">
        <f t="shared" si="2"/>
        <v>B</v>
      </c>
      <c r="L129" t="s">
        <v>22</v>
      </c>
      <c r="M129">
        <f t="shared" si="3"/>
        <v>0</v>
      </c>
    </row>
    <row r="130" ht="18" customHeight="1" spans="1:13">
      <c r="A130" t="s">
        <v>293</v>
      </c>
      <c r="B130" s="13" t="s">
        <v>294</v>
      </c>
      <c r="C130" t="s">
        <v>15</v>
      </c>
      <c r="D130" t="s">
        <v>27</v>
      </c>
      <c r="E130" t="s">
        <v>17</v>
      </c>
      <c r="F130" s="13" t="s">
        <v>299</v>
      </c>
      <c r="G130" t="s">
        <v>19</v>
      </c>
      <c r="H130" t="s">
        <v>20</v>
      </c>
      <c r="I130" t="s">
        <v>300</v>
      </c>
      <c r="J130" t="s">
        <v>26</v>
      </c>
      <c r="K130" t="str">
        <f t="shared" ref="K130:K193" si="4">IF(OR(J130="",C130="",E130=""),"",IF(J130="C","D(平局)",IF(J130=IF(E130="l2r","A","B"),LEFT(C130,1),RIGHT(C130,1))))</f>
        <v>B</v>
      </c>
      <c r="L130" t="s">
        <v>22</v>
      </c>
      <c r="M130">
        <f t="shared" si="3"/>
        <v>0</v>
      </c>
    </row>
    <row r="131" ht="18" customHeight="1" spans="1:13">
      <c r="A131" t="s">
        <v>293</v>
      </c>
      <c r="B131" s="13" t="s">
        <v>294</v>
      </c>
      <c r="C131" t="s">
        <v>15</v>
      </c>
      <c r="D131" t="s">
        <v>27</v>
      </c>
      <c r="E131" t="s">
        <v>23</v>
      </c>
      <c r="F131" s="13" t="s">
        <v>301</v>
      </c>
      <c r="G131" t="s">
        <v>19</v>
      </c>
      <c r="H131" t="s">
        <v>20</v>
      </c>
      <c r="I131" t="s">
        <v>302</v>
      </c>
      <c r="J131" t="s">
        <v>22</v>
      </c>
      <c r="K131" t="str">
        <f t="shared" si="4"/>
        <v>B</v>
      </c>
      <c r="L131" t="s">
        <v>22</v>
      </c>
      <c r="M131">
        <f t="shared" ref="M131:M194" si="5">IF(OR(K131="",L131=""),"",--(K131=L131))</f>
        <v>0</v>
      </c>
    </row>
    <row r="132" ht="18" customHeight="1" spans="1:13">
      <c r="A132" t="s">
        <v>293</v>
      </c>
      <c r="B132" s="13" t="s">
        <v>294</v>
      </c>
      <c r="C132" t="s">
        <v>15</v>
      </c>
      <c r="D132" t="s">
        <v>32</v>
      </c>
      <c r="E132" t="s">
        <v>17</v>
      </c>
      <c r="F132" s="13" t="s">
        <v>303</v>
      </c>
      <c r="G132" t="s">
        <v>19</v>
      </c>
      <c r="H132" t="s">
        <v>20</v>
      </c>
      <c r="I132" t="s">
        <v>304</v>
      </c>
      <c r="J132" t="s">
        <v>26</v>
      </c>
      <c r="K132" t="str">
        <f t="shared" si="4"/>
        <v>B</v>
      </c>
      <c r="L132" t="s">
        <v>22</v>
      </c>
      <c r="M132">
        <f t="shared" si="5"/>
        <v>0</v>
      </c>
    </row>
    <row r="133" ht="18" customHeight="1" spans="1:13">
      <c r="A133" t="s">
        <v>293</v>
      </c>
      <c r="B133" s="13" t="s">
        <v>294</v>
      </c>
      <c r="C133" t="s">
        <v>15</v>
      </c>
      <c r="D133" t="s">
        <v>32</v>
      </c>
      <c r="E133" t="s">
        <v>23</v>
      </c>
      <c r="F133" s="13" t="s">
        <v>305</v>
      </c>
      <c r="G133" t="s">
        <v>19</v>
      </c>
      <c r="H133" t="s">
        <v>20</v>
      </c>
      <c r="I133" t="s">
        <v>306</v>
      </c>
      <c r="J133" t="s">
        <v>26</v>
      </c>
      <c r="K133" t="str">
        <f t="shared" si="4"/>
        <v>A</v>
      </c>
      <c r="L133" t="s">
        <v>22</v>
      </c>
      <c r="M133">
        <f t="shared" si="5"/>
        <v>1</v>
      </c>
    </row>
    <row r="134" ht="18" customHeight="1" spans="1:13">
      <c r="A134" t="s">
        <v>293</v>
      </c>
      <c r="B134" s="13" t="s">
        <v>294</v>
      </c>
      <c r="C134" t="s">
        <v>37</v>
      </c>
      <c r="D134" t="s">
        <v>16</v>
      </c>
      <c r="E134" t="s">
        <v>17</v>
      </c>
      <c r="F134" s="13" t="s">
        <v>307</v>
      </c>
      <c r="G134" t="s">
        <v>19</v>
      </c>
      <c r="H134" t="s">
        <v>20</v>
      </c>
      <c r="I134" t="s">
        <v>308</v>
      </c>
      <c r="J134" t="s">
        <v>22</v>
      </c>
      <c r="K134" t="str">
        <f t="shared" si="4"/>
        <v>A</v>
      </c>
      <c r="L134" t="s">
        <v>22</v>
      </c>
      <c r="M134">
        <f t="shared" si="5"/>
        <v>1</v>
      </c>
    </row>
    <row r="135" ht="18" customHeight="1" spans="1:13">
      <c r="A135" t="s">
        <v>293</v>
      </c>
      <c r="B135" s="13" t="s">
        <v>294</v>
      </c>
      <c r="C135" t="s">
        <v>37</v>
      </c>
      <c r="D135" t="s">
        <v>16</v>
      </c>
      <c r="E135" t="s">
        <v>23</v>
      </c>
      <c r="F135" s="13" t="s">
        <v>309</v>
      </c>
      <c r="G135" t="s">
        <v>19</v>
      </c>
      <c r="H135" t="s">
        <v>20</v>
      </c>
      <c r="I135" t="s">
        <v>310</v>
      </c>
      <c r="J135" t="s">
        <v>26</v>
      </c>
      <c r="K135" t="str">
        <f t="shared" si="4"/>
        <v>A</v>
      </c>
      <c r="L135" t="s">
        <v>22</v>
      </c>
      <c r="M135">
        <f t="shared" si="5"/>
        <v>1</v>
      </c>
    </row>
    <row r="136" ht="18" customHeight="1" spans="1:13">
      <c r="A136" t="s">
        <v>293</v>
      </c>
      <c r="B136" s="13" t="s">
        <v>294</v>
      </c>
      <c r="C136" t="s">
        <v>37</v>
      </c>
      <c r="D136" t="s">
        <v>27</v>
      </c>
      <c r="E136" t="s">
        <v>17</v>
      </c>
      <c r="F136" s="13" t="s">
        <v>311</v>
      </c>
      <c r="G136" t="s">
        <v>19</v>
      </c>
      <c r="H136" t="s">
        <v>20</v>
      </c>
      <c r="I136" t="s">
        <v>312</v>
      </c>
      <c r="J136" t="s">
        <v>22</v>
      </c>
      <c r="K136" t="str">
        <f t="shared" si="4"/>
        <v>A</v>
      </c>
      <c r="L136" t="s">
        <v>22</v>
      </c>
      <c r="M136">
        <f t="shared" si="5"/>
        <v>1</v>
      </c>
    </row>
    <row r="137" ht="18" customHeight="1" spans="1:13">
      <c r="A137" t="s">
        <v>293</v>
      </c>
      <c r="B137" s="13" t="s">
        <v>294</v>
      </c>
      <c r="C137" t="s">
        <v>37</v>
      </c>
      <c r="D137" t="s">
        <v>27</v>
      </c>
      <c r="E137" t="s">
        <v>23</v>
      </c>
      <c r="F137" s="13" t="s">
        <v>313</v>
      </c>
      <c r="G137" t="s">
        <v>19</v>
      </c>
      <c r="H137" t="s">
        <v>20</v>
      </c>
      <c r="I137" t="s">
        <v>314</v>
      </c>
      <c r="J137" t="s">
        <v>26</v>
      </c>
      <c r="K137" t="str">
        <f t="shared" si="4"/>
        <v>A</v>
      </c>
      <c r="L137" t="s">
        <v>22</v>
      </c>
      <c r="M137">
        <f t="shared" si="5"/>
        <v>1</v>
      </c>
    </row>
    <row r="138" ht="18" customHeight="1" spans="1:13">
      <c r="A138" t="s">
        <v>293</v>
      </c>
      <c r="B138" s="13" t="s">
        <v>294</v>
      </c>
      <c r="C138" t="s">
        <v>37</v>
      </c>
      <c r="D138" t="s">
        <v>32</v>
      </c>
      <c r="E138" t="s">
        <v>17</v>
      </c>
      <c r="F138" s="13" t="s">
        <v>315</v>
      </c>
      <c r="G138" t="s">
        <v>19</v>
      </c>
      <c r="H138" t="s">
        <v>20</v>
      </c>
      <c r="I138" t="s">
        <v>316</v>
      </c>
      <c r="J138" t="s">
        <v>22</v>
      </c>
      <c r="K138" t="str">
        <f t="shared" si="4"/>
        <v>A</v>
      </c>
      <c r="L138" t="s">
        <v>22</v>
      </c>
      <c r="M138">
        <f t="shared" si="5"/>
        <v>1</v>
      </c>
    </row>
    <row r="139" ht="18" customHeight="1" spans="1:13">
      <c r="A139" t="s">
        <v>293</v>
      </c>
      <c r="B139" s="13" t="s">
        <v>294</v>
      </c>
      <c r="C139" t="s">
        <v>37</v>
      </c>
      <c r="D139" t="s">
        <v>32</v>
      </c>
      <c r="E139" t="s">
        <v>23</v>
      </c>
      <c r="F139" s="13" t="s">
        <v>317</v>
      </c>
      <c r="G139" t="s">
        <v>19</v>
      </c>
      <c r="H139" t="s">
        <v>20</v>
      </c>
      <c r="I139" t="s">
        <v>318</v>
      </c>
      <c r="J139" t="s">
        <v>26</v>
      </c>
      <c r="K139" t="str">
        <f t="shared" si="4"/>
        <v>A</v>
      </c>
      <c r="L139" t="s">
        <v>22</v>
      </c>
      <c r="M139">
        <f t="shared" si="5"/>
        <v>1</v>
      </c>
    </row>
    <row r="140" ht="18" customHeight="1" spans="1:13">
      <c r="A140" t="s">
        <v>293</v>
      </c>
      <c r="B140" s="13" t="s">
        <v>294</v>
      </c>
      <c r="C140" t="s">
        <v>50</v>
      </c>
      <c r="D140" t="s">
        <v>16</v>
      </c>
      <c r="E140" t="s">
        <v>17</v>
      </c>
      <c r="F140" s="13" t="s">
        <v>319</v>
      </c>
      <c r="G140" t="s">
        <v>19</v>
      </c>
      <c r="H140" t="s">
        <v>20</v>
      </c>
      <c r="I140" t="s">
        <v>320</v>
      </c>
      <c r="J140" t="s">
        <v>22</v>
      </c>
      <c r="K140" t="str">
        <f t="shared" si="4"/>
        <v>B</v>
      </c>
      <c r="L140" t="s">
        <v>26</v>
      </c>
      <c r="M140">
        <f t="shared" si="5"/>
        <v>1</v>
      </c>
    </row>
    <row r="141" ht="18" customHeight="1" spans="1:13">
      <c r="A141" t="s">
        <v>293</v>
      </c>
      <c r="B141" s="13" t="s">
        <v>294</v>
      </c>
      <c r="C141" t="s">
        <v>50</v>
      </c>
      <c r="D141" t="s">
        <v>16</v>
      </c>
      <c r="E141" t="s">
        <v>23</v>
      </c>
      <c r="F141" s="13" t="s">
        <v>321</v>
      </c>
      <c r="G141" t="s">
        <v>19</v>
      </c>
      <c r="H141" t="s">
        <v>20</v>
      </c>
      <c r="I141" t="s">
        <v>322</v>
      </c>
      <c r="J141" t="s">
        <v>26</v>
      </c>
      <c r="K141" t="str">
        <f t="shared" si="4"/>
        <v>B</v>
      </c>
      <c r="L141" t="s">
        <v>26</v>
      </c>
      <c r="M141">
        <f t="shared" si="5"/>
        <v>1</v>
      </c>
    </row>
    <row r="142" ht="18" customHeight="1" spans="1:13">
      <c r="A142" t="s">
        <v>293</v>
      </c>
      <c r="B142" s="13" t="s">
        <v>294</v>
      </c>
      <c r="C142" t="s">
        <v>50</v>
      </c>
      <c r="D142" t="s">
        <v>27</v>
      </c>
      <c r="E142" t="s">
        <v>17</v>
      </c>
      <c r="F142" s="13" t="s">
        <v>323</v>
      </c>
      <c r="G142" t="s">
        <v>19</v>
      </c>
      <c r="H142" t="s">
        <v>20</v>
      </c>
      <c r="I142" t="s">
        <v>324</v>
      </c>
      <c r="J142" t="s">
        <v>22</v>
      </c>
      <c r="K142" t="str">
        <f t="shared" si="4"/>
        <v>B</v>
      </c>
      <c r="L142" t="s">
        <v>26</v>
      </c>
      <c r="M142">
        <f t="shared" si="5"/>
        <v>1</v>
      </c>
    </row>
    <row r="143" ht="18" customHeight="1" spans="1:13">
      <c r="A143" t="s">
        <v>293</v>
      </c>
      <c r="B143" s="13" t="s">
        <v>294</v>
      </c>
      <c r="C143" t="s">
        <v>50</v>
      </c>
      <c r="D143" t="s">
        <v>27</v>
      </c>
      <c r="E143" t="s">
        <v>23</v>
      </c>
      <c r="F143" s="13" t="s">
        <v>325</v>
      </c>
      <c r="G143" t="s">
        <v>19</v>
      </c>
      <c r="H143" t="s">
        <v>20</v>
      </c>
      <c r="I143" t="s">
        <v>326</v>
      </c>
      <c r="J143" t="s">
        <v>26</v>
      </c>
      <c r="K143" t="str">
        <f t="shared" si="4"/>
        <v>B</v>
      </c>
      <c r="L143" t="s">
        <v>26</v>
      </c>
      <c r="M143">
        <f t="shared" si="5"/>
        <v>1</v>
      </c>
    </row>
    <row r="144" ht="18" customHeight="1" spans="1:13">
      <c r="A144" t="s">
        <v>293</v>
      </c>
      <c r="B144" s="13" t="s">
        <v>294</v>
      </c>
      <c r="C144" t="s">
        <v>50</v>
      </c>
      <c r="D144" t="s">
        <v>32</v>
      </c>
      <c r="E144" t="s">
        <v>17</v>
      </c>
      <c r="F144" s="13" t="s">
        <v>327</v>
      </c>
      <c r="G144" t="s">
        <v>19</v>
      </c>
      <c r="H144" t="s">
        <v>20</v>
      </c>
      <c r="I144" t="s">
        <v>328</v>
      </c>
      <c r="J144" t="s">
        <v>22</v>
      </c>
      <c r="K144" t="str">
        <f t="shared" si="4"/>
        <v>B</v>
      </c>
      <c r="L144" t="s">
        <v>26</v>
      </c>
      <c r="M144">
        <f t="shared" si="5"/>
        <v>1</v>
      </c>
    </row>
    <row r="145" ht="18" customHeight="1" spans="1:13">
      <c r="A145" t="s">
        <v>293</v>
      </c>
      <c r="B145" s="13" t="s">
        <v>294</v>
      </c>
      <c r="C145" t="s">
        <v>50</v>
      </c>
      <c r="D145" t="s">
        <v>32</v>
      </c>
      <c r="E145" t="s">
        <v>23</v>
      </c>
      <c r="F145" s="13" t="s">
        <v>329</v>
      </c>
      <c r="G145" t="s">
        <v>19</v>
      </c>
      <c r="H145" t="s">
        <v>20</v>
      </c>
      <c r="I145" t="s">
        <v>330</v>
      </c>
      <c r="J145" t="s">
        <v>26</v>
      </c>
      <c r="K145" t="str">
        <f t="shared" si="4"/>
        <v>B</v>
      </c>
      <c r="L145" t="s">
        <v>26</v>
      </c>
      <c r="M145">
        <f t="shared" si="5"/>
        <v>1</v>
      </c>
    </row>
    <row r="146" ht="18" customHeight="1" spans="1:13">
      <c r="A146" t="s">
        <v>331</v>
      </c>
      <c r="B146" s="13" t="s">
        <v>332</v>
      </c>
      <c r="C146" t="s">
        <v>15</v>
      </c>
      <c r="D146" t="s">
        <v>16</v>
      </c>
      <c r="E146" t="s">
        <v>17</v>
      </c>
      <c r="F146" s="13" t="s">
        <v>333</v>
      </c>
      <c r="G146" t="s">
        <v>19</v>
      </c>
      <c r="H146" t="s">
        <v>20</v>
      </c>
      <c r="I146" t="s">
        <v>334</v>
      </c>
      <c r="J146" t="s">
        <v>26</v>
      </c>
      <c r="K146" t="str">
        <f t="shared" si="4"/>
        <v>B</v>
      </c>
      <c r="L146" t="s">
        <v>106</v>
      </c>
      <c r="M146">
        <f t="shared" si="5"/>
        <v>0</v>
      </c>
    </row>
    <row r="147" ht="18" customHeight="1" spans="1:13">
      <c r="A147" t="s">
        <v>331</v>
      </c>
      <c r="B147" s="13" t="s">
        <v>332</v>
      </c>
      <c r="C147" t="s">
        <v>15</v>
      </c>
      <c r="D147" t="s">
        <v>16</v>
      </c>
      <c r="E147" t="s">
        <v>23</v>
      </c>
      <c r="F147" s="13" t="s">
        <v>335</v>
      </c>
      <c r="G147" t="s">
        <v>19</v>
      </c>
      <c r="H147" t="s">
        <v>20</v>
      </c>
      <c r="I147" t="s">
        <v>336</v>
      </c>
      <c r="J147" t="s">
        <v>22</v>
      </c>
      <c r="K147" t="str">
        <f t="shared" si="4"/>
        <v>B</v>
      </c>
      <c r="L147" t="s">
        <v>106</v>
      </c>
      <c r="M147">
        <f t="shared" si="5"/>
        <v>0</v>
      </c>
    </row>
    <row r="148" ht="18" customHeight="1" spans="1:13">
      <c r="A148" t="s">
        <v>331</v>
      </c>
      <c r="B148" s="13" t="s">
        <v>332</v>
      </c>
      <c r="C148" t="s">
        <v>15</v>
      </c>
      <c r="D148" t="s">
        <v>27</v>
      </c>
      <c r="E148" t="s">
        <v>17</v>
      </c>
      <c r="F148" s="13" t="s">
        <v>337</v>
      </c>
      <c r="G148" t="s">
        <v>19</v>
      </c>
      <c r="H148" t="s">
        <v>20</v>
      </c>
      <c r="I148" t="s">
        <v>338</v>
      </c>
      <c r="J148" t="s">
        <v>26</v>
      </c>
      <c r="K148" t="str">
        <f t="shared" si="4"/>
        <v>B</v>
      </c>
      <c r="L148" t="s">
        <v>106</v>
      </c>
      <c r="M148">
        <f t="shared" si="5"/>
        <v>0</v>
      </c>
    </row>
    <row r="149" ht="18" customHeight="1" spans="1:13">
      <c r="A149" t="s">
        <v>331</v>
      </c>
      <c r="B149" s="13" t="s">
        <v>332</v>
      </c>
      <c r="C149" t="s">
        <v>15</v>
      </c>
      <c r="D149" t="s">
        <v>27</v>
      </c>
      <c r="E149" t="s">
        <v>23</v>
      </c>
      <c r="F149" s="13" t="s">
        <v>339</v>
      </c>
      <c r="G149" t="s">
        <v>19</v>
      </c>
      <c r="H149" t="s">
        <v>20</v>
      </c>
      <c r="I149" t="s">
        <v>340</v>
      </c>
      <c r="J149" t="s">
        <v>22</v>
      </c>
      <c r="K149" t="str">
        <f t="shared" si="4"/>
        <v>B</v>
      </c>
      <c r="L149" t="s">
        <v>106</v>
      </c>
      <c r="M149">
        <f t="shared" si="5"/>
        <v>0</v>
      </c>
    </row>
    <row r="150" ht="18" customHeight="1" spans="1:13">
      <c r="A150" t="s">
        <v>331</v>
      </c>
      <c r="B150" s="13" t="s">
        <v>332</v>
      </c>
      <c r="C150" t="s">
        <v>15</v>
      </c>
      <c r="D150" t="s">
        <v>32</v>
      </c>
      <c r="E150" t="s">
        <v>17</v>
      </c>
      <c r="F150" s="13" t="s">
        <v>341</v>
      </c>
      <c r="G150" t="s">
        <v>19</v>
      </c>
      <c r="H150" t="s">
        <v>20</v>
      </c>
      <c r="I150" t="s">
        <v>342</v>
      </c>
      <c r="J150" t="s">
        <v>26</v>
      </c>
      <c r="K150" t="str">
        <f t="shared" si="4"/>
        <v>B</v>
      </c>
      <c r="L150" t="s">
        <v>106</v>
      </c>
      <c r="M150">
        <f t="shared" si="5"/>
        <v>0</v>
      </c>
    </row>
    <row r="151" ht="18" customHeight="1" spans="1:13">
      <c r="A151" t="s">
        <v>331</v>
      </c>
      <c r="B151" s="13" t="s">
        <v>332</v>
      </c>
      <c r="C151" t="s">
        <v>15</v>
      </c>
      <c r="D151" t="s">
        <v>32</v>
      </c>
      <c r="E151" t="s">
        <v>23</v>
      </c>
      <c r="F151" s="13" t="s">
        <v>343</v>
      </c>
      <c r="G151" t="s">
        <v>19</v>
      </c>
      <c r="H151" t="s">
        <v>20</v>
      </c>
      <c r="I151" t="s">
        <v>344</v>
      </c>
      <c r="J151" t="s">
        <v>22</v>
      </c>
      <c r="K151" t="str">
        <f t="shared" si="4"/>
        <v>B</v>
      </c>
      <c r="L151" t="s">
        <v>106</v>
      </c>
      <c r="M151">
        <f t="shared" si="5"/>
        <v>0</v>
      </c>
    </row>
    <row r="152" ht="18" customHeight="1" spans="1:13">
      <c r="A152" t="s">
        <v>331</v>
      </c>
      <c r="B152" s="13" t="s">
        <v>332</v>
      </c>
      <c r="C152" t="s">
        <v>37</v>
      </c>
      <c r="D152" t="s">
        <v>16</v>
      </c>
      <c r="E152" t="s">
        <v>17</v>
      </c>
      <c r="F152" s="13" t="s">
        <v>345</v>
      </c>
      <c r="G152" t="s">
        <v>19</v>
      </c>
      <c r="H152" t="s">
        <v>20</v>
      </c>
      <c r="I152" t="s">
        <v>346</v>
      </c>
      <c r="J152" t="s">
        <v>22</v>
      </c>
      <c r="K152" t="str">
        <f t="shared" si="4"/>
        <v>A</v>
      </c>
      <c r="L152" t="s">
        <v>22</v>
      </c>
      <c r="M152">
        <f t="shared" si="5"/>
        <v>1</v>
      </c>
    </row>
    <row r="153" ht="18" customHeight="1" spans="1:13">
      <c r="A153" t="s">
        <v>331</v>
      </c>
      <c r="B153" s="13" t="s">
        <v>332</v>
      </c>
      <c r="C153" t="s">
        <v>37</v>
      </c>
      <c r="D153" t="s">
        <v>16</v>
      </c>
      <c r="E153" t="s">
        <v>23</v>
      </c>
      <c r="F153" s="13" t="s">
        <v>347</v>
      </c>
      <c r="G153" t="s">
        <v>19</v>
      </c>
      <c r="H153" t="s">
        <v>20</v>
      </c>
      <c r="I153" t="s">
        <v>348</v>
      </c>
      <c r="J153" t="s">
        <v>26</v>
      </c>
      <c r="K153" t="str">
        <f t="shared" si="4"/>
        <v>A</v>
      </c>
      <c r="L153" t="s">
        <v>22</v>
      </c>
      <c r="M153">
        <f t="shared" si="5"/>
        <v>1</v>
      </c>
    </row>
    <row r="154" ht="18" customHeight="1" spans="1:13">
      <c r="A154" t="s">
        <v>331</v>
      </c>
      <c r="B154" s="13" t="s">
        <v>332</v>
      </c>
      <c r="C154" t="s">
        <v>37</v>
      </c>
      <c r="D154" t="s">
        <v>27</v>
      </c>
      <c r="E154" t="s">
        <v>17</v>
      </c>
      <c r="F154" s="13" t="s">
        <v>349</v>
      </c>
      <c r="G154" t="s">
        <v>19</v>
      </c>
      <c r="H154" t="s">
        <v>20</v>
      </c>
      <c r="I154" t="s">
        <v>350</v>
      </c>
      <c r="J154" t="s">
        <v>22</v>
      </c>
      <c r="K154" t="str">
        <f t="shared" si="4"/>
        <v>A</v>
      </c>
      <c r="L154" t="s">
        <v>22</v>
      </c>
      <c r="M154">
        <f t="shared" si="5"/>
        <v>1</v>
      </c>
    </row>
    <row r="155" ht="18" customHeight="1" spans="1:13">
      <c r="A155" t="s">
        <v>331</v>
      </c>
      <c r="B155" s="13" t="s">
        <v>332</v>
      </c>
      <c r="C155" t="s">
        <v>37</v>
      </c>
      <c r="D155" t="s">
        <v>27</v>
      </c>
      <c r="E155" t="s">
        <v>23</v>
      </c>
      <c r="F155" s="13" t="s">
        <v>351</v>
      </c>
      <c r="G155" t="s">
        <v>19</v>
      </c>
      <c r="H155" t="s">
        <v>20</v>
      </c>
      <c r="I155" t="s">
        <v>352</v>
      </c>
      <c r="J155" t="s">
        <v>26</v>
      </c>
      <c r="K155" t="str">
        <f t="shared" si="4"/>
        <v>A</v>
      </c>
      <c r="L155" t="s">
        <v>22</v>
      </c>
      <c r="M155">
        <f t="shared" si="5"/>
        <v>1</v>
      </c>
    </row>
    <row r="156" ht="18" customHeight="1" spans="1:13">
      <c r="A156" t="s">
        <v>331</v>
      </c>
      <c r="B156" s="13" t="s">
        <v>332</v>
      </c>
      <c r="C156" t="s">
        <v>37</v>
      </c>
      <c r="D156" t="s">
        <v>32</v>
      </c>
      <c r="E156" t="s">
        <v>17</v>
      </c>
      <c r="F156" s="13" t="s">
        <v>353</v>
      </c>
      <c r="G156" t="s">
        <v>19</v>
      </c>
      <c r="H156" t="s">
        <v>20</v>
      </c>
      <c r="I156" t="s">
        <v>354</v>
      </c>
      <c r="J156" t="s">
        <v>22</v>
      </c>
      <c r="K156" t="str">
        <f t="shared" si="4"/>
        <v>A</v>
      </c>
      <c r="L156" t="s">
        <v>22</v>
      </c>
      <c r="M156">
        <f t="shared" si="5"/>
        <v>1</v>
      </c>
    </row>
    <row r="157" ht="18" customHeight="1" spans="1:13">
      <c r="A157" t="s">
        <v>331</v>
      </c>
      <c r="B157" s="13" t="s">
        <v>332</v>
      </c>
      <c r="C157" t="s">
        <v>37</v>
      </c>
      <c r="D157" t="s">
        <v>32</v>
      </c>
      <c r="E157" t="s">
        <v>23</v>
      </c>
      <c r="F157" s="13" t="s">
        <v>355</v>
      </c>
      <c r="G157" t="s">
        <v>19</v>
      </c>
      <c r="H157" t="s">
        <v>20</v>
      </c>
      <c r="I157" t="s">
        <v>356</v>
      </c>
      <c r="J157" t="s">
        <v>26</v>
      </c>
      <c r="K157" t="str">
        <f t="shared" si="4"/>
        <v>A</v>
      </c>
      <c r="L157" t="s">
        <v>22</v>
      </c>
      <c r="M157">
        <f t="shared" si="5"/>
        <v>1</v>
      </c>
    </row>
    <row r="158" ht="18" customHeight="1" spans="1:13">
      <c r="A158" t="s">
        <v>331</v>
      </c>
      <c r="B158" s="13" t="s">
        <v>332</v>
      </c>
      <c r="C158" t="s">
        <v>50</v>
      </c>
      <c r="D158" t="s">
        <v>16</v>
      </c>
      <c r="E158" t="s">
        <v>17</v>
      </c>
      <c r="F158" s="13" t="s">
        <v>357</v>
      </c>
      <c r="G158" t="s">
        <v>19</v>
      </c>
      <c r="H158" t="s">
        <v>20</v>
      </c>
      <c r="I158" t="s">
        <v>358</v>
      </c>
      <c r="J158" t="s">
        <v>22</v>
      </c>
      <c r="K158" t="str">
        <f t="shared" si="4"/>
        <v>B</v>
      </c>
      <c r="L158" t="s">
        <v>26</v>
      </c>
      <c r="M158">
        <f t="shared" si="5"/>
        <v>1</v>
      </c>
    </row>
    <row r="159" ht="18" customHeight="1" spans="1:13">
      <c r="A159" t="s">
        <v>331</v>
      </c>
      <c r="B159" s="13" t="s">
        <v>332</v>
      </c>
      <c r="C159" t="s">
        <v>50</v>
      </c>
      <c r="D159" t="s">
        <v>16</v>
      </c>
      <c r="E159" t="s">
        <v>23</v>
      </c>
      <c r="F159" s="13" t="s">
        <v>359</v>
      </c>
      <c r="G159" t="s">
        <v>19</v>
      </c>
      <c r="H159" t="s">
        <v>20</v>
      </c>
      <c r="I159" t="s">
        <v>360</v>
      </c>
      <c r="J159" t="s">
        <v>26</v>
      </c>
      <c r="K159" t="str">
        <f t="shared" si="4"/>
        <v>B</v>
      </c>
      <c r="L159" t="s">
        <v>26</v>
      </c>
      <c r="M159">
        <f t="shared" si="5"/>
        <v>1</v>
      </c>
    </row>
    <row r="160" ht="18" customHeight="1" spans="1:13">
      <c r="A160" t="s">
        <v>331</v>
      </c>
      <c r="B160" s="13" t="s">
        <v>332</v>
      </c>
      <c r="C160" t="s">
        <v>50</v>
      </c>
      <c r="D160" t="s">
        <v>27</v>
      </c>
      <c r="E160" t="s">
        <v>17</v>
      </c>
      <c r="F160" s="13" t="s">
        <v>361</v>
      </c>
      <c r="G160" t="s">
        <v>19</v>
      </c>
      <c r="H160" t="s">
        <v>20</v>
      </c>
      <c r="I160" t="s">
        <v>362</v>
      </c>
      <c r="J160" t="s">
        <v>22</v>
      </c>
      <c r="K160" t="str">
        <f t="shared" si="4"/>
        <v>B</v>
      </c>
      <c r="L160" t="s">
        <v>26</v>
      </c>
      <c r="M160">
        <f t="shared" si="5"/>
        <v>1</v>
      </c>
    </row>
    <row r="161" ht="18" customHeight="1" spans="1:13">
      <c r="A161" t="s">
        <v>331</v>
      </c>
      <c r="B161" s="13" t="s">
        <v>332</v>
      </c>
      <c r="C161" t="s">
        <v>50</v>
      </c>
      <c r="D161" t="s">
        <v>27</v>
      </c>
      <c r="E161" t="s">
        <v>23</v>
      </c>
      <c r="F161" s="13" t="s">
        <v>363</v>
      </c>
      <c r="G161" t="s">
        <v>19</v>
      </c>
      <c r="H161" t="s">
        <v>20</v>
      </c>
      <c r="I161" t="s">
        <v>364</v>
      </c>
      <c r="J161" t="s">
        <v>26</v>
      </c>
      <c r="K161" t="str">
        <f t="shared" si="4"/>
        <v>B</v>
      </c>
      <c r="L161" t="s">
        <v>26</v>
      </c>
      <c r="M161">
        <f t="shared" si="5"/>
        <v>1</v>
      </c>
    </row>
    <row r="162" ht="18" customHeight="1" spans="1:13">
      <c r="A162" t="s">
        <v>331</v>
      </c>
      <c r="B162" s="13" t="s">
        <v>332</v>
      </c>
      <c r="C162" t="s">
        <v>50</v>
      </c>
      <c r="D162" t="s">
        <v>32</v>
      </c>
      <c r="E162" t="s">
        <v>17</v>
      </c>
      <c r="F162" s="13" t="s">
        <v>365</v>
      </c>
      <c r="G162" t="s">
        <v>19</v>
      </c>
      <c r="H162" t="s">
        <v>20</v>
      </c>
      <c r="I162" t="s">
        <v>366</v>
      </c>
      <c r="J162" t="s">
        <v>22</v>
      </c>
      <c r="K162" t="str">
        <f t="shared" si="4"/>
        <v>B</v>
      </c>
      <c r="L162" t="s">
        <v>26</v>
      </c>
      <c r="M162">
        <f t="shared" si="5"/>
        <v>1</v>
      </c>
    </row>
    <row r="163" ht="18" customHeight="1" spans="1:13">
      <c r="A163" t="s">
        <v>331</v>
      </c>
      <c r="B163" s="13" t="s">
        <v>332</v>
      </c>
      <c r="C163" t="s">
        <v>50</v>
      </c>
      <c r="D163" t="s">
        <v>32</v>
      </c>
      <c r="E163" t="s">
        <v>23</v>
      </c>
      <c r="F163" s="13" t="s">
        <v>367</v>
      </c>
      <c r="G163" t="s">
        <v>19</v>
      </c>
      <c r="H163" t="s">
        <v>20</v>
      </c>
      <c r="I163" t="s">
        <v>368</v>
      </c>
      <c r="J163" t="s">
        <v>26</v>
      </c>
      <c r="K163" t="str">
        <f t="shared" si="4"/>
        <v>B</v>
      </c>
      <c r="L163" t="s">
        <v>26</v>
      </c>
      <c r="M163">
        <f t="shared" si="5"/>
        <v>1</v>
      </c>
    </row>
    <row r="164" ht="18" customHeight="1" spans="1:13">
      <c r="A164" t="s">
        <v>369</v>
      </c>
      <c r="B164" s="13" t="s">
        <v>370</v>
      </c>
      <c r="C164" t="s">
        <v>15</v>
      </c>
      <c r="D164" t="s">
        <v>16</v>
      </c>
      <c r="E164" t="s">
        <v>17</v>
      </c>
      <c r="F164" s="13" t="s">
        <v>371</v>
      </c>
      <c r="G164" t="s">
        <v>19</v>
      </c>
      <c r="H164" t="s">
        <v>20</v>
      </c>
      <c r="I164" t="s">
        <v>372</v>
      </c>
      <c r="J164" t="s">
        <v>26</v>
      </c>
      <c r="K164" t="str">
        <f t="shared" si="4"/>
        <v>B</v>
      </c>
      <c r="L164" t="s">
        <v>26</v>
      </c>
      <c r="M164">
        <f t="shared" si="5"/>
        <v>1</v>
      </c>
    </row>
    <row r="165" ht="18" customHeight="1" spans="1:13">
      <c r="A165" t="s">
        <v>369</v>
      </c>
      <c r="B165" s="13" t="s">
        <v>370</v>
      </c>
      <c r="C165" t="s">
        <v>15</v>
      </c>
      <c r="D165" t="s">
        <v>16</v>
      </c>
      <c r="E165" t="s">
        <v>23</v>
      </c>
      <c r="F165" s="13" t="s">
        <v>373</v>
      </c>
      <c r="G165" t="s">
        <v>19</v>
      </c>
      <c r="H165" t="s">
        <v>20</v>
      </c>
      <c r="I165" t="s">
        <v>374</v>
      </c>
      <c r="J165" t="s">
        <v>22</v>
      </c>
      <c r="K165" t="str">
        <f t="shared" si="4"/>
        <v>B</v>
      </c>
      <c r="L165" t="s">
        <v>26</v>
      </c>
      <c r="M165">
        <f t="shared" si="5"/>
        <v>1</v>
      </c>
    </row>
    <row r="166" ht="18" customHeight="1" spans="1:13">
      <c r="A166" t="s">
        <v>369</v>
      </c>
      <c r="B166" s="13" t="s">
        <v>370</v>
      </c>
      <c r="C166" t="s">
        <v>15</v>
      </c>
      <c r="D166" t="s">
        <v>27</v>
      </c>
      <c r="E166" t="s">
        <v>17</v>
      </c>
      <c r="F166" s="13" t="s">
        <v>375</v>
      </c>
      <c r="G166" t="s">
        <v>19</v>
      </c>
      <c r="H166" t="s">
        <v>20</v>
      </c>
      <c r="I166" t="s">
        <v>376</v>
      </c>
      <c r="J166" t="s">
        <v>26</v>
      </c>
      <c r="K166" t="str">
        <f t="shared" si="4"/>
        <v>B</v>
      </c>
      <c r="L166" t="s">
        <v>26</v>
      </c>
      <c r="M166">
        <f t="shared" si="5"/>
        <v>1</v>
      </c>
    </row>
    <row r="167" ht="18" customHeight="1" spans="1:13">
      <c r="A167" t="s">
        <v>369</v>
      </c>
      <c r="B167" s="13" t="s">
        <v>370</v>
      </c>
      <c r="C167" t="s">
        <v>15</v>
      </c>
      <c r="D167" t="s">
        <v>27</v>
      </c>
      <c r="E167" t="s">
        <v>23</v>
      </c>
      <c r="F167" s="13" t="s">
        <v>377</v>
      </c>
      <c r="G167" t="s">
        <v>19</v>
      </c>
      <c r="H167" t="s">
        <v>20</v>
      </c>
      <c r="I167" t="s">
        <v>378</v>
      </c>
      <c r="J167" t="s">
        <v>22</v>
      </c>
      <c r="K167" t="str">
        <f t="shared" si="4"/>
        <v>B</v>
      </c>
      <c r="L167" t="s">
        <v>26</v>
      </c>
      <c r="M167">
        <f t="shared" si="5"/>
        <v>1</v>
      </c>
    </row>
    <row r="168" ht="18" customHeight="1" spans="1:13">
      <c r="A168" t="s">
        <v>369</v>
      </c>
      <c r="B168" s="13" t="s">
        <v>370</v>
      </c>
      <c r="C168" t="s">
        <v>15</v>
      </c>
      <c r="D168" t="s">
        <v>32</v>
      </c>
      <c r="E168" t="s">
        <v>17</v>
      </c>
      <c r="F168" s="13" t="s">
        <v>379</v>
      </c>
      <c r="G168" t="s">
        <v>19</v>
      </c>
      <c r="H168" t="s">
        <v>20</v>
      </c>
      <c r="I168" t="s">
        <v>380</v>
      </c>
      <c r="J168" t="s">
        <v>77</v>
      </c>
      <c r="K168" t="str">
        <f t="shared" si="4"/>
        <v>D(平局)</v>
      </c>
      <c r="L168" t="s">
        <v>26</v>
      </c>
      <c r="M168">
        <f t="shared" si="5"/>
        <v>0</v>
      </c>
    </row>
    <row r="169" ht="18" customHeight="1" spans="1:13">
      <c r="A169" t="s">
        <v>369</v>
      </c>
      <c r="B169" s="13" t="s">
        <v>370</v>
      </c>
      <c r="C169" t="s">
        <v>15</v>
      </c>
      <c r="D169" t="s">
        <v>32</v>
      </c>
      <c r="E169" t="s">
        <v>23</v>
      </c>
      <c r="F169" s="13" t="s">
        <v>381</v>
      </c>
      <c r="G169" t="s">
        <v>19</v>
      </c>
      <c r="H169" t="s">
        <v>20</v>
      </c>
      <c r="I169" t="s">
        <v>382</v>
      </c>
      <c r="J169" t="s">
        <v>22</v>
      </c>
      <c r="K169" t="str">
        <f t="shared" si="4"/>
        <v>B</v>
      </c>
      <c r="L169" t="s">
        <v>26</v>
      </c>
      <c r="M169">
        <f t="shared" si="5"/>
        <v>1</v>
      </c>
    </row>
    <row r="170" ht="18" customHeight="1" spans="1:13">
      <c r="A170" t="s">
        <v>369</v>
      </c>
      <c r="B170" s="13" t="s">
        <v>370</v>
      </c>
      <c r="C170" t="s">
        <v>37</v>
      </c>
      <c r="D170" t="s">
        <v>16</v>
      </c>
      <c r="E170" t="s">
        <v>17</v>
      </c>
      <c r="F170" s="13" t="s">
        <v>383</v>
      </c>
      <c r="G170" t="s">
        <v>19</v>
      </c>
      <c r="H170" t="s">
        <v>20</v>
      </c>
      <c r="I170" t="s">
        <v>384</v>
      </c>
      <c r="J170" t="s">
        <v>22</v>
      </c>
      <c r="K170" t="str">
        <f t="shared" si="4"/>
        <v>A</v>
      </c>
      <c r="L170" t="s">
        <v>22</v>
      </c>
      <c r="M170">
        <f t="shared" si="5"/>
        <v>1</v>
      </c>
    </row>
    <row r="171" ht="18" customHeight="1" spans="1:13">
      <c r="A171" t="s">
        <v>369</v>
      </c>
      <c r="B171" s="13" t="s">
        <v>370</v>
      </c>
      <c r="C171" t="s">
        <v>37</v>
      </c>
      <c r="D171" t="s">
        <v>16</v>
      </c>
      <c r="E171" t="s">
        <v>23</v>
      </c>
      <c r="F171" s="13" t="s">
        <v>385</v>
      </c>
      <c r="G171" t="s">
        <v>19</v>
      </c>
      <c r="H171" t="s">
        <v>20</v>
      </c>
      <c r="I171" t="s">
        <v>386</v>
      </c>
      <c r="J171" t="s">
        <v>26</v>
      </c>
      <c r="K171" t="str">
        <f t="shared" si="4"/>
        <v>A</v>
      </c>
      <c r="L171" t="s">
        <v>22</v>
      </c>
      <c r="M171">
        <f t="shared" si="5"/>
        <v>1</v>
      </c>
    </row>
    <row r="172" ht="18" customHeight="1" spans="1:13">
      <c r="A172" t="s">
        <v>369</v>
      </c>
      <c r="B172" s="13" t="s">
        <v>370</v>
      </c>
      <c r="C172" t="s">
        <v>37</v>
      </c>
      <c r="D172" t="s">
        <v>27</v>
      </c>
      <c r="E172" t="s">
        <v>17</v>
      </c>
      <c r="F172" s="13" t="s">
        <v>387</v>
      </c>
      <c r="G172" t="s">
        <v>19</v>
      </c>
      <c r="H172" t="s">
        <v>20</v>
      </c>
      <c r="I172" t="s">
        <v>388</v>
      </c>
      <c r="J172" t="s">
        <v>22</v>
      </c>
      <c r="K172" t="str">
        <f t="shared" si="4"/>
        <v>A</v>
      </c>
      <c r="L172" t="s">
        <v>22</v>
      </c>
      <c r="M172">
        <f t="shared" si="5"/>
        <v>1</v>
      </c>
    </row>
    <row r="173" ht="18" customHeight="1" spans="1:13">
      <c r="A173" t="s">
        <v>369</v>
      </c>
      <c r="B173" s="13" t="s">
        <v>370</v>
      </c>
      <c r="C173" t="s">
        <v>37</v>
      </c>
      <c r="D173" t="s">
        <v>27</v>
      </c>
      <c r="E173" t="s">
        <v>23</v>
      </c>
      <c r="F173" s="13" t="s">
        <v>389</v>
      </c>
      <c r="G173" t="s">
        <v>19</v>
      </c>
      <c r="H173" t="s">
        <v>20</v>
      </c>
      <c r="I173" t="s">
        <v>390</v>
      </c>
      <c r="J173" t="s">
        <v>26</v>
      </c>
      <c r="K173" t="str">
        <f t="shared" si="4"/>
        <v>A</v>
      </c>
      <c r="L173" t="s">
        <v>22</v>
      </c>
      <c r="M173">
        <f t="shared" si="5"/>
        <v>1</v>
      </c>
    </row>
    <row r="174" ht="18" customHeight="1" spans="1:13">
      <c r="A174" t="s">
        <v>369</v>
      </c>
      <c r="B174" s="13" t="s">
        <v>370</v>
      </c>
      <c r="C174" t="s">
        <v>37</v>
      </c>
      <c r="D174" t="s">
        <v>32</v>
      </c>
      <c r="E174" t="s">
        <v>17</v>
      </c>
      <c r="F174" s="13" t="s">
        <v>391</v>
      </c>
      <c r="G174" t="s">
        <v>19</v>
      </c>
      <c r="H174" t="s">
        <v>20</v>
      </c>
      <c r="I174" t="s">
        <v>392</v>
      </c>
      <c r="J174" t="s">
        <v>22</v>
      </c>
      <c r="K174" t="str">
        <f t="shared" si="4"/>
        <v>A</v>
      </c>
      <c r="L174" t="s">
        <v>22</v>
      </c>
      <c r="M174">
        <f t="shared" si="5"/>
        <v>1</v>
      </c>
    </row>
    <row r="175" ht="18" customHeight="1" spans="1:13">
      <c r="A175" t="s">
        <v>369</v>
      </c>
      <c r="B175" s="13" t="s">
        <v>370</v>
      </c>
      <c r="C175" t="s">
        <v>37</v>
      </c>
      <c r="D175" t="s">
        <v>32</v>
      </c>
      <c r="E175" t="s">
        <v>23</v>
      </c>
      <c r="F175" s="13" t="s">
        <v>393</v>
      </c>
      <c r="G175" t="s">
        <v>19</v>
      </c>
      <c r="H175" t="s">
        <v>20</v>
      </c>
      <c r="I175" t="s">
        <v>394</v>
      </c>
      <c r="J175" t="s">
        <v>26</v>
      </c>
      <c r="K175" t="str">
        <f t="shared" si="4"/>
        <v>A</v>
      </c>
      <c r="L175" t="s">
        <v>22</v>
      </c>
      <c r="M175">
        <f t="shared" si="5"/>
        <v>1</v>
      </c>
    </row>
    <row r="176" ht="18" customHeight="1" spans="1:13">
      <c r="A176" t="s">
        <v>369</v>
      </c>
      <c r="B176" s="13" t="s">
        <v>370</v>
      </c>
      <c r="C176" t="s">
        <v>50</v>
      </c>
      <c r="D176" t="s">
        <v>16</v>
      </c>
      <c r="E176" t="s">
        <v>17</v>
      </c>
      <c r="F176" s="13" t="s">
        <v>395</v>
      </c>
      <c r="G176" t="s">
        <v>19</v>
      </c>
      <c r="H176" t="s">
        <v>20</v>
      </c>
      <c r="I176" t="s">
        <v>396</v>
      </c>
      <c r="J176" t="s">
        <v>22</v>
      </c>
      <c r="K176" t="str">
        <f t="shared" si="4"/>
        <v>B</v>
      </c>
      <c r="L176" t="s">
        <v>26</v>
      </c>
      <c r="M176">
        <f t="shared" si="5"/>
        <v>1</v>
      </c>
    </row>
    <row r="177" ht="18" customHeight="1" spans="1:13">
      <c r="A177" t="s">
        <v>369</v>
      </c>
      <c r="B177" s="13" t="s">
        <v>370</v>
      </c>
      <c r="C177" t="s">
        <v>50</v>
      </c>
      <c r="D177" t="s">
        <v>16</v>
      </c>
      <c r="E177" t="s">
        <v>23</v>
      </c>
      <c r="F177" s="13" t="s">
        <v>397</v>
      </c>
      <c r="G177" t="s">
        <v>19</v>
      </c>
      <c r="H177" t="s">
        <v>20</v>
      </c>
      <c r="I177" t="s">
        <v>398</v>
      </c>
      <c r="J177" t="s">
        <v>26</v>
      </c>
      <c r="K177" t="str">
        <f t="shared" si="4"/>
        <v>B</v>
      </c>
      <c r="L177" t="s">
        <v>26</v>
      </c>
      <c r="M177">
        <f t="shared" si="5"/>
        <v>1</v>
      </c>
    </row>
    <row r="178" ht="18" customHeight="1" spans="1:13">
      <c r="A178" t="s">
        <v>369</v>
      </c>
      <c r="B178" s="13" t="s">
        <v>370</v>
      </c>
      <c r="C178" t="s">
        <v>50</v>
      </c>
      <c r="D178" t="s">
        <v>27</v>
      </c>
      <c r="E178" t="s">
        <v>17</v>
      </c>
      <c r="F178" s="13" t="s">
        <v>399</v>
      </c>
      <c r="G178" t="s">
        <v>19</v>
      </c>
      <c r="H178" t="s">
        <v>20</v>
      </c>
      <c r="I178" t="s">
        <v>400</v>
      </c>
      <c r="J178" t="s">
        <v>22</v>
      </c>
      <c r="K178" t="str">
        <f t="shared" si="4"/>
        <v>B</v>
      </c>
      <c r="L178" t="s">
        <v>26</v>
      </c>
      <c r="M178">
        <f t="shared" si="5"/>
        <v>1</v>
      </c>
    </row>
    <row r="179" ht="18" customHeight="1" spans="1:13">
      <c r="A179" t="s">
        <v>369</v>
      </c>
      <c r="B179" s="13" t="s">
        <v>370</v>
      </c>
      <c r="C179" t="s">
        <v>50</v>
      </c>
      <c r="D179" t="s">
        <v>27</v>
      </c>
      <c r="E179" t="s">
        <v>23</v>
      </c>
      <c r="F179" s="13" t="s">
        <v>401</v>
      </c>
      <c r="G179" t="s">
        <v>19</v>
      </c>
      <c r="H179" t="s">
        <v>20</v>
      </c>
      <c r="I179" t="s">
        <v>402</v>
      </c>
      <c r="J179" t="s">
        <v>26</v>
      </c>
      <c r="K179" t="str">
        <f t="shared" si="4"/>
        <v>B</v>
      </c>
      <c r="L179" t="s">
        <v>26</v>
      </c>
      <c r="M179">
        <f t="shared" si="5"/>
        <v>1</v>
      </c>
    </row>
    <row r="180" ht="18" customHeight="1" spans="1:13">
      <c r="A180" t="s">
        <v>369</v>
      </c>
      <c r="B180" s="13" t="s">
        <v>370</v>
      </c>
      <c r="C180" t="s">
        <v>50</v>
      </c>
      <c r="D180" t="s">
        <v>32</v>
      </c>
      <c r="E180" t="s">
        <v>17</v>
      </c>
      <c r="F180" s="13" t="s">
        <v>403</v>
      </c>
      <c r="G180" t="s">
        <v>19</v>
      </c>
      <c r="H180" t="s">
        <v>20</v>
      </c>
      <c r="I180" t="s">
        <v>404</v>
      </c>
      <c r="J180" t="s">
        <v>22</v>
      </c>
      <c r="K180" t="str">
        <f t="shared" si="4"/>
        <v>B</v>
      </c>
      <c r="L180" t="s">
        <v>26</v>
      </c>
      <c r="M180">
        <f t="shared" si="5"/>
        <v>1</v>
      </c>
    </row>
    <row r="181" ht="18" customHeight="1" spans="1:13">
      <c r="A181" t="s">
        <v>369</v>
      </c>
      <c r="B181" s="13" t="s">
        <v>370</v>
      </c>
      <c r="C181" t="s">
        <v>50</v>
      </c>
      <c r="D181" t="s">
        <v>32</v>
      </c>
      <c r="E181" t="s">
        <v>23</v>
      </c>
      <c r="F181" s="13" t="s">
        <v>405</v>
      </c>
      <c r="G181" t="s">
        <v>19</v>
      </c>
      <c r="H181" t="s">
        <v>20</v>
      </c>
      <c r="I181" t="s">
        <v>406</v>
      </c>
      <c r="J181" t="s">
        <v>26</v>
      </c>
      <c r="K181" t="str">
        <f t="shared" si="4"/>
        <v>B</v>
      </c>
      <c r="L181" t="s">
        <v>26</v>
      </c>
      <c r="M181">
        <f t="shared" si="5"/>
        <v>1</v>
      </c>
    </row>
    <row r="182" ht="18" customHeight="1" spans="1:13">
      <c r="A182" t="s">
        <v>407</v>
      </c>
      <c r="B182" s="13" t="s">
        <v>408</v>
      </c>
      <c r="C182" t="s">
        <v>15</v>
      </c>
      <c r="D182" t="s">
        <v>16</v>
      </c>
      <c r="E182" t="s">
        <v>17</v>
      </c>
      <c r="F182" s="13" t="s">
        <v>409</v>
      </c>
      <c r="G182" t="s">
        <v>19</v>
      </c>
      <c r="H182" t="s">
        <v>20</v>
      </c>
      <c r="I182" t="s">
        <v>410</v>
      </c>
      <c r="J182" t="s">
        <v>22</v>
      </c>
      <c r="K182" t="str">
        <f t="shared" si="4"/>
        <v>A</v>
      </c>
      <c r="L182" t="s">
        <v>22</v>
      </c>
      <c r="M182">
        <f t="shared" si="5"/>
        <v>1</v>
      </c>
    </row>
    <row r="183" ht="18" customHeight="1" spans="1:13">
      <c r="A183" t="s">
        <v>407</v>
      </c>
      <c r="B183" s="13" t="s">
        <v>408</v>
      </c>
      <c r="C183" t="s">
        <v>15</v>
      </c>
      <c r="D183" t="s">
        <v>16</v>
      </c>
      <c r="E183" t="s">
        <v>23</v>
      </c>
      <c r="F183" s="13" t="s">
        <v>411</v>
      </c>
      <c r="G183" t="s">
        <v>19</v>
      </c>
      <c r="H183" t="s">
        <v>20</v>
      </c>
      <c r="I183" t="s">
        <v>412</v>
      </c>
      <c r="J183" t="s">
        <v>22</v>
      </c>
      <c r="K183" t="str">
        <f t="shared" si="4"/>
        <v>B</v>
      </c>
      <c r="L183" t="s">
        <v>22</v>
      </c>
      <c r="M183">
        <f t="shared" si="5"/>
        <v>0</v>
      </c>
    </row>
    <row r="184" ht="18" customHeight="1" spans="1:13">
      <c r="A184" t="s">
        <v>407</v>
      </c>
      <c r="B184" s="13" t="s">
        <v>408</v>
      </c>
      <c r="C184" t="s">
        <v>15</v>
      </c>
      <c r="D184" t="s">
        <v>27</v>
      </c>
      <c r="E184" t="s">
        <v>17</v>
      </c>
      <c r="F184" s="13" t="s">
        <v>413</v>
      </c>
      <c r="G184" t="s">
        <v>19</v>
      </c>
      <c r="H184" t="s">
        <v>20</v>
      </c>
      <c r="I184" t="s">
        <v>414</v>
      </c>
      <c r="J184" t="s">
        <v>22</v>
      </c>
      <c r="K184" t="str">
        <f t="shared" si="4"/>
        <v>A</v>
      </c>
      <c r="L184" t="s">
        <v>22</v>
      </c>
      <c r="M184">
        <f t="shared" si="5"/>
        <v>1</v>
      </c>
    </row>
    <row r="185" ht="18" customHeight="1" spans="1:13">
      <c r="A185" t="s">
        <v>407</v>
      </c>
      <c r="B185" s="13" t="s">
        <v>408</v>
      </c>
      <c r="C185" t="s">
        <v>15</v>
      </c>
      <c r="D185" t="s">
        <v>27</v>
      </c>
      <c r="E185" t="s">
        <v>23</v>
      </c>
      <c r="F185" s="13" t="s">
        <v>415</v>
      </c>
      <c r="G185" t="s">
        <v>19</v>
      </c>
      <c r="H185" t="s">
        <v>20</v>
      </c>
      <c r="I185" t="s">
        <v>416</v>
      </c>
      <c r="J185" t="s">
        <v>26</v>
      </c>
      <c r="K185" t="str">
        <f t="shared" si="4"/>
        <v>A</v>
      </c>
      <c r="L185" t="s">
        <v>22</v>
      </c>
      <c r="M185">
        <f t="shared" si="5"/>
        <v>1</v>
      </c>
    </row>
    <row r="186" ht="18" customHeight="1" spans="1:13">
      <c r="A186" t="s">
        <v>407</v>
      </c>
      <c r="B186" s="13" t="s">
        <v>408</v>
      </c>
      <c r="C186" t="s">
        <v>15</v>
      </c>
      <c r="D186" t="s">
        <v>32</v>
      </c>
      <c r="E186" t="s">
        <v>17</v>
      </c>
      <c r="F186" s="13" t="s">
        <v>417</v>
      </c>
      <c r="G186" t="s">
        <v>19</v>
      </c>
      <c r="H186" t="s">
        <v>20</v>
      </c>
      <c r="I186" t="s">
        <v>418</v>
      </c>
      <c r="J186" t="s">
        <v>26</v>
      </c>
      <c r="K186" t="str">
        <f t="shared" si="4"/>
        <v>B</v>
      </c>
      <c r="L186" t="s">
        <v>22</v>
      </c>
      <c r="M186">
        <f t="shared" si="5"/>
        <v>0</v>
      </c>
    </row>
    <row r="187" ht="18" customHeight="1" spans="1:13">
      <c r="A187" t="s">
        <v>407</v>
      </c>
      <c r="B187" s="13" t="s">
        <v>408</v>
      </c>
      <c r="C187" t="s">
        <v>15</v>
      </c>
      <c r="D187" t="s">
        <v>32</v>
      </c>
      <c r="E187" t="s">
        <v>23</v>
      </c>
      <c r="F187" s="13" t="s">
        <v>419</v>
      </c>
      <c r="G187" t="s">
        <v>19</v>
      </c>
      <c r="H187" t="s">
        <v>20</v>
      </c>
      <c r="I187" t="s">
        <v>420</v>
      </c>
      <c r="J187" t="s">
        <v>22</v>
      </c>
      <c r="K187" t="str">
        <f t="shared" si="4"/>
        <v>B</v>
      </c>
      <c r="L187" t="s">
        <v>22</v>
      </c>
      <c r="M187">
        <f t="shared" si="5"/>
        <v>0</v>
      </c>
    </row>
    <row r="188" ht="18" customHeight="1" spans="1:13">
      <c r="A188" t="s">
        <v>407</v>
      </c>
      <c r="B188" s="13" t="s">
        <v>408</v>
      </c>
      <c r="C188" t="s">
        <v>37</v>
      </c>
      <c r="D188" t="s">
        <v>16</v>
      </c>
      <c r="E188" t="s">
        <v>17</v>
      </c>
      <c r="F188" s="13" t="s">
        <v>421</v>
      </c>
      <c r="G188" t="s">
        <v>19</v>
      </c>
      <c r="H188" t="s">
        <v>20</v>
      </c>
      <c r="I188" t="s">
        <v>422</v>
      </c>
      <c r="J188" t="s">
        <v>26</v>
      </c>
      <c r="K188" t="str">
        <f t="shared" si="4"/>
        <v>C</v>
      </c>
      <c r="L188" t="s">
        <v>77</v>
      </c>
      <c r="M188">
        <f t="shared" si="5"/>
        <v>1</v>
      </c>
    </row>
    <row r="189" ht="18" customHeight="1" spans="1:13">
      <c r="A189" t="s">
        <v>407</v>
      </c>
      <c r="B189" s="13" t="s">
        <v>408</v>
      </c>
      <c r="C189" t="s">
        <v>37</v>
      </c>
      <c r="D189" t="s">
        <v>16</v>
      </c>
      <c r="E189" t="s">
        <v>23</v>
      </c>
      <c r="F189" s="13" t="s">
        <v>423</v>
      </c>
      <c r="G189" t="s">
        <v>19</v>
      </c>
      <c r="H189" t="s">
        <v>20</v>
      </c>
      <c r="I189" t="s">
        <v>424</v>
      </c>
      <c r="J189" t="s">
        <v>22</v>
      </c>
      <c r="K189" t="str">
        <f t="shared" si="4"/>
        <v>C</v>
      </c>
      <c r="L189" t="s">
        <v>77</v>
      </c>
      <c r="M189">
        <f t="shared" si="5"/>
        <v>1</v>
      </c>
    </row>
    <row r="190" ht="18" customHeight="1" spans="1:13">
      <c r="A190" t="s">
        <v>407</v>
      </c>
      <c r="B190" s="13" t="s">
        <v>408</v>
      </c>
      <c r="C190" t="s">
        <v>37</v>
      </c>
      <c r="D190" t="s">
        <v>27</v>
      </c>
      <c r="E190" t="s">
        <v>17</v>
      </c>
      <c r="F190" s="13" t="s">
        <v>425</v>
      </c>
      <c r="G190" t="s">
        <v>19</v>
      </c>
      <c r="H190" t="s">
        <v>20</v>
      </c>
      <c r="I190" t="s">
        <v>426</v>
      </c>
      <c r="J190" t="s">
        <v>26</v>
      </c>
      <c r="K190" t="str">
        <f t="shared" si="4"/>
        <v>C</v>
      </c>
      <c r="L190" t="s">
        <v>77</v>
      </c>
      <c r="M190">
        <f t="shared" si="5"/>
        <v>1</v>
      </c>
    </row>
    <row r="191" ht="18" customHeight="1" spans="1:13">
      <c r="A191" t="s">
        <v>407</v>
      </c>
      <c r="B191" s="13" t="s">
        <v>408</v>
      </c>
      <c r="C191" t="s">
        <v>37</v>
      </c>
      <c r="D191" t="s">
        <v>27</v>
      </c>
      <c r="E191" t="s">
        <v>23</v>
      </c>
      <c r="F191" s="13" t="s">
        <v>427</v>
      </c>
      <c r="G191" t="s">
        <v>19</v>
      </c>
      <c r="H191" t="s">
        <v>20</v>
      </c>
      <c r="I191" t="s">
        <v>428</v>
      </c>
      <c r="J191" t="s">
        <v>22</v>
      </c>
      <c r="K191" t="str">
        <f t="shared" si="4"/>
        <v>C</v>
      </c>
      <c r="L191" t="s">
        <v>77</v>
      </c>
      <c r="M191">
        <f t="shared" si="5"/>
        <v>1</v>
      </c>
    </row>
    <row r="192" ht="18" customHeight="1" spans="1:13">
      <c r="A192" t="s">
        <v>407</v>
      </c>
      <c r="B192" s="13" t="s">
        <v>408</v>
      </c>
      <c r="C192" t="s">
        <v>37</v>
      </c>
      <c r="D192" t="s">
        <v>32</v>
      </c>
      <c r="E192" t="s">
        <v>17</v>
      </c>
      <c r="F192" s="13" t="s">
        <v>429</v>
      </c>
      <c r="G192" t="s">
        <v>19</v>
      </c>
      <c r="H192" t="s">
        <v>20</v>
      </c>
      <c r="I192" t="s">
        <v>430</v>
      </c>
      <c r="J192" t="s">
        <v>26</v>
      </c>
      <c r="K192" t="str">
        <f t="shared" si="4"/>
        <v>C</v>
      </c>
      <c r="L192" t="s">
        <v>77</v>
      </c>
      <c r="M192">
        <f t="shared" si="5"/>
        <v>1</v>
      </c>
    </row>
    <row r="193" ht="18" customHeight="1" spans="1:13">
      <c r="A193" t="s">
        <v>407</v>
      </c>
      <c r="B193" s="13" t="s">
        <v>408</v>
      </c>
      <c r="C193" t="s">
        <v>37</v>
      </c>
      <c r="D193" t="s">
        <v>32</v>
      </c>
      <c r="E193" t="s">
        <v>23</v>
      </c>
      <c r="F193" s="13" t="s">
        <v>431</v>
      </c>
      <c r="G193" t="s">
        <v>19</v>
      </c>
      <c r="H193" t="s">
        <v>20</v>
      </c>
      <c r="I193" t="s">
        <v>432</v>
      </c>
      <c r="J193" t="s">
        <v>22</v>
      </c>
      <c r="K193" t="str">
        <f t="shared" si="4"/>
        <v>C</v>
      </c>
      <c r="L193" t="s">
        <v>77</v>
      </c>
      <c r="M193">
        <f t="shared" si="5"/>
        <v>1</v>
      </c>
    </row>
    <row r="194" ht="18" customHeight="1" spans="1:13">
      <c r="A194" t="s">
        <v>407</v>
      </c>
      <c r="B194" s="13" t="s">
        <v>408</v>
      </c>
      <c r="C194" t="s">
        <v>50</v>
      </c>
      <c r="D194" t="s">
        <v>16</v>
      </c>
      <c r="E194" t="s">
        <v>17</v>
      </c>
      <c r="F194" s="13" t="s">
        <v>433</v>
      </c>
      <c r="G194" t="s">
        <v>19</v>
      </c>
      <c r="H194" t="s">
        <v>20</v>
      </c>
      <c r="I194" t="s">
        <v>434</v>
      </c>
      <c r="J194" t="s">
        <v>26</v>
      </c>
      <c r="K194" t="str">
        <f t="shared" ref="K194:K217" si="6">IF(OR(J194="",C194="",E194=""),"",IF(J194="C","D(平局)",IF(J194=IF(E194="l2r","A","B"),LEFT(C194,1),RIGHT(C194,1))))</f>
        <v>C</v>
      </c>
      <c r="L194" t="s">
        <v>77</v>
      </c>
      <c r="M194">
        <f t="shared" si="5"/>
        <v>1</v>
      </c>
    </row>
    <row r="195" ht="18" customHeight="1" spans="1:13">
      <c r="A195" t="s">
        <v>407</v>
      </c>
      <c r="B195" s="13" t="s">
        <v>408</v>
      </c>
      <c r="C195" t="s">
        <v>50</v>
      </c>
      <c r="D195" t="s">
        <v>16</v>
      </c>
      <c r="E195" t="s">
        <v>23</v>
      </c>
      <c r="F195" s="13" t="s">
        <v>435</v>
      </c>
      <c r="G195" t="s">
        <v>19</v>
      </c>
      <c r="H195" t="s">
        <v>20</v>
      </c>
      <c r="I195" t="s">
        <v>436</v>
      </c>
      <c r="J195" t="s">
        <v>22</v>
      </c>
      <c r="K195" t="str">
        <f t="shared" si="6"/>
        <v>C</v>
      </c>
      <c r="L195" t="s">
        <v>77</v>
      </c>
      <c r="M195">
        <f t="shared" ref="M195:M217" si="7">IF(OR(K195="",L195=""),"",--(K195=L195))</f>
        <v>1</v>
      </c>
    </row>
    <row r="196" ht="18" customHeight="1" spans="1:13">
      <c r="A196" t="s">
        <v>407</v>
      </c>
      <c r="B196" s="13" t="s">
        <v>408</v>
      </c>
      <c r="C196" t="s">
        <v>50</v>
      </c>
      <c r="D196" t="s">
        <v>27</v>
      </c>
      <c r="E196" t="s">
        <v>17</v>
      </c>
      <c r="F196" s="13" t="s">
        <v>437</v>
      </c>
      <c r="G196" t="s">
        <v>19</v>
      </c>
      <c r="H196" t="s">
        <v>20</v>
      </c>
      <c r="I196" t="s">
        <v>438</v>
      </c>
      <c r="J196" t="s">
        <v>26</v>
      </c>
      <c r="K196" t="str">
        <f t="shared" si="6"/>
        <v>C</v>
      </c>
      <c r="L196" t="s">
        <v>77</v>
      </c>
      <c r="M196">
        <f t="shared" si="7"/>
        <v>1</v>
      </c>
    </row>
    <row r="197" ht="18" customHeight="1" spans="1:13">
      <c r="A197" t="s">
        <v>407</v>
      </c>
      <c r="B197" s="13" t="s">
        <v>408</v>
      </c>
      <c r="C197" t="s">
        <v>50</v>
      </c>
      <c r="D197" t="s">
        <v>27</v>
      </c>
      <c r="E197" t="s">
        <v>23</v>
      </c>
      <c r="F197" s="13" t="s">
        <v>439</v>
      </c>
      <c r="G197" t="s">
        <v>19</v>
      </c>
      <c r="H197" t="s">
        <v>20</v>
      </c>
      <c r="I197" t="s">
        <v>440</v>
      </c>
      <c r="J197" t="s">
        <v>22</v>
      </c>
      <c r="K197" t="str">
        <f t="shared" si="6"/>
        <v>C</v>
      </c>
      <c r="L197" t="s">
        <v>77</v>
      </c>
      <c r="M197">
        <f t="shared" si="7"/>
        <v>1</v>
      </c>
    </row>
    <row r="198" ht="18" customHeight="1" spans="1:13">
      <c r="A198" t="s">
        <v>407</v>
      </c>
      <c r="B198" s="13" t="s">
        <v>408</v>
      </c>
      <c r="C198" t="s">
        <v>50</v>
      </c>
      <c r="D198" t="s">
        <v>32</v>
      </c>
      <c r="E198" t="s">
        <v>17</v>
      </c>
      <c r="F198" s="13" t="s">
        <v>441</v>
      </c>
      <c r="G198" t="s">
        <v>19</v>
      </c>
      <c r="H198" t="s">
        <v>20</v>
      </c>
      <c r="I198" t="s">
        <v>442</v>
      </c>
      <c r="J198" t="s">
        <v>26</v>
      </c>
      <c r="K198" t="str">
        <f t="shared" si="6"/>
        <v>C</v>
      </c>
      <c r="L198" t="s">
        <v>77</v>
      </c>
      <c r="M198">
        <f t="shared" si="7"/>
        <v>1</v>
      </c>
    </row>
    <row r="199" ht="18" customHeight="1" spans="1:13">
      <c r="A199" t="s">
        <v>407</v>
      </c>
      <c r="B199" s="13" t="s">
        <v>408</v>
      </c>
      <c r="C199" t="s">
        <v>50</v>
      </c>
      <c r="D199" t="s">
        <v>32</v>
      </c>
      <c r="E199" t="s">
        <v>23</v>
      </c>
      <c r="F199" s="13" t="s">
        <v>443</v>
      </c>
      <c r="G199" t="s">
        <v>19</v>
      </c>
      <c r="H199" t="s">
        <v>20</v>
      </c>
      <c r="I199" t="s">
        <v>444</v>
      </c>
      <c r="J199" t="s">
        <v>22</v>
      </c>
      <c r="K199" t="str">
        <f t="shared" si="6"/>
        <v>C</v>
      </c>
      <c r="L199" t="s">
        <v>77</v>
      </c>
      <c r="M199">
        <f t="shared" si="7"/>
        <v>1</v>
      </c>
    </row>
    <row r="200" ht="18" customHeight="1" spans="1:13">
      <c r="A200" t="s">
        <v>445</v>
      </c>
      <c r="B200" s="13" t="s">
        <v>446</v>
      </c>
      <c r="C200" t="s">
        <v>15</v>
      </c>
      <c r="D200" t="s">
        <v>16</v>
      </c>
      <c r="E200" t="s">
        <v>17</v>
      </c>
      <c r="F200" s="13" t="s">
        <v>447</v>
      </c>
      <c r="G200" t="s">
        <v>19</v>
      </c>
      <c r="H200" t="s">
        <v>20</v>
      </c>
      <c r="I200" t="s">
        <v>448</v>
      </c>
      <c r="J200" t="s">
        <v>22</v>
      </c>
      <c r="K200" t="str">
        <f t="shared" si="6"/>
        <v>A</v>
      </c>
      <c r="L200" t="s">
        <v>22</v>
      </c>
      <c r="M200">
        <f t="shared" si="7"/>
        <v>1</v>
      </c>
    </row>
    <row r="201" ht="18" customHeight="1" spans="1:13">
      <c r="A201" t="s">
        <v>445</v>
      </c>
      <c r="B201" s="13" t="s">
        <v>446</v>
      </c>
      <c r="C201" t="s">
        <v>15</v>
      </c>
      <c r="D201" t="s">
        <v>16</v>
      </c>
      <c r="E201" t="s">
        <v>23</v>
      </c>
      <c r="F201" s="13" t="s">
        <v>449</v>
      </c>
      <c r="G201" t="s">
        <v>19</v>
      </c>
      <c r="H201" t="s">
        <v>20</v>
      </c>
      <c r="I201" t="s">
        <v>450</v>
      </c>
      <c r="J201" t="s">
        <v>26</v>
      </c>
      <c r="K201" t="str">
        <f t="shared" si="6"/>
        <v>A</v>
      </c>
      <c r="L201" t="s">
        <v>22</v>
      </c>
      <c r="M201">
        <f t="shared" si="7"/>
        <v>1</v>
      </c>
    </row>
    <row r="202" ht="18" customHeight="1" spans="1:13">
      <c r="A202" t="s">
        <v>445</v>
      </c>
      <c r="B202" s="13" t="s">
        <v>446</v>
      </c>
      <c r="C202" t="s">
        <v>15</v>
      </c>
      <c r="D202" t="s">
        <v>27</v>
      </c>
      <c r="E202" t="s">
        <v>17</v>
      </c>
      <c r="F202" s="13" t="s">
        <v>451</v>
      </c>
      <c r="G202" t="s">
        <v>19</v>
      </c>
      <c r="H202" t="s">
        <v>20</v>
      </c>
      <c r="I202" t="s">
        <v>452</v>
      </c>
      <c r="J202" t="s">
        <v>22</v>
      </c>
      <c r="K202" t="str">
        <f t="shared" si="6"/>
        <v>A</v>
      </c>
      <c r="L202" t="s">
        <v>22</v>
      </c>
      <c r="M202">
        <f t="shared" si="7"/>
        <v>1</v>
      </c>
    </row>
    <row r="203" ht="18" customHeight="1" spans="1:13">
      <c r="A203" t="s">
        <v>445</v>
      </c>
      <c r="B203" s="13" t="s">
        <v>446</v>
      </c>
      <c r="C203" t="s">
        <v>15</v>
      </c>
      <c r="D203" t="s">
        <v>27</v>
      </c>
      <c r="E203" t="s">
        <v>23</v>
      </c>
      <c r="F203" s="13" t="s">
        <v>453</v>
      </c>
      <c r="G203" t="s">
        <v>19</v>
      </c>
      <c r="H203" t="s">
        <v>20</v>
      </c>
      <c r="I203" t="s">
        <v>454</v>
      </c>
      <c r="J203" t="s">
        <v>26</v>
      </c>
      <c r="K203" t="str">
        <f t="shared" si="6"/>
        <v>A</v>
      </c>
      <c r="L203" t="s">
        <v>22</v>
      </c>
      <c r="M203">
        <f t="shared" si="7"/>
        <v>1</v>
      </c>
    </row>
    <row r="204" ht="18" customHeight="1" spans="1:13">
      <c r="A204" t="s">
        <v>445</v>
      </c>
      <c r="B204" s="13" t="s">
        <v>446</v>
      </c>
      <c r="C204" t="s">
        <v>15</v>
      </c>
      <c r="D204" t="s">
        <v>32</v>
      </c>
      <c r="E204" t="s">
        <v>17</v>
      </c>
      <c r="F204" s="13" t="s">
        <v>455</v>
      </c>
      <c r="G204" t="s">
        <v>19</v>
      </c>
      <c r="H204" t="s">
        <v>20</v>
      </c>
      <c r="I204" t="s">
        <v>456</v>
      </c>
      <c r="J204" t="s">
        <v>22</v>
      </c>
      <c r="K204" t="str">
        <f t="shared" si="6"/>
        <v>A</v>
      </c>
      <c r="L204" t="s">
        <v>22</v>
      </c>
      <c r="M204">
        <f t="shared" si="7"/>
        <v>1</v>
      </c>
    </row>
    <row r="205" ht="18" customHeight="1" spans="1:13">
      <c r="A205" t="s">
        <v>445</v>
      </c>
      <c r="B205" s="13" t="s">
        <v>446</v>
      </c>
      <c r="C205" t="s">
        <v>15</v>
      </c>
      <c r="D205" t="s">
        <v>32</v>
      </c>
      <c r="E205" t="s">
        <v>23</v>
      </c>
      <c r="F205" s="13" t="s">
        <v>457</v>
      </c>
      <c r="G205" t="s">
        <v>19</v>
      </c>
      <c r="H205" t="s">
        <v>20</v>
      </c>
      <c r="I205" t="s">
        <v>458</v>
      </c>
      <c r="J205" t="s">
        <v>26</v>
      </c>
      <c r="K205" t="str">
        <f t="shared" si="6"/>
        <v>A</v>
      </c>
      <c r="L205" t="s">
        <v>22</v>
      </c>
      <c r="M205">
        <f t="shared" si="7"/>
        <v>1</v>
      </c>
    </row>
    <row r="206" ht="18" customHeight="1" spans="1:13">
      <c r="A206" t="s">
        <v>445</v>
      </c>
      <c r="B206" s="13" t="s">
        <v>446</v>
      </c>
      <c r="C206" t="s">
        <v>37</v>
      </c>
      <c r="D206" t="s">
        <v>16</v>
      </c>
      <c r="E206" t="s">
        <v>17</v>
      </c>
      <c r="F206" s="13" t="s">
        <v>459</v>
      </c>
      <c r="G206" t="s">
        <v>19</v>
      </c>
      <c r="H206" t="s">
        <v>20</v>
      </c>
      <c r="I206" t="s">
        <v>460</v>
      </c>
      <c r="J206" t="s">
        <v>22</v>
      </c>
      <c r="K206" t="str">
        <f t="shared" si="6"/>
        <v>A</v>
      </c>
      <c r="L206" t="s">
        <v>106</v>
      </c>
      <c r="M206">
        <f t="shared" si="7"/>
        <v>0</v>
      </c>
    </row>
    <row r="207" ht="18" customHeight="1" spans="1:13">
      <c r="A207" t="s">
        <v>445</v>
      </c>
      <c r="B207" s="13" t="s">
        <v>446</v>
      </c>
      <c r="C207" t="s">
        <v>37</v>
      </c>
      <c r="D207" t="s">
        <v>16</v>
      </c>
      <c r="E207" t="s">
        <v>23</v>
      </c>
      <c r="F207" s="13" t="s">
        <v>461</v>
      </c>
      <c r="G207" t="s">
        <v>19</v>
      </c>
      <c r="H207" t="s">
        <v>20</v>
      </c>
      <c r="I207" t="s">
        <v>462</v>
      </c>
      <c r="J207" t="s">
        <v>26</v>
      </c>
      <c r="K207" t="str">
        <f t="shared" si="6"/>
        <v>A</v>
      </c>
      <c r="L207" t="s">
        <v>106</v>
      </c>
      <c r="M207">
        <f t="shared" si="7"/>
        <v>0</v>
      </c>
    </row>
    <row r="208" ht="18" customHeight="1" spans="1:13">
      <c r="A208" t="s">
        <v>445</v>
      </c>
      <c r="B208" s="13" t="s">
        <v>446</v>
      </c>
      <c r="C208" t="s">
        <v>37</v>
      </c>
      <c r="D208" t="s">
        <v>27</v>
      </c>
      <c r="E208" t="s">
        <v>17</v>
      </c>
      <c r="F208" s="13" t="s">
        <v>463</v>
      </c>
      <c r="G208" t="s">
        <v>19</v>
      </c>
      <c r="H208" t="s">
        <v>20</v>
      </c>
      <c r="I208" t="s">
        <v>464</v>
      </c>
      <c r="J208" t="s">
        <v>22</v>
      </c>
      <c r="K208" t="str">
        <f t="shared" si="6"/>
        <v>A</v>
      </c>
      <c r="L208" t="s">
        <v>106</v>
      </c>
      <c r="M208">
        <f t="shared" si="7"/>
        <v>0</v>
      </c>
    </row>
    <row r="209" ht="18" customHeight="1" spans="1:13">
      <c r="A209" t="s">
        <v>445</v>
      </c>
      <c r="B209" s="13" t="s">
        <v>446</v>
      </c>
      <c r="C209" t="s">
        <v>37</v>
      </c>
      <c r="D209" t="s">
        <v>27</v>
      </c>
      <c r="E209" t="s">
        <v>23</v>
      </c>
      <c r="F209" s="13" t="s">
        <v>465</v>
      </c>
      <c r="G209" t="s">
        <v>19</v>
      </c>
      <c r="H209" t="s">
        <v>20</v>
      </c>
      <c r="I209" t="s">
        <v>466</v>
      </c>
      <c r="J209" t="s">
        <v>26</v>
      </c>
      <c r="K209" t="str">
        <f t="shared" si="6"/>
        <v>A</v>
      </c>
      <c r="L209" t="s">
        <v>106</v>
      </c>
      <c r="M209">
        <f t="shared" si="7"/>
        <v>0</v>
      </c>
    </row>
    <row r="210" ht="18" customHeight="1" spans="1:13">
      <c r="A210" t="s">
        <v>445</v>
      </c>
      <c r="B210" s="13" t="s">
        <v>446</v>
      </c>
      <c r="C210" t="s">
        <v>37</v>
      </c>
      <c r="D210" t="s">
        <v>32</v>
      </c>
      <c r="E210" t="s">
        <v>17</v>
      </c>
      <c r="F210" s="13" t="s">
        <v>467</v>
      </c>
      <c r="G210" t="s">
        <v>19</v>
      </c>
      <c r="H210" t="s">
        <v>20</v>
      </c>
      <c r="I210" t="s">
        <v>468</v>
      </c>
      <c r="J210" t="s">
        <v>22</v>
      </c>
      <c r="K210" t="str">
        <f t="shared" si="6"/>
        <v>A</v>
      </c>
      <c r="L210" t="s">
        <v>106</v>
      </c>
      <c r="M210">
        <f t="shared" si="7"/>
        <v>0</v>
      </c>
    </row>
    <row r="211" ht="18" customHeight="1" spans="1:13">
      <c r="A211" t="s">
        <v>445</v>
      </c>
      <c r="B211" s="13" t="s">
        <v>446</v>
      </c>
      <c r="C211" t="s">
        <v>37</v>
      </c>
      <c r="D211" t="s">
        <v>32</v>
      </c>
      <c r="E211" t="s">
        <v>23</v>
      </c>
      <c r="F211" s="13" t="s">
        <v>469</v>
      </c>
      <c r="G211" t="s">
        <v>19</v>
      </c>
      <c r="H211" t="s">
        <v>20</v>
      </c>
      <c r="I211" t="s">
        <v>470</v>
      </c>
      <c r="J211" t="s">
        <v>26</v>
      </c>
      <c r="K211" t="str">
        <f t="shared" si="6"/>
        <v>A</v>
      </c>
      <c r="L211" t="s">
        <v>106</v>
      </c>
      <c r="M211">
        <f t="shared" si="7"/>
        <v>0</v>
      </c>
    </row>
    <row r="212" ht="18" customHeight="1" spans="1:13">
      <c r="A212" t="s">
        <v>445</v>
      </c>
      <c r="B212" s="13" t="s">
        <v>446</v>
      </c>
      <c r="C212" t="s">
        <v>50</v>
      </c>
      <c r="D212" t="s">
        <v>16</v>
      </c>
      <c r="E212" t="s">
        <v>17</v>
      </c>
      <c r="F212" s="13" t="s">
        <v>471</v>
      </c>
      <c r="G212" t="s">
        <v>19</v>
      </c>
      <c r="H212" t="s">
        <v>20</v>
      </c>
      <c r="I212" t="s">
        <v>472</v>
      </c>
      <c r="J212" t="s">
        <v>22</v>
      </c>
      <c r="K212" t="str">
        <f t="shared" si="6"/>
        <v>B</v>
      </c>
      <c r="L212" t="s">
        <v>77</v>
      </c>
      <c r="M212">
        <f t="shared" si="7"/>
        <v>0</v>
      </c>
    </row>
    <row r="213" ht="18" customHeight="1" spans="1:13">
      <c r="A213" t="s">
        <v>445</v>
      </c>
      <c r="B213" s="13" t="s">
        <v>446</v>
      </c>
      <c r="C213" t="s">
        <v>50</v>
      </c>
      <c r="D213" t="s">
        <v>16</v>
      </c>
      <c r="E213" t="s">
        <v>23</v>
      </c>
      <c r="F213" s="13" t="s">
        <v>473</v>
      </c>
      <c r="G213" t="s">
        <v>19</v>
      </c>
      <c r="H213" t="s">
        <v>20</v>
      </c>
      <c r="I213" t="s">
        <v>474</v>
      </c>
      <c r="J213" t="s">
        <v>22</v>
      </c>
      <c r="K213" t="str">
        <f t="shared" si="6"/>
        <v>C</v>
      </c>
      <c r="L213" t="s">
        <v>77</v>
      </c>
      <c r="M213">
        <f t="shared" si="7"/>
        <v>1</v>
      </c>
    </row>
    <row r="214" ht="18" customHeight="1" spans="1:13">
      <c r="A214" t="s">
        <v>445</v>
      </c>
      <c r="B214" s="13" t="s">
        <v>446</v>
      </c>
      <c r="C214" t="s">
        <v>50</v>
      </c>
      <c r="D214" t="s">
        <v>27</v>
      </c>
      <c r="E214" t="s">
        <v>17</v>
      </c>
      <c r="F214" s="13" t="s">
        <v>475</v>
      </c>
      <c r="G214" t="s">
        <v>19</v>
      </c>
      <c r="H214" t="s">
        <v>20</v>
      </c>
      <c r="I214" t="s">
        <v>476</v>
      </c>
      <c r="J214" t="s">
        <v>26</v>
      </c>
      <c r="K214" t="str">
        <f t="shared" si="6"/>
        <v>C</v>
      </c>
      <c r="L214" t="s">
        <v>77</v>
      </c>
      <c r="M214">
        <f t="shared" si="7"/>
        <v>1</v>
      </c>
    </row>
    <row r="215" ht="18" customHeight="1" spans="1:13">
      <c r="A215" t="s">
        <v>445</v>
      </c>
      <c r="B215" s="13" t="s">
        <v>446</v>
      </c>
      <c r="C215" t="s">
        <v>50</v>
      </c>
      <c r="D215" t="s">
        <v>27</v>
      </c>
      <c r="E215" t="s">
        <v>23</v>
      </c>
      <c r="F215" s="13" t="s">
        <v>477</v>
      </c>
      <c r="G215" t="s">
        <v>19</v>
      </c>
      <c r="H215" t="s">
        <v>20</v>
      </c>
      <c r="I215" t="s">
        <v>478</v>
      </c>
      <c r="J215" t="s">
        <v>22</v>
      </c>
      <c r="K215" t="str">
        <f t="shared" si="6"/>
        <v>C</v>
      </c>
      <c r="L215" t="s">
        <v>77</v>
      </c>
      <c r="M215">
        <f t="shared" si="7"/>
        <v>1</v>
      </c>
    </row>
    <row r="216" ht="18" customHeight="1" spans="1:13">
      <c r="A216" t="s">
        <v>445</v>
      </c>
      <c r="B216" s="13" t="s">
        <v>446</v>
      </c>
      <c r="C216" t="s">
        <v>50</v>
      </c>
      <c r="D216" t="s">
        <v>32</v>
      </c>
      <c r="E216" t="s">
        <v>17</v>
      </c>
      <c r="F216" s="13" t="s">
        <v>479</v>
      </c>
      <c r="G216" t="s">
        <v>19</v>
      </c>
      <c r="H216" t="s">
        <v>20</v>
      </c>
      <c r="I216" t="s">
        <v>480</v>
      </c>
      <c r="J216" t="s">
        <v>26</v>
      </c>
      <c r="K216" t="str">
        <f t="shared" si="6"/>
        <v>C</v>
      </c>
      <c r="L216" t="s">
        <v>77</v>
      </c>
      <c r="M216">
        <f t="shared" si="7"/>
        <v>1</v>
      </c>
    </row>
    <row r="217" ht="18" customHeight="1" spans="1:13">
      <c r="A217" t="s">
        <v>445</v>
      </c>
      <c r="B217" s="13" t="s">
        <v>446</v>
      </c>
      <c r="C217" t="s">
        <v>50</v>
      </c>
      <c r="D217" t="s">
        <v>32</v>
      </c>
      <c r="E217" t="s">
        <v>23</v>
      </c>
      <c r="F217" s="13" t="s">
        <v>481</v>
      </c>
      <c r="G217" t="s">
        <v>19</v>
      </c>
      <c r="H217" t="s">
        <v>20</v>
      </c>
      <c r="I217" t="s">
        <v>482</v>
      </c>
      <c r="J217" t="s">
        <v>22</v>
      </c>
      <c r="K217" t="str">
        <f t="shared" si="6"/>
        <v>C</v>
      </c>
      <c r="L217" t="s">
        <v>77</v>
      </c>
      <c r="M217">
        <f t="shared" si="7"/>
        <v>1</v>
      </c>
    </row>
  </sheetData>
  <conditionalFormatting sqref="M$1:M$1048576">
    <cfRule type="colorScale" priority="1">
      <colorScale>
        <cfvo type="num" val="0"/>
        <cfvo type="num" val="1"/>
        <color theme="5" tint="0.8"/>
        <color theme="7" tint="0.8"/>
      </colorScale>
    </cfRule>
  </conditionalFormatting>
  <conditionalFormatting sqref="M2:M217">
    <cfRule type="cellIs" dxfId="0" priority="2" operator="equal">
      <formula>1</formula>
    </cfRule>
    <cfRule type="cellIs" dxfId="1" priority="3" operator="equal">
      <formula>0</formula>
    </cfRule>
  </conditionalFormatting>
  <dataValidations count="9">
    <dataValidation type="list" sqref="A2:A174">
      <formula1>"BankAccount,EUScienceConnect,Cruise,House,CelO,TileOGame,SellingGoods,University,TeamSportsScoutingSystem,AirTrafficControlNavigationSystem,AI-AssistedDrugDiscoveryPlatform,AdvancedAlloyCompositionOptimization"</formula1>
    </dataValidation>
    <dataValidation type="list" sqref="C2:C174">
      <formula1>"A vs B,A vs C,B vs C"</formula1>
    </dataValidation>
    <dataValidation type="list" sqref="D2:D174">
      <formula1>"faithfulness,general,five,final"</formula1>
    </dataValidation>
    <dataValidation type="list" sqref="E2:E174">
      <formula1>"l2r,r2l,final"</formula1>
    </dataValidation>
    <dataValidation type="list" sqref="G2:G174">
      <formula1>"llm,agent1,agent2"</formula1>
    </dataValidation>
    <dataValidation type="list" sqref="H2:H217">
      <formula1>"gpt5.5,glm,gemini"</formula1>
    </dataValidation>
    <dataValidation type="list" sqref="L2:L174">
      <formula1>"是,否"</formula1>
    </dataValidation>
    <dataValidation type="list" sqref="K175:L217">
      <formula1>"A,B,C,D(平局)"</formula1>
    </dataValidation>
    <dataValidation type="list" sqref="J2:K174">
      <formula1>"A,B,C"</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61"/>
  <sheetViews>
    <sheetView showGridLines="0" workbookViewId="0">
      <selection activeCell="A1" sqref="A1"/>
    </sheetView>
  </sheetViews>
  <sheetFormatPr defaultColWidth="9" defaultRowHeight="13.85"/>
  <cols>
    <col min="1" max="1" width="30" customWidth="1"/>
    <col min="2" max="4" width="12" customWidth="1"/>
    <col min="5" max="5" width="46" customWidth="1"/>
    <col min="6" max="16" width="14" customWidth="1"/>
  </cols>
  <sheetData>
    <row r="1" ht="34" customHeight="1" spans="1:16">
      <c r="A1" s="5" t="s">
        <v>0</v>
      </c>
      <c r="B1" s="5" t="s">
        <v>483</v>
      </c>
      <c r="C1" s="5" t="s">
        <v>484</v>
      </c>
      <c r="D1" s="5" t="s">
        <v>485</v>
      </c>
      <c r="E1" s="5" t="s">
        <v>486</v>
      </c>
      <c r="F1" s="5" t="s">
        <v>487</v>
      </c>
      <c r="G1" s="5" t="s">
        <v>488</v>
      </c>
      <c r="H1" s="5" t="s">
        <v>489</v>
      </c>
      <c r="I1" s="5" t="s">
        <v>490</v>
      </c>
      <c r="J1" s="5" t="s">
        <v>491</v>
      </c>
      <c r="K1" s="5" t="s">
        <v>492</v>
      </c>
      <c r="L1" s="5" t="s">
        <v>10</v>
      </c>
      <c r="M1" s="5" t="s">
        <v>493</v>
      </c>
      <c r="N1" s="5" t="s">
        <v>494</v>
      </c>
      <c r="O1" s="5" t="s">
        <v>495</v>
      </c>
      <c r="P1" s="5" t="s">
        <v>496</v>
      </c>
    </row>
    <row r="2" ht="23" customHeight="1" spans="1:16">
      <c r="A2" s="6" t="s">
        <v>13</v>
      </c>
      <c r="B2" s="2" t="s">
        <v>15</v>
      </c>
      <c r="C2" s="2" t="s">
        <v>17</v>
      </c>
      <c r="D2" s="2">
        <v>1</v>
      </c>
      <c r="E2" s="6" t="s">
        <v>497</v>
      </c>
      <c r="F2" s="2" t="str">
        <f t="shared" ref="F2:F65" si="0">IF(C2="l2r",LEFT(B2,1),RIGHT(B2,1))</f>
        <v>A</v>
      </c>
      <c r="G2" s="2">
        <v>5</v>
      </c>
      <c r="H2" s="2" t="str">
        <f t="shared" ref="H2:H65" si="1">IF(C2="l2r",RIGHT(B2,1),LEFT(B2,1))</f>
        <v>B</v>
      </c>
      <c r="I2" s="2">
        <v>4</v>
      </c>
      <c r="J2" s="2">
        <f t="shared" ref="J2:J65" si="2">G2-I2</f>
        <v>1</v>
      </c>
      <c r="K2" s="2" t="str">
        <f t="shared" ref="K2:K65" si="3">IF(J2=0,"C",IF(J2&gt;0,"A","B"))</f>
        <v>A</v>
      </c>
      <c r="L2" s="2" t="str">
        <f t="shared" ref="L2:L65" si="4">IF(J2=0,"D(平局)",IF(J2&gt;0,F2,H2))</f>
        <v>A</v>
      </c>
      <c r="M2" s="2" t="s">
        <v>22</v>
      </c>
      <c r="N2" s="2">
        <f t="shared" ref="N2:N65" si="5">--(L2=M2)</f>
        <v>1</v>
      </c>
      <c r="O2" s="2" t="s">
        <v>22</v>
      </c>
      <c r="P2" s="2">
        <v>4</v>
      </c>
    </row>
    <row r="3" ht="23" customHeight="1" spans="1:16">
      <c r="A3" s="6" t="s">
        <v>13</v>
      </c>
      <c r="B3" s="2" t="s">
        <v>15</v>
      </c>
      <c r="C3" s="2" t="s">
        <v>23</v>
      </c>
      <c r="D3" s="2">
        <v>1</v>
      </c>
      <c r="E3" s="6" t="s">
        <v>497</v>
      </c>
      <c r="F3" s="2" t="str">
        <f t="shared" si="0"/>
        <v>B</v>
      </c>
      <c r="G3" s="2">
        <v>4</v>
      </c>
      <c r="H3" s="2" t="str">
        <f t="shared" si="1"/>
        <v>A</v>
      </c>
      <c r="I3" s="2">
        <v>5</v>
      </c>
      <c r="J3" s="2">
        <f t="shared" si="2"/>
        <v>-1</v>
      </c>
      <c r="K3" s="2" t="str">
        <f t="shared" si="3"/>
        <v>B</v>
      </c>
      <c r="L3" s="2" t="str">
        <f t="shared" si="4"/>
        <v>A</v>
      </c>
      <c r="M3" s="2" t="s">
        <v>22</v>
      </c>
      <c r="N3" s="2">
        <f t="shared" si="5"/>
        <v>1</v>
      </c>
      <c r="O3" s="2" t="s">
        <v>26</v>
      </c>
      <c r="P3" s="2">
        <v>5</v>
      </c>
    </row>
    <row r="4" ht="23" customHeight="1" spans="1:16">
      <c r="A4" s="6" t="s">
        <v>13</v>
      </c>
      <c r="B4" s="2" t="s">
        <v>15</v>
      </c>
      <c r="C4" s="2" t="s">
        <v>17</v>
      </c>
      <c r="D4" s="2">
        <v>2</v>
      </c>
      <c r="E4" s="6" t="s">
        <v>498</v>
      </c>
      <c r="F4" s="2" t="str">
        <f t="shared" si="0"/>
        <v>A</v>
      </c>
      <c r="G4" s="2">
        <v>5</v>
      </c>
      <c r="H4" s="2" t="str">
        <f t="shared" si="1"/>
        <v>B</v>
      </c>
      <c r="I4" s="2">
        <v>3</v>
      </c>
      <c r="J4" s="2">
        <f t="shared" si="2"/>
        <v>2</v>
      </c>
      <c r="K4" s="2" t="str">
        <f t="shared" si="3"/>
        <v>A</v>
      </c>
      <c r="L4" s="2" t="str">
        <f t="shared" si="4"/>
        <v>A</v>
      </c>
      <c r="M4" s="2" t="s">
        <v>22</v>
      </c>
      <c r="N4" s="2">
        <f t="shared" si="5"/>
        <v>1</v>
      </c>
      <c r="O4" s="2" t="s">
        <v>22</v>
      </c>
      <c r="P4" s="2">
        <v>4</v>
      </c>
    </row>
    <row r="5" ht="23" customHeight="1" spans="1:16">
      <c r="A5" s="6" t="s">
        <v>13</v>
      </c>
      <c r="B5" s="2" t="s">
        <v>15</v>
      </c>
      <c r="C5" s="2" t="s">
        <v>23</v>
      </c>
      <c r="D5" s="2">
        <v>2</v>
      </c>
      <c r="E5" s="6" t="s">
        <v>498</v>
      </c>
      <c r="F5" s="2" t="str">
        <f t="shared" si="0"/>
        <v>B</v>
      </c>
      <c r="G5" s="2">
        <v>3</v>
      </c>
      <c r="H5" s="2" t="str">
        <f t="shared" si="1"/>
        <v>A</v>
      </c>
      <c r="I5" s="2">
        <v>5</v>
      </c>
      <c r="J5" s="2">
        <f t="shared" si="2"/>
        <v>-2</v>
      </c>
      <c r="K5" s="2" t="str">
        <f t="shared" si="3"/>
        <v>B</v>
      </c>
      <c r="L5" s="2" t="str">
        <f t="shared" si="4"/>
        <v>A</v>
      </c>
      <c r="M5" s="2" t="s">
        <v>22</v>
      </c>
      <c r="N5" s="2">
        <f t="shared" si="5"/>
        <v>1</v>
      </c>
      <c r="O5" s="2" t="s">
        <v>26</v>
      </c>
      <c r="P5" s="2">
        <v>5</v>
      </c>
    </row>
    <row r="6" ht="23" customHeight="1" spans="1:16">
      <c r="A6" s="6" t="s">
        <v>13</v>
      </c>
      <c r="B6" s="2" t="s">
        <v>15</v>
      </c>
      <c r="C6" s="2" t="s">
        <v>17</v>
      </c>
      <c r="D6" s="2">
        <v>3</v>
      </c>
      <c r="E6" s="6" t="s">
        <v>499</v>
      </c>
      <c r="F6" s="2" t="str">
        <f t="shared" si="0"/>
        <v>A</v>
      </c>
      <c r="G6" s="2">
        <v>5</v>
      </c>
      <c r="H6" s="2" t="str">
        <f t="shared" si="1"/>
        <v>B</v>
      </c>
      <c r="I6" s="2">
        <v>3</v>
      </c>
      <c r="J6" s="2">
        <f t="shared" si="2"/>
        <v>2</v>
      </c>
      <c r="K6" s="2" t="str">
        <f t="shared" si="3"/>
        <v>A</v>
      </c>
      <c r="L6" s="2" t="str">
        <f t="shared" si="4"/>
        <v>A</v>
      </c>
      <c r="M6" s="2" t="s">
        <v>22</v>
      </c>
      <c r="N6" s="2">
        <f t="shared" si="5"/>
        <v>1</v>
      </c>
      <c r="O6" s="2" t="s">
        <v>22</v>
      </c>
      <c r="P6" s="2">
        <v>4</v>
      </c>
    </row>
    <row r="7" ht="23" customHeight="1" spans="1:16">
      <c r="A7" s="6" t="s">
        <v>13</v>
      </c>
      <c r="B7" s="2" t="s">
        <v>15</v>
      </c>
      <c r="C7" s="2" t="s">
        <v>23</v>
      </c>
      <c r="D7" s="2">
        <v>3</v>
      </c>
      <c r="E7" s="6" t="s">
        <v>499</v>
      </c>
      <c r="F7" s="2" t="str">
        <f t="shared" si="0"/>
        <v>B</v>
      </c>
      <c r="G7" s="2">
        <v>3</v>
      </c>
      <c r="H7" s="2" t="str">
        <f t="shared" si="1"/>
        <v>A</v>
      </c>
      <c r="I7" s="2">
        <v>5</v>
      </c>
      <c r="J7" s="2">
        <f t="shared" si="2"/>
        <v>-2</v>
      </c>
      <c r="K7" s="2" t="str">
        <f t="shared" si="3"/>
        <v>B</v>
      </c>
      <c r="L7" s="2" t="str">
        <f t="shared" si="4"/>
        <v>A</v>
      </c>
      <c r="M7" s="2" t="s">
        <v>22</v>
      </c>
      <c r="N7" s="2">
        <f t="shared" si="5"/>
        <v>1</v>
      </c>
      <c r="O7" s="2" t="s">
        <v>26</v>
      </c>
      <c r="P7" s="2">
        <v>5</v>
      </c>
    </row>
    <row r="8" ht="23" customHeight="1" spans="1:16">
      <c r="A8" s="6" t="s">
        <v>13</v>
      </c>
      <c r="B8" s="2" t="s">
        <v>15</v>
      </c>
      <c r="C8" s="2" t="s">
        <v>17</v>
      </c>
      <c r="D8" s="2">
        <v>4</v>
      </c>
      <c r="E8" s="6" t="s">
        <v>500</v>
      </c>
      <c r="F8" s="2" t="str">
        <f t="shared" si="0"/>
        <v>A</v>
      </c>
      <c r="G8" s="2">
        <v>5</v>
      </c>
      <c r="H8" s="2" t="str">
        <f t="shared" si="1"/>
        <v>B</v>
      </c>
      <c r="I8" s="2">
        <v>4</v>
      </c>
      <c r="J8" s="2">
        <f t="shared" si="2"/>
        <v>1</v>
      </c>
      <c r="K8" s="2" t="str">
        <f t="shared" si="3"/>
        <v>A</v>
      </c>
      <c r="L8" s="2" t="str">
        <f t="shared" si="4"/>
        <v>A</v>
      </c>
      <c r="M8" s="2" t="s">
        <v>22</v>
      </c>
      <c r="N8" s="2">
        <f t="shared" si="5"/>
        <v>1</v>
      </c>
      <c r="O8" s="2" t="s">
        <v>22</v>
      </c>
      <c r="P8" s="2">
        <v>4</v>
      </c>
    </row>
    <row r="9" ht="23" customHeight="1" spans="1:16">
      <c r="A9" s="6" t="s">
        <v>13</v>
      </c>
      <c r="B9" s="2" t="s">
        <v>15</v>
      </c>
      <c r="C9" s="2" t="s">
        <v>23</v>
      </c>
      <c r="D9" s="2">
        <v>4</v>
      </c>
      <c r="E9" s="6" t="s">
        <v>500</v>
      </c>
      <c r="F9" s="2" t="str">
        <f t="shared" si="0"/>
        <v>B</v>
      </c>
      <c r="G9" s="2">
        <v>4</v>
      </c>
      <c r="H9" s="2" t="str">
        <f t="shared" si="1"/>
        <v>A</v>
      </c>
      <c r="I9" s="2">
        <v>5</v>
      </c>
      <c r="J9" s="2">
        <f t="shared" si="2"/>
        <v>-1</v>
      </c>
      <c r="K9" s="2" t="str">
        <f t="shared" si="3"/>
        <v>B</v>
      </c>
      <c r="L9" s="2" t="str">
        <f t="shared" si="4"/>
        <v>A</v>
      </c>
      <c r="M9" s="2" t="s">
        <v>22</v>
      </c>
      <c r="N9" s="2">
        <f t="shared" si="5"/>
        <v>1</v>
      </c>
      <c r="O9" s="2" t="s">
        <v>26</v>
      </c>
      <c r="P9" s="2">
        <v>5</v>
      </c>
    </row>
    <row r="10" ht="23" customHeight="1" spans="1:16">
      <c r="A10" s="6" t="s">
        <v>13</v>
      </c>
      <c r="B10" s="2" t="s">
        <v>15</v>
      </c>
      <c r="C10" s="2" t="s">
        <v>17</v>
      </c>
      <c r="D10" s="2">
        <v>5</v>
      </c>
      <c r="E10" s="6" t="s">
        <v>501</v>
      </c>
      <c r="F10" s="2" t="str">
        <f t="shared" si="0"/>
        <v>A</v>
      </c>
      <c r="G10" s="2">
        <v>5</v>
      </c>
      <c r="H10" s="2" t="str">
        <f t="shared" si="1"/>
        <v>B</v>
      </c>
      <c r="I10" s="2">
        <v>4</v>
      </c>
      <c r="J10" s="2">
        <f t="shared" si="2"/>
        <v>1</v>
      </c>
      <c r="K10" s="2" t="str">
        <f t="shared" si="3"/>
        <v>A</v>
      </c>
      <c r="L10" s="2" t="str">
        <f t="shared" si="4"/>
        <v>A</v>
      </c>
      <c r="M10" s="2" t="s">
        <v>22</v>
      </c>
      <c r="N10" s="2">
        <f t="shared" si="5"/>
        <v>1</v>
      </c>
      <c r="O10" s="2" t="s">
        <v>22</v>
      </c>
      <c r="P10" s="2">
        <v>4</v>
      </c>
    </row>
    <row r="11" ht="23" customHeight="1" spans="1:16">
      <c r="A11" s="6" t="s">
        <v>13</v>
      </c>
      <c r="B11" s="2" t="s">
        <v>15</v>
      </c>
      <c r="C11" s="2" t="s">
        <v>23</v>
      </c>
      <c r="D11" s="2">
        <v>5</v>
      </c>
      <c r="E11" s="6" t="s">
        <v>501</v>
      </c>
      <c r="F11" s="2" t="str">
        <f t="shared" si="0"/>
        <v>B</v>
      </c>
      <c r="G11" s="2">
        <v>4</v>
      </c>
      <c r="H11" s="2" t="str">
        <f t="shared" si="1"/>
        <v>A</v>
      </c>
      <c r="I11" s="2">
        <v>5</v>
      </c>
      <c r="J11" s="2">
        <f t="shared" si="2"/>
        <v>-1</v>
      </c>
      <c r="K11" s="2" t="str">
        <f t="shared" si="3"/>
        <v>B</v>
      </c>
      <c r="L11" s="2" t="str">
        <f t="shared" si="4"/>
        <v>A</v>
      </c>
      <c r="M11" s="2" t="s">
        <v>22</v>
      </c>
      <c r="N11" s="2">
        <f t="shared" si="5"/>
        <v>1</v>
      </c>
      <c r="O11" s="2" t="s">
        <v>26</v>
      </c>
      <c r="P11" s="2">
        <v>5</v>
      </c>
    </row>
    <row r="12" ht="23" customHeight="1" spans="1:16">
      <c r="A12" s="6" t="s">
        <v>13</v>
      </c>
      <c r="B12" s="2" t="s">
        <v>37</v>
      </c>
      <c r="C12" s="2" t="s">
        <v>17</v>
      </c>
      <c r="D12" s="2">
        <v>1</v>
      </c>
      <c r="E12" s="6" t="s">
        <v>497</v>
      </c>
      <c r="F12" s="2" t="str">
        <f t="shared" si="0"/>
        <v>A</v>
      </c>
      <c r="G12" s="2">
        <v>5</v>
      </c>
      <c r="H12" s="2" t="str">
        <f t="shared" si="1"/>
        <v>C</v>
      </c>
      <c r="I12" s="2">
        <v>2</v>
      </c>
      <c r="J12" s="2">
        <f t="shared" si="2"/>
        <v>3</v>
      </c>
      <c r="K12" s="2" t="str">
        <f t="shared" si="3"/>
        <v>A</v>
      </c>
      <c r="L12" s="2" t="str">
        <f t="shared" si="4"/>
        <v>A</v>
      </c>
      <c r="M12" s="2" t="s">
        <v>22</v>
      </c>
      <c r="N12" s="2">
        <f t="shared" si="5"/>
        <v>1</v>
      </c>
      <c r="O12" s="2" t="s">
        <v>22</v>
      </c>
      <c r="P12" s="2">
        <v>10</v>
      </c>
    </row>
    <row r="13" ht="23" customHeight="1" spans="1:16">
      <c r="A13" s="6" t="s">
        <v>13</v>
      </c>
      <c r="B13" s="2" t="s">
        <v>37</v>
      </c>
      <c r="C13" s="2" t="s">
        <v>23</v>
      </c>
      <c r="D13" s="2">
        <v>1</v>
      </c>
      <c r="E13" s="6" t="s">
        <v>497</v>
      </c>
      <c r="F13" s="2" t="str">
        <f t="shared" si="0"/>
        <v>C</v>
      </c>
      <c r="G13" s="2">
        <v>2</v>
      </c>
      <c r="H13" s="2" t="str">
        <f t="shared" si="1"/>
        <v>A</v>
      </c>
      <c r="I13" s="2">
        <v>5</v>
      </c>
      <c r="J13" s="2">
        <f t="shared" si="2"/>
        <v>-3</v>
      </c>
      <c r="K13" s="2" t="str">
        <f t="shared" si="3"/>
        <v>B</v>
      </c>
      <c r="L13" s="2" t="str">
        <f t="shared" si="4"/>
        <v>A</v>
      </c>
      <c r="M13" s="2" t="s">
        <v>22</v>
      </c>
      <c r="N13" s="2">
        <f t="shared" si="5"/>
        <v>1</v>
      </c>
      <c r="O13" s="2" t="s">
        <v>26</v>
      </c>
      <c r="P13" s="2">
        <v>11</v>
      </c>
    </row>
    <row r="14" ht="23" customHeight="1" spans="1:16">
      <c r="A14" s="6" t="s">
        <v>13</v>
      </c>
      <c r="B14" s="2" t="s">
        <v>37</v>
      </c>
      <c r="C14" s="2" t="s">
        <v>17</v>
      </c>
      <c r="D14" s="2">
        <v>2</v>
      </c>
      <c r="E14" s="6" t="s">
        <v>498</v>
      </c>
      <c r="F14" s="2" t="str">
        <f t="shared" si="0"/>
        <v>A</v>
      </c>
      <c r="G14" s="2">
        <v>5</v>
      </c>
      <c r="H14" s="2" t="str">
        <f t="shared" si="1"/>
        <v>C</v>
      </c>
      <c r="I14" s="2">
        <v>2</v>
      </c>
      <c r="J14" s="2">
        <f t="shared" si="2"/>
        <v>3</v>
      </c>
      <c r="K14" s="2" t="str">
        <f t="shared" si="3"/>
        <v>A</v>
      </c>
      <c r="L14" s="2" t="str">
        <f t="shared" si="4"/>
        <v>A</v>
      </c>
      <c r="M14" s="2" t="s">
        <v>22</v>
      </c>
      <c r="N14" s="2">
        <f t="shared" si="5"/>
        <v>1</v>
      </c>
      <c r="O14" s="2" t="s">
        <v>22</v>
      </c>
      <c r="P14" s="2">
        <v>10</v>
      </c>
    </row>
    <row r="15" ht="23" customHeight="1" spans="1:16">
      <c r="A15" s="6" t="s">
        <v>13</v>
      </c>
      <c r="B15" s="2" t="s">
        <v>37</v>
      </c>
      <c r="C15" s="2" t="s">
        <v>23</v>
      </c>
      <c r="D15" s="2">
        <v>2</v>
      </c>
      <c r="E15" s="6" t="s">
        <v>498</v>
      </c>
      <c r="F15" s="2" t="str">
        <f t="shared" si="0"/>
        <v>C</v>
      </c>
      <c r="G15" s="2">
        <v>2</v>
      </c>
      <c r="H15" s="2" t="str">
        <f t="shared" si="1"/>
        <v>A</v>
      </c>
      <c r="I15" s="2">
        <v>5</v>
      </c>
      <c r="J15" s="2">
        <f t="shared" si="2"/>
        <v>-3</v>
      </c>
      <c r="K15" s="2" t="str">
        <f t="shared" si="3"/>
        <v>B</v>
      </c>
      <c r="L15" s="2" t="str">
        <f t="shared" si="4"/>
        <v>A</v>
      </c>
      <c r="M15" s="2" t="s">
        <v>22</v>
      </c>
      <c r="N15" s="2">
        <f t="shared" si="5"/>
        <v>1</v>
      </c>
      <c r="O15" s="2" t="s">
        <v>26</v>
      </c>
      <c r="P15" s="2">
        <v>11</v>
      </c>
    </row>
    <row r="16" ht="23" customHeight="1" spans="1:16">
      <c r="A16" s="6" t="s">
        <v>13</v>
      </c>
      <c r="B16" s="2" t="s">
        <v>37</v>
      </c>
      <c r="C16" s="2" t="s">
        <v>17</v>
      </c>
      <c r="D16" s="2">
        <v>3</v>
      </c>
      <c r="E16" s="6" t="s">
        <v>499</v>
      </c>
      <c r="F16" s="2" t="str">
        <f t="shared" si="0"/>
        <v>A</v>
      </c>
      <c r="G16" s="2">
        <v>5</v>
      </c>
      <c r="H16" s="2" t="str">
        <f t="shared" si="1"/>
        <v>C</v>
      </c>
      <c r="I16" s="2">
        <v>1</v>
      </c>
      <c r="J16" s="2">
        <f t="shared" si="2"/>
        <v>4</v>
      </c>
      <c r="K16" s="2" t="str">
        <f t="shared" si="3"/>
        <v>A</v>
      </c>
      <c r="L16" s="2" t="str">
        <f t="shared" si="4"/>
        <v>A</v>
      </c>
      <c r="M16" s="2" t="s">
        <v>22</v>
      </c>
      <c r="N16" s="2">
        <f t="shared" si="5"/>
        <v>1</v>
      </c>
      <c r="O16" s="2" t="s">
        <v>22</v>
      </c>
      <c r="P16" s="2">
        <v>10</v>
      </c>
    </row>
    <row r="17" ht="23" customHeight="1" spans="1:16">
      <c r="A17" s="6" t="s">
        <v>13</v>
      </c>
      <c r="B17" s="2" t="s">
        <v>37</v>
      </c>
      <c r="C17" s="2" t="s">
        <v>23</v>
      </c>
      <c r="D17" s="2">
        <v>3</v>
      </c>
      <c r="E17" s="6" t="s">
        <v>499</v>
      </c>
      <c r="F17" s="2" t="str">
        <f t="shared" si="0"/>
        <v>C</v>
      </c>
      <c r="G17" s="2">
        <v>2</v>
      </c>
      <c r="H17" s="2" t="str">
        <f t="shared" si="1"/>
        <v>A</v>
      </c>
      <c r="I17" s="2">
        <v>5</v>
      </c>
      <c r="J17" s="2">
        <f t="shared" si="2"/>
        <v>-3</v>
      </c>
      <c r="K17" s="2" t="str">
        <f t="shared" si="3"/>
        <v>B</v>
      </c>
      <c r="L17" s="2" t="str">
        <f t="shared" si="4"/>
        <v>A</v>
      </c>
      <c r="M17" s="2" t="s">
        <v>22</v>
      </c>
      <c r="N17" s="2">
        <f t="shared" si="5"/>
        <v>1</v>
      </c>
      <c r="O17" s="2" t="s">
        <v>26</v>
      </c>
      <c r="P17" s="2">
        <v>11</v>
      </c>
    </row>
    <row r="18" ht="23" customHeight="1" spans="1:16">
      <c r="A18" s="6" t="s">
        <v>13</v>
      </c>
      <c r="B18" s="2" t="s">
        <v>37</v>
      </c>
      <c r="C18" s="2" t="s">
        <v>17</v>
      </c>
      <c r="D18" s="2">
        <v>4</v>
      </c>
      <c r="E18" s="6" t="s">
        <v>500</v>
      </c>
      <c r="F18" s="2" t="str">
        <f t="shared" si="0"/>
        <v>A</v>
      </c>
      <c r="G18" s="2">
        <v>5</v>
      </c>
      <c r="H18" s="2" t="str">
        <f t="shared" si="1"/>
        <v>C</v>
      </c>
      <c r="I18" s="2">
        <v>3</v>
      </c>
      <c r="J18" s="2">
        <f t="shared" si="2"/>
        <v>2</v>
      </c>
      <c r="K18" s="2" t="str">
        <f t="shared" si="3"/>
        <v>A</v>
      </c>
      <c r="L18" s="2" t="str">
        <f t="shared" si="4"/>
        <v>A</v>
      </c>
      <c r="M18" s="2" t="s">
        <v>22</v>
      </c>
      <c r="N18" s="2">
        <f t="shared" si="5"/>
        <v>1</v>
      </c>
      <c r="O18" s="2" t="s">
        <v>22</v>
      </c>
      <c r="P18" s="2">
        <v>10</v>
      </c>
    </row>
    <row r="19" ht="23" customHeight="1" spans="1:16">
      <c r="A19" s="6" t="s">
        <v>13</v>
      </c>
      <c r="B19" s="2" t="s">
        <v>37</v>
      </c>
      <c r="C19" s="2" t="s">
        <v>23</v>
      </c>
      <c r="D19" s="2">
        <v>4</v>
      </c>
      <c r="E19" s="6" t="s">
        <v>500</v>
      </c>
      <c r="F19" s="2" t="str">
        <f t="shared" si="0"/>
        <v>C</v>
      </c>
      <c r="G19" s="2">
        <v>4</v>
      </c>
      <c r="H19" s="2" t="str">
        <f t="shared" si="1"/>
        <v>A</v>
      </c>
      <c r="I19" s="2">
        <v>5</v>
      </c>
      <c r="J19" s="2">
        <f t="shared" si="2"/>
        <v>-1</v>
      </c>
      <c r="K19" s="2" t="str">
        <f t="shared" si="3"/>
        <v>B</v>
      </c>
      <c r="L19" s="2" t="str">
        <f t="shared" si="4"/>
        <v>A</v>
      </c>
      <c r="M19" s="2" t="s">
        <v>22</v>
      </c>
      <c r="N19" s="2">
        <f t="shared" si="5"/>
        <v>1</v>
      </c>
      <c r="O19" s="2" t="s">
        <v>26</v>
      </c>
      <c r="P19" s="2">
        <v>11</v>
      </c>
    </row>
    <row r="20" ht="23" customHeight="1" spans="1:16">
      <c r="A20" s="6" t="s">
        <v>13</v>
      </c>
      <c r="B20" s="2" t="s">
        <v>37</v>
      </c>
      <c r="C20" s="2" t="s">
        <v>17</v>
      </c>
      <c r="D20" s="2">
        <v>5</v>
      </c>
      <c r="E20" s="6" t="s">
        <v>501</v>
      </c>
      <c r="F20" s="2" t="str">
        <f t="shared" si="0"/>
        <v>A</v>
      </c>
      <c r="G20" s="2">
        <v>5</v>
      </c>
      <c r="H20" s="2" t="str">
        <f t="shared" si="1"/>
        <v>C</v>
      </c>
      <c r="I20" s="2">
        <v>4</v>
      </c>
      <c r="J20" s="2">
        <f t="shared" si="2"/>
        <v>1</v>
      </c>
      <c r="K20" s="2" t="str">
        <f t="shared" si="3"/>
        <v>A</v>
      </c>
      <c r="L20" s="2" t="str">
        <f t="shared" si="4"/>
        <v>A</v>
      </c>
      <c r="M20" s="2" t="s">
        <v>22</v>
      </c>
      <c r="N20" s="2">
        <f t="shared" si="5"/>
        <v>1</v>
      </c>
      <c r="O20" s="2" t="s">
        <v>22</v>
      </c>
      <c r="P20" s="2">
        <v>10</v>
      </c>
    </row>
    <row r="21" ht="23" customHeight="1" spans="1:16">
      <c r="A21" s="6" t="s">
        <v>13</v>
      </c>
      <c r="B21" s="2" t="s">
        <v>37</v>
      </c>
      <c r="C21" s="2" t="s">
        <v>23</v>
      </c>
      <c r="D21" s="2">
        <v>5</v>
      </c>
      <c r="E21" s="6" t="s">
        <v>501</v>
      </c>
      <c r="F21" s="2" t="str">
        <f t="shared" si="0"/>
        <v>C</v>
      </c>
      <c r="G21" s="2">
        <v>3</v>
      </c>
      <c r="H21" s="2" t="str">
        <f t="shared" si="1"/>
        <v>A</v>
      </c>
      <c r="I21" s="2">
        <v>5</v>
      </c>
      <c r="J21" s="2">
        <f t="shared" si="2"/>
        <v>-2</v>
      </c>
      <c r="K21" s="2" t="str">
        <f t="shared" si="3"/>
        <v>B</v>
      </c>
      <c r="L21" s="2" t="str">
        <f t="shared" si="4"/>
        <v>A</v>
      </c>
      <c r="M21" s="2" t="s">
        <v>22</v>
      </c>
      <c r="N21" s="2">
        <f t="shared" si="5"/>
        <v>1</v>
      </c>
      <c r="O21" s="2" t="s">
        <v>26</v>
      </c>
      <c r="P21" s="2">
        <v>11</v>
      </c>
    </row>
    <row r="22" ht="23" customHeight="1" spans="1:16">
      <c r="A22" s="6" t="s">
        <v>13</v>
      </c>
      <c r="B22" s="2" t="s">
        <v>50</v>
      </c>
      <c r="C22" s="2" t="s">
        <v>17</v>
      </c>
      <c r="D22" s="2">
        <v>1</v>
      </c>
      <c r="E22" s="6" t="s">
        <v>497</v>
      </c>
      <c r="F22" s="2" t="str">
        <f t="shared" si="0"/>
        <v>B</v>
      </c>
      <c r="G22" s="2">
        <v>5</v>
      </c>
      <c r="H22" s="2" t="str">
        <f t="shared" si="1"/>
        <v>C</v>
      </c>
      <c r="I22" s="2">
        <v>4</v>
      </c>
      <c r="J22" s="2">
        <f t="shared" si="2"/>
        <v>1</v>
      </c>
      <c r="K22" s="2" t="str">
        <f t="shared" si="3"/>
        <v>A</v>
      </c>
      <c r="L22" s="2" t="str">
        <f t="shared" si="4"/>
        <v>B</v>
      </c>
      <c r="M22" s="2" t="s">
        <v>26</v>
      </c>
      <c r="N22" s="2">
        <f t="shared" si="5"/>
        <v>1</v>
      </c>
      <c r="O22" s="2" t="s">
        <v>22</v>
      </c>
      <c r="P22" s="2">
        <v>16</v>
      </c>
    </row>
    <row r="23" ht="23" customHeight="1" spans="1:16">
      <c r="A23" s="6" t="s">
        <v>13</v>
      </c>
      <c r="B23" s="2" t="s">
        <v>50</v>
      </c>
      <c r="C23" s="2" t="s">
        <v>23</v>
      </c>
      <c r="D23" s="2">
        <v>1</v>
      </c>
      <c r="E23" s="6" t="s">
        <v>497</v>
      </c>
      <c r="F23" s="2" t="str">
        <f t="shared" si="0"/>
        <v>C</v>
      </c>
      <c r="G23" s="2">
        <v>3</v>
      </c>
      <c r="H23" s="2" t="str">
        <f t="shared" si="1"/>
        <v>B</v>
      </c>
      <c r="I23" s="2">
        <v>5</v>
      </c>
      <c r="J23" s="2">
        <f t="shared" si="2"/>
        <v>-2</v>
      </c>
      <c r="K23" s="2" t="str">
        <f t="shared" si="3"/>
        <v>B</v>
      </c>
      <c r="L23" s="2" t="str">
        <f t="shared" si="4"/>
        <v>B</v>
      </c>
      <c r="M23" s="2" t="s">
        <v>26</v>
      </c>
      <c r="N23" s="2">
        <f t="shared" si="5"/>
        <v>1</v>
      </c>
      <c r="O23" s="2" t="s">
        <v>26</v>
      </c>
      <c r="P23" s="2">
        <v>17</v>
      </c>
    </row>
    <row r="24" ht="23" customHeight="1" spans="1:16">
      <c r="A24" s="6" t="s">
        <v>13</v>
      </c>
      <c r="B24" s="2" t="s">
        <v>50</v>
      </c>
      <c r="C24" s="2" t="s">
        <v>17</v>
      </c>
      <c r="D24" s="2">
        <v>2</v>
      </c>
      <c r="E24" s="6" t="s">
        <v>498</v>
      </c>
      <c r="F24" s="2" t="str">
        <f t="shared" si="0"/>
        <v>B</v>
      </c>
      <c r="G24" s="2">
        <v>4</v>
      </c>
      <c r="H24" s="2" t="str">
        <f t="shared" si="1"/>
        <v>C</v>
      </c>
      <c r="I24" s="2">
        <v>2</v>
      </c>
      <c r="J24" s="2">
        <f t="shared" si="2"/>
        <v>2</v>
      </c>
      <c r="K24" s="2" t="str">
        <f t="shared" si="3"/>
        <v>A</v>
      </c>
      <c r="L24" s="2" t="str">
        <f t="shared" si="4"/>
        <v>B</v>
      </c>
      <c r="M24" s="2" t="s">
        <v>26</v>
      </c>
      <c r="N24" s="2">
        <f t="shared" si="5"/>
        <v>1</v>
      </c>
      <c r="O24" s="2" t="s">
        <v>22</v>
      </c>
      <c r="P24" s="2">
        <v>16</v>
      </c>
    </row>
    <row r="25" ht="23" customHeight="1" spans="1:16">
      <c r="A25" s="6" t="s">
        <v>13</v>
      </c>
      <c r="B25" s="2" t="s">
        <v>50</v>
      </c>
      <c r="C25" s="2" t="s">
        <v>23</v>
      </c>
      <c r="D25" s="2">
        <v>2</v>
      </c>
      <c r="E25" s="6" t="s">
        <v>498</v>
      </c>
      <c r="F25" s="2" t="str">
        <f t="shared" si="0"/>
        <v>C</v>
      </c>
      <c r="G25" s="2">
        <v>2</v>
      </c>
      <c r="H25" s="2" t="str">
        <f t="shared" si="1"/>
        <v>B</v>
      </c>
      <c r="I25" s="2">
        <v>5</v>
      </c>
      <c r="J25" s="2">
        <f t="shared" si="2"/>
        <v>-3</v>
      </c>
      <c r="K25" s="2" t="str">
        <f t="shared" si="3"/>
        <v>B</v>
      </c>
      <c r="L25" s="2" t="str">
        <f t="shared" si="4"/>
        <v>B</v>
      </c>
      <c r="M25" s="2" t="s">
        <v>26</v>
      </c>
      <c r="N25" s="2">
        <f t="shared" si="5"/>
        <v>1</v>
      </c>
      <c r="O25" s="2" t="s">
        <v>26</v>
      </c>
      <c r="P25" s="2">
        <v>17</v>
      </c>
    </row>
    <row r="26" ht="23" customHeight="1" spans="1:16">
      <c r="A26" s="6" t="s">
        <v>13</v>
      </c>
      <c r="B26" s="2" t="s">
        <v>50</v>
      </c>
      <c r="C26" s="2" t="s">
        <v>17</v>
      </c>
      <c r="D26" s="2">
        <v>3</v>
      </c>
      <c r="E26" s="6" t="s">
        <v>499</v>
      </c>
      <c r="F26" s="2" t="str">
        <f t="shared" si="0"/>
        <v>B</v>
      </c>
      <c r="G26" s="2">
        <v>4</v>
      </c>
      <c r="H26" s="2" t="str">
        <f t="shared" si="1"/>
        <v>C</v>
      </c>
      <c r="I26" s="2">
        <v>2</v>
      </c>
      <c r="J26" s="2">
        <f t="shared" si="2"/>
        <v>2</v>
      </c>
      <c r="K26" s="2" t="str">
        <f t="shared" si="3"/>
        <v>A</v>
      </c>
      <c r="L26" s="2" t="str">
        <f t="shared" si="4"/>
        <v>B</v>
      </c>
      <c r="M26" s="2" t="s">
        <v>26</v>
      </c>
      <c r="N26" s="2">
        <f t="shared" si="5"/>
        <v>1</v>
      </c>
      <c r="O26" s="2" t="s">
        <v>22</v>
      </c>
      <c r="P26" s="2">
        <v>16</v>
      </c>
    </row>
    <row r="27" ht="23" customHeight="1" spans="1:16">
      <c r="A27" s="6" t="s">
        <v>13</v>
      </c>
      <c r="B27" s="2" t="s">
        <v>50</v>
      </c>
      <c r="C27" s="2" t="s">
        <v>23</v>
      </c>
      <c r="D27" s="2">
        <v>3</v>
      </c>
      <c r="E27" s="6" t="s">
        <v>499</v>
      </c>
      <c r="F27" s="2" t="str">
        <f t="shared" si="0"/>
        <v>C</v>
      </c>
      <c r="G27" s="2">
        <v>2</v>
      </c>
      <c r="H27" s="2" t="str">
        <f t="shared" si="1"/>
        <v>B</v>
      </c>
      <c r="I27" s="2">
        <v>5</v>
      </c>
      <c r="J27" s="2">
        <f t="shared" si="2"/>
        <v>-3</v>
      </c>
      <c r="K27" s="2" t="str">
        <f t="shared" si="3"/>
        <v>B</v>
      </c>
      <c r="L27" s="2" t="str">
        <f t="shared" si="4"/>
        <v>B</v>
      </c>
      <c r="M27" s="2" t="s">
        <v>26</v>
      </c>
      <c r="N27" s="2">
        <f t="shared" si="5"/>
        <v>1</v>
      </c>
      <c r="O27" s="2" t="s">
        <v>26</v>
      </c>
      <c r="P27" s="2">
        <v>17</v>
      </c>
    </row>
    <row r="28" ht="23" customHeight="1" spans="1:16">
      <c r="A28" s="6" t="s">
        <v>13</v>
      </c>
      <c r="B28" s="2" t="s">
        <v>50</v>
      </c>
      <c r="C28" s="2" t="s">
        <v>17</v>
      </c>
      <c r="D28" s="2">
        <v>4</v>
      </c>
      <c r="E28" s="6" t="s">
        <v>500</v>
      </c>
      <c r="F28" s="2" t="str">
        <f t="shared" si="0"/>
        <v>B</v>
      </c>
      <c r="G28" s="2">
        <v>5</v>
      </c>
      <c r="H28" s="2" t="str">
        <f t="shared" si="1"/>
        <v>C</v>
      </c>
      <c r="I28" s="2">
        <v>4</v>
      </c>
      <c r="J28" s="2">
        <f t="shared" si="2"/>
        <v>1</v>
      </c>
      <c r="K28" s="2" t="str">
        <f t="shared" si="3"/>
        <v>A</v>
      </c>
      <c r="L28" s="2" t="str">
        <f t="shared" si="4"/>
        <v>B</v>
      </c>
      <c r="M28" s="2" t="s">
        <v>26</v>
      </c>
      <c r="N28" s="2">
        <f t="shared" si="5"/>
        <v>1</v>
      </c>
      <c r="O28" s="2" t="s">
        <v>22</v>
      </c>
      <c r="P28" s="2">
        <v>16</v>
      </c>
    </row>
    <row r="29" ht="23" customHeight="1" spans="1:16">
      <c r="A29" s="6" t="s">
        <v>13</v>
      </c>
      <c r="B29" s="2" t="s">
        <v>50</v>
      </c>
      <c r="C29" s="2" t="s">
        <v>23</v>
      </c>
      <c r="D29" s="2">
        <v>4</v>
      </c>
      <c r="E29" s="6" t="s">
        <v>500</v>
      </c>
      <c r="F29" s="2" t="str">
        <f t="shared" si="0"/>
        <v>C</v>
      </c>
      <c r="G29" s="2">
        <v>4</v>
      </c>
      <c r="H29" s="2" t="str">
        <f t="shared" si="1"/>
        <v>B</v>
      </c>
      <c r="I29" s="2">
        <v>5</v>
      </c>
      <c r="J29" s="2">
        <f t="shared" si="2"/>
        <v>-1</v>
      </c>
      <c r="K29" s="2" t="str">
        <f t="shared" si="3"/>
        <v>B</v>
      </c>
      <c r="L29" s="2" t="str">
        <f t="shared" si="4"/>
        <v>B</v>
      </c>
      <c r="M29" s="2" t="s">
        <v>26</v>
      </c>
      <c r="N29" s="2">
        <f t="shared" si="5"/>
        <v>1</v>
      </c>
      <c r="O29" s="2" t="s">
        <v>26</v>
      </c>
      <c r="P29" s="2">
        <v>17</v>
      </c>
    </row>
    <row r="30" ht="23" customHeight="1" spans="1:16">
      <c r="A30" s="6" t="s">
        <v>13</v>
      </c>
      <c r="B30" s="2" t="s">
        <v>50</v>
      </c>
      <c r="C30" s="2" t="s">
        <v>17</v>
      </c>
      <c r="D30" s="2">
        <v>5</v>
      </c>
      <c r="E30" s="6" t="s">
        <v>501</v>
      </c>
      <c r="F30" s="2" t="str">
        <f t="shared" si="0"/>
        <v>B</v>
      </c>
      <c r="G30" s="2">
        <v>5</v>
      </c>
      <c r="H30" s="2" t="str">
        <f t="shared" si="1"/>
        <v>C</v>
      </c>
      <c r="I30" s="2">
        <v>4</v>
      </c>
      <c r="J30" s="2">
        <f t="shared" si="2"/>
        <v>1</v>
      </c>
      <c r="K30" s="2" t="str">
        <f t="shared" si="3"/>
        <v>A</v>
      </c>
      <c r="L30" s="2" t="str">
        <f t="shared" si="4"/>
        <v>B</v>
      </c>
      <c r="M30" s="2" t="s">
        <v>26</v>
      </c>
      <c r="N30" s="2">
        <f t="shared" si="5"/>
        <v>1</v>
      </c>
      <c r="O30" s="2" t="s">
        <v>22</v>
      </c>
      <c r="P30" s="2">
        <v>16</v>
      </c>
    </row>
    <row r="31" ht="23" customHeight="1" spans="1:16">
      <c r="A31" s="6" t="s">
        <v>13</v>
      </c>
      <c r="B31" s="2" t="s">
        <v>50</v>
      </c>
      <c r="C31" s="2" t="s">
        <v>23</v>
      </c>
      <c r="D31" s="2">
        <v>5</v>
      </c>
      <c r="E31" s="6" t="s">
        <v>501</v>
      </c>
      <c r="F31" s="2" t="str">
        <f t="shared" si="0"/>
        <v>C</v>
      </c>
      <c r="G31" s="2">
        <v>4</v>
      </c>
      <c r="H31" s="2" t="str">
        <f t="shared" si="1"/>
        <v>B</v>
      </c>
      <c r="I31" s="2">
        <v>5</v>
      </c>
      <c r="J31" s="2">
        <f t="shared" si="2"/>
        <v>-1</v>
      </c>
      <c r="K31" s="2" t="str">
        <f t="shared" si="3"/>
        <v>B</v>
      </c>
      <c r="L31" s="2" t="str">
        <f t="shared" si="4"/>
        <v>B</v>
      </c>
      <c r="M31" s="2" t="s">
        <v>26</v>
      </c>
      <c r="N31" s="2">
        <f t="shared" si="5"/>
        <v>1</v>
      </c>
      <c r="O31" s="2" t="s">
        <v>26</v>
      </c>
      <c r="P31" s="2">
        <v>17</v>
      </c>
    </row>
    <row r="32" ht="23" customHeight="1" spans="1:16">
      <c r="A32" s="6" t="s">
        <v>63</v>
      </c>
      <c r="B32" s="2" t="s">
        <v>15</v>
      </c>
      <c r="C32" s="2" t="s">
        <v>17</v>
      </c>
      <c r="D32" s="2">
        <v>1</v>
      </c>
      <c r="E32" s="6" t="s">
        <v>497</v>
      </c>
      <c r="F32" s="2" t="str">
        <f t="shared" si="0"/>
        <v>A</v>
      </c>
      <c r="G32" s="2">
        <v>5</v>
      </c>
      <c r="H32" s="2" t="str">
        <f t="shared" si="1"/>
        <v>B</v>
      </c>
      <c r="I32" s="2">
        <v>4</v>
      </c>
      <c r="J32" s="2">
        <f t="shared" si="2"/>
        <v>1</v>
      </c>
      <c r="K32" s="2" t="str">
        <f t="shared" si="3"/>
        <v>A</v>
      </c>
      <c r="L32" s="2" t="str">
        <f t="shared" si="4"/>
        <v>A</v>
      </c>
      <c r="M32" s="2" t="s">
        <v>22</v>
      </c>
      <c r="N32" s="2">
        <f t="shared" si="5"/>
        <v>1</v>
      </c>
      <c r="O32" s="2" t="s">
        <v>22</v>
      </c>
      <c r="P32" s="2">
        <v>22</v>
      </c>
    </row>
    <row r="33" ht="23" customHeight="1" spans="1:16">
      <c r="A33" s="6" t="s">
        <v>63</v>
      </c>
      <c r="B33" s="2" t="s">
        <v>15</v>
      </c>
      <c r="C33" s="2" t="s">
        <v>23</v>
      </c>
      <c r="D33" s="2">
        <v>1</v>
      </c>
      <c r="E33" s="6" t="s">
        <v>497</v>
      </c>
      <c r="F33" s="2" t="str">
        <f t="shared" si="0"/>
        <v>B</v>
      </c>
      <c r="G33" s="2">
        <v>4</v>
      </c>
      <c r="H33" s="2" t="str">
        <f t="shared" si="1"/>
        <v>A</v>
      </c>
      <c r="I33" s="2">
        <v>5</v>
      </c>
      <c r="J33" s="2">
        <f t="shared" si="2"/>
        <v>-1</v>
      </c>
      <c r="K33" s="2" t="str">
        <f t="shared" si="3"/>
        <v>B</v>
      </c>
      <c r="L33" s="2" t="str">
        <f t="shared" si="4"/>
        <v>A</v>
      </c>
      <c r="M33" s="2" t="s">
        <v>22</v>
      </c>
      <c r="N33" s="2">
        <f t="shared" si="5"/>
        <v>1</v>
      </c>
      <c r="O33" s="2" t="s">
        <v>26</v>
      </c>
      <c r="P33" s="2">
        <v>23</v>
      </c>
    </row>
    <row r="34" ht="23" customHeight="1" spans="1:16">
      <c r="A34" s="6" t="s">
        <v>63</v>
      </c>
      <c r="B34" s="2" t="s">
        <v>15</v>
      </c>
      <c r="C34" s="2" t="s">
        <v>17</v>
      </c>
      <c r="D34" s="2">
        <v>2</v>
      </c>
      <c r="E34" s="6" t="s">
        <v>498</v>
      </c>
      <c r="F34" s="2" t="str">
        <f t="shared" si="0"/>
        <v>A</v>
      </c>
      <c r="G34" s="2">
        <v>5</v>
      </c>
      <c r="H34" s="2" t="str">
        <f t="shared" si="1"/>
        <v>B</v>
      </c>
      <c r="I34" s="2">
        <v>4</v>
      </c>
      <c r="J34" s="2">
        <f t="shared" si="2"/>
        <v>1</v>
      </c>
      <c r="K34" s="2" t="str">
        <f t="shared" si="3"/>
        <v>A</v>
      </c>
      <c r="L34" s="2" t="str">
        <f t="shared" si="4"/>
        <v>A</v>
      </c>
      <c r="M34" s="2" t="s">
        <v>22</v>
      </c>
      <c r="N34" s="2">
        <f t="shared" si="5"/>
        <v>1</v>
      </c>
      <c r="O34" s="2" t="s">
        <v>22</v>
      </c>
      <c r="P34" s="2">
        <v>22</v>
      </c>
    </row>
    <row r="35" ht="23" customHeight="1" spans="1:16">
      <c r="A35" s="6" t="s">
        <v>63</v>
      </c>
      <c r="B35" s="2" t="s">
        <v>15</v>
      </c>
      <c r="C35" s="2" t="s">
        <v>23</v>
      </c>
      <c r="D35" s="2">
        <v>2</v>
      </c>
      <c r="E35" s="6" t="s">
        <v>498</v>
      </c>
      <c r="F35" s="2" t="str">
        <f t="shared" si="0"/>
        <v>B</v>
      </c>
      <c r="G35" s="2">
        <v>4</v>
      </c>
      <c r="H35" s="2" t="str">
        <f t="shared" si="1"/>
        <v>A</v>
      </c>
      <c r="I35" s="2">
        <v>5</v>
      </c>
      <c r="J35" s="2">
        <f t="shared" si="2"/>
        <v>-1</v>
      </c>
      <c r="K35" s="2" t="str">
        <f t="shared" si="3"/>
        <v>B</v>
      </c>
      <c r="L35" s="2" t="str">
        <f t="shared" si="4"/>
        <v>A</v>
      </c>
      <c r="M35" s="2" t="s">
        <v>22</v>
      </c>
      <c r="N35" s="2">
        <f t="shared" si="5"/>
        <v>1</v>
      </c>
      <c r="O35" s="2" t="s">
        <v>26</v>
      </c>
      <c r="P35" s="2">
        <v>23</v>
      </c>
    </row>
    <row r="36" ht="23" customHeight="1" spans="1:16">
      <c r="A36" s="6" t="s">
        <v>63</v>
      </c>
      <c r="B36" s="2" t="s">
        <v>15</v>
      </c>
      <c r="C36" s="2" t="s">
        <v>17</v>
      </c>
      <c r="D36" s="2">
        <v>3</v>
      </c>
      <c r="E36" s="6" t="s">
        <v>499</v>
      </c>
      <c r="F36" s="2" t="str">
        <f t="shared" si="0"/>
        <v>A</v>
      </c>
      <c r="G36" s="2">
        <v>5</v>
      </c>
      <c r="H36" s="2" t="str">
        <f t="shared" si="1"/>
        <v>B</v>
      </c>
      <c r="I36" s="2">
        <v>4</v>
      </c>
      <c r="J36" s="2">
        <f t="shared" si="2"/>
        <v>1</v>
      </c>
      <c r="K36" s="2" t="str">
        <f t="shared" si="3"/>
        <v>A</v>
      </c>
      <c r="L36" s="2" t="str">
        <f t="shared" si="4"/>
        <v>A</v>
      </c>
      <c r="M36" s="2" t="s">
        <v>22</v>
      </c>
      <c r="N36" s="2">
        <f t="shared" si="5"/>
        <v>1</v>
      </c>
      <c r="O36" s="2" t="s">
        <v>22</v>
      </c>
      <c r="P36" s="2">
        <v>22</v>
      </c>
    </row>
    <row r="37" ht="23" customHeight="1" spans="1:16">
      <c r="A37" s="6" t="s">
        <v>63</v>
      </c>
      <c r="B37" s="2" t="s">
        <v>15</v>
      </c>
      <c r="C37" s="2" t="s">
        <v>23</v>
      </c>
      <c r="D37" s="2">
        <v>3</v>
      </c>
      <c r="E37" s="6" t="s">
        <v>499</v>
      </c>
      <c r="F37" s="2" t="str">
        <f t="shared" si="0"/>
        <v>B</v>
      </c>
      <c r="G37" s="2">
        <v>4</v>
      </c>
      <c r="H37" s="2" t="str">
        <f t="shared" si="1"/>
        <v>A</v>
      </c>
      <c r="I37" s="2">
        <v>5</v>
      </c>
      <c r="J37" s="2">
        <f t="shared" si="2"/>
        <v>-1</v>
      </c>
      <c r="K37" s="2" t="str">
        <f t="shared" si="3"/>
        <v>B</v>
      </c>
      <c r="L37" s="2" t="str">
        <f t="shared" si="4"/>
        <v>A</v>
      </c>
      <c r="M37" s="2" t="s">
        <v>22</v>
      </c>
      <c r="N37" s="2">
        <f t="shared" si="5"/>
        <v>1</v>
      </c>
      <c r="O37" s="2" t="s">
        <v>26</v>
      </c>
      <c r="P37" s="2">
        <v>23</v>
      </c>
    </row>
    <row r="38" ht="23" customHeight="1" spans="1:16">
      <c r="A38" s="6" t="s">
        <v>63</v>
      </c>
      <c r="B38" s="2" t="s">
        <v>15</v>
      </c>
      <c r="C38" s="2" t="s">
        <v>17</v>
      </c>
      <c r="D38" s="2">
        <v>4</v>
      </c>
      <c r="E38" s="6" t="s">
        <v>500</v>
      </c>
      <c r="F38" s="2" t="str">
        <f t="shared" si="0"/>
        <v>A</v>
      </c>
      <c r="G38" s="2">
        <v>5</v>
      </c>
      <c r="H38" s="2" t="str">
        <f t="shared" si="1"/>
        <v>B</v>
      </c>
      <c r="I38" s="2">
        <v>5</v>
      </c>
      <c r="J38" s="2">
        <f t="shared" si="2"/>
        <v>0</v>
      </c>
      <c r="K38" s="2" t="str">
        <f t="shared" si="3"/>
        <v>C</v>
      </c>
      <c r="L38" s="2" t="str">
        <f t="shared" si="4"/>
        <v>D(平局)</v>
      </c>
      <c r="M38" s="2" t="s">
        <v>22</v>
      </c>
      <c r="N38" s="2">
        <f t="shared" si="5"/>
        <v>0</v>
      </c>
      <c r="O38" s="2" t="s">
        <v>22</v>
      </c>
      <c r="P38" s="2">
        <v>22</v>
      </c>
    </row>
    <row r="39" ht="23" customHeight="1" spans="1:16">
      <c r="A39" s="6" t="s">
        <v>63</v>
      </c>
      <c r="B39" s="2" t="s">
        <v>15</v>
      </c>
      <c r="C39" s="2" t="s">
        <v>23</v>
      </c>
      <c r="D39" s="2">
        <v>4</v>
      </c>
      <c r="E39" s="6" t="s">
        <v>500</v>
      </c>
      <c r="F39" s="2" t="str">
        <f t="shared" si="0"/>
        <v>B</v>
      </c>
      <c r="G39" s="2">
        <v>4</v>
      </c>
      <c r="H39" s="2" t="str">
        <f t="shared" si="1"/>
        <v>A</v>
      </c>
      <c r="I39" s="2">
        <v>5</v>
      </c>
      <c r="J39" s="2">
        <f t="shared" si="2"/>
        <v>-1</v>
      </c>
      <c r="K39" s="2" t="str">
        <f t="shared" si="3"/>
        <v>B</v>
      </c>
      <c r="L39" s="2" t="str">
        <f t="shared" si="4"/>
        <v>A</v>
      </c>
      <c r="M39" s="2" t="s">
        <v>22</v>
      </c>
      <c r="N39" s="2">
        <f t="shared" si="5"/>
        <v>1</v>
      </c>
      <c r="O39" s="2" t="s">
        <v>26</v>
      </c>
      <c r="P39" s="2">
        <v>23</v>
      </c>
    </row>
    <row r="40" ht="23" customHeight="1" spans="1:16">
      <c r="A40" s="6" t="s">
        <v>63</v>
      </c>
      <c r="B40" s="2" t="s">
        <v>15</v>
      </c>
      <c r="C40" s="2" t="s">
        <v>17</v>
      </c>
      <c r="D40" s="2">
        <v>5</v>
      </c>
      <c r="E40" s="6" t="s">
        <v>501</v>
      </c>
      <c r="F40" s="2" t="str">
        <f t="shared" si="0"/>
        <v>A</v>
      </c>
      <c r="G40" s="2">
        <v>5</v>
      </c>
      <c r="H40" s="2" t="str">
        <f t="shared" si="1"/>
        <v>B</v>
      </c>
      <c r="I40" s="2">
        <v>5</v>
      </c>
      <c r="J40" s="2">
        <f t="shared" si="2"/>
        <v>0</v>
      </c>
      <c r="K40" s="2" t="str">
        <f t="shared" si="3"/>
        <v>C</v>
      </c>
      <c r="L40" s="2" t="str">
        <f t="shared" si="4"/>
        <v>D(平局)</v>
      </c>
      <c r="M40" s="2" t="s">
        <v>22</v>
      </c>
      <c r="N40" s="2">
        <f t="shared" si="5"/>
        <v>0</v>
      </c>
      <c r="O40" s="2" t="s">
        <v>22</v>
      </c>
      <c r="P40" s="2">
        <v>22</v>
      </c>
    </row>
    <row r="41" ht="23" customHeight="1" spans="1:16">
      <c r="A41" s="6" t="s">
        <v>63</v>
      </c>
      <c r="B41" s="2" t="s">
        <v>15</v>
      </c>
      <c r="C41" s="2" t="s">
        <v>23</v>
      </c>
      <c r="D41" s="2">
        <v>5</v>
      </c>
      <c r="E41" s="6" t="s">
        <v>501</v>
      </c>
      <c r="F41" s="2" t="str">
        <f t="shared" si="0"/>
        <v>B</v>
      </c>
      <c r="G41" s="2">
        <v>5</v>
      </c>
      <c r="H41" s="2" t="str">
        <f t="shared" si="1"/>
        <v>A</v>
      </c>
      <c r="I41" s="2">
        <v>5</v>
      </c>
      <c r="J41" s="2">
        <f t="shared" si="2"/>
        <v>0</v>
      </c>
      <c r="K41" s="2" t="str">
        <f t="shared" si="3"/>
        <v>C</v>
      </c>
      <c r="L41" s="2" t="str">
        <f t="shared" si="4"/>
        <v>D(平局)</v>
      </c>
      <c r="M41" s="2" t="s">
        <v>22</v>
      </c>
      <c r="N41" s="2">
        <f t="shared" si="5"/>
        <v>0</v>
      </c>
      <c r="O41" s="2" t="s">
        <v>26</v>
      </c>
      <c r="P41" s="2">
        <v>23</v>
      </c>
    </row>
    <row r="42" ht="23" customHeight="1" spans="1:16">
      <c r="A42" s="6" t="s">
        <v>63</v>
      </c>
      <c r="B42" s="2" t="s">
        <v>37</v>
      </c>
      <c r="C42" s="2" t="s">
        <v>17</v>
      </c>
      <c r="D42" s="2">
        <v>1</v>
      </c>
      <c r="E42" s="6" t="s">
        <v>497</v>
      </c>
      <c r="F42" s="2" t="str">
        <f t="shared" si="0"/>
        <v>A</v>
      </c>
      <c r="G42" s="2">
        <v>5</v>
      </c>
      <c r="H42" s="2" t="str">
        <f t="shared" si="1"/>
        <v>C</v>
      </c>
      <c r="I42" s="2">
        <v>2</v>
      </c>
      <c r="J42" s="2">
        <f t="shared" si="2"/>
        <v>3</v>
      </c>
      <c r="K42" s="2" t="str">
        <f t="shared" si="3"/>
        <v>A</v>
      </c>
      <c r="L42" s="2" t="str">
        <f t="shared" si="4"/>
        <v>A</v>
      </c>
      <c r="M42" s="2" t="s">
        <v>22</v>
      </c>
      <c r="N42" s="2">
        <f t="shared" si="5"/>
        <v>1</v>
      </c>
      <c r="O42" s="2" t="s">
        <v>22</v>
      </c>
      <c r="P42" s="2">
        <v>28</v>
      </c>
    </row>
    <row r="43" ht="23" customHeight="1" spans="1:16">
      <c r="A43" s="6" t="s">
        <v>63</v>
      </c>
      <c r="B43" s="2" t="s">
        <v>37</v>
      </c>
      <c r="C43" s="2" t="s">
        <v>23</v>
      </c>
      <c r="D43" s="2">
        <v>1</v>
      </c>
      <c r="E43" s="6" t="s">
        <v>497</v>
      </c>
      <c r="F43" s="2" t="str">
        <f t="shared" si="0"/>
        <v>C</v>
      </c>
      <c r="G43" s="2">
        <v>2</v>
      </c>
      <c r="H43" s="2" t="str">
        <f t="shared" si="1"/>
        <v>A</v>
      </c>
      <c r="I43" s="2">
        <v>5</v>
      </c>
      <c r="J43" s="2">
        <f t="shared" si="2"/>
        <v>-3</v>
      </c>
      <c r="K43" s="2" t="str">
        <f t="shared" si="3"/>
        <v>B</v>
      </c>
      <c r="L43" s="2" t="str">
        <f t="shared" si="4"/>
        <v>A</v>
      </c>
      <c r="M43" s="2" t="s">
        <v>22</v>
      </c>
      <c r="N43" s="2">
        <f t="shared" si="5"/>
        <v>1</v>
      </c>
      <c r="O43" s="2" t="s">
        <v>26</v>
      </c>
      <c r="P43" s="2">
        <v>29</v>
      </c>
    </row>
    <row r="44" ht="23" customHeight="1" spans="1:16">
      <c r="A44" s="6" t="s">
        <v>63</v>
      </c>
      <c r="B44" s="2" t="s">
        <v>37</v>
      </c>
      <c r="C44" s="2" t="s">
        <v>17</v>
      </c>
      <c r="D44" s="2">
        <v>2</v>
      </c>
      <c r="E44" s="6" t="s">
        <v>498</v>
      </c>
      <c r="F44" s="2" t="str">
        <f t="shared" si="0"/>
        <v>A</v>
      </c>
      <c r="G44" s="2">
        <v>5</v>
      </c>
      <c r="H44" s="2" t="str">
        <f t="shared" si="1"/>
        <v>C</v>
      </c>
      <c r="I44" s="2">
        <v>1</v>
      </c>
      <c r="J44" s="2">
        <f t="shared" si="2"/>
        <v>4</v>
      </c>
      <c r="K44" s="2" t="str">
        <f t="shared" si="3"/>
        <v>A</v>
      </c>
      <c r="L44" s="2" t="str">
        <f t="shared" si="4"/>
        <v>A</v>
      </c>
      <c r="M44" s="2" t="s">
        <v>22</v>
      </c>
      <c r="N44" s="2">
        <f t="shared" si="5"/>
        <v>1</v>
      </c>
      <c r="O44" s="2" t="s">
        <v>22</v>
      </c>
      <c r="P44" s="2">
        <v>28</v>
      </c>
    </row>
    <row r="45" ht="23" customHeight="1" spans="1:16">
      <c r="A45" s="6" t="s">
        <v>63</v>
      </c>
      <c r="B45" s="2" t="s">
        <v>37</v>
      </c>
      <c r="C45" s="2" t="s">
        <v>23</v>
      </c>
      <c r="D45" s="2">
        <v>2</v>
      </c>
      <c r="E45" s="6" t="s">
        <v>498</v>
      </c>
      <c r="F45" s="2" t="str">
        <f t="shared" si="0"/>
        <v>C</v>
      </c>
      <c r="G45" s="2">
        <v>1</v>
      </c>
      <c r="H45" s="2" t="str">
        <f t="shared" si="1"/>
        <v>A</v>
      </c>
      <c r="I45" s="2">
        <v>5</v>
      </c>
      <c r="J45" s="2">
        <f t="shared" si="2"/>
        <v>-4</v>
      </c>
      <c r="K45" s="2" t="str">
        <f t="shared" si="3"/>
        <v>B</v>
      </c>
      <c r="L45" s="2" t="str">
        <f t="shared" si="4"/>
        <v>A</v>
      </c>
      <c r="M45" s="2" t="s">
        <v>22</v>
      </c>
      <c r="N45" s="2">
        <f t="shared" si="5"/>
        <v>1</v>
      </c>
      <c r="O45" s="2" t="s">
        <v>26</v>
      </c>
      <c r="P45" s="2">
        <v>29</v>
      </c>
    </row>
    <row r="46" ht="23" customHeight="1" spans="1:16">
      <c r="A46" s="6" t="s">
        <v>63</v>
      </c>
      <c r="B46" s="2" t="s">
        <v>37</v>
      </c>
      <c r="C46" s="2" t="s">
        <v>17</v>
      </c>
      <c r="D46" s="2">
        <v>3</v>
      </c>
      <c r="E46" s="6" t="s">
        <v>499</v>
      </c>
      <c r="F46" s="2" t="str">
        <f t="shared" si="0"/>
        <v>A</v>
      </c>
      <c r="G46" s="2">
        <v>5</v>
      </c>
      <c r="H46" s="2" t="str">
        <f t="shared" si="1"/>
        <v>C</v>
      </c>
      <c r="I46" s="2">
        <v>2</v>
      </c>
      <c r="J46" s="2">
        <f t="shared" si="2"/>
        <v>3</v>
      </c>
      <c r="K46" s="2" t="str">
        <f t="shared" si="3"/>
        <v>A</v>
      </c>
      <c r="L46" s="2" t="str">
        <f t="shared" si="4"/>
        <v>A</v>
      </c>
      <c r="M46" s="2" t="s">
        <v>22</v>
      </c>
      <c r="N46" s="2">
        <f t="shared" si="5"/>
        <v>1</v>
      </c>
      <c r="O46" s="2" t="s">
        <v>22</v>
      </c>
      <c r="P46" s="2">
        <v>28</v>
      </c>
    </row>
    <row r="47" ht="23" customHeight="1" spans="1:16">
      <c r="A47" s="6" t="s">
        <v>63</v>
      </c>
      <c r="B47" s="2" t="s">
        <v>37</v>
      </c>
      <c r="C47" s="2" t="s">
        <v>23</v>
      </c>
      <c r="D47" s="2">
        <v>3</v>
      </c>
      <c r="E47" s="6" t="s">
        <v>499</v>
      </c>
      <c r="F47" s="2" t="str">
        <f t="shared" si="0"/>
        <v>C</v>
      </c>
      <c r="G47" s="2">
        <v>2</v>
      </c>
      <c r="H47" s="2" t="str">
        <f t="shared" si="1"/>
        <v>A</v>
      </c>
      <c r="I47" s="2">
        <v>5</v>
      </c>
      <c r="J47" s="2">
        <f t="shared" si="2"/>
        <v>-3</v>
      </c>
      <c r="K47" s="2" t="str">
        <f t="shared" si="3"/>
        <v>B</v>
      </c>
      <c r="L47" s="2" t="str">
        <f t="shared" si="4"/>
        <v>A</v>
      </c>
      <c r="M47" s="2" t="s">
        <v>22</v>
      </c>
      <c r="N47" s="2">
        <f t="shared" si="5"/>
        <v>1</v>
      </c>
      <c r="O47" s="2" t="s">
        <v>26</v>
      </c>
      <c r="P47" s="2">
        <v>29</v>
      </c>
    </row>
    <row r="48" ht="23" customHeight="1" spans="1:16">
      <c r="A48" s="6" t="s">
        <v>63</v>
      </c>
      <c r="B48" s="2" t="s">
        <v>37</v>
      </c>
      <c r="C48" s="2" t="s">
        <v>17</v>
      </c>
      <c r="D48" s="2">
        <v>4</v>
      </c>
      <c r="E48" s="6" t="s">
        <v>500</v>
      </c>
      <c r="F48" s="2" t="str">
        <f t="shared" si="0"/>
        <v>A</v>
      </c>
      <c r="G48" s="2">
        <v>5</v>
      </c>
      <c r="H48" s="2" t="str">
        <f t="shared" si="1"/>
        <v>C</v>
      </c>
      <c r="I48" s="2">
        <v>2</v>
      </c>
      <c r="J48" s="2">
        <f t="shared" si="2"/>
        <v>3</v>
      </c>
      <c r="K48" s="2" t="str">
        <f t="shared" si="3"/>
        <v>A</v>
      </c>
      <c r="L48" s="2" t="str">
        <f t="shared" si="4"/>
        <v>A</v>
      </c>
      <c r="M48" s="2" t="s">
        <v>22</v>
      </c>
      <c r="N48" s="2">
        <f t="shared" si="5"/>
        <v>1</v>
      </c>
      <c r="O48" s="2" t="s">
        <v>22</v>
      </c>
      <c r="P48" s="2">
        <v>28</v>
      </c>
    </row>
    <row r="49" ht="23" customHeight="1" spans="1:16">
      <c r="A49" s="6" t="s">
        <v>63</v>
      </c>
      <c r="B49" s="2" t="s">
        <v>37</v>
      </c>
      <c r="C49" s="2" t="s">
        <v>23</v>
      </c>
      <c r="D49" s="2">
        <v>4</v>
      </c>
      <c r="E49" s="6" t="s">
        <v>500</v>
      </c>
      <c r="F49" s="2" t="str">
        <f t="shared" si="0"/>
        <v>C</v>
      </c>
      <c r="G49" s="2">
        <v>3</v>
      </c>
      <c r="H49" s="2" t="str">
        <f t="shared" si="1"/>
        <v>A</v>
      </c>
      <c r="I49" s="2">
        <v>5</v>
      </c>
      <c r="J49" s="2">
        <f t="shared" si="2"/>
        <v>-2</v>
      </c>
      <c r="K49" s="2" t="str">
        <f t="shared" si="3"/>
        <v>B</v>
      </c>
      <c r="L49" s="2" t="str">
        <f t="shared" si="4"/>
        <v>A</v>
      </c>
      <c r="M49" s="2" t="s">
        <v>22</v>
      </c>
      <c r="N49" s="2">
        <f t="shared" si="5"/>
        <v>1</v>
      </c>
      <c r="O49" s="2" t="s">
        <v>26</v>
      </c>
      <c r="P49" s="2">
        <v>29</v>
      </c>
    </row>
    <row r="50" ht="23" customHeight="1" spans="1:16">
      <c r="A50" s="6" t="s">
        <v>63</v>
      </c>
      <c r="B50" s="2" t="s">
        <v>37</v>
      </c>
      <c r="C50" s="2" t="s">
        <v>17</v>
      </c>
      <c r="D50" s="2">
        <v>5</v>
      </c>
      <c r="E50" s="6" t="s">
        <v>501</v>
      </c>
      <c r="F50" s="2" t="str">
        <f t="shared" si="0"/>
        <v>A</v>
      </c>
      <c r="G50" s="2">
        <v>5</v>
      </c>
      <c r="H50" s="2" t="str">
        <f t="shared" si="1"/>
        <v>C</v>
      </c>
      <c r="I50" s="2">
        <v>3</v>
      </c>
      <c r="J50" s="2">
        <f t="shared" si="2"/>
        <v>2</v>
      </c>
      <c r="K50" s="2" t="str">
        <f t="shared" si="3"/>
        <v>A</v>
      </c>
      <c r="L50" s="2" t="str">
        <f t="shared" si="4"/>
        <v>A</v>
      </c>
      <c r="M50" s="2" t="s">
        <v>22</v>
      </c>
      <c r="N50" s="2">
        <f t="shared" si="5"/>
        <v>1</v>
      </c>
      <c r="O50" s="2" t="s">
        <v>22</v>
      </c>
      <c r="P50" s="2">
        <v>28</v>
      </c>
    </row>
    <row r="51" ht="23" customHeight="1" spans="1:16">
      <c r="A51" s="6" t="s">
        <v>63</v>
      </c>
      <c r="B51" s="2" t="s">
        <v>37</v>
      </c>
      <c r="C51" s="2" t="s">
        <v>23</v>
      </c>
      <c r="D51" s="2">
        <v>5</v>
      </c>
      <c r="E51" s="6" t="s">
        <v>501</v>
      </c>
      <c r="F51" s="2" t="str">
        <f t="shared" si="0"/>
        <v>C</v>
      </c>
      <c r="G51" s="2">
        <v>3</v>
      </c>
      <c r="H51" s="2" t="str">
        <f t="shared" si="1"/>
        <v>A</v>
      </c>
      <c r="I51" s="2">
        <v>5</v>
      </c>
      <c r="J51" s="2">
        <f t="shared" si="2"/>
        <v>-2</v>
      </c>
      <c r="K51" s="2" t="str">
        <f t="shared" si="3"/>
        <v>B</v>
      </c>
      <c r="L51" s="2" t="str">
        <f t="shared" si="4"/>
        <v>A</v>
      </c>
      <c r="M51" s="2" t="s">
        <v>22</v>
      </c>
      <c r="N51" s="2">
        <f t="shared" si="5"/>
        <v>1</v>
      </c>
      <c r="O51" s="2" t="s">
        <v>26</v>
      </c>
      <c r="P51" s="2">
        <v>29</v>
      </c>
    </row>
    <row r="52" ht="23" customHeight="1" spans="1:16">
      <c r="A52" s="6" t="s">
        <v>63</v>
      </c>
      <c r="B52" s="2" t="s">
        <v>50</v>
      </c>
      <c r="C52" s="2" t="s">
        <v>17</v>
      </c>
      <c r="D52" s="2">
        <v>1</v>
      </c>
      <c r="E52" s="6" t="s">
        <v>497</v>
      </c>
      <c r="F52" s="2" t="str">
        <f t="shared" si="0"/>
        <v>B</v>
      </c>
      <c r="G52" s="2">
        <v>5</v>
      </c>
      <c r="H52" s="2" t="str">
        <f t="shared" si="1"/>
        <v>C</v>
      </c>
      <c r="I52" s="2">
        <v>2</v>
      </c>
      <c r="J52" s="2">
        <f t="shared" si="2"/>
        <v>3</v>
      </c>
      <c r="K52" s="2" t="str">
        <f t="shared" si="3"/>
        <v>A</v>
      </c>
      <c r="L52" s="2" t="str">
        <f t="shared" si="4"/>
        <v>B</v>
      </c>
      <c r="M52" s="2" t="s">
        <v>26</v>
      </c>
      <c r="N52" s="2">
        <f t="shared" si="5"/>
        <v>1</v>
      </c>
      <c r="O52" s="2" t="s">
        <v>22</v>
      </c>
      <c r="P52" s="2">
        <v>34</v>
      </c>
    </row>
    <row r="53" ht="23" customHeight="1" spans="1:16">
      <c r="A53" s="6" t="s">
        <v>63</v>
      </c>
      <c r="B53" s="2" t="s">
        <v>50</v>
      </c>
      <c r="C53" s="2" t="s">
        <v>23</v>
      </c>
      <c r="D53" s="2">
        <v>1</v>
      </c>
      <c r="E53" s="6" t="s">
        <v>497</v>
      </c>
      <c r="F53" s="2" t="str">
        <f t="shared" si="0"/>
        <v>C</v>
      </c>
      <c r="G53" s="2">
        <v>2</v>
      </c>
      <c r="H53" s="2" t="str">
        <f t="shared" si="1"/>
        <v>B</v>
      </c>
      <c r="I53" s="2">
        <v>5</v>
      </c>
      <c r="J53" s="2">
        <f t="shared" si="2"/>
        <v>-3</v>
      </c>
      <c r="K53" s="2" t="str">
        <f t="shared" si="3"/>
        <v>B</v>
      </c>
      <c r="L53" s="2" t="str">
        <f t="shared" si="4"/>
        <v>B</v>
      </c>
      <c r="M53" s="2" t="s">
        <v>26</v>
      </c>
      <c r="N53" s="2">
        <f t="shared" si="5"/>
        <v>1</v>
      </c>
      <c r="O53" s="2" t="s">
        <v>26</v>
      </c>
      <c r="P53" s="2">
        <v>35</v>
      </c>
    </row>
    <row r="54" ht="23" customHeight="1" spans="1:16">
      <c r="A54" s="6" t="s">
        <v>63</v>
      </c>
      <c r="B54" s="2" t="s">
        <v>50</v>
      </c>
      <c r="C54" s="2" t="s">
        <v>17</v>
      </c>
      <c r="D54" s="2">
        <v>2</v>
      </c>
      <c r="E54" s="6" t="s">
        <v>498</v>
      </c>
      <c r="F54" s="2" t="str">
        <f t="shared" si="0"/>
        <v>B</v>
      </c>
      <c r="G54" s="2">
        <v>5</v>
      </c>
      <c r="H54" s="2" t="str">
        <f t="shared" si="1"/>
        <v>C</v>
      </c>
      <c r="I54" s="2">
        <v>2</v>
      </c>
      <c r="J54" s="2">
        <f t="shared" si="2"/>
        <v>3</v>
      </c>
      <c r="K54" s="2" t="str">
        <f t="shared" si="3"/>
        <v>A</v>
      </c>
      <c r="L54" s="2" t="str">
        <f t="shared" si="4"/>
        <v>B</v>
      </c>
      <c r="M54" s="2" t="s">
        <v>26</v>
      </c>
      <c r="N54" s="2">
        <f t="shared" si="5"/>
        <v>1</v>
      </c>
      <c r="O54" s="2" t="s">
        <v>22</v>
      </c>
      <c r="P54" s="2">
        <v>34</v>
      </c>
    </row>
    <row r="55" ht="23" customHeight="1" spans="1:16">
      <c r="A55" s="6" t="s">
        <v>63</v>
      </c>
      <c r="B55" s="2" t="s">
        <v>50</v>
      </c>
      <c r="C55" s="2" t="s">
        <v>23</v>
      </c>
      <c r="D55" s="2">
        <v>2</v>
      </c>
      <c r="E55" s="6" t="s">
        <v>498</v>
      </c>
      <c r="F55" s="2" t="str">
        <f t="shared" si="0"/>
        <v>C</v>
      </c>
      <c r="G55" s="2">
        <v>1</v>
      </c>
      <c r="H55" s="2" t="str">
        <f t="shared" si="1"/>
        <v>B</v>
      </c>
      <c r="I55" s="2">
        <v>5</v>
      </c>
      <c r="J55" s="2">
        <f t="shared" si="2"/>
        <v>-4</v>
      </c>
      <c r="K55" s="2" t="str">
        <f t="shared" si="3"/>
        <v>B</v>
      </c>
      <c r="L55" s="2" t="str">
        <f t="shared" si="4"/>
        <v>B</v>
      </c>
      <c r="M55" s="2" t="s">
        <v>26</v>
      </c>
      <c r="N55" s="2">
        <f t="shared" si="5"/>
        <v>1</v>
      </c>
      <c r="O55" s="2" t="s">
        <v>26</v>
      </c>
      <c r="P55" s="2">
        <v>35</v>
      </c>
    </row>
    <row r="56" ht="23" customHeight="1" spans="1:16">
      <c r="A56" s="6" t="s">
        <v>63</v>
      </c>
      <c r="B56" s="2" t="s">
        <v>50</v>
      </c>
      <c r="C56" s="2" t="s">
        <v>17</v>
      </c>
      <c r="D56" s="2">
        <v>3</v>
      </c>
      <c r="E56" s="6" t="s">
        <v>499</v>
      </c>
      <c r="F56" s="2" t="str">
        <f t="shared" si="0"/>
        <v>B</v>
      </c>
      <c r="G56" s="2">
        <v>5</v>
      </c>
      <c r="H56" s="2" t="str">
        <f t="shared" si="1"/>
        <v>C</v>
      </c>
      <c r="I56" s="2">
        <v>2</v>
      </c>
      <c r="J56" s="2">
        <f t="shared" si="2"/>
        <v>3</v>
      </c>
      <c r="K56" s="2" t="str">
        <f t="shared" si="3"/>
        <v>A</v>
      </c>
      <c r="L56" s="2" t="str">
        <f t="shared" si="4"/>
        <v>B</v>
      </c>
      <c r="M56" s="2" t="s">
        <v>26</v>
      </c>
      <c r="N56" s="2">
        <f t="shared" si="5"/>
        <v>1</v>
      </c>
      <c r="O56" s="2" t="s">
        <v>22</v>
      </c>
      <c r="P56" s="2">
        <v>34</v>
      </c>
    </row>
    <row r="57" ht="23" customHeight="1" spans="1:16">
      <c r="A57" s="6" t="s">
        <v>63</v>
      </c>
      <c r="B57" s="2" t="s">
        <v>50</v>
      </c>
      <c r="C57" s="2" t="s">
        <v>23</v>
      </c>
      <c r="D57" s="2">
        <v>3</v>
      </c>
      <c r="E57" s="6" t="s">
        <v>499</v>
      </c>
      <c r="F57" s="2" t="str">
        <f t="shared" si="0"/>
        <v>C</v>
      </c>
      <c r="G57" s="2">
        <v>2</v>
      </c>
      <c r="H57" s="2" t="str">
        <f t="shared" si="1"/>
        <v>B</v>
      </c>
      <c r="I57" s="2">
        <v>5</v>
      </c>
      <c r="J57" s="2">
        <f t="shared" si="2"/>
        <v>-3</v>
      </c>
      <c r="K57" s="2" t="str">
        <f t="shared" si="3"/>
        <v>B</v>
      </c>
      <c r="L57" s="2" t="str">
        <f t="shared" si="4"/>
        <v>B</v>
      </c>
      <c r="M57" s="2" t="s">
        <v>26</v>
      </c>
      <c r="N57" s="2">
        <f t="shared" si="5"/>
        <v>1</v>
      </c>
      <c r="O57" s="2" t="s">
        <v>26</v>
      </c>
      <c r="P57" s="2">
        <v>35</v>
      </c>
    </row>
    <row r="58" ht="23" customHeight="1" spans="1:16">
      <c r="A58" s="6" t="s">
        <v>63</v>
      </c>
      <c r="B58" s="2" t="s">
        <v>50</v>
      </c>
      <c r="C58" s="2" t="s">
        <v>17</v>
      </c>
      <c r="D58" s="2">
        <v>4</v>
      </c>
      <c r="E58" s="6" t="s">
        <v>500</v>
      </c>
      <c r="F58" s="2" t="str">
        <f t="shared" si="0"/>
        <v>B</v>
      </c>
      <c r="G58" s="2">
        <v>5</v>
      </c>
      <c r="H58" s="2" t="str">
        <f t="shared" si="1"/>
        <v>C</v>
      </c>
      <c r="I58" s="2">
        <v>3</v>
      </c>
      <c r="J58" s="2">
        <f t="shared" si="2"/>
        <v>2</v>
      </c>
      <c r="K58" s="2" t="str">
        <f t="shared" si="3"/>
        <v>A</v>
      </c>
      <c r="L58" s="2" t="str">
        <f t="shared" si="4"/>
        <v>B</v>
      </c>
      <c r="M58" s="2" t="s">
        <v>26</v>
      </c>
      <c r="N58" s="2">
        <f t="shared" si="5"/>
        <v>1</v>
      </c>
      <c r="O58" s="2" t="s">
        <v>22</v>
      </c>
      <c r="P58" s="2">
        <v>34</v>
      </c>
    </row>
    <row r="59" ht="23" customHeight="1" spans="1:16">
      <c r="A59" s="6" t="s">
        <v>63</v>
      </c>
      <c r="B59" s="2" t="s">
        <v>50</v>
      </c>
      <c r="C59" s="2" t="s">
        <v>23</v>
      </c>
      <c r="D59" s="2">
        <v>4</v>
      </c>
      <c r="E59" s="6" t="s">
        <v>500</v>
      </c>
      <c r="F59" s="2" t="str">
        <f t="shared" si="0"/>
        <v>C</v>
      </c>
      <c r="G59" s="2">
        <v>2</v>
      </c>
      <c r="H59" s="2" t="str">
        <f t="shared" si="1"/>
        <v>B</v>
      </c>
      <c r="I59" s="2">
        <v>5</v>
      </c>
      <c r="J59" s="2">
        <f t="shared" si="2"/>
        <v>-3</v>
      </c>
      <c r="K59" s="2" t="str">
        <f t="shared" si="3"/>
        <v>B</v>
      </c>
      <c r="L59" s="2" t="str">
        <f t="shared" si="4"/>
        <v>B</v>
      </c>
      <c r="M59" s="2" t="s">
        <v>26</v>
      </c>
      <c r="N59" s="2">
        <f t="shared" si="5"/>
        <v>1</v>
      </c>
      <c r="O59" s="2" t="s">
        <v>26</v>
      </c>
      <c r="P59" s="2">
        <v>35</v>
      </c>
    </row>
    <row r="60" ht="23" customHeight="1" spans="1:16">
      <c r="A60" s="6" t="s">
        <v>63</v>
      </c>
      <c r="B60" s="2" t="s">
        <v>50</v>
      </c>
      <c r="C60" s="2" t="s">
        <v>17</v>
      </c>
      <c r="D60" s="2">
        <v>5</v>
      </c>
      <c r="E60" s="6" t="s">
        <v>501</v>
      </c>
      <c r="F60" s="2" t="str">
        <f t="shared" si="0"/>
        <v>B</v>
      </c>
      <c r="G60" s="2">
        <v>5</v>
      </c>
      <c r="H60" s="2" t="str">
        <f t="shared" si="1"/>
        <v>C</v>
      </c>
      <c r="I60" s="2">
        <v>4</v>
      </c>
      <c r="J60" s="2">
        <f t="shared" si="2"/>
        <v>1</v>
      </c>
      <c r="K60" s="2" t="str">
        <f t="shared" si="3"/>
        <v>A</v>
      </c>
      <c r="L60" s="2" t="str">
        <f t="shared" si="4"/>
        <v>B</v>
      </c>
      <c r="M60" s="2" t="s">
        <v>26</v>
      </c>
      <c r="N60" s="2">
        <f t="shared" si="5"/>
        <v>1</v>
      </c>
      <c r="O60" s="2" t="s">
        <v>22</v>
      </c>
      <c r="P60" s="2">
        <v>34</v>
      </c>
    </row>
    <row r="61" ht="23" customHeight="1" spans="1:16">
      <c r="A61" s="6" t="s">
        <v>63</v>
      </c>
      <c r="B61" s="2" t="s">
        <v>50</v>
      </c>
      <c r="C61" s="2" t="s">
        <v>23</v>
      </c>
      <c r="D61" s="2">
        <v>5</v>
      </c>
      <c r="E61" s="6" t="s">
        <v>501</v>
      </c>
      <c r="F61" s="2" t="str">
        <f t="shared" si="0"/>
        <v>C</v>
      </c>
      <c r="G61" s="2">
        <v>3</v>
      </c>
      <c r="H61" s="2" t="str">
        <f t="shared" si="1"/>
        <v>B</v>
      </c>
      <c r="I61" s="2">
        <v>5</v>
      </c>
      <c r="J61" s="2">
        <f t="shared" si="2"/>
        <v>-2</v>
      </c>
      <c r="K61" s="2" t="str">
        <f t="shared" si="3"/>
        <v>B</v>
      </c>
      <c r="L61" s="2" t="str">
        <f t="shared" si="4"/>
        <v>B</v>
      </c>
      <c r="M61" s="2" t="s">
        <v>26</v>
      </c>
      <c r="N61" s="2">
        <f t="shared" si="5"/>
        <v>1</v>
      </c>
      <c r="O61" s="2" t="s">
        <v>26</v>
      </c>
      <c r="P61" s="2">
        <v>35</v>
      </c>
    </row>
    <row r="62" ht="23" customHeight="1" spans="1:16">
      <c r="A62" s="6" t="s">
        <v>102</v>
      </c>
      <c r="B62" s="2" t="s">
        <v>15</v>
      </c>
      <c r="C62" s="2" t="s">
        <v>17</v>
      </c>
      <c r="D62" s="2">
        <v>1</v>
      </c>
      <c r="E62" s="6" t="s">
        <v>497</v>
      </c>
      <c r="F62" s="2" t="str">
        <f t="shared" si="0"/>
        <v>A</v>
      </c>
      <c r="G62" s="2">
        <v>5</v>
      </c>
      <c r="H62" s="2" t="str">
        <f t="shared" si="1"/>
        <v>B</v>
      </c>
      <c r="I62" s="2">
        <v>4</v>
      </c>
      <c r="J62" s="2">
        <f t="shared" si="2"/>
        <v>1</v>
      </c>
      <c r="K62" s="2" t="str">
        <f t="shared" si="3"/>
        <v>A</v>
      </c>
      <c r="L62" s="2" t="str">
        <f t="shared" si="4"/>
        <v>A</v>
      </c>
      <c r="M62" s="2" t="s">
        <v>106</v>
      </c>
      <c r="N62" s="2">
        <f t="shared" si="5"/>
        <v>0</v>
      </c>
      <c r="O62" s="2" t="s">
        <v>22</v>
      </c>
      <c r="P62" s="2">
        <v>40</v>
      </c>
    </row>
    <row r="63" ht="23" customHeight="1" spans="1:16">
      <c r="A63" s="6" t="s">
        <v>102</v>
      </c>
      <c r="B63" s="2" t="s">
        <v>15</v>
      </c>
      <c r="C63" s="2" t="s">
        <v>23</v>
      </c>
      <c r="D63" s="2">
        <v>1</v>
      </c>
      <c r="E63" s="6" t="s">
        <v>497</v>
      </c>
      <c r="F63" s="2" t="str">
        <f t="shared" si="0"/>
        <v>B</v>
      </c>
      <c r="G63" s="2">
        <v>5</v>
      </c>
      <c r="H63" s="2" t="str">
        <f t="shared" si="1"/>
        <v>A</v>
      </c>
      <c r="I63" s="2">
        <v>5</v>
      </c>
      <c r="J63" s="2">
        <f t="shared" si="2"/>
        <v>0</v>
      </c>
      <c r="K63" s="2" t="str">
        <f t="shared" si="3"/>
        <v>C</v>
      </c>
      <c r="L63" s="2" t="str">
        <f t="shared" si="4"/>
        <v>D(平局)</v>
      </c>
      <c r="M63" s="2" t="s">
        <v>106</v>
      </c>
      <c r="N63" s="2">
        <f t="shared" si="5"/>
        <v>1</v>
      </c>
      <c r="O63" s="2" t="s">
        <v>77</v>
      </c>
      <c r="P63" s="2">
        <v>41</v>
      </c>
    </row>
    <row r="64" ht="23" customHeight="1" spans="1:16">
      <c r="A64" s="6" t="s">
        <v>102</v>
      </c>
      <c r="B64" s="2" t="s">
        <v>15</v>
      </c>
      <c r="C64" s="2" t="s">
        <v>17</v>
      </c>
      <c r="D64" s="2">
        <v>2</v>
      </c>
      <c r="E64" s="6" t="s">
        <v>498</v>
      </c>
      <c r="F64" s="2" t="str">
        <f t="shared" si="0"/>
        <v>A</v>
      </c>
      <c r="G64" s="2">
        <v>5</v>
      </c>
      <c r="H64" s="2" t="str">
        <f t="shared" si="1"/>
        <v>B</v>
      </c>
      <c r="I64" s="2">
        <v>5</v>
      </c>
      <c r="J64" s="2">
        <f t="shared" si="2"/>
        <v>0</v>
      </c>
      <c r="K64" s="2" t="str">
        <f t="shared" si="3"/>
        <v>C</v>
      </c>
      <c r="L64" s="2" t="str">
        <f t="shared" si="4"/>
        <v>D(平局)</v>
      </c>
      <c r="M64" s="2" t="s">
        <v>106</v>
      </c>
      <c r="N64" s="2">
        <f t="shared" si="5"/>
        <v>1</v>
      </c>
      <c r="O64" s="2" t="s">
        <v>22</v>
      </c>
      <c r="P64" s="2">
        <v>40</v>
      </c>
    </row>
    <row r="65" ht="23" customHeight="1" spans="1:16">
      <c r="A65" s="6" t="s">
        <v>102</v>
      </c>
      <c r="B65" s="2" t="s">
        <v>15</v>
      </c>
      <c r="C65" s="2" t="s">
        <v>23</v>
      </c>
      <c r="D65" s="2">
        <v>2</v>
      </c>
      <c r="E65" s="6" t="s">
        <v>498</v>
      </c>
      <c r="F65" s="2" t="str">
        <f t="shared" si="0"/>
        <v>B</v>
      </c>
      <c r="G65" s="2">
        <v>5</v>
      </c>
      <c r="H65" s="2" t="str">
        <f t="shared" si="1"/>
        <v>A</v>
      </c>
      <c r="I65" s="2">
        <v>5</v>
      </c>
      <c r="J65" s="2">
        <f t="shared" si="2"/>
        <v>0</v>
      </c>
      <c r="K65" s="2" t="str">
        <f t="shared" si="3"/>
        <v>C</v>
      </c>
      <c r="L65" s="2" t="str">
        <f t="shared" si="4"/>
        <v>D(平局)</v>
      </c>
      <c r="M65" s="2" t="s">
        <v>106</v>
      </c>
      <c r="N65" s="2">
        <f t="shared" si="5"/>
        <v>1</v>
      </c>
      <c r="O65" s="2" t="s">
        <v>77</v>
      </c>
      <c r="P65" s="2">
        <v>41</v>
      </c>
    </row>
    <row r="66" ht="23" customHeight="1" spans="1:16">
      <c r="A66" s="6" t="s">
        <v>102</v>
      </c>
      <c r="B66" s="2" t="s">
        <v>15</v>
      </c>
      <c r="C66" s="2" t="s">
        <v>17</v>
      </c>
      <c r="D66" s="2">
        <v>3</v>
      </c>
      <c r="E66" s="6" t="s">
        <v>499</v>
      </c>
      <c r="F66" s="2" t="str">
        <f t="shared" ref="F66:F129" si="6">IF(C66="l2r",LEFT(B66,1),RIGHT(B66,1))</f>
        <v>A</v>
      </c>
      <c r="G66" s="2">
        <v>5</v>
      </c>
      <c r="H66" s="2" t="str">
        <f t="shared" ref="H66:H129" si="7">IF(C66="l2r",RIGHT(B66,1),LEFT(B66,1))</f>
        <v>B</v>
      </c>
      <c r="I66" s="2">
        <v>4</v>
      </c>
      <c r="J66" s="2">
        <f t="shared" ref="J66:J129" si="8">G66-I66</f>
        <v>1</v>
      </c>
      <c r="K66" s="2" t="str">
        <f t="shared" ref="K66:K129" si="9">IF(J66=0,"C",IF(J66&gt;0,"A","B"))</f>
        <v>A</v>
      </c>
      <c r="L66" s="2" t="str">
        <f t="shared" ref="L66:L129" si="10">IF(J66=0,"D(平局)",IF(J66&gt;0,F66,H66))</f>
        <v>A</v>
      </c>
      <c r="M66" s="2" t="s">
        <v>106</v>
      </c>
      <c r="N66" s="2">
        <f t="shared" ref="N66:N129" si="11">--(L66=M66)</f>
        <v>0</v>
      </c>
      <c r="O66" s="2" t="s">
        <v>22</v>
      </c>
      <c r="P66" s="2">
        <v>40</v>
      </c>
    </row>
    <row r="67" ht="23" customHeight="1" spans="1:16">
      <c r="A67" s="6" t="s">
        <v>102</v>
      </c>
      <c r="B67" s="2" t="s">
        <v>15</v>
      </c>
      <c r="C67" s="2" t="s">
        <v>23</v>
      </c>
      <c r="D67" s="2">
        <v>3</v>
      </c>
      <c r="E67" s="6" t="s">
        <v>499</v>
      </c>
      <c r="F67" s="2" t="str">
        <f t="shared" si="6"/>
        <v>B</v>
      </c>
      <c r="G67" s="2">
        <v>5</v>
      </c>
      <c r="H67" s="2" t="str">
        <f t="shared" si="7"/>
        <v>A</v>
      </c>
      <c r="I67" s="2">
        <v>5</v>
      </c>
      <c r="J67" s="2">
        <f t="shared" si="8"/>
        <v>0</v>
      </c>
      <c r="K67" s="2" t="str">
        <f t="shared" si="9"/>
        <v>C</v>
      </c>
      <c r="L67" s="2" t="str">
        <f t="shared" si="10"/>
        <v>D(平局)</v>
      </c>
      <c r="M67" s="2" t="s">
        <v>106</v>
      </c>
      <c r="N67" s="2">
        <f t="shared" si="11"/>
        <v>1</v>
      </c>
      <c r="O67" s="2" t="s">
        <v>77</v>
      </c>
      <c r="P67" s="2">
        <v>41</v>
      </c>
    </row>
    <row r="68" ht="23" customHeight="1" spans="1:16">
      <c r="A68" s="6" t="s">
        <v>102</v>
      </c>
      <c r="B68" s="2" t="s">
        <v>15</v>
      </c>
      <c r="C68" s="2" t="s">
        <v>17</v>
      </c>
      <c r="D68" s="2">
        <v>4</v>
      </c>
      <c r="E68" s="6" t="s">
        <v>500</v>
      </c>
      <c r="F68" s="2" t="str">
        <f t="shared" si="6"/>
        <v>A</v>
      </c>
      <c r="G68" s="2">
        <v>5</v>
      </c>
      <c r="H68" s="2" t="str">
        <f t="shared" si="7"/>
        <v>B</v>
      </c>
      <c r="I68" s="2">
        <v>5</v>
      </c>
      <c r="J68" s="2">
        <f t="shared" si="8"/>
        <v>0</v>
      </c>
      <c r="K68" s="2" t="str">
        <f t="shared" si="9"/>
        <v>C</v>
      </c>
      <c r="L68" s="2" t="str">
        <f t="shared" si="10"/>
        <v>D(平局)</v>
      </c>
      <c r="M68" s="2" t="s">
        <v>106</v>
      </c>
      <c r="N68" s="2">
        <f t="shared" si="11"/>
        <v>1</v>
      </c>
      <c r="O68" s="2" t="s">
        <v>22</v>
      </c>
      <c r="P68" s="2">
        <v>40</v>
      </c>
    </row>
    <row r="69" ht="23" customHeight="1" spans="1:16">
      <c r="A69" s="6" t="s">
        <v>102</v>
      </c>
      <c r="B69" s="2" t="s">
        <v>15</v>
      </c>
      <c r="C69" s="2" t="s">
        <v>23</v>
      </c>
      <c r="D69" s="2">
        <v>4</v>
      </c>
      <c r="E69" s="6" t="s">
        <v>500</v>
      </c>
      <c r="F69" s="2" t="str">
        <f t="shared" si="6"/>
        <v>B</v>
      </c>
      <c r="G69" s="2">
        <v>5</v>
      </c>
      <c r="H69" s="2" t="str">
        <f t="shared" si="7"/>
        <v>A</v>
      </c>
      <c r="I69" s="2">
        <v>5</v>
      </c>
      <c r="J69" s="2">
        <f t="shared" si="8"/>
        <v>0</v>
      </c>
      <c r="K69" s="2" t="str">
        <f t="shared" si="9"/>
        <v>C</v>
      </c>
      <c r="L69" s="2" t="str">
        <f t="shared" si="10"/>
        <v>D(平局)</v>
      </c>
      <c r="M69" s="2" t="s">
        <v>106</v>
      </c>
      <c r="N69" s="2">
        <f t="shared" si="11"/>
        <v>1</v>
      </c>
      <c r="O69" s="2" t="s">
        <v>77</v>
      </c>
      <c r="P69" s="2">
        <v>41</v>
      </c>
    </row>
    <row r="70" ht="23" customHeight="1" spans="1:16">
      <c r="A70" s="6" t="s">
        <v>102</v>
      </c>
      <c r="B70" s="2" t="s">
        <v>15</v>
      </c>
      <c r="C70" s="2" t="s">
        <v>17</v>
      </c>
      <c r="D70" s="2">
        <v>5</v>
      </c>
      <c r="E70" s="6" t="s">
        <v>501</v>
      </c>
      <c r="F70" s="2" t="str">
        <f t="shared" si="6"/>
        <v>A</v>
      </c>
      <c r="G70" s="2">
        <v>5</v>
      </c>
      <c r="H70" s="2" t="str">
        <f t="shared" si="7"/>
        <v>B</v>
      </c>
      <c r="I70" s="2">
        <v>5</v>
      </c>
      <c r="J70" s="2">
        <f t="shared" si="8"/>
        <v>0</v>
      </c>
      <c r="K70" s="2" t="str">
        <f t="shared" si="9"/>
        <v>C</v>
      </c>
      <c r="L70" s="2" t="str">
        <f t="shared" si="10"/>
        <v>D(平局)</v>
      </c>
      <c r="M70" s="2" t="s">
        <v>106</v>
      </c>
      <c r="N70" s="2">
        <f t="shared" si="11"/>
        <v>1</v>
      </c>
      <c r="O70" s="2" t="s">
        <v>22</v>
      </c>
      <c r="P70" s="2">
        <v>40</v>
      </c>
    </row>
    <row r="71" ht="23" customHeight="1" spans="1:16">
      <c r="A71" s="6" t="s">
        <v>102</v>
      </c>
      <c r="B71" s="2" t="s">
        <v>15</v>
      </c>
      <c r="C71" s="2" t="s">
        <v>23</v>
      </c>
      <c r="D71" s="2">
        <v>5</v>
      </c>
      <c r="E71" s="6" t="s">
        <v>501</v>
      </c>
      <c r="F71" s="2" t="str">
        <f t="shared" si="6"/>
        <v>B</v>
      </c>
      <c r="G71" s="2">
        <v>5</v>
      </c>
      <c r="H71" s="2" t="str">
        <f t="shared" si="7"/>
        <v>A</v>
      </c>
      <c r="I71" s="2">
        <v>5</v>
      </c>
      <c r="J71" s="2">
        <f t="shared" si="8"/>
        <v>0</v>
      </c>
      <c r="K71" s="2" t="str">
        <f t="shared" si="9"/>
        <v>C</v>
      </c>
      <c r="L71" s="2" t="str">
        <f t="shared" si="10"/>
        <v>D(平局)</v>
      </c>
      <c r="M71" s="2" t="s">
        <v>106</v>
      </c>
      <c r="N71" s="2">
        <f t="shared" si="11"/>
        <v>1</v>
      </c>
      <c r="O71" s="2" t="s">
        <v>77</v>
      </c>
      <c r="P71" s="2">
        <v>41</v>
      </c>
    </row>
    <row r="72" ht="23" customHeight="1" spans="1:16">
      <c r="A72" s="6" t="s">
        <v>102</v>
      </c>
      <c r="B72" s="2" t="s">
        <v>37</v>
      </c>
      <c r="C72" s="2" t="s">
        <v>17</v>
      </c>
      <c r="D72" s="2">
        <v>1</v>
      </c>
      <c r="E72" s="6" t="s">
        <v>497</v>
      </c>
      <c r="F72" s="2" t="str">
        <f t="shared" si="6"/>
        <v>A</v>
      </c>
      <c r="G72" s="2">
        <v>5</v>
      </c>
      <c r="H72" s="2" t="str">
        <f t="shared" si="7"/>
        <v>C</v>
      </c>
      <c r="I72" s="2">
        <v>2</v>
      </c>
      <c r="J72" s="2">
        <f t="shared" si="8"/>
        <v>3</v>
      </c>
      <c r="K72" s="2" t="str">
        <f t="shared" si="9"/>
        <v>A</v>
      </c>
      <c r="L72" s="2" t="str">
        <f t="shared" si="10"/>
        <v>A</v>
      </c>
      <c r="M72" s="2" t="s">
        <v>22</v>
      </c>
      <c r="N72" s="2">
        <f t="shared" si="11"/>
        <v>1</v>
      </c>
      <c r="O72" s="2" t="s">
        <v>22</v>
      </c>
      <c r="P72" s="2">
        <v>46</v>
      </c>
    </row>
    <row r="73" ht="23" customHeight="1" spans="1:16">
      <c r="A73" s="6" t="s">
        <v>102</v>
      </c>
      <c r="B73" s="2" t="s">
        <v>37</v>
      </c>
      <c r="C73" s="2" t="s">
        <v>23</v>
      </c>
      <c r="D73" s="2">
        <v>1</v>
      </c>
      <c r="E73" s="6" t="s">
        <v>497</v>
      </c>
      <c r="F73" s="2" t="str">
        <f t="shared" si="6"/>
        <v>C</v>
      </c>
      <c r="G73" s="2">
        <v>2</v>
      </c>
      <c r="H73" s="2" t="str">
        <f t="shared" si="7"/>
        <v>A</v>
      </c>
      <c r="I73" s="2">
        <v>5</v>
      </c>
      <c r="J73" s="2">
        <f t="shared" si="8"/>
        <v>-3</v>
      </c>
      <c r="K73" s="2" t="str">
        <f t="shared" si="9"/>
        <v>B</v>
      </c>
      <c r="L73" s="2" t="str">
        <f t="shared" si="10"/>
        <v>A</v>
      </c>
      <c r="M73" s="2" t="s">
        <v>22</v>
      </c>
      <c r="N73" s="2">
        <f t="shared" si="11"/>
        <v>1</v>
      </c>
      <c r="O73" s="2" t="s">
        <v>26</v>
      </c>
      <c r="P73" s="2">
        <v>47</v>
      </c>
    </row>
    <row r="74" ht="23" customHeight="1" spans="1:16">
      <c r="A74" s="6" t="s">
        <v>102</v>
      </c>
      <c r="B74" s="2" t="s">
        <v>37</v>
      </c>
      <c r="C74" s="2" t="s">
        <v>17</v>
      </c>
      <c r="D74" s="2">
        <v>2</v>
      </c>
      <c r="E74" s="6" t="s">
        <v>498</v>
      </c>
      <c r="F74" s="2" t="str">
        <f t="shared" si="6"/>
        <v>A</v>
      </c>
      <c r="G74" s="2">
        <v>5</v>
      </c>
      <c r="H74" s="2" t="str">
        <f t="shared" si="7"/>
        <v>C</v>
      </c>
      <c r="I74" s="2">
        <v>1</v>
      </c>
      <c r="J74" s="2">
        <f t="shared" si="8"/>
        <v>4</v>
      </c>
      <c r="K74" s="2" t="str">
        <f t="shared" si="9"/>
        <v>A</v>
      </c>
      <c r="L74" s="2" t="str">
        <f t="shared" si="10"/>
        <v>A</v>
      </c>
      <c r="M74" s="2" t="s">
        <v>22</v>
      </c>
      <c r="N74" s="2">
        <f t="shared" si="11"/>
        <v>1</v>
      </c>
      <c r="O74" s="2" t="s">
        <v>22</v>
      </c>
      <c r="P74" s="2">
        <v>46</v>
      </c>
    </row>
    <row r="75" ht="23" customHeight="1" spans="1:16">
      <c r="A75" s="6" t="s">
        <v>102</v>
      </c>
      <c r="B75" s="2" t="s">
        <v>37</v>
      </c>
      <c r="C75" s="2" t="s">
        <v>23</v>
      </c>
      <c r="D75" s="2">
        <v>2</v>
      </c>
      <c r="E75" s="6" t="s">
        <v>498</v>
      </c>
      <c r="F75" s="2" t="str">
        <f t="shared" si="6"/>
        <v>C</v>
      </c>
      <c r="G75" s="2">
        <v>1</v>
      </c>
      <c r="H75" s="2" t="str">
        <f t="shared" si="7"/>
        <v>A</v>
      </c>
      <c r="I75" s="2">
        <v>5</v>
      </c>
      <c r="J75" s="2">
        <f t="shared" si="8"/>
        <v>-4</v>
      </c>
      <c r="K75" s="2" t="str">
        <f t="shared" si="9"/>
        <v>B</v>
      </c>
      <c r="L75" s="2" t="str">
        <f t="shared" si="10"/>
        <v>A</v>
      </c>
      <c r="M75" s="2" t="s">
        <v>22</v>
      </c>
      <c r="N75" s="2">
        <f t="shared" si="11"/>
        <v>1</v>
      </c>
      <c r="O75" s="2" t="s">
        <v>26</v>
      </c>
      <c r="P75" s="2">
        <v>47</v>
      </c>
    </row>
    <row r="76" ht="23" customHeight="1" spans="1:16">
      <c r="A76" s="6" t="s">
        <v>102</v>
      </c>
      <c r="B76" s="2" t="s">
        <v>37</v>
      </c>
      <c r="C76" s="2" t="s">
        <v>17</v>
      </c>
      <c r="D76" s="2">
        <v>3</v>
      </c>
      <c r="E76" s="6" t="s">
        <v>499</v>
      </c>
      <c r="F76" s="2" t="str">
        <f t="shared" si="6"/>
        <v>A</v>
      </c>
      <c r="G76" s="2">
        <v>5</v>
      </c>
      <c r="H76" s="2" t="str">
        <f t="shared" si="7"/>
        <v>C</v>
      </c>
      <c r="I76" s="2">
        <v>3</v>
      </c>
      <c r="J76" s="2">
        <f t="shared" si="8"/>
        <v>2</v>
      </c>
      <c r="K76" s="2" t="str">
        <f t="shared" si="9"/>
        <v>A</v>
      </c>
      <c r="L76" s="2" t="str">
        <f t="shared" si="10"/>
        <v>A</v>
      </c>
      <c r="M76" s="2" t="s">
        <v>22</v>
      </c>
      <c r="N76" s="2">
        <f t="shared" si="11"/>
        <v>1</v>
      </c>
      <c r="O76" s="2" t="s">
        <v>22</v>
      </c>
      <c r="P76" s="2">
        <v>46</v>
      </c>
    </row>
    <row r="77" ht="23" customHeight="1" spans="1:16">
      <c r="A77" s="6" t="s">
        <v>102</v>
      </c>
      <c r="B77" s="2" t="s">
        <v>37</v>
      </c>
      <c r="C77" s="2" t="s">
        <v>23</v>
      </c>
      <c r="D77" s="2">
        <v>3</v>
      </c>
      <c r="E77" s="6" t="s">
        <v>499</v>
      </c>
      <c r="F77" s="2" t="str">
        <f t="shared" si="6"/>
        <v>C</v>
      </c>
      <c r="G77" s="2">
        <v>2</v>
      </c>
      <c r="H77" s="2" t="str">
        <f t="shared" si="7"/>
        <v>A</v>
      </c>
      <c r="I77" s="2">
        <v>5</v>
      </c>
      <c r="J77" s="2">
        <f t="shared" si="8"/>
        <v>-3</v>
      </c>
      <c r="K77" s="2" t="str">
        <f t="shared" si="9"/>
        <v>B</v>
      </c>
      <c r="L77" s="2" t="str">
        <f t="shared" si="10"/>
        <v>A</v>
      </c>
      <c r="M77" s="2" t="s">
        <v>22</v>
      </c>
      <c r="N77" s="2">
        <f t="shared" si="11"/>
        <v>1</v>
      </c>
      <c r="O77" s="2" t="s">
        <v>26</v>
      </c>
      <c r="P77" s="2">
        <v>47</v>
      </c>
    </row>
    <row r="78" ht="23" customHeight="1" spans="1:16">
      <c r="A78" s="6" t="s">
        <v>102</v>
      </c>
      <c r="B78" s="2" t="s">
        <v>37</v>
      </c>
      <c r="C78" s="2" t="s">
        <v>17</v>
      </c>
      <c r="D78" s="2">
        <v>4</v>
      </c>
      <c r="E78" s="6" t="s">
        <v>500</v>
      </c>
      <c r="F78" s="2" t="str">
        <f t="shared" si="6"/>
        <v>A</v>
      </c>
      <c r="G78" s="2">
        <v>5</v>
      </c>
      <c r="H78" s="2" t="str">
        <f t="shared" si="7"/>
        <v>C</v>
      </c>
      <c r="I78" s="2">
        <v>2</v>
      </c>
      <c r="J78" s="2">
        <f t="shared" si="8"/>
        <v>3</v>
      </c>
      <c r="K78" s="2" t="str">
        <f t="shared" si="9"/>
        <v>A</v>
      </c>
      <c r="L78" s="2" t="str">
        <f t="shared" si="10"/>
        <v>A</v>
      </c>
      <c r="M78" s="2" t="s">
        <v>22</v>
      </c>
      <c r="N78" s="2">
        <f t="shared" si="11"/>
        <v>1</v>
      </c>
      <c r="O78" s="2" t="s">
        <v>22</v>
      </c>
      <c r="P78" s="2">
        <v>46</v>
      </c>
    </row>
    <row r="79" ht="23" customHeight="1" spans="1:16">
      <c r="A79" s="6" t="s">
        <v>102</v>
      </c>
      <c r="B79" s="2" t="s">
        <v>37</v>
      </c>
      <c r="C79" s="2" t="s">
        <v>23</v>
      </c>
      <c r="D79" s="2">
        <v>4</v>
      </c>
      <c r="E79" s="6" t="s">
        <v>500</v>
      </c>
      <c r="F79" s="2" t="str">
        <f t="shared" si="6"/>
        <v>C</v>
      </c>
      <c r="G79" s="2">
        <v>2</v>
      </c>
      <c r="H79" s="2" t="str">
        <f t="shared" si="7"/>
        <v>A</v>
      </c>
      <c r="I79" s="2">
        <v>5</v>
      </c>
      <c r="J79" s="2">
        <f t="shared" si="8"/>
        <v>-3</v>
      </c>
      <c r="K79" s="2" t="str">
        <f t="shared" si="9"/>
        <v>B</v>
      </c>
      <c r="L79" s="2" t="str">
        <f t="shared" si="10"/>
        <v>A</v>
      </c>
      <c r="M79" s="2" t="s">
        <v>22</v>
      </c>
      <c r="N79" s="2">
        <f t="shared" si="11"/>
        <v>1</v>
      </c>
      <c r="O79" s="2" t="s">
        <v>26</v>
      </c>
      <c r="P79" s="2">
        <v>47</v>
      </c>
    </row>
    <row r="80" ht="23" customHeight="1" spans="1:16">
      <c r="A80" s="6" t="s">
        <v>102</v>
      </c>
      <c r="B80" s="2" t="s">
        <v>37</v>
      </c>
      <c r="C80" s="2" t="s">
        <v>17</v>
      </c>
      <c r="D80" s="2">
        <v>5</v>
      </c>
      <c r="E80" s="6" t="s">
        <v>501</v>
      </c>
      <c r="F80" s="2" t="str">
        <f t="shared" si="6"/>
        <v>A</v>
      </c>
      <c r="G80" s="2">
        <v>5</v>
      </c>
      <c r="H80" s="2" t="str">
        <f t="shared" si="7"/>
        <v>C</v>
      </c>
      <c r="I80" s="2">
        <v>3</v>
      </c>
      <c r="J80" s="2">
        <f t="shared" si="8"/>
        <v>2</v>
      </c>
      <c r="K80" s="2" t="str">
        <f t="shared" si="9"/>
        <v>A</v>
      </c>
      <c r="L80" s="2" t="str">
        <f t="shared" si="10"/>
        <v>A</v>
      </c>
      <c r="M80" s="2" t="s">
        <v>22</v>
      </c>
      <c r="N80" s="2">
        <f t="shared" si="11"/>
        <v>1</v>
      </c>
      <c r="O80" s="2" t="s">
        <v>22</v>
      </c>
      <c r="P80" s="2">
        <v>46</v>
      </c>
    </row>
    <row r="81" ht="23" customHeight="1" spans="1:16">
      <c r="A81" s="6" t="s">
        <v>102</v>
      </c>
      <c r="B81" s="2" t="s">
        <v>37</v>
      </c>
      <c r="C81" s="2" t="s">
        <v>23</v>
      </c>
      <c r="D81" s="2">
        <v>5</v>
      </c>
      <c r="E81" s="6" t="s">
        <v>501</v>
      </c>
      <c r="F81" s="2" t="str">
        <f t="shared" si="6"/>
        <v>C</v>
      </c>
      <c r="G81" s="2">
        <v>3</v>
      </c>
      <c r="H81" s="2" t="str">
        <f t="shared" si="7"/>
        <v>A</v>
      </c>
      <c r="I81" s="2">
        <v>5</v>
      </c>
      <c r="J81" s="2">
        <f t="shared" si="8"/>
        <v>-2</v>
      </c>
      <c r="K81" s="2" t="str">
        <f t="shared" si="9"/>
        <v>B</v>
      </c>
      <c r="L81" s="2" t="str">
        <f t="shared" si="10"/>
        <v>A</v>
      </c>
      <c r="M81" s="2" t="s">
        <v>22</v>
      </c>
      <c r="N81" s="2">
        <f t="shared" si="11"/>
        <v>1</v>
      </c>
      <c r="O81" s="2" t="s">
        <v>26</v>
      </c>
      <c r="P81" s="2">
        <v>47</v>
      </c>
    </row>
    <row r="82" ht="23" customHeight="1" spans="1:16">
      <c r="A82" s="6" t="s">
        <v>102</v>
      </c>
      <c r="B82" s="2" t="s">
        <v>50</v>
      </c>
      <c r="C82" s="2" t="s">
        <v>17</v>
      </c>
      <c r="D82" s="2">
        <v>1</v>
      </c>
      <c r="E82" s="6" t="s">
        <v>497</v>
      </c>
      <c r="F82" s="2" t="str">
        <f t="shared" si="6"/>
        <v>B</v>
      </c>
      <c r="G82" s="2">
        <v>5</v>
      </c>
      <c r="H82" s="2" t="str">
        <f t="shared" si="7"/>
        <v>C</v>
      </c>
      <c r="I82" s="2">
        <v>2</v>
      </c>
      <c r="J82" s="2">
        <f t="shared" si="8"/>
        <v>3</v>
      </c>
      <c r="K82" s="2" t="str">
        <f t="shared" si="9"/>
        <v>A</v>
      </c>
      <c r="L82" s="2" t="str">
        <f t="shared" si="10"/>
        <v>B</v>
      </c>
      <c r="M82" s="2" t="s">
        <v>26</v>
      </c>
      <c r="N82" s="2">
        <f t="shared" si="11"/>
        <v>1</v>
      </c>
      <c r="O82" s="2" t="s">
        <v>22</v>
      </c>
      <c r="P82" s="2">
        <v>52</v>
      </c>
    </row>
    <row r="83" ht="23" customHeight="1" spans="1:16">
      <c r="A83" s="6" t="s">
        <v>102</v>
      </c>
      <c r="B83" s="2" t="s">
        <v>50</v>
      </c>
      <c r="C83" s="2" t="s">
        <v>23</v>
      </c>
      <c r="D83" s="2">
        <v>1</v>
      </c>
      <c r="E83" s="6" t="s">
        <v>497</v>
      </c>
      <c r="F83" s="2" t="str">
        <f t="shared" si="6"/>
        <v>C</v>
      </c>
      <c r="G83" s="2">
        <v>3</v>
      </c>
      <c r="H83" s="2" t="str">
        <f t="shared" si="7"/>
        <v>B</v>
      </c>
      <c r="I83" s="2">
        <v>5</v>
      </c>
      <c r="J83" s="2">
        <f t="shared" si="8"/>
        <v>-2</v>
      </c>
      <c r="K83" s="2" t="str">
        <f t="shared" si="9"/>
        <v>B</v>
      </c>
      <c r="L83" s="2" t="str">
        <f t="shared" si="10"/>
        <v>B</v>
      </c>
      <c r="M83" s="2" t="s">
        <v>26</v>
      </c>
      <c r="N83" s="2">
        <f t="shared" si="11"/>
        <v>1</v>
      </c>
      <c r="O83" s="2" t="s">
        <v>26</v>
      </c>
      <c r="P83" s="2">
        <v>53</v>
      </c>
    </row>
    <row r="84" ht="23" customHeight="1" spans="1:16">
      <c r="A84" s="6" t="s">
        <v>102</v>
      </c>
      <c r="B84" s="2" t="s">
        <v>50</v>
      </c>
      <c r="C84" s="2" t="s">
        <v>17</v>
      </c>
      <c r="D84" s="2">
        <v>2</v>
      </c>
      <c r="E84" s="6" t="s">
        <v>498</v>
      </c>
      <c r="F84" s="2" t="str">
        <f t="shared" si="6"/>
        <v>B</v>
      </c>
      <c r="G84" s="2">
        <v>5</v>
      </c>
      <c r="H84" s="2" t="str">
        <f t="shared" si="7"/>
        <v>C</v>
      </c>
      <c r="I84" s="2">
        <v>1</v>
      </c>
      <c r="J84" s="2">
        <f t="shared" si="8"/>
        <v>4</v>
      </c>
      <c r="K84" s="2" t="str">
        <f t="shared" si="9"/>
        <v>A</v>
      </c>
      <c r="L84" s="2" t="str">
        <f t="shared" si="10"/>
        <v>B</v>
      </c>
      <c r="M84" s="2" t="s">
        <v>26</v>
      </c>
      <c r="N84" s="2">
        <f t="shared" si="11"/>
        <v>1</v>
      </c>
      <c r="O84" s="2" t="s">
        <v>22</v>
      </c>
      <c r="P84" s="2">
        <v>52</v>
      </c>
    </row>
    <row r="85" ht="23" customHeight="1" spans="1:16">
      <c r="A85" s="6" t="s">
        <v>102</v>
      </c>
      <c r="B85" s="2" t="s">
        <v>50</v>
      </c>
      <c r="C85" s="2" t="s">
        <v>23</v>
      </c>
      <c r="D85" s="2">
        <v>2</v>
      </c>
      <c r="E85" s="6" t="s">
        <v>498</v>
      </c>
      <c r="F85" s="2" t="str">
        <f t="shared" si="6"/>
        <v>C</v>
      </c>
      <c r="G85" s="2">
        <v>1</v>
      </c>
      <c r="H85" s="2" t="str">
        <f t="shared" si="7"/>
        <v>B</v>
      </c>
      <c r="I85" s="2">
        <v>5</v>
      </c>
      <c r="J85" s="2">
        <f t="shared" si="8"/>
        <v>-4</v>
      </c>
      <c r="K85" s="2" t="str">
        <f t="shared" si="9"/>
        <v>B</v>
      </c>
      <c r="L85" s="2" t="str">
        <f t="shared" si="10"/>
        <v>B</v>
      </c>
      <c r="M85" s="2" t="s">
        <v>26</v>
      </c>
      <c r="N85" s="2">
        <f t="shared" si="11"/>
        <v>1</v>
      </c>
      <c r="O85" s="2" t="s">
        <v>26</v>
      </c>
      <c r="P85" s="2">
        <v>53</v>
      </c>
    </row>
    <row r="86" ht="23" customHeight="1" spans="1:16">
      <c r="A86" s="6" t="s">
        <v>102</v>
      </c>
      <c r="B86" s="2" t="s">
        <v>50</v>
      </c>
      <c r="C86" s="2" t="s">
        <v>17</v>
      </c>
      <c r="D86" s="2">
        <v>3</v>
      </c>
      <c r="E86" s="6" t="s">
        <v>499</v>
      </c>
      <c r="F86" s="2" t="str">
        <f t="shared" si="6"/>
        <v>B</v>
      </c>
      <c r="G86" s="2">
        <v>5</v>
      </c>
      <c r="H86" s="2" t="str">
        <f t="shared" si="7"/>
        <v>C</v>
      </c>
      <c r="I86" s="2">
        <v>2</v>
      </c>
      <c r="J86" s="2">
        <f t="shared" si="8"/>
        <v>3</v>
      </c>
      <c r="K86" s="2" t="str">
        <f t="shared" si="9"/>
        <v>A</v>
      </c>
      <c r="L86" s="2" t="str">
        <f t="shared" si="10"/>
        <v>B</v>
      </c>
      <c r="M86" s="2" t="s">
        <v>26</v>
      </c>
      <c r="N86" s="2">
        <f t="shared" si="11"/>
        <v>1</v>
      </c>
      <c r="O86" s="2" t="s">
        <v>22</v>
      </c>
      <c r="P86" s="2">
        <v>52</v>
      </c>
    </row>
    <row r="87" ht="23" customHeight="1" spans="1:16">
      <c r="A87" s="6" t="s">
        <v>102</v>
      </c>
      <c r="B87" s="2" t="s">
        <v>50</v>
      </c>
      <c r="C87" s="2" t="s">
        <v>23</v>
      </c>
      <c r="D87" s="2">
        <v>3</v>
      </c>
      <c r="E87" s="6" t="s">
        <v>499</v>
      </c>
      <c r="F87" s="2" t="str">
        <f t="shared" si="6"/>
        <v>C</v>
      </c>
      <c r="G87" s="2">
        <v>3</v>
      </c>
      <c r="H87" s="2" t="str">
        <f t="shared" si="7"/>
        <v>B</v>
      </c>
      <c r="I87" s="2">
        <v>5</v>
      </c>
      <c r="J87" s="2">
        <f t="shared" si="8"/>
        <v>-2</v>
      </c>
      <c r="K87" s="2" t="str">
        <f t="shared" si="9"/>
        <v>B</v>
      </c>
      <c r="L87" s="2" t="str">
        <f t="shared" si="10"/>
        <v>B</v>
      </c>
      <c r="M87" s="2" t="s">
        <v>26</v>
      </c>
      <c r="N87" s="2">
        <f t="shared" si="11"/>
        <v>1</v>
      </c>
      <c r="O87" s="2" t="s">
        <v>26</v>
      </c>
      <c r="P87" s="2">
        <v>53</v>
      </c>
    </row>
    <row r="88" ht="23" customHeight="1" spans="1:16">
      <c r="A88" s="6" t="s">
        <v>102</v>
      </c>
      <c r="B88" s="2" t="s">
        <v>50</v>
      </c>
      <c r="C88" s="2" t="s">
        <v>17</v>
      </c>
      <c r="D88" s="2">
        <v>4</v>
      </c>
      <c r="E88" s="6" t="s">
        <v>500</v>
      </c>
      <c r="F88" s="2" t="str">
        <f t="shared" si="6"/>
        <v>B</v>
      </c>
      <c r="G88" s="2">
        <v>5</v>
      </c>
      <c r="H88" s="2" t="str">
        <f t="shared" si="7"/>
        <v>C</v>
      </c>
      <c r="I88" s="2">
        <v>2</v>
      </c>
      <c r="J88" s="2">
        <f t="shared" si="8"/>
        <v>3</v>
      </c>
      <c r="K88" s="2" t="str">
        <f t="shared" si="9"/>
        <v>A</v>
      </c>
      <c r="L88" s="2" t="str">
        <f t="shared" si="10"/>
        <v>B</v>
      </c>
      <c r="M88" s="2" t="s">
        <v>26</v>
      </c>
      <c r="N88" s="2">
        <f t="shared" si="11"/>
        <v>1</v>
      </c>
      <c r="O88" s="2" t="s">
        <v>22</v>
      </c>
      <c r="P88" s="2">
        <v>52</v>
      </c>
    </row>
    <row r="89" ht="23" customHeight="1" spans="1:16">
      <c r="A89" s="6" t="s">
        <v>102</v>
      </c>
      <c r="B89" s="2" t="s">
        <v>50</v>
      </c>
      <c r="C89" s="2" t="s">
        <v>23</v>
      </c>
      <c r="D89" s="2">
        <v>4</v>
      </c>
      <c r="E89" s="6" t="s">
        <v>500</v>
      </c>
      <c r="F89" s="2" t="str">
        <f t="shared" si="6"/>
        <v>C</v>
      </c>
      <c r="G89" s="2">
        <v>3</v>
      </c>
      <c r="H89" s="2" t="str">
        <f t="shared" si="7"/>
        <v>B</v>
      </c>
      <c r="I89" s="2">
        <v>5</v>
      </c>
      <c r="J89" s="2">
        <f t="shared" si="8"/>
        <v>-2</v>
      </c>
      <c r="K89" s="2" t="str">
        <f t="shared" si="9"/>
        <v>B</v>
      </c>
      <c r="L89" s="2" t="str">
        <f t="shared" si="10"/>
        <v>B</v>
      </c>
      <c r="M89" s="2" t="s">
        <v>26</v>
      </c>
      <c r="N89" s="2">
        <f t="shared" si="11"/>
        <v>1</v>
      </c>
      <c r="O89" s="2" t="s">
        <v>26</v>
      </c>
      <c r="P89" s="2">
        <v>53</v>
      </c>
    </row>
    <row r="90" ht="23" customHeight="1" spans="1:16">
      <c r="A90" s="6" t="s">
        <v>102</v>
      </c>
      <c r="B90" s="2" t="s">
        <v>50</v>
      </c>
      <c r="C90" s="2" t="s">
        <v>17</v>
      </c>
      <c r="D90" s="2">
        <v>5</v>
      </c>
      <c r="E90" s="6" t="s">
        <v>501</v>
      </c>
      <c r="F90" s="2" t="str">
        <f t="shared" si="6"/>
        <v>B</v>
      </c>
      <c r="G90" s="2">
        <v>5</v>
      </c>
      <c r="H90" s="2" t="str">
        <f t="shared" si="7"/>
        <v>C</v>
      </c>
      <c r="I90" s="2">
        <v>3</v>
      </c>
      <c r="J90" s="2">
        <f t="shared" si="8"/>
        <v>2</v>
      </c>
      <c r="K90" s="2" t="str">
        <f t="shared" si="9"/>
        <v>A</v>
      </c>
      <c r="L90" s="2" t="str">
        <f t="shared" si="10"/>
        <v>B</v>
      </c>
      <c r="M90" s="2" t="s">
        <v>26</v>
      </c>
      <c r="N90" s="2">
        <f t="shared" si="11"/>
        <v>1</v>
      </c>
      <c r="O90" s="2" t="s">
        <v>22</v>
      </c>
      <c r="P90" s="2">
        <v>52</v>
      </c>
    </row>
    <row r="91" ht="23" customHeight="1" spans="1:16">
      <c r="A91" s="6" t="s">
        <v>102</v>
      </c>
      <c r="B91" s="2" t="s">
        <v>50</v>
      </c>
      <c r="C91" s="2" t="s">
        <v>23</v>
      </c>
      <c r="D91" s="2">
        <v>5</v>
      </c>
      <c r="E91" s="6" t="s">
        <v>501</v>
      </c>
      <c r="F91" s="2" t="str">
        <f t="shared" si="6"/>
        <v>C</v>
      </c>
      <c r="G91" s="2">
        <v>2</v>
      </c>
      <c r="H91" s="2" t="str">
        <f t="shared" si="7"/>
        <v>B</v>
      </c>
      <c r="I91" s="2">
        <v>5</v>
      </c>
      <c r="J91" s="2">
        <f t="shared" si="8"/>
        <v>-3</v>
      </c>
      <c r="K91" s="2" t="str">
        <f t="shared" si="9"/>
        <v>B</v>
      </c>
      <c r="L91" s="2" t="str">
        <f t="shared" si="10"/>
        <v>B</v>
      </c>
      <c r="M91" s="2" t="s">
        <v>26</v>
      </c>
      <c r="N91" s="2">
        <f t="shared" si="11"/>
        <v>1</v>
      </c>
      <c r="O91" s="2" t="s">
        <v>26</v>
      </c>
      <c r="P91" s="2">
        <v>53</v>
      </c>
    </row>
    <row r="92" ht="23" customHeight="1" spans="1:16">
      <c r="A92" s="6" t="s">
        <v>141</v>
      </c>
      <c r="B92" s="2" t="s">
        <v>15</v>
      </c>
      <c r="C92" s="2" t="s">
        <v>17</v>
      </c>
      <c r="D92" s="2">
        <v>1</v>
      </c>
      <c r="E92" s="6" t="s">
        <v>497</v>
      </c>
      <c r="F92" s="2" t="str">
        <f t="shared" si="6"/>
        <v>A</v>
      </c>
      <c r="G92" s="2">
        <v>5</v>
      </c>
      <c r="H92" s="2" t="str">
        <f t="shared" si="7"/>
        <v>B</v>
      </c>
      <c r="I92" s="2">
        <v>5</v>
      </c>
      <c r="J92" s="2">
        <f t="shared" si="8"/>
        <v>0</v>
      </c>
      <c r="K92" s="2" t="str">
        <f t="shared" si="9"/>
        <v>C</v>
      </c>
      <c r="L92" s="2" t="str">
        <f t="shared" si="10"/>
        <v>D(平局)</v>
      </c>
      <c r="M92" s="2" t="s">
        <v>106</v>
      </c>
      <c r="N92" s="2">
        <f t="shared" si="11"/>
        <v>1</v>
      </c>
      <c r="O92" s="2" t="s">
        <v>77</v>
      </c>
      <c r="P92" s="2">
        <v>58</v>
      </c>
    </row>
    <row r="93" ht="23" customHeight="1" spans="1:16">
      <c r="A93" s="6" t="s">
        <v>141</v>
      </c>
      <c r="B93" s="2" t="s">
        <v>15</v>
      </c>
      <c r="C93" s="2" t="s">
        <v>23</v>
      </c>
      <c r="D93" s="2">
        <v>1</v>
      </c>
      <c r="E93" s="6" t="s">
        <v>497</v>
      </c>
      <c r="F93" s="2" t="str">
        <f t="shared" si="6"/>
        <v>B</v>
      </c>
      <c r="G93" s="2">
        <v>5</v>
      </c>
      <c r="H93" s="2" t="str">
        <f t="shared" si="7"/>
        <v>A</v>
      </c>
      <c r="I93" s="2">
        <v>5</v>
      </c>
      <c r="J93" s="2">
        <f t="shared" si="8"/>
        <v>0</v>
      </c>
      <c r="K93" s="2" t="str">
        <f t="shared" si="9"/>
        <v>C</v>
      </c>
      <c r="L93" s="2" t="str">
        <f t="shared" si="10"/>
        <v>D(平局)</v>
      </c>
      <c r="M93" s="2" t="s">
        <v>106</v>
      </c>
      <c r="N93" s="2">
        <f t="shared" si="11"/>
        <v>1</v>
      </c>
      <c r="O93" s="2" t="s">
        <v>77</v>
      </c>
      <c r="P93" s="2">
        <v>59</v>
      </c>
    </row>
    <row r="94" ht="23" customHeight="1" spans="1:16">
      <c r="A94" s="6" t="s">
        <v>141</v>
      </c>
      <c r="B94" s="2" t="s">
        <v>15</v>
      </c>
      <c r="C94" s="2" t="s">
        <v>17</v>
      </c>
      <c r="D94" s="2">
        <v>2</v>
      </c>
      <c r="E94" s="6" t="s">
        <v>498</v>
      </c>
      <c r="F94" s="2" t="str">
        <f t="shared" si="6"/>
        <v>A</v>
      </c>
      <c r="G94" s="2">
        <v>5</v>
      </c>
      <c r="H94" s="2" t="str">
        <f t="shared" si="7"/>
        <v>B</v>
      </c>
      <c r="I94" s="2">
        <v>5</v>
      </c>
      <c r="J94" s="2">
        <f t="shared" si="8"/>
        <v>0</v>
      </c>
      <c r="K94" s="2" t="str">
        <f t="shared" si="9"/>
        <v>C</v>
      </c>
      <c r="L94" s="2" t="str">
        <f t="shared" si="10"/>
        <v>D(平局)</v>
      </c>
      <c r="M94" s="2" t="s">
        <v>106</v>
      </c>
      <c r="N94" s="2">
        <f t="shared" si="11"/>
        <v>1</v>
      </c>
      <c r="O94" s="2" t="s">
        <v>77</v>
      </c>
      <c r="P94" s="2">
        <v>58</v>
      </c>
    </row>
    <row r="95" ht="23" customHeight="1" spans="1:16">
      <c r="A95" s="6" t="s">
        <v>141</v>
      </c>
      <c r="B95" s="2" t="s">
        <v>15</v>
      </c>
      <c r="C95" s="2" t="s">
        <v>23</v>
      </c>
      <c r="D95" s="2">
        <v>2</v>
      </c>
      <c r="E95" s="6" t="s">
        <v>498</v>
      </c>
      <c r="F95" s="2" t="str">
        <f t="shared" si="6"/>
        <v>B</v>
      </c>
      <c r="G95" s="2">
        <v>5</v>
      </c>
      <c r="H95" s="2" t="str">
        <f t="shared" si="7"/>
        <v>A</v>
      </c>
      <c r="I95" s="2">
        <v>5</v>
      </c>
      <c r="J95" s="2">
        <f t="shared" si="8"/>
        <v>0</v>
      </c>
      <c r="K95" s="2" t="str">
        <f t="shared" si="9"/>
        <v>C</v>
      </c>
      <c r="L95" s="2" t="str">
        <f t="shared" si="10"/>
        <v>D(平局)</v>
      </c>
      <c r="M95" s="2" t="s">
        <v>106</v>
      </c>
      <c r="N95" s="2">
        <f t="shared" si="11"/>
        <v>1</v>
      </c>
      <c r="O95" s="2" t="s">
        <v>77</v>
      </c>
      <c r="P95" s="2">
        <v>59</v>
      </c>
    </row>
    <row r="96" ht="23" customHeight="1" spans="1:16">
      <c r="A96" s="6" t="s">
        <v>141</v>
      </c>
      <c r="B96" s="2" t="s">
        <v>15</v>
      </c>
      <c r="C96" s="2" t="s">
        <v>17</v>
      </c>
      <c r="D96" s="2">
        <v>3</v>
      </c>
      <c r="E96" s="6" t="s">
        <v>499</v>
      </c>
      <c r="F96" s="2" t="str">
        <f t="shared" si="6"/>
        <v>A</v>
      </c>
      <c r="G96" s="2">
        <v>5</v>
      </c>
      <c r="H96" s="2" t="str">
        <f t="shared" si="7"/>
        <v>B</v>
      </c>
      <c r="I96" s="2">
        <v>5</v>
      </c>
      <c r="J96" s="2">
        <f t="shared" si="8"/>
        <v>0</v>
      </c>
      <c r="K96" s="2" t="str">
        <f t="shared" si="9"/>
        <v>C</v>
      </c>
      <c r="L96" s="2" t="str">
        <f t="shared" si="10"/>
        <v>D(平局)</v>
      </c>
      <c r="M96" s="2" t="s">
        <v>106</v>
      </c>
      <c r="N96" s="2">
        <f t="shared" si="11"/>
        <v>1</v>
      </c>
      <c r="O96" s="2" t="s">
        <v>77</v>
      </c>
      <c r="P96" s="2">
        <v>58</v>
      </c>
    </row>
    <row r="97" ht="23" customHeight="1" spans="1:16">
      <c r="A97" s="6" t="s">
        <v>141</v>
      </c>
      <c r="B97" s="2" t="s">
        <v>15</v>
      </c>
      <c r="C97" s="2" t="s">
        <v>23</v>
      </c>
      <c r="D97" s="2">
        <v>3</v>
      </c>
      <c r="E97" s="6" t="s">
        <v>499</v>
      </c>
      <c r="F97" s="2" t="str">
        <f t="shared" si="6"/>
        <v>B</v>
      </c>
      <c r="G97" s="2">
        <v>5</v>
      </c>
      <c r="H97" s="2" t="str">
        <f t="shared" si="7"/>
        <v>A</v>
      </c>
      <c r="I97" s="2">
        <v>5</v>
      </c>
      <c r="J97" s="2">
        <f t="shared" si="8"/>
        <v>0</v>
      </c>
      <c r="K97" s="2" t="str">
        <f t="shared" si="9"/>
        <v>C</v>
      </c>
      <c r="L97" s="2" t="str">
        <f t="shared" si="10"/>
        <v>D(平局)</v>
      </c>
      <c r="M97" s="2" t="s">
        <v>106</v>
      </c>
      <c r="N97" s="2">
        <f t="shared" si="11"/>
        <v>1</v>
      </c>
      <c r="O97" s="2" t="s">
        <v>77</v>
      </c>
      <c r="P97" s="2">
        <v>59</v>
      </c>
    </row>
    <row r="98" ht="23" customHeight="1" spans="1:16">
      <c r="A98" s="6" t="s">
        <v>141</v>
      </c>
      <c r="B98" s="2" t="s">
        <v>15</v>
      </c>
      <c r="C98" s="2" t="s">
        <v>17</v>
      </c>
      <c r="D98" s="2">
        <v>4</v>
      </c>
      <c r="E98" s="6" t="s">
        <v>500</v>
      </c>
      <c r="F98" s="2" t="str">
        <f t="shared" si="6"/>
        <v>A</v>
      </c>
      <c r="G98" s="2">
        <v>5</v>
      </c>
      <c r="H98" s="2" t="str">
        <f t="shared" si="7"/>
        <v>B</v>
      </c>
      <c r="I98" s="2">
        <v>5</v>
      </c>
      <c r="J98" s="2">
        <f t="shared" si="8"/>
        <v>0</v>
      </c>
      <c r="K98" s="2" t="str">
        <f t="shared" si="9"/>
        <v>C</v>
      </c>
      <c r="L98" s="2" t="str">
        <f t="shared" si="10"/>
        <v>D(平局)</v>
      </c>
      <c r="M98" s="2" t="s">
        <v>106</v>
      </c>
      <c r="N98" s="2">
        <f t="shared" si="11"/>
        <v>1</v>
      </c>
      <c r="O98" s="2" t="s">
        <v>77</v>
      </c>
      <c r="P98" s="2">
        <v>58</v>
      </c>
    </row>
    <row r="99" ht="23" customHeight="1" spans="1:16">
      <c r="A99" s="6" t="s">
        <v>141</v>
      </c>
      <c r="B99" s="2" t="s">
        <v>15</v>
      </c>
      <c r="C99" s="2" t="s">
        <v>23</v>
      </c>
      <c r="D99" s="2">
        <v>4</v>
      </c>
      <c r="E99" s="6" t="s">
        <v>500</v>
      </c>
      <c r="F99" s="2" t="str">
        <f t="shared" si="6"/>
        <v>B</v>
      </c>
      <c r="G99" s="2">
        <v>5</v>
      </c>
      <c r="H99" s="2" t="str">
        <f t="shared" si="7"/>
        <v>A</v>
      </c>
      <c r="I99" s="2">
        <v>5</v>
      </c>
      <c r="J99" s="2">
        <f t="shared" si="8"/>
        <v>0</v>
      </c>
      <c r="K99" s="2" t="str">
        <f t="shared" si="9"/>
        <v>C</v>
      </c>
      <c r="L99" s="2" t="str">
        <f t="shared" si="10"/>
        <v>D(平局)</v>
      </c>
      <c r="M99" s="2" t="s">
        <v>106</v>
      </c>
      <c r="N99" s="2">
        <f t="shared" si="11"/>
        <v>1</v>
      </c>
      <c r="O99" s="2" t="s">
        <v>77</v>
      </c>
      <c r="P99" s="2">
        <v>59</v>
      </c>
    </row>
    <row r="100" ht="23" customHeight="1" spans="1:16">
      <c r="A100" s="6" t="s">
        <v>141</v>
      </c>
      <c r="B100" s="2" t="s">
        <v>15</v>
      </c>
      <c r="C100" s="2" t="s">
        <v>17</v>
      </c>
      <c r="D100" s="2">
        <v>5</v>
      </c>
      <c r="E100" s="6" t="s">
        <v>501</v>
      </c>
      <c r="F100" s="2" t="str">
        <f t="shared" si="6"/>
        <v>A</v>
      </c>
      <c r="G100" s="2">
        <v>5</v>
      </c>
      <c r="H100" s="2" t="str">
        <f t="shared" si="7"/>
        <v>B</v>
      </c>
      <c r="I100" s="2">
        <v>5</v>
      </c>
      <c r="J100" s="2">
        <f t="shared" si="8"/>
        <v>0</v>
      </c>
      <c r="K100" s="2" t="str">
        <f t="shared" si="9"/>
        <v>C</v>
      </c>
      <c r="L100" s="2" t="str">
        <f t="shared" si="10"/>
        <v>D(平局)</v>
      </c>
      <c r="M100" s="2" t="s">
        <v>106</v>
      </c>
      <c r="N100" s="2">
        <f t="shared" si="11"/>
        <v>1</v>
      </c>
      <c r="O100" s="2" t="s">
        <v>77</v>
      </c>
      <c r="P100" s="2">
        <v>58</v>
      </c>
    </row>
    <row r="101" ht="23" customHeight="1" spans="1:16">
      <c r="A101" s="6" t="s">
        <v>141</v>
      </c>
      <c r="B101" s="2" t="s">
        <v>15</v>
      </c>
      <c r="C101" s="2" t="s">
        <v>23</v>
      </c>
      <c r="D101" s="2">
        <v>5</v>
      </c>
      <c r="E101" s="6" t="s">
        <v>501</v>
      </c>
      <c r="F101" s="2" t="str">
        <f t="shared" si="6"/>
        <v>B</v>
      </c>
      <c r="G101" s="2">
        <v>5</v>
      </c>
      <c r="H101" s="2" t="str">
        <f t="shared" si="7"/>
        <v>A</v>
      </c>
      <c r="I101" s="2">
        <v>5</v>
      </c>
      <c r="J101" s="2">
        <f t="shared" si="8"/>
        <v>0</v>
      </c>
      <c r="K101" s="2" t="str">
        <f t="shared" si="9"/>
        <v>C</v>
      </c>
      <c r="L101" s="2" t="str">
        <f t="shared" si="10"/>
        <v>D(平局)</v>
      </c>
      <c r="M101" s="2" t="s">
        <v>106</v>
      </c>
      <c r="N101" s="2">
        <f t="shared" si="11"/>
        <v>1</v>
      </c>
      <c r="O101" s="2" t="s">
        <v>77</v>
      </c>
      <c r="P101" s="2">
        <v>59</v>
      </c>
    </row>
    <row r="102" ht="23" customHeight="1" spans="1:16">
      <c r="A102" s="6" t="s">
        <v>141</v>
      </c>
      <c r="B102" s="2" t="s">
        <v>37</v>
      </c>
      <c r="C102" s="2" t="s">
        <v>17</v>
      </c>
      <c r="D102" s="2">
        <v>1</v>
      </c>
      <c r="E102" s="6" t="s">
        <v>497</v>
      </c>
      <c r="F102" s="2" t="str">
        <f t="shared" si="6"/>
        <v>A</v>
      </c>
      <c r="G102" s="2">
        <v>5</v>
      </c>
      <c r="H102" s="2" t="str">
        <f t="shared" si="7"/>
        <v>C</v>
      </c>
      <c r="I102" s="2">
        <v>5</v>
      </c>
      <c r="J102" s="2">
        <f t="shared" si="8"/>
        <v>0</v>
      </c>
      <c r="K102" s="2" t="str">
        <f t="shared" si="9"/>
        <v>C</v>
      </c>
      <c r="L102" s="2" t="str">
        <f t="shared" si="10"/>
        <v>D(平局)</v>
      </c>
      <c r="M102" s="2" t="s">
        <v>22</v>
      </c>
      <c r="N102" s="2">
        <f t="shared" si="11"/>
        <v>0</v>
      </c>
      <c r="O102" s="2" t="s">
        <v>22</v>
      </c>
      <c r="P102" s="2">
        <v>64</v>
      </c>
    </row>
    <row r="103" ht="23" customHeight="1" spans="1:16">
      <c r="A103" s="6" t="s">
        <v>141</v>
      </c>
      <c r="B103" s="2" t="s">
        <v>37</v>
      </c>
      <c r="C103" s="2" t="s">
        <v>23</v>
      </c>
      <c r="D103" s="2">
        <v>1</v>
      </c>
      <c r="E103" s="6" t="s">
        <v>497</v>
      </c>
      <c r="F103" s="2" t="str">
        <f t="shared" si="6"/>
        <v>C</v>
      </c>
      <c r="G103" s="2">
        <v>5</v>
      </c>
      <c r="H103" s="2" t="str">
        <f t="shared" si="7"/>
        <v>A</v>
      </c>
      <c r="I103" s="2">
        <v>5</v>
      </c>
      <c r="J103" s="2">
        <f t="shared" si="8"/>
        <v>0</v>
      </c>
      <c r="K103" s="2" t="str">
        <f t="shared" si="9"/>
        <v>C</v>
      </c>
      <c r="L103" s="2" t="str">
        <f t="shared" si="10"/>
        <v>D(平局)</v>
      </c>
      <c r="M103" s="2" t="s">
        <v>22</v>
      </c>
      <c r="N103" s="2">
        <f t="shared" si="11"/>
        <v>0</v>
      </c>
      <c r="O103" s="2" t="s">
        <v>26</v>
      </c>
      <c r="P103" s="2">
        <v>65</v>
      </c>
    </row>
    <row r="104" ht="23" customHeight="1" spans="1:16">
      <c r="A104" s="6" t="s">
        <v>141</v>
      </c>
      <c r="B104" s="2" t="s">
        <v>37</v>
      </c>
      <c r="C104" s="2" t="s">
        <v>17</v>
      </c>
      <c r="D104" s="2">
        <v>2</v>
      </c>
      <c r="E104" s="6" t="s">
        <v>498</v>
      </c>
      <c r="F104" s="2" t="str">
        <f t="shared" si="6"/>
        <v>A</v>
      </c>
      <c r="G104" s="2">
        <v>5</v>
      </c>
      <c r="H104" s="2" t="str">
        <f t="shared" si="7"/>
        <v>C</v>
      </c>
      <c r="I104" s="2">
        <v>3</v>
      </c>
      <c r="J104" s="2">
        <f t="shared" si="8"/>
        <v>2</v>
      </c>
      <c r="K104" s="2" t="str">
        <f t="shared" si="9"/>
        <v>A</v>
      </c>
      <c r="L104" s="2" t="str">
        <f t="shared" si="10"/>
        <v>A</v>
      </c>
      <c r="M104" s="2" t="s">
        <v>22</v>
      </c>
      <c r="N104" s="2">
        <f t="shared" si="11"/>
        <v>1</v>
      </c>
      <c r="O104" s="2" t="s">
        <v>22</v>
      </c>
      <c r="P104" s="2">
        <v>64</v>
      </c>
    </row>
    <row r="105" ht="23" customHeight="1" spans="1:16">
      <c r="A105" s="6" t="s">
        <v>141</v>
      </c>
      <c r="B105" s="2" t="s">
        <v>37</v>
      </c>
      <c r="C105" s="2" t="s">
        <v>23</v>
      </c>
      <c r="D105" s="2">
        <v>2</v>
      </c>
      <c r="E105" s="6" t="s">
        <v>498</v>
      </c>
      <c r="F105" s="2" t="str">
        <f t="shared" si="6"/>
        <v>C</v>
      </c>
      <c r="G105" s="2">
        <v>4</v>
      </c>
      <c r="H105" s="2" t="str">
        <f t="shared" si="7"/>
        <v>A</v>
      </c>
      <c r="I105" s="2">
        <v>5</v>
      </c>
      <c r="J105" s="2">
        <f t="shared" si="8"/>
        <v>-1</v>
      </c>
      <c r="K105" s="2" t="str">
        <f t="shared" si="9"/>
        <v>B</v>
      </c>
      <c r="L105" s="2" t="str">
        <f t="shared" si="10"/>
        <v>A</v>
      </c>
      <c r="M105" s="2" t="s">
        <v>22</v>
      </c>
      <c r="N105" s="2">
        <f t="shared" si="11"/>
        <v>1</v>
      </c>
      <c r="O105" s="2" t="s">
        <v>26</v>
      </c>
      <c r="P105" s="2">
        <v>65</v>
      </c>
    </row>
    <row r="106" ht="23" customHeight="1" spans="1:16">
      <c r="A106" s="6" t="s">
        <v>141</v>
      </c>
      <c r="B106" s="2" t="s">
        <v>37</v>
      </c>
      <c r="C106" s="2" t="s">
        <v>17</v>
      </c>
      <c r="D106" s="2">
        <v>3</v>
      </c>
      <c r="E106" s="6" t="s">
        <v>499</v>
      </c>
      <c r="F106" s="2" t="str">
        <f t="shared" si="6"/>
        <v>A</v>
      </c>
      <c r="G106" s="2">
        <v>5</v>
      </c>
      <c r="H106" s="2" t="str">
        <f t="shared" si="7"/>
        <v>C</v>
      </c>
      <c r="I106" s="2">
        <v>5</v>
      </c>
      <c r="J106" s="2">
        <f t="shared" si="8"/>
        <v>0</v>
      </c>
      <c r="K106" s="2" t="str">
        <f t="shared" si="9"/>
        <v>C</v>
      </c>
      <c r="L106" s="2" t="str">
        <f t="shared" si="10"/>
        <v>D(平局)</v>
      </c>
      <c r="M106" s="2" t="s">
        <v>22</v>
      </c>
      <c r="N106" s="2">
        <f t="shared" si="11"/>
        <v>0</v>
      </c>
      <c r="O106" s="2" t="s">
        <v>22</v>
      </c>
      <c r="P106" s="2">
        <v>64</v>
      </c>
    </row>
    <row r="107" ht="23" customHeight="1" spans="1:16">
      <c r="A107" s="6" t="s">
        <v>141</v>
      </c>
      <c r="B107" s="2" t="s">
        <v>37</v>
      </c>
      <c r="C107" s="2" t="s">
        <v>23</v>
      </c>
      <c r="D107" s="2">
        <v>3</v>
      </c>
      <c r="E107" s="6" t="s">
        <v>499</v>
      </c>
      <c r="F107" s="2" t="str">
        <f t="shared" si="6"/>
        <v>C</v>
      </c>
      <c r="G107" s="2">
        <v>5</v>
      </c>
      <c r="H107" s="2" t="str">
        <f t="shared" si="7"/>
        <v>A</v>
      </c>
      <c r="I107" s="2">
        <v>5</v>
      </c>
      <c r="J107" s="2">
        <f t="shared" si="8"/>
        <v>0</v>
      </c>
      <c r="K107" s="2" t="str">
        <f t="shared" si="9"/>
        <v>C</v>
      </c>
      <c r="L107" s="2" t="str">
        <f t="shared" si="10"/>
        <v>D(平局)</v>
      </c>
      <c r="M107" s="2" t="s">
        <v>22</v>
      </c>
      <c r="N107" s="2">
        <f t="shared" si="11"/>
        <v>0</v>
      </c>
      <c r="O107" s="2" t="s">
        <v>26</v>
      </c>
      <c r="P107" s="2">
        <v>65</v>
      </c>
    </row>
    <row r="108" ht="23" customHeight="1" spans="1:16">
      <c r="A108" s="6" t="s">
        <v>141</v>
      </c>
      <c r="B108" s="2" t="s">
        <v>37</v>
      </c>
      <c r="C108" s="2" t="s">
        <v>17</v>
      </c>
      <c r="D108" s="2">
        <v>4</v>
      </c>
      <c r="E108" s="6" t="s">
        <v>500</v>
      </c>
      <c r="F108" s="2" t="str">
        <f t="shared" si="6"/>
        <v>A</v>
      </c>
      <c r="G108" s="2">
        <v>5</v>
      </c>
      <c r="H108" s="2" t="str">
        <f t="shared" si="7"/>
        <v>C</v>
      </c>
      <c r="I108" s="2">
        <v>5</v>
      </c>
      <c r="J108" s="2">
        <f t="shared" si="8"/>
        <v>0</v>
      </c>
      <c r="K108" s="2" t="str">
        <f t="shared" si="9"/>
        <v>C</v>
      </c>
      <c r="L108" s="2" t="str">
        <f t="shared" si="10"/>
        <v>D(平局)</v>
      </c>
      <c r="M108" s="2" t="s">
        <v>22</v>
      </c>
      <c r="N108" s="2">
        <f t="shared" si="11"/>
        <v>0</v>
      </c>
      <c r="O108" s="2" t="s">
        <v>22</v>
      </c>
      <c r="P108" s="2">
        <v>64</v>
      </c>
    </row>
    <row r="109" ht="23" customHeight="1" spans="1:16">
      <c r="A109" s="6" t="s">
        <v>141</v>
      </c>
      <c r="B109" s="2" t="s">
        <v>37</v>
      </c>
      <c r="C109" s="2" t="s">
        <v>23</v>
      </c>
      <c r="D109" s="2">
        <v>4</v>
      </c>
      <c r="E109" s="6" t="s">
        <v>500</v>
      </c>
      <c r="F109" s="2" t="str">
        <f t="shared" si="6"/>
        <v>C</v>
      </c>
      <c r="G109" s="2">
        <v>5</v>
      </c>
      <c r="H109" s="2" t="str">
        <f t="shared" si="7"/>
        <v>A</v>
      </c>
      <c r="I109" s="2">
        <v>5</v>
      </c>
      <c r="J109" s="2">
        <f t="shared" si="8"/>
        <v>0</v>
      </c>
      <c r="K109" s="2" t="str">
        <f t="shared" si="9"/>
        <v>C</v>
      </c>
      <c r="L109" s="2" t="str">
        <f t="shared" si="10"/>
        <v>D(平局)</v>
      </c>
      <c r="M109" s="2" t="s">
        <v>22</v>
      </c>
      <c r="N109" s="2">
        <f t="shared" si="11"/>
        <v>0</v>
      </c>
      <c r="O109" s="2" t="s">
        <v>26</v>
      </c>
      <c r="P109" s="2">
        <v>65</v>
      </c>
    </row>
    <row r="110" ht="23" customHeight="1" spans="1:16">
      <c r="A110" s="6" t="s">
        <v>141</v>
      </c>
      <c r="B110" s="2" t="s">
        <v>37</v>
      </c>
      <c r="C110" s="2" t="s">
        <v>17</v>
      </c>
      <c r="D110" s="2">
        <v>5</v>
      </c>
      <c r="E110" s="6" t="s">
        <v>501</v>
      </c>
      <c r="F110" s="2" t="str">
        <f t="shared" si="6"/>
        <v>A</v>
      </c>
      <c r="G110" s="2">
        <v>5</v>
      </c>
      <c r="H110" s="2" t="str">
        <f t="shared" si="7"/>
        <v>C</v>
      </c>
      <c r="I110" s="2">
        <v>4</v>
      </c>
      <c r="J110" s="2">
        <f t="shared" si="8"/>
        <v>1</v>
      </c>
      <c r="K110" s="2" t="str">
        <f t="shared" si="9"/>
        <v>A</v>
      </c>
      <c r="L110" s="2" t="str">
        <f t="shared" si="10"/>
        <v>A</v>
      </c>
      <c r="M110" s="2" t="s">
        <v>22</v>
      </c>
      <c r="N110" s="2">
        <f t="shared" si="11"/>
        <v>1</v>
      </c>
      <c r="O110" s="2" t="s">
        <v>22</v>
      </c>
      <c r="P110" s="2">
        <v>64</v>
      </c>
    </row>
    <row r="111" ht="23" customHeight="1" spans="1:16">
      <c r="A111" s="6" t="s">
        <v>141</v>
      </c>
      <c r="B111" s="2" t="s">
        <v>37</v>
      </c>
      <c r="C111" s="2" t="s">
        <v>23</v>
      </c>
      <c r="D111" s="2">
        <v>5</v>
      </c>
      <c r="E111" s="6" t="s">
        <v>501</v>
      </c>
      <c r="F111" s="2" t="str">
        <f t="shared" si="6"/>
        <v>C</v>
      </c>
      <c r="G111" s="2">
        <v>5</v>
      </c>
      <c r="H111" s="2" t="str">
        <f t="shared" si="7"/>
        <v>A</v>
      </c>
      <c r="I111" s="2">
        <v>5</v>
      </c>
      <c r="J111" s="2">
        <f t="shared" si="8"/>
        <v>0</v>
      </c>
      <c r="K111" s="2" t="str">
        <f t="shared" si="9"/>
        <v>C</v>
      </c>
      <c r="L111" s="2" t="str">
        <f t="shared" si="10"/>
        <v>D(平局)</v>
      </c>
      <c r="M111" s="2" t="s">
        <v>22</v>
      </c>
      <c r="N111" s="2">
        <f t="shared" si="11"/>
        <v>0</v>
      </c>
      <c r="O111" s="2" t="s">
        <v>26</v>
      </c>
      <c r="P111" s="2">
        <v>65</v>
      </c>
    </row>
    <row r="112" ht="23" customHeight="1" spans="1:16">
      <c r="A112" s="6" t="s">
        <v>141</v>
      </c>
      <c r="B112" s="2" t="s">
        <v>50</v>
      </c>
      <c r="C112" s="2" t="s">
        <v>17</v>
      </c>
      <c r="D112" s="2">
        <v>1</v>
      </c>
      <c r="E112" s="6" t="s">
        <v>497</v>
      </c>
      <c r="F112" s="2" t="str">
        <f t="shared" si="6"/>
        <v>B</v>
      </c>
      <c r="G112" s="2">
        <v>5</v>
      </c>
      <c r="H112" s="2" t="str">
        <f t="shared" si="7"/>
        <v>C</v>
      </c>
      <c r="I112" s="2">
        <v>5</v>
      </c>
      <c r="J112" s="2">
        <f t="shared" si="8"/>
        <v>0</v>
      </c>
      <c r="K112" s="2" t="str">
        <f t="shared" si="9"/>
        <v>C</v>
      </c>
      <c r="L112" s="2" t="str">
        <f t="shared" si="10"/>
        <v>D(平局)</v>
      </c>
      <c r="M112" s="2" t="s">
        <v>26</v>
      </c>
      <c r="N112" s="2">
        <f t="shared" si="11"/>
        <v>0</v>
      </c>
      <c r="O112" s="2" t="s">
        <v>22</v>
      </c>
      <c r="P112" s="2">
        <v>70</v>
      </c>
    </row>
    <row r="113" ht="23" customHeight="1" spans="1:16">
      <c r="A113" s="6" t="s">
        <v>141</v>
      </c>
      <c r="B113" s="2" t="s">
        <v>50</v>
      </c>
      <c r="C113" s="2" t="s">
        <v>23</v>
      </c>
      <c r="D113" s="2">
        <v>1</v>
      </c>
      <c r="E113" s="6" t="s">
        <v>497</v>
      </c>
      <c r="F113" s="2" t="str">
        <f t="shared" si="6"/>
        <v>C</v>
      </c>
      <c r="G113" s="2">
        <v>5</v>
      </c>
      <c r="H113" s="2" t="str">
        <f t="shared" si="7"/>
        <v>B</v>
      </c>
      <c r="I113" s="2">
        <v>5</v>
      </c>
      <c r="J113" s="2">
        <f t="shared" si="8"/>
        <v>0</v>
      </c>
      <c r="K113" s="2" t="str">
        <f t="shared" si="9"/>
        <v>C</v>
      </c>
      <c r="L113" s="2" t="str">
        <f t="shared" si="10"/>
        <v>D(平局)</v>
      </c>
      <c r="M113" s="2" t="s">
        <v>26</v>
      </c>
      <c r="N113" s="2">
        <f t="shared" si="11"/>
        <v>0</v>
      </c>
      <c r="O113" s="2" t="s">
        <v>26</v>
      </c>
      <c r="P113" s="2">
        <v>71</v>
      </c>
    </row>
    <row r="114" ht="23" customHeight="1" spans="1:16">
      <c r="A114" s="6" t="s">
        <v>141</v>
      </c>
      <c r="B114" s="2" t="s">
        <v>50</v>
      </c>
      <c r="C114" s="2" t="s">
        <v>17</v>
      </c>
      <c r="D114" s="2">
        <v>2</v>
      </c>
      <c r="E114" s="6" t="s">
        <v>498</v>
      </c>
      <c r="F114" s="2" t="str">
        <f t="shared" si="6"/>
        <v>B</v>
      </c>
      <c r="G114" s="2">
        <v>5</v>
      </c>
      <c r="H114" s="2" t="str">
        <f t="shared" si="7"/>
        <v>C</v>
      </c>
      <c r="I114" s="2">
        <v>4</v>
      </c>
      <c r="J114" s="2">
        <f t="shared" si="8"/>
        <v>1</v>
      </c>
      <c r="K114" s="2" t="str">
        <f t="shared" si="9"/>
        <v>A</v>
      </c>
      <c r="L114" s="2" t="str">
        <f t="shared" si="10"/>
        <v>B</v>
      </c>
      <c r="M114" s="2" t="s">
        <v>26</v>
      </c>
      <c r="N114" s="2">
        <f t="shared" si="11"/>
        <v>1</v>
      </c>
      <c r="O114" s="2" t="s">
        <v>22</v>
      </c>
      <c r="P114" s="2">
        <v>70</v>
      </c>
    </row>
    <row r="115" ht="23" customHeight="1" spans="1:16">
      <c r="A115" s="6" t="s">
        <v>141</v>
      </c>
      <c r="B115" s="2" t="s">
        <v>50</v>
      </c>
      <c r="C115" s="2" t="s">
        <v>23</v>
      </c>
      <c r="D115" s="2">
        <v>2</v>
      </c>
      <c r="E115" s="6" t="s">
        <v>498</v>
      </c>
      <c r="F115" s="2" t="str">
        <f t="shared" si="6"/>
        <v>C</v>
      </c>
      <c r="G115" s="2">
        <v>3</v>
      </c>
      <c r="H115" s="2" t="str">
        <f t="shared" si="7"/>
        <v>B</v>
      </c>
      <c r="I115" s="2">
        <v>5</v>
      </c>
      <c r="J115" s="2">
        <f t="shared" si="8"/>
        <v>-2</v>
      </c>
      <c r="K115" s="2" t="str">
        <f t="shared" si="9"/>
        <v>B</v>
      </c>
      <c r="L115" s="2" t="str">
        <f t="shared" si="10"/>
        <v>B</v>
      </c>
      <c r="M115" s="2" t="s">
        <v>26</v>
      </c>
      <c r="N115" s="2">
        <f t="shared" si="11"/>
        <v>1</v>
      </c>
      <c r="O115" s="2" t="s">
        <v>26</v>
      </c>
      <c r="P115" s="2">
        <v>71</v>
      </c>
    </row>
    <row r="116" ht="23" customHeight="1" spans="1:16">
      <c r="A116" s="6" t="s">
        <v>141</v>
      </c>
      <c r="B116" s="2" t="s">
        <v>50</v>
      </c>
      <c r="C116" s="2" t="s">
        <v>17</v>
      </c>
      <c r="D116" s="2">
        <v>3</v>
      </c>
      <c r="E116" s="6" t="s">
        <v>499</v>
      </c>
      <c r="F116" s="2" t="str">
        <f t="shared" si="6"/>
        <v>B</v>
      </c>
      <c r="G116" s="2">
        <v>5</v>
      </c>
      <c r="H116" s="2" t="str">
        <f t="shared" si="7"/>
        <v>C</v>
      </c>
      <c r="I116" s="2">
        <v>5</v>
      </c>
      <c r="J116" s="2">
        <f t="shared" si="8"/>
        <v>0</v>
      </c>
      <c r="K116" s="2" t="str">
        <f t="shared" si="9"/>
        <v>C</v>
      </c>
      <c r="L116" s="2" t="str">
        <f t="shared" si="10"/>
        <v>D(平局)</v>
      </c>
      <c r="M116" s="2" t="s">
        <v>26</v>
      </c>
      <c r="N116" s="2">
        <f t="shared" si="11"/>
        <v>0</v>
      </c>
      <c r="O116" s="2" t="s">
        <v>22</v>
      </c>
      <c r="P116" s="2">
        <v>70</v>
      </c>
    </row>
    <row r="117" ht="23" customHeight="1" spans="1:16">
      <c r="A117" s="6" t="s">
        <v>141</v>
      </c>
      <c r="B117" s="2" t="s">
        <v>50</v>
      </c>
      <c r="C117" s="2" t="s">
        <v>23</v>
      </c>
      <c r="D117" s="2">
        <v>3</v>
      </c>
      <c r="E117" s="6" t="s">
        <v>499</v>
      </c>
      <c r="F117" s="2" t="str">
        <f t="shared" si="6"/>
        <v>C</v>
      </c>
      <c r="G117" s="2">
        <v>5</v>
      </c>
      <c r="H117" s="2" t="str">
        <f t="shared" si="7"/>
        <v>B</v>
      </c>
      <c r="I117" s="2">
        <v>5</v>
      </c>
      <c r="J117" s="2">
        <f t="shared" si="8"/>
        <v>0</v>
      </c>
      <c r="K117" s="2" t="str">
        <f t="shared" si="9"/>
        <v>C</v>
      </c>
      <c r="L117" s="2" t="str">
        <f t="shared" si="10"/>
        <v>D(平局)</v>
      </c>
      <c r="M117" s="2" t="s">
        <v>26</v>
      </c>
      <c r="N117" s="2">
        <f t="shared" si="11"/>
        <v>0</v>
      </c>
      <c r="O117" s="2" t="s">
        <v>26</v>
      </c>
      <c r="P117" s="2">
        <v>71</v>
      </c>
    </row>
    <row r="118" ht="23" customHeight="1" spans="1:16">
      <c r="A118" s="6" t="s">
        <v>141</v>
      </c>
      <c r="B118" s="2" t="s">
        <v>50</v>
      </c>
      <c r="C118" s="2" t="s">
        <v>17</v>
      </c>
      <c r="D118" s="2">
        <v>4</v>
      </c>
      <c r="E118" s="6" t="s">
        <v>500</v>
      </c>
      <c r="F118" s="2" t="str">
        <f t="shared" si="6"/>
        <v>B</v>
      </c>
      <c r="G118" s="2">
        <v>5</v>
      </c>
      <c r="H118" s="2" t="str">
        <f t="shared" si="7"/>
        <v>C</v>
      </c>
      <c r="I118" s="2">
        <v>5</v>
      </c>
      <c r="J118" s="2">
        <f t="shared" si="8"/>
        <v>0</v>
      </c>
      <c r="K118" s="2" t="str">
        <f t="shared" si="9"/>
        <v>C</v>
      </c>
      <c r="L118" s="2" t="str">
        <f t="shared" si="10"/>
        <v>D(平局)</v>
      </c>
      <c r="M118" s="2" t="s">
        <v>26</v>
      </c>
      <c r="N118" s="2">
        <f t="shared" si="11"/>
        <v>0</v>
      </c>
      <c r="O118" s="2" t="s">
        <v>22</v>
      </c>
      <c r="P118" s="2">
        <v>70</v>
      </c>
    </row>
    <row r="119" ht="23" customHeight="1" spans="1:16">
      <c r="A119" s="6" t="s">
        <v>141</v>
      </c>
      <c r="B119" s="2" t="s">
        <v>50</v>
      </c>
      <c r="C119" s="2" t="s">
        <v>23</v>
      </c>
      <c r="D119" s="2">
        <v>4</v>
      </c>
      <c r="E119" s="6" t="s">
        <v>500</v>
      </c>
      <c r="F119" s="2" t="str">
        <f t="shared" si="6"/>
        <v>C</v>
      </c>
      <c r="G119" s="2">
        <v>5</v>
      </c>
      <c r="H119" s="2" t="str">
        <f t="shared" si="7"/>
        <v>B</v>
      </c>
      <c r="I119" s="2">
        <v>5</v>
      </c>
      <c r="J119" s="2">
        <f t="shared" si="8"/>
        <v>0</v>
      </c>
      <c r="K119" s="2" t="str">
        <f t="shared" si="9"/>
        <v>C</v>
      </c>
      <c r="L119" s="2" t="str">
        <f t="shared" si="10"/>
        <v>D(平局)</v>
      </c>
      <c r="M119" s="2" t="s">
        <v>26</v>
      </c>
      <c r="N119" s="2">
        <f t="shared" si="11"/>
        <v>0</v>
      </c>
      <c r="O119" s="2" t="s">
        <v>26</v>
      </c>
      <c r="P119" s="2">
        <v>71</v>
      </c>
    </row>
    <row r="120" ht="23" customHeight="1" spans="1:16">
      <c r="A120" s="6" t="s">
        <v>141</v>
      </c>
      <c r="B120" s="2" t="s">
        <v>50</v>
      </c>
      <c r="C120" s="2" t="s">
        <v>17</v>
      </c>
      <c r="D120" s="2">
        <v>5</v>
      </c>
      <c r="E120" s="6" t="s">
        <v>501</v>
      </c>
      <c r="F120" s="2" t="str">
        <f t="shared" si="6"/>
        <v>B</v>
      </c>
      <c r="G120" s="2">
        <v>5</v>
      </c>
      <c r="H120" s="2" t="str">
        <f t="shared" si="7"/>
        <v>C</v>
      </c>
      <c r="I120" s="2">
        <v>5</v>
      </c>
      <c r="J120" s="2">
        <f t="shared" si="8"/>
        <v>0</v>
      </c>
      <c r="K120" s="2" t="str">
        <f t="shared" si="9"/>
        <v>C</v>
      </c>
      <c r="L120" s="2" t="str">
        <f t="shared" si="10"/>
        <v>D(平局)</v>
      </c>
      <c r="M120" s="2" t="s">
        <v>26</v>
      </c>
      <c r="N120" s="2">
        <f t="shared" si="11"/>
        <v>0</v>
      </c>
      <c r="O120" s="2" t="s">
        <v>22</v>
      </c>
      <c r="P120" s="2">
        <v>70</v>
      </c>
    </row>
    <row r="121" ht="23" customHeight="1" spans="1:16">
      <c r="A121" s="6" t="s">
        <v>141</v>
      </c>
      <c r="B121" s="2" t="s">
        <v>50</v>
      </c>
      <c r="C121" s="2" t="s">
        <v>23</v>
      </c>
      <c r="D121" s="2">
        <v>5</v>
      </c>
      <c r="E121" s="6" t="s">
        <v>501</v>
      </c>
      <c r="F121" s="2" t="str">
        <f t="shared" si="6"/>
        <v>C</v>
      </c>
      <c r="G121" s="2">
        <v>4</v>
      </c>
      <c r="H121" s="2" t="str">
        <f t="shared" si="7"/>
        <v>B</v>
      </c>
      <c r="I121" s="2">
        <v>5</v>
      </c>
      <c r="J121" s="2">
        <f t="shared" si="8"/>
        <v>-1</v>
      </c>
      <c r="K121" s="2" t="str">
        <f t="shared" si="9"/>
        <v>B</v>
      </c>
      <c r="L121" s="2" t="str">
        <f t="shared" si="10"/>
        <v>B</v>
      </c>
      <c r="M121" s="2" t="s">
        <v>26</v>
      </c>
      <c r="N121" s="2">
        <f t="shared" si="11"/>
        <v>1</v>
      </c>
      <c r="O121" s="2" t="s">
        <v>26</v>
      </c>
      <c r="P121" s="2">
        <v>71</v>
      </c>
    </row>
    <row r="122" ht="23" customHeight="1" spans="1:16">
      <c r="A122" s="6" t="s">
        <v>179</v>
      </c>
      <c r="B122" s="2" t="s">
        <v>15</v>
      </c>
      <c r="C122" s="2" t="s">
        <v>17</v>
      </c>
      <c r="D122" s="2">
        <v>1</v>
      </c>
      <c r="E122" s="6" t="s">
        <v>497</v>
      </c>
      <c r="F122" s="2" t="str">
        <f t="shared" si="6"/>
        <v>A</v>
      </c>
      <c r="G122" s="2">
        <v>5</v>
      </c>
      <c r="H122" s="2" t="str">
        <f t="shared" si="7"/>
        <v>B</v>
      </c>
      <c r="I122" s="2">
        <v>5</v>
      </c>
      <c r="J122" s="2">
        <f t="shared" si="8"/>
        <v>0</v>
      </c>
      <c r="K122" s="2" t="str">
        <f t="shared" si="9"/>
        <v>C</v>
      </c>
      <c r="L122" s="2" t="str">
        <f t="shared" si="10"/>
        <v>D(平局)</v>
      </c>
      <c r="M122" s="2" t="s">
        <v>26</v>
      </c>
      <c r="N122" s="2">
        <f t="shared" si="11"/>
        <v>0</v>
      </c>
      <c r="O122" s="2" t="s">
        <v>26</v>
      </c>
      <c r="P122" s="2">
        <v>76</v>
      </c>
    </row>
    <row r="123" ht="23" customHeight="1" spans="1:16">
      <c r="A123" s="6" t="s">
        <v>179</v>
      </c>
      <c r="B123" s="2" t="s">
        <v>15</v>
      </c>
      <c r="C123" s="2" t="s">
        <v>23</v>
      </c>
      <c r="D123" s="2">
        <v>1</v>
      </c>
      <c r="E123" s="6" t="s">
        <v>497</v>
      </c>
      <c r="F123" s="2" t="str">
        <f t="shared" si="6"/>
        <v>B</v>
      </c>
      <c r="G123" s="2">
        <v>5</v>
      </c>
      <c r="H123" s="2" t="str">
        <f t="shared" si="7"/>
        <v>A</v>
      </c>
      <c r="I123" s="2">
        <v>5</v>
      </c>
      <c r="J123" s="2">
        <f t="shared" si="8"/>
        <v>0</v>
      </c>
      <c r="K123" s="2" t="str">
        <f t="shared" si="9"/>
        <v>C</v>
      </c>
      <c r="L123" s="2" t="str">
        <f t="shared" si="10"/>
        <v>D(平局)</v>
      </c>
      <c r="M123" s="2" t="s">
        <v>26</v>
      </c>
      <c r="N123" s="2">
        <f t="shared" si="11"/>
        <v>0</v>
      </c>
      <c r="O123" s="2" t="s">
        <v>22</v>
      </c>
      <c r="P123" s="2">
        <v>77</v>
      </c>
    </row>
    <row r="124" ht="23" customHeight="1" spans="1:16">
      <c r="A124" s="6" t="s">
        <v>179</v>
      </c>
      <c r="B124" s="2" t="s">
        <v>15</v>
      </c>
      <c r="C124" s="2" t="s">
        <v>17</v>
      </c>
      <c r="D124" s="2">
        <v>2</v>
      </c>
      <c r="E124" s="6" t="s">
        <v>498</v>
      </c>
      <c r="F124" s="2" t="str">
        <f t="shared" si="6"/>
        <v>A</v>
      </c>
      <c r="G124" s="2">
        <v>4</v>
      </c>
      <c r="H124" s="2" t="str">
        <f t="shared" si="7"/>
        <v>B</v>
      </c>
      <c r="I124" s="2">
        <v>5</v>
      </c>
      <c r="J124" s="2">
        <f t="shared" si="8"/>
        <v>-1</v>
      </c>
      <c r="K124" s="2" t="str">
        <f t="shared" si="9"/>
        <v>B</v>
      </c>
      <c r="L124" s="2" t="str">
        <f t="shared" si="10"/>
        <v>B</v>
      </c>
      <c r="M124" s="2" t="s">
        <v>26</v>
      </c>
      <c r="N124" s="2">
        <f t="shared" si="11"/>
        <v>1</v>
      </c>
      <c r="O124" s="2" t="s">
        <v>26</v>
      </c>
      <c r="P124" s="2">
        <v>76</v>
      </c>
    </row>
    <row r="125" ht="23" customHeight="1" spans="1:16">
      <c r="A125" s="6" t="s">
        <v>179</v>
      </c>
      <c r="B125" s="2" t="s">
        <v>15</v>
      </c>
      <c r="C125" s="2" t="s">
        <v>23</v>
      </c>
      <c r="D125" s="2">
        <v>2</v>
      </c>
      <c r="E125" s="6" t="s">
        <v>498</v>
      </c>
      <c r="F125" s="2" t="str">
        <f t="shared" si="6"/>
        <v>B</v>
      </c>
      <c r="G125" s="2">
        <v>5</v>
      </c>
      <c r="H125" s="2" t="str">
        <f t="shared" si="7"/>
        <v>A</v>
      </c>
      <c r="I125" s="2">
        <v>4</v>
      </c>
      <c r="J125" s="2">
        <f t="shared" si="8"/>
        <v>1</v>
      </c>
      <c r="K125" s="2" t="str">
        <f t="shared" si="9"/>
        <v>A</v>
      </c>
      <c r="L125" s="2" t="str">
        <f t="shared" si="10"/>
        <v>B</v>
      </c>
      <c r="M125" s="2" t="s">
        <v>26</v>
      </c>
      <c r="N125" s="2">
        <f t="shared" si="11"/>
        <v>1</v>
      </c>
      <c r="O125" s="2" t="s">
        <v>22</v>
      </c>
      <c r="P125" s="2">
        <v>77</v>
      </c>
    </row>
    <row r="126" ht="23" customHeight="1" spans="1:16">
      <c r="A126" s="6" t="s">
        <v>179</v>
      </c>
      <c r="B126" s="2" t="s">
        <v>15</v>
      </c>
      <c r="C126" s="2" t="s">
        <v>17</v>
      </c>
      <c r="D126" s="2">
        <v>3</v>
      </c>
      <c r="E126" s="6" t="s">
        <v>499</v>
      </c>
      <c r="F126" s="2" t="str">
        <f t="shared" si="6"/>
        <v>A</v>
      </c>
      <c r="G126" s="2">
        <v>4</v>
      </c>
      <c r="H126" s="2" t="str">
        <f t="shared" si="7"/>
        <v>B</v>
      </c>
      <c r="I126" s="2">
        <v>5</v>
      </c>
      <c r="J126" s="2">
        <f t="shared" si="8"/>
        <v>-1</v>
      </c>
      <c r="K126" s="2" t="str">
        <f t="shared" si="9"/>
        <v>B</v>
      </c>
      <c r="L126" s="2" t="str">
        <f t="shared" si="10"/>
        <v>B</v>
      </c>
      <c r="M126" s="2" t="s">
        <v>26</v>
      </c>
      <c r="N126" s="2">
        <f t="shared" si="11"/>
        <v>1</v>
      </c>
      <c r="O126" s="2" t="s">
        <v>26</v>
      </c>
      <c r="P126" s="2">
        <v>76</v>
      </c>
    </row>
    <row r="127" ht="23" customHeight="1" spans="1:16">
      <c r="A127" s="6" t="s">
        <v>179</v>
      </c>
      <c r="B127" s="2" t="s">
        <v>15</v>
      </c>
      <c r="C127" s="2" t="s">
        <v>23</v>
      </c>
      <c r="D127" s="2">
        <v>3</v>
      </c>
      <c r="E127" s="6" t="s">
        <v>499</v>
      </c>
      <c r="F127" s="2" t="str">
        <f t="shared" si="6"/>
        <v>B</v>
      </c>
      <c r="G127" s="2">
        <v>5</v>
      </c>
      <c r="H127" s="2" t="str">
        <f t="shared" si="7"/>
        <v>A</v>
      </c>
      <c r="I127" s="2">
        <v>4</v>
      </c>
      <c r="J127" s="2">
        <f t="shared" si="8"/>
        <v>1</v>
      </c>
      <c r="K127" s="2" t="str">
        <f t="shared" si="9"/>
        <v>A</v>
      </c>
      <c r="L127" s="2" t="str">
        <f t="shared" si="10"/>
        <v>B</v>
      </c>
      <c r="M127" s="2" t="s">
        <v>26</v>
      </c>
      <c r="N127" s="2">
        <f t="shared" si="11"/>
        <v>1</v>
      </c>
      <c r="O127" s="2" t="s">
        <v>22</v>
      </c>
      <c r="P127" s="2">
        <v>77</v>
      </c>
    </row>
    <row r="128" ht="23" customHeight="1" spans="1:16">
      <c r="A128" s="6" t="s">
        <v>179</v>
      </c>
      <c r="B128" s="2" t="s">
        <v>15</v>
      </c>
      <c r="C128" s="2" t="s">
        <v>17</v>
      </c>
      <c r="D128" s="2">
        <v>4</v>
      </c>
      <c r="E128" s="6" t="s">
        <v>500</v>
      </c>
      <c r="F128" s="2" t="str">
        <f t="shared" si="6"/>
        <v>A</v>
      </c>
      <c r="G128" s="2">
        <v>5</v>
      </c>
      <c r="H128" s="2" t="str">
        <f t="shared" si="7"/>
        <v>B</v>
      </c>
      <c r="I128" s="2">
        <v>5</v>
      </c>
      <c r="J128" s="2">
        <f t="shared" si="8"/>
        <v>0</v>
      </c>
      <c r="K128" s="2" t="str">
        <f t="shared" si="9"/>
        <v>C</v>
      </c>
      <c r="L128" s="2" t="str">
        <f t="shared" si="10"/>
        <v>D(平局)</v>
      </c>
      <c r="M128" s="2" t="s">
        <v>26</v>
      </c>
      <c r="N128" s="2">
        <f t="shared" si="11"/>
        <v>0</v>
      </c>
      <c r="O128" s="2" t="s">
        <v>26</v>
      </c>
      <c r="P128" s="2">
        <v>76</v>
      </c>
    </row>
    <row r="129" ht="23" customHeight="1" spans="1:16">
      <c r="A129" s="6" t="s">
        <v>179</v>
      </c>
      <c r="B129" s="2" t="s">
        <v>15</v>
      </c>
      <c r="C129" s="2" t="s">
        <v>23</v>
      </c>
      <c r="D129" s="2">
        <v>4</v>
      </c>
      <c r="E129" s="6" t="s">
        <v>500</v>
      </c>
      <c r="F129" s="2" t="str">
        <f t="shared" si="6"/>
        <v>B</v>
      </c>
      <c r="G129" s="2">
        <v>5</v>
      </c>
      <c r="H129" s="2" t="str">
        <f t="shared" si="7"/>
        <v>A</v>
      </c>
      <c r="I129" s="2">
        <v>5</v>
      </c>
      <c r="J129" s="2">
        <f t="shared" si="8"/>
        <v>0</v>
      </c>
      <c r="K129" s="2" t="str">
        <f t="shared" si="9"/>
        <v>C</v>
      </c>
      <c r="L129" s="2" t="str">
        <f t="shared" si="10"/>
        <v>D(平局)</v>
      </c>
      <c r="M129" s="2" t="s">
        <v>26</v>
      </c>
      <c r="N129" s="2">
        <f t="shared" si="11"/>
        <v>0</v>
      </c>
      <c r="O129" s="2" t="s">
        <v>22</v>
      </c>
      <c r="P129" s="2">
        <v>77</v>
      </c>
    </row>
    <row r="130" ht="23" customHeight="1" spans="1:16">
      <c r="A130" s="6" t="s">
        <v>179</v>
      </c>
      <c r="B130" s="2" t="s">
        <v>15</v>
      </c>
      <c r="C130" s="2" t="s">
        <v>17</v>
      </c>
      <c r="D130" s="2">
        <v>5</v>
      </c>
      <c r="E130" s="6" t="s">
        <v>501</v>
      </c>
      <c r="F130" s="2" t="str">
        <f t="shared" ref="F130:F193" si="12">IF(C130="l2r",LEFT(B130,1),RIGHT(B130,1))</f>
        <v>A</v>
      </c>
      <c r="G130" s="2">
        <v>5</v>
      </c>
      <c r="H130" s="2" t="str">
        <f t="shared" ref="H130:H193" si="13">IF(C130="l2r",RIGHT(B130,1),LEFT(B130,1))</f>
        <v>B</v>
      </c>
      <c r="I130" s="2">
        <v>5</v>
      </c>
      <c r="J130" s="2">
        <f t="shared" ref="J130:J193" si="14">G130-I130</f>
        <v>0</v>
      </c>
      <c r="K130" s="2" t="str">
        <f t="shared" ref="K130:K193" si="15">IF(J130=0,"C",IF(J130&gt;0,"A","B"))</f>
        <v>C</v>
      </c>
      <c r="L130" s="2" t="str">
        <f t="shared" ref="L130:L193" si="16">IF(J130=0,"D(平局)",IF(J130&gt;0,F130,H130))</f>
        <v>D(平局)</v>
      </c>
      <c r="M130" s="2" t="s">
        <v>26</v>
      </c>
      <c r="N130" s="2">
        <f t="shared" ref="N130:N193" si="17">--(L130=M130)</f>
        <v>0</v>
      </c>
      <c r="O130" s="2" t="s">
        <v>26</v>
      </c>
      <c r="P130" s="2">
        <v>76</v>
      </c>
    </row>
    <row r="131" ht="23" customHeight="1" spans="1:16">
      <c r="A131" s="6" t="s">
        <v>179</v>
      </c>
      <c r="B131" s="2" t="s">
        <v>15</v>
      </c>
      <c r="C131" s="2" t="s">
        <v>23</v>
      </c>
      <c r="D131" s="2">
        <v>5</v>
      </c>
      <c r="E131" s="6" t="s">
        <v>501</v>
      </c>
      <c r="F131" s="2" t="str">
        <f t="shared" si="12"/>
        <v>B</v>
      </c>
      <c r="G131" s="2">
        <v>5</v>
      </c>
      <c r="H131" s="2" t="str">
        <f t="shared" si="13"/>
        <v>A</v>
      </c>
      <c r="I131" s="2">
        <v>5</v>
      </c>
      <c r="J131" s="2">
        <f t="shared" si="14"/>
        <v>0</v>
      </c>
      <c r="K131" s="2" t="str">
        <f t="shared" si="15"/>
        <v>C</v>
      </c>
      <c r="L131" s="2" t="str">
        <f t="shared" si="16"/>
        <v>D(平局)</v>
      </c>
      <c r="M131" s="2" t="s">
        <v>26</v>
      </c>
      <c r="N131" s="2">
        <f t="shared" si="17"/>
        <v>0</v>
      </c>
      <c r="O131" s="2" t="s">
        <v>22</v>
      </c>
      <c r="P131" s="2">
        <v>77</v>
      </c>
    </row>
    <row r="132" ht="23" customHeight="1" spans="1:16">
      <c r="A132" s="6" t="s">
        <v>179</v>
      </c>
      <c r="B132" s="2" t="s">
        <v>37</v>
      </c>
      <c r="C132" s="2" t="s">
        <v>17</v>
      </c>
      <c r="D132" s="2">
        <v>1</v>
      </c>
      <c r="E132" s="6" t="s">
        <v>497</v>
      </c>
      <c r="F132" s="2" t="str">
        <f t="shared" si="12"/>
        <v>A</v>
      </c>
      <c r="G132" s="2">
        <v>5</v>
      </c>
      <c r="H132" s="2" t="str">
        <f t="shared" si="13"/>
        <v>C</v>
      </c>
      <c r="I132" s="2">
        <v>5</v>
      </c>
      <c r="J132" s="2">
        <f t="shared" si="14"/>
        <v>0</v>
      </c>
      <c r="K132" s="2" t="str">
        <f t="shared" si="15"/>
        <v>C</v>
      </c>
      <c r="L132" s="2" t="str">
        <f t="shared" si="16"/>
        <v>D(平局)</v>
      </c>
      <c r="M132" s="2" t="s">
        <v>22</v>
      </c>
      <c r="N132" s="2">
        <f t="shared" si="17"/>
        <v>0</v>
      </c>
      <c r="O132" s="2" t="s">
        <v>22</v>
      </c>
      <c r="P132" s="2">
        <v>82</v>
      </c>
    </row>
    <row r="133" ht="23" customHeight="1" spans="1:16">
      <c r="A133" s="6" t="s">
        <v>179</v>
      </c>
      <c r="B133" s="2" t="s">
        <v>37</v>
      </c>
      <c r="C133" s="2" t="s">
        <v>23</v>
      </c>
      <c r="D133" s="2">
        <v>1</v>
      </c>
      <c r="E133" s="6" t="s">
        <v>497</v>
      </c>
      <c r="F133" s="2" t="str">
        <f t="shared" si="12"/>
        <v>C</v>
      </c>
      <c r="G133" s="2">
        <v>5</v>
      </c>
      <c r="H133" s="2" t="str">
        <f t="shared" si="13"/>
        <v>A</v>
      </c>
      <c r="I133" s="2">
        <v>5</v>
      </c>
      <c r="J133" s="2">
        <f t="shared" si="14"/>
        <v>0</v>
      </c>
      <c r="K133" s="2" t="str">
        <f t="shared" si="15"/>
        <v>C</v>
      </c>
      <c r="L133" s="2" t="str">
        <f t="shared" si="16"/>
        <v>D(平局)</v>
      </c>
      <c r="M133" s="2" t="s">
        <v>22</v>
      </c>
      <c r="N133" s="2">
        <f t="shared" si="17"/>
        <v>0</v>
      </c>
      <c r="O133" s="2" t="s">
        <v>22</v>
      </c>
      <c r="P133" s="2">
        <v>83</v>
      </c>
    </row>
    <row r="134" ht="23" customHeight="1" spans="1:16">
      <c r="A134" s="6" t="s">
        <v>179</v>
      </c>
      <c r="B134" s="2" t="s">
        <v>37</v>
      </c>
      <c r="C134" s="2" t="s">
        <v>17</v>
      </c>
      <c r="D134" s="2">
        <v>2</v>
      </c>
      <c r="E134" s="6" t="s">
        <v>498</v>
      </c>
      <c r="F134" s="2" t="str">
        <f t="shared" si="12"/>
        <v>A</v>
      </c>
      <c r="G134" s="2">
        <v>4</v>
      </c>
      <c r="H134" s="2" t="str">
        <f t="shared" si="13"/>
        <v>C</v>
      </c>
      <c r="I134" s="2">
        <v>4</v>
      </c>
      <c r="J134" s="2">
        <f t="shared" si="14"/>
        <v>0</v>
      </c>
      <c r="K134" s="2" t="str">
        <f t="shared" si="15"/>
        <v>C</v>
      </c>
      <c r="L134" s="2" t="str">
        <f t="shared" si="16"/>
        <v>D(平局)</v>
      </c>
      <c r="M134" s="2" t="s">
        <v>22</v>
      </c>
      <c r="N134" s="2">
        <f t="shared" si="17"/>
        <v>0</v>
      </c>
      <c r="O134" s="2" t="s">
        <v>22</v>
      </c>
      <c r="P134" s="2">
        <v>82</v>
      </c>
    </row>
    <row r="135" ht="23" customHeight="1" spans="1:16">
      <c r="A135" s="6" t="s">
        <v>179</v>
      </c>
      <c r="B135" s="2" t="s">
        <v>37</v>
      </c>
      <c r="C135" s="2" t="s">
        <v>23</v>
      </c>
      <c r="D135" s="2">
        <v>2</v>
      </c>
      <c r="E135" s="6" t="s">
        <v>498</v>
      </c>
      <c r="F135" s="2" t="str">
        <f t="shared" si="12"/>
        <v>C</v>
      </c>
      <c r="G135" s="2">
        <v>5</v>
      </c>
      <c r="H135" s="2" t="str">
        <f t="shared" si="13"/>
        <v>A</v>
      </c>
      <c r="I135" s="2">
        <v>4</v>
      </c>
      <c r="J135" s="2">
        <f t="shared" si="14"/>
        <v>1</v>
      </c>
      <c r="K135" s="2" t="str">
        <f t="shared" si="15"/>
        <v>A</v>
      </c>
      <c r="L135" s="2" t="str">
        <f t="shared" si="16"/>
        <v>C</v>
      </c>
      <c r="M135" s="2" t="s">
        <v>22</v>
      </c>
      <c r="N135" s="2">
        <f t="shared" si="17"/>
        <v>0</v>
      </c>
      <c r="O135" s="2" t="s">
        <v>22</v>
      </c>
      <c r="P135" s="2">
        <v>83</v>
      </c>
    </row>
    <row r="136" ht="23" customHeight="1" spans="1:16">
      <c r="A136" s="6" t="s">
        <v>179</v>
      </c>
      <c r="B136" s="2" t="s">
        <v>37</v>
      </c>
      <c r="C136" s="2" t="s">
        <v>17</v>
      </c>
      <c r="D136" s="2">
        <v>3</v>
      </c>
      <c r="E136" s="6" t="s">
        <v>499</v>
      </c>
      <c r="F136" s="2" t="str">
        <f t="shared" si="12"/>
        <v>A</v>
      </c>
      <c r="G136" s="2">
        <v>5</v>
      </c>
      <c r="H136" s="2" t="str">
        <f t="shared" si="13"/>
        <v>C</v>
      </c>
      <c r="I136" s="2">
        <v>5</v>
      </c>
      <c r="J136" s="2">
        <f t="shared" si="14"/>
        <v>0</v>
      </c>
      <c r="K136" s="2" t="str">
        <f t="shared" si="15"/>
        <v>C</v>
      </c>
      <c r="L136" s="2" t="str">
        <f t="shared" si="16"/>
        <v>D(平局)</v>
      </c>
      <c r="M136" s="2" t="s">
        <v>22</v>
      </c>
      <c r="N136" s="2">
        <f t="shared" si="17"/>
        <v>0</v>
      </c>
      <c r="O136" s="2" t="s">
        <v>22</v>
      </c>
      <c r="P136" s="2">
        <v>82</v>
      </c>
    </row>
    <row r="137" ht="23" customHeight="1" spans="1:16">
      <c r="A137" s="6" t="s">
        <v>179</v>
      </c>
      <c r="B137" s="2" t="s">
        <v>37</v>
      </c>
      <c r="C137" s="2" t="s">
        <v>23</v>
      </c>
      <c r="D137" s="2">
        <v>3</v>
      </c>
      <c r="E137" s="6" t="s">
        <v>499</v>
      </c>
      <c r="F137" s="2" t="str">
        <f t="shared" si="12"/>
        <v>C</v>
      </c>
      <c r="G137" s="2">
        <v>5</v>
      </c>
      <c r="H137" s="2" t="str">
        <f t="shared" si="13"/>
        <v>A</v>
      </c>
      <c r="I137" s="2">
        <v>5</v>
      </c>
      <c r="J137" s="2">
        <f t="shared" si="14"/>
        <v>0</v>
      </c>
      <c r="K137" s="2" t="str">
        <f t="shared" si="15"/>
        <v>C</v>
      </c>
      <c r="L137" s="2" t="str">
        <f t="shared" si="16"/>
        <v>D(平局)</v>
      </c>
      <c r="M137" s="2" t="s">
        <v>22</v>
      </c>
      <c r="N137" s="2">
        <f t="shared" si="17"/>
        <v>0</v>
      </c>
      <c r="O137" s="2" t="s">
        <v>22</v>
      </c>
      <c r="P137" s="2">
        <v>83</v>
      </c>
    </row>
    <row r="138" ht="23" customHeight="1" spans="1:16">
      <c r="A138" s="6" t="s">
        <v>179</v>
      </c>
      <c r="B138" s="2" t="s">
        <v>37</v>
      </c>
      <c r="C138" s="2" t="s">
        <v>17</v>
      </c>
      <c r="D138" s="2">
        <v>4</v>
      </c>
      <c r="E138" s="6" t="s">
        <v>500</v>
      </c>
      <c r="F138" s="2" t="str">
        <f t="shared" si="12"/>
        <v>A</v>
      </c>
      <c r="G138" s="2">
        <v>5</v>
      </c>
      <c r="H138" s="2" t="str">
        <f t="shared" si="13"/>
        <v>C</v>
      </c>
      <c r="I138" s="2">
        <v>5</v>
      </c>
      <c r="J138" s="2">
        <f t="shared" si="14"/>
        <v>0</v>
      </c>
      <c r="K138" s="2" t="str">
        <f t="shared" si="15"/>
        <v>C</v>
      </c>
      <c r="L138" s="2" t="str">
        <f t="shared" si="16"/>
        <v>D(平局)</v>
      </c>
      <c r="M138" s="2" t="s">
        <v>22</v>
      </c>
      <c r="N138" s="2">
        <f t="shared" si="17"/>
        <v>0</v>
      </c>
      <c r="O138" s="2" t="s">
        <v>22</v>
      </c>
      <c r="P138" s="2">
        <v>82</v>
      </c>
    </row>
    <row r="139" ht="23" customHeight="1" spans="1:16">
      <c r="A139" s="6" t="s">
        <v>179</v>
      </c>
      <c r="B139" s="2" t="s">
        <v>37</v>
      </c>
      <c r="C139" s="2" t="s">
        <v>23</v>
      </c>
      <c r="D139" s="2">
        <v>4</v>
      </c>
      <c r="E139" s="6" t="s">
        <v>500</v>
      </c>
      <c r="F139" s="2" t="str">
        <f t="shared" si="12"/>
        <v>C</v>
      </c>
      <c r="G139" s="2">
        <v>5</v>
      </c>
      <c r="H139" s="2" t="str">
        <f t="shared" si="13"/>
        <v>A</v>
      </c>
      <c r="I139" s="2">
        <v>5</v>
      </c>
      <c r="J139" s="2">
        <f t="shared" si="14"/>
        <v>0</v>
      </c>
      <c r="K139" s="2" t="str">
        <f t="shared" si="15"/>
        <v>C</v>
      </c>
      <c r="L139" s="2" t="str">
        <f t="shared" si="16"/>
        <v>D(平局)</v>
      </c>
      <c r="M139" s="2" t="s">
        <v>22</v>
      </c>
      <c r="N139" s="2">
        <f t="shared" si="17"/>
        <v>0</v>
      </c>
      <c r="O139" s="2" t="s">
        <v>22</v>
      </c>
      <c r="P139" s="2">
        <v>83</v>
      </c>
    </row>
    <row r="140" ht="23" customHeight="1" spans="1:16">
      <c r="A140" s="6" t="s">
        <v>179</v>
      </c>
      <c r="B140" s="2" t="s">
        <v>37</v>
      </c>
      <c r="C140" s="2" t="s">
        <v>17</v>
      </c>
      <c r="D140" s="2">
        <v>5</v>
      </c>
      <c r="E140" s="6" t="s">
        <v>501</v>
      </c>
      <c r="F140" s="2" t="str">
        <f t="shared" si="12"/>
        <v>A</v>
      </c>
      <c r="G140" s="2">
        <v>5</v>
      </c>
      <c r="H140" s="2" t="str">
        <f t="shared" si="13"/>
        <v>C</v>
      </c>
      <c r="I140" s="2">
        <v>3</v>
      </c>
      <c r="J140" s="2">
        <f t="shared" si="14"/>
        <v>2</v>
      </c>
      <c r="K140" s="2" t="str">
        <f t="shared" si="15"/>
        <v>A</v>
      </c>
      <c r="L140" s="2" t="str">
        <f t="shared" si="16"/>
        <v>A</v>
      </c>
      <c r="M140" s="2" t="s">
        <v>22</v>
      </c>
      <c r="N140" s="2">
        <f t="shared" si="17"/>
        <v>1</v>
      </c>
      <c r="O140" s="2" t="s">
        <v>22</v>
      </c>
      <c r="P140" s="2">
        <v>82</v>
      </c>
    </row>
    <row r="141" ht="23" customHeight="1" spans="1:16">
      <c r="A141" s="6" t="s">
        <v>179</v>
      </c>
      <c r="B141" s="2" t="s">
        <v>37</v>
      </c>
      <c r="C141" s="2" t="s">
        <v>23</v>
      </c>
      <c r="D141" s="2">
        <v>5</v>
      </c>
      <c r="E141" s="6" t="s">
        <v>501</v>
      </c>
      <c r="F141" s="2" t="str">
        <f t="shared" si="12"/>
        <v>C</v>
      </c>
      <c r="G141" s="2">
        <v>5</v>
      </c>
      <c r="H141" s="2" t="str">
        <f t="shared" si="13"/>
        <v>A</v>
      </c>
      <c r="I141" s="2">
        <v>5</v>
      </c>
      <c r="J141" s="2">
        <f t="shared" si="14"/>
        <v>0</v>
      </c>
      <c r="K141" s="2" t="str">
        <f t="shared" si="15"/>
        <v>C</v>
      </c>
      <c r="L141" s="2" t="str">
        <f t="shared" si="16"/>
        <v>D(平局)</v>
      </c>
      <c r="M141" s="2" t="s">
        <v>22</v>
      </c>
      <c r="N141" s="2">
        <f t="shared" si="17"/>
        <v>0</v>
      </c>
      <c r="O141" s="2" t="s">
        <v>22</v>
      </c>
      <c r="P141" s="2">
        <v>83</v>
      </c>
    </row>
    <row r="142" ht="23" customHeight="1" spans="1:16">
      <c r="A142" s="6" t="s">
        <v>179</v>
      </c>
      <c r="B142" s="2" t="s">
        <v>50</v>
      </c>
      <c r="C142" s="2" t="s">
        <v>17</v>
      </c>
      <c r="D142" s="2">
        <v>1</v>
      </c>
      <c r="E142" s="6" t="s">
        <v>497</v>
      </c>
      <c r="F142" s="2" t="str">
        <f t="shared" si="12"/>
        <v>B</v>
      </c>
      <c r="G142" s="2">
        <v>5</v>
      </c>
      <c r="H142" s="2" t="str">
        <f t="shared" si="13"/>
        <v>C</v>
      </c>
      <c r="I142" s="2">
        <v>5</v>
      </c>
      <c r="J142" s="2">
        <f t="shared" si="14"/>
        <v>0</v>
      </c>
      <c r="K142" s="2" t="str">
        <f t="shared" si="15"/>
        <v>C</v>
      </c>
      <c r="L142" s="2" t="str">
        <f t="shared" si="16"/>
        <v>D(平局)</v>
      </c>
      <c r="M142" s="2" t="s">
        <v>26</v>
      </c>
      <c r="N142" s="2">
        <f t="shared" si="17"/>
        <v>0</v>
      </c>
      <c r="O142" s="2" t="s">
        <v>22</v>
      </c>
      <c r="P142" s="2">
        <v>88</v>
      </c>
    </row>
    <row r="143" ht="23" customHeight="1" spans="1:16">
      <c r="A143" s="6" t="s">
        <v>179</v>
      </c>
      <c r="B143" s="2" t="s">
        <v>50</v>
      </c>
      <c r="C143" s="2" t="s">
        <v>23</v>
      </c>
      <c r="D143" s="2">
        <v>1</v>
      </c>
      <c r="E143" s="6" t="s">
        <v>497</v>
      </c>
      <c r="F143" s="2" t="str">
        <f t="shared" si="12"/>
        <v>C</v>
      </c>
      <c r="G143" s="2">
        <v>5</v>
      </c>
      <c r="H143" s="2" t="str">
        <f t="shared" si="13"/>
        <v>B</v>
      </c>
      <c r="I143" s="2">
        <v>5</v>
      </c>
      <c r="J143" s="2">
        <f t="shared" si="14"/>
        <v>0</v>
      </c>
      <c r="K143" s="2" t="str">
        <f t="shared" si="15"/>
        <v>C</v>
      </c>
      <c r="L143" s="2" t="str">
        <f t="shared" si="16"/>
        <v>D(平局)</v>
      </c>
      <c r="M143" s="2" t="s">
        <v>26</v>
      </c>
      <c r="N143" s="2">
        <f t="shared" si="17"/>
        <v>0</v>
      </c>
      <c r="O143" s="2" t="s">
        <v>22</v>
      </c>
      <c r="P143" s="2">
        <v>89</v>
      </c>
    </row>
    <row r="144" ht="23" customHeight="1" spans="1:16">
      <c r="A144" s="6" t="s">
        <v>179</v>
      </c>
      <c r="B144" s="2" t="s">
        <v>50</v>
      </c>
      <c r="C144" s="2" t="s">
        <v>17</v>
      </c>
      <c r="D144" s="2">
        <v>2</v>
      </c>
      <c r="E144" s="6" t="s">
        <v>498</v>
      </c>
      <c r="F144" s="2" t="str">
        <f t="shared" si="12"/>
        <v>B</v>
      </c>
      <c r="G144" s="2">
        <v>5</v>
      </c>
      <c r="H144" s="2" t="str">
        <f t="shared" si="13"/>
        <v>C</v>
      </c>
      <c r="I144" s="2">
        <v>3</v>
      </c>
      <c r="J144" s="2">
        <f t="shared" si="14"/>
        <v>2</v>
      </c>
      <c r="K144" s="2" t="str">
        <f t="shared" si="15"/>
        <v>A</v>
      </c>
      <c r="L144" s="2" t="str">
        <f t="shared" si="16"/>
        <v>B</v>
      </c>
      <c r="M144" s="2" t="s">
        <v>26</v>
      </c>
      <c r="N144" s="2">
        <f t="shared" si="17"/>
        <v>1</v>
      </c>
      <c r="O144" s="2" t="s">
        <v>22</v>
      </c>
      <c r="P144" s="2">
        <v>88</v>
      </c>
    </row>
    <row r="145" ht="23" customHeight="1" spans="1:16">
      <c r="A145" s="6" t="s">
        <v>179</v>
      </c>
      <c r="B145" s="2" t="s">
        <v>50</v>
      </c>
      <c r="C145" s="2" t="s">
        <v>23</v>
      </c>
      <c r="D145" s="2">
        <v>2</v>
      </c>
      <c r="E145" s="6" t="s">
        <v>498</v>
      </c>
      <c r="F145" s="2" t="str">
        <f t="shared" si="12"/>
        <v>C</v>
      </c>
      <c r="G145" s="2">
        <v>5</v>
      </c>
      <c r="H145" s="2" t="str">
        <f t="shared" si="13"/>
        <v>B</v>
      </c>
      <c r="I145" s="2">
        <v>4</v>
      </c>
      <c r="J145" s="2">
        <f t="shared" si="14"/>
        <v>1</v>
      </c>
      <c r="K145" s="2" t="str">
        <f t="shared" si="15"/>
        <v>A</v>
      </c>
      <c r="L145" s="2" t="str">
        <f t="shared" si="16"/>
        <v>C</v>
      </c>
      <c r="M145" s="2" t="s">
        <v>26</v>
      </c>
      <c r="N145" s="2">
        <f t="shared" si="17"/>
        <v>0</v>
      </c>
      <c r="O145" s="2" t="s">
        <v>22</v>
      </c>
      <c r="P145" s="2">
        <v>89</v>
      </c>
    </row>
    <row r="146" ht="23" customHeight="1" spans="1:16">
      <c r="A146" s="6" t="s">
        <v>179</v>
      </c>
      <c r="B146" s="2" t="s">
        <v>50</v>
      </c>
      <c r="C146" s="2" t="s">
        <v>17</v>
      </c>
      <c r="D146" s="2">
        <v>3</v>
      </c>
      <c r="E146" s="6" t="s">
        <v>499</v>
      </c>
      <c r="F146" s="2" t="str">
        <f t="shared" si="12"/>
        <v>B</v>
      </c>
      <c r="G146" s="2">
        <v>5</v>
      </c>
      <c r="H146" s="2" t="str">
        <f t="shared" si="13"/>
        <v>C</v>
      </c>
      <c r="I146" s="2">
        <v>4</v>
      </c>
      <c r="J146" s="2">
        <f t="shared" si="14"/>
        <v>1</v>
      </c>
      <c r="K146" s="2" t="str">
        <f t="shared" si="15"/>
        <v>A</v>
      </c>
      <c r="L146" s="2" t="str">
        <f t="shared" si="16"/>
        <v>B</v>
      </c>
      <c r="M146" s="2" t="s">
        <v>26</v>
      </c>
      <c r="N146" s="2">
        <f t="shared" si="17"/>
        <v>1</v>
      </c>
      <c r="O146" s="2" t="s">
        <v>22</v>
      </c>
      <c r="P146" s="2">
        <v>88</v>
      </c>
    </row>
    <row r="147" ht="23" customHeight="1" spans="1:16">
      <c r="A147" s="6" t="s">
        <v>179</v>
      </c>
      <c r="B147" s="2" t="s">
        <v>50</v>
      </c>
      <c r="C147" s="2" t="s">
        <v>23</v>
      </c>
      <c r="D147" s="2">
        <v>3</v>
      </c>
      <c r="E147" s="6" t="s">
        <v>499</v>
      </c>
      <c r="F147" s="2" t="str">
        <f t="shared" si="12"/>
        <v>C</v>
      </c>
      <c r="G147" s="2">
        <v>4</v>
      </c>
      <c r="H147" s="2" t="str">
        <f t="shared" si="13"/>
        <v>B</v>
      </c>
      <c r="I147" s="2">
        <v>4</v>
      </c>
      <c r="J147" s="2">
        <f t="shared" si="14"/>
        <v>0</v>
      </c>
      <c r="K147" s="2" t="str">
        <f t="shared" si="15"/>
        <v>C</v>
      </c>
      <c r="L147" s="2" t="str">
        <f t="shared" si="16"/>
        <v>D(平局)</v>
      </c>
      <c r="M147" s="2" t="s">
        <v>26</v>
      </c>
      <c r="N147" s="2">
        <f t="shared" si="17"/>
        <v>0</v>
      </c>
      <c r="O147" s="2" t="s">
        <v>22</v>
      </c>
      <c r="P147" s="2">
        <v>89</v>
      </c>
    </row>
    <row r="148" ht="23" customHeight="1" spans="1:16">
      <c r="A148" s="6" t="s">
        <v>179</v>
      </c>
      <c r="B148" s="2" t="s">
        <v>50</v>
      </c>
      <c r="C148" s="2" t="s">
        <v>17</v>
      </c>
      <c r="D148" s="2">
        <v>4</v>
      </c>
      <c r="E148" s="6" t="s">
        <v>500</v>
      </c>
      <c r="F148" s="2" t="str">
        <f t="shared" si="12"/>
        <v>B</v>
      </c>
      <c r="G148" s="2">
        <v>5</v>
      </c>
      <c r="H148" s="2" t="str">
        <f t="shared" si="13"/>
        <v>C</v>
      </c>
      <c r="I148" s="2">
        <v>5</v>
      </c>
      <c r="J148" s="2">
        <f t="shared" si="14"/>
        <v>0</v>
      </c>
      <c r="K148" s="2" t="str">
        <f t="shared" si="15"/>
        <v>C</v>
      </c>
      <c r="L148" s="2" t="str">
        <f t="shared" si="16"/>
        <v>D(平局)</v>
      </c>
      <c r="M148" s="2" t="s">
        <v>26</v>
      </c>
      <c r="N148" s="2">
        <f t="shared" si="17"/>
        <v>0</v>
      </c>
      <c r="O148" s="2" t="s">
        <v>22</v>
      </c>
      <c r="P148" s="2">
        <v>88</v>
      </c>
    </row>
    <row r="149" ht="23" customHeight="1" spans="1:16">
      <c r="A149" s="6" t="s">
        <v>179</v>
      </c>
      <c r="B149" s="2" t="s">
        <v>50</v>
      </c>
      <c r="C149" s="2" t="s">
        <v>23</v>
      </c>
      <c r="D149" s="2">
        <v>4</v>
      </c>
      <c r="E149" s="6" t="s">
        <v>500</v>
      </c>
      <c r="F149" s="2" t="str">
        <f t="shared" si="12"/>
        <v>C</v>
      </c>
      <c r="G149" s="2">
        <v>5</v>
      </c>
      <c r="H149" s="2" t="str">
        <f t="shared" si="13"/>
        <v>B</v>
      </c>
      <c r="I149" s="2">
        <v>4</v>
      </c>
      <c r="J149" s="2">
        <f t="shared" si="14"/>
        <v>1</v>
      </c>
      <c r="K149" s="2" t="str">
        <f t="shared" si="15"/>
        <v>A</v>
      </c>
      <c r="L149" s="2" t="str">
        <f t="shared" si="16"/>
        <v>C</v>
      </c>
      <c r="M149" s="2" t="s">
        <v>26</v>
      </c>
      <c r="N149" s="2">
        <f t="shared" si="17"/>
        <v>0</v>
      </c>
      <c r="O149" s="2" t="s">
        <v>22</v>
      </c>
      <c r="P149" s="2">
        <v>89</v>
      </c>
    </row>
    <row r="150" ht="23" customHeight="1" spans="1:16">
      <c r="A150" s="6" t="s">
        <v>179</v>
      </c>
      <c r="B150" s="2" t="s">
        <v>50</v>
      </c>
      <c r="C150" s="2" t="s">
        <v>17</v>
      </c>
      <c r="D150" s="2">
        <v>5</v>
      </c>
      <c r="E150" s="6" t="s">
        <v>501</v>
      </c>
      <c r="F150" s="2" t="str">
        <f t="shared" si="12"/>
        <v>B</v>
      </c>
      <c r="G150" s="2">
        <v>5</v>
      </c>
      <c r="H150" s="2" t="str">
        <f t="shared" si="13"/>
        <v>C</v>
      </c>
      <c r="I150" s="2">
        <v>2</v>
      </c>
      <c r="J150" s="2">
        <f t="shared" si="14"/>
        <v>3</v>
      </c>
      <c r="K150" s="2" t="str">
        <f t="shared" si="15"/>
        <v>A</v>
      </c>
      <c r="L150" s="2" t="str">
        <f t="shared" si="16"/>
        <v>B</v>
      </c>
      <c r="M150" s="2" t="s">
        <v>26</v>
      </c>
      <c r="N150" s="2">
        <f t="shared" si="17"/>
        <v>1</v>
      </c>
      <c r="O150" s="2" t="s">
        <v>22</v>
      </c>
      <c r="P150" s="2">
        <v>88</v>
      </c>
    </row>
    <row r="151" ht="23" customHeight="1" spans="1:16">
      <c r="A151" s="6" t="s">
        <v>179</v>
      </c>
      <c r="B151" s="2" t="s">
        <v>50</v>
      </c>
      <c r="C151" s="2" t="s">
        <v>23</v>
      </c>
      <c r="D151" s="2">
        <v>5</v>
      </c>
      <c r="E151" s="6" t="s">
        <v>501</v>
      </c>
      <c r="F151" s="2" t="str">
        <f t="shared" si="12"/>
        <v>C</v>
      </c>
      <c r="G151" s="2">
        <v>5</v>
      </c>
      <c r="H151" s="2" t="str">
        <f t="shared" si="13"/>
        <v>B</v>
      </c>
      <c r="I151" s="2">
        <v>5</v>
      </c>
      <c r="J151" s="2">
        <f t="shared" si="14"/>
        <v>0</v>
      </c>
      <c r="K151" s="2" t="str">
        <f t="shared" si="15"/>
        <v>C</v>
      </c>
      <c r="L151" s="2" t="str">
        <f t="shared" si="16"/>
        <v>D(平局)</v>
      </c>
      <c r="M151" s="2" t="s">
        <v>26</v>
      </c>
      <c r="N151" s="2">
        <f t="shared" si="17"/>
        <v>0</v>
      </c>
      <c r="O151" s="2" t="s">
        <v>22</v>
      </c>
      <c r="P151" s="2">
        <v>89</v>
      </c>
    </row>
    <row r="152" ht="23" customHeight="1" spans="1:16">
      <c r="A152" s="6" t="s">
        <v>217</v>
      </c>
      <c r="B152" s="2" t="s">
        <v>15</v>
      </c>
      <c r="C152" s="2" t="s">
        <v>17</v>
      </c>
      <c r="D152" s="2">
        <v>1</v>
      </c>
      <c r="E152" s="6" t="s">
        <v>497</v>
      </c>
      <c r="F152" s="2" t="str">
        <f t="shared" si="12"/>
        <v>A</v>
      </c>
      <c r="G152" s="2">
        <v>5</v>
      </c>
      <c r="H152" s="2" t="str">
        <f t="shared" si="13"/>
        <v>B</v>
      </c>
      <c r="I152" s="2">
        <v>5</v>
      </c>
      <c r="J152" s="2">
        <f t="shared" si="14"/>
        <v>0</v>
      </c>
      <c r="K152" s="2" t="str">
        <f t="shared" si="15"/>
        <v>C</v>
      </c>
      <c r="L152" s="2" t="str">
        <f t="shared" si="16"/>
        <v>D(平局)</v>
      </c>
      <c r="M152" s="2" t="s">
        <v>22</v>
      </c>
      <c r="N152" s="2">
        <f t="shared" si="17"/>
        <v>0</v>
      </c>
      <c r="O152" s="2" t="s">
        <v>22</v>
      </c>
      <c r="P152" s="2">
        <v>94</v>
      </c>
    </row>
    <row r="153" ht="23" customHeight="1" spans="1:16">
      <c r="A153" s="6" t="s">
        <v>217</v>
      </c>
      <c r="B153" s="2" t="s">
        <v>15</v>
      </c>
      <c r="C153" s="2" t="s">
        <v>23</v>
      </c>
      <c r="D153" s="2">
        <v>1</v>
      </c>
      <c r="E153" s="6" t="s">
        <v>497</v>
      </c>
      <c r="F153" s="2" t="str">
        <f t="shared" si="12"/>
        <v>B</v>
      </c>
      <c r="G153" s="2">
        <v>5</v>
      </c>
      <c r="H153" s="2" t="str">
        <f t="shared" si="13"/>
        <v>A</v>
      </c>
      <c r="I153" s="2">
        <v>5</v>
      </c>
      <c r="J153" s="2">
        <f t="shared" si="14"/>
        <v>0</v>
      </c>
      <c r="K153" s="2" t="str">
        <f t="shared" si="15"/>
        <v>C</v>
      </c>
      <c r="L153" s="2" t="str">
        <f t="shared" si="16"/>
        <v>D(平局)</v>
      </c>
      <c r="M153" s="2" t="s">
        <v>22</v>
      </c>
      <c r="N153" s="2">
        <f t="shared" si="17"/>
        <v>0</v>
      </c>
      <c r="O153" s="2" t="s">
        <v>26</v>
      </c>
      <c r="P153" s="2">
        <v>95</v>
      </c>
    </row>
    <row r="154" ht="23" customHeight="1" spans="1:16">
      <c r="A154" s="6" t="s">
        <v>217</v>
      </c>
      <c r="B154" s="2" t="s">
        <v>15</v>
      </c>
      <c r="C154" s="2" t="s">
        <v>17</v>
      </c>
      <c r="D154" s="2">
        <v>2</v>
      </c>
      <c r="E154" s="6" t="s">
        <v>498</v>
      </c>
      <c r="F154" s="2" t="str">
        <f t="shared" si="12"/>
        <v>A</v>
      </c>
      <c r="G154" s="2">
        <v>5</v>
      </c>
      <c r="H154" s="2" t="str">
        <f t="shared" si="13"/>
        <v>B</v>
      </c>
      <c r="I154" s="2">
        <v>4</v>
      </c>
      <c r="J154" s="2">
        <f t="shared" si="14"/>
        <v>1</v>
      </c>
      <c r="K154" s="2" t="str">
        <f t="shared" si="15"/>
        <v>A</v>
      </c>
      <c r="L154" s="2" t="str">
        <f t="shared" si="16"/>
        <v>A</v>
      </c>
      <c r="M154" s="2" t="s">
        <v>22</v>
      </c>
      <c r="N154" s="2">
        <f t="shared" si="17"/>
        <v>1</v>
      </c>
      <c r="O154" s="2" t="s">
        <v>22</v>
      </c>
      <c r="P154" s="2">
        <v>94</v>
      </c>
    </row>
    <row r="155" ht="23" customHeight="1" spans="1:16">
      <c r="A155" s="6" t="s">
        <v>217</v>
      </c>
      <c r="B155" s="2" t="s">
        <v>15</v>
      </c>
      <c r="C155" s="2" t="s">
        <v>23</v>
      </c>
      <c r="D155" s="2">
        <v>2</v>
      </c>
      <c r="E155" s="6" t="s">
        <v>498</v>
      </c>
      <c r="F155" s="2" t="str">
        <f t="shared" si="12"/>
        <v>B</v>
      </c>
      <c r="G155" s="2">
        <v>4</v>
      </c>
      <c r="H155" s="2" t="str">
        <f t="shared" si="13"/>
        <v>A</v>
      </c>
      <c r="I155" s="2">
        <v>5</v>
      </c>
      <c r="J155" s="2">
        <f t="shared" si="14"/>
        <v>-1</v>
      </c>
      <c r="K155" s="2" t="str">
        <f t="shared" si="15"/>
        <v>B</v>
      </c>
      <c r="L155" s="2" t="str">
        <f t="shared" si="16"/>
        <v>A</v>
      </c>
      <c r="M155" s="2" t="s">
        <v>22</v>
      </c>
      <c r="N155" s="2">
        <f t="shared" si="17"/>
        <v>1</v>
      </c>
      <c r="O155" s="2" t="s">
        <v>26</v>
      </c>
      <c r="P155" s="2">
        <v>95</v>
      </c>
    </row>
    <row r="156" ht="23" customHeight="1" spans="1:16">
      <c r="A156" s="6" t="s">
        <v>217</v>
      </c>
      <c r="B156" s="2" t="s">
        <v>15</v>
      </c>
      <c r="C156" s="2" t="s">
        <v>17</v>
      </c>
      <c r="D156" s="2">
        <v>3</v>
      </c>
      <c r="E156" s="6" t="s">
        <v>499</v>
      </c>
      <c r="F156" s="2" t="str">
        <f t="shared" si="12"/>
        <v>A</v>
      </c>
      <c r="G156" s="2">
        <v>5</v>
      </c>
      <c r="H156" s="2" t="str">
        <f t="shared" si="13"/>
        <v>B</v>
      </c>
      <c r="I156" s="2">
        <v>5</v>
      </c>
      <c r="J156" s="2">
        <f t="shared" si="14"/>
        <v>0</v>
      </c>
      <c r="K156" s="2" t="str">
        <f t="shared" si="15"/>
        <v>C</v>
      </c>
      <c r="L156" s="2" t="str">
        <f t="shared" si="16"/>
        <v>D(平局)</v>
      </c>
      <c r="M156" s="2" t="s">
        <v>22</v>
      </c>
      <c r="N156" s="2">
        <f t="shared" si="17"/>
        <v>0</v>
      </c>
      <c r="O156" s="2" t="s">
        <v>22</v>
      </c>
      <c r="P156" s="2">
        <v>94</v>
      </c>
    </row>
    <row r="157" ht="23" customHeight="1" spans="1:16">
      <c r="A157" s="6" t="s">
        <v>217</v>
      </c>
      <c r="B157" s="2" t="s">
        <v>15</v>
      </c>
      <c r="C157" s="2" t="s">
        <v>23</v>
      </c>
      <c r="D157" s="2">
        <v>3</v>
      </c>
      <c r="E157" s="6" t="s">
        <v>499</v>
      </c>
      <c r="F157" s="2" t="str">
        <f t="shared" si="12"/>
        <v>B</v>
      </c>
      <c r="G157" s="2">
        <v>5</v>
      </c>
      <c r="H157" s="2" t="str">
        <f t="shared" si="13"/>
        <v>A</v>
      </c>
      <c r="I157" s="2">
        <v>5</v>
      </c>
      <c r="J157" s="2">
        <f t="shared" si="14"/>
        <v>0</v>
      </c>
      <c r="K157" s="2" t="str">
        <f t="shared" si="15"/>
        <v>C</v>
      </c>
      <c r="L157" s="2" t="str">
        <f t="shared" si="16"/>
        <v>D(平局)</v>
      </c>
      <c r="M157" s="2" t="s">
        <v>22</v>
      </c>
      <c r="N157" s="2">
        <f t="shared" si="17"/>
        <v>0</v>
      </c>
      <c r="O157" s="2" t="s">
        <v>26</v>
      </c>
      <c r="P157" s="2">
        <v>95</v>
      </c>
    </row>
    <row r="158" ht="23" customHeight="1" spans="1:16">
      <c r="A158" s="6" t="s">
        <v>217</v>
      </c>
      <c r="B158" s="2" t="s">
        <v>15</v>
      </c>
      <c r="C158" s="2" t="s">
        <v>17</v>
      </c>
      <c r="D158" s="2">
        <v>4</v>
      </c>
      <c r="E158" s="6" t="s">
        <v>500</v>
      </c>
      <c r="F158" s="2" t="str">
        <f t="shared" si="12"/>
        <v>A</v>
      </c>
      <c r="G158" s="2">
        <v>5</v>
      </c>
      <c r="H158" s="2" t="str">
        <f t="shared" si="13"/>
        <v>B</v>
      </c>
      <c r="I158" s="2">
        <v>5</v>
      </c>
      <c r="J158" s="2">
        <f t="shared" si="14"/>
        <v>0</v>
      </c>
      <c r="K158" s="2" t="str">
        <f t="shared" si="15"/>
        <v>C</v>
      </c>
      <c r="L158" s="2" t="str">
        <f t="shared" si="16"/>
        <v>D(平局)</v>
      </c>
      <c r="M158" s="2" t="s">
        <v>22</v>
      </c>
      <c r="N158" s="2">
        <f t="shared" si="17"/>
        <v>0</v>
      </c>
      <c r="O158" s="2" t="s">
        <v>22</v>
      </c>
      <c r="P158" s="2">
        <v>94</v>
      </c>
    </row>
    <row r="159" ht="23" customHeight="1" spans="1:16">
      <c r="A159" s="6" t="s">
        <v>217</v>
      </c>
      <c r="B159" s="2" t="s">
        <v>15</v>
      </c>
      <c r="C159" s="2" t="s">
        <v>23</v>
      </c>
      <c r="D159" s="2">
        <v>4</v>
      </c>
      <c r="E159" s="6" t="s">
        <v>500</v>
      </c>
      <c r="F159" s="2" t="str">
        <f t="shared" si="12"/>
        <v>B</v>
      </c>
      <c r="G159" s="2">
        <v>5</v>
      </c>
      <c r="H159" s="2" t="str">
        <f t="shared" si="13"/>
        <v>A</v>
      </c>
      <c r="I159" s="2">
        <v>5</v>
      </c>
      <c r="J159" s="2">
        <f t="shared" si="14"/>
        <v>0</v>
      </c>
      <c r="K159" s="2" t="str">
        <f t="shared" si="15"/>
        <v>C</v>
      </c>
      <c r="L159" s="2" t="str">
        <f t="shared" si="16"/>
        <v>D(平局)</v>
      </c>
      <c r="M159" s="2" t="s">
        <v>22</v>
      </c>
      <c r="N159" s="2">
        <f t="shared" si="17"/>
        <v>0</v>
      </c>
      <c r="O159" s="2" t="s">
        <v>26</v>
      </c>
      <c r="P159" s="2">
        <v>95</v>
      </c>
    </row>
    <row r="160" ht="23" customHeight="1" spans="1:16">
      <c r="A160" s="6" t="s">
        <v>217</v>
      </c>
      <c r="B160" s="2" t="s">
        <v>15</v>
      </c>
      <c r="C160" s="2" t="s">
        <v>17</v>
      </c>
      <c r="D160" s="2">
        <v>5</v>
      </c>
      <c r="E160" s="6" t="s">
        <v>501</v>
      </c>
      <c r="F160" s="2" t="str">
        <f t="shared" si="12"/>
        <v>A</v>
      </c>
      <c r="G160" s="2">
        <v>5</v>
      </c>
      <c r="H160" s="2" t="str">
        <f t="shared" si="13"/>
        <v>B</v>
      </c>
      <c r="I160" s="2">
        <v>5</v>
      </c>
      <c r="J160" s="2">
        <f t="shared" si="14"/>
        <v>0</v>
      </c>
      <c r="K160" s="2" t="str">
        <f t="shared" si="15"/>
        <v>C</v>
      </c>
      <c r="L160" s="2" t="str">
        <f t="shared" si="16"/>
        <v>D(平局)</v>
      </c>
      <c r="M160" s="2" t="s">
        <v>22</v>
      </c>
      <c r="N160" s="2">
        <f t="shared" si="17"/>
        <v>0</v>
      </c>
      <c r="O160" s="2" t="s">
        <v>22</v>
      </c>
      <c r="P160" s="2">
        <v>94</v>
      </c>
    </row>
    <row r="161" ht="23" customHeight="1" spans="1:16">
      <c r="A161" s="6" t="s">
        <v>217</v>
      </c>
      <c r="B161" s="2" t="s">
        <v>15</v>
      </c>
      <c r="C161" s="2" t="s">
        <v>23</v>
      </c>
      <c r="D161" s="2">
        <v>5</v>
      </c>
      <c r="E161" s="6" t="s">
        <v>501</v>
      </c>
      <c r="F161" s="2" t="str">
        <f t="shared" si="12"/>
        <v>B</v>
      </c>
      <c r="G161" s="2">
        <v>5</v>
      </c>
      <c r="H161" s="2" t="str">
        <f t="shared" si="13"/>
        <v>A</v>
      </c>
      <c r="I161" s="2">
        <v>5</v>
      </c>
      <c r="J161" s="2">
        <f t="shared" si="14"/>
        <v>0</v>
      </c>
      <c r="K161" s="2" t="str">
        <f t="shared" si="15"/>
        <v>C</v>
      </c>
      <c r="L161" s="2" t="str">
        <f t="shared" si="16"/>
        <v>D(平局)</v>
      </c>
      <c r="M161" s="2" t="s">
        <v>22</v>
      </c>
      <c r="N161" s="2">
        <f t="shared" si="17"/>
        <v>0</v>
      </c>
      <c r="O161" s="2" t="s">
        <v>26</v>
      </c>
      <c r="P161" s="2">
        <v>95</v>
      </c>
    </row>
    <row r="162" ht="23" customHeight="1" spans="1:16">
      <c r="A162" s="6" t="s">
        <v>217</v>
      </c>
      <c r="B162" s="2" t="s">
        <v>37</v>
      </c>
      <c r="C162" s="2" t="s">
        <v>17</v>
      </c>
      <c r="D162" s="2">
        <v>1</v>
      </c>
      <c r="E162" s="6" t="s">
        <v>497</v>
      </c>
      <c r="F162" s="2" t="str">
        <f t="shared" si="12"/>
        <v>A</v>
      </c>
      <c r="G162" s="2">
        <v>5</v>
      </c>
      <c r="H162" s="2" t="str">
        <f t="shared" si="13"/>
        <v>C</v>
      </c>
      <c r="I162" s="2">
        <v>5</v>
      </c>
      <c r="J162" s="2">
        <f t="shared" si="14"/>
        <v>0</v>
      </c>
      <c r="K162" s="2" t="str">
        <f t="shared" si="15"/>
        <v>C</v>
      </c>
      <c r="L162" s="2" t="str">
        <f t="shared" si="16"/>
        <v>D(平局)</v>
      </c>
      <c r="M162" s="2" t="s">
        <v>22</v>
      </c>
      <c r="N162" s="2">
        <f t="shared" si="17"/>
        <v>0</v>
      </c>
      <c r="O162" s="2" t="s">
        <v>22</v>
      </c>
      <c r="P162" s="2">
        <v>100</v>
      </c>
    </row>
    <row r="163" ht="23" customHeight="1" spans="1:16">
      <c r="A163" s="6" t="s">
        <v>217</v>
      </c>
      <c r="B163" s="2" t="s">
        <v>37</v>
      </c>
      <c r="C163" s="2" t="s">
        <v>23</v>
      </c>
      <c r="D163" s="2">
        <v>1</v>
      </c>
      <c r="E163" s="6" t="s">
        <v>497</v>
      </c>
      <c r="F163" s="2" t="str">
        <f t="shared" si="12"/>
        <v>C</v>
      </c>
      <c r="G163" s="2">
        <v>5</v>
      </c>
      <c r="H163" s="2" t="str">
        <f t="shared" si="13"/>
        <v>A</v>
      </c>
      <c r="I163" s="2">
        <v>5</v>
      </c>
      <c r="J163" s="2">
        <f t="shared" si="14"/>
        <v>0</v>
      </c>
      <c r="K163" s="2" t="str">
        <f t="shared" si="15"/>
        <v>C</v>
      </c>
      <c r="L163" s="2" t="str">
        <f t="shared" si="16"/>
        <v>D(平局)</v>
      </c>
      <c r="M163" s="2" t="s">
        <v>22</v>
      </c>
      <c r="N163" s="2">
        <f t="shared" si="17"/>
        <v>0</v>
      </c>
      <c r="O163" s="2" t="s">
        <v>26</v>
      </c>
      <c r="P163" s="2">
        <v>101</v>
      </c>
    </row>
    <row r="164" ht="23" customHeight="1" spans="1:16">
      <c r="A164" s="6" t="s">
        <v>217</v>
      </c>
      <c r="B164" s="2" t="s">
        <v>37</v>
      </c>
      <c r="C164" s="2" t="s">
        <v>17</v>
      </c>
      <c r="D164" s="2">
        <v>2</v>
      </c>
      <c r="E164" s="6" t="s">
        <v>498</v>
      </c>
      <c r="F164" s="2" t="str">
        <f t="shared" si="12"/>
        <v>A</v>
      </c>
      <c r="G164" s="2">
        <v>5</v>
      </c>
      <c r="H164" s="2" t="str">
        <f t="shared" si="13"/>
        <v>C</v>
      </c>
      <c r="I164" s="2">
        <v>2</v>
      </c>
      <c r="J164" s="2">
        <f t="shared" si="14"/>
        <v>3</v>
      </c>
      <c r="K164" s="2" t="str">
        <f t="shared" si="15"/>
        <v>A</v>
      </c>
      <c r="L164" s="2" t="str">
        <f t="shared" si="16"/>
        <v>A</v>
      </c>
      <c r="M164" s="2" t="s">
        <v>22</v>
      </c>
      <c r="N164" s="2">
        <f t="shared" si="17"/>
        <v>1</v>
      </c>
      <c r="O164" s="2" t="s">
        <v>22</v>
      </c>
      <c r="P164" s="2">
        <v>100</v>
      </c>
    </row>
    <row r="165" ht="23" customHeight="1" spans="1:16">
      <c r="A165" s="6" t="s">
        <v>217</v>
      </c>
      <c r="B165" s="2" t="s">
        <v>37</v>
      </c>
      <c r="C165" s="2" t="s">
        <v>23</v>
      </c>
      <c r="D165" s="2">
        <v>2</v>
      </c>
      <c r="E165" s="6" t="s">
        <v>498</v>
      </c>
      <c r="F165" s="2" t="str">
        <f t="shared" si="12"/>
        <v>C</v>
      </c>
      <c r="G165" s="2">
        <v>3</v>
      </c>
      <c r="H165" s="2" t="str">
        <f t="shared" si="13"/>
        <v>A</v>
      </c>
      <c r="I165" s="2">
        <v>5</v>
      </c>
      <c r="J165" s="2">
        <f t="shared" si="14"/>
        <v>-2</v>
      </c>
      <c r="K165" s="2" t="str">
        <f t="shared" si="15"/>
        <v>B</v>
      </c>
      <c r="L165" s="2" t="str">
        <f t="shared" si="16"/>
        <v>A</v>
      </c>
      <c r="M165" s="2" t="s">
        <v>22</v>
      </c>
      <c r="N165" s="2">
        <f t="shared" si="17"/>
        <v>1</v>
      </c>
      <c r="O165" s="2" t="s">
        <v>26</v>
      </c>
      <c r="P165" s="2">
        <v>101</v>
      </c>
    </row>
    <row r="166" ht="23" customHeight="1" spans="1:16">
      <c r="A166" s="6" t="s">
        <v>217</v>
      </c>
      <c r="B166" s="2" t="s">
        <v>37</v>
      </c>
      <c r="C166" s="2" t="s">
        <v>17</v>
      </c>
      <c r="D166" s="2">
        <v>3</v>
      </c>
      <c r="E166" s="6" t="s">
        <v>499</v>
      </c>
      <c r="F166" s="2" t="str">
        <f t="shared" si="12"/>
        <v>A</v>
      </c>
      <c r="G166" s="2">
        <v>5</v>
      </c>
      <c r="H166" s="2" t="str">
        <f t="shared" si="13"/>
        <v>C</v>
      </c>
      <c r="I166" s="2">
        <v>5</v>
      </c>
      <c r="J166" s="2">
        <f t="shared" si="14"/>
        <v>0</v>
      </c>
      <c r="K166" s="2" t="str">
        <f t="shared" si="15"/>
        <v>C</v>
      </c>
      <c r="L166" s="2" t="str">
        <f t="shared" si="16"/>
        <v>D(平局)</v>
      </c>
      <c r="M166" s="2" t="s">
        <v>22</v>
      </c>
      <c r="N166" s="2">
        <f t="shared" si="17"/>
        <v>0</v>
      </c>
      <c r="O166" s="2" t="s">
        <v>22</v>
      </c>
      <c r="P166" s="2">
        <v>100</v>
      </c>
    </row>
    <row r="167" ht="23" customHeight="1" spans="1:16">
      <c r="A167" s="6" t="s">
        <v>217</v>
      </c>
      <c r="B167" s="2" t="s">
        <v>37</v>
      </c>
      <c r="C167" s="2" t="s">
        <v>23</v>
      </c>
      <c r="D167" s="2">
        <v>3</v>
      </c>
      <c r="E167" s="6" t="s">
        <v>499</v>
      </c>
      <c r="F167" s="2" t="str">
        <f t="shared" si="12"/>
        <v>C</v>
      </c>
      <c r="G167" s="2">
        <v>5</v>
      </c>
      <c r="H167" s="2" t="str">
        <f t="shared" si="13"/>
        <v>A</v>
      </c>
      <c r="I167" s="2">
        <v>5</v>
      </c>
      <c r="J167" s="2">
        <f t="shared" si="14"/>
        <v>0</v>
      </c>
      <c r="K167" s="2" t="str">
        <f t="shared" si="15"/>
        <v>C</v>
      </c>
      <c r="L167" s="2" t="str">
        <f t="shared" si="16"/>
        <v>D(平局)</v>
      </c>
      <c r="M167" s="2" t="s">
        <v>22</v>
      </c>
      <c r="N167" s="2">
        <f t="shared" si="17"/>
        <v>0</v>
      </c>
      <c r="O167" s="2" t="s">
        <v>26</v>
      </c>
      <c r="P167" s="2">
        <v>101</v>
      </c>
    </row>
    <row r="168" ht="23" customHeight="1" spans="1:16">
      <c r="A168" s="6" t="s">
        <v>217</v>
      </c>
      <c r="B168" s="2" t="s">
        <v>37</v>
      </c>
      <c r="C168" s="2" t="s">
        <v>17</v>
      </c>
      <c r="D168" s="2">
        <v>4</v>
      </c>
      <c r="E168" s="6" t="s">
        <v>500</v>
      </c>
      <c r="F168" s="2" t="str">
        <f t="shared" si="12"/>
        <v>A</v>
      </c>
      <c r="G168" s="2">
        <v>5</v>
      </c>
      <c r="H168" s="2" t="str">
        <f t="shared" si="13"/>
        <v>C</v>
      </c>
      <c r="I168" s="2">
        <v>5</v>
      </c>
      <c r="J168" s="2">
        <f t="shared" si="14"/>
        <v>0</v>
      </c>
      <c r="K168" s="2" t="str">
        <f t="shared" si="15"/>
        <v>C</v>
      </c>
      <c r="L168" s="2" t="str">
        <f t="shared" si="16"/>
        <v>D(平局)</v>
      </c>
      <c r="M168" s="2" t="s">
        <v>22</v>
      </c>
      <c r="N168" s="2">
        <f t="shared" si="17"/>
        <v>0</v>
      </c>
      <c r="O168" s="2" t="s">
        <v>22</v>
      </c>
      <c r="P168" s="2">
        <v>100</v>
      </c>
    </row>
    <row r="169" ht="23" customHeight="1" spans="1:16">
      <c r="A169" s="6" t="s">
        <v>217</v>
      </c>
      <c r="B169" s="2" t="s">
        <v>37</v>
      </c>
      <c r="C169" s="2" t="s">
        <v>23</v>
      </c>
      <c r="D169" s="2">
        <v>4</v>
      </c>
      <c r="E169" s="6" t="s">
        <v>500</v>
      </c>
      <c r="F169" s="2" t="str">
        <f t="shared" si="12"/>
        <v>C</v>
      </c>
      <c r="G169" s="2">
        <v>5</v>
      </c>
      <c r="H169" s="2" t="str">
        <f t="shared" si="13"/>
        <v>A</v>
      </c>
      <c r="I169" s="2">
        <v>5</v>
      </c>
      <c r="J169" s="2">
        <f t="shared" si="14"/>
        <v>0</v>
      </c>
      <c r="K169" s="2" t="str">
        <f t="shared" si="15"/>
        <v>C</v>
      </c>
      <c r="L169" s="2" t="str">
        <f t="shared" si="16"/>
        <v>D(平局)</v>
      </c>
      <c r="M169" s="2" t="s">
        <v>22</v>
      </c>
      <c r="N169" s="2">
        <f t="shared" si="17"/>
        <v>0</v>
      </c>
      <c r="O169" s="2" t="s">
        <v>26</v>
      </c>
      <c r="P169" s="2">
        <v>101</v>
      </c>
    </row>
    <row r="170" ht="23" customHeight="1" spans="1:16">
      <c r="A170" s="6" t="s">
        <v>217</v>
      </c>
      <c r="B170" s="2" t="s">
        <v>37</v>
      </c>
      <c r="C170" s="2" t="s">
        <v>17</v>
      </c>
      <c r="D170" s="2">
        <v>5</v>
      </c>
      <c r="E170" s="6" t="s">
        <v>501</v>
      </c>
      <c r="F170" s="2" t="str">
        <f t="shared" si="12"/>
        <v>A</v>
      </c>
      <c r="G170" s="2">
        <v>5</v>
      </c>
      <c r="H170" s="2" t="str">
        <f t="shared" si="13"/>
        <v>C</v>
      </c>
      <c r="I170" s="2">
        <v>5</v>
      </c>
      <c r="J170" s="2">
        <f t="shared" si="14"/>
        <v>0</v>
      </c>
      <c r="K170" s="2" t="str">
        <f t="shared" si="15"/>
        <v>C</v>
      </c>
      <c r="L170" s="2" t="str">
        <f t="shared" si="16"/>
        <v>D(平局)</v>
      </c>
      <c r="M170" s="2" t="s">
        <v>22</v>
      </c>
      <c r="N170" s="2">
        <f t="shared" si="17"/>
        <v>0</v>
      </c>
      <c r="O170" s="2" t="s">
        <v>22</v>
      </c>
      <c r="P170" s="2">
        <v>100</v>
      </c>
    </row>
    <row r="171" ht="23" customHeight="1" spans="1:16">
      <c r="A171" s="6" t="s">
        <v>217</v>
      </c>
      <c r="B171" s="2" t="s">
        <v>37</v>
      </c>
      <c r="C171" s="2" t="s">
        <v>23</v>
      </c>
      <c r="D171" s="2">
        <v>5</v>
      </c>
      <c r="E171" s="6" t="s">
        <v>501</v>
      </c>
      <c r="F171" s="2" t="str">
        <f t="shared" si="12"/>
        <v>C</v>
      </c>
      <c r="G171" s="2">
        <v>5</v>
      </c>
      <c r="H171" s="2" t="str">
        <f t="shared" si="13"/>
        <v>A</v>
      </c>
      <c r="I171" s="2">
        <v>5</v>
      </c>
      <c r="J171" s="2">
        <f t="shared" si="14"/>
        <v>0</v>
      </c>
      <c r="K171" s="2" t="str">
        <f t="shared" si="15"/>
        <v>C</v>
      </c>
      <c r="L171" s="2" t="str">
        <f t="shared" si="16"/>
        <v>D(平局)</v>
      </c>
      <c r="M171" s="2" t="s">
        <v>22</v>
      </c>
      <c r="N171" s="2">
        <f t="shared" si="17"/>
        <v>0</v>
      </c>
      <c r="O171" s="2" t="s">
        <v>26</v>
      </c>
      <c r="P171" s="2">
        <v>101</v>
      </c>
    </row>
    <row r="172" ht="23" customHeight="1" spans="1:16">
      <c r="A172" s="6" t="s">
        <v>217</v>
      </c>
      <c r="B172" s="2" t="s">
        <v>50</v>
      </c>
      <c r="C172" s="2" t="s">
        <v>17</v>
      </c>
      <c r="D172" s="2">
        <v>1</v>
      </c>
      <c r="E172" s="6" t="s">
        <v>497</v>
      </c>
      <c r="F172" s="2" t="str">
        <f t="shared" si="12"/>
        <v>B</v>
      </c>
      <c r="G172" s="2">
        <v>5</v>
      </c>
      <c r="H172" s="2" t="str">
        <f t="shared" si="13"/>
        <v>C</v>
      </c>
      <c r="I172" s="2">
        <v>5</v>
      </c>
      <c r="J172" s="2">
        <f t="shared" si="14"/>
        <v>0</v>
      </c>
      <c r="K172" s="2" t="str">
        <f t="shared" si="15"/>
        <v>C</v>
      </c>
      <c r="L172" s="2" t="str">
        <f t="shared" si="16"/>
        <v>D(平局)</v>
      </c>
      <c r="M172" s="2" t="s">
        <v>26</v>
      </c>
      <c r="N172" s="2">
        <f t="shared" si="17"/>
        <v>0</v>
      </c>
      <c r="O172" s="2" t="s">
        <v>22</v>
      </c>
      <c r="P172" s="2">
        <v>106</v>
      </c>
    </row>
    <row r="173" ht="23" customHeight="1" spans="1:16">
      <c r="A173" s="6" t="s">
        <v>217</v>
      </c>
      <c r="B173" s="2" t="s">
        <v>50</v>
      </c>
      <c r="C173" s="2" t="s">
        <v>23</v>
      </c>
      <c r="D173" s="2">
        <v>1</v>
      </c>
      <c r="E173" s="6" t="s">
        <v>497</v>
      </c>
      <c r="F173" s="2" t="str">
        <f t="shared" si="12"/>
        <v>C</v>
      </c>
      <c r="G173" s="2">
        <v>5</v>
      </c>
      <c r="H173" s="2" t="str">
        <f t="shared" si="13"/>
        <v>B</v>
      </c>
      <c r="I173" s="2">
        <v>5</v>
      </c>
      <c r="J173" s="2">
        <f t="shared" si="14"/>
        <v>0</v>
      </c>
      <c r="K173" s="2" t="str">
        <f t="shared" si="15"/>
        <v>C</v>
      </c>
      <c r="L173" s="2" t="str">
        <f t="shared" si="16"/>
        <v>D(平局)</v>
      </c>
      <c r="M173" s="2" t="s">
        <v>26</v>
      </c>
      <c r="N173" s="2">
        <f t="shared" si="17"/>
        <v>0</v>
      </c>
      <c r="O173" s="2" t="s">
        <v>26</v>
      </c>
      <c r="P173" s="2">
        <v>107</v>
      </c>
    </row>
    <row r="174" ht="23" customHeight="1" spans="1:16">
      <c r="A174" s="6" t="s">
        <v>217</v>
      </c>
      <c r="B174" s="2" t="s">
        <v>50</v>
      </c>
      <c r="C174" s="2" t="s">
        <v>17</v>
      </c>
      <c r="D174" s="2">
        <v>2</v>
      </c>
      <c r="E174" s="6" t="s">
        <v>498</v>
      </c>
      <c r="F174" s="2" t="str">
        <f t="shared" si="12"/>
        <v>B</v>
      </c>
      <c r="G174" s="2">
        <v>4</v>
      </c>
      <c r="H174" s="2" t="str">
        <f t="shared" si="13"/>
        <v>C</v>
      </c>
      <c r="I174" s="2">
        <v>2</v>
      </c>
      <c r="J174" s="2">
        <f t="shared" si="14"/>
        <v>2</v>
      </c>
      <c r="K174" s="2" t="str">
        <f t="shared" si="15"/>
        <v>A</v>
      </c>
      <c r="L174" s="2" t="str">
        <f t="shared" si="16"/>
        <v>B</v>
      </c>
      <c r="M174" s="2" t="s">
        <v>26</v>
      </c>
      <c r="N174" s="2">
        <f t="shared" si="17"/>
        <v>1</v>
      </c>
      <c r="O174" s="2" t="s">
        <v>22</v>
      </c>
      <c r="P174" s="2">
        <v>106</v>
      </c>
    </row>
    <row r="175" ht="23" customHeight="1" spans="1:16">
      <c r="A175" s="6" t="s">
        <v>217</v>
      </c>
      <c r="B175" s="2" t="s">
        <v>50</v>
      </c>
      <c r="C175" s="2" t="s">
        <v>23</v>
      </c>
      <c r="D175" s="2">
        <v>2</v>
      </c>
      <c r="E175" s="6" t="s">
        <v>498</v>
      </c>
      <c r="F175" s="2" t="str">
        <f t="shared" si="12"/>
        <v>C</v>
      </c>
      <c r="G175" s="2">
        <v>2</v>
      </c>
      <c r="H175" s="2" t="str">
        <f t="shared" si="13"/>
        <v>B</v>
      </c>
      <c r="I175" s="2">
        <v>4</v>
      </c>
      <c r="J175" s="2">
        <f t="shared" si="14"/>
        <v>-2</v>
      </c>
      <c r="K175" s="2" t="str">
        <f t="shared" si="15"/>
        <v>B</v>
      </c>
      <c r="L175" s="2" t="str">
        <f t="shared" si="16"/>
        <v>B</v>
      </c>
      <c r="M175" s="2" t="s">
        <v>26</v>
      </c>
      <c r="N175" s="2">
        <f t="shared" si="17"/>
        <v>1</v>
      </c>
      <c r="O175" s="2" t="s">
        <v>26</v>
      </c>
      <c r="P175" s="2">
        <v>107</v>
      </c>
    </row>
    <row r="176" ht="23" customHeight="1" spans="1:16">
      <c r="A176" s="6" t="s">
        <v>217</v>
      </c>
      <c r="B176" s="2" t="s">
        <v>50</v>
      </c>
      <c r="C176" s="2" t="s">
        <v>17</v>
      </c>
      <c r="D176" s="2">
        <v>3</v>
      </c>
      <c r="E176" s="6" t="s">
        <v>499</v>
      </c>
      <c r="F176" s="2" t="str">
        <f t="shared" si="12"/>
        <v>B</v>
      </c>
      <c r="G176" s="2">
        <v>5</v>
      </c>
      <c r="H176" s="2" t="str">
        <f t="shared" si="13"/>
        <v>C</v>
      </c>
      <c r="I176" s="2">
        <v>5</v>
      </c>
      <c r="J176" s="2">
        <f t="shared" si="14"/>
        <v>0</v>
      </c>
      <c r="K176" s="2" t="str">
        <f t="shared" si="15"/>
        <v>C</v>
      </c>
      <c r="L176" s="2" t="str">
        <f t="shared" si="16"/>
        <v>D(平局)</v>
      </c>
      <c r="M176" s="2" t="s">
        <v>26</v>
      </c>
      <c r="N176" s="2">
        <f t="shared" si="17"/>
        <v>0</v>
      </c>
      <c r="O176" s="2" t="s">
        <v>22</v>
      </c>
      <c r="P176" s="2">
        <v>106</v>
      </c>
    </row>
    <row r="177" ht="23" customHeight="1" spans="1:16">
      <c r="A177" s="6" t="s">
        <v>217</v>
      </c>
      <c r="B177" s="2" t="s">
        <v>50</v>
      </c>
      <c r="C177" s="2" t="s">
        <v>23</v>
      </c>
      <c r="D177" s="2">
        <v>3</v>
      </c>
      <c r="E177" s="6" t="s">
        <v>499</v>
      </c>
      <c r="F177" s="2" t="str">
        <f t="shared" si="12"/>
        <v>C</v>
      </c>
      <c r="G177" s="2">
        <v>5</v>
      </c>
      <c r="H177" s="2" t="str">
        <f t="shared" si="13"/>
        <v>B</v>
      </c>
      <c r="I177" s="2">
        <v>5</v>
      </c>
      <c r="J177" s="2">
        <f t="shared" si="14"/>
        <v>0</v>
      </c>
      <c r="K177" s="2" t="str">
        <f t="shared" si="15"/>
        <v>C</v>
      </c>
      <c r="L177" s="2" t="str">
        <f t="shared" si="16"/>
        <v>D(平局)</v>
      </c>
      <c r="M177" s="2" t="s">
        <v>26</v>
      </c>
      <c r="N177" s="2">
        <f t="shared" si="17"/>
        <v>0</v>
      </c>
      <c r="O177" s="2" t="s">
        <v>26</v>
      </c>
      <c r="P177" s="2">
        <v>107</v>
      </c>
    </row>
    <row r="178" ht="23" customHeight="1" spans="1:16">
      <c r="A178" s="6" t="s">
        <v>217</v>
      </c>
      <c r="B178" s="2" t="s">
        <v>50</v>
      </c>
      <c r="C178" s="2" t="s">
        <v>17</v>
      </c>
      <c r="D178" s="2">
        <v>4</v>
      </c>
      <c r="E178" s="6" t="s">
        <v>500</v>
      </c>
      <c r="F178" s="2" t="str">
        <f t="shared" si="12"/>
        <v>B</v>
      </c>
      <c r="G178" s="2">
        <v>5</v>
      </c>
      <c r="H178" s="2" t="str">
        <f t="shared" si="13"/>
        <v>C</v>
      </c>
      <c r="I178" s="2">
        <v>5</v>
      </c>
      <c r="J178" s="2">
        <f t="shared" si="14"/>
        <v>0</v>
      </c>
      <c r="K178" s="2" t="str">
        <f t="shared" si="15"/>
        <v>C</v>
      </c>
      <c r="L178" s="2" t="str">
        <f t="shared" si="16"/>
        <v>D(平局)</v>
      </c>
      <c r="M178" s="2" t="s">
        <v>26</v>
      </c>
      <c r="N178" s="2">
        <f t="shared" si="17"/>
        <v>0</v>
      </c>
      <c r="O178" s="2" t="s">
        <v>22</v>
      </c>
      <c r="P178" s="2">
        <v>106</v>
      </c>
    </row>
    <row r="179" ht="23" customHeight="1" spans="1:16">
      <c r="A179" s="6" t="s">
        <v>217</v>
      </c>
      <c r="B179" s="2" t="s">
        <v>50</v>
      </c>
      <c r="C179" s="2" t="s">
        <v>23</v>
      </c>
      <c r="D179" s="2">
        <v>4</v>
      </c>
      <c r="E179" s="6" t="s">
        <v>500</v>
      </c>
      <c r="F179" s="2" t="str">
        <f t="shared" si="12"/>
        <v>C</v>
      </c>
      <c r="G179" s="2">
        <v>5</v>
      </c>
      <c r="H179" s="2" t="str">
        <f t="shared" si="13"/>
        <v>B</v>
      </c>
      <c r="I179" s="2">
        <v>5</v>
      </c>
      <c r="J179" s="2">
        <f t="shared" si="14"/>
        <v>0</v>
      </c>
      <c r="K179" s="2" t="str">
        <f t="shared" si="15"/>
        <v>C</v>
      </c>
      <c r="L179" s="2" t="str">
        <f t="shared" si="16"/>
        <v>D(平局)</v>
      </c>
      <c r="M179" s="2" t="s">
        <v>26</v>
      </c>
      <c r="N179" s="2">
        <f t="shared" si="17"/>
        <v>0</v>
      </c>
      <c r="O179" s="2" t="s">
        <v>26</v>
      </c>
      <c r="P179" s="2">
        <v>107</v>
      </c>
    </row>
    <row r="180" ht="23" customHeight="1" spans="1:16">
      <c r="A180" s="6" t="s">
        <v>217</v>
      </c>
      <c r="B180" s="2" t="s">
        <v>50</v>
      </c>
      <c r="C180" s="2" t="s">
        <v>17</v>
      </c>
      <c r="D180" s="2">
        <v>5</v>
      </c>
      <c r="E180" s="6" t="s">
        <v>501</v>
      </c>
      <c r="F180" s="2" t="str">
        <f t="shared" si="12"/>
        <v>B</v>
      </c>
      <c r="G180" s="2">
        <v>5</v>
      </c>
      <c r="H180" s="2" t="str">
        <f t="shared" si="13"/>
        <v>C</v>
      </c>
      <c r="I180" s="2">
        <v>4</v>
      </c>
      <c r="J180" s="2">
        <f t="shared" si="14"/>
        <v>1</v>
      </c>
      <c r="K180" s="2" t="str">
        <f t="shared" si="15"/>
        <v>A</v>
      </c>
      <c r="L180" s="2" t="str">
        <f t="shared" si="16"/>
        <v>B</v>
      </c>
      <c r="M180" s="2" t="s">
        <v>26</v>
      </c>
      <c r="N180" s="2">
        <f t="shared" si="17"/>
        <v>1</v>
      </c>
      <c r="O180" s="2" t="s">
        <v>22</v>
      </c>
      <c r="P180" s="2">
        <v>106</v>
      </c>
    </row>
    <row r="181" ht="23" customHeight="1" spans="1:16">
      <c r="A181" s="6" t="s">
        <v>217</v>
      </c>
      <c r="B181" s="2" t="s">
        <v>50</v>
      </c>
      <c r="C181" s="2" t="s">
        <v>23</v>
      </c>
      <c r="D181" s="2">
        <v>5</v>
      </c>
      <c r="E181" s="6" t="s">
        <v>501</v>
      </c>
      <c r="F181" s="2" t="str">
        <f t="shared" si="12"/>
        <v>C</v>
      </c>
      <c r="G181" s="2">
        <v>4</v>
      </c>
      <c r="H181" s="2" t="str">
        <f t="shared" si="13"/>
        <v>B</v>
      </c>
      <c r="I181" s="2">
        <v>5</v>
      </c>
      <c r="J181" s="2">
        <f t="shared" si="14"/>
        <v>-1</v>
      </c>
      <c r="K181" s="2" t="str">
        <f t="shared" si="15"/>
        <v>B</v>
      </c>
      <c r="L181" s="2" t="str">
        <f t="shared" si="16"/>
        <v>B</v>
      </c>
      <c r="M181" s="2" t="s">
        <v>26</v>
      </c>
      <c r="N181" s="2">
        <f t="shared" si="17"/>
        <v>1</v>
      </c>
      <c r="O181" s="2" t="s">
        <v>26</v>
      </c>
      <c r="P181" s="2">
        <v>107</v>
      </c>
    </row>
    <row r="182" ht="23" customHeight="1" spans="1:16">
      <c r="A182" s="6" t="s">
        <v>255</v>
      </c>
      <c r="B182" s="2" t="s">
        <v>15</v>
      </c>
      <c r="C182" s="2" t="s">
        <v>17</v>
      </c>
      <c r="D182" s="2">
        <v>1</v>
      </c>
      <c r="E182" s="6" t="s">
        <v>497</v>
      </c>
      <c r="F182" s="2" t="str">
        <f t="shared" si="12"/>
        <v>A</v>
      </c>
      <c r="G182" s="2">
        <v>5</v>
      </c>
      <c r="H182" s="2" t="str">
        <f t="shared" si="13"/>
        <v>B</v>
      </c>
      <c r="I182" s="2">
        <v>5</v>
      </c>
      <c r="J182" s="2">
        <f t="shared" si="14"/>
        <v>0</v>
      </c>
      <c r="K182" s="2" t="str">
        <f t="shared" si="15"/>
        <v>C</v>
      </c>
      <c r="L182" s="2" t="str">
        <f t="shared" si="16"/>
        <v>D(平局)</v>
      </c>
      <c r="M182" s="2" t="s">
        <v>22</v>
      </c>
      <c r="N182" s="2">
        <f t="shared" si="17"/>
        <v>0</v>
      </c>
      <c r="O182" s="2" t="s">
        <v>22</v>
      </c>
      <c r="P182" s="2">
        <v>112</v>
      </c>
    </row>
    <row r="183" ht="23" customHeight="1" spans="1:16">
      <c r="A183" s="6" t="s">
        <v>255</v>
      </c>
      <c r="B183" s="2" t="s">
        <v>15</v>
      </c>
      <c r="C183" s="2" t="s">
        <v>23</v>
      </c>
      <c r="D183" s="2">
        <v>1</v>
      </c>
      <c r="E183" s="6" t="s">
        <v>497</v>
      </c>
      <c r="F183" s="2" t="str">
        <f t="shared" si="12"/>
        <v>B</v>
      </c>
      <c r="G183" s="2">
        <v>5</v>
      </c>
      <c r="H183" s="2" t="str">
        <f t="shared" si="13"/>
        <v>A</v>
      </c>
      <c r="I183" s="2">
        <v>5</v>
      </c>
      <c r="J183" s="2">
        <f t="shared" si="14"/>
        <v>0</v>
      </c>
      <c r="K183" s="2" t="str">
        <f t="shared" si="15"/>
        <v>C</v>
      </c>
      <c r="L183" s="2" t="str">
        <f t="shared" si="16"/>
        <v>D(平局)</v>
      </c>
      <c r="M183" s="2" t="s">
        <v>22</v>
      </c>
      <c r="N183" s="2">
        <f t="shared" si="17"/>
        <v>0</v>
      </c>
      <c r="O183" s="2" t="s">
        <v>26</v>
      </c>
      <c r="P183" s="2">
        <v>113</v>
      </c>
    </row>
    <row r="184" ht="23" customHeight="1" spans="1:16">
      <c r="A184" s="6" t="s">
        <v>255</v>
      </c>
      <c r="B184" s="2" t="s">
        <v>15</v>
      </c>
      <c r="C184" s="2" t="s">
        <v>17</v>
      </c>
      <c r="D184" s="2">
        <v>2</v>
      </c>
      <c r="E184" s="6" t="s">
        <v>498</v>
      </c>
      <c r="F184" s="2" t="str">
        <f t="shared" si="12"/>
        <v>A</v>
      </c>
      <c r="G184" s="2">
        <v>5</v>
      </c>
      <c r="H184" s="2" t="str">
        <f t="shared" si="13"/>
        <v>B</v>
      </c>
      <c r="I184" s="2">
        <v>2</v>
      </c>
      <c r="J184" s="2">
        <f t="shared" si="14"/>
        <v>3</v>
      </c>
      <c r="K184" s="2" t="str">
        <f t="shared" si="15"/>
        <v>A</v>
      </c>
      <c r="L184" s="2" t="str">
        <f t="shared" si="16"/>
        <v>A</v>
      </c>
      <c r="M184" s="2" t="s">
        <v>22</v>
      </c>
      <c r="N184" s="2">
        <f t="shared" si="17"/>
        <v>1</v>
      </c>
      <c r="O184" s="2" t="s">
        <v>22</v>
      </c>
      <c r="P184" s="2">
        <v>112</v>
      </c>
    </row>
    <row r="185" ht="23" customHeight="1" spans="1:16">
      <c r="A185" s="6" t="s">
        <v>255</v>
      </c>
      <c r="B185" s="2" t="s">
        <v>15</v>
      </c>
      <c r="C185" s="2" t="s">
        <v>23</v>
      </c>
      <c r="D185" s="2">
        <v>2</v>
      </c>
      <c r="E185" s="6" t="s">
        <v>498</v>
      </c>
      <c r="F185" s="2" t="str">
        <f t="shared" si="12"/>
        <v>B</v>
      </c>
      <c r="G185" s="2">
        <v>3</v>
      </c>
      <c r="H185" s="2" t="str">
        <f t="shared" si="13"/>
        <v>A</v>
      </c>
      <c r="I185" s="2">
        <v>5</v>
      </c>
      <c r="J185" s="2">
        <f t="shared" si="14"/>
        <v>-2</v>
      </c>
      <c r="K185" s="2" t="str">
        <f t="shared" si="15"/>
        <v>B</v>
      </c>
      <c r="L185" s="2" t="str">
        <f t="shared" si="16"/>
        <v>A</v>
      </c>
      <c r="M185" s="2" t="s">
        <v>22</v>
      </c>
      <c r="N185" s="2">
        <f t="shared" si="17"/>
        <v>1</v>
      </c>
      <c r="O185" s="2" t="s">
        <v>26</v>
      </c>
      <c r="P185" s="2">
        <v>113</v>
      </c>
    </row>
    <row r="186" ht="23" customHeight="1" spans="1:16">
      <c r="A186" s="6" t="s">
        <v>255</v>
      </c>
      <c r="B186" s="2" t="s">
        <v>15</v>
      </c>
      <c r="C186" s="2" t="s">
        <v>17</v>
      </c>
      <c r="D186" s="2">
        <v>3</v>
      </c>
      <c r="E186" s="6" t="s">
        <v>499</v>
      </c>
      <c r="F186" s="2" t="str">
        <f t="shared" si="12"/>
        <v>A</v>
      </c>
      <c r="G186" s="2">
        <v>5</v>
      </c>
      <c r="H186" s="2" t="str">
        <f t="shared" si="13"/>
        <v>B</v>
      </c>
      <c r="I186" s="2">
        <v>5</v>
      </c>
      <c r="J186" s="2">
        <f t="shared" si="14"/>
        <v>0</v>
      </c>
      <c r="K186" s="2" t="str">
        <f t="shared" si="15"/>
        <v>C</v>
      </c>
      <c r="L186" s="2" t="str">
        <f t="shared" si="16"/>
        <v>D(平局)</v>
      </c>
      <c r="M186" s="2" t="s">
        <v>22</v>
      </c>
      <c r="N186" s="2">
        <f t="shared" si="17"/>
        <v>0</v>
      </c>
      <c r="O186" s="2" t="s">
        <v>22</v>
      </c>
      <c r="P186" s="2">
        <v>112</v>
      </c>
    </row>
    <row r="187" ht="23" customHeight="1" spans="1:16">
      <c r="A187" s="6" t="s">
        <v>255</v>
      </c>
      <c r="B187" s="2" t="s">
        <v>15</v>
      </c>
      <c r="C187" s="2" t="s">
        <v>23</v>
      </c>
      <c r="D187" s="2">
        <v>3</v>
      </c>
      <c r="E187" s="6" t="s">
        <v>499</v>
      </c>
      <c r="F187" s="2" t="str">
        <f t="shared" si="12"/>
        <v>B</v>
      </c>
      <c r="G187" s="2">
        <v>5</v>
      </c>
      <c r="H187" s="2" t="str">
        <f t="shared" si="13"/>
        <v>A</v>
      </c>
      <c r="I187" s="2">
        <v>5</v>
      </c>
      <c r="J187" s="2">
        <f t="shared" si="14"/>
        <v>0</v>
      </c>
      <c r="K187" s="2" t="str">
        <f t="shared" si="15"/>
        <v>C</v>
      </c>
      <c r="L187" s="2" t="str">
        <f t="shared" si="16"/>
        <v>D(平局)</v>
      </c>
      <c r="M187" s="2" t="s">
        <v>22</v>
      </c>
      <c r="N187" s="2">
        <f t="shared" si="17"/>
        <v>0</v>
      </c>
      <c r="O187" s="2" t="s">
        <v>26</v>
      </c>
      <c r="P187" s="2">
        <v>113</v>
      </c>
    </row>
    <row r="188" ht="23" customHeight="1" spans="1:16">
      <c r="A188" s="6" t="s">
        <v>255</v>
      </c>
      <c r="B188" s="2" t="s">
        <v>15</v>
      </c>
      <c r="C188" s="2" t="s">
        <v>17</v>
      </c>
      <c r="D188" s="2">
        <v>4</v>
      </c>
      <c r="E188" s="6" t="s">
        <v>500</v>
      </c>
      <c r="F188" s="2" t="str">
        <f t="shared" si="12"/>
        <v>A</v>
      </c>
      <c r="G188" s="2">
        <v>5</v>
      </c>
      <c r="H188" s="2" t="str">
        <f t="shared" si="13"/>
        <v>B</v>
      </c>
      <c r="I188" s="2">
        <v>5</v>
      </c>
      <c r="J188" s="2">
        <f t="shared" si="14"/>
        <v>0</v>
      </c>
      <c r="K188" s="2" t="str">
        <f t="shared" si="15"/>
        <v>C</v>
      </c>
      <c r="L188" s="2" t="str">
        <f t="shared" si="16"/>
        <v>D(平局)</v>
      </c>
      <c r="M188" s="2" t="s">
        <v>22</v>
      </c>
      <c r="N188" s="2">
        <f t="shared" si="17"/>
        <v>0</v>
      </c>
      <c r="O188" s="2" t="s">
        <v>22</v>
      </c>
      <c r="P188" s="2">
        <v>112</v>
      </c>
    </row>
    <row r="189" ht="23" customHeight="1" spans="1:16">
      <c r="A189" s="6" t="s">
        <v>255</v>
      </c>
      <c r="B189" s="2" t="s">
        <v>15</v>
      </c>
      <c r="C189" s="2" t="s">
        <v>23</v>
      </c>
      <c r="D189" s="2">
        <v>4</v>
      </c>
      <c r="E189" s="6" t="s">
        <v>500</v>
      </c>
      <c r="F189" s="2" t="str">
        <f t="shared" si="12"/>
        <v>B</v>
      </c>
      <c r="G189" s="2">
        <v>5</v>
      </c>
      <c r="H189" s="2" t="str">
        <f t="shared" si="13"/>
        <v>A</v>
      </c>
      <c r="I189" s="2">
        <v>5</v>
      </c>
      <c r="J189" s="2">
        <f t="shared" si="14"/>
        <v>0</v>
      </c>
      <c r="K189" s="2" t="str">
        <f t="shared" si="15"/>
        <v>C</v>
      </c>
      <c r="L189" s="2" t="str">
        <f t="shared" si="16"/>
        <v>D(平局)</v>
      </c>
      <c r="M189" s="2" t="s">
        <v>22</v>
      </c>
      <c r="N189" s="2">
        <f t="shared" si="17"/>
        <v>0</v>
      </c>
      <c r="O189" s="2" t="s">
        <v>26</v>
      </c>
      <c r="P189" s="2">
        <v>113</v>
      </c>
    </row>
    <row r="190" ht="23" customHeight="1" spans="1:16">
      <c r="A190" s="6" t="s">
        <v>255</v>
      </c>
      <c r="B190" s="2" t="s">
        <v>15</v>
      </c>
      <c r="C190" s="2" t="s">
        <v>17</v>
      </c>
      <c r="D190" s="2">
        <v>5</v>
      </c>
      <c r="E190" s="6" t="s">
        <v>501</v>
      </c>
      <c r="F190" s="2" t="str">
        <f t="shared" si="12"/>
        <v>A</v>
      </c>
      <c r="G190" s="2">
        <v>5</v>
      </c>
      <c r="H190" s="2" t="str">
        <f t="shared" si="13"/>
        <v>B</v>
      </c>
      <c r="I190" s="2">
        <v>5</v>
      </c>
      <c r="J190" s="2">
        <f t="shared" si="14"/>
        <v>0</v>
      </c>
      <c r="K190" s="2" t="str">
        <f t="shared" si="15"/>
        <v>C</v>
      </c>
      <c r="L190" s="2" t="str">
        <f t="shared" si="16"/>
        <v>D(平局)</v>
      </c>
      <c r="M190" s="2" t="s">
        <v>22</v>
      </c>
      <c r="N190" s="2">
        <f t="shared" si="17"/>
        <v>0</v>
      </c>
      <c r="O190" s="2" t="s">
        <v>22</v>
      </c>
      <c r="P190" s="2">
        <v>112</v>
      </c>
    </row>
    <row r="191" ht="23" customHeight="1" spans="1:16">
      <c r="A191" s="6" t="s">
        <v>255</v>
      </c>
      <c r="B191" s="2" t="s">
        <v>15</v>
      </c>
      <c r="C191" s="2" t="s">
        <v>23</v>
      </c>
      <c r="D191" s="2">
        <v>5</v>
      </c>
      <c r="E191" s="6" t="s">
        <v>501</v>
      </c>
      <c r="F191" s="2" t="str">
        <f t="shared" si="12"/>
        <v>B</v>
      </c>
      <c r="G191" s="2">
        <v>5</v>
      </c>
      <c r="H191" s="2" t="str">
        <f t="shared" si="13"/>
        <v>A</v>
      </c>
      <c r="I191" s="2">
        <v>5</v>
      </c>
      <c r="J191" s="2">
        <f t="shared" si="14"/>
        <v>0</v>
      </c>
      <c r="K191" s="2" t="str">
        <f t="shared" si="15"/>
        <v>C</v>
      </c>
      <c r="L191" s="2" t="str">
        <f t="shared" si="16"/>
        <v>D(平局)</v>
      </c>
      <c r="M191" s="2" t="s">
        <v>22</v>
      </c>
      <c r="N191" s="2">
        <f t="shared" si="17"/>
        <v>0</v>
      </c>
      <c r="O191" s="2" t="s">
        <v>26</v>
      </c>
      <c r="P191" s="2">
        <v>113</v>
      </c>
    </row>
    <row r="192" ht="23" customHeight="1" spans="1:16">
      <c r="A192" s="6" t="s">
        <v>255</v>
      </c>
      <c r="B192" s="2" t="s">
        <v>37</v>
      </c>
      <c r="C192" s="2" t="s">
        <v>17</v>
      </c>
      <c r="D192" s="2">
        <v>1</v>
      </c>
      <c r="E192" s="6" t="s">
        <v>497</v>
      </c>
      <c r="F192" s="2" t="str">
        <f t="shared" si="12"/>
        <v>A</v>
      </c>
      <c r="G192" s="2">
        <v>5</v>
      </c>
      <c r="H192" s="2" t="str">
        <f t="shared" si="13"/>
        <v>C</v>
      </c>
      <c r="I192" s="2">
        <v>5</v>
      </c>
      <c r="J192" s="2">
        <f t="shared" si="14"/>
        <v>0</v>
      </c>
      <c r="K192" s="2" t="str">
        <f t="shared" si="15"/>
        <v>C</v>
      </c>
      <c r="L192" s="2" t="str">
        <f t="shared" si="16"/>
        <v>D(平局)</v>
      </c>
      <c r="M192" s="2" t="s">
        <v>22</v>
      </c>
      <c r="N192" s="2">
        <f t="shared" si="17"/>
        <v>0</v>
      </c>
      <c r="O192" s="2" t="s">
        <v>22</v>
      </c>
      <c r="P192" s="2">
        <v>118</v>
      </c>
    </row>
    <row r="193" ht="23" customHeight="1" spans="1:16">
      <c r="A193" s="6" t="s">
        <v>255</v>
      </c>
      <c r="B193" s="2" t="s">
        <v>37</v>
      </c>
      <c r="C193" s="2" t="s">
        <v>23</v>
      </c>
      <c r="D193" s="2">
        <v>1</v>
      </c>
      <c r="E193" s="6" t="s">
        <v>497</v>
      </c>
      <c r="F193" s="2" t="str">
        <f t="shared" si="12"/>
        <v>C</v>
      </c>
      <c r="G193" s="2">
        <v>5</v>
      </c>
      <c r="H193" s="2" t="str">
        <f t="shared" si="13"/>
        <v>A</v>
      </c>
      <c r="I193" s="2">
        <v>5</v>
      </c>
      <c r="J193" s="2">
        <f t="shared" si="14"/>
        <v>0</v>
      </c>
      <c r="K193" s="2" t="str">
        <f t="shared" si="15"/>
        <v>C</v>
      </c>
      <c r="L193" s="2" t="str">
        <f t="shared" si="16"/>
        <v>D(平局)</v>
      </c>
      <c r="M193" s="2" t="s">
        <v>22</v>
      </c>
      <c r="N193" s="2">
        <f t="shared" si="17"/>
        <v>0</v>
      </c>
      <c r="O193" s="2" t="s">
        <v>26</v>
      </c>
      <c r="P193" s="2">
        <v>119</v>
      </c>
    </row>
    <row r="194" ht="23" customHeight="1" spans="1:16">
      <c r="A194" s="6" t="s">
        <v>255</v>
      </c>
      <c r="B194" s="2" t="s">
        <v>37</v>
      </c>
      <c r="C194" s="2" t="s">
        <v>17</v>
      </c>
      <c r="D194" s="2">
        <v>2</v>
      </c>
      <c r="E194" s="6" t="s">
        <v>498</v>
      </c>
      <c r="F194" s="2" t="str">
        <f t="shared" ref="F194:F257" si="18">IF(C194="l2r",LEFT(B194,1),RIGHT(B194,1))</f>
        <v>A</v>
      </c>
      <c r="G194" s="2">
        <v>5</v>
      </c>
      <c r="H194" s="2" t="str">
        <f t="shared" ref="H194:H257" si="19">IF(C194="l2r",RIGHT(B194,1),LEFT(B194,1))</f>
        <v>C</v>
      </c>
      <c r="I194" s="2">
        <v>3</v>
      </c>
      <c r="J194" s="2">
        <f t="shared" ref="J194:J257" si="20">G194-I194</f>
        <v>2</v>
      </c>
      <c r="K194" s="2" t="str">
        <f t="shared" ref="K194:K257" si="21">IF(J194=0,"C",IF(J194&gt;0,"A","B"))</f>
        <v>A</v>
      </c>
      <c r="L194" s="2" t="str">
        <f t="shared" ref="L194:L257" si="22">IF(J194=0,"D(平局)",IF(J194&gt;0,F194,H194))</f>
        <v>A</v>
      </c>
      <c r="M194" s="2" t="s">
        <v>22</v>
      </c>
      <c r="N194" s="2">
        <f t="shared" ref="N194:N257" si="23">--(L194=M194)</f>
        <v>1</v>
      </c>
      <c r="O194" s="2" t="s">
        <v>22</v>
      </c>
      <c r="P194" s="2">
        <v>118</v>
      </c>
    </row>
    <row r="195" ht="23" customHeight="1" spans="1:16">
      <c r="A195" s="6" t="s">
        <v>255</v>
      </c>
      <c r="B195" s="2" t="s">
        <v>37</v>
      </c>
      <c r="C195" s="2" t="s">
        <v>23</v>
      </c>
      <c r="D195" s="2">
        <v>2</v>
      </c>
      <c r="E195" s="6" t="s">
        <v>498</v>
      </c>
      <c r="F195" s="2" t="str">
        <f t="shared" si="18"/>
        <v>C</v>
      </c>
      <c r="G195" s="2">
        <v>4</v>
      </c>
      <c r="H195" s="2" t="str">
        <f t="shared" si="19"/>
        <v>A</v>
      </c>
      <c r="I195" s="2">
        <v>5</v>
      </c>
      <c r="J195" s="2">
        <f t="shared" si="20"/>
        <v>-1</v>
      </c>
      <c r="K195" s="2" t="str">
        <f t="shared" si="21"/>
        <v>B</v>
      </c>
      <c r="L195" s="2" t="str">
        <f t="shared" si="22"/>
        <v>A</v>
      </c>
      <c r="M195" s="2" t="s">
        <v>22</v>
      </c>
      <c r="N195" s="2">
        <f t="shared" si="23"/>
        <v>1</v>
      </c>
      <c r="O195" s="2" t="s">
        <v>26</v>
      </c>
      <c r="P195" s="2">
        <v>119</v>
      </c>
    </row>
    <row r="196" ht="23" customHeight="1" spans="1:16">
      <c r="A196" s="6" t="s">
        <v>255</v>
      </c>
      <c r="B196" s="2" t="s">
        <v>37</v>
      </c>
      <c r="C196" s="2" t="s">
        <v>17</v>
      </c>
      <c r="D196" s="2">
        <v>3</v>
      </c>
      <c r="E196" s="6" t="s">
        <v>499</v>
      </c>
      <c r="F196" s="2" t="str">
        <f t="shared" si="18"/>
        <v>A</v>
      </c>
      <c r="G196" s="2">
        <v>5</v>
      </c>
      <c r="H196" s="2" t="str">
        <f t="shared" si="19"/>
        <v>C</v>
      </c>
      <c r="I196" s="2">
        <v>4</v>
      </c>
      <c r="J196" s="2">
        <f t="shared" si="20"/>
        <v>1</v>
      </c>
      <c r="K196" s="2" t="str">
        <f t="shared" si="21"/>
        <v>A</v>
      </c>
      <c r="L196" s="2" t="str">
        <f t="shared" si="22"/>
        <v>A</v>
      </c>
      <c r="M196" s="2" t="s">
        <v>22</v>
      </c>
      <c r="N196" s="2">
        <f t="shared" si="23"/>
        <v>1</v>
      </c>
      <c r="O196" s="2" t="s">
        <v>22</v>
      </c>
      <c r="P196" s="2">
        <v>118</v>
      </c>
    </row>
    <row r="197" ht="23" customHeight="1" spans="1:16">
      <c r="A197" s="6" t="s">
        <v>255</v>
      </c>
      <c r="B197" s="2" t="s">
        <v>37</v>
      </c>
      <c r="C197" s="2" t="s">
        <v>23</v>
      </c>
      <c r="D197" s="2">
        <v>3</v>
      </c>
      <c r="E197" s="6" t="s">
        <v>499</v>
      </c>
      <c r="F197" s="2" t="str">
        <f t="shared" si="18"/>
        <v>C</v>
      </c>
      <c r="G197" s="2">
        <v>4</v>
      </c>
      <c r="H197" s="2" t="str">
        <f t="shared" si="19"/>
        <v>A</v>
      </c>
      <c r="I197" s="2">
        <v>5</v>
      </c>
      <c r="J197" s="2">
        <f t="shared" si="20"/>
        <v>-1</v>
      </c>
      <c r="K197" s="2" t="str">
        <f t="shared" si="21"/>
        <v>B</v>
      </c>
      <c r="L197" s="2" t="str">
        <f t="shared" si="22"/>
        <v>A</v>
      </c>
      <c r="M197" s="2" t="s">
        <v>22</v>
      </c>
      <c r="N197" s="2">
        <f t="shared" si="23"/>
        <v>1</v>
      </c>
      <c r="O197" s="2" t="s">
        <v>26</v>
      </c>
      <c r="P197" s="2">
        <v>119</v>
      </c>
    </row>
    <row r="198" ht="23" customHeight="1" spans="1:16">
      <c r="A198" s="6" t="s">
        <v>255</v>
      </c>
      <c r="B198" s="2" t="s">
        <v>37</v>
      </c>
      <c r="C198" s="2" t="s">
        <v>17</v>
      </c>
      <c r="D198" s="2">
        <v>4</v>
      </c>
      <c r="E198" s="6" t="s">
        <v>500</v>
      </c>
      <c r="F198" s="2" t="str">
        <f t="shared" si="18"/>
        <v>A</v>
      </c>
      <c r="G198" s="2">
        <v>5</v>
      </c>
      <c r="H198" s="2" t="str">
        <f t="shared" si="19"/>
        <v>C</v>
      </c>
      <c r="I198" s="2">
        <v>5</v>
      </c>
      <c r="J198" s="2">
        <f t="shared" si="20"/>
        <v>0</v>
      </c>
      <c r="K198" s="2" t="str">
        <f t="shared" si="21"/>
        <v>C</v>
      </c>
      <c r="L198" s="2" t="str">
        <f t="shared" si="22"/>
        <v>D(平局)</v>
      </c>
      <c r="M198" s="2" t="s">
        <v>22</v>
      </c>
      <c r="N198" s="2">
        <f t="shared" si="23"/>
        <v>0</v>
      </c>
      <c r="O198" s="2" t="s">
        <v>22</v>
      </c>
      <c r="P198" s="2">
        <v>118</v>
      </c>
    </row>
    <row r="199" ht="23" customHeight="1" spans="1:16">
      <c r="A199" s="6" t="s">
        <v>255</v>
      </c>
      <c r="B199" s="2" t="s">
        <v>37</v>
      </c>
      <c r="C199" s="2" t="s">
        <v>23</v>
      </c>
      <c r="D199" s="2">
        <v>4</v>
      </c>
      <c r="E199" s="6" t="s">
        <v>500</v>
      </c>
      <c r="F199" s="2" t="str">
        <f t="shared" si="18"/>
        <v>C</v>
      </c>
      <c r="G199" s="2">
        <v>5</v>
      </c>
      <c r="H199" s="2" t="str">
        <f t="shared" si="19"/>
        <v>A</v>
      </c>
      <c r="I199" s="2">
        <v>5</v>
      </c>
      <c r="J199" s="2">
        <f t="shared" si="20"/>
        <v>0</v>
      </c>
      <c r="K199" s="2" t="str">
        <f t="shared" si="21"/>
        <v>C</v>
      </c>
      <c r="L199" s="2" t="str">
        <f t="shared" si="22"/>
        <v>D(平局)</v>
      </c>
      <c r="M199" s="2" t="s">
        <v>22</v>
      </c>
      <c r="N199" s="2">
        <f t="shared" si="23"/>
        <v>0</v>
      </c>
      <c r="O199" s="2" t="s">
        <v>26</v>
      </c>
      <c r="P199" s="2">
        <v>119</v>
      </c>
    </row>
    <row r="200" ht="23" customHeight="1" spans="1:16">
      <c r="A200" s="6" t="s">
        <v>255</v>
      </c>
      <c r="B200" s="2" t="s">
        <v>37</v>
      </c>
      <c r="C200" s="2" t="s">
        <v>17</v>
      </c>
      <c r="D200" s="2">
        <v>5</v>
      </c>
      <c r="E200" s="6" t="s">
        <v>501</v>
      </c>
      <c r="F200" s="2" t="str">
        <f t="shared" si="18"/>
        <v>A</v>
      </c>
      <c r="G200" s="2">
        <v>5</v>
      </c>
      <c r="H200" s="2" t="str">
        <f t="shared" si="19"/>
        <v>C</v>
      </c>
      <c r="I200" s="2">
        <v>5</v>
      </c>
      <c r="J200" s="2">
        <f t="shared" si="20"/>
        <v>0</v>
      </c>
      <c r="K200" s="2" t="str">
        <f t="shared" si="21"/>
        <v>C</v>
      </c>
      <c r="L200" s="2" t="str">
        <f t="shared" si="22"/>
        <v>D(平局)</v>
      </c>
      <c r="M200" s="2" t="s">
        <v>22</v>
      </c>
      <c r="N200" s="2">
        <f t="shared" si="23"/>
        <v>0</v>
      </c>
      <c r="O200" s="2" t="s">
        <v>22</v>
      </c>
      <c r="P200" s="2">
        <v>118</v>
      </c>
    </row>
    <row r="201" ht="23" customHeight="1" spans="1:16">
      <c r="A201" s="6" t="s">
        <v>255</v>
      </c>
      <c r="B201" s="2" t="s">
        <v>37</v>
      </c>
      <c r="C201" s="2" t="s">
        <v>23</v>
      </c>
      <c r="D201" s="2">
        <v>5</v>
      </c>
      <c r="E201" s="6" t="s">
        <v>501</v>
      </c>
      <c r="F201" s="2" t="str">
        <f t="shared" si="18"/>
        <v>C</v>
      </c>
      <c r="G201" s="2">
        <v>5</v>
      </c>
      <c r="H201" s="2" t="str">
        <f t="shared" si="19"/>
        <v>A</v>
      </c>
      <c r="I201" s="2">
        <v>5</v>
      </c>
      <c r="J201" s="2">
        <f t="shared" si="20"/>
        <v>0</v>
      </c>
      <c r="K201" s="2" t="str">
        <f t="shared" si="21"/>
        <v>C</v>
      </c>
      <c r="L201" s="2" t="str">
        <f t="shared" si="22"/>
        <v>D(平局)</v>
      </c>
      <c r="M201" s="2" t="s">
        <v>22</v>
      </c>
      <c r="N201" s="2">
        <f t="shared" si="23"/>
        <v>0</v>
      </c>
      <c r="O201" s="2" t="s">
        <v>26</v>
      </c>
      <c r="P201" s="2">
        <v>119</v>
      </c>
    </row>
    <row r="202" ht="23" customHeight="1" spans="1:16">
      <c r="A202" s="6" t="s">
        <v>255</v>
      </c>
      <c r="B202" s="2" t="s">
        <v>50</v>
      </c>
      <c r="C202" s="2" t="s">
        <v>17</v>
      </c>
      <c r="D202" s="2">
        <v>1</v>
      </c>
      <c r="E202" s="6" t="s">
        <v>497</v>
      </c>
      <c r="F202" s="2" t="str">
        <f t="shared" si="18"/>
        <v>B</v>
      </c>
      <c r="G202" s="2">
        <v>5</v>
      </c>
      <c r="H202" s="2" t="str">
        <f t="shared" si="19"/>
        <v>C</v>
      </c>
      <c r="I202" s="2">
        <v>5</v>
      </c>
      <c r="J202" s="2">
        <f t="shared" si="20"/>
        <v>0</v>
      </c>
      <c r="K202" s="2" t="str">
        <f t="shared" si="21"/>
        <v>C</v>
      </c>
      <c r="L202" s="2" t="str">
        <f t="shared" si="22"/>
        <v>D(平局)</v>
      </c>
      <c r="M202" s="2" t="s">
        <v>77</v>
      </c>
      <c r="N202" s="2">
        <f t="shared" si="23"/>
        <v>0</v>
      </c>
      <c r="O202" s="2" t="s">
        <v>77</v>
      </c>
      <c r="P202" s="2">
        <v>124</v>
      </c>
    </row>
    <row r="203" ht="23" customHeight="1" spans="1:16">
      <c r="A203" s="6" t="s">
        <v>255</v>
      </c>
      <c r="B203" s="2" t="s">
        <v>50</v>
      </c>
      <c r="C203" s="2" t="s">
        <v>23</v>
      </c>
      <c r="D203" s="2">
        <v>1</v>
      </c>
      <c r="E203" s="6" t="s">
        <v>497</v>
      </c>
      <c r="F203" s="2" t="str">
        <f t="shared" si="18"/>
        <v>C</v>
      </c>
      <c r="G203" s="2">
        <v>5</v>
      </c>
      <c r="H203" s="2" t="str">
        <f t="shared" si="19"/>
        <v>B</v>
      </c>
      <c r="I203" s="2">
        <v>5</v>
      </c>
      <c r="J203" s="2">
        <f t="shared" si="20"/>
        <v>0</v>
      </c>
      <c r="K203" s="2" t="str">
        <f t="shared" si="21"/>
        <v>C</v>
      </c>
      <c r="L203" s="2" t="str">
        <f t="shared" si="22"/>
        <v>D(平局)</v>
      </c>
      <c r="M203" s="2" t="s">
        <v>77</v>
      </c>
      <c r="N203" s="2">
        <f t="shared" si="23"/>
        <v>0</v>
      </c>
      <c r="O203" s="2" t="s">
        <v>77</v>
      </c>
      <c r="P203" s="2">
        <v>125</v>
      </c>
    </row>
    <row r="204" ht="23" customHeight="1" spans="1:16">
      <c r="A204" s="6" t="s">
        <v>255</v>
      </c>
      <c r="B204" s="2" t="s">
        <v>50</v>
      </c>
      <c r="C204" s="2" t="s">
        <v>17</v>
      </c>
      <c r="D204" s="2">
        <v>2</v>
      </c>
      <c r="E204" s="6" t="s">
        <v>498</v>
      </c>
      <c r="F204" s="2" t="str">
        <f t="shared" si="18"/>
        <v>B</v>
      </c>
      <c r="G204" s="2">
        <v>3</v>
      </c>
      <c r="H204" s="2" t="str">
        <f t="shared" si="19"/>
        <v>C</v>
      </c>
      <c r="I204" s="2">
        <v>3</v>
      </c>
      <c r="J204" s="2">
        <f t="shared" si="20"/>
        <v>0</v>
      </c>
      <c r="K204" s="2" t="str">
        <f t="shared" si="21"/>
        <v>C</v>
      </c>
      <c r="L204" s="2" t="str">
        <f t="shared" si="22"/>
        <v>D(平局)</v>
      </c>
      <c r="M204" s="2" t="s">
        <v>77</v>
      </c>
      <c r="N204" s="2">
        <f t="shared" si="23"/>
        <v>0</v>
      </c>
      <c r="O204" s="2" t="s">
        <v>77</v>
      </c>
      <c r="P204" s="2">
        <v>124</v>
      </c>
    </row>
    <row r="205" ht="23" customHeight="1" spans="1:16">
      <c r="A205" s="6" t="s">
        <v>255</v>
      </c>
      <c r="B205" s="2" t="s">
        <v>50</v>
      </c>
      <c r="C205" s="2" t="s">
        <v>23</v>
      </c>
      <c r="D205" s="2">
        <v>2</v>
      </c>
      <c r="E205" s="6" t="s">
        <v>498</v>
      </c>
      <c r="F205" s="2" t="str">
        <f t="shared" si="18"/>
        <v>C</v>
      </c>
      <c r="G205" s="2">
        <v>4</v>
      </c>
      <c r="H205" s="2" t="str">
        <f t="shared" si="19"/>
        <v>B</v>
      </c>
      <c r="I205" s="2">
        <v>3</v>
      </c>
      <c r="J205" s="2">
        <f t="shared" si="20"/>
        <v>1</v>
      </c>
      <c r="K205" s="2" t="str">
        <f t="shared" si="21"/>
        <v>A</v>
      </c>
      <c r="L205" s="2" t="str">
        <f t="shared" si="22"/>
        <v>C</v>
      </c>
      <c r="M205" s="2" t="s">
        <v>77</v>
      </c>
      <c r="N205" s="2">
        <f t="shared" si="23"/>
        <v>1</v>
      </c>
      <c r="O205" s="2" t="s">
        <v>77</v>
      </c>
      <c r="P205" s="2">
        <v>125</v>
      </c>
    </row>
    <row r="206" ht="23" customHeight="1" spans="1:16">
      <c r="A206" s="6" t="s">
        <v>255</v>
      </c>
      <c r="B206" s="2" t="s">
        <v>50</v>
      </c>
      <c r="C206" s="2" t="s">
        <v>17</v>
      </c>
      <c r="D206" s="2">
        <v>3</v>
      </c>
      <c r="E206" s="6" t="s">
        <v>499</v>
      </c>
      <c r="F206" s="2" t="str">
        <f t="shared" si="18"/>
        <v>B</v>
      </c>
      <c r="G206" s="2">
        <v>5</v>
      </c>
      <c r="H206" s="2" t="str">
        <f t="shared" si="19"/>
        <v>C</v>
      </c>
      <c r="I206" s="2">
        <v>4</v>
      </c>
      <c r="J206" s="2">
        <f t="shared" si="20"/>
        <v>1</v>
      </c>
      <c r="K206" s="2" t="str">
        <f t="shared" si="21"/>
        <v>A</v>
      </c>
      <c r="L206" s="2" t="str">
        <f t="shared" si="22"/>
        <v>B</v>
      </c>
      <c r="M206" s="2" t="s">
        <v>77</v>
      </c>
      <c r="N206" s="2">
        <f t="shared" si="23"/>
        <v>0</v>
      </c>
      <c r="O206" s="2" t="s">
        <v>77</v>
      </c>
      <c r="P206" s="2">
        <v>124</v>
      </c>
    </row>
    <row r="207" ht="23" customHeight="1" spans="1:16">
      <c r="A207" s="6" t="s">
        <v>255</v>
      </c>
      <c r="B207" s="2" t="s">
        <v>50</v>
      </c>
      <c r="C207" s="2" t="s">
        <v>23</v>
      </c>
      <c r="D207" s="2">
        <v>3</v>
      </c>
      <c r="E207" s="6" t="s">
        <v>499</v>
      </c>
      <c r="F207" s="2" t="str">
        <f t="shared" si="18"/>
        <v>C</v>
      </c>
      <c r="G207" s="2">
        <v>4</v>
      </c>
      <c r="H207" s="2" t="str">
        <f t="shared" si="19"/>
        <v>B</v>
      </c>
      <c r="I207" s="2">
        <v>5</v>
      </c>
      <c r="J207" s="2">
        <f t="shared" si="20"/>
        <v>-1</v>
      </c>
      <c r="K207" s="2" t="str">
        <f t="shared" si="21"/>
        <v>B</v>
      </c>
      <c r="L207" s="2" t="str">
        <f t="shared" si="22"/>
        <v>B</v>
      </c>
      <c r="M207" s="2" t="s">
        <v>77</v>
      </c>
      <c r="N207" s="2">
        <f t="shared" si="23"/>
        <v>0</v>
      </c>
      <c r="O207" s="2" t="s">
        <v>77</v>
      </c>
      <c r="P207" s="2">
        <v>125</v>
      </c>
    </row>
    <row r="208" ht="23" customHeight="1" spans="1:16">
      <c r="A208" s="6" t="s">
        <v>255</v>
      </c>
      <c r="B208" s="2" t="s">
        <v>50</v>
      </c>
      <c r="C208" s="2" t="s">
        <v>17</v>
      </c>
      <c r="D208" s="2">
        <v>4</v>
      </c>
      <c r="E208" s="6" t="s">
        <v>500</v>
      </c>
      <c r="F208" s="2" t="str">
        <f t="shared" si="18"/>
        <v>B</v>
      </c>
      <c r="G208" s="2">
        <v>5</v>
      </c>
      <c r="H208" s="2" t="str">
        <f t="shared" si="19"/>
        <v>C</v>
      </c>
      <c r="I208" s="2">
        <v>5</v>
      </c>
      <c r="J208" s="2">
        <f t="shared" si="20"/>
        <v>0</v>
      </c>
      <c r="K208" s="2" t="str">
        <f t="shared" si="21"/>
        <v>C</v>
      </c>
      <c r="L208" s="2" t="str">
        <f t="shared" si="22"/>
        <v>D(平局)</v>
      </c>
      <c r="M208" s="2" t="s">
        <v>77</v>
      </c>
      <c r="N208" s="2">
        <f t="shared" si="23"/>
        <v>0</v>
      </c>
      <c r="O208" s="2" t="s">
        <v>77</v>
      </c>
      <c r="P208" s="2">
        <v>124</v>
      </c>
    </row>
    <row r="209" ht="23" customHeight="1" spans="1:16">
      <c r="A209" s="6" t="s">
        <v>255</v>
      </c>
      <c r="B209" s="2" t="s">
        <v>50</v>
      </c>
      <c r="C209" s="2" t="s">
        <v>23</v>
      </c>
      <c r="D209" s="2">
        <v>4</v>
      </c>
      <c r="E209" s="6" t="s">
        <v>500</v>
      </c>
      <c r="F209" s="2" t="str">
        <f t="shared" si="18"/>
        <v>C</v>
      </c>
      <c r="G209" s="2">
        <v>5</v>
      </c>
      <c r="H209" s="2" t="str">
        <f t="shared" si="19"/>
        <v>B</v>
      </c>
      <c r="I209" s="2">
        <v>5</v>
      </c>
      <c r="J209" s="2">
        <f t="shared" si="20"/>
        <v>0</v>
      </c>
      <c r="K209" s="2" t="str">
        <f t="shared" si="21"/>
        <v>C</v>
      </c>
      <c r="L209" s="2" t="str">
        <f t="shared" si="22"/>
        <v>D(平局)</v>
      </c>
      <c r="M209" s="2" t="s">
        <v>77</v>
      </c>
      <c r="N209" s="2">
        <f t="shared" si="23"/>
        <v>0</v>
      </c>
      <c r="O209" s="2" t="s">
        <v>77</v>
      </c>
      <c r="P209" s="2">
        <v>125</v>
      </c>
    </row>
    <row r="210" ht="23" customHeight="1" spans="1:16">
      <c r="A210" s="6" t="s">
        <v>255</v>
      </c>
      <c r="B210" s="2" t="s">
        <v>50</v>
      </c>
      <c r="C210" s="2" t="s">
        <v>17</v>
      </c>
      <c r="D210" s="2">
        <v>5</v>
      </c>
      <c r="E210" s="6" t="s">
        <v>501</v>
      </c>
      <c r="F210" s="2" t="str">
        <f t="shared" si="18"/>
        <v>B</v>
      </c>
      <c r="G210" s="2">
        <v>5</v>
      </c>
      <c r="H210" s="2" t="str">
        <f t="shared" si="19"/>
        <v>C</v>
      </c>
      <c r="I210" s="2">
        <v>5</v>
      </c>
      <c r="J210" s="2">
        <f t="shared" si="20"/>
        <v>0</v>
      </c>
      <c r="K210" s="2" t="str">
        <f t="shared" si="21"/>
        <v>C</v>
      </c>
      <c r="L210" s="2" t="str">
        <f t="shared" si="22"/>
        <v>D(平局)</v>
      </c>
      <c r="M210" s="2" t="s">
        <v>77</v>
      </c>
      <c r="N210" s="2">
        <f t="shared" si="23"/>
        <v>0</v>
      </c>
      <c r="O210" s="2" t="s">
        <v>77</v>
      </c>
      <c r="P210" s="2">
        <v>124</v>
      </c>
    </row>
    <row r="211" ht="23" customHeight="1" spans="1:16">
      <c r="A211" s="6" t="s">
        <v>255</v>
      </c>
      <c r="B211" s="2" t="s">
        <v>50</v>
      </c>
      <c r="C211" s="2" t="s">
        <v>23</v>
      </c>
      <c r="D211" s="2">
        <v>5</v>
      </c>
      <c r="E211" s="6" t="s">
        <v>501</v>
      </c>
      <c r="F211" s="2" t="str">
        <f t="shared" si="18"/>
        <v>C</v>
      </c>
      <c r="G211" s="2">
        <v>5</v>
      </c>
      <c r="H211" s="2" t="str">
        <f t="shared" si="19"/>
        <v>B</v>
      </c>
      <c r="I211" s="2">
        <v>5</v>
      </c>
      <c r="J211" s="2">
        <f t="shared" si="20"/>
        <v>0</v>
      </c>
      <c r="K211" s="2" t="str">
        <f t="shared" si="21"/>
        <v>C</v>
      </c>
      <c r="L211" s="2" t="str">
        <f t="shared" si="22"/>
        <v>D(平局)</v>
      </c>
      <c r="M211" s="2" t="s">
        <v>77</v>
      </c>
      <c r="N211" s="2">
        <f t="shared" si="23"/>
        <v>0</v>
      </c>
      <c r="O211" s="2" t="s">
        <v>77</v>
      </c>
      <c r="P211" s="2">
        <v>125</v>
      </c>
    </row>
    <row r="212" ht="23" customHeight="1" spans="1:16">
      <c r="A212" s="6" t="s">
        <v>293</v>
      </c>
      <c r="B212" s="2" t="s">
        <v>15</v>
      </c>
      <c r="C212" s="2" t="s">
        <v>17</v>
      </c>
      <c r="D212" s="2">
        <v>1</v>
      </c>
      <c r="E212" s="6" t="s">
        <v>497</v>
      </c>
      <c r="F212" s="2" t="str">
        <f t="shared" si="18"/>
        <v>A</v>
      </c>
      <c r="G212" s="2">
        <v>5</v>
      </c>
      <c r="H212" s="2" t="str">
        <f t="shared" si="19"/>
        <v>B</v>
      </c>
      <c r="I212" s="2">
        <v>5</v>
      </c>
      <c r="J212" s="2">
        <f t="shared" si="20"/>
        <v>0</v>
      </c>
      <c r="K212" s="2" t="str">
        <f t="shared" si="21"/>
        <v>C</v>
      </c>
      <c r="L212" s="2" t="str">
        <f t="shared" si="22"/>
        <v>D(平局)</v>
      </c>
      <c r="M212" s="2" t="s">
        <v>22</v>
      </c>
      <c r="N212" s="2">
        <f t="shared" si="23"/>
        <v>0</v>
      </c>
      <c r="O212" s="2" t="s">
        <v>26</v>
      </c>
      <c r="P212" s="2">
        <v>130</v>
      </c>
    </row>
    <row r="213" ht="23" customHeight="1" spans="1:16">
      <c r="A213" s="6" t="s">
        <v>293</v>
      </c>
      <c r="B213" s="2" t="s">
        <v>15</v>
      </c>
      <c r="C213" s="2" t="s">
        <v>23</v>
      </c>
      <c r="D213" s="2">
        <v>1</v>
      </c>
      <c r="E213" s="6" t="s">
        <v>497</v>
      </c>
      <c r="F213" s="2" t="str">
        <f t="shared" si="18"/>
        <v>B</v>
      </c>
      <c r="G213" s="2">
        <v>5</v>
      </c>
      <c r="H213" s="2" t="str">
        <f t="shared" si="19"/>
        <v>A</v>
      </c>
      <c r="I213" s="2">
        <v>5</v>
      </c>
      <c r="J213" s="2">
        <f t="shared" si="20"/>
        <v>0</v>
      </c>
      <c r="K213" s="2" t="str">
        <f t="shared" si="21"/>
        <v>C</v>
      </c>
      <c r="L213" s="2" t="str">
        <f t="shared" si="22"/>
        <v>D(平局)</v>
      </c>
      <c r="M213" s="2" t="s">
        <v>22</v>
      </c>
      <c r="N213" s="2">
        <f t="shared" si="23"/>
        <v>0</v>
      </c>
      <c r="O213" s="2" t="s">
        <v>22</v>
      </c>
      <c r="P213" s="2">
        <v>131</v>
      </c>
    </row>
    <row r="214" ht="23" customHeight="1" spans="1:16">
      <c r="A214" s="6" t="s">
        <v>293</v>
      </c>
      <c r="B214" s="2" t="s">
        <v>15</v>
      </c>
      <c r="C214" s="2" t="s">
        <v>17</v>
      </c>
      <c r="D214" s="2">
        <v>2</v>
      </c>
      <c r="E214" s="6" t="s">
        <v>498</v>
      </c>
      <c r="F214" s="2" t="str">
        <f t="shared" si="18"/>
        <v>A</v>
      </c>
      <c r="G214" s="2">
        <v>4</v>
      </c>
      <c r="H214" s="2" t="str">
        <f t="shared" si="19"/>
        <v>B</v>
      </c>
      <c r="I214" s="2">
        <v>5</v>
      </c>
      <c r="J214" s="2">
        <f t="shared" si="20"/>
        <v>-1</v>
      </c>
      <c r="K214" s="2" t="str">
        <f t="shared" si="21"/>
        <v>B</v>
      </c>
      <c r="L214" s="2" t="str">
        <f t="shared" si="22"/>
        <v>B</v>
      </c>
      <c r="M214" s="2" t="s">
        <v>22</v>
      </c>
      <c r="N214" s="2">
        <f t="shared" si="23"/>
        <v>0</v>
      </c>
      <c r="O214" s="2" t="s">
        <v>26</v>
      </c>
      <c r="P214" s="2">
        <v>130</v>
      </c>
    </row>
    <row r="215" ht="23" customHeight="1" spans="1:16">
      <c r="A215" s="6" t="s">
        <v>293</v>
      </c>
      <c r="B215" s="2" t="s">
        <v>15</v>
      </c>
      <c r="C215" s="2" t="s">
        <v>23</v>
      </c>
      <c r="D215" s="2">
        <v>2</v>
      </c>
      <c r="E215" s="6" t="s">
        <v>498</v>
      </c>
      <c r="F215" s="2" t="str">
        <f t="shared" si="18"/>
        <v>B</v>
      </c>
      <c r="G215" s="2">
        <v>5</v>
      </c>
      <c r="H215" s="2" t="str">
        <f t="shared" si="19"/>
        <v>A</v>
      </c>
      <c r="I215" s="2">
        <v>4</v>
      </c>
      <c r="J215" s="2">
        <f t="shared" si="20"/>
        <v>1</v>
      </c>
      <c r="K215" s="2" t="str">
        <f t="shared" si="21"/>
        <v>A</v>
      </c>
      <c r="L215" s="2" t="str">
        <f t="shared" si="22"/>
        <v>B</v>
      </c>
      <c r="M215" s="2" t="s">
        <v>22</v>
      </c>
      <c r="N215" s="2">
        <f t="shared" si="23"/>
        <v>0</v>
      </c>
      <c r="O215" s="2" t="s">
        <v>22</v>
      </c>
      <c r="P215" s="2">
        <v>131</v>
      </c>
    </row>
    <row r="216" ht="23" customHeight="1" spans="1:16">
      <c r="A216" s="6" t="s">
        <v>293</v>
      </c>
      <c r="B216" s="2" t="s">
        <v>15</v>
      </c>
      <c r="C216" s="2" t="s">
        <v>17</v>
      </c>
      <c r="D216" s="2">
        <v>3</v>
      </c>
      <c r="E216" s="6" t="s">
        <v>499</v>
      </c>
      <c r="F216" s="2" t="str">
        <f t="shared" si="18"/>
        <v>A</v>
      </c>
      <c r="G216" s="2">
        <v>5</v>
      </c>
      <c r="H216" s="2" t="str">
        <f t="shared" si="19"/>
        <v>B</v>
      </c>
      <c r="I216" s="2">
        <v>5</v>
      </c>
      <c r="J216" s="2">
        <f t="shared" si="20"/>
        <v>0</v>
      </c>
      <c r="K216" s="2" t="str">
        <f t="shared" si="21"/>
        <v>C</v>
      </c>
      <c r="L216" s="2" t="str">
        <f t="shared" si="22"/>
        <v>D(平局)</v>
      </c>
      <c r="M216" s="2" t="s">
        <v>22</v>
      </c>
      <c r="N216" s="2">
        <f t="shared" si="23"/>
        <v>0</v>
      </c>
      <c r="O216" s="2" t="s">
        <v>26</v>
      </c>
      <c r="P216" s="2">
        <v>130</v>
      </c>
    </row>
    <row r="217" ht="23" customHeight="1" spans="1:16">
      <c r="A217" s="6" t="s">
        <v>293</v>
      </c>
      <c r="B217" s="2" t="s">
        <v>15</v>
      </c>
      <c r="C217" s="2" t="s">
        <v>23</v>
      </c>
      <c r="D217" s="2">
        <v>3</v>
      </c>
      <c r="E217" s="6" t="s">
        <v>499</v>
      </c>
      <c r="F217" s="2" t="str">
        <f t="shared" si="18"/>
        <v>B</v>
      </c>
      <c r="G217" s="2">
        <v>5</v>
      </c>
      <c r="H217" s="2" t="str">
        <f t="shared" si="19"/>
        <v>A</v>
      </c>
      <c r="I217" s="2">
        <v>5</v>
      </c>
      <c r="J217" s="2">
        <f t="shared" si="20"/>
        <v>0</v>
      </c>
      <c r="K217" s="2" t="str">
        <f t="shared" si="21"/>
        <v>C</v>
      </c>
      <c r="L217" s="2" t="str">
        <f t="shared" si="22"/>
        <v>D(平局)</v>
      </c>
      <c r="M217" s="2" t="s">
        <v>22</v>
      </c>
      <c r="N217" s="2">
        <f t="shared" si="23"/>
        <v>0</v>
      </c>
      <c r="O217" s="2" t="s">
        <v>22</v>
      </c>
      <c r="P217" s="2">
        <v>131</v>
      </c>
    </row>
    <row r="218" ht="23" customHeight="1" spans="1:16">
      <c r="A218" s="6" t="s">
        <v>293</v>
      </c>
      <c r="B218" s="2" t="s">
        <v>15</v>
      </c>
      <c r="C218" s="2" t="s">
        <v>17</v>
      </c>
      <c r="D218" s="2">
        <v>4</v>
      </c>
      <c r="E218" s="6" t="s">
        <v>500</v>
      </c>
      <c r="F218" s="2" t="str">
        <f t="shared" si="18"/>
        <v>A</v>
      </c>
      <c r="G218" s="2">
        <v>5</v>
      </c>
      <c r="H218" s="2" t="str">
        <f t="shared" si="19"/>
        <v>B</v>
      </c>
      <c r="I218" s="2">
        <v>5</v>
      </c>
      <c r="J218" s="2">
        <f t="shared" si="20"/>
        <v>0</v>
      </c>
      <c r="K218" s="2" t="str">
        <f t="shared" si="21"/>
        <v>C</v>
      </c>
      <c r="L218" s="2" t="str">
        <f t="shared" si="22"/>
        <v>D(平局)</v>
      </c>
      <c r="M218" s="2" t="s">
        <v>22</v>
      </c>
      <c r="N218" s="2">
        <f t="shared" si="23"/>
        <v>0</v>
      </c>
      <c r="O218" s="2" t="s">
        <v>26</v>
      </c>
      <c r="P218" s="2">
        <v>130</v>
      </c>
    </row>
    <row r="219" ht="23" customHeight="1" spans="1:16">
      <c r="A219" s="6" t="s">
        <v>293</v>
      </c>
      <c r="B219" s="2" t="s">
        <v>15</v>
      </c>
      <c r="C219" s="2" t="s">
        <v>23</v>
      </c>
      <c r="D219" s="2">
        <v>4</v>
      </c>
      <c r="E219" s="6" t="s">
        <v>500</v>
      </c>
      <c r="F219" s="2" t="str">
        <f t="shared" si="18"/>
        <v>B</v>
      </c>
      <c r="G219" s="2">
        <v>5</v>
      </c>
      <c r="H219" s="2" t="str">
        <f t="shared" si="19"/>
        <v>A</v>
      </c>
      <c r="I219" s="2">
        <v>5</v>
      </c>
      <c r="J219" s="2">
        <f t="shared" si="20"/>
        <v>0</v>
      </c>
      <c r="K219" s="2" t="str">
        <f t="shared" si="21"/>
        <v>C</v>
      </c>
      <c r="L219" s="2" t="str">
        <f t="shared" si="22"/>
        <v>D(平局)</v>
      </c>
      <c r="M219" s="2" t="s">
        <v>22</v>
      </c>
      <c r="N219" s="2">
        <f t="shared" si="23"/>
        <v>0</v>
      </c>
      <c r="O219" s="2" t="s">
        <v>22</v>
      </c>
      <c r="P219" s="2">
        <v>131</v>
      </c>
    </row>
    <row r="220" ht="23" customHeight="1" spans="1:16">
      <c r="A220" s="6" t="s">
        <v>293</v>
      </c>
      <c r="B220" s="2" t="s">
        <v>15</v>
      </c>
      <c r="C220" s="2" t="s">
        <v>17</v>
      </c>
      <c r="D220" s="2">
        <v>5</v>
      </c>
      <c r="E220" s="6" t="s">
        <v>501</v>
      </c>
      <c r="F220" s="2" t="str">
        <f t="shared" si="18"/>
        <v>A</v>
      </c>
      <c r="G220" s="2">
        <v>5</v>
      </c>
      <c r="H220" s="2" t="str">
        <f t="shared" si="19"/>
        <v>B</v>
      </c>
      <c r="I220" s="2">
        <v>5</v>
      </c>
      <c r="J220" s="2">
        <f t="shared" si="20"/>
        <v>0</v>
      </c>
      <c r="K220" s="2" t="str">
        <f t="shared" si="21"/>
        <v>C</v>
      </c>
      <c r="L220" s="2" t="str">
        <f t="shared" si="22"/>
        <v>D(平局)</v>
      </c>
      <c r="M220" s="2" t="s">
        <v>22</v>
      </c>
      <c r="N220" s="2">
        <f t="shared" si="23"/>
        <v>0</v>
      </c>
      <c r="O220" s="2" t="s">
        <v>26</v>
      </c>
      <c r="P220" s="2">
        <v>130</v>
      </c>
    </row>
    <row r="221" ht="23" customHeight="1" spans="1:16">
      <c r="A221" s="6" t="s">
        <v>293</v>
      </c>
      <c r="B221" s="2" t="s">
        <v>15</v>
      </c>
      <c r="C221" s="2" t="s">
        <v>23</v>
      </c>
      <c r="D221" s="2">
        <v>5</v>
      </c>
      <c r="E221" s="6" t="s">
        <v>501</v>
      </c>
      <c r="F221" s="2" t="str">
        <f t="shared" si="18"/>
        <v>B</v>
      </c>
      <c r="G221" s="2">
        <v>5</v>
      </c>
      <c r="H221" s="2" t="str">
        <f t="shared" si="19"/>
        <v>A</v>
      </c>
      <c r="I221" s="2">
        <v>5</v>
      </c>
      <c r="J221" s="2">
        <f t="shared" si="20"/>
        <v>0</v>
      </c>
      <c r="K221" s="2" t="str">
        <f t="shared" si="21"/>
        <v>C</v>
      </c>
      <c r="L221" s="2" t="str">
        <f t="shared" si="22"/>
        <v>D(平局)</v>
      </c>
      <c r="M221" s="2" t="s">
        <v>22</v>
      </c>
      <c r="N221" s="2">
        <f t="shared" si="23"/>
        <v>0</v>
      </c>
      <c r="O221" s="2" t="s">
        <v>22</v>
      </c>
      <c r="P221" s="2">
        <v>131</v>
      </c>
    </row>
    <row r="222" ht="23" customHeight="1" spans="1:16">
      <c r="A222" s="6" t="s">
        <v>293</v>
      </c>
      <c r="B222" s="2" t="s">
        <v>37</v>
      </c>
      <c r="C222" s="2" t="s">
        <v>17</v>
      </c>
      <c r="D222" s="2">
        <v>1</v>
      </c>
      <c r="E222" s="6" t="s">
        <v>497</v>
      </c>
      <c r="F222" s="2" t="str">
        <f t="shared" si="18"/>
        <v>A</v>
      </c>
      <c r="G222" s="2">
        <v>5</v>
      </c>
      <c r="H222" s="2" t="str">
        <f t="shared" si="19"/>
        <v>C</v>
      </c>
      <c r="I222" s="2">
        <v>4</v>
      </c>
      <c r="J222" s="2">
        <f t="shared" si="20"/>
        <v>1</v>
      </c>
      <c r="K222" s="2" t="str">
        <f t="shared" si="21"/>
        <v>A</v>
      </c>
      <c r="L222" s="2" t="str">
        <f t="shared" si="22"/>
        <v>A</v>
      </c>
      <c r="M222" s="2" t="s">
        <v>22</v>
      </c>
      <c r="N222" s="2">
        <f t="shared" si="23"/>
        <v>1</v>
      </c>
      <c r="O222" s="2" t="s">
        <v>22</v>
      </c>
      <c r="P222" s="2">
        <v>136</v>
      </c>
    </row>
    <row r="223" ht="23" customHeight="1" spans="1:16">
      <c r="A223" s="6" t="s">
        <v>293</v>
      </c>
      <c r="B223" s="2" t="s">
        <v>37</v>
      </c>
      <c r="C223" s="2" t="s">
        <v>23</v>
      </c>
      <c r="D223" s="2">
        <v>1</v>
      </c>
      <c r="E223" s="6" t="s">
        <v>497</v>
      </c>
      <c r="F223" s="2" t="str">
        <f t="shared" si="18"/>
        <v>C</v>
      </c>
      <c r="G223" s="2">
        <v>4</v>
      </c>
      <c r="H223" s="2" t="str">
        <f t="shared" si="19"/>
        <v>A</v>
      </c>
      <c r="I223" s="2">
        <v>5</v>
      </c>
      <c r="J223" s="2">
        <f t="shared" si="20"/>
        <v>-1</v>
      </c>
      <c r="K223" s="2" t="str">
        <f t="shared" si="21"/>
        <v>B</v>
      </c>
      <c r="L223" s="2" t="str">
        <f t="shared" si="22"/>
        <v>A</v>
      </c>
      <c r="M223" s="2" t="s">
        <v>22</v>
      </c>
      <c r="N223" s="2">
        <f t="shared" si="23"/>
        <v>1</v>
      </c>
      <c r="O223" s="2" t="s">
        <v>26</v>
      </c>
      <c r="P223" s="2">
        <v>137</v>
      </c>
    </row>
    <row r="224" ht="23" customHeight="1" spans="1:16">
      <c r="A224" s="6" t="s">
        <v>293</v>
      </c>
      <c r="B224" s="2" t="s">
        <v>37</v>
      </c>
      <c r="C224" s="2" t="s">
        <v>17</v>
      </c>
      <c r="D224" s="2">
        <v>2</v>
      </c>
      <c r="E224" s="6" t="s">
        <v>498</v>
      </c>
      <c r="F224" s="2" t="str">
        <f t="shared" si="18"/>
        <v>A</v>
      </c>
      <c r="G224" s="2">
        <v>5</v>
      </c>
      <c r="H224" s="2" t="str">
        <f t="shared" si="19"/>
        <v>C</v>
      </c>
      <c r="I224" s="2">
        <v>2</v>
      </c>
      <c r="J224" s="2">
        <f t="shared" si="20"/>
        <v>3</v>
      </c>
      <c r="K224" s="2" t="str">
        <f t="shared" si="21"/>
        <v>A</v>
      </c>
      <c r="L224" s="2" t="str">
        <f t="shared" si="22"/>
        <v>A</v>
      </c>
      <c r="M224" s="2" t="s">
        <v>22</v>
      </c>
      <c r="N224" s="2">
        <f t="shared" si="23"/>
        <v>1</v>
      </c>
      <c r="O224" s="2" t="s">
        <v>22</v>
      </c>
      <c r="P224" s="2">
        <v>136</v>
      </c>
    </row>
    <row r="225" ht="23" customHeight="1" spans="1:16">
      <c r="A225" s="6" t="s">
        <v>293</v>
      </c>
      <c r="B225" s="2" t="s">
        <v>37</v>
      </c>
      <c r="C225" s="2" t="s">
        <v>23</v>
      </c>
      <c r="D225" s="2">
        <v>2</v>
      </c>
      <c r="E225" s="6" t="s">
        <v>498</v>
      </c>
      <c r="F225" s="2" t="str">
        <f t="shared" si="18"/>
        <v>C</v>
      </c>
      <c r="G225" s="2">
        <v>2</v>
      </c>
      <c r="H225" s="2" t="str">
        <f t="shared" si="19"/>
        <v>A</v>
      </c>
      <c r="I225" s="2">
        <v>5</v>
      </c>
      <c r="J225" s="2">
        <f t="shared" si="20"/>
        <v>-3</v>
      </c>
      <c r="K225" s="2" t="str">
        <f t="shared" si="21"/>
        <v>B</v>
      </c>
      <c r="L225" s="2" t="str">
        <f t="shared" si="22"/>
        <v>A</v>
      </c>
      <c r="M225" s="2" t="s">
        <v>22</v>
      </c>
      <c r="N225" s="2">
        <f t="shared" si="23"/>
        <v>1</v>
      </c>
      <c r="O225" s="2" t="s">
        <v>26</v>
      </c>
      <c r="P225" s="2">
        <v>137</v>
      </c>
    </row>
    <row r="226" ht="23" customHeight="1" spans="1:16">
      <c r="A226" s="6" t="s">
        <v>293</v>
      </c>
      <c r="B226" s="2" t="s">
        <v>37</v>
      </c>
      <c r="C226" s="2" t="s">
        <v>17</v>
      </c>
      <c r="D226" s="2">
        <v>3</v>
      </c>
      <c r="E226" s="6" t="s">
        <v>499</v>
      </c>
      <c r="F226" s="2" t="str">
        <f t="shared" si="18"/>
        <v>A</v>
      </c>
      <c r="G226" s="2">
        <v>5</v>
      </c>
      <c r="H226" s="2" t="str">
        <f t="shared" si="19"/>
        <v>C</v>
      </c>
      <c r="I226" s="2">
        <v>4</v>
      </c>
      <c r="J226" s="2">
        <f t="shared" si="20"/>
        <v>1</v>
      </c>
      <c r="K226" s="2" t="str">
        <f t="shared" si="21"/>
        <v>A</v>
      </c>
      <c r="L226" s="2" t="str">
        <f t="shared" si="22"/>
        <v>A</v>
      </c>
      <c r="M226" s="2" t="s">
        <v>22</v>
      </c>
      <c r="N226" s="2">
        <f t="shared" si="23"/>
        <v>1</v>
      </c>
      <c r="O226" s="2" t="s">
        <v>22</v>
      </c>
      <c r="P226" s="2">
        <v>136</v>
      </c>
    </row>
    <row r="227" ht="23" customHeight="1" spans="1:16">
      <c r="A227" s="6" t="s">
        <v>293</v>
      </c>
      <c r="B227" s="2" t="s">
        <v>37</v>
      </c>
      <c r="C227" s="2" t="s">
        <v>23</v>
      </c>
      <c r="D227" s="2">
        <v>3</v>
      </c>
      <c r="E227" s="6" t="s">
        <v>499</v>
      </c>
      <c r="F227" s="2" t="str">
        <f t="shared" si="18"/>
        <v>C</v>
      </c>
      <c r="G227" s="2">
        <v>4</v>
      </c>
      <c r="H227" s="2" t="str">
        <f t="shared" si="19"/>
        <v>A</v>
      </c>
      <c r="I227" s="2">
        <v>5</v>
      </c>
      <c r="J227" s="2">
        <f t="shared" si="20"/>
        <v>-1</v>
      </c>
      <c r="K227" s="2" t="str">
        <f t="shared" si="21"/>
        <v>B</v>
      </c>
      <c r="L227" s="2" t="str">
        <f t="shared" si="22"/>
        <v>A</v>
      </c>
      <c r="M227" s="2" t="s">
        <v>22</v>
      </c>
      <c r="N227" s="2">
        <f t="shared" si="23"/>
        <v>1</v>
      </c>
      <c r="O227" s="2" t="s">
        <v>26</v>
      </c>
      <c r="P227" s="2">
        <v>137</v>
      </c>
    </row>
    <row r="228" ht="23" customHeight="1" spans="1:16">
      <c r="A228" s="6" t="s">
        <v>293</v>
      </c>
      <c r="B228" s="2" t="s">
        <v>37</v>
      </c>
      <c r="C228" s="2" t="s">
        <v>17</v>
      </c>
      <c r="D228" s="2">
        <v>4</v>
      </c>
      <c r="E228" s="6" t="s">
        <v>500</v>
      </c>
      <c r="F228" s="2" t="str">
        <f t="shared" si="18"/>
        <v>A</v>
      </c>
      <c r="G228" s="2">
        <v>5</v>
      </c>
      <c r="H228" s="2" t="str">
        <f t="shared" si="19"/>
        <v>C</v>
      </c>
      <c r="I228" s="2">
        <v>5</v>
      </c>
      <c r="J228" s="2">
        <f t="shared" si="20"/>
        <v>0</v>
      </c>
      <c r="K228" s="2" t="str">
        <f t="shared" si="21"/>
        <v>C</v>
      </c>
      <c r="L228" s="2" t="str">
        <f t="shared" si="22"/>
        <v>D(平局)</v>
      </c>
      <c r="M228" s="2" t="s">
        <v>22</v>
      </c>
      <c r="N228" s="2">
        <f t="shared" si="23"/>
        <v>0</v>
      </c>
      <c r="O228" s="2" t="s">
        <v>22</v>
      </c>
      <c r="P228" s="2">
        <v>136</v>
      </c>
    </row>
    <row r="229" ht="23" customHeight="1" spans="1:16">
      <c r="A229" s="6" t="s">
        <v>293</v>
      </c>
      <c r="B229" s="2" t="s">
        <v>37</v>
      </c>
      <c r="C229" s="2" t="s">
        <v>23</v>
      </c>
      <c r="D229" s="2">
        <v>4</v>
      </c>
      <c r="E229" s="6" t="s">
        <v>500</v>
      </c>
      <c r="F229" s="2" t="str">
        <f t="shared" si="18"/>
        <v>C</v>
      </c>
      <c r="G229" s="2">
        <v>5</v>
      </c>
      <c r="H229" s="2" t="str">
        <f t="shared" si="19"/>
        <v>A</v>
      </c>
      <c r="I229" s="2">
        <v>5</v>
      </c>
      <c r="J229" s="2">
        <f t="shared" si="20"/>
        <v>0</v>
      </c>
      <c r="K229" s="2" t="str">
        <f t="shared" si="21"/>
        <v>C</v>
      </c>
      <c r="L229" s="2" t="str">
        <f t="shared" si="22"/>
        <v>D(平局)</v>
      </c>
      <c r="M229" s="2" t="s">
        <v>22</v>
      </c>
      <c r="N229" s="2">
        <f t="shared" si="23"/>
        <v>0</v>
      </c>
      <c r="O229" s="2" t="s">
        <v>26</v>
      </c>
      <c r="P229" s="2">
        <v>137</v>
      </c>
    </row>
    <row r="230" ht="23" customHeight="1" spans="1:16">
      <c r="A230" s="6" t="s">
        <v>293</v>
      </c>
      <c r="B230" s="2" t="s">
        <v>37</v>
      </c>
      <c r="C230" s="2" t="s">
        <v>17</v>
      </c>
      <c r="D230" s="2">
        <v>5</v>
      </c>
      <c r="E230" s="6" t="s">
        <v>501</v>
      </c>
      <c r="F230" s="2" t="str">
        <f t="shared" si="18"/>
        <v>A</v>
      </c>
      <c r="G230" s="2">
        <v>5</v>
      </c>
      <c r="H230" s="2" t="str">
        <f t="shared" si="19"/>
        <v>C</v>
      </c>
      <c r="I230" s="2">
        <v>4</v>
      </c>
      <c r="J230" s="2">
        <f t="shared" si="20"/>
        <v>1</v>
      </c>
      <c r="K230" s="2" t="str">
        <f t="shared" si="21"/>
        <v>A</v>
      </c>
      <c r="L230" s="2" t="str">
        <f t="shared" si="22"/>
        <v>A</v>
      </c>
      <c r="M230" s="2" t="s">
        <v>22</v>
      </c>
      <c r="N230" s="2">
        <f t="shared" si="23"/>
        <v>1</v>
      </c>
      <c r="O230" s="2" t="s">
        <v>22</v>
      </c>
      <c r="P230" s="2">
        <v>136</v>
      </c>
    </row>
    <row r="231" ht="23" customHeight="1" spans="1:16">
      <c r="A231" s="6" t="s">
        <v>293</v>
      </c>
      <c r="B231" s="2" t="s">
        <v>37</v>
      </c>
      <c r="C231" s="2" t="s">
        <v>23</v>
      </c>
      <c r="D231" s="2">
        <v>5</v>
      </c>
      <c r="E231" s="6" t="s">
        <v>501</v>
      </c>
      <c r="F231" s="2" t="str">
        <f t="shared" si="18"/>
        <v>C</v>
      </c>
      <c r="G231" s="2">
        <v>4</v>
      </c>
      <c r="H231" s="2" t="str">
        <f t="shared" si="19"/>
        <v>A</v>
      </c>
      <c r="I231" s="2">
        <v>5</v>
      </c>
      <c r="J231" s="2">
        <f t="shared" si="20"/>
        <v>-1</v>
      </c>
      <c r="K231" s="2" t="str">
        <f t="shared" si="21"/>
        <v>B</v>
      </c>
      <c r="L231" s="2" t="str">
        <f t="shared" si="22"/>
        <v>A</v>
      </c>
      <c r="M231" s="2" t="s">
        <v>22</v>
      </c>
      <c r="N231" s="2">
        <f t="shared" si="23"/>
        <v>1</v>
      </c>
      <c r="O231" s="2" t="s">
        <v>26</v>
      </c>
      <c r="P231" s="2">
        <v>137</v>
      </c>
    </row>
    <row r="232" ht="23" customHeight="1" spans="1:16">
      <c r="A232" s="6" t="s">
        <v>293</v>
      </c>
      <c r="B232" s="2" t="s">
        <v>50</v>
      </c>
      <c r="C232" s="2" t="s">
        <v>17</v>
      </c>
      <c r="D232" s="2">
        <v>1</v>
      </c>
      <c r="E232" s="6" t="s">
        <v>497</v>
      </c>
      <c r="F232" s="2" t="str">
        <f t="shared" si="18"/>
        <v>B</v>
      </c>
      <c r="G232" s="2">
        <v>5</v>
      </c>
      <c r="H232" s="2" t="str">
        <f t="shared" si="19"/>
        <v>C</v>
      </c>
      <c r="I232" s="2">
        <v>4</v>
      </c>
      <c r="J232" s="2">
        <f t="shared" si="20"/>
        <v>1</v>
      </c>
      <c r="K232" s="2" t="str">
        <f t="shared" si="21"/>
        <v>A</v>
      </c>
      <c r="L232" s="2" t="str">
        <f t="shared" si="22"/>
        <v>B</v>
      </c>
      <c r="M232" s="2" t="s">
        <v>26</v>
      </c>
      <c r="N232" s="2">
        <f t="shared" si="23"/>
        <v>1</v>
      </c>
      <c r="O232" s="2" t="s">
        <v>22</v>
      </c>
      <c r="P232" s="2">
        <v>142</v>
      </c>
    </row>
    <row r="233" ht="23" customHeight="1" spans="1:16">
      <c r="A233" s="6" t="s">
        <v>293</v>
      </c>
      <c r="B233" s="2" t="s">
        <v>50</v>
      </c>
      <c r="C233" s="2" t="s">
        <v>23</v>
      </c>
      <c r="D233" s="2">
        <v>1</v>
      </c>
      <c r="E233" s="6" t="s">
        <v>497</v>
      </c>
      <c r="F233" s="2" t="str">
        <f t="shared" si="18"/>
        <v>C</v>
      </c>
      <c r="G233" s="2">
        <v>4</v>
      </c>
      <c r="H233" s="2" t="str">
        <f t="shared" si="19"/>
        <v>B</v>
      </c>
      <c r="I233" s="2">
        <v>5</v>
      </c>
      <c r="J233" s="2">
        <f t="shared" si="20"/>
        <v>-1</v>
      </c>
      <c r="K233" s="2" t="str">
        <f t="shared" si="21"/>
        <v>B</v>
      </c>
      <c r="L233" s="2" t="str">
        <f t="shared" si="22"/>
        <v>B</v>
      </c>
      <c r="M233" s="2" t="s">
        <v>26</v>
      </c>
      <c r="N233" s="2">
        <f t="shared" si="23"/>
        <v>1</v>
      </c>
      <c r="O233" s="2" t="s">
        <v>26</v>
      </c>
      <c r="P233" s="2">
        <v>143</v>
      </c>
    </row>
    <row r="234" ht="23" customHeight="1" spans="1:16">
      <c r="A234" s="6" t="s">
        <v>293</v>
      </c>
      <c r="B234" s="2" t="s">
        <v>50</v>
      </c>
      <c r="C234" s="2" t="s">
        <v>17</v>
      </c>
      <c r="D234" s="2">
        <v>2</v>
      </c>
      <c r="E234" s="6" t="s">
        <v>498</v>
      </c>
      <c r="F234" s="2" t="str">
        <f t="shared" si="18"/>
        <v>B</v>
      </c>
      <c r="G234" s="2">
        <v>5</v>
      </c>
      <c r="H234" s="2" t="str">
        <f t="shared" si="19"/>
        <v>C</v>
      </c>
      <c r="I234" s="2">
        <v>2</v>
      </c>
      <c r="J234" s="2">
        <f t="shared" si="20"/>
        <v>3</v>
      </c>
      <c r="K234" s="2" t="str">
        <f t="shared" si="21"/>
        <v>A</v>
      </c>
      <c r="L234" s="2" t="str">
        <f t="shared" si="22"/>
        <v>B</v>
      </c>
      <c r="M234" s="2" t="s">
        <v>26</v>
      </c>
      <c r="N234" s="2">
        <f t="shared" si="23"/>
        <v>1</v>
      </c>
      <c r="O234" s="2" t="s">
        <v>22</v>
      </c>
      <c r="P234" s="2">
        <v>142</v>
      </c>
    </row>
    <row r="235" ht="23" customHeight="1" spans="1:16">
      <c r="A235" s="6" t="s">
        <v>293</v>
      </c>
      <c r="B235" s="2" t="s">
        <v>50</v>
      </c>
      <c r="C235" s="2" t="s">
        <v>23</v>
      </c>
      <c r="D235" s="2">
        <v>2</v>
      </c>
      <c r="E235" s="6" t="s">
        <v>498</v>
      </c>
      <c r="F235" s="2" t="str">
        <f t="shared" si="18"/>
        <v>C</v>
      </c>
      <c r="G235" s="2">
        <v>2</v>
      </c>
      <c r="H235" s="2" t="str">
        <f t="shared" si="19"/>
        <v>B</v>
      </c>
      <c r="I235" s="2">
        <v>5</v>
      </c>
      <c r="J235" s="2">
        <f t="shared" si="20"/>
        <v>-3</v>
      </c>
      <c r="K235" s="2" t="str">
        <f t="shared" si="21"/>
        <v>B</v>
      </c>
      <c r="L235" s="2" t="str">
        <f t="shared" si="22"/>
        <v>B</v>
      </c>
      <c r="M235" s="2" t="s">
        <v>26</v>
      </c>
      <c r="N235" s="2">
        <f t="shared" si="23"/>
        <v>1</v>
      </c>
      <c r="O235" s="2" t="s">
        <v>26</v>
      </c>
      <c r="P235" s="2">
        <v>143</v>
      </c>
    </row>
    <row r="236" ht="23" customHeight="1" spans="1:16">
      <c r="A236" s="6" t="s">
        <v>293</v>
      </c>
      <c r="B236" s="2" t="s">
        <v>50</v>
      </c>
      <c r="C236" s="2" t="s">
        <v>17</v>
      </c>
      <c r="D236" s="2">
        <v>3</v>
      </c>
      <c r="E236" s="6" t="s">
        <v>499</v>
      </c>
      <c r="F236" s="2" t="str">
        <f t="shared" si="18"/>
        <v>B</v>
      </c>
      <c r="G236" s="2">
        <v>5</v>
      </c>
      <c r="H236" s="2" t="str">
        <f t="shared" si="19"/>
        <v>C</v>
      </c>
      <c r="I236" s="2">
        <v>3</v>
      </c>
      <c r="J236" s="2">
        <f t="shared" si="20"/>
        <v>2</v>
      </c>
      <c r="K236" s="2" t="str">
        <f t="shared" si="21"/>
        <v>A</v>
      </c>
      <c r="L236" s="2" t="str">
        <f t="shared" si="22"/>
        <v>B</v>
      </c>
      <c r="M236" s="2" t="s">
        <v>26</v>
      </c>
      <c r="N236" s="2">
        <f t="shared" si="23"/>
        <v>1</v>
      </c>
      <c r="O236" s="2" t="s">
        <v>22</v>
      </c>
      <c r="P236" s="2">
        <v>142</v>
      </c>
    </row>
    <row r="237" ht="23" customHeight="1" spans="1:16">
      <c r="A237" s="6" t="s">
        <v>293</v>
      </c>
      <c r="B237" s="2" t="s">
        <v>50</v>
      </c>
      <c r="C237" s="2" t="s">
        <v>23</v>
      </c>
      <c r="D237" s="2">
        <v>3</v>
      </c>
      <c r="E237" s="6" t="s">
        <v>499</v>
      </c>
      <c r="F237" s="2" t="str">
        <f t="shared" si="18"/>
        <v>C</v>
      </c>
      <c r="G237" s="2">
        <v>4</v>
      </c>
      <c r="H237" s="2" t="str">
        <f t="shared" si="19"/>
        <v>B</v>
      </c>
      <c r="I237" s="2">
        <v>5</v>
      </c>
      <c r="J237" s="2">
        <f t="shared" si="20"/>
        <v>-1</v>
      </c>
      <c r="K237" s="2" t="str">
        <f t="shared" si="21"/>
        <v>B</v>
      </c>
      <c r="L237" s="2" t="str">
        <f t="shared" si="22"/>
        <v>B</v>
      </c>
      <c r="M237" s="2" t="s">
        <v>26</v>
      </c>
      <c r="N237" s="2">
        <f t="shared" si="23"/>
        <v>1</v>
      </c>
      <c r="O237" s="2" t="s">
        <v>26</v>
      </c>
      <c r="P237" s="2">
        <v>143</v>
      </c>
    </row>
    <row r="238" ht="23" customHeight="1" spans="1:16">
      <c r="A238" s="6" t="s">
        <v>293</v>
      </c>
      <c r="B238" s="2" t="s">
        <v>50</v>
      </c>
      <c r="C238" s="2" t="s">
        <v>17</v>
      </c>
      <c r="D238" s="2">
        <v>4</v>
      </c>
      <c r="E238" s="6" t="s">
        <v>500</v>
      </c>
      <c r="F238" s="2" t="str">
        <f t="shared" si="18"/>
        <v>B</v>
      </c>
      <c r="G238" s="2">
        <v>5</v>
      </c>
      <c r="H238" s="2" t="str">
        <f t="shared" si="19"/>
        <v>C</v>
      </c>
      <c r="I238" s="2">
        <v>5</v>
      </c>
      <c r="J238" s="2">
        <f t="shared" si="20"/>
        <v>0</v>
      </c>
      <c r="K238" s="2" t="str">
        <f t="shared" si="21"/>
        <v>C</v>
      </c>
      <c r="L238" s="2" t="str">
        <f t="shared" si="22"/>
        <v>D(平局)</v>
      </c>
      <c r="M238" s="2" t="s">
        <v>26</v>
      </c>
      <c r="N238" s="2">
        <f t="shared" si="23"/>
        <v>0</v>
      </c>
      <c r="O238" s="2" t="s">
        <v>22</v>
      </c>
      <c r="P238" s="2">
        <v>142</v>
      </c>
    </row>
    <row r="239" ht="23" customHeight="1" spans="1:16">
      <c r="A239" s="6" t="s">
        <v>293</v>
      </c>
      <c r="B239" s="2" t="s">
        <v>50</v>
      </c>
      <c r="C239" s="2" t="s">
        <v>23</v>
      </c>
      <c r="D239" s="2">
        <v>4</v>
      </c>
      <c r="E239" s="6" t="s">
        <v>500</v>
      </c>
      <c r="F239" s="2" t="str">
        <f t="shared" si="18"/>
        <v>C</v>
      </c>
      <c r="G239" s="2">
        <v>5</v>
      </c>
      <c r="H239" s="2" t="str">
        <f t="shared" si="19"/>
        <v>B</v>
      </c>
      <c r="I239" s="2">
        <v>5</v>
      </c>
      <c r="J239" s="2">
        <f t="shared" si="20"/>
        <v>0</v>
      </c>
      <c r="K239" s="2" t="str">
        <f t="shared" si="21"/>
        <v>C</v>
      </c>
      <c r="L239" s="2" t="str">
        <f t="shared" si="22"/>
        <v>D(平局)</v>
      </c>
      <c r="M239" s="2" t="s">
        <v>26</v>
      </c>
      <c r="N239" s="2">
        <f t="shared" si="23"/>
        <v>0</v>
      </c>
      <c r="O239" s="2" t="s">
        <v>26</v>
      </c>
      <c r="P239" s="2">
        <v>143</v>
      </c>
    </row>
    <row r="240" ht="23" customHeight="1" spans="1:16">
      <c r="A240" s="6" t="s">
        <v>293</v>
      </c>
      <c r="B240" s="2" t="s">
        <v>50</v>
      </c>
      <c r="C240" s="2" t="s">
        <v>17</v>
      </c>
      <c r="D240" s="2">
        <v>5</v>
      </c>
      <c r="E240" s="6" t="s">
        <v>501</v>
      </c>
      <c r="F240" s="2" t="str">
        <f t="shared" si="18"/>
        <v>B</v>
      </c>
      <c r="G240" s="2">
        <v>5</v>
      </c>
      <c r="H240" s="2" t="str">
        <f t="shared" si="19"/>
        <v>C</v>
      </c>
      <c r="I240" s="2">
        <v>3</v>
      </c>
      <c r="J240" s="2">
        <f t="shared" si="20"/>
        <v>2</v>
      </c>
      <c r="K240" s="2" t="str">
        <f t="shared" si="21"/>
        <v>A</v>
      </c>
      <c r="L240" s="2" t="str">
        <f t="shared" si="22"/>
        <v>B</v>
      </c>
      <c r="M240" s="2" t="s">
        <v>26</v>
      </c>
      <c r="N240" s="2">
        <f t="shared" si="23"/>
        <v>1</v>
      </c>
      <c r="O240" s="2" t="s">
        <v>22</v>
      </c>
      <c r="P240" s="2">
        <v>142</v>
      </c>
    </row>
    <row r="241" ht="23" customHeight="1" spans="1:16">
      <c r="A241" s="6" t="s">
        <v>293</v>
      </c>
      <c r="B241" s="2" t="s">
        <v>50</v>
      </c>
      <c r="C241" s="2" t="s">
        <v>23</v>
      </c>
      <c r="D241" s="2">
        <v>5</v>
      </c>
      <c r="E241" s="6" t="s">
        <v>501</v>
      </c>
      <c r="F241" s="2" t="str">
        <f t="shared" si="18"/>
        <v>C</v>
      </c>
      <c r="G241" s="2">
        <v>4</v>
      </c>
      <c r="H241" s="2" t="str">
        <f t="shared" si="19"/>
        <v>B</v>
      </c>
      <c r="I241" s="2">
        <v>5</v>
      </c>
      <c r="J241" s="2">
        <f t="shared" si="20"/>
        <v>-1</v>
      </c>
      <c r="K241" s="2" t="str">
        <f t="shared" si="21"/>
        <v>B</v>
      </c>
      <c r="L241" s="2" t="str">
        <f t="shared" si="22"/>
        <v>B</v>
      </c>
      <c r="M241" s="2" t="s">
        <v>26</v>
      </c>
      <c r="N241" s="2">
        <f t="shared" si="23"/>
        <v>1</v>
      </c>
      <c r="O241" s="2" t="s">
        <v>26</v>
      </c>
      <c r="P241" s="2">
        <v>143</v>
      </c>
    </row>
    <row r="242" ht="23" customHeight="1" spans="1:16">
      <c r="A242" s="6" t="s">
        <v>331</v>
      </c>
      <c r="B242" s="2" t="s">
        <v>15</v>
      </c>
      <c r="C242" s="2" t="s">
        <v>17</v>
      </c>
      <c r="D242" s="2">
        <v>1</v>
      </c>
      <c r="E242" s="6" t="s">
        <v>497</v>
      </c>
      <c r="F242" s="2" t="str">
        <f t="shared" si="18"/>
        <v>A</v>
      </c>
      <c r="G242" s="2">
        <v>3</v>
      </c>
      <c r="H242" s="2" t="str">
        <f t="shared" si="19"/>
        <v>B</v>
      </c>
      <c r="I242" s="2">
        <v>5</v>
      </c>
      <c r="J242" s="2">
        <f t="shared" si="20"/>
        <v>-2</v>
      </c>
      <c r="K242" s="2" t="str">
        <f t="shared" si="21"/>
        <v>B</v>
      </c>
      <c r="L242" s="2" t="str">
        <f t="shared" si="22"/>
        <v>B</v>
      </c>
      <c r="M242" s="2" t="s">
        <v>106</v>
      </c>
      <c r="N242" s="2">
        <f t="shared" si="23"/>
        <v>0</v>
      </c>
      <c r="O242" s="2" t="s">
        <v>26</v>
      </c>
      <c r="P242" s="2">
        <v>148</v>
      </c>
    </row>
    <row r="243" ht="23" customHeight="1" spans="1:16">
      <c r="A243" s="6" t="s">
        <v>331</v>
      </c>
      <c r="B243" s="2" t="s">
        <v>15</v>
      </c>
      <c r="C243" s="2" t="s">
        <v>23</v>
      </c>
      <c r="D243" s="2">
        <v>1</v>
      </c>
      <c r="E243" s="6" t="s">
        <v>497</v>
      </c>
      <c r="F243" s="2" t="str">
        <f t="shared" si="18"/>
        <v>B</v>
      </c>
      <c r="G243" s="2">
        <v>5</v>
      </c>
      <c r="H243" s="2" t="str">
        <f t="shared" si="19"/>
        <v>A</v>
      </c>
      <c r="I243" s="2">
        <v>4</v>
      </c>
      <c r="J243" s="2">
        <f t="shared" si="20"/>
        <v>1</v>
      </c>
      <c r="K243" s="2" t="str">
        <f t="shared" si="21"/>
        <v>A</v>
      </c>
      <c r="L243" s="2" t="str">
        <f t="shared" si="22"/>
        <v>B</v>
      </c>
      <c r="M243" s="2" t="s">
        <v>106</v>
      </c>
      <c r="N243" s="2">
        <f t="shared" si="23"/>
        <v>0</v>
      </c>
      <c r="O243" s="2" t="s">
        <v>22</v>
      </c>
      <c r="P243" s="2">
        <v>149</v>
      </c>
    </row>
    <row r="244" ht="23" customHeight="1" spans="1:16">
      <c r="A244" s="6" t="s">
        <v>331</v>
      </c>
      <c r="B244" s="2" t="s">
        <v>15</v>
      </c>
      <c r="C244" s="2" t="s">
        <v>17</v>
      </c>
      <c r="D244" s="2">
        <v>2</v>
      </c>
      <c r="E244" s="6" t="s">
        <v>498</v>
      </c>
      <c r="F244" s="2" t="str">
        <f t="shared" si="18"/>
        <v>A</v>
      </c>
      <c r="G244" s="2">
        <v>3</v>
      </c>
      <c r="H244" s="2" t="str">
        <f t="shared" si="19"/>
        <v>B</v>
      </c>
      <c r="I244" s="2">
        <v>5</v>
      </c>
      <c r="J244" s="2">
        <f t="shared" si="20"/>
        <v>-2</v>
      </c>
      <c r="K244" s="2" t="str">
        <f t="shared" si="21"/>
        <v>B</v>
      </c>
      <c r="L244" s="2" t="str">
        <f t="shared" si="22"/>
        <v>B</v>
      </c>
      <c r="M244" s="2" t="s">
        <v>106</v>
      </c>
      <c r="N244" s="2">
        <f t="shared" si="23"/>
        <v>0</v>
      </c>
      <c r="O244" s="2" t="s">
        <v>26</v>
      </c>
      <c r="P244" s="2">
        <v>148</v>
      </c>
    </row>
    <row r="245" ht="23" customHeight="1" spans="1:16">
      <c r="A245" s="6" t="s">
        <v>331</v>
      </c>
      <c r="B245" s="2" t="s">
        <v>15</v>
      </c>
      <c r="C245" s="2" t="s">
        <v>23</v>
      </c>
      <c r="D245" s="2">
        <v>2</v>
      </c>
      <c r="E245" s="6" t="s">
        <v>498</v>
      </c>
      <c r="F245" s="2" t="str">
        <f t="shared" si="18"/>
        <v>B</v>
      </c>
      <c r="G245" s="2">
        <v>5</v>
      </c>
      <c r="H245" s="2" t="str">
        <f t="shared" si="19"/>
        <v>A</v>
      </c>
      <c r="I245" s="2">
        <v>4</v>
      </c>
      <c r="J245" s="2">
        <f t="shared" si="20"/>
        <v>1</v>
      </c>
      <c r="K245" s="2" t="str">
        <f t="shared" si="21"/>
        <v>A</v>
      </c>
      <c r="L245" s="2" t="str">
        <f t="shared" si="22"/>
        <v>B</v>
      </c>
      <c r="M245" s="2" t="s">
        <v>106</v>
      </c>
      <c r="N245" s="2">
        <f t="shared" si="23"/>
        <v>0</v>
      </c>
      <c r="O245" s="2" t="s">
        <v>22</v>
      </c>
      <c r="P245" s="2">
        <v>149</v>
      </c>
    </row>
    <row r="246" ht="23" customHeight="1" spans="1:16">
      <c r="A246" s="6" t="s">
        <v>331</v>
      </c>
      <c r="B246" s="2" t="s">
        <v>15</v>
      </c>
      <c r="C246" s="2" t="s">
        <v>17</v>
      </c>
      <c r="D246" s="2">
        <v>3</v>
      </c>
      <c r="E246" s="6" t="s">
        <v>499</v>
      </c>
      <c r="F246" s="2" t="str">
        <f t="shared" si="18"/>
        <v>A</v>
      </c>
      <c r="G246" s="2">
        <v>3</v>
      </c>
      <c r="H246" s="2" t="str">
        <f t="shared" si="19"/>
        <v>B</v>
      </c>
      <c r="I246" s="2">
        <v>5</v>
      </c>
      <c r="J246" s="2">
        <f t="shared" si="20"/>
        <v>-2</v>
      </c>
      <c r="K246" s="2" t="str">
        <f t="shared" si="21"/>
        <v>B</v>
      </c>
      <c r="L246" s="2" t="str">
        <f t="shared" si="22"/>
        <v>B</v>
      </c>
      <c r="M246" s="2" t="s">
        <v>106</v>
      </c>
      <c r="N246" s="2">
        <f t="shared" si="23"/>
        <v>0</v>
      </c>
      <c r="O246" s="2" t="s">
        <v>26</v>
      </c>
      <c r="P246" s="2">
        <v>148</v>
      </c>
    </row>
    <row r="247" ht="23" customHeight="1" spans="1:16">
      <c r="A247" s="6" t="s">
        <v>331</v>
      </c>
      <c r="B247" s="2" t="s">
        <v>15</v>
      </c>
      <c r="C247" s="2" t="s">
        <v>23</v>
      </c>
      <c r="D247" s="2">
        <v>3</v>
      </c>
      <c r="E247" s="6" t="s">
        <v>499</v>
      </c>
      <c r="F247" s="2" t="str">
        <f t="shared" si="18"/>
        <v>B</v>
      </c>
      <c r="G247" s="2">
        <v>5</v>
      </c>
      <c r="H247" s="2" t="str">
        <f t="shared" si="19"/>
        <v>A</v>
      </c>
      <c r="I247" s="2">
        <v>3</v>
      </c>
      <c r="J247" s="2">
        <f t="shared" si="20"/>
        <v>2</v>
      </c>
      <c r="K247" s="2" t="str">
        <f t="shared" si="21"/>
        <v>A</v>
      </c>
      <c r="L247" s="2" t="str">
        <f t="shared" si="22"/>
        <v>B</v>
      </c>
      <c r="M247" s="2" t="s">
        <v>106</v>
      </c>
      <c r="N247" s="2">
        <f t="shared" si="23"/>
        <v>0</v>
      </c>
      <c r="O247" s="2" t="s">
        <v>22</v>
      </c>
      <c r="P247" s="2">
        <v>149</v>
      </c>
    </row>
    <row r="248" ht="23" customHeight="1" spans="1:16">
      <c r="A248" s="6" t="s">
        <v>331</v>
      </c>
      <c r="B248" s="2" t="s">
        <v>15</v>
      </c>
      <c r="C248" s="2" t="s">
        <v>17</v>
      </c>
      <c r="D248" s="2">
        <v>4</v>
      </c>
      <c r="E248" s="6" t="s">
        <v>500</v>
      </c>
      <c r="F248" s="2" t="str">
        <f t="shared" si="18"/>
        <v>A</v>
      </c>
      <c r="G248" s="2">
        <v>4</v>
      </c>
      <c r="H248" s="2" t="str">
        <f t="shared" si="19"/>
        <v>B</v>
      </c>
      <c r="I248" s="2">
        <v>5</v>
      </c>
      <c r="J248" s="2">
        <f t="shared" si="20"/>
        <v>-1</v>
      </c>
      <c r="K248" s="2" t="str">
        <f t="shared" si="21"/>
        <v>B</v>
      </c>
      <c r="L248" s="2" t="str">
        <f t="shared" si="22"/>
        <v>B</v>
      </c>
      <c r="M248" s="2" t="s">
        <v>106</v>
      </c>
      <c r="N248" s="2">
        <f t="shared" si="23"/>
        <v>0</v>
      </c>
      <c r="O248" s="2" t="s">
        <v>26</v>
      </c>
      <c r="P248" s="2">
        <v>148</v>
      </c>
    </row>
    <row r="249" ht="23" customHeight="1" spans="1:16">
      <c r="A249" s="6" t="s">
        <v>331</v>
      </c>
      <c r="B249" s="2" t="s">
        <v>15</v>
      </c>
      <c r="C249" s="2" t="s">
        <v>23</v>
      </c>
      <c r="D249" s="2">
        <v>4</v>
      </c>
      <c r="E249" s="6" t="s">
        <v>500</v>
      </c>
      <c r="F249" s="2" t="str">
        <f t="shared" si="18"/>
        <v>B</v>
      </c>
      <c r="G249" s="2">
        <v>5</v>
      </c>
      <c r="H249" s="2" t="str">
        <f t="shared" si="19"/>
        <v>A</v>
      </c>
      <c r="I249" s="2">
        <v>4</v>
      </c>
      <c r="J249" s="2">
        <f t="shared" si="20"/>
        <v>1</v>
      </c>
      <c r="K249" s="2" t="str">
        <f t="shared" si="21"/>
        <v>A</v>
      </c>
      <c r="L249" s="2" t="str">
        <f t="shared" si="22"/>
        <v>B</v>
      </c>
      <c r="M249" s="2" t="s">
        <v>106</v>
      </c>
      <c r="N249" s="2">
        <f t="shared" si="23"/>
        <v>0</v>
      </c>
      <c r="O249" s="2" t="s">
        <v>22</v>
      </c>
      <c r="P249" s="2">
        <v>149</v>
      </c>
    </row>
    <row r="250" ht="23" customHeight="1" spans="1:16">
      <c r="A250" s="6" t="s">
        <v>331</v>
      </c>
      <c r="B250" s="2" t="s">
        <v>15</v>
      </c>
      <c r="C250" s="2" t="s">
        <v>17</v>
      </c>
      <c r="D250" s="2">
        <v>5</v>
      </c>
      <c r="E250" s="6" t="s">
        <v>501</v>
      </c>
      <c r="F250" s="2" t="str">
        <f t="shared" si="18"/>
        <v>A</v>
      </c>
      <c r="G250" s="2">
        <v>5</v>
      </c>
      <c r="H250" s="2" t="str">
        <f t="shared" si="19"/>
        <v>B</v>
      </c>
      <c r="I250" s="2">
        <v>5</v>
      </c>
      <c r="J250" s="2">
        <f t="shared" si="20"/>
        <v>0</v>
      </c>
      <c r="K250" s="2" t="str">
        <f t="shared" si="21"/>
        <v>C</v>
      </c>
      <c r="L250" s="2" t="str">
        <f t="shared" si="22"/>
        <v>D(平局)</v>
      </c>
      <c r="M250" s="2" t="s">
        <v>106</v>
      </c>
      <c r="N250" s="2">
        <f t="shared" si="23"/>
        <v>1</v>
      </c>
      <c r="O250" s="2" t="s">
        <v>26</v>
      </c>
      <c r="P250" s="2">
        <v>148</v>
      </c>
    </row>
    <row r="251" ht="23" customHeight="1" spans="1:16">
      <c r="A251" s="6" t="s">
        <v>331</v>
      </c>
      <c r="B251" s="2" t="s">
        <v>15</v>
      </c>
      <c r="C251" s="2" t="s">
        <v>23</v>
      </c>
      <c r="D251" s="2">
        <v>5</v>
      </c>
      <c r="E251" s="6" t="s">
        <v>501</v>
      </c>
      <c r="F251" s="2" t="str">
        <f t="shared" si="18"/>
        <v>B</v>
      </c>
      <c r="G251" s="2">
        <v>5</v>
      </c>
      <c r="H251" s="2" t="str">
        <f t="shared" si="19"/>
        <v>A</v>
      </c>
      <c r="I251" s="2">
        <v>5</v>
      </c>
      <c r="J251" s="2">
        <f t="shared" si="20"/>
        <v>0</v>
      </c>
      <c r="K251" s="2" t="str">
        <f t="shared" si="21"/>
        <v>C</v>
      </c>
      <c r="L251" s="2" t="str">
        <f t="shared" si="22"/>
        <v>D(平局)</v>
      </c>
      <c r="M251" s="2" t="s">
        <v>106</v>
      </c>
      <c r="N251" s="2">
        <f t="shared" si="23"/>
        <v>1</v>
      </c>
      <c r="O251" s="2" t="s">
        <v>22</v>
      </c>
      <c r="P251" s="2">
        <v>149</v>
      </c>
    </row>
    <row r="252" ht="23" customHeight="1" spans="1:16">
      <c r="A252" s="6" t="s">
        <v>331</v>
      </c>
      <c r="B252" s="2" t="s">
        <v>37</v>
      </c>
      <c r="C252" s="2" t="s">
        <v>17</v>
      </c>
      <c r="D252" s="2">
        <v>1</v>
      </c>
      <c r="E252" s="6" t="s">
        <v>497</v>
      </c>
      <c r="F252" s="2" t="str">
        <f t="shared" si="18"/>
        <v>A</v>
      </c>
      <c r="G252" s="2">
        <v>5</v>
      </c>
      <c r="H252" s="2" t="str">
        <f t="shared" si="19"/>
        <v>C</v>
      </c>
      <c r="I252" s="2">
        <v>4</v>
      </c>
      <c r="J252" s="2">
        <f t="shared" si="20"/>
        <v>1</v>
      </c>
      <c r="K252" s="2" t="str">
        <f t="shared" si="21"/>
        <v>A</v>
      </c>
      <c r="L252" s="2" t="str">
        <f t="shared" si="22"/>
        <v>A</v>
      </c>
      <c r="M252" s="2" t="s">
        <v>22</v>
      </c>
      <c r="N252" s="2">
        <f t="shared" si="23"/>
        <v>1</v>
      </c>
      <c r="O252" s="2" t="s">
        <v>22</v>
      </c>
      <c r="P252" s="2">
        <v>154</v>
      </c>
    </row>
    <row r="253" ht="23" customHeight="1" spans="1:16">
      <c r="A253" s="6" t="s">
        <v>331</v>
      </c>
      <c r="B253" s="2" t="s">
        <v>37</v>
      </c>
      <c r="C253" s="2" t="s">
        <v>23</v>
      </c>
      <c r="D253" s="2">
        <v>1</v>
      </c>
      <c r="E253" s="6" t="s">
        <v>497</v>
      </c>
      <c r="F253" s="2" t="str">
        <f t="shared" si="18"/>
        <v>C</v>
      </c>
      <c r="G253" s="2">
        <v>4</v>
      </c>
      <c r="H253" s="2" t="str">
        <f t="shared" si="19"/>
        <v>A</v>
      </c>
      <c r="I253" s="2">
        <v>5</v>
      </c>
      <c r="J253" s="2">
        <f t="shared" si="20"/>
        <v>-1</v>
      </c>
      <c r="K253" s="2" t="str">
        <f t="shared" si="21"/>
        <v>B</v>
      </c>
      <c r="L253" s="2" t="str">
        <f t="shared" si="22"/>
        <v>A</v>
      </c>
      <c r="M253" s="2" t="s">
        <v>22</v>
      </c>
      <c r="N253" s="2">
        <f t="shared" si="23"/>
        <v>1</v>
      </c>
      <c r="O253" s="2" t="s">
        <v>26</v>
      </c>
      <c r="P253" s="2">
        <v>155</v>
      </c>
    </row>
    <row r="254" ht="23" customHeight="1" spans="1:16">
      <c r="A254" s="6" t="s">
        <v>331</v>
      </c>
      <c r="B254" s="2" t="s">
        <v>37</v>
      </c>
      <c r="C254" s="2" t="s">
        <v>17</v>
      </c>
      <c r="D254" s="2">
        <v>2</v>
      </c>
      <c r="E254" s="6" t="s">
        <v>498</v>
      </c>
      <c r="F254" s="2" t="str">
        <f t="shared" si="18"/>
        <v>A</v>
      </c>
      <c r="G254" s="2">
        <v>4</v>
      </c>
      <c r="H254" s="2" t="str">
        <f t="shared" si="19"/>
        <v>C</v>
      </c>
      <c r="I254" s="2">
        <v>4</v>
      </c>
      <c r="J254" s="2">
        <f t="shared" si="20"/>
        <v>0</v>
      </c>
      <c r="K254" s="2" t="str">
        <f t="shared" si="21"/>
        <v>C</v>
      </c>
      <c r="L254" s="2" t="str">
        <f t="shared" si="22"/>
        <v>D(平局)</v>
      </c>
      <c r="M254" s="2" t="s">
        <v>22</v>
      </c>
      <c r="N254" s="2">
        <f t="shared" si="23"/>
        <v>0</v>
      </c>
      <c r="O254" s="2" t="s">
        <v>22</v>
      </c>
      <c r="P254" s="2">
        <v>154</v>
      </c>
    </row>
    <row r="255" ht="23" customHeight="1" spans="1:16">
      <c r="A255" s="6" t="s">
        <v>331</v>
      </c>
      <c r="B255" s="2" t="s">
        <v>37</v>
      </c>
      <c r="C255" s="2" t="s">
        <v>23</v>
      </c>
      <c r="D255" s="2">
        <v>2</v>
      </c>
      <c r="E255" s="6" t="s">
        <v>498</v>
      </c>
      <c r="F255" s="2" t="str">
        <f t="shared" si="18"/>
        <v>C</v>
      </c>
      <c r="G255" s="2">
        <v>3</v>
      </c>
      <c r="H255" s="2" t="str">
        <f t="shared" si="19"/>
        <v>A</v>
      </c>
      <c r="I255" s="2">
        <v>5</v>
      </c>
      <c r="J255" s="2">
        <f t="shared" si="20"/>
        <v>-2</v>
      </c>
      <c r="K255" s="2" t="str">
        <f t="shared" si="21"/>
        <v>B</v>
      </c>
      <c r="L255" s="2" t="str">
        <f t="shared" si="22"/>
        <v>A</v>
      </c>
      <c r="M255" s="2" t="s">
        <v>22</v>
      </c>
      <c r="N255" s="2">
        <f t="shared" si="23"/>
        <v>1</v>
      </c>
      <c r="O255" s="2" t="s">
        <v>26</v>
      </c>
      <c r="P255" s="2">
        <v>155</v>
      </c>
    </row>
    <row r="256" ht="23" customHeight="1" spans="1:16">
      <c r="A256" s="6" t="s">
        <v>331</v>
      </c>
      <c r="B256" s="2" t="s">
        <v>37</v>
      </c>
      <c r="C256" s="2" t="s">
        <v>17</v>
      </c>
      <c r="D256" s="2">
        <v>3</v>
      </c>
      <c r="E256" s="6" t="s">
        <v>499</v>
      </c>
      <c r="F256" s="2" t="str">
        <f t="shared" si="18"/>
        <v>A</v>
      </c>
      <c r="G256" s="2">
        <v>5</v>
      </c>
      <c r="H256" s="2" t="str">
        <f t="shared" si="19"/>
        <v>C</v>
      </c>
      <c r="I256" s="2">
        <v>4</v>
      </c>
      <c r="J256" s="2">
        <f t="shared" si="20"/>
        <v>1</v>
      </c>
      <c r="K256" s="2" t="str">
        <f t="shared" si="21"/>
        <v>A</v>
      </c>
      <c r="L256" s="2" t="str">
        <f t="shared" si="22"/>
        <v>A</v>
      </c>
      <c r="M256" s="2" t="s">
        <v>22</v>
      </c>
      <c r="N256" s="2">
        <f t="shared" si="23"/>
        <v>1</v>
      </c>
      <c r="O256" s="2" t="s">
        <v>22</v>
      </c>
      <c r="P256" s="2">
        <v>154</v>
      </c>
    </row>
    <row r="257" ht="23" customHeight="1" spans="1:16">
      <c r="A257" s="6" t="s">
        <v>331</v>
      </c>
      <c r="B257" s="2" t="s">
        <v>37</v>
      </c>
      <c r="C257" s="2" t="s">
        <v>23</v>
      </c>
      <c r="D257" s="2">
        <v>3</v>
      </c>
      <c r="E257" s="6" t="s">
        <v>499</v>
      </c>
      <c r="F257" s="2" t="str">
        <f t="shared" si="18"/>
        <v>C</v>
      </c>
      <c r="G257" s="2">
        <v>3</v>
      </c>
      <c r="H257" s="2" t="str">
        <f t="shared" si="19"/>
        <v>A</v>
      </c>
      <c r="I257" s="2">
        <v>4</v>
      </c>
      <c r="J257" s="2">
        <f t="shared" si="20"/>
        <v>-1</v>
      </c>
      <c r="K257" s="2" t="str">
        <f t="shared" si="21"/>
        <v>B</v>
      </c>
      <c r="L257" s="2" t="str">
        <f t="shared" si="22"/>
        <v>A</v>
      </c>
      <c r="M257" s="2" t="s">
        <v>22</v>
      </c>
      <c r="N257" s="2">
        <f t="shared" si="23"/>
        <v>1</v>
      </c>
      <c r="O257" s="2" t="s">
        <v>26</v>
      </c>
      <c r="P257" s="2">
        <v>155</v>
      </c>
    </row>
    <row r="258" ht="23" customHeight="1" spans="1:16">
      <c r="A258" s="6" t="s">
        <v>331</v>
      </c>
      <c r="B258" s="2" t="s">
        <v>37</v>
      </c>
      <c r="C258" s="2" t="s">
        <v>17</v>
      </c>
      <c r="D258" s="2">
        <v>4</v>
      </c>
      <c r="E258" s="6" t="s">
        <v>500</v>
      </c>
      <c r="F258" s="2" t="str">
        <f t="shared" ref="F258:F321" si="24">IF(C258="l2r",LEFT(B258,1),RIGHT(B258,1))</f>
        <v>A</v>
      </c>
      <c r="G258" s="2">
        <v>5</v>
      </c>
      <c r="H258" s="2" t="str">
        <f t="shared" ref="H258:H321" si="25">IF(C258="l2r",RIGHT(B258,1),LEFT(B258,1))</f>
        <v>C</v>
      </c>
      <c r="I258" s="2">
        <v>4</v>
      </c>
      <c r="J258" s="2">
        <f t="shared" ref="J258:J321" si="26">G258-I258</f>
        <v>1</v>
      </c>
      <c r="K258" s="2" t="str">
        <f t="shared" ref="K258:K321" si="27">IF(J258=0,"C",IF(J258&gt;0,"A","B"))</f>
        <v>A</v>
      </c>
      <c r="L258" s="2" t="str">
        <f t="shared" ref="L258:L321" si="28">IF(J258=0,"D(平局)",IF(J258&gt;0,F258,H258))</f>
        <v>A</v>
      </c>
      <c r="M258" s="2" t="s">
        <v>22</v>
      </c>
      <c r="N258" s="2">
        <f t="shared" ref="N258:N321" si="29">--(L258=M258)</f>
        <v>1</v>
      </c>
      <c r="O258" s="2" t="s">
        <v>22</v>
      </c>
      <c r="P258" s="2">
        <v>154</v>
      </c>
    </row>
    <row r="259" ht="23" customHeight="1" spans="1:16">
      <c r="A259" s="6" t="s">
        <v>331</v>
      </c>
      <c r="B259" s="2" t="s">
        <v>37</v>
      </c>
      <c r="C259" s="2" t="s">
        <v>23</v>
      </c>
      <c r="D259" s="2">
        <v>4</v>
      </c>
      <c r="E259" s="6" t="s">
        <v>500</v>
      </c>
      <c r="F259" s="2" t="str">
        <f t="shared" si="24"/>
        <v>C</v>
      </c>
      <c r="G259" s="2">
        <v>4</v>
      </c>
      <c r="H259" s="2" t="str">
        <f t="shared" si="25"/>
        <v>A</v>
      </c>
      <c r="I259" s="2">
        <v>5</v>
      </c>
      <c r="J259" s="2">
        <f t="shared" si="26"/>
        <v>-1</v>
      </c>
      <c r="K259" s="2" t="str">
        <f t="shared" si="27"/>
        <v>B</v>
      </c>
      <c r="L259" s="2" t="str">
        <f t="shared" si="28"/>
        <v>A</v>
      </c>
      <c r="M259" s="2" t="s">
        <v>22</v>
      </c>
      <c r="N259" s="2">
        <f t="shared" si="29"/>
        <v>1</v>
      </c>
      <c r="O259" s="2" t="s">
        <v>26</v>
      </c>
      <c r="P259" s="2">
        <v>155</v>
      </c>
    </row>
    <row r="260" ht="23" customHeight="1" spans="1:16">
      <c r="A260" s="6" t="s">
        <v>331</v>
      </c>
      <c r="B260" s="2" t="s">
        <v>37</v>
      </c>
      <c r="C260" s="2" t="s">
        <v>17</v>
      </c>
      <c r="D260" s="2">
        <v>5</v>
      </c>
      <c r="E260" s="6" t="s">
        <v>501</v>
      </c>
      <c r="F260" s="2" t="str">
        <f t="shared" si="24"/>
        <v>A</v>
      </c>
      <c r="G260" s="2">
        <v>5</v>
      </c>
      <c r="H260" s="2" t="str">
        <f t="shared" si="25"/>
        <v>C</v>
      </c>
      <c r="I260" s="2">
        <v>5</v>
      </c>
      <c r="J260" s="2">
        <f t="shared" si="26"/>
        <v>0</v>
      </c>
      <c r="K260" s="2" t="str">
        <f t="shared" si="27"/>
        <v>C</v>
      </c>
      <c r="L260" s="2" t="str">
        <f t="shared" si="28"/>
        <v>D(平局)</v>
      </c>
      <c r="M260" s="2" t="s">
        <v>22</v>
      </c>
      <c r="N260" s="2">
        <f t="shared" si="29"/>
        <v>0</v>
      </c>
      <c r="O260" s="2" t="s">
        <v>22</v>
      </c>
      <c r="P260" s="2">
        <v>154</v>
      </c>
    </row>
    <row r="261" ht="23" customHeight="1" spans="1:16">
      <c r="A261" s="6" t="s">
        <v>331</v>
      </c>
      <c r="B261" s="2" t="s">
        <v>37</v>
      </c>
      <c r="C261" s="2" t="s">
        <v>23</v>
      </c>
      <c r="D261" s="2">
        <v>5</v>
      </c>
      <c r="E261" s="6" t="s">
        <v>501</v>
      </c>
      <c r="F261" s="2" t="str">
        <f t="shared" si="24"/>
        <v>C</v>
      </c>
      <c r="G261" s="2">
        <v>4</v>
      </c>
      <c r="H261" s="2" t="str">
        <f t="shared" si="25"/>
        <v>A</v>
      </c>
      <c r="I261" s="2">
        <v>5</v>
      </c>
      <c r="J261" s="2">
        <f t="shared" si="26"/>
        <v>-1</v>
      </c>
      <c r="K261" s="2" t="str">
        <f t="shared" si="27"/>
        <v>B</v>
      </c>
      <c r="L261" s="2" t="str">
        <f t="shared" si="28"/>
        <v>A</v>
      </c>
      <c r="M261" s="2" t="s">
        <v>22</v>
      </c>
      <c r="N261" s="2">
        <f t="shared" si="29"/>
        <v>1</v>
      </c>
      <c r="O261" s="2" t="s">
        <v>26</v>
      </c>
      <c r="P261" s="2">
        <v>155</v>
      </c>
    </row>
    <row r="262" ht="23" customHeight="1" spans="1:16">
      <c r="A262" s="6" t="s">
        <v>331</v>
      </c>
      <c r="B262" s="2" t="s">
        <v>50</v>
      </c>
      <c r="C262" s="2" t="s">
        <v>17</v>
      </c>
      <c r="D262" s="2">
        <v>1</v>
      </c>
      <c r="E262" s="6" t="s">
        <v>497</v>
      </c>
      <c r="F262" s="2" t="str">
        <f t="shared" si="24"/>
        <v>B</v>
      </c>
      <c r="G262" s="2">
        <v>5</v>
      </c>
      <c r="H262" s="2" t="str">
        <f t="shared" si="25"/>
        <v>C</v>
      </c>
      <c r="I262" s="2">
        <v>3</v>
      </c>
      <c r="J262" s="2">
        <f t="shared" si="26"/>
        <v>2</v>
      </c>
      <c r="K262" s="2" t="str">
        <f t="shared" si="27"/>
        <v>A</v>
      </c>
      <c r="L262" s="2" t="str">
        <f t="shared" si="28"/>
        <v>B</v>
      </c>
      <c r="M262" s="2" t="s">
        <v>26</v>
      </c>
      <c r="N262" s="2">
        <f t="shared" si="29"/>
        <v>1</v>
      </c>
      <c r="O262" s="2" t="s">
        <v>22</v>
      </c>
      <c r="P262" s="2">
        <v>160</v>
      </c>
    </row>
    <row r="263" ht="23" customHeight="1" spans="1:16">
      <c r="A263" s="6" t="s">
        <v>331</v>
      </c>
      <c r="B263" s="2" t="s">
        <v>50</v>
      </c>
      <c r="C263" s="2" t="s">
        <v>23</v>
      </c>
      <c r="D263" s="2">
        <v>1</v>
      </c>
      <c r="E263" s="6" t="s">
        <v>497</v>
      </c>
      <c r="F263" s="2" t="str">
        <f t="shared" si="24"/>
        <v>C</v>
      </c>
      <c r="G263" s="2">
        <v>3</v>
      </c>
      <c r="H263" s="2" t="str">
        <f t="shared" si="25"/>
        <v>B</v>
      </c>
      <c r="I263" s="2">
        <v>5</v>
      </c>
      <c r="J263" s="2">
        <f t="shared" si="26"/>
        <v>-2</v>
      </c>
      <c r="K263" s="2" t="str">
        <f t="shared" si="27"/>
        <v>B</v>
      </c>
      <c r="L263" s="2" t="str">
        <f t="shared" si="28"/>
        <v>B</v>
      </c>
      <c r="M263" s="2" t="s">
        <v>26</v>
      </c>
      <c r="N263" s="2">
        <f t="shared" si="29"/>
        <v>1</v>
      </c>
      <c r="O263" s="2" t="s">
        <v>26</v>
      </c>
      <c r="P263" s="2">
        <v>161</v>
      </c>
    </row>
    <row r="264" ht="23" customHeight="1" spans="1:16">
      <c r="A264" s="6" t="s">
        <v>331</v>
      </c>
      <c r="B264" s="2" t="s">
        <v>50</v>
      </c>
      <c r="C264" s="2" t="s">
        <v>17</v>
      </c>
      <c r="D264" s="2">
        <v>2</v>
      </c>
      <c r="E264" s="6" t="s">
        <v>498</v>
      </c>
      <c r="F264" s="2" t="str">
        <f t="shared" si="24"/>
        <v>B</v>
      </c>
      <c r="G264" s="2">
        <v>5</v>
      </c>
      <c r="H264" s="2" t="str">
        <f t="shared" si="25"/>
        <v>C</v>
      </c>
      <c r="I264" s="2">
        <v>3</v>
      </c>
      <c r="J264" s="2">
        <f t="shared" si="26"/>
        <v>2</v>
      </c>
      <c r="K264" s="2" t="str">
        <f t="shared" si="27"/>
        <v>A</v>
      </c>
      <c r="L264" s="2" t="str">
        <f t="shared" si="28"/>
        <v>B</v>
      </c>
      <c r="M264" s="2" t="s">
        <v>26</v>
      </c>
      <c r="N264" s="2">
        <f t="shared" si="29"/>
        <v>1</v>
      </c>
      <c r="O264" s="2" t="s">
        <v>22</v>
      </c>
      <c r="P264" s="2">
        <v>160</v>
      </c>
    </row>
    <row r="265" ht="23" customHeight="1" spans="1:16">
      <c r="A265" s="6" t="s">
        <v>331</v>
      </c>
      <c r="B265" s="2" t="s">
        <v>50</v>
      </c>
      <c r="C265" s="2" t="s">
        <v>23</v>
      </c>
      <c r="D265" s="2">
        <v>2</v>
      </c>
      <c r="E265" s="6" t="s">
        <v>498</v>
      </c>
      <c r="F265" s="2" t="str">
        <f t="shared" si="24"/>
        <v>C</v>
      </c>
      <c r="G265" s="2">
        <v>2</v>
      </c>
      <c r="H265" s="2" t="str">
        <f t="shared" si="25"/>
        <v>B</v>
      </c>
      <c r="I265" s="2">
        <v>5</v>
      </c>
      <c r="J265" s="2">
        <f t="shared" si="26"/>
        <v>-3</v>
      </c>
      <c r="K265" s="2" t="str">
        <f t="shared" si="27"/>
        <v>B</v>
      </c>
      <c r="L265" s="2" t="str">
        <f t="shared" si="28"/>
        <v>B</v>
      </c>
      <c r="M265" s="2" t="s">
        <v>26</v>
      </c>
      <c r="N265" s="2">
        <f t="shared" si="29"/>
        <v>1</v>
      </c>
      <c r="O265" s="2" t="s">
        <v>26</v>
      </c>
      <c r="P265" s="2">
        <v>161</v>
      </c>
    </row>
    <row r="266" ht="23" customHeight="1" spans="1:16">
      <c r="A266" s="6" t="s">
        <v>331</v>
      </c>
      <c r="B266" s="2" t="s">
        <v>50</v>
      </c>
      <c r="C266" s="2" t="s">
        <v>17</v>
      </c>
      <c r="D266" s="2">
        <v>3</v>
      </c>
      <c r="E266" s="6" t="s">
        <v>499</v>
      </c>
      <c r="F266" s="2" t="str">
        <f t="shared" si="24"/>
        <v>B</v>
      </c>
      <c r="G266" s="2">
        <v>5</v>
      </c>
      <c r="H266" s="2" t="str">
        <f t="shared" si="25"/>
        <v>C</v>
      </c>
      <c r="I266" s="2">
        <v>4</v>
      </c>
      <c r="J266" s="2">
        <f t="shared" si="26"/>
        <v>1</v>
      </c>
      <c r="K266" s="2" t="str">
        <f t="shared" si="27"/>
        <v>A</v>
      </c>
      <c r="L266" s="2" t="str">
        <f t="shared" si="28"/>
        <v>B</v>
      </c>
      <c r="M266" s="2" t="s">
        <v>26</v>
      </c>
      <c r="N266" s="2">
        <f t="shared" si="29"/>
        <v>1</v>
      </c>
      <c r="O266" s="2" t="s">
        <v>22</v>
      </c>
      <c r="P266" s="2">
        <v>160</v>
      </c>
    </row>
    <row r="267" ht="23" customHeight="1" spans="1:16">
      <c r="A267" s="6" t="s">
        <v>331</v>
      </c>
      <c r="B267" s="2" t="s">
        <v>50</v>
      </c>
      <c r="C267" s="2" t="s">
        <v>23</v>
      </c>
      <c r="D267" s="2">
        <v>3</v>
      </c>
      <c r="E267" s="6" t="s">
        <v>499</v>
      </c>
      <c r="F267" s="2" t="str">
        <f t="shared" si="24"/>
        <v>C</v>
      </c>
      <c r="G267" s="2">
        <v>4</v>
      </c>
      <c r="H267" s="2" t="str">
        <f t="shared" si="25"/>
        <v>B</v>
      </c>
      <c r="I267" s="2">
        <v>5</v>
      </c>
      <c r="J267" s="2">
        <f t="shared" si="26"/>
        <v>-1</v>
      </c>
      <c r="K267" s="2" t="str">
        <f t="shared" si="27"/>
        <v>B</v>
      </c>
      <c r="L267" s="2" t="str">
        <f t="shared" si="28"/>
        <v>B</v>
      </c>
      <c r="M267" s="2" t="s">
        <v>26</v>
      </c>
      <c r="N267" s="2">
        <f t="shared" si="29"/>
        <v>1</v>
      </c>
      <c r="O267" s="2" t="s">
        <v>26</v>
      </c>
      <c r="P267" s="2">
        <v>161</v>
      </c>
    </row>
    <row r="268" ht="23" customHeight="1" spans="1:16">
      <c r="A268" s="6" t="s">
        <v>331</v>
      </c>
      <c r="B268" s="2" t="s">
        <v>50</v>
      </c>
      <c r="C268" s="2" t="s">
        <v>17</v>
      </c>
      <c r="D268" s="2">
        <v>4</v>
      </c>
      <c r="E268" s="6" t="s">
        <v>500</v>
      </c>
      <c r="F268" s="2" t="str">
        <f t="shared" si="24"/>
        <v>B</v>
      </c>
      <c r="G268" s="2">
        <v>5</v>
      </c>
      <c r="H268" s="2" t="str">
        <f t="shared" si="25"/>
        <v>C</v>
      </c>
      <c r="I268" s="2">
        <v>4</v>
      </c>
      <c r="J268" s="2">
        <f t="shared" si="26"/>
        <v>1</v>
      </c>
      <c r="K268" s="2" t="str">
        <f t="shared" si="27"/>
        <v>A</v>
      </c>
      <c r="L268" s="2" t="str">
        <f t="shared" si="28"/>
        <v>B</v>
      </c>
      <c r="M268" s="2" t="s">
        <v>26</v>
      </c>
      <c r="N268" s="2">
        <f t="shared" si="29"/>
        <v>1</v>
      </c>
      <c r="O268" s="2" t="s">
        <v>22</v>
      </c>
      <c r="P268" s="2">
        <v>160</v>
      </c>
    </row>
    <row r="269" ht="23" customHeight="1" spans="1:16">
      <c r="A269" s="6" t="s">
        <v>331</v>
      </c>
      <c r="B269" s="2" t="s">
        <v>50</v>
      </c>
      <c r="C269" s="2" t="s">
        <v>23</v>
      </c>
      <c r="D269" s="2">
        <v>4</v>
      </c>
      <c r="E269" s="6" t="s">
        <v>500</v>
      </c>
      <c r="F269" s="2" t="str">
        <f t="shared" si="24"/>
        <v>C</v>
      </c>
      <c r="G269" s="2">
        <v>3</v>
      </c>
      <c r="H269" s="2" t="str">
        <f t="shared" si="25"/>
        <v>B</v>
      </c>
      <c r="I269" s="2">
        <v>5</v>
      </c>
      <c r="J269" s="2">
        <f t="shared" si="26"/>
        <v>-2</v>
      </c>
      <c r="K269" s="2" t="str">
        <f t="shared" si="27"/>
        <v>B</v>
      </c>
      <c r="L269" s="2" t="str">
        <f t="shared" si="28"/>
        <v>B</v>
      </c>
      <c r="M269" s="2" t="s">
        <v>26</v>
      </c>
      <c r="N269" s="2">
        <f t="shared" si="29"/>
        <v>1</v>
      </c>
      <c r="O269" s="2" t="s">
        <v>26</v>
      </c>
      <c r="P269" s="2">
        <v>161</v>
      </c>
    </row>
    <row r="270" ht="23" customHeight="1" spans="1:16">
      <c r="A270" s="6" t="s">
        <v>331</v>
      </c>
      <c r="B270" s="2" t="s">
        <v>50</v>
      </c>
      <c r="C270" s="2" t="s">
        <v>17</v>
      </c>
      <c r="D270" s="2">
        <v>5</v>
      </c>
      <c r="E270" s="6" t="s">
        <v>501</v>
      </c>
      <c r="F270" s="2" t="str">
        <f t="shared" si="24"/>
        <v>B</v>
      </c>
      <c r="G270" s="2">
        <v>5</v>
      </c>
      <c r="H270" s="2" t="str">
        <f t="shared" si="25"/>
        <v>C</v>
      </c>
      <c r="I270" s="2">
        <v>5</v>
      </c>
      <c r="J270" s="2">
        <f t="shared" si="26"/>
        <v>0</v>
      </c>
      <c r="K270" s="2" t="str">
        <f t="shared" si="27"/>
        <v>C</v>
      </c>
      <c r="L270" s="2" t="str">
        <f t="shared" si="28"/>
        <v>D(平局)</v>
      </c>
      <c r="M270" s="2" t="s">
        <v>26</v>
      </c>
      <c r="N270" s="2">
        <f t="shared" si="29"/>
        <v>0</v>
      </c>
      <c r="O270" s="2" t="s">
        <v>22</v>
      </c>
      <c r="P270" s="2">
        <v>160</v>
      </c>
    </row>
    <row r="271" ht="23" customHeight="1" spans="1:16">
      <c r="A271" s="6" t="s">
        <v>331</v>
      </c>
      <c r="B271" s="2" t="s">
        <v>50</v>
      </c>
      <c r="C271" s="2" t="s">
        <v>23</v>
      </c>
      <c r="D271" s="2">
        <v>5</v>
      </c>
      <c r="E271" s="6" t="s">
        <v>501</v>
      </c>
      <c r="F271" s="2" t="str">
        <f t="shared" si="24"/>
        <v>C</v>
      </c>
      <c r="G271" s="2">
        <v>5</v>
      </c>
      <c r="H271" s="2" t="str">
        <f t="shared" si="25"/>
        <v>B</v>
      </c>
      <c r="I271" s="2">
        <v>5</v>
      </c>
      <c r="J271" s="2">
        <f t="shared" si="26"/>
        <v>0</v>
      </c>
      <c r="K271" s="2" t="str">
        <f t="shared" si="27"/>
        <v>C</v>
      </c>
      <c r="L271" s="2" t="str">
        <f t="shared" si="28"/>
        <v>D(平局)</v>
      </c>
      <c r="M271" s="2" t="s">
        <v>26</v>
      </c>
      <c r="N271" s="2">
        <f t="shared" si="29"/>
        <v>0</v>
      </c>
      <c r="O271" s="2" t="s">
        <v>26</v>
      </c>
      <c r="P271" s="2">
        <v>161</v>
      </c>
    </row>
    <row r="272" ht="23" customHeight="1" spans="1:16">
      <c r="A272" s="6" t="s">
        <v>369</v>
      </c>
      <c r="B272" s="2" t="s">
        <v>15</v>
      </c>
      <c r="C272" s="2" t="s">
        <v>17</v>
      </c>
      <c r="D272" s="2">
        <v>1</v>
      </c>
      <c r="E272" s="6" t="s">
        <v>497</v>
      </c>
      <c r="F272" s="2" t="str">
        <f t="shared" si="24"/>
        <v>A</v>
      </c>
      <c r="G272" s="2">
        <v>4</v>
      </c>
      <c r="H272" s="2" t="str">
        <f t="shared" si="25"/>
        <v>B</v>
      </c>
      <c r="I272" s="2">
        <v>5</v>
      </c>
      <c r="J272" s="2">
        <f t="shared" si="26"/>
        <v>-1</v>
      </c>
      <c r="K272" s="2" t="str">
        <f t="shared" si="27"/>
        <v>B</v>
      </c>
      <c r="L272" s="2" t="str">
        <f t="shared" si="28"/>
        <v>B</v>
      </c>
      <c r="M272" s="2" t="s">
        <v>26</v>
      </c>
      <c r="N272" s="2">
        <f t="shared" si="29"/>
        <v>1</v>
      </c>
      <c r="O272" s="2" t="s">
        <v>26</v>
      </c>
      <c r="P272" s="2">
        <v>166</v>
      </c>
    </row>
    <row r="273" ht="23" customHeight="1" spans="1:16">
      <c r="A273" s="6" t="s">
        <v>369</v>
      </c>
      <c r="B273" s="2" t="s">
        <v>15</v>
      </c>
      <c r="C273" s="2" t="s">
        <v>23</v>
      </c>
      <c r="D273" s="2">
        <v>1</v>
      </c>
      <c r="E273" s="6" t="s">
        <v>497</v>
      </c>
      <c r="F273" s="2" t="str">
        <f t="shared" si="24"/>
        <v>B</v>
      </c>
      <c r="G273" s="2">
        <v>5</v>
      </c>
      <c r="H273" s="2" t="str">
        <f t="shared" si="25"/>
        <v>A</v>
      </c>
      <c r="I273" s="2">
        <v>4</v>
      </c>
      <c r="J273" s="2">
        <f t="shared" si="26"/>
        <v>1</v>
      </c>
      <c r="K273" s="2" t="str">
        <f t="shared" si="27"/>
        <v>A</v>
      </c>
      <c r="L273" s="2" t="str">
        <f t="shared" si="28"/>
        <v>B</v>
      </c>
      <c r="M273" s="2" t="s">
        <v>26</v>
      </c>
      <c r="N273" s="2">
        <f t="shared" si="29"/>
        <v>1</v>
      </c>
      <c r="O273" s="2" t="s">
        <v>22</v>
      </c>
      <c r="P273" s="2">
        <v>167</v>
      </c>
    </row>
    <row r="274" ht="23" customHeight="1" spans="1:16">
      <c r="A274" s="6" t="s">
        <v>369</v>
      </c>
      <c r="B274" s="2" t="s">
        <v>15</v>
      </c>
      <c r="C274" s="2" t="s">
        <v>17</v>
      </c>
      <c r="D274" s="2">
        <v>2</v>
      </c>
      <c r="E274" s="6" t="s">
        <v>498</v>
      </c>
      <c r="F274" s="2" t="str">
        <f t="shared" si="24"/>
        <v>A</v>
      </c>
      <c r="G274" s="2">
        <v>3</v>
      </c>
      <c r="H274" s="2" t="str">
        <f t="shared" si="25"/>
        <v>B</v>
      </c>
      <c r="I274" s="2">
        <v>5</v>
      </c>
      <c r="J274" s="2">
        <f t="shared" si="26"/>
        <v>-2</v>
      </c>
      <c r="K274" s="2" t="str">
        <f t="shared" si="27"/>
        <v>B</v>
      </c>
      <c r="L274" s="2" t="str">
        <f t="shared" si="28"/>
        <v>B</v>
      </c>
      <c r="M274" s="2" t="s">
        <v>26</v>
      </c>
      <c r="N274" s="2">
        <f t="shared" si="29"/>
        <v>1</v>
      </c>
      <c r="O274" s="2" t="s">
        <v>26</v>
      </c>
      <c r="P274" s="2">
        <v>166</v>
      </c>
    </row>
    <row r="275" ht="23" customHeight="1" spans="1:16">
      <c r="A275" s="6" t="s">
        <v>369</v>
      </c>
      <c r="B275" s="2" t="s">
        <v>15</v>
      </c>
      <c r="C275" s="2" t="s">
        <v>23</v>
      </c>
      <c r="D275" s="2">
        <v>2</v>
      </c>
      <c r="E275" s="6" t="s">
        <v>498</v>
      </c>
      <c r="F275" s="2" t="str">
        <f t="shared" si="24"/>
        <v>B</v>
      </c>
      <c r="G275" s="2">
        <v>5</v>
      </c>
      <c r="H275" s="2" t="str">
        <f t="shared" si="25"/>
        <v>A</v>
      </c>
      <c r="I275" s="2">
        <v>3</v>
      </c>
      <c r="J275" s="2">
        <f t="shared" si="26"/>
        <v>2</v>
      </c>
      <c r="K275" s="2" t="str">
        <f t="shared" si="27"/>
        <v>A</v>
      </c>
      <c r="L275" s="2" t="str">
        <f t="shared" si="28"/>
        <v>B</v>
      </c>
      <c r="M275" s="2" t="s">
        <v>26</v>
      </c>
      <c r="N275" s="2">
        <f t="shared" si="29"/>
        <v>1</v>
      </c>
      <c r="O275" s="2" t="s">
        <v>22</v>
      </c>
      <c r="P275" s="2">
        <v>167</v>
      </c>
    </row>
    <row r="276" ht="23" customHeight="1" spans="1:16">
      <c r="A276" s="6" t="s">
        <v>369</v>
      </c>
      <c r="B276" s="2" t="s">
        <v>15</v>
      </c>
      <c r="C276" s="2" t="s">
        <v>17</v>
      </c>
      <c r="D276" s="2">
        <v>3</v>
      </c>
      <c r="E276" s="6" t="s">
        <v>499</v>
      </c>
      <c r="F276" s="2" t="str">
        <f t="shared" si="24"/>
        <v>A</v>
      </c>
      <c r="G276" s="2">
        <v>4</v>
      </c>
      <c r="H276" s="2" t="str">
        <f t="shared" si="25"/>
        <v>B</v>
      </c>
      <c r="I276" s="2">
        <v>5</v>
      </c>
      <c r="J276" s="2">
        <f t="shared" si="26"/>
        <v>-1</v>
      </c>
      <c r="K276" s="2" t="str">
        <f t="shared" si="27"/>
        <v>B</v>
      </c>
      <c r="L276" s="2" t="str">
        <f t="shared" si="28"/>
        <v>B</v>
      </c>
      <c r="M276" s="2" t="s">
        <v>26</v>
      </c>
      <c r="N276" s="2">
        <f t="shared" si="29"/>
        <v>1</v>
      </c>
      <c r="O276" s="2" t="s">
        <v>26</v>
      </c>
      <c r="P276" s="2">
        <v>166</v>
      </c>
    </row>
    <row r="277" ht="23" customHeight="1" spans="1:16">
      <c r="A277" s="6" t="s">
        <v>369</v>
      </c>
      <c r="B277" s="2" t="s">
        <v>15</v>
      </c>
      <c r="C277" s="2" t="s">
        <v>23</v>
      </c>
      <c r="D277" s="2">
        <v>3</v>
      </c>
      <c r="E277" s="6" t="s">
        <v>499</v>
      </c>
      <c r="F277" s="2" t="str">
        <f t="shared" si="24"/>
        <v>B</v>
      </c>
      <c r="G277" s="2">
        <v>5</v>
      </c>
      <c r="H277" s="2" t="str">
        <f t="shared" si="25"/>
        <v>A</v>
      </c>
      <c r="I277" s="2">
        <v>5</v>
      </c>
      <c r="J277" s="2">
        <f t="shared" si="26"/>
        <v>0</v>
      </c>
      <c r="K277" s="2" t="str">
        <f t="shared" si="27"/>
        <v>C</v>
      </c>
      <c r="L277" s="2" t="str">
        <f t="shared" si="28"/>
        <v>D(平局)</v>
      </c>
      <c r="M277" s="2" t="s">
        <v>26</v>
      </c>
      <c r="N277" s="2">
        <f t="shared" si="29"/>
        <v>0</v>
      </c>
      <c r="O277" s="2" t="s">
        <v>22</v>
      </c>
      <c r="P277" s="2">
        <v>167</v>
      </c>
    </row>
    <row r="278" ht="23" customHeight="1" spans="1:16">
      <c r="A278" s="6" t="s">
        <v>369</v>
      </c>
      <c r="B278" s="2" t="s">
        <v>15</v>
      </c>
      <c r="C278" s="2" t="s">
        <v>17</v>
      </c>
      <c r="D278" s="2">
        <v>4</v>
      </c>
      <c r="E278" s="6" t="s">
        <v>500</v>
      </c>
      <c r="F278" s="2" t="str">
        <f t="shared" si="24"/>
        <v>A</v>
      </c>
      <c r="G278" s="2">
        <v>4</v>
      </c>
      <c r="H278" s="2" t="str">
        <f t="shared" si="25"/>
        <v>B</v>
      </c>
      <c r="I278" s="2">
        <v>5</v>
      </c>
      <c r="J278" s="2">
        <f t="shared" si="26"/>
        <v>-1</v>
      </c>
      <c r="K278" s="2" t="str">
        <f t="shared" si="27"/>
        <v>B</v>
      </c>
      <c r="L278" s="2" t="str">
        <f t="shared" si="28"/>
        <v>B</v>
      </c>
      <c r="M278" s="2" t="s">
        <v>26</v>
      </c>
      <c r="N278" s="2">
        <f t="shared" si="29"/>
        <v>1</v>
      </c>
      <c r="O278" s="2" t="s">
        <v>26</v>
      </c>
      <c r="P278" s="2">
        <v>166</v>
      </c>
    </row>
    <row r="279" ht="23" customHeight="1" spans="1:16">
      <c r="A279" s="6" t="s">
        <v>369</v>
      </c>
      <c r="B279" s="2" t="s">
        <v>15</v>
      </c>
      <c r="C279" s="2" t="s">
        <v>23</v>
      </c>
      <c r="D279" s="2">
        <v>4</v>
      </c>
      <c r="E279" s="6" t="s">
        <v>500</v>
      </c>
      <c r="F279" s="2" t="str">
        <f t="shared" si="24"/>
        <v>B</v>
      </c>
      <c r="G279" s="2">
        <v>5</v>
      </c>
      <c r="H279" s="2" t="str">
        <f t="shared" si="25"/>
        <v>A</v>
      </c>
      <c r="I279" s="2">
        <v>4</v>
      </c>
      <c r="J279" s="2">
        <f t="shared" si="26"/>
        <v>1</v>
      </c>
      <c r="K279" s="2" t="str">
        <f t="shared" si="27"/>
        <v>A</v>
      </c>
      <c r="L279" s="2" t="str">
        <f t="shared" si="28"/>
        <v>B</v>
      </c>
      <c r="M279" s="2" t="s">
        <v>26</v>
      </c>
      <c r="N279" s="2">
        <f t="shared" si="29"/>
        <v>1</v>
      </c>
      <c r="O279" s="2" t="s">
        <v>22</v>
      </c>
      <c r="P279" s="2">
        <v>167</v>
      </c>
    </row>
    <row r="280" ht="23" customHeight="1" spans="1:16">
      <c r="A280" s="6" t="s">
        <v>369</v>
      </c>
      <c r="B280" s="2" t="s">
        <v>15</v>
      </c>
      <c r="C280" s="2" t="s">
        <v>17</v>
      </c>
      <c r="D280" s="2">
        <v>5</v>
      </c>
      <c r="E280" s="6" t="s">
        <v>501</v>
      </c>
      <c r="F280" s="2" t="str">
        <f t="shared" si="24"/>
        <v>A</v>
      </c>
      <c r="G280" s="2">
        <v>5</v>
      </c>
      <c r="H280" s="2" t="str">
        <f t="shared" si="25"/>
        <v>B</v>
      </c>
      <c r="I280" s="2">
        <v>5</v>
      </c>
      <c r="J280" s="2">
        <f t="shared" si="26"/>
        <v>0</v>
      </c>
      <c r="K280" s="2" t="str">
        <f t="shared" si="27"/>
        <v>C</v>
      </c>
      <c r="L280" s="2" t="str">
        <f t="shared" si="28"/>
        <v>D(平局)</v>
      </c>
      <c r="M280" s="2" t="s">
        <v>26</v>
      </c>
      <c r="N280" s="2">
        <f t="shared" si="29"/>
        <v>0</v>
      </c>
      <c r="O280" s="2" t="s">
        <v>26</v>
      </c>
      <c r="P280" s="2">
        <v>166</v>
      </c>
    </row>
    <row r="281" ht="23" customHeight="1" spans="1:16">
      <c r="A281" s="6" t="s">
        <v>369</v>
      </c>
      <c r="B281" s="2" t="s">
        <v>15</v>
      </c>
      <c r="C281" s="2" t="s">
        <v>23</v>
      </c>
      <c r="D281" s="2">
        <v>5</v>
      </c>
      <c r="E281" s="6" t="s">
        <v>501</v>
      </c>
      <c r="F281" s="2" t="str">
        <f t="shared" si="24"/>
        <v>B</v>
      </c>
      <c r="G281" s="2">
        <v>5</v>
      </c>
      <c r="H281" s="2" t="str">
        <f t="shared" si="25"/>
        <v>A</v>
      </c>
      <c r="I281" s="2">
        <v>4</v>
      </c>
      <c r="J281" s="2">
        <f t="shared" si="26"/>
        <v>1</v>
      </c>
      <c r="K281" s="2" t="str">
        <f t="shared" si="27"/>
        <v>A</v>
      </c>
      <c r="L281" s="2" t="str">
        <f t="shared" si="28"/>
        <v>B</v>
      </c>
      <c r="M281" s="2" t="s">
        <v>26</v>
      </c>
      <c r="N281" s="2">
        <f t="shared" si="29"/>
        <v>1</v>
      </c>
      <c r="O281" s="2" t="s">
        <v>22</v>
      </c>
      <c r="P281" s="2">
        <v>167</v>
      </c>
    </row>
    <row r="282" ht="23" customHeight="1" spans="1:16">
      <c r="A282" s="6" t="s">
        <v>369</v>
      </c>
      <c r="B282" s="2" t="s">
        <v>37</v>
      </c>
      <c r="C282" s="2" t="s">
        <v>17</v>
      </c>
      <c r="D282" s="2">
        <v>1</v>
      </c>
      <c r="E282" s="6" t="s">
        <v>497</v>
      </c>
      <c r="F282" s="2" t="str">
        <f t="shared" si="24"/>
        <v>A</v>
      </c>
      <c r="G282" s="2">
        <v>5</v>
      </c>
      <c r="H282" s="2" t="str">
        <f t="shared" si="25"/>
        <v>C</v>
      </c>
      <c r="I282" s="2">
        <v>3</v>
      </c>
      <c r="J282" s="2">
        <f t="shared" si="26"/>
        <v>2</v>
      </c>
      <c r="K282" s="2" t="str">
        <f t="shared" si="27"/>
        <v>A</v>
      </c>
      <c r="L282" s="2" t="str">
        <f t="shared" si="28"/>
        <v>A</v>
      </c>
      <c r="M282" s="2" t="s">
        <v>22</v>
      </c>
      <c r="N282" s="2">
        <f t="shared" si="29"/>
        <v>1</v>
      </c>
      <c r="O282" s="2" t="s">
        <v>22</v>
      </c>
      <c r="P282" s="2">
        <v>172</v>
      </c>
    </row>
    <row r="283" ht="23" customHeight="1" spans="1:16">
      <c r="A283" s="6" t="s">
        <v>369</v>
      </c>
      <c r="B283" s="2" t="s">
        <v>37</v>
      </c>
      <c r="C283" s="2" t="s">
        <v>23</v>
      </c>
      <c r="D283" s="2">
        <v>1</v>
      </c>
      <c r="E283" s="6" t="s">
        <v>497</v>
      </c>
      <c r="F283" s="2" t="str">
        <f t="shared" si="24"/>
        <v>C</v>
      </c>
      <c r="G283" s="2">
        <v>3</v>
      </c>
      <c r="H283" s="2" t="str">
        <f t="shared" si="25"/>
        <v>A</v>
      </c>
      <c r="I283" s="2">
        <v>5</v>
      </c>
      <c r="J283" s="2">
        <f t="shared" si="26"/>
        <v>-2</v>
      </c>
      <c r="K283" s="2" t="str">
        <f t="shared" si="27"/>
        <v>B</v>
      </c>
      <c r="L283" s="2" t="str">
        <f t="shared" si="28"/>
        <v>A</v>
      </c>
      <c r="M283" s="2" t="s">
        <v>22</v>
      </c>
      <c r="N283" s="2">
        <f t="shared" si="29"/>
        <v>1</v>
      </c>
      <c r="O283" s="2" t="s">
        <v>26</v>
      </c>
      <c r="P283" s="2">
        <v>173</v>
      </c>
    </row>
    <row r="284" ht="23" customHeight="1" spans="1:16">
      <c r="A284" s="6" t="s">
        <v>369</v>
      </c>
      <c r="B284" s="2" t="s">
        <v>37</v>
      </c>
      <c r="C284" s="2" t="s">
        <v>17</v>
      </c>
      <c r="D284" s="2">
        <v>2</v>
      </c>
      <c r="E284" s="6" t="s">
        <v>498</v>
      </c>
      <c r="F284" s="2" t="str">
        <f t="shared" si="24"/>
        <v>A</v>
      </c>
      <c r="G284" s="2">
        <v>5</v>
      </c>
      <c r="H284" s="2" t="str">
        <f t="shared" si="25"/>
        <v>C</v>
      </c>
      <c r="I284" s="2">
        <v>2</v>
      </c>
      <c r="J284" s="2">
        <f t="shared" si="26"/>
        <v>3</v>
      </c>
      <c r="K284" s="2" t="str">
        <f t="shared" si="27"/>
        <v>A</v>
      </c>
      <c r="L284" s="2" t="str">
        <f t="shared" si="28"/>
        <v>A</v>
      </c>
      <c r="M284" s="2" t="s">
        <v>22</v>
      </c>
      <c r="N284" s="2">
        <f t="shared" si="29"/>
        <v>1</v>
      </c>
      <c r="O284" s="2" t="s">
        <v>22</v>
      </c>
      <c r="P284" s="2">
        <v>172</v>
      </c>
    </row>
    <row r="285" ht="23" customHeight="1" spans="1:16">
      <c r="A285" s="6" t="s">
        <v>369</v>
      </c>
      <c r="B285" s="2" t="s">
        <v>37</v>
      </c>
      <c r="C285" s="2" t="s">
        <v>23</v>
      </c>
      <c r="D285" s="2">
        <v>2</v>
      </c>
      <c r="E285" s="6" t="s">
        <v>498</v>
      </c>
      <c r="F285" s="2" t="str">
        <f t="shared" si="24"/>
        <v>C</v>
      </c>
      <c r="G285" s="2">
        <v>2</v>
      </c>
      <c r="H285" s="2" t="str">
        <f t="shared" si="25"/>
        <v>A</v>
      </c>
      <c r="I285" s="2">
        <v>5</v>
      </c>
      <c r="J285" s="2">
        <f t="shared" si="26"/>
        <v>-3</v>
      </c>
      <c r="K285" s="2" t="str">
        <f t="shared" si="27"/>
        <v>B</v>
      </c>
      <c r="L285" s="2" t="str">
        <f t="shared" si="28"/>
        <v>A</v>
      </c>
      <c r="M285" s="2" t="s">
        <v>22</v>
      </c>
      <c r="N285" s="2">
        <f t="shared" si="29"/>
        <v>1</v>
      </c>
      <c r="O285" s="2" t="s">
        <v>26</v>
      </c>
      <c r="P285" s="2">
        <v>173</v>
      </c>
    </row>
    <row r="286" ht="23" customHeight="1" spans="1:16">
      <c r="A286" s="6" t="s">
        <v>369</v>
      </c>
      <c r="B286" s="2" t="s">
        <v>37</v>
      </c>
      <c r="C286" s="2" t="s">
        <v>17</v>
      </c>
      <c r="D286" s="2">
        <v>3</v>
      </c>
      <c r="E286" s="6" t="s">
        <v>499</v>
      </c>
      <c r="F286" s="2" t="str">
        <f t="shared" si="24"/>
        <v>A</v>
      </c>
      <c r="G286" s="2">
        <v>5</v>
      </c>
      <c r="H286" s="2" t="str">
        <f t="shared" si="25"/>
        <v>C</v>
      </c>
      <c r="I286" s="2">
        <v>3</v>
      </c>
      <c r="J286" s="2">
        <f t="shared" si="26"/>
        <v>2</v>
      </c>
      <c r="K286" s="2" t="str">
        <f t="shared" si="27"/>
        <v>A</v>
      </c>
      <c r="L286" s="2" t="str">
        <f t="shared" si="28"/>
        <v>A</v>
      </c>
      <c r="M286" s="2" t="s">
        <v>22</v>
      </c>
      <c r="N286" s="2">
        <f t="shared" si="29"/>
        <v>1</v>
      </c>
      <c r="O286" s="2" t="s">
        <v>22</v>
      </c>
      <c r="P286" s="2">
        <v>172</v>
      </c>
    </row>
    <row r="287" ht="23" customHeight="1" spans="1:16">
      <c r="A287" s="6" t="s">
        <v>369</v>
      </c>
      <c r="B287" s="2" t="s">
        <v>37</v>
      </c>
      <c r="C287" s="2" t="s">
        <v>23</v>
      </c>
      <c r="D287" s="2">
        <v>3</v>
      </c>
      <c r="E287" s="6" t="s">
        <v>499</v>
      </c>
      <c r="F287" s="2" t="str">
        <f t="shared" si="24"/>
        <v>C</v>
      </c>
      <c r="G287" s="2">
        <v>2</v>
      </c>
      <c r="H287" s="2" t="str">
        <f t="shared" si="25"/>
        <v>A</v>
      </c>
      <c r="I287" s="2">
        <v>5</v>
      </c>
      <c r="J287" s="2">
        <f t="shared" si="26"/>
        <v>-3</v>
      </c>
      <c r="K287" s="2" t="str">
        <f t="shared" si="27"/>
        <v>B</v>
      </c>
      <c r="L287" s="2" t="str">
        <f t="shared" si="28"/>
        <v>A</v>
      </c>
      <c r="M287" s="2" t="s">
        <v>22</v>
      </c>
      <c r="N287" s="2">
        <f t="shared" si="29"/>
        <v>1</v>
      </c>
      <c r="O287" s="2" t="s">
        <v>26</v>
      </c>
      <c r="P287" s="2">
        <v>173</v>
      </c>
    </row>
    <row r="288" ht="23" customHeight="1" spans="1:16">
      <c r="A288" s="6" t="s">
        <v>369</v>
      </c>
      <c r="B288" s="2" t="s">
        <v>37</v>
      </c>
      <c r="C288" s="2" t="s">
        <v>17</v>
      </c>
      <c r="D288" s="2">
        <v>4</v>
      </c>
      <c r="E288" s="6" t="s">
        <v>500</v>
      </c>
      <c r="F288" s="2" t="str">
        <f t="shared" si="24"/>
        <v>A</v>
      </c>
      <c r="G288" s="2">
        <v>5</v>
      </c>
      <c r="H288" s="2" t="str">
        <f t="shared" si="25"/>
        <v>C</v>
      </c>
      <c r="I288" s="2">
        <v>3</v>
      </c>
      <c r="J288" s="2">
        <f t="shared" si="26"/>
        <v>2</v>
      </c>
      <c r="K288" s="2" t="str">
        <f t="shared" si="27"/>
        <v>A</v>
      </c>
      <c r="L288" s="2" t="str">
        <f t="shared" si="28"/>
        <v>A</v>
      </c>
      <c r="M288" s="2" t="s">
        <v>22</v>
      </c>
      <c r="N288" s="2">
        <f t="shared" si="29"/>
        <v>1</v>
      </c>
      <c r="O288" s="2" t="s">
        <v>22</v>
      </c>
      <c r="P288" s="2">
        <v>172</v>
      </c>
    </row>
    <row r="289" ht="23" customHeight="1" spans="1:16">
      <c r="A289" s="6" t="s">
        <v>369</v>
      </c>
      <c r="B289" s="2" t="s">
        <v>37</v>
      </c>
      <c r="C289" s="2" t="s">
        <v>23</v>
      </c>
      <c r="D289" s="2">
        <v>4</v>
      </c>
      <c r="E289" s="6" t="s">
        <v>500</v>
      </c>
      <c r="F289" s="2" t="str">
        <f t="shared" si="24"/>
        <v>C</v>
      </c>
      <c r="G289" s="2">
        <v>3</v>
      </c>
      <c r="H289" s="2" t="str">
        <f t="shared" si="25"/>
        <v>A</v>
      </c>
      <c r="I289" s="2">
        <v>5</v>
      </c>
      <c r="J289" s="2">
        <f t="shared" si="26"/>
        <v>-2</v>
      </c>
      <c r="K289" s="2" t="str">
        <f t="shared" si="27"/>
        <v>B</v>
      </c>
      <c r="L289" s="2" t="str">
        <f t="shared" si="28"/>
        <v>A</v>
      </c>
      <c r="M289" s="2" t="s">
        <v>22</v>
      </c>
      <c r="N289" s="2">
        <f t="shared" si="29"/>
        <v>1</v>
      </c>
      <c r="O289" s="2" t="s">
        <v>26</v>
      </c>
      <c r="P289" s="2">
        <v>173</v>
      </c>
    </row>
    <row r="290" ht="23" customHeight="1" spans="1:16">
      <c r="A290" s="6" t="s">
        <v>369</v>
      </c>
      <c r="B290" s="2" t="s">
        <v>37</v>
      </c>
      <c r="C290" s="2" t="s">
        <v>17</v>
      </c>
      <c r="D290" s="2">
        <v>5</v>
      </c>
      <c r="E290" s="6" t="s">
        <v>501</v>
      </c>
      <c r="F290" s="2" t="str">
        <f t="shared" si="24"/>
        <v>A</v>
      </c>
      <c r="G290" s="2">
        <v>5</v>
      </c>
      <c r="H290" s="2" t="str">
        <f t="shared" si="25"/>
        <v>C</v>
      </c>
      <c r="I290" s="2">
        <v>2</v>
      </c>
      <c r="J290" s="2">
        <f t="shared" si="26"/>
        <v>3</v>
      </c>
      <c r="K290" s="2" t="str">
        <f t="shared" si="27"/>
        <v>A</v>
      </c>
      <c r="L290" s="2" t="str">
        <f t="shared" si="28"/>
        <v>A</v>
      </c>
      <c r="M290" s="2" t="s">
        <v>22</v>
      </c>
      <c r="N290" s="2">
        <f t="shared" si="29"/>
        <v>1</v>
      </c>
      <c r="O290" s="2" t="s">
        <v>22</v>
      </c>
      <c r="P290" s="2">
        <v>172</v>
      </c>
    </row>
    <row r="291" ht="23" customHeight="1" spans="1:16">
      <c r="A291" s="6" t="s">
        <v>369</v>
      </c>
      <c r="B291" s="2" t="s">
        <v>37</v>
      </c>
      <c r="C291" s="2" t="s">
        <v>23</v>
      </c>
      <c r="D291" s="2">
        <v>5</v>
      </c>
      <c r="E291" s="6" t="s">
        <v>501</v>
      </c>
      <c r="F291" s="2" t="str">
        <f t="shared" si="24"/>
        <v>C</v>
      </c>
      <c r="G291" s="2">
        <v>4</v>
      </c>
      <c r="H291" s="2" t="str">
        <f t="shared" si="25"/>
        <v>A</v>
      </c>
      <c r="I291" s="2">
        <v>5</v>
      </c>
      <c r="J291" s="2">
        <f t="shared" si="26"/>
        <v>-1</v>
      </c>
      <c r="K291" s="2" t="str">
        <f t="shared" si="27"/>
        <v>B</v>
      </c>
      <c r="L291" s="2" t="str">
        <f t="shared" si="28"/>
        <v>A</v>
      </c>
      <c r="M291" s="2" t="s">
        <v>22</v>
      </c>
      <c r="N291" s="2">
        <f t="shared" si="29"/>
        <v>1</v>
      </c>
      <c r="O291" s="2" t="s">
        <v>26</v>
      </c>
      <c r="P291" s="2">
        <v>173</v>
      </c>
    </row>
    <row r="292" ht="23" customHeight="1" spans="1:16">
      <c r="A292" s="6" t="s">
        <v>369</v>
      </c>
      <c r="B292" s="2" t="s">
        <v>50</v>
      </c>
      <c r="C292" s="2" t="s">
        <v>17</v>
      </c>
      <c r="D292" s="2">
        <v>1</v>
      </c>
      <c r="E292" s="6" t="s">
        <v>497</v>
      </c>
      <c r="F292" s="2" t="str">
        <f t="shared" si="24"/>
        <v>B</v>
      </c>
      <c r="G292" s="2">
        <v>5</v>
      </c>
      <c r="H292" s="2" t="str">
        <f t="shared" si="25"/>
        <v>C</v>
      </c>
      <c r="I292" s="2">
        <v>3</v>
      </c>
      <c r="J292" s="2">
        <f t="shared" si="26"/>
        <v>2</v>
      </c>
      <c r="K292" s="2" t="str">
        <f t="shared" si="27"/>
        <v>A</v>
      </c>
      <c r="L292" s="2" t="str">
        <f t="shared" si="28"/>
        <v>B</v>
      </c>
      <c r="M292" s="2" t="s">
        <v>26</v>
      </c>
      <c r="N292" s="2">
        <f t="shared" si="29"/>
        <v>1</v>
      </c>
      <c r="O292" s="2" t="s">
        <v>22</v>
      </c>
      <c r="P292" s="2">
        <v>178</v>
      </c>
    </row>
    <row r="293" ht="23" customHeight="1" spans="1:16">
      <c r="A293" s="6" t="s">
        <v>369</v>
      </c>
      <c r="B293" s="2" t="s">
        <v>50</v>
      </c>
      <c r="C293" s="2" t="s">
        <v>23</v>
      </c>
      <c r="D293" s="2">
        <v>1</v>
      </c>
      <c r="E293" s="6" t="s">
        <v>497</v>
      </c>
      <c r="F293" s="2" t="str">
        <f t="shared" si="24"/>
        <v>C</v>
      </c>
      <c r="G293" s="2">
        <v>3</v>
      </c>
      <c r="H293" s="2" t="str">
        <f t="shared" si="25"/>
        <v>B</v>
      </c>
      <c r="I293" s="2">
        <v>5</v>
      </c>
      <c r="J293" s="2">
        <f t="shared" si="26"/>
        <v>-2</v>
      </c>
      <c r="K293" s="2" t="str">
        <f t="shared" si="27"/>
        <v>B</v>
      </c>
      <c r="L293" s="2" t="str">
        <f t="shared" si="28"/>
        <v>B</v>
      </c>
      <c r="M293" s="2" t="s">
        <v>26</v>
      </c>
      <c r="N293" s="2">
        <f t="shared" si="29"/>
        <v>1</v>
      </c>
      <c r="O293" s="2" t="s">
        <v>26</v>
      </c>
      <c r="P293" s="2">
        <v>179</v>
      </c>
    </row>
    <row r="294" ht="23" customHeight="1" spans="1:16">
      <c r="A294" s="6" t="s">
        <v>369</v>
      </c>
      <c r="B294" s="2" t="s">
        <v>50</v>
      </c>
      <c r="C294" s="2" t="s">
        <v>17</v>
      </c>
      <c r="D294" s="2">
        <v>2</v>
      </c>
      <c r="E294" s="6" t="s">
        <v>498</v>
      </c>
      <c r="F294" s="2" t="str">
        <f t="shared" si="24"/>
        <v>B</v>
      </c>
      <c r="G294" s="2">
        <v>5</v>
      </c>
      <c r="H294" s="2" t="str">
        <f t="shared" si="25"/>
        <v>C</v>
      </c>
      <c r="I294" s="2">
        <v>2</v>
      </c>
      <c r="J294" s="2">
        <f t="shared" si="26"/>
        <v>3</v>
      </c>
      <c r="K294" s="2" t="str">
        <f t="shared" si="27"/>
        <v>A</v>
      </c>
      <c r="L294" s="2" t="str">
        <f t="shared" si="28"/>
        <v>B</v>
      </c>
      <c r="M294" s="2" t="s">
        <v>26</v>
      </c>
      <c r="N294" s="2">
        <f t="shared" si="29"/>
        <v>1</v>
      </c>
      <c r="O294" s="2" t="s">
        <v>22</v>
      </c>
      <c r="P294" s="2">
        <v>178</v>
      </c>
    </row>
    <row r="295" ht="23" customHeight="1" spans="1:16">
      <c r="A295" s="6" t="s">
        <v>369</v>
      </c>
      <c r="B295" s="2" t="s">
        <v>50</v>
      </c>
      <c r="C295" s="2" t="s">
        <v>23</v>
      </c>
      <c r="D295" s="2">
        <v>2</v>
      </c>
      <c r="E295" s="6" t="s">
        <v>498</v>
      </c>
      <c r="F295" s="2" t="str">
        <f t="shared" si="24"/>
        <v>C</v>
      </c>
      <c r="G295" s="2">
        <v>2</v>
      </c>
      <c r="H295" s="2" t="str">
        <f t="shared" si="25"/>
        <v>B</v>
      </c>
      <c r="I295" s="2">
        <v>5</v>
      </c>
      <c r="J295" s="2">
        <f t="shared" si="26"/>
        <v>-3</v>
      </c>
      <c r="K295" s="2" t="str">
        <f t="shared" si="27"/>
        <v>B</v>
      </c>
      <c r="L295" s="2" t="str">
        <f t="shared" si="28"/>
        <v>B</v>
      </c>
      <c r="M295" s="2" t="s">
        <v>26</v>
      </c>
      <c r="N295" s="2">
        <f t="shared" si="29"/>
        <v>1</v>
      </c>
      <c r="O295" s="2" t="s">
        <v>26</v>
      </c>
      <c r="P295" s="2">
        <v>179</v>
      </c>
    </row>
    <row r="296" ht="23" customHeight="1" spans="1:16">
      <c r="A296" s="6" t="s">
        <v>369</v>
      </c>
      <c r="B296" s="2" t="s">
        <v>50</v>
      </c>
      <c r="C296" s="2" t="s">
        <v>17</v>
      </c>
      <c r="D296" s="2">
        <v>3</v>
      </c>
      <c r="E296" s="6" t="s">
        <v>499</v>
      </c>
      <c r="F296" s="2" t="str">
        <f t="shared" si="24"/>
        <v>B</v>
      </c>
      <c r="G296" s="2">
        <v>5</v>
      </c>
      <c r="H296" s="2" t="str">
        <f t="shared" si="25"/>
        <v>C</v>
      </c>
      <c r="I296" s="2">
        <v>3</v>
      </c>
      <c r="J296" s="2">
        <f t="shared" si="26"/>
        <v>2</v>
      </c>
      <c r="K296" s="2" t="str">
        <f t="shared" si="27"/>
        <v>A</v>
      </c>
      <c r="L296" s="2" t="str">
        <f t="shared" si="28"/>
        <v>B</v>
      </c>
      <c r="M296" s="2" t="s">
        <v>26</v>
      </c>
      <c r="N296" s="2">
        <f t="shared" si="29"/>
        <v>1</v>
      </c>
      <c r="O296" s="2" t="s">
        <v>22</v>
      </c>
      <c r="P296" s="2">
        <v>178</v>
      </c>
    </row>
    <row r="297" ht="23" customHeight="1" spans="1:16">
      <c r="A297" s="6" t="s">
        <v>369</v>
      </c>
      <c r="B297" s="2" t="s">
        <v>50</v>
      </c>
      <c r="C297" s="2" t="s">
        <v>23</v>
      </c>
      <c r="D297" s="2">
        <v>3</v>
      </c>
      <c r="E297" s="6" t="s">
        <v>499</v>
      </c>
      <c r="F297" s="2" t="str">
        <f t="shared" si="24"/>
        <v>C</v>
      </c>
      <c r="G297" s="2">
        <v>2</v>
      </c>
      <c r="H297" s="2" t="str">
        <f t="shared" si="25"/>
        <v>B</v>
      </c>
      <c r="I297" s="2">
        <v>5</v>
      </c>
      <c r="J297" s="2">
        <f t="shared" si="26"/>
        <v>-3</v>
      </c>
      <c r="K297" s="2" t="str">
        <f t="shared" si="27"/>
        <v>B</v>
      </c>
      <c r="L297" s="2" t="str">
        <f t="shared" si="28"/>
        <v>B</v>
      </c>
      <c r="M297" s="2" t="s">
        <v>26</v>
      </c>
      <c r="N297" s="2">
        <f t="shared" si="29"/>
        <v>1</v>
      </c>
      <c r="O297" s="2" t="s">
        <v>26</v>
      </c>
      <c r="P297" s="2">
        <v>179</v>
      </c>
    </row>
    <row r="298" ht="23" customHeight="1" spans="1:16">
      <c r="A298" s="6" t="s">
        <v>369</v>
      </c>
      <c r="B298" s="2" t="s">
        <v>50</v>
      </c>
      <c r="C298" s="2" t="s">
        <v>17</v>
      </c>
      <c r="D298" s="2">
        <v>4</v>
      </c>
      <c r="E298" s="6" t="s">
        <v>500</v>
      </c>
      <c r="F298" s="2" t="str">
        <f t="shared" si="24"/>
        <v>B</v>
      </c>
      <c r="G298" s="2">
        <v>5</v>
      </c>
      <c r="H298" s="2" t="str">
        <f t="shared" si="25"/>
        <v>C</v>
      </c>
      <c r="I298" s="2">
        <v>3</v>
      </c>
      <c r="J298" s="2">
        <f t="shared" si="26"/>
        <v>2</v>
      </c>
      <c r="K298" s="2" t="str">
        <f t="shared" si="27"/>
        <v>A</v>
      </c>
      <c r="L298" s="2" t="str">
        <f t="shared" si="28"/>
        <v>B</v>
      </c>
      <c r="M298" s="2" t="s">
        <v>26</v>
      </c>
      <c r="N298" s="2">
        <f t="shared" si="29"/>
        <v>1</v>
      </c>
      <c r="O298" s="2" t="s">
        <v>22</v>
      </c>
      <c r="P298" s="2">
        <v>178</v>
      </c>
    </row>
    <row r="299" ht="23" customHeight="1" spans="1:16">
      <c r="A299" s="6" t="s">
        <v>369</v>
      </c>
      <c r="B299" s="2" t="s">
        <v>50</v>
      </c>
      <c r="C299" s="2" t="s">
        <v>23</v>
      </c>
      <c r="D299" s="2">
        <v>4</v>
      </c>
      <c r="E299" s="6" t="s">
        <v>500</v>
      </c>
      <c r="F299" s="2" t="str">
        <f t="shared" si="24"/>
        <v>C</v>
      </c>
      <c r="G299" s="2">
        <v>3</v>
      </c>
      <c r="H299" s="2" t="str">
        <f t="shared" si="25"/>
        <v>B</v>
      </c>
      <c r="I299" s="2">
        <v>5</v>
      </c>
      <c r="J299" s="2">
        <f t="shared" si="26"/>
        <v>-2</v>
      </c>
      <c r="K299" s="2" t="str">
        <f t="shared" si="27"/>
        <v>B</v>
      </c>
      <c r="L299" s="2" t="str">
        <f t="shared" si="28"/>
        <v>B</v>
      </c>
      <c r="M299" s="2" t="s">
        <v>26</v>
      </c>
      <c r="N299" s="2">
        <f t="shared" si="29"/>
        <v>1</v>
      </c>
      <c r="O299" s="2" t="s">
        <v>26</v>
      </c>
      <c r="P299" s="2">
        <v>179</v>
      </c>
    </row>
    <row r="300" ht="23" customHeight="1" spans="1:16">
      <c r="A300" s="6" t="s">
        <v>369</v>
      </c>
      <c r="B300" s="2" t="s">
        <v>50</v>
      </c>
      <c r="C300" s="2" t="s">
        <v>17</v>
      </c>
      <c r="D300" s="2">
        <v>5</v>
      </c>
      <c r="E300" s="6" t="s">
        <v>501</v>
      </c>
      <c r="F300" s="2" t="str">
        <f t="shared" si="24"/>
        <v>B</v>
      </c>
      <c r="G300" s="2">
        <v>5</v>
      </c>
      <c r="H300" s="2" t="str">
        <f t="shared" si="25"/>
        <v>C</v>
      </c>
      <c r="I300" s="2">
        <v>2</v>
      </c>
      <c r="J300" s="2">
        <f t="shared" si="26"/>
        <v>3</v>
      </c>
      <c r="K300" s="2" t="str">
        <f t="shared" si="27"/>
        <v>A</v>
      </c>
      <c r="L300" s="2" t="str">
        <f t="shared" si="28"/>
        <v>B</v>
      </c>
      <c r="M300" s="2" t="s">
        <v>26</v>
      </c>
      <c r="N300" s="2">
        <f t="shared" si="29"/>
        <v>1</v>
      </c>
      <c r="O300" s="2" t="s">
        <v>22</v>
      </c>
      <c r="P300" s="2">
        <v>178</v>
      </c>
    </row>
    <row r="301" ht="23" customHeight="1" spans="1:16">
      <c r="A301" s="6" t="s">
        <v>369</v>
      </c>
      <c r="B301" s="2" t="s">
        <v>50</v>
      </c>
      <c r="C301" s="2" t="s">
        <v>23</v>
      </c>
      <c r="D301" s="2">
        <v>5</v>
      </c>
      <c r="E301" s="6" t="s">
        <v>501</v>
      </c>
      <c r="F301" s="2" t="str">
        <f t="shared" si="24"/>
        <v>C</v>
      </c>
      <c r="G301" s="2">
        <v>2</v>
      </c>
      <c r="H301" s="2" t="str">
        <f t="shared" si="25"/>
        <v>B</v>
      </c>
      <c r="I301" s="2">
        <v>5</v>
      </c>
      <c r="J301" s="2">
        <f t="shared" si="26"/>
        <v>-3</v>
      </c>
      <c r="K301" s="2" t="str">
        <f t="shared" si="27"/>
        <v>B</v>
      </c>
      <c r="L301" s="2" t="str">
        <f t="shared" si="28"/>
        <v>B</v>
      </c>
      <c r="M301" s="2" t="s">
        <v>26</v>
      </c>
      <c r="N301" s="2">
        <f t="shared" si="29"/>
        <v>1</v>
      </c>
      <c r="O301" s="2" t="s">
        <v>26</v>
      </c>
      <c r="P301" s="2">
        <v>179</v>
      </c>
    </row>
    <row r="302" ht="23" customHeight="1" spans="1:16">
      <c r="A302" s="6" t="s">
        <v>407</v>
      </c>
      <c r="B302" s="2" t="s">
        <v>15</v>
      </c>
      <c r="C302" s="2" t="s">
        <v>17</v>
      </c>
      <c r="D302" s="2">
        <v>1</v>
      </c>
      <c r="E302" s="6" t="s">
        <v>497</v>
      </c>
      <c r="F302" s="2" t="str">
        <f t="shared" si="24"/>
        <v>A</v>
      </c>
      <c r="G302" s="2">
        <v>4</v>
      </c>
      <c r="H302" s="2" t="str">
        <f t="shared" si="25"/>
        <v>B</v>
      </c>
      <c r="I302" s="2">
        <v>5</v>
      </c>
      <c r="J302" s="2">
        <f t="shared" si="26"/>
        <v>-1</v>
      </c>
      <c r="K302" s="2" t="str">
        <f t="shared" si="27"/>
        <v>B</v>
      </c>
      <c r="L302" s="2" t="str">
        <f t="shared" si="28"/>
        <v>B</v>
      </c>
      <c r="M302" s="2" t="s">
        <v>22</v>
      </c>
      <c r="N302" s="2">
        <f t="shared" si="29"/>
        <v>0</v>
      </c>
      <c r="O302" s="2" t="s">
        <v>22</v>
      </c>
      <c r="P302" s="2">
        <v>184</v>
      </c>
    </row>
    <row r="303" ht="23" customHeight="1" spans="1:16">
      <c r="A303" s="6" t="s">
        <v>407</v>
      </c>
      <c r="B303" s="2" t="s">
        <v>15</v>
      </c>
      <c r="C303" s="2" t="s">
        <v>23</v>
      </c>
      <c r="D303" s="2">
        <v>1</v>
      </c>
      <c r="E303" s="6" t="s">
        <v>497</v>
      </c>
      <c r="F303" s="2" t="str">
        <f t="shared" si="24"/>
        <v>B</v>
      </c>
      <c r="G303" s="2">
        <v>5</v>
      </c>
      <c r="H303" s="2" t="str">
        <f t="shared" si="25"/>
        <v>A</v>
      </c>
      <c r="I303" s="2">
        <v>4</v>
      </c>
      <c r="J303" s="2">
        <f t="shared" si="26"/>
        <v>1</v>
      </c>
      <c r="K303" s="2" t="str">
        <f t="shared" si="27"/>
        <v>A</v>
      </c>
      <c r="L303" s="2" t="str">
        <f t="shared" si="28"/>
        <v>B</v>
      </c>
      <c r="M303" s="2" t="s">
        <v>22</v>
      </c>
      <c r="N303" s="2">
        <f t="shared" si="29"/>
        <v>0</v>
      </c>
      <c r="O303" s="2" t="s">
        <v>26</v>
      </c>
      <c r="P303" s="2">
        <v>185</v>
      </c>
    </row>
    <row r="304" ht="23" customHeight="1" spans="1:16">
      <c r="A304" s="6" t="s">
        <v>407</v>
      </c>
      <c r="B304" s="2" t="s">
        <v>15</v>
      </c>
      <c r="C304" s="2" t="s">
        <v>17</v>
      </c>
      <c r="D304" s="2">
        <v>2</v>
      </c>
      <c r="E304" s="6" t="s">
        <v>498</v>
      </c>
      <c r="F304" s="2" t="str">
        <f t="shared" si="24"/>
        <v>A</v>
      </c>
      <c r="G304" s="2">
        <v>5</v>
      </c>
      <c r="H304" s="2" t="str">
        <f t="shared" si="25"/>
        <v>B</v>
      </c>
      <c r="I304" s="2">
        <v>2</v>
      </c>
      <c r="J304" s="2">
        <f t="shared" si="26"/>
        <v>3</v>
      </c>
      <c r="K304" s="2" t="str">
        <f t="shared" si="27"/>
        <v>A</v>
      </c>
      <c r="L304" s="2" t="str">
        <f t="shared" si="28"/>
        <v>A</v>
      </c>
      <c r="M304" s="2" t="s">
        <v>22</v>
      </c>
      <c r="N304" s="2">
        <f t="shared" si="29"/>
        <v>1</v>
      </c>
      <c r="O304" s="2" t="s">
        <v>22</v>
      </c>
      <c r="P304" s="2">
        <v>184</v>
      </c>
    </row>
    <row r="305" ht="23" customHeight="1" spans="1:16">
      <c r="A305" s="6" t="s">
        <v>407</v>
      </c>
      <c r="B305" s="2" t="s">
        <v>15</v>
      </c>
      <c r="C305" s="2" t="s">
        <v>23</v>
      </c>
      <c r="D305" s="2">
        <v>2</v>
      </c>
      <c r="E305" s="6" t="s">
        <v>498</v>
      </c>
      <c r="F305" s="2" t="str">
        <f t="shared" si="24"/>
        <v>B</v>
      </c>
      <c r="G305" s="2">
        <v>2</v>
      </c>
      <c r="H305" s="2" t="str">
        <f t="shared" si="25"/>
        <v>A</v>
      </c>
      <c r="I305" s="2">
        <v>5</v>
      </c>
      <c r="J305" s="2">
        <f t="shared" si="26"/>
        <v>-3</v>
      </c>
      <c r="K305" s="2" t="str">
        <f t="shared" si="27"/>
        <v>B</v>
      </c>
      <c r="L305" s="2" t="str">
        <f t="shared" si="28"/>
        <v>A</v>
      </c>
      <c r="M305" s="2" t="s">
        <v>22</v>
      </c>
      <c r="N305" s="2">
        <f t="shared" si="29"/>
        <v>1</v>
      </c>
      <c r="O305" s="2" t="s">
        <v>26</v>
      </c>
      <c r="P305" s="2">
        <v>185</v>
      </c>
    </row>
    <row r="306" ht="23" customHeight="1" spans="1:16">
      <c r="A306" s="6" t="s">
        <v>407</v>
      </c>
      <c r="B306" s="2" t="s">
        <v>15</v>
      </c>
      <c r="C306" s="2" t="s">
        <v>17</v>
      </c>
      <c r="D306" s="2">
        <v>3</v>
      </c>
      <c r="E306" s="6" t="s">
        <v>499</v>
      </c>
      <c r="F306" s="2" t="str">
        <f t="shared" si="24"/>
        <v>A</v>
      </c>
      <c r="G306" s="2">
        <v>4</v>
      </c>
      <c r="H306" s="2" t="str">
        <f t="shared" si="25"/>
        <v>B</v>
      </c>
      <c r="I306" s="2">
        <v>4</v>
      </c>
      <c r="J306" s="2">
        <f t="shared" si="26"/>
        <v>0</v>
      </c>
      <c r="K306" s="2" t="str">
        <f t="shared" si="27"/>
        <v>C</v>
      </c>
      <c r="L306" s="2" t="str">
        <f t="shared" si="28"/>
        <v>D(平局)</v>
      </c>
      <c r="M306" s="2" t="s">
        <v>22</v>
      </c>
      <c r="N306" s="2">
        <f t="shared" si="29"/>
        <v>0</v>
      </c>
      <c r="O306" s="2" t="s">
        <v>22</v>
      </c>
      <c r="P306" s="2">
        <v>184</v>
      </c>
    </row>
    <row r="307" ht="23" customHeight="1" spans="1:16">
      <c r="A307" s="6" t="s">
        <v>407</v>
      </c>
      <c r="B307" s="2" t="s">
        <v>15</v>
      </c>
      <c r="C307" s="2" t="s">
        <v>23</v>
      </c>
      <c r="D307" s="2">
        <v>3</v>
      </c>
      <c r="E307" s="6" t="s">
        <v>499</v>
      </c>
      <c r="F307" s="2" t="str">
        <f t="shared" si="24"/>
        <v>B</v>
      </c>
      <c r="G307" s="2">
        <v>4</v>
      </c>
      <c r="H307" s="2" t="str">
        <f t="shared" si="25"/>
        <v>A</v>
      </c>
      <c r="I307" s="2">
        <v>4</v>
      </c>
      <c r="J307" s="2">
        <f t="shared" si="26"/>
        <v>0</v>
      </c>
      <c r="K307" s="2" t="str">
        <f t="shared" si="27"/>
        <v>C</v>
      </c>
      <c r="L307" s="2" t="str">
        <f t="shared" si="28"/>
        <v>D(平局)</v>
      </c>
      <c r="M307" s="2" t="s">
        <v>22</v>
      </c>
      <c r="N307" s="2">
        <f t="shared" si="29"/>
        <v>0</v>
      </c>
      <c r="O307" s="2" t="s">
        <v>26</v>
      </c>
      <c r="P307" s="2">
        <v>185</v>
      </c>
    </row>
    <row r="308" ht="23" customHeight="1" spans="1:16">
      <c r="A308" s="6" t="s">
        <v>407</v>
      </c>
      <c r="B308" s="2" t="s">
        <v>15</v>
      </c>
      <c r="C308" s="2" t="s">
        <v>17</v>
      </c>
      <c r="D308" s="2">
        <v>4</v>
      </c>
      <c r="E308" s="6" t="s">
        <v>500</v>
      </c>
      <c r="F308" s="2" t="str">
        <f t="shared" si="24"/>
        <v>A</v>
      </c>
      <c r="G308" s="2">
        <v>5</v>
      </c>
      <c r="H308" s="2" t="str">
        <f t="shared" si="25"/>
        <v>B</v>
      </c>
      <c r="I308" s="2">
        <v>4</v>
      </c>
      <c r="J308" s="2">
        <f t="shared" si="26"/>
        <v>1</v>
      </c>
      <c r="K308" s="2" t="str">
        <f t="shared" si="27"/>
        <v>A</v>
      </c>
      <c r="L308" s="2" t="str">
        <f t="shared" si="28"/>
        <v>A</v>
      </c>
      <c r="M308" s="2" t="s">
        <v>22</v>
      </c>
      <c r="N308" s="2">
        <f t="shared" si="29"/>
        <v>1</v>
      </c>
      <c r="O308" s="2" t="s">
        <v>22</v>
      </c>
      <c r="P308" s="2">
        <v>184</v>
      </c>
    </row>
    <row r="309" ht="23" customHeight="1" spans="1:16">
      <c r="A309" s="6" t="s">
        <v>407</v>
      </c>
      <c r="B309" s="2" t="s">
        <v>15</v>
      </c>
      <c r="C309" s="2" t="s">
        <v>23</v>
      </c>
      <c r="D309" s="2">
        <v>4</v>
      </c>
      <c r="E309" s="6" t="s">
        <v>500</v>
      </c>
      <c r="F309" s="2" t="str">
        <f t="shared" si="24"/>
        <v>B</v>
      </c>
      <c r="G309" s="2">
        <v>5</v>
      </c>
      <c r="H309" s="2" t="str">
        <f t="shared" si="25"/>
        <v>A</v>
      </c>
      <c r="I309" s="2">
        <v>4</v>
      </c>
      <c r="J309" s="2">
        <f t="shared" si="26"/>
        <v>1</v>
      </c>
      <c r="K309" s="2" t="str">
        <f t="shared" si="27"/>
        <v>A</v>
      </c>
      <c r="L309" s="2" t="str">
        <f t="shared" si="28"/>
        <v>B</v>
      </c>
      <c r="M309" s="2" t="s">
        <v>22</v>
      </c>
      <c r="N309" s="2">
        <f t="shared" si="29"/>
        <v>0</v>
      </c>
      <c r="O309" s="2" t="s">
        <v>26</v>
      </c>
      <c r="P309" s="2">
        <v>185</v>
      </c>
    </row>
    <row r="310" ht="23" customHeight="1" spans="1:16">
      <c r="A310" s="6" t="s">
        <v>407</v>
      </c>
      <c r="B310" s="2" t="s">
        <v>15</v>
      </c>
      <c r="C310" s="2" t="s">
        <v>17</v>
      </c>
      <c r="D310" s="2">
        <v>5</v>
      </c>
      <c r="E310" s="6" t="s">
        <v>501</v>
      </c>
      <c r="F310" s="2" t="str">
        <f t="shared" si="24"/>
        <v>A</v>
      </c>
      <c r="G310" s="2">
        <v>5</v>
      </c>
      <c r="H310" s="2" t="str">
        <f t="shared" si="25"/>
        <v>B</v>
      </c>
      <c r="I310" s="2">
        <v>4</v>
      </c>
      <c r="J310" s="2">
        <f t="shared" si="26"/>
        <v>1</v>
      </c>
      <c r="K310" s="2" t="str">
        <f t="shared" si="27"/>
        <v>A</v>
      </c>
      <c r="L310" s="2" t="str">
        <f t="shared" si="28"/>
        <v>A</v>
      </c>
      <c r="M310" s="2" t="s">
        <v>22</v>
      </c>
      <c r="N310" s="2">
        <f t="shared" si="29"/>
        <v>1</v>
      </c>
      <c r="O310" s="2" t="s">
        <v>22</v>
      </c>
      <c r="P310" s="2">
        <v>184</v>
      </c>
    </row>
    <row r="311" ht="23" customHeight="1" spans="1:16">
      <c r="A311" s="6" t="s">
        <v>407</v>
      </c>
      <c r="B311" s="2" t="s">
        <v>15</v>
      </c>
      <c r="C311" s="2" t="s">
        <v>23</v>
      </c>
      <c r="D311" s="2">
        <v>5</v>
      </c>
      <c r="E311" s="6" t="s">
        <v>501</v>
      </c>
      <c r="F311" s="2" t="str">
        <f t="shared" si="24"/>
        <v>B</v>
      </c>
      <c r="G311" s="2">
        <v>4</v>
      </c>
      <c r="H311" s="2" t="str">
        <f t="shared" si="25"/>
        <v>A</v>
      </c>
      <c r="I311" s="2">
        <v>5</v>
      </c>
      <c r="J311" s="2">
        <f t="shared" si="26"/>
        <v>-1</v>
      </c>
      <c r="K311" s="2" t="str">
        <f t="shared" si="27"/>
        <v>B</v>
      </c>
      <c r="L311" s="2" t="str">
        <f t="shared" si="28"/>
        <v>A</v>
      </c>
      <c r="M311" s="2" t="s">
        <v>22</v>
      </c>
      <c r="N311" s="2">
        <f t="shared" si="29"/>
        <v>1</v>
      </c>
      <c r="O311" s="2" t="s">
        <v>26</v>
      </c>
      <c r="P311" s="2">
        <v>185</v>
      </c>
    </row>
    <row r="312" ht="23" customHeight="1" spans="1:16">
      <c r="A312" s="6" t="s">
        <v>407</v>
      </c>
      <c r="B312" s="2" t="s">
        <v>37</v>
      </c>
      <c r="C312" s="2" t="s">
        <v>17</v>
      </c>
      <c r="D312" s="2">
        <v>1</v>
      </c>
      <c r="E312" s="6" t="s">
        <v>497</v>
      </c>
      <c r="F312" s="2" t="str">
        <f t="shared" si="24"/>
        <v>A</v>
      </c>
      <c r="G312" s="2">
        <v>3</v>
      </c>
      <c r="H312" s="2" t="str">
        <f t="shared" si="25"/>
        <v>C</v>
      </c>
      <c r="I312" s="2">
        <v>5</v>
      </c>
      <c r="J312" s="2">
        <f t="shared" si="26"/>
        <v>-2</v>
      </c>
      <c r="K312" s="2" t="str">
        <f t="shared" si="27"/>
        <v>B</v>
      </c>
      <c r="L312" s="2" t="str">
        <f t="shared" si="28"/>
        <v>C</v>
      </c>
      <c r="M312" s="2" t="s">
        <v>77</v>
      </c>
      <c r="N312" s="2">
        <f t="shared" si="29"/>
        <v>1</v>
      </c>
      <c r="O312" s="2" t="s">
        <v>26</v>
      </c>
      <c r="P312" s="2">
        <v>190</v>
      </c>
    </row>
    <row r="313" ht="23" customHeight="1" spans="1:16">
      <c r="A313" s="6" t="s">
        <v>407</v>
      </c>
      <c r="B313" s="2" t="s">
        <v>37</v>
      </c>
      <c r="C313" s="2" t="s">
        <v>23</v>
      </c>
      <c r="D313" s="2">
        <v>1</v>
      </c>
      <c r="E313" s="6" t="s">
        <v>497</v>
      </c>
      <c r="F313" s="2" t="str">
        <f t="shared" si="24"/>
        <v>C</v>
      </c>
      <c r="G313" s="2">
        <v>5</v>
      </c>
      <c r="H313" s="2" t="str">
        <f t="shared" si="25"/>
        <v>A</v>
      </c>
      <c r="I313" s="2">
        <v>3</v>
      </c>
      <c r="J313" s="2">
        <f t="shared" si="26"/>
        <v>2</v>
      </c>
      <c r="K313" s="2" t="str">
        <f t="shared" si="27"/>
        <v>A</v>
      </c>
      <c r="L313" s="2" t="str">
        <f t="shared" si="28"/>
        <v>C</v>
      </c>
      <c r="M313" s="2" t="s">
        <v>77</v>
      </c>
      <c r="N313" s="2">
        <f t="shared" si="29"/>
        <v>1</v>
      </c>
      <c r="O313" s="2" t="s">
        <v>22</v>
      </c>
      <c r="P313" s="2">
        <v>191</v>
      </c>
    </row>
    <row r="314" ht="23" customHeight="1" spans="1:16">
      <c r="A314" s="6" t="s">
        <v>407</v>
      </c>
      <c r="B314" s="2" t="s">
        <v>37</v>
      </c>
      <c r="C314" s="2" t="s">
        <v>17</v>
      </c>
      <c r="D314" s="2">
        <v>2</v>
      </c>
      <c r="E314" s="6" t="s">
        <v>498</v>
      </c>
      <c r="F314" s="2" t="str">
        <f t="shared" si="24"/>
        <v>A</v>
      </c>
      <c r="G314" s="2">
        <v>3</v>
      </c>
      <c r="H314" s="2" t="str">
        <f t="shared" si="25"/>
        <v>C</v>
      </c>
      <c r="I314" s="2">
        <v>5</v>
      </c>
      <c r="J314" s="2">
        <f t="shared" si="26"/>
        <v>-2</v>
      </c>
      <c r="K314" s="2" t="str">
        <f t="shared" si="27"/>
        <v>B</v>
      </c>
      <c r="L314" s="2" t="str">
        <f t="shared" si="28"/>
        <v>C</v>
      </c>
      <c r="M314" s="2" t="s">
        <v>77</v>
      </c>
      <c r="N314" s="2">
        <f t="shared" si="29"/>
        <v>1</v>
      </c>
      <c r="O314" s="2" t="s">
        <v>26</v>
      </c>
      <c r="P314" s="2">
        <v>190</v>
      </c>
    </row>
    <row r="315" ht="23" customHeight="1" spans="1:16">
      <c r="A315" s="6" t="s">
        <v>407</v>
      </c>
      <c r="B315" s="2" t="s">
        <v>37</v>
      </c>
      <c r="C315" s="2" t="s">
        <v>23</v>
      </c>
      <c r="D315" s="2">
        <v>2</v>
      </c>
      <c r="E315" s="6" t="s">
        <v>498</v>
      </c>
      <c r="F315" s="2" t="str">
        <f t="shared" si="24"/>
        <v>C</v>
      </c>
      <c r="G315" s="2">
        <v>5</v>
      </c>
      <c r="H315" s="2" t="str">
        <f t="shared" si="25"/>
        <v>A</v>
      </c>
      <c r="I315" s="2">
        <v>4</v>
      </c>
      <c r="J315" s="2">
        <f t="shared" si="26"/>
        <v>1</v>
      </c>
      <c r="K315" s="2" t="str">
        <f t="shared" si="27"/>
        <v>A</v>
      </c>
      <c r="L315" s="2" t="str">
        <f t="shared" si="28"/>
        <v>C</v>
      </c>
      <c r="M315" s="2" t="s">
        <v>77</v>
      </c>
      <c r="N315" s="2">
        <f t="shared" si="29"/>
        <v>1</v>
      </c>
      <c r="O315" s="2" t="s">
        <v>22</v>
      </c>
      <c r="P315" s="2">
        <v>191</v>
      </c>
    </row>
    <row r="316" ht="23" customHeight="1" spans="1:16">
      <c r="A316" s="6" t="s">
        <v>407</v>
      </c>
      <c r="B316" s="2" t="s">
        <v>37</v>
      </c>
      <c r="C316" s="2" t="s">
        <v>17</v>
      </c>
      <c r="D316" s="2">
        <v>3</v>
      </c>
      <c r="E316" s="6" t="s">
        <v>499</v>
      </c>
      <c r="F316" s="2" t="str">
        <f t="shared" si="24"/>
        <v>A</v>
      </c>
      <c r="G316" s="2">
        <v>4</v>
      </c>
      <c r="H316" s="2" t="str">
        <f t="shared" si="25"/>
        <v>C</v>
      </c>
      <c r="I316" s="2">
        <v>5</v>
      </c>
      <c r="J316" s="2">
        <f t="shared" si="26"/>
        <v>-1</v>
      </c>
      <c r="K316" s="2" t="str">
        <f t="shared" si="27"/>
        <v>B</v>
      </c>
      <c r="L316" s="2" t="str">
        <f t="shared" si="28"/>
        <v>C</v>
      </c>
      <c r="M316" s="2" t="s">
        <v>77</v>
      </c>
      <c r="N316" s="2">
        <f t="shared" si="29"/>
        <v>1</v>
      </c>
      <c r="O316" s="2" t="s">
        <v>26</v>
      </c>
      <c r="P316" s="2">
        <v>190</v>
      </c>
    </row>
    <row r="317" ht="23" customHeight="1" spans="1:16">
      <c r="A317" s="6" t="s">
        <v>407</v>
      </c>
      <c r="B317" s="2" t="s">
        <v>37</v>
      </c>
      <c r="C317" s="2" t="s">
        <v>23</v>
      </c>
      <c r="D317" s="2">
        <v>3</v>
      </c>
      <c r="E317" s="6" t="s">
        <v>499</v>
      </c>
      <c r="F317" s="2" t="str">
        <f t="shared" si="24"/>
        <v>C</v>
      </c>
      <c r="G317" s="2">
        <v>5</v>
      </c>
      <c r="H317" s="2" t="str">
        <f t="shared" si="25"/>
        <v>A</v>
      </c>
      <c r="I317" s="2">
        <v>3</v>
      </c>
      <c r="J317" s="2">
        <f t="shared" si="26"/>
        <v>2</v>
      </c>
      <c r="K317" s="2" t="str">
        <f t="shared" si="27"/>
        <v>A</v>
      </c>
      <c r="L317" s="2" t="str">
        <f t="shared" si="28"/>
        <v>C</v>
      </c>
      <c r="M317" s="2" t="s">
        <v>77</v>
      </c>
      <c r="N317" s="2">
        <f t="shared" si="29"/>
        <v>1</v>
      </c>
      <c r="O317" s="2" t="s">
        <v>22</v>
      </c>
      <c r="P317" s="2">
        <v>191</v>
      </c>
    </row>
    <row r="318" ht="23" customHeight="1" spans="1:16">
      <c r="A318" s="6" t="s">
        <v>407</v>
      </c>
      <c r="B318" s="2" t="s">
        <v>37</v>
      </c>
      <c r="C318" s="2" t="s">
        <v>17</v>
      </c>
      <c r="D318" s="2">
        <v>4</v>
      </c>
      <c r="E318" s="6" t="s">
        <v>500</v>
      </c>
      <c r="F318" s="2" t="str">
        <f t="shared" si="24"/>
        <v>A</v>
      </c>
      <c r="G318" s="2">
        <v>5</v>
      </c>
      <c r="H318" s="2" t="str">
        <f t="shared" si="25"/>
        <v>C</v>
      </c>
      <c r="I318" s="2">
        <v>5</v>
      </c>
      <c r="J318" s="2">
        <f t="shared" si="26"/>
        <v>0</v>
      </c>
      <c r="K318" s="2" t="str">
        <f t="shared" si="27"/>
        <v>C</v>
      </c>
      <c r="L318" s="2" t="str">
        <f t="shared" si="28"/>
        <v>D(平局)</v>
      </c>
      <c r="M318" s="2" t="s">
        <v>77</v>
      </c>
      <c r="N318" s="2">
        <f t="shared" si="29"/>
        <v>0</v>
      </c>
      <c r="O318" s="2" t="s">
        <v>26</v>
      </c>
      <c r="P318" s="2">
        <v>190</v>
      </c>
    </row>
    <row r="319" ht="23" customHeight="1" spans="1:16">
      <c r="A319" s="6" t="s">
        <v>407</v>
      </c>
      <c r="B319" s="2" t="s">
        <v>37</v>
      </c>
      <c r="C319" s="2" t="s">
        <v>23</v>
      </c>
      <c r="D319" s="2">
        <v>4</v>
      </c>
      <c r="E319" s="6" t="s">
        <v>500</v>
      </c>
      <c r="F319" s="2" t="str">
        <f t="shared" si="24"/>
        <v>C</v>
      </c>
      <c r="G319" s="2">
        <v>5</v>
      </c>
      <c r="H319" s="2" t="str">
        <f t="shared" si="25"/>
        <v>A</v>
      </c>
      <c r="I319" s="2">
        <v>5</v>
      </c>
      <c r="J319" s="2">
        <f t="shared" si="26"/>
        <v>0</v>
      </c>
      <c r="K319" s="2" t="str">
        <f t="shared" si="27"/>
        <v>C</v>
      </c>
      <c r="L319" s="2" t="str">
        <f t="shared" si="28"/>
        <v>D(平局)</v>
      </c>
      <c r="M319" s="2" t="s">
        <v>77</v>
      </c>
      <c r="N319" s="2">
        <f t="shared" si="29"/>
        <v>0</v>
      </c>
      <c r="O319" s="2" t="s">
        <v>22</v>
      </c>
      <c r="P319" s="2">
        <v>191</v>
      </c>
    </row>
    <row r="320" ht="23" customHeight="1" spans="1:16">
      <c r="A320" s="6" t="s">
        <v>407</v>
      </c>
      <c r="B320" s="2" t="s">
        <v>37</v>
      </c>
      <c r="C320" s="2" t="s">
        <v>17</v>
      </c>
      <c r="D320" s="2">
        <v>5</v>
      </c>
      <c r="E320" s="6" t="s">
        <v>501</v>
      </c>
      <c r="F320" s="2" t="str">
        <f t="shared" si="24"/>
        <v>A</v>
      </c>
      <c r="G320" s="2">
        <v>5</v>
      </c>
      <c r="H320" s="2" t="str">
        <f t="shared" si="25"/>
        <v>C</v>
      </c>
      <c r="I320" s="2">
        <v>5</v>
      </c>
      <c r="J320" s="2">
        <f t="shared" si="26"/>
        <v>0</v>
      </c>
      <c r="K320" s="2" t="str">
        <f t="shared" si="27"/>
        <v>C</v>
      </c>
      <c r="L320" s="2" t="str">
        <f t="shared" si="28"/>
        <v>D(平局)</v>
      </c>
      <c r="M320" s="2" t="s">
        <v>77</v>
      </c>
      <c r="N320" s="2">
        <f t="shared" si="29"/>
        <v>0</v>
      </c>
      <c r="O320" s="2" t="s">
        <v>26</v>
      </c>
      <c r="P320" s="2">
        <v>190</v>
      </c>
    </row>
    <row r="321" ht="23" customHeight="1" spans="1:16">
      <c r="A321" s="6" t="s">
        <v>407</v>
      </c>
      <c r="B321" s="2" t="s">
        <v>37</v>
      </c>
      <c r="C321" s="2" t="s">
        <v>23</v>
      </c>
      <c r="D321" s="2">
        <v>5</v>
      </c>
      <c r="E321" s="6" t="s">
        <v>501</v>
      </c>
      <c r="F321" s="2" t="str">
        <f t="shared" si="24"/>
        <v>C</v>
      </c>
      <c r="G321" s="2">
        <v>5</v>
      </c>
      <c r="H321" s="2" t="str">
        <f t="shared" si="25"/>
        <v>A</v>
      </c>
      <c r="I321" s="2">
        <v>5</v>
      </c>
      <c r="J321" s="2">
        <f t="shared" si="26"/>
        <v>0</v>
      </c>
      <c r="K321" s="2" t="str">
        <f t="shared" si="27"/>
        <v>C</v>
      </c>
      <c r="L321" s="2" t="str">
        <f t="shared" si="28"/>
        <v>D(平局)</v>
      </c>
      <c r="M321" s="2" t="s">
        <v>77</v>
      </c>
      <c r="N321" s="2">
        <f t="shared" si="29"/>
        <v>0</v>
      </c>
      <c r="O321" s="2" t="s">
        <v>22</v>
      </c>
      <c r="P321" s="2">
        <v>191</v>
      </c>
    </row>
    <row r="322" ht="23" customHeight="1" spans="1:16">
      <c r="A322" s="6" t="s">
        <v>407</v>
      </c>
      <c r="B322" s="2" t="s">
        <v>50</v>
      </c>
      <c r="C322" s="2" t="s">
        <v>17</v>
      </c>
      <c r="D322" s="2">
        <v>1</v>
      </c>
      <c r="E322" s="6" t="s">
        <v>497</v>
      </c>
      <c r="F322" s="2" t="str">
        <f t="shared" ref="F322:F361" si="30">IF(C322="l2r",LEFT(B322,1),RIGHT(B322,1))</f>
        <v>B</v>
      </c>
      <c r="G322" s="2">
        <v>4</v>
      </c>
      <c r="H322" s="2" t="str">
        <f t="shared" ref="H322:H361" si="31">IF(C322="l2r",RIGHT(B322,1),LEFT(B322,1))</f>
        <v>C</v>
      </c>
      <c r="I322" s="2">
        <v>5</v>
      </c>
      <c r="J322" s="2">
        <f t="shared" ref="J322:J361" si="32">G322-I322</f>
        <v>-1</v>
      </c>
      <c r="K322" s="2" t="str">
        <f t="shared" ref="K322:K361" si="33">IF(J322=0,"C",IF(J322&gt;0,"A","B"))</f>
        <v>B</v>
      </c>
      <c r="L322" s="2" t="str">
        <f t="shared" ref="L322:L361" si="34">IF(J322=0,"D(平局)",IF(J322&gt;0,F322,H322))</f>
        <v>C</v>
      </c>
      <c r="M322" s="2" t="s">
        <v>77</v>
      </c>
      <c r="N322" s="2">
        <f t="shared" ref="N322:N361" si="35">--(L322=M322)</f>
        <v>1</v>
      </c>
      <c r="O322" s="2" t="s">
        <v>26</v>
      </c>
      <c r="P322" s="2">
        <v>196</v>
      </c>
    </row>
    <row r="323" ht="23" customHeight="1" spans="1:16">
      <c r="A323" s="6" t="s">
        <v>407</v>
      </c>
      <c r="B323" s="2" t="s">
        <v>50</v>
      </c>
      <c r="C323" s="2" t="s">
        <v>23</v>
      </c>
      <c r="D323" s="2">
        <v>1</v>
      </c>
      <c r="E323" s="6" t="s">
        <v>497</v>
      </c>
      <c r="F323" s="2" t="str">
        <f t="shared" si="30"/>
        <v>C</v>
      </c>
      <c r="G323" s="2">
        <v>5</v>
      </c>
      <c r="H323" s="2" t="str">
        <f t="shared" si="31"/>
        <v>B</v>
      </c>
      <c r="I323" s="2">
        <v>5</v>
      </c>
      <c r="J323" s="2">
        <f t="shared" si="32"/>
        <v>0</v>
      </c>
      <c r="K323" s="2" t="str">
        <f t="shared" si="33"/>
        <v>C</v>
      </c>
      <c r="L323" s="2" t="str">
        <f t="shared" si="34"/>
        <v>D(平局)</v>
      </c>
      <c r="M323" s="2" t="s">
        <v>77</v>
      </c>
      <c r="N323" s="2">
        <f t="shared" si="35"/>
        <v>0</v>
      </c>
      <c r="O323" s="2" t="s">
        <v>22</v>
      </c>
      <c r="P323" s="2">
        <v>197</v>
      </c>
    </row>
    <row r="324" ht="23" customHeight="1" spans="1:16">
      <c r="A324" s="6" t="s">
        <v>407</v>
      </c>
      <c r="B324" s="2" t="s">
        <v>50</v>
      </c>
      <c r="C324" s="2" t="s">
        <v>17</v>
      </c>
      <c r="D324" s="2">
        <v>2</v>
      </c>
      <c r="E324" s="6" t="s">
        <v>498</v>
      </c>
      <c r="F324" s="2" t="str">
        <f t="shared" si="30"/>
        <v>B</v>
      </c>
      <c r="G324" s="2">
        <v>1</v>
      </c>
      <c r="H324" s="2" t="str">
        <f t="shared" si="31"/>
        <v>C</v>
      </c>
      <c r="I324" s="2">
        <v>5</v>
      </c>
      <c r="J324" s="2">
        <f t="shared" si="32"/>
        <v>-4</v>
      </c>
      <c r="K324" s="2" t="str">
        <f t="shared" si="33"/>
        <v>B</v>
      </c>
      <c r="L324" s="2" t="str">
        <f t="shared" si="34"/>
        <v>C</v>
      </c>
      <c r="M324" s="2" t="s">
        <v>77</v>
      </c>
      <c r="N324" s="2">
        <f t="shared" si="35"/>
        <v>1</v>
      </c>
      <c r="O324" s="2" t="s">
        <v>26</v>
      </c>
      <c r="P324" s="2">
        <v>196</v>
      </c>
    </row>
    <row r="325" ht="23" customHeight="1" spans="1:16">
      <c r="A325" s="6" t="s">
        <v>407</v>
      </c>
      <c r="B325" s="2" t="s">
        <v>50</v>
      </c>
      <c r="C325" s="2" t="s">
        <v>23</v>
      </c>
      <c r="D325" s="2">
        <v>2</v>
      </c>
      <c r="E325" s="6" t="s">
        <v>498</v>
      </c>
      <c r="F325" s="2" t="str">
        <f t="shared" si="30"/>
        <v>C</v>
      </c>
      <c r="G325" s="2">
        <v>5</v>
      </c>
      <c r="H325" s="2" t="str">
        <f t="shared" si="31"/>
        <v>B</v>
      </c>
      <c r="I325" s="2">
        <v>1</v>
      </c>
      <c r="J325" s="2">
        <f t="shared" si="32"/>
        <v>4</v>
      </c>
      <c r="K325" s="2" t="str">
        <f t="shared" si="33"/>
        <v>A</v>
      </c>
      <c r="L325" s="2" t="str">
        <f t="shared" si="34"/>
        <v>C</v>
      </c>
      <c r="M325" s="2" t="s">
        <v>77</v>
      </c>
      <c r="N325" s="2">
        <f t="shared" si="35"/>
        <v>1</v>
      </c>
      <c r="O325" s="2" t="s">
        <v>22</v>
      </c>
      <c r="P325" s="2">
        <v>197</v>
      </c>
    </row>
    <row r="326" ht="23" customHeight="1" spans="1:16">
      <c r="A326" s="6" t="s">
        <v>407</v>
      </c>
      <c r="B326" s="2" t="s">
        <v>50</v>
      </c>
      <c r="C326" s="2" t="s">
        <v>17</v>
      </c>
      <c r="D326" s="2">
        <v>3</v>
      </c>
      <c r="E326" s="6" t="s">
        <v>499</v>
      </c>
      <c r="F326" s="2" t="str">
        <f t="shared" si="30"/>
        <v>B</v>
      </c>
      <c r="G326" s="2">
        <v>4</v>
      </c>
      <c r="H326" s="2" t="str">
        <f t="shared" si="31"/>
        <v>C</v>
      </c>
      <c r="I326" s="2">
        <v>4</v>
      </c>
      <c r="J326" s="2">
        <f t="shared" si="32"/>
        <v>0</v>
      </c>
      <c r="K326" s="2" t="str">
        <f t="shared" si="33"/>
        <v>C</v>
      </c>
      <c r="L326" s="2" t="str">
        <f t="shared" si="34"/>
        <v>D(平局)</v>
      </c>
      <c r="M326" s="2" t="s">
        <v>77</v>
      </c>
      <c r="N326" s="2">
        <f t="shared" si="35"/>
        <v>0</v>
      </c>
      <c r="O326" s="2" t="s">
        <v>26</v>
      </c>
      <c r="P326" s="2">
        <v>196</v>
      </c>
    </row>
    <row r="327" ht="23" customHeight="1" spans="1:16">
      <c r="A327" s="6" t="s">
        <v>407</v>
      </c>
      <c r="B327" s="2" t="s">
        <v>50</v>
      </c>
      <c r="C327" s="2" t="s">
        <v>23</v>
      </c>
      <c r="D327" s="2">
        <v>3</v>
      </c>
      <c r="E327" s="6" t="s">
        <v>499</v>
      </c>
      <c r="F327" s="2" t="str">
        <f t="shared" si="30"/>
        <v>C</v>
      </c>
      <c r="G327" s="2">
        <v>5</v>
      </c>
      <c r="H327" s="2" t="str">
        <f t="shared" si="31"/>
        <v>B</v>
      </c>
      <c r="I327" s="2">
        <v>5</v>
      </c>
      <c r="J327" s="2">
        <f t="shared" si="32"/>
        <v>0</v>
      </c>
      <c r="K327" s="2" t="str">
        <f t="shared" si="33"/>
        <v>C</v>
      </c>
      <c r="L327" s="2" t="str">
        <f t="shared" si="34"/>
        <v>D(平局)</v>
      </c>
      <c r="M327" s="2" t="s">
        <v>77</v>
      </c>
      <c r="N327" s="2">
        <f t="shared" si="35"/>
        <v>0</v>
      </c>
      <c r="O327" s="2" t="s">
        <v>22</v>
      </c>
      <c r="P327" s="2">
        <v>197</v>
      </c>
    </row>
    <row r="328" ht="23" customHeight="1" spans="1:16">
      <c r="A328" s="6" t="s">
        <v>407</v>
      </c>
      <c r="B328" s="2" t="s">
        <v>50</v>
      </c>
      <c r="C328" s="2" t="s">
        <v>17</v>
      </c>
      <c r="D328" s="2">
        <v>4</v>
      </c>
      <c r="E328" s="6" t="s">
        <v>500</v>
      </c>
      <c r="F328" s="2" t="str">
        <f t="shared" si="30"/>
        <v>B</v>
      </c>
      <c r="G328" s="2">
        <v>5</v>
      </c>
      <c r="H328" s="2" t="str">
        <f t="shared" si="31"/>
        <v>C</v>
      </c>
      <c r="I328" s="2">
        <v>5</v>
      </c>
      <c r="J328" s="2">
        <f t="shared" si="32"/>
        <v>0</v>
      </c>
      <c r="K328" s="2" t="str">
        <f t="shared" si="33"/>
        <v>C</v>
      </c>
      <c r="L328" s="2" t="str">
        <f t="shared" si="34"/>
        <v>D(平局)</v>
      </c>
      <c r="M328" s="2" t="s">
        <v>77</v>
      </c>
      <c r="N328" s="2">
        <f t="shared" si="35"/>
        <v>0</v>
      </c>
      <c r="O328" s="2" t="s">
        <v>26</v>
      </c>
      <c r="P328" s="2">
        <v>196</v>
      </c>
    </row>
    <row r="329" ht="23" customHeight="1" spans="1:16">
      <c r="A329" s="6" t="s">
        <v>407</v>
      </c>
      <c r="B329" s="2" t="s">
        <v>50</v>
      </c>
      <c r="C329" s="2" t="s">
        <v>23</v>
      </c>
      <c r="D329" s="2">
        <v>4</v>
      </c>
      <c r="E329" s="6" t="s">
        <v>500</v>
      </c>
      <c r="F329" s="2" t="str">
        <f t="shared" si="30"/>
        <v>C</v>
      </c>
      <c r="G329" s="2">
        <v>5</v>
      </c>
      <c r="H329" s="2" t="str">
        <f t="shared" si="31"/>
        <v>B</v>
      </c>
      <c r="I329" s="2">
        <v>5</v>
      </c>
      <c r="J329" s="2">
        <f t="shared" si="32"/>
        <v>0</v>
      </c>
      <c r="K329" s="2" t="str">
        <f t="shared" si="33"/>
        <v>C</v>
      </c>
      <c r="L329" s="2" t="str">
        <f t="shared" si="34"/>
        <v>D(平局)</v>
      </c>
      <c r="M329" s="2" t="s">
        <v>77</v>
      </c>
      <c r="N329" s="2">
        <f t="shared" si="35"/>
        <v>0</v>
      </c>
      <c r="O329" s="2" t="s">
        <v>22</v>
      </c>
      <c r="P329" s="2">
        <v>197</v>
      </c>
    </row>
    <row r="330" ht="23" customHeight="1" spans="1:16">
      <c r="A330" s="6" t="s">
        <v>407</v>
      </c>
      <c r="B330" s="2" t="s">
        <v>50</v>
      </c>
      <c r="C330" s="2" t="s">
        <v>17</v>
      </c>
      <c r="D330" s="2">
        <v>5</v>
      </c>
      <c r="E330" s="6" t="s">
        <v>501</v>
      </c>
      <c r="F330" s="2" t="str">
        <f t="shared" si="30"/>
        <v>B</v>
      </c>
      <c r="G330" s="2">
        <v>4</v>
      </c>
      <c r="H330" s="2" t="str">
        <f t="shared" si="31"/>
        <v>C</v>
      </c>
      <c r="I330" s="2">
        <v>5</v>
      </c>
      <c r="J330" s="2">
        <f t="shared" si="32"/>
        <v>-1</v>
      </c>
      <c r="K330" s="2" t="str">
        <f t="shared" si="33"/>
        <v>B</v>
      </c>
      <c r="L330" s="2" t="str">
        <f t="shared" si="34"/>
        <v>C</v>
      </c>
      <c r="M330" s="2" t="s">
        <v>77</v>
      </c>
      <c r="N330" s="2">
        <f t="shared" si="35"/>
        <v>1</v>
      </c>
      <c r="O330" s="2" t="s">
        <v>26</v>
      </c>
      <c r="P330" s="2">
        <v>196</v>
      </c>
    </row>
    <row r="331" ht="23" customHeight="1" spans="1:16">
      <c r="A331" s="6" t="s">
        <v>407</v>
      </c>
      <c r="B331" s="2" t="s">
        <v>50</v>
      </c>
      <c r="C331" s="2" t="s">
        <v>23</v>
      </c>
      <c r="D331" s="2">
        <v>5</v>
      </c>
      <c r="E331" s="6" t="s">
        <v>501</v>
      </c>
      <c r="F331" s="2" t="str">
        <f t="shared" si="30"/>
        <v>C</v>
      </c>
      <c r="G331" s="2">
        <v>5</v>
      </c>
      <c r="H331" s="2" t="str">
        <f t="shared" si="31"/>
        <v>B</v>
      </c>
      <c r="I331" s="2">
        <v>4</v>
      </c>
      <c r="J331" s="2">
        <f t="shared" si="32"/>
        <v>1</v>
      </c>
      <c r="K331" s="2" t="str">
        <f t="shared" si="33"/>
        <v>A</v>
      </c>
      <c r="L331" s="2" t="str">
        <f t="shared" si="34"/>
        <v>C</v>
      </c>
      <c r="M331" s="2" t="s">
        <v>77</v>
      </c>
      <c r="N331" s="2">
        <f t="shared" si="35"/>
        <v>1</v>
      </c>
      <c r="O331" s="2" t="s">
        <v>22</v>
      </c>
      <c r="P331" s="2">
        <v>197</v>
      </c>
    </row>
    <row r="332" ht="23" customHeight="1" spans="1:16">
      <c r="A332" s="6" t="s">
        <v>445</v>
      </c>
      <c r="B332" s="2" t="s">
        <v>15</v>
      </c>
      <c r="C332" s="2" t="s">
        <v>17</v>
      </c>
      <c r="D332" s="2">
        <v>1</v>
      </c>
      <c r="E332" s="6" t="s">
        <v>497</v>
      </c>
      <c r="F332" s="2" t="str">
        <f t="shared" si="30"/>
        <v>A</v>
      </c>
      <c r="G332" s="2">
        <v>5</v>
      </c>
      <c r="H332" s="2" t="str">
        <f t="shared" si="31"/>
        <v>B</v>
      </c>
      <c r="I332" s="2">
        <v>3</v>
      </c>
      <c r="J332" s="2">
        <f t="shared" si="32"/>
        <v>2</v>
      </c>
      <c r="K332" s="2" t="str">
        <f t="shared" si="33"/>
        <v>A</v>
      </c>
      <c r="L332" s="2" t="str">
        <f t="shared" si="34"/>
        <v>A</v>
      </c>
      <c r="M332" s="2" t="s">
        <v>22</v>
      </c>
      <c r="N332" s="2">
        <f t="shared" si="35"/>
        <v>1</v>
      </c>
      <c r="O332" s="2" t="s">
        <v>22</v>
      </c>
      <c r="P332" s="2">
        <v>202</v>
      </c>
    </row>
    <row r="333" ht="23" customHeight="1" spans="1:16">
      <c r="A333" s="6" t="s">
        <v>445</v>
      </c>
      <c r="B333" s="2" t="s">
        <v>15</v>
      </c>
      <c r="C333" s="2" t="s">
        <v>23</v>
      </c>
      <c r="D333" s="2">
        <v>1</v>
      </c>
      <c r="E333" s="6" t="s">
        <v>497</v>
      </c>
      <c r="F333" s="2" t="str">
        <f t="shared" si="30"/>
        <v>B</v>
      </c>
      <c r="G333" s="2">
        <v>4</v>
      </c>
      <c r="H333" s="2" t="str">
        <f t="shared" si="31"/>
        <v>A</v>
      </c>
      <c r="I333" s="2">
        <v>5</v>
      </c>
      <c r="J333" s="2">
        <f t="shared" si="32"/>
        <v>-1</v>
      </c>
      <c r="K333" s="2" t="str">
        <f t="shared" si="33"/>
        <v>B</v>
      </c>
      <c r="L333" s="2" t="str">
        <f t="shared" si="34"/>
        <v>A</v>
      </c>
      <c r="M333" s="2" t="s">
        <v>22</v>
      </c>
      <c r="N333" s="2">
        <f t="shared" si="35"/>
        <v>1</v>
      </c>
      <c r="O333" s="2" t="s">
        <v>26</v>
      </c>
      <c r="P333" s="2">
        <v>203</v>
      </c>
    </row>
    <row r="334" ht="23" customHeight="1" spans="1:16">
      <c r="A334" s="6" t="s">
        <v>445</v>
      </c>
      <c r="B334" s="2" t="s">
        <v>15</v>
      </c>
      <c r="C334" s="2" t="s">
        <v>17</v>
      </c>
      <c r="D334" s="2">
        <v>2</v>
      </c>
      <c r="E334" s="6" t="s">
        <v>498</v>
      </c>
      <c r="F334" s="2" t="str">
        <f t="shared" si="30"/>
        <v>A</v>
      </c>
      <c r="G334" s="2">
        <v>5</v>
      </c>
      <c r="H334" s="2" t="str">
        <f t="shared" si="31"/>
        <v>B</v>
      </c>
      <c r="I334" s="2">
        <v>2</v>
      </c>
      <c r="J334" s="2">
        <f t="shared" si="32"/>
        <v>3</v>
      </c>
      <c r="K334" s="2" t="str">
        <f t="shared" si="33"/>
        <v>A</v>
      </c>
      <c r="L334" s="2" t="str">
        <f t="shared" si="34"/>
        <v>A</v>
      </c>
      <c r="M334" s="2" t="s">
        <v>22</v>
      </c>
      <c r="N334" s="2">
        <f t="shared" si="35"/>
        <v>1</v>
      </c>
      <c r="O334" s="2" t="s">
        <v>22</v>
      </c>
      <c r="P334" s="2">
        <v>202</v>
      </c>
    </row>
    <row r="335" ht="23" customHeight="1" spans="1:16">
      <c r="A335" s="6" t="s">
        <v>445</v>
      </c>
      <c r="B335" s="2" t="s">
        <v>15</v>
      </c>
      <c r="C335" s="2" t="s">
        <v>23</v>
      </c>
      <c r="D335" s="2">
        <v>2</v>
      </c>
      <c r="E335" s="6" t="s">
        <v>498</v>
      </c>
      <c r="F335" s="2" t="str">
        <f t="shared" si="30"/>
        <v>B</v>
      </c>
      <c r="G335" s="2">
        <v>3</v>
      </c>
      <c r="H335" s="2" t="str">
        <f t="shared" si="31"/>
        <v>A</v>
      </c>
      <c r="I335" s="2">
        <v>5</v>
      </c>
      <c r="J335" s="2">
        <f t="shared" si="32"/>
        <v>-2</v>
      </c>
      <c r="K335" s="2" t="str">
        <f t="shared" si="33"/>
        <v>B</v>
      </c>
      <c r="L335" s="2" t="str">
        <f t="shared" si="34"/>
        <v>A</v>
      </c>
      <c r="M335" s="2" t="s">
        <v>22</v>
      </c>
      <c r="N335" s="2">
        <f t="shared" si="35"/>
        <v>1</v>
      </c>
      <c r="O335" s="2" t="s">
        <v>26</v>
      </c>
      <c r="P335" s="2">
        <v>203</v>
      </c>
    </row>
    <row r="336" ht="23" customHeight="1" spans="1:16">
      <c r="A336" s="6" t="s">
        <v>445</v>
      </c>
      <c r="B336" s="2" t="s">
        <v>15</v>
      </c>
      <c r="C336" s="2" t="s">
        <v>17</v>
      </c>
      <c r="D336" s="2">
        <v>3</v>
      </c>
      <c r="E336" s="6" t="s">
        <v>499</v>
      </c>
      <c r="F336" s="2" t="str">
        <f t="shared" si="30"/>
        <v>A</v>
      </c>
      <c r="G336" s="2">
        <v>5</v>
      </c>
      <c r="H336" s="2" t="str">
        <f t="shared" si="31"/>
        <v>B</v>
      </c>
      <c r="I336" s="2">
        <v>4</v>
      </c>
      <c r="J336" s="2">
        <f t="shared" si="32"/>
        <v>1</v>
      </c>
      <c r="K336" s="2" t="str">
        <f t="shared" si="33"/>
        <v>A</v>
      </c>
      <c r="L336" s="2" t="str">
        <f t="shared" si="34"/>
        <v>A</v>
      </c>
      <c r="M336" s="2" t="s">
        <v>22</v>
      </c>
      <c r="N336" s="2">
        <f t="shared" si="35"/>
        <v>1</v>
      </c>
      <c r="O336" s="2" t="s">
        <v>22</v>
      </c>
      <c r="P336" s="2">
        <v>202</v>
      </c>
    </row>
    <row r="337" ht="23" customHeight="1" spans="1:16">
      <c r="A337" s="6" t="s">
        <v>445</v>
      </c>
      <c r="B337" s="2" t="s">
        <v>15</v>
      </c>
      <c r="C337" s="2" t="s">
        <v>23</v>
      </c>
      <c r="D337" s="2">
        <v>3</v>
      </c>
      <c r="E337" s="6" t="s">
        <v>499</v>
      </c>
      <c r="F337" s="2" t="str">
        <f t="shared" si="30"/>
        <v>B</v>
      </c>
      <c r="G337" s="2">
        <v>4</v>
      </c>
      <c r="H337" s="2" t="str">
        <f t="shared" si="31"/>
        <v>A</v>
      </c>
      <c r="I337" s="2">
        <v>5</v>
      </c>
      <c r="J337" s="2">
        <f t="shared" si="32"/>
        <v>-1</v>
      </c>
      <c r="K337" s="2" t="str">
        <f t="shared" si="33"/>
        <v>B</v>
      </c>
      <c r="L337" s="2" t="str">
        <f t="shared" si="34"/>
        <v>A</v>
      </c>
      <c r="M337" s="2" t="s">
        <v>22</v>
      </c>
      <c r="N337" s="2">
        <f t="shared" si="35"/>
        <v>1</v>
      </c>
      <c r="O337" s="2" t="s">
        <v>26</v>
      </c>
      <c r="P337" s="2">
        <v>203</v>
      </c>
    </row>
    <row r="338" ht="23" customHeight="1" spans="1:16">
      <c r="A338" s="6" t="s">
        <v>445</v>
      </c>
      <c r="B338" s="2" t="s">
        <v>15</v>
      </c>
      <c r="C338" s="2" t="s">
        <v>17</v>
      </c>
      <c r="D338" s="2">
        <v>4</v>
      </c>
      <c r="E338" s="6" t="s">
        <v>500</v>
      </c>
      <c r="F338" s="2" t="str">
        <f t="shared" si="30"/>
        <v>A</v>
      </c>
      <c r="G338" s="2">
        <v>5</v>
      </c>
      <c r="H338" s="2" t="str">
        <f t="shared" si="31"/>
        <v>B</v>
      </c>
      <c r="I338" s="2">
        <v>3</v>
      </c>
      <c r="J338" s="2">
        <f t="shared" si="32"/>
        <v>2</v>
      </c>
      <c r="K338" s="2" t="str">
        <f t="shared" si="33"/>
        <v>A</v>
      </c>
      <c r="L338" s="2" t="str">
        <f t="shared" si="34"/>
        <v>A</v>
      </c>
      <c r="M338" s="2" t="s">
        <v>22</v>
      </c>
      <c r="N338" s="2">
        <f t="shared" si="35"/>
        <v>1</v>
      </c>
      <c r="O338" s="2" t="s">
        <v>22</v>
      </c>
      <c r="P338" s="2">
        <v>202</v>
      </c>
    </row>
    <row r="339" ht="23" customHeight="1" spans="1:16">
      <c r="A339" s="6" t="s">
        <v>445</v>
      </c>
      <c r="B339" s="2" t="s">
        <v>15</v>
      </c>
      <c r="C339" s="2" t="s">
        <v>23</v>
      </c>
      <c r="D339" s="2">
        <v>4</v>
      </c>
      <c r="E339" s="6" t="s">
        <v>500</v>
      </c>
      <c r="F339" s="2" t="str">
        <f t="shared" si="30"/>
        <v>B</v>
      </c>
      <c r="G339" s="2">
        <v>4</v>
      </c>
      <c r="H339" s="2" t="str">
        <f t="shared" si="31"/>
        <v>A</v>
      </c>
      <c r="I339" s="2">
        <v>5</v>
      </c>
      <c r="J339" s="2">
        <f t="shared" si="32"/>
        <v>-1</v>
      </c>
      <c r="K339" s="2" t="str">
        <f t="shared" si="33"/>
        <v>B</v>
      </c>
      <c r="L339" s="2" t="str">
        <f t="shared" si="34"/>
        <v>A</v>
      </c>
      <c r="M339" s="2" t="s">
        <v>22</v>
      </c>
      <c r="N339" s="2">
        <f t="shared" si="35"/>
        <v>1</v>
      </c>
      <c r="O339" s="2" t="s">
        <v>26</v>
      </c>
      <c r="P339" s="2">
        <v>203</v>
      </c>
    </row>
    <row r="340" ht="23" customHeight="1" spans="1:16">
      <c r="A340" s="6" t="s">
        <v>445</v>
      </c>
      <c r="B340" s="2" t="s">
        <v>15</v>
      </c>
      <c r="C340" s="2" t="s">
        <v>17</v>
      </c>
      <c r="D340" s="2">
        <v>5</v>
      </c>
      <c r="E340" s="6" t="s">
        <v>501</v>
      </c>
      <c r="F340" s="2" t="str">
        <f t="shared" si="30"/>
        <v>A</v>
      </c>
      <c r="G340" s="2">
        <v>5</v>
      </c>
      <c r="H340" s="2" t="str">
        <f t="shared" si="31"/>
        <v>B</v>
      </c>
      <c r="I340" s="2">
        <v>3</v>
      </c>
      <c r="J340" s="2">
        <f t="shared" si="32"/>
        <v>2</v>
      </c>
      <c r="K340" s="2" t="str">
        <f t="shared" si="33"/>
        <v>A</v>
      </c>
      <c r="L340" s="2" t="str">
        <f t="shared" si="34"/>
        <v>A</v>
      </c>
      <c r="M340" s="2" t="s">
        <v>22</v>
      </c>
      <c r="N340" s="2">
        <f t="shared" si="35"/>
        <v>1</v>
      </c>
      <c r="O340" s="2" t="s">
        <v>22</v>
      </c>
      <c r="P340" s="2">
        <v>202</v>
      </c>
    </row>
    <row r="341" ht="23" customHeight="1" spans="1:16">
      <c r="A341" s="6" t="s">
        <v>445</v>
      </c>
      <c r="B341" s="2" t="s">
        <v>15</v>
      </c>
      <c r="C341" s="2" t="s">
        <v>23</v>
      </c>
      <c r="D341" s="2">
        <v>5</v>
      </c>
      <c r="E341" s="6" t="s">
        <v>501</v>
      </c>
      <c r="F341" s="2" t="str">
        <f t="shared" si="30"/>
        <v>B</v>
      </c>
      <c r="G341" s="2">
        <v>3</v>
      </c>
      <c r="H341" s="2" t="str">
        <f t="shared" si="31"/>
        <v>A</v>
      </c>
      <c r="I341" s="2">
        <v>5</v>
      </c>
      <c r="J341" s="2">
        <f t="shared" si="32"/>
        <v>-2</v>
      </c>
      <c r="K341" s="2" t="str">
        <f t="shared" si="33"/>
        <v>B</v>
      </c>
      <c r="L341" s="2" t="str">
        <f t="shared" si="34"/>
        <v>A</v>
      </c>
      <c r="M341" s="2" t="s">
        <v>22</v>
      </c>
      <c r="N341" s="2">
        <f t="shared" si="35"/>
        <v>1</v>
      </c>
      <c r="O341" s="2" t="s">
        <v>26</v>
      </c>
      <c r="P341" s="2">
        <v>203</v>
      </c>
    </row>
    <row r="342" ht="23" customHeight="1" spans="1:16">
      <c r="A342" s="6" t="s">
        <v>445</v>
      </c>
      <c r="B342" s="2" t="s">
        <v>37</v>
      </c>
      <c r="C342" s="2" t="s">
        <v>17</v>
      </c>
      <c r="D342" s="2">
        <v>1</v>
      </c>
      <c r="E342" s="6" t="s">
        <v>497</v>
      </c>
      <c r="F342" s="2" t="str">
        <f t="shared" si="30"/>
        <v>A</v>
      </c>
      <c r="G342" s="2">
        <v>5</v>
      </c>
      <c r="H342" s="2" t="str">
        <f t="shared" si="31"/>
        <v>C</v>
      </c>
      <c r="I342" s="2">
        <v>5</v>
      </c>
      <c r="J342" s="2">
        <f t="shared" si="32"/>
        <v>0</v>
      </c>
      <c r="K342" s="2" t="str">
        <f t="shared" si="33"/>
        <v>C</v>
      </c>
      <c r="L342" s="2" t="str">
        <f t="shared" si="34"/>
        <v>D(平局)</v>
      </c>
      <c r="M342" s="2" t="s">
        <v>106</v>
      </c>
      <c r="N342" s="2">
        <f t="shared" si="35"/>
        <v>1</v>
      </c>
      <c r="O342" s="2" t="s">
        <v>22</v>
      </c>
      <c r="P342" s="2">
        <v>208</v>
      </c>
    </row>
    <row r="343" ht="23" customHeight="1" spans="1:16">
      <c r="A343" s="6" t="s">
        <v>445</v>
      </c>
      <c r="B343" s="2" t="s">
        <v>37</v>
      </c>
      <c r="C343" s="2" t="s">
        <v>23</v>
      </c>
      <c r="D343" s="2">
        <v>1</v>
      </c>
      <c r="E343" s="6" t="s">
        <v>497</v>
      </c>
      <c r="F343" s="2" t="str">
        <f t="shared" si="30"/>
        <v>C</v>
      </c>
      <c r="G343" s="2">
        <v>5</v>
      </c>
      <c r="H343" s="2" t="str">
        <f t="shared" si="31"/>
        <v>A</v>
      </c>
      <c r="I343" s="2">
        <v>5</v>
      </c>
      <c r="J343" s="2">
        <f t="shared" si="32"/>
        <v>0</v>
      </c>
      <c r="K343" s="2" t="str">
        <f t="shared" si="33"/>
        <v>C</v>
      </c>
      <c r="L343" s="2" t="str">
        <f t="shared" si="34"/>
        <v>D(平局)</v>
      </c>
      <c r="M343" s="2" t="s">
        <v>106</v>
      </c>
      <c r="N343" s="2">
        <f t="shared" si="35"/>
        <v>1</v>
      </c>
      <c r="O343" s="2" t="s">
        <v>26</v>
      </c>
      <c r="P343" s="2">
        <v>209</v>
      </c>
    </row>
    <row r="344" ht="23" customHeight="1" spans="1:16">
      <c r="A344" s="6" t="s">
        <v>445</v>
      </c>
      <c r="B344" s="2" t="s">
        <v>37</v>
      </c>
      <c r="C344" s="2" t="s">
        <v>17</v>
      </c>
      <c r="D344" s="2">
        <v>2</v>
      </c>
      <c r="E344" s="6" t="s">
        <v>498</v>
      </c>
      <c r="F344" s="2" t="str">
        <f t="shared" si="30"/>
        <v>A</v>
      </c>
      <c r="G344" s="2">
        <v>5</v>
      </c>
      <c r="H344" s="2" t="str">
        <f t="shared" si="31"/>
        <v>C</v>
      </c>
      <c r="I344" s="2">
        <v>4</v>
      </c>
      <c r="J344" s="2">
        <f t="shared" si="32"/>
        <v>1</v>
      </c>
      <c r="K344" s="2" t="str">
        <f t="shared" si="33"/>
        <v>A</v>
      </c>
      <c r="L344" s="2" t="str">
        <f t="shared" si="34"/>
        <v>A</v>
      </c>
      <c r="M344" s="2" t="s">
        <v>106</v>
      </c>
      <c r="N344" s="2">
        <f t="shared" si="35"/>
        <v>0</v>
      </c>
      <c r="O344" s="2" t="s">
        <v>22</v>
      </c>
      <c r="P344" s="2">
        <v>208</v>
      </c>
    </row>
    <row r="345" ht="23" customHeight="1" spans="1:16">
      <c r="A345" s="6" t="s">
        <v>445</v>
      </c>
      <c r="B345" s="2" t="s">
        <v>37</v>
      </c>
      <c r="C345" s="2" t="s">
        <v>23</v>
      </c>
      <c r="D345" s="2">
        <v>2</v>
      </c>
      <c r="E345" s="6" t="s">
        <v>498</v>
      </c>
      <c r="F345" s="2" t="str">
        <f t="shared" si="30"/>
        <v>C</v>
      </c>
      <c r="G345" s="2">
        <v>3</v>
      </c>
      <c r="H345" s="2" t="str">
        <f t="shared" si="31"/>
        <v>A</v>
      </c>
      <c r="I345" s="2">
        <v>5</v>
      </c>
      <c r="J345" s="2">
        <f t="shared" si="32"/>
        <v>-2</v>
      </c>
      <c r="K345" s="2" t="str">
        <f t="shared" si="33"/>
        <v>B</v>
      </c>
      <c r="L345" s="2" t="str">
        <f t="shared" si="34"/>
        <v>A</v>
      </c>
      <c r="M345" s="2" t="s">
        <v>106</v>
      </c>
      <c r="N345" s="2">
        <f t="shared" si="35"/>
        <v>0</v>
      </c>
      <c r="O345" s="2" t="s">
        <v>26</v>
      </c>
      <c r="P345" s="2">
        <v>209</v>
      </c>
    </row>
    <row r="346" ht="23" customHeight="1" spans="1:16">
      <c r="A346" s="6" t="s">
        <v>445</v>
      </c>
      <c r="B346" s="2" t="s">
        <v>37</v>
      </c>
      <c r="C346" s="2" t="s">
        <v>17</v>
      </c>
      <c r="D346" s="2">
        <v>3</v>
      </c>
      <c r="E346" s="6" t="s">
        <v>499</v>
      </c>
      <c r="F346" s="2" t="str">
        <f t="shared" si="30"/>
        <v>A</v>
      </c>
      <c r="G346" s="2">
        <v>5</v>
      </c>
      <c r="H346" s="2" t="str">
        <f t="shared" si="31"/>
        <v>C</v>
      </c>
      <c r="I346" s="2">
        <v>5</v>
      </c>
      <c r="J346" s="2">
        <f t="shared" si="32"/>
        <v>0</v>
      </c>
      <c r="K346" s="2" t="str">
        <f t="shared" si="33"/>
        <v>C</v>
      </c>
      <c r="L346" s="2" t="str">
        <f t="shared" si="34"/>
        <v>D(平局)</v>
      </c>
      <c r="M346" s="2" t="s">
        <v>106</v>
      </c>
      <c r="N346" s="2">
        <f t="shared" si="35"/>
        <v>1</v>
      </c>
      <c r="O346" s="2" t="s">
        <v>22</v>
      </c>
      <c r="P346" s="2">
        <v>208</v>
      </c>
    </row>
    <row r="347" ht="23" customHeight="1" spans="1:16">
      <c r="A347" s="6" t="s">
        <v>445</v>
      </c>
      <c r="B347" s="2" t="s">
        <v>37</v>
      </c>
      <c r="C347" s="2" t="s">
        <v>23</v>
      </c>
      <c r="D347" s="2">
        <v>3</v>
      </c>
      <c r="E347" s="6" t="s">
        <v>499</v>
      </c>
      <c r="F347" s="2" t="str">
        <f t="shared" si="30"/>
        <v>C</v>
      </c>
      <c r="G347" s="2">
        <v>5</v>
      </c>
      <c r="H347" s="2" t="str">
        <f t="shared" si="31"/>
        <v>A</v>
      </c>
      <c r="I347" s="2">
        <v>5</v>
      </c>
      <c r="J347" s="2">
        <f t="shared" si="32"/>
        <v>0</v>
      </c>
      <c r="K347" s="2" t="str">
        <f t="shared" si="33"/>
        <v>C</v>
      </c>
      <c r="L347" s="2" t="str">
        <f t="shared" si="34"/>
        <v>D(平局)</v>
      </c>
      <c r="M347" s="2" t="s">
        <v>106</v>
      </c>
      <c r="N347" s="2">
        <f t="shared" si="35"/>
        <v>1</v>
      </c>
      <c r="O347" s="2" t="s">
        <v>26</v>
      </c>
      <c r="P347" s="2">
        <v>209</v>
      </c>
    </row>
    <row r="348" ht="23" customHeight="1" spans="1:16">
      <c r="A348" s="6" t="s">
        <v>445</v>
      </c>
      <c r="B348" s="2" t="s">
        <v>37</v>
      </c>
      <c r="C348" s="2" t="s">
        <v>17</v>
      </c>
      <c r="D348" s="2">
        <v>4</v>
      </c>
      <c r="E348" s="6" t="s">
        <v>500</v>
      </c>
      <c r="F348" s="2" t="str">
        <f t="shared" si="30"/>
        <v>A</v>
      </c>
      <c r="G348" s="2">
        <v>5</v>
      </c>
      <c r="H348" s="2" t="str">
        <f t="shared" si="31"/>
        <v>C</v>
      </c>
      <c r="I348" s="2">
        <v>5</v>
      </c>
      <c r="J348" s="2">
        <f t="shared" si="32"/>
        <v>0</v>
      </c>
      <c r="K348" s="2" t="str">
        <f t="shared" si="33"/>
        <v>C</v>
      </c>
      <c r="L348" s="2" t="str">
        <f t="shared" si="34"/>
        <v>D(平局)</v>
      </c>
      <c r="M348" s="2" t="s">
        <v>106</v>
      </c>
      <c r="N348" s="2">
        <f t="shared" si="35"/>
        <v>1</v>
      </c>
      <c r="O348" s="2" t="s">
        <v>22</v>
      </c>
      <c r="P348" s="2">
        <v>208</v>
      </c>
    </row>
    <row r="349" ht="23" customHeight="1" spans="1:16">
      <c r="A349" s="6" t="s">
        <v>445</v>
      </c>
      <c r="B349" s="2" t="s">
        <v>37</v>
      </c>
      <c r="C349" s="2" t="s">
        <v>23</v>
      </c>
      <c r="D349" s="2">
        <v>4</v>
      </c>
      <c r="E349" s="6" t="s">
        <v>500</v>
      </c>
      <c r="F349" s="2" t="str">
        <f t="shared" si="30"/>
        <v>C</v>
      </c>
      <c r="G349" s="2">
        <v>5</v>
      </c>
      <c r="H349" s="2" t="str">
        <f t="shared" si="31"/>
        <v>A</v>
      </c>
      <c r="I349" s="2">
        <v>5</v>
      </c>
      <c r="J349" s="2">
        <f t="shared" si="32"/>
        <v>0</v>
      </c>
      <c r="K349" s="2" t="str">
        <f t="shared" si="33"/>
        <v>C</v>
      </c>
      <c r="L349" s="2" t="str">
        <f t="shared" si="34"/>
        <v>D(平局)</v>
      </c>
      <c r="M349" s="2" t="s">
        <v>106</v>
      </c>
      <c r="N349" s="2">
        <f t="shared" si="35"/>
        <v>1</v>
      </c>
      <c r="O349" s="2" t="s">
        <v>26</v>
      </c>
      <c r="P349" s="2">
        <v>209</v>
      </c>
    </row>
    <row r="350" ht="23" customHeight="1" spans="1:16">
      <c r="A350" s="6" t="s">
        <v>445</v>
      </c>
      <c r="B350" s="2" t="s">
        <v>37</v>
      </c>
      <c r="C350" s="2" t="s">
        <v>17</v>
      </c>
      <c r="D350" s="2">
        <v>5</v>
      </c>
      <c r="E350" s="6" t="s">
        <v>501</v>
      </c>
      <c r="F350" s="2" t="str">
        <f t="shared" si="30"/>
        <v>A</v>
      </c>
      <c r="G350" s="2">
        <v>5</v>
      </c>
      <c r="H350" s="2" t="str">
        <f t="shared" si="31"/>
        <v>C</v>
      </c>
      <c r="I350" s="2">
        <v>5</v>
      </c>
      <c r="J350" s="2">
        <f t="shared" si="32"/>
        <v>0</v>
      </c>
      <c r="K350" s="2" t="str">
        <f t="shared" si="33"/>
        <v>C</v>
      </c>
      <c r="L350" s="2" t="str">
        <f t="shared" si="34"/>
        <v>D(平局)</v>
      </c>
      <c r="M350" s="2" t="s">
        <v>106</v>
      </c>
      <c r="N350" s="2">
        <f t="shared" si="35"/>
        <v>1</v>
      </c>
      <c r="O350" s="2" t="s">
        <v>22</v>
      </c>
      <c r="P350" s="2">
        <v>208</v>
      </c>
    </row>
    <row r="351" ht="23" customHeight="1" spans="1:16">
      <c r="A351" s="6" t="s">
        <v>445</v>
      </c>
      <c r="B351" s="2" t="s">
        <v>37</v>
      </c>
      <c r="C351" s="2" t="s">
        <v>23</v>
      </c>
      <c r="D351" s="2">
        <v>5</v>
      </c>
      <c r="E351" s="6" t="s">
        <v>501</v>
      </c>
      <c r="F351" s="2" t="str">
        <f t="shared" si="30"/>
        <v>C</v>
      </c>
      <c r="G351" s="2">
        <v>5</v>
      </c>
      <c r="H351" s="2" t="str">
        <f t="shared" si="31"/>
        <v>A</v>
      </c>
      <c r="I351" s="2">
        <v>5</v>
      </c>
      <c r="J351" s="2">
        <f t="shared" si="32"/>
        <v>0</v>
      </c>
      <c r="K351" s="2" t="str">
        <f t="shared" si="33"/>
        <v>C</v>
      </c>
      <c r="L351" s="2" t="str">
        <f t="shared" si="34"/>
        <v>D(平局)</v>
      </c>
      <c r="M351" s="2" t="s">
        <v>106</v>
      </c>
      <c r="N351" s="2">
        <f t="shared" si="35"/>
        <v>1</v>
      </c>
      <c r="O351" s="2" t="s">
        <v>26</v>
      </c>
      <c r="P351" s="2">
        <v>209</v>
      </c>
    </row>
    <row r="352" ht="23" customHeight="1" spans="1:16">
      <c r="A352" s="6" t="s">
        <v>445</v>
      </c>
      <c r="B352" s="2" t="s">
        <v>50</v>
      </c>
      <c r="C352" s="2" t="s">
        <v>17</v>
      </c>
      <c r="D352" s="2">
        <v>1</v>
      </c>
      <c r="E352" s="6" t="s">
        <v>497</v>
      </c>
      <c r="F352" s="2" t="str">
        <f t="shared" si="30"/>
        <v>B</v>
      </c>
      <c r="G352" s="2">
        <v>4</v>
      </c>
      <c r="H352" s="2" t="str">
        <f t="shared" si="31"/>
        <v>C</v>
      </c>
      <c r="I352" s="2">
        <v>5</v>
      </c>
      <c r="J352" s="2">
        <f t="shared" si="32"/>
        <v>-1</v>
      </c>
      <c r="K352" s="2" t="str">
        <f t="shared" si="33"/>
        <v>B</v>
      </c>
      <c r="L352" s="2" t="str">
        <f t="shared" si="34"/>
        <v>C</v>
      </c>
      <c r="M352" s="2" t="s">
        <v>77</v>
      </c>
      <c r="N352" s="2">
        <f t="shared" si="35"/>
        <v>1</v>
      </c>
      <c r="O352" s="2" t="s">
        <v>26</v>
      </c>
      <c r="P352" s="2">
        <v>214</v>
      </c>
    </row>
    <row r="353" ht="23" customHeight="1" spans="1:16">
      <c r="A353" s="6" t="s">
        <v>445</v>
      </c>
      <c r="B353" s="2" t="s">
        <v>50</v>
      </c>
      <c r="C353" s="2" t="s">
        <v>23</v>
      </c>
      <c r="D353" s="2">
        <v>1</v>
      </c>
      <c r="E353" s="6" t="s">
        <v>497</v>
      </c>
      <c r="F353" s="2" t="str">
        <f t="shared" si="30"/>
        <v>C</v>
      </c>
      <c r="G353" s="2">
        <v>5</v>
      </c>
      <c r="H353" s="2" t="str">
        <f t="shared" si="31"/>
        <v>B</v>
      </c>
      <c r="I353" s="2">
        <v>3</v>
      </c>
      <c r="J353" s="2">
        <f t="shared" si="32"/>
        <v>2</v>
      </c>
      <c r="K353" s="2" t="str">
        <f t="shared" si="33"/>
        <v>A</v>
      </c>
      <c r="L353" s="2" t="str">
        <f t="shared" si="34"/>
        <v>C</v>
      </c>
      <c r="M353" s="2" t="s">
        <v>77</v>
      </c>
      <c r="N353" s="2">
        <f t="shared" si="35"/>
        <v>1</v>
      </c>
      <c r="O353" s="2" t="s">
        <v>22</v>
      </c>
      <c r="P353" s="2">
        <v>215</v>
      </c>
    </row>
    <row r="354" ht="23" customHeight="1" spans="1:16">
      <c r="A354" s="6" t="s">
        <v>445</v>
      </c>
      <c r="B354" s="2" t="s">
        <v>50</v>
      </c>
      <c r="C354" s="2" t="s">
        <v>17</v>
      </c>
      <c r="D354" s="2">
        <v>2</v>
      </c>
      <c r="E354" s="6" t="s">
        <v>498</v>
      </c>
      <c r="F354" s="2" t="str">
        <f t="shared" si="30"/>
        <v>B</v>
      </c>
      <c r="G354" s="2">
        <v>3</v>
      </c>
      <c r="H354" s="2" t="str">
        <f t="shared" si="31"/>
        <v>C</v>
      </c>
      <c r="I354" s="2">
        <v>3</v>
      </c>
      <c r="J354" s="2">
        <f t="shared" si="32"/>
        <v>0</v>
      </c>
      <c r="K354" s="2" t="str">
        <f t="shared" si="33"/>
        <v>C</v>
      </c>
      <c r="L354" s="2" t="str">
        <f t="shared" si="34"/>
        <v>D(平局)</v>
      </c>
      <c r="M354" s="2" t="s">
        <v>77</v>
      </c>
      <c r="N354" s="2">
        <f t="shared" si="35"/>
        <v>0</v>
      </c>
      <c r="O354" s="2" t="s">
        <v>26</v>
      </c>
      <c r="P354" s="2">
        <v>214</v>
      </c>
    </row>
    <row r="355" ht="23" customHeight="1" spans="1:16">
      <c r="A355" s="6" t="s">
        <v>445</v>
      </c>
      <c r="B355" s="2" t="s">
        <v>50</v>
      </c>
      <c r="C355" s="2" t="s">
        <v>23</v>
      </c>
      <c r="D355" s="2">
        <v>2</v>
      </c>
      <c r="E355" s="6" t="s">
        <v>498</v>
      </c>
      <c r="F355" s="2" t="str">
        <f t="shared" si="30"/>
        <v>C</v>
      </c>
      <c r="G355" s="2">
        <v>5</v>
      </c>
      <c r="H355" s="2" t="str">
        <f t="shared" si="31"/>
        <v>B</v>
      </c>
      <c r="I355" s="2">
        <v>3</v>
      </c>
      <c r="J355" s="2">
        <f t="shared" si="32"/>
        <v>2</v>
      </c>
      <c r="K355" s="2" t="str">
        <f t="shared" si="33"/>
        <v>A</v>
      </c>
      <c r="L355" s="2" t="str">
        <f t="shared" si="34"/>
        <v>C</v>
      </c>
      <c r="M355" s="2" t="s">
        <v>77</v>
      </c>
      <c r="N355" s="2">
        <f t="shared" si="35"/>
        <v>1</v>
      </c>
      <c r="O355" s="2" t="s">
        <v>22</v>
      </c>
      <c r="P355" s="2">
        <v>215</v>
      </c>
    </row>
    <row r="356" ht="23" customHeight="1" spans="1:16">
      <c r="A356" s="6" t="s">
        <v>445</v>
      </c>
      <c r="B356" s="2" t="s">
        <v>50</v>
      </c>
      <c r="C356" s="2" t="s">
        <v>17</v>
      </c>
      <c r="D356" s="2">
        <v>3</v>
      </c>
      <c r="E356" s="6" t="s">
        <v>499</v>
      </c>
      <c r="F356" s="2" t="str">
        <f t="shared" si="30"/>
        <v>B</v>
      </c>
      <c r="G356" s="2">
        <v>4</v>
      </c>
      <c r="H356" s="2" t="str">
        <f t="shared" si="31"/>
        <v>C</v>
      </c>
      <c r="I356" s="2">
        <v>5</v>
      </c>
      <c r="J356" s="2">
        <f t="shared" si="32"/>
        <v>-1</v>
      </c>
      <c r="K356" s="2" t="str">
        <f t="shared" si="33"/>
        <v>B</v>
      </c>
      <c r="L356" s="2" t="str">
        <f t="shared" si="34"/>
        <v>C</v>
      </c>
      <c r="M356" s="2" t="s">
        <v>77</v>
      </c>
      <c r="N356" s="2">
        <f t="shared" si="35"/>
        <v>1</v>
      </c>
      <c r="O356" s="2" t="s">
        <v>26</v>
      </c>
      <c r="P356" s="2">
        <v>214</v>
      </c>
    </row>
    <row r="357" ht="23" customHeight="1" spans="1:16">
      <c r="A357" s="6" t="s">
        <v>445</v>
      </c>
      <c r="B357" s="2" t="s">
        <v>50</v>
      </c>
      <c r="C357" s="2" t="s">
        <v>23</v>
      </c>
      <c r="D357" s="2">
        <v>3</v>
      </c>
      <c r="E357" s="6" t="s">
        <v>499</v>
      </c>
      <c r="F357" s="2" t="str">
        <f t="shared" si="30"/>
        <v>C</v>
      </c>
      <c r="G357" s="2">
        <v>5</v>
      </c>
      <c r="H357" s="2" t="str">
        <f t="shared" si="31"/>
        <v>B</v>
      </c>
      <c r="I357" s="2">
        <v>3</v>
      </c>
      <c r="J357" s="2">
        <f t="shared" si="32"/>
        <v>2</v>
      </c>
      <c r="K357" s="2" t="str">
        <f t="shared" si="33"/>
        <v>A</v>
      </c>
      <c r="L357" s="2" t="str">
        <f t="shared" si="34"/>
        <v>C</v>
      </c>
      <c r="M357" s="2" t="s">
        <v>77</v>
      </c>
      <c r="N357" s="2">
        <f t="shared" si="35"/>
        <v>1</v>
      </c>
      <c r="O357" s="2" t="s">
        <v>22</v>
      </c>
      <c r="P357" s="2">
        <v>215</v>
      </c>
    </row>
    <row r="358" ht="23" customHeight="1" spans="1:16">
      <c r="A358" s="6" t="s">
        <v>445</v>
      </c>
      <c r="B358" s="2" t="s">
        <v>50</v>
      </c>
      <c r="C358" s="2" t="s">
        <v>17</v>
      </c>
      <c r="D358" s="2">
        <v>4</v>
      </c>
      <c r="E358" s="6" t="s">
        <v>500</v>
      </c>
      <c r="F358" s="2" t="str">
        <f t="shared" si="30"/>
        <v>B</v>
      </c>
      <c r="G358" s="2">
        <v>4</v>
      </c>
      <c r="H358" s="2" t="str">
        <f t="shared" si="31"/>
        <v>C</v>
      </c>
      <c r="I358" s="2">
        <v>5</v>
      </c>
      <c r="J358" s="2">
        <f t="shared" si="32"/>
        <v>-1</v>
      </c>
      <c r="K358" s="2" t="str">
        <f t="shared" si="33"/>
        <v>B</v>
      </c>
      <c r="L358" s="2" t="str">
        <f t="shared" si="34"/>
        <v>C</v>
      </c>
      <c r="M358" s="2" t="s">
        <v>77</v>
      </c>
      <c r="N358" s="2">
        <f t="shared" si="35"/>
        <v>1</v>
      </c>
      <c r="O358" s="2" t="s">
        <v>26</v>
      </c>
      <c r="P358" s="2">
        <v>214</v>
      </c>
    </row>
    <row r="359" ht="23" customHeight="1" spans="1:16">
      <c r="A359" s="6" t="s">
        <v>445</v>
      </c>
      <c r="B359" s="2" t="s">
        <v>50</v>
      </c>
      <c r="C359" s="2" t="s">
        <v>23</v>
      </c>
      <c r="D359" s="2">
        <v>4</v>
      </c>
      <c r="E359" s="6" t="s">
        <v>500</v>
      </c>
      <c r="F359" s="2" t="str">
        <f t="shared" si="30"/>
        <v>C</v>
      </c>
      <c r="G359" s="2">
        <v>5</v>
      </c>
      <c r="H359" s="2" t="str">
        <f t="shared" si="31"/>
        <v>B</v>
      </c>
      <c r="I359" s="2">
        <v>3</v>
      </c>
      <c r="J359" s="2">
        <f t="shared" si="32"/>
        <v>2</v>
      </c>
      <c r="K359" s="2" t="str">
        <f t="shared" si="33"/>
        <v>A</v>
      </c>
      <c r="L359" s="2" t="str">
        <f t="shared" si="34"/>
        <v>C</v>
      </c>
      <c r="M359" s="2" t="s">
        <v>77</v>
      </c>
      <c r="N359" s="2">
        <f t="shared" si="35"/>
        <v>1</v>
      </c>
      <c r="O359" s="2" t="s">
        <v>22</v>
      </c>
      <c r="P359" s="2">
        <v>215</v>
      </c>
    </row>
    <row r="360" ht="23" customHeight="1" spans="1:16">
      <c r="A360" s="6" t="s">
        <v>445</v>
      </c>
      <c r="B360" s="2" t="s">
        <v>50</v>
      </c>
      <c r="C360" s="2" t="s">
        <v>17</v>
      </c>
      <c r="D360" s="2">
        <v>5</v>
      </c>
      <c r="E360" s="6" t="s">
        <v>501</v>
      </c>
      <c r="F360" s="2" t="str">
        <f t="shared" si="30"/>
        <v>B</v>
      </c>
      <c r="G360" s="2">
        <v>3</v>
      </c>
      <c r="H360" s="2" t="str">
        <f t="shared" si="31"/>
        <v>C</v>
      </c>
      <c r="I360" s="2">
        <v>5</v>
      </c>
      <c r="J360" s="2">
        <f t="shared" si="32"/>
        <v>-2</v>
      </c>
      <c r="K360" s="2" t="str">
        <f t="shared" si="33"/>
        <v>B</v>
      </c>
      <c r="L360" s="2" t="str">
        <f t="shared" si="34"/>
        <v>C</v>
      </c>
      <c r="M360" s="2" t="s">
        <v>77</v>
      </c>
      <c r="N360" s="2">
        <f t="shared" si="35"/>
        <v>1</v>
      </c>
      <c r="O360" s="2" t="s">
        <v>26</v>
      </c>
      <c r="P360" s="2">
        <v>214</v>
      </c>
    </row>
    <row r="361" ht="23" customHeight="1" spans="1:16">
      <c r="A361" s="6" t="s">
        <v>445</v>
      </c>
      <c r="B361" s="2" t="s">
        <v>50</v>
      </c>
      <c r="C361" s="2" t="s">
        <v>23</v>
      </c>
      <c r="D361" s="2">
        <v>5</v>
      </c>
      <c r="E361" s="6" t="s">
        <v>501</v>
      </c>
      <c r="F361" s="2" t="str">
        <f t="shared" si="30"/>
        <v>C</v>
      </c>
      <c r="G361" s="2">
        <v>5</v>
      </c>
      <c r="H361" s="2" t="str">
        <f t="shared" si="31"/>
        <v>B</v>
      </c>
      <c r="I361" s="2">
        <v>3</v>
      </c>
      <c r="J361" s="2">
        <f t="shared" si="32"/>
        <v>2</v>
      </c>
      <c r="K361" s="2" t="str">
        <f t="shared" si="33"/>
        <v>A</v>
      </c>
      <c r="L361" s="2" t="str">
        <f t="shared" si="34"/>
        <v>C</v>
      </c>
      <c r="M361" s="2" t="s">
        <v>77</v>
      </c>
      <c r="N361" s="2">
        <f t="shared" si="35"/>
        <v>1</v>
      </c>
      <c r="O361" s="2" t="s">
        <v>22</v>
      </c>
      <c r="P361" s="2">
        <v>215</v>
      </c>
    </row>
  </sheetData>
  <conditionalFormatting sqref="N2:N361">
    <cfRule type="cellIs" dxfId="2" priority="1" operator="equal">
      <formula>1</formula>
    </cfRule>
    <cfRule type="cellIs" dxfId="3" priority="2" operator="equal">
      <formula>0</formula>
    </cfRule>
  </conditionalFormatting>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81"/>
  <sheetViews>
    <sheetView showGridLines="0" workbookViewId="0">
      <selection activeCell="A1" sqref="A1"/>
    </sheetView>
  </sheetViews>
  <sheetFormatPr defaultColWidth="9" defaultRowHeight="13.85"/>
  <cols>
    <col min="1" max="1" width="30" customWidth="1"/>
    <col min="2" max="3" width="12" customWidth="1"/>
    <col min="4" max="4" width="46" customWidth="1"/>
    <col min="5" max="21" width="14" customWidth="1"/>
  </cols>
  <sheetData>
    <row r="1" ht="42" customHeight="1" spans="1:21">
      <c r="A1" s="5" t="s">
        <v>0</v>
      </c>
      <c r="B1" s="5" t="s">
        <v>483</v>
      </c>
      <c r="C1" s="5" t="s">
        <v>485</v>
      </c>
      <c r="D1" s="5" t="s">
        <v>486</v>
      </c>
      <c r="E1" s="5" t="s">
        <v>502</v>
      </c>
      <c r="F1" s="5" t="s">
        <v>503</v>
      </c>
      <c r="G1" s="5" t="s">
        <v>504</v>
      </c>
      <c r="H1" s="5" t="s">
        <v>505</v>
      </c>
      <c r="I1" s="5" t="s">
        <v>506</v>
      </c>
      <c r="J1" s="5" t="s">
        <v>507</v>
      </c>
      <c r="K1" s="5" t="s">
        <v>508</v>
      </c>
      <c r="L1" s="5" t="s">
        <v>509</v>
      </c>
      <c r="M1" s="5" t="s">
        <v>510</v>
      </c>
      <c r="N1" s="5" t="s">
        <v>511</v>
      </c>
      <c r="O1" s="5" t="s">
        <v>512</v>
      </c>
      <c r="P1" s="5" t="s">
        <v>513</v>
      </c>
      <c r="Q1" s="5" t="s">
        <v>493</v>
      </c>
      <c r="R1" s="5" t="s">
        <v>494</v>
      </c>
      <c r="S1" s="5" t="s">
        <v>514</v>
      </c>
      <c r="T1" s="5" t="s">
        <v>515</v>
      </c>
      <c r="U1" s="5" t="s">
        <v>516</v>
      </c>
    </row>
    <row r="2" ht="23" customHeight="1" spans="1:21">
      <c r="A2" s="6" t="s">
        <v>13</v>
      </c>
      <c r="B2" s="2" t="s">
        <v>15</v>
      </c>
      <c r="C2" s="2">
        <v>1</v>
      </c>
      <c r="D2" s="6" t="s">
        <v>497</v>
      </c>
      <c r="E2" s="2" t="str">
        <f>five子指标方向明细!F2</f>
        <v>A</v>
      </c>
      <c r="F2" s="2">
        <f>five子指标方向明细!G2</f>
        <v>5</v>
      </c>
      <c r="G2" s="2" t="str">
        <f>five子指标方向明细!H2</f>
        <v>B</v>
      </c>
      <c r="H2" s="2">
        <f>five子指标方向明细!I2</f>
        <v>4</v>
      </c>
      <c r="I2" s="2" t="str">
        <f>five子指标方向明细!L2</f>
        <v>A</v>
      </c>
      <c r="J2" s="2" t="str">
        <f>five子指标方向明细!F3</f>
        <v>B</v>
      </c>
      <c r="K2" s="2">
        <f>five子指标方向明细!G3</f>
        <v>4</v>
      </c>
      <c r="L2" s="2" t="str">
        <f>five子指标方向明细!H3</f>
        <v>A</v>
      </c>
      <c r="M2" s="2">
        <f>five子指标方向明细!I3</f>
        <v>5</v>
      </c>
      <c r="N2" s="2" t="str">
        <f>five子指标方向明细!L3</f>
        <v>A</v>
      </c>
      <c r="O2" s="2">
        <f t="shared" ref="O2:O65" si="0">--(I2=N2)</f>
        <v>1</v>
      </c>
      <c r="P2" s="2" t="str">
        <f t="shared" ref="P2:P65" si="1">IF(I2=N2,I2,"D(平局)")</f>
        <v>A</v>
      </c>
      <c r="Q2" s="2" t="s">
        <v>22</v>
      </c>
      <c r="R2" s="2">
        <f t="shared" ref="R2:R65" si="2">--(P2=Q2)</f>
        <v>1</v>
      </c>
      <c r="S2" s="2">
        <v>2</v>
      </c>
      <c r="T2" s="2">
        <v>3</v>
      </c>
      <c r="U2" s="2" t="str">
        <f t="shared" ref="U2:U65" si="3">IF(P2&lt;&gt;"D(平局)","",IF(O2=0,"方向冲突","双向评分平局"))</f>
        <v/>
      </c>
    </row>
    <row r="3" ht="23" customHeight="1" spans="1:21">
      <c r="A3" s="6" t="s">
        <v>13</v>
      </c>
      <c r="B3" s="2" t="s">
        <v>15</v>
      </c>
      <c r="C3" s="2">
        <v>2</v>
      </c>
      <c r="D3" s="6" t="s">
        <v>498</v>
      </c>
      <c r="E3" s="2" t="str">
        <f>five子指标方向明细!F4</f>
        <v>A</v>
      </c>
      <c r="F3" s="2">
        <f>five子指标方向明细!G4</f>
        <v>5</v>
      </c>
      <c r="G3" s="2" t="str">
        <f>five子指标方向明细!H4</f>
        <v>B</v>
      </c>
      <c r="H3" s="2">
        <f>five子指标方向明细!I4</f>
        <v>3</v>
      </c>
      <c r="I3" s="2" t="str">
        <f>five子指标方向明细!L4</f>
        <v>A</v>
      </c>
      <c r="J3" s="2" t="str">
        <f>five子指标方向明细!F5</f>
        <v>B</v>
      </c>
      <c r="K3" s="2">
        <f>five子指标方向明细!G5</f>
        <v>3</v>
      </c>
      <c r="L3" s="2" t="str">
        <f>five子指标方向明细!H5</f>
        <v>A</v>
      </c>
      <c r="M3" s="2">
        <f>five子指标方向明细!I5</f>
        <v>5</v>
      </c>
      <c r="N3" s="2" t="str">
        <f>five子指标方向明细!L5</f>
        <v>A</v>
      </c>
      <c r="O3" s="2">
        <f t="shared" si="0"/>
        <v>1</v>
      </c>
      <c r="P3" s="2" t="str">
        <f t="shared" si="1"/>
        <v>A</v>
      </c>
      <c r="Q3" s="2" t="s">
        <v>22</v>
      </c>
      <c r="R3" s="2">
        <f t="shared" si="2"/>
        <v>1</v>
      </c>
      <c r="S3" s="2">
        <v>4</v>
      </c>
      <c r="T3" s="2">
        <v>5</v>
      </c>
      <c r="U3" s="2" t="str">
        <f t="shared" si="3"/>
        <v/>
      </c>
    </row>
    <row r="4" ht="23" customHeight="1" spans="1:21">
      <c r="A4" s="6" t="s">
        <v>13</v>
      </c>
      <c r="B4" s="2" t="s">
        <v>15</v>
      </c>
      <c r="C4" s="2">
        <v>3</v>
      </c>
      <c r="D4" s="6" t="s">
        <v>499</v>
      </c>
      <c r="E4" s="2" t="str">
        <f>five子指标方向明细!F6</f>
        <v>A</v>
      </c>
      <c r="F4" s="2">
        <f>five子指标方向明细!G6</f>
        <v>5</v>
      </c>
      <c r="G4" s="2" t="str">
        <f>five子指标方向明细!H6</f>
        <v>B</v>
      </c>
      <c r="H4" s="2">
        <f>five子指标方向明细!I6</f>
        <v>3</v>
      </c>
      <c r="I4" s="2" t="str">
        <f>five子指标方向明细!L6</f>
        <v>A</v>
      </c>
      <c r="J4" s="2" t="str">
        <f>five子指标方向明细!F7</f>
        <v>B</v>
      </c>
      <c r="K4" s="2">
        <f>five子指标方向明细!G7</f>
        <v>3</v>
      </c>
      <c r="L4" s="2" t="str">
        <f>five子指标方向明细!H7</f>
        <v>A</v>
      </c>
      <c r="M4" s="2">
        <f>five子指标方向明细!I7</f>
        <v>5</v>
      </c>
      <c r="N4" s="2" t="str">
        <f>five子指标方向明细!L7</f>
        <v>A</v>
      </c>
      <c r="O4" s="2">
        <f t="shared" si="0"/>
        <v>1</v>
      </c>
      <c r="P4" s="2" t="str">
        <f t="shared" si="1"/>
        <v>A</v>
      </c>
      <c r="Q4" s="2" t="s">
        <v>22</v>
      </c>
      <c r="R4" s="2">
        <f t="shared" si="2"/>
        <v>1</v>
      </c>
      <c r="S4" s="2">
        <v>6</v>
      </c>
      <c r="T4" s="2">
        <v>7</v>
      </c>
      <c r="U4" s="2" t="str">
        <f t="shared" si="3"/>
        <v/>
      </c>
    </row>
    <row r="5" ht="23" customHeight="1" spans="1:21">
      <c r="A5" s="6" t="s">
        <v>13</v>
      </c>
      <c r="B5" s="2" t="s">
        <v>15</v>
      </c>
      <c r="C5" s="2">
        <v>4</v>
      </c>
      <c r="D5" s="6" t="s">
        <v>500</v>
      </c>
      <c r="E5" s="2" t="str">
        <f>five子指标方向明细!F8</f>
        <v>A</v>
      </c>
      <c r="F5" s="2">
        <f>five子指标方向明细!G8</f>
        <v>5</v>
      </c>
      <c r="G5" s="2" t="str">
        <f>five子指标方向明细!H8</f>
        <v>B</v>
      </c>
      <c r="H5" s="2">
        <f>five子指标方向明细!I8</f>
        <v>4</v>
      </c>
      <c r="I5" s="2" t="str">
        <f>five子指标方向明细!L8</f>
        <v>A</v>
      </c>
      <c r="J5" s="2" t="str">
        <f>five子指标方向明细!F9</f>
        <v>B</v>
      </c>
      <c r="K5" s="2">
        <f>five子指标方向明细!G9</f>
        <v>4</v>
      </c>
      <c r="L5" s="2" t="str">
        <f>five子指标方向明细!H9</f>
        <v>A</v>
      </c>
      <c r="M5" s="2">
        <f>five子指标方向明细!I9</f>
        <v>5</v>
      </c>
      <c r="N5" s="2" t="str">
        <f>five子指标方向明细!L9</f>
        <v>A</v>
      </c>
      <c r="O5" s="2">
        <f t="shared" si="0"/>
        <v>1</v>
      </c>
      <c r="P5" s="2" t="str">
        <f t="shared" si="1"/>
        <v>A</v>
      </c>
      <c r="Q5" s="2" t="s">
        <v>22</v>
      </c>
      <c r="R5" s="2">
        <f t="shared" si="2"/>
        <v>1</v>
      </c>
      <c r="S5" s="2">
        <v>8</v>
      </c>
      <c r="T5" s="2">
        <v>9</v>
      </c>
      <c r="U5" s="2" t="str">
        <f t="shared" si="3"/>
        <v/>
      </c>
    </row>
    <row r="6" ht="23" customHeight="1" spans="1:21">
      <c r="A6" s="6" t="s">
        <v>13</v>
      </c>
      <c r="B6" s="2" t="s">
        <v>15</v>
      </c>
      <c r="C6" s="2">
        <v>5</v>
      </c>
      <c r="D6" s="6" t="s">
        <v>501</v>
      </c>
      <c r="E6" s="2" t="str">
        <f>five子指标方向明细!F10</f>
        <v>A</v>
      </c>
      <c r="F6" s="2">
        <f>five子指标方向明细!G10</f>
        <v>5</v>
      </c>
      <c r="G6" s="2" t="str">
        <f>five子指标方向明细!H10</f>
        <v>B</v>
      </c>
      <c r="H6" s="2">
        <f>five子指标方向明细!I10</f>
        <v>4</v>
      </c>
      <c r="I6" s="2" t="str">
        <f>five子指标方向明细!L10</f>
        <v>A</v>
      </c>
      <c r="J6" s="2" t="str">
        <f>five子指标方向明细!F11</f>
        <v>B</v>
      </c>
      <c r="K6" s="2">
        <f>five子指标方向明细!G11</f>
        <v>4</v>
      </c>
      <c r="L6" s="2" t="str">
        <f>five子指标方向明细!H11</f>
        <v>A</v>
      </c>
      <c r="M6" s="2">
        <f>five子指标方向明细!I11</f>
        <v>5</v>
      </c>
      <c r="N6" s="2" t="str">
        <f>five子指标方向明细!L11</f>
        <v>A</v>
      </c>
      <c r="O6" s="2">
        <f t="shared" si="0"/>
        <v>1</v>
      </c>
      <c r="P6" s="2" t="str">
        <f t="shared" si="1"/>
        <v>A</v>
      </c>
      <c r="Q6" s="2" t="s">
        <v>22</v>
      </c>
      <c r="R6" s="2">
        <f t="shared" si="2"/>
        <v>1</v>
      </c>
      <c r="S6" s="2">
        <v>10</v>
      </c>
      <c r="T6" s="2">
        <v>11</v>
      </c>
      <c r="U6" s="2" t="str">
        <f t="shared" si="3"/>
        <v/>
      </c>
    </row>
    <row r="7" ht="23" customHeight="1" spans="1:21">
      <c r="A7" s="6" t="s">
        <v>13</v>
      </c>
      <c r="B7" s="2" t="s">
        <v>37</v>
      </c>
      <c r="C7" s="2">
        <v>1</v>
      </c>
      <c r="D7" s="6" t="s">
        <v>497</v>
      </c>
      <c r="E7" s="2" t="str">
        <f>five子指标方向明细!F12</f>
        <v>A</v>
      </c>
      <c r="F7" s="2">
        <f>five子指标方向明细!G12</f>
        <v>5</v>
      </c>
      <c r="G7" s="2" t="str">
        <f>five子指标方向明细!H12</f>
        <v>C</v>
      </c>
      <c r="H7" s="2">
        <f>five子指标方向明细!I12</f>
        <v>2</v>
      </c>
      <c r="I7" s="2" t="str">
        <f>five子指标方向明细!L12</f>
        <v>A</v>
      </c>
      <c r="J7" s="2" t="str">
        <f>five子指标方向明细!F13</f>
        <v>C</v>
      </c>
      <c r="K7" s="2">
        <f>five子指标方向明细!G13</f>
        <v>2</v>
      </c>
      <c r="L7" s="2" t="str">
        <f>five子指标方向明细!H13</f>
        <v>A</v>
      </c>
      <c r="M7" s="2">
        <f>five子指标方向明细!I13</f>
        <v>5</v>
      </c>
      <c r="N7" s="2" t="str">
        <f>five子指标方向明细!L13</f>
        <v>A</v>
      </c>
      <c r="O7" s="2">
        <f t="shared" si="0"/>
        <v>1</v>
      </c>
      <c r="P7" s="2" t="str">
        <f t="shared" si="1"/>
        <v>A</v>
      </c>
      <c r="Q7" s="2" t="s">
        <v>22</v>
      </c>
      <c r="R7" s="2">
        <f t="shared" si="2"/>
        <v>1</v>
      </c>
      <c r="S7" s="2">
        <v>12</v>
      </c>
      <c r="T7" s="2">
        <v>13</v>
      </c>
      <c r="U7" s="2" t="str">
        <f t="shared" si="3"/>
        <v/>
      </c>
    </row>
    <row r="8" ht="23" customHeight="1" spans="1:21">
      <c r="A8" s="6" t="s">
        <v>13</v>
      </c>
      <c r="B8" s="2" t="s">
        <v>37</v>
      </c>
      <c r="C8" s="2">
        <v>2</v>
      </c>
      <c r="D8" s="6" t="s">
        <v>498</v>
      </c>
      <c r="E8" s="2" t="str">
        <f>five子指标方向明细!F14</f>
        <v>A</v>
      </c>
      <c r="F8" s="2">
        <f>five子指标方向明细!G14</f>
        <v>5</v>
      </c>
      <c r="G8" s="2" t="str">
        <f>five子指标方向明细!H14</f>
        <v>C</v>
      </c>
      <c r="H8" s="2">
        <f>five子指标方向明细!I14</f>
        <v>2</v>
      </c>
      <c r="I8" s="2" t="str">
        <f>five子指标方向明细!L14</f>
        <v>A</v>
      </c>
      <c r="J8" s="2" t="str">
        <f>five子指标方向明细!F15</f>
        <v>C</v>
      </c>
      <c r="K8" s="2">
        <f>five子指标方向明细!G15</f>
        <v>2</v>
      </c>
      <c r="L8" s="2" t="str">
        <f>five子指标方向明细!H15</f>
        <v>A</v>
      </c>
      <c r="M8" s="2">
        <f>five子指标方向明细!I15</f>
        <v>5</v>
      </c>
      <c r="N8" s="2" t="str">
        <f>five子指标方向明细!L15</f>
        <v>A</v>
      </c>
      <c r="O8" s="2">
        <f t="shared" si="0"/>
        <v>1</v>
      </c>
      <c r="P8" s="2" t="str">
        <f t="shared" si="1"/>
        <v>A</v>
      </c>
      <c r="Q8" s="2" t="s">
        <v>22</v>
      </c>
      <c r="R8" s="2">
        <f t="shared" si="2"/>
        <v>1</v>
      </c>
      <c r="S8" s="2">
        <v>14</v>
      </c>
      <c r="T8" s="2">
        <v>15</v>
      </c>
      <c r="U8" s="2" t="str">
        <f t="shared" si="3"/>
        <v/>
      </c>
    </row>
    <row r="9" ht="23" customHeight="1" spans="1:21">
      <c r="A9" s="6" t="s">
        <v>13</v>
      </c>
      <c r="B9" s="2" t="s">
        <v>37</v>
      </c>
      <c r="C9" s="2">
        <v>3</v>
      </c>
      <c r="D9" s="6" t="s">
        <v>499</v>
      </c>
      <c r="E9" s="2" t="str">
        <f>five子指标方向明细!F16</f>
        <v>A</v>
      </c>
      <c r="F9" s="2">
        <f>five子指标方向明细!G16</f>
        <v>5</v>
      </c>
      <c r="G9" s="2" t="str">
        <f>five子指标方向明细!H16</f>
        <v>C</v>
      </c>
      <c r="H9" s="2">
        <f>five子指标方向明细!I16</f>
        <v>1</v>
      </c>
      <c r="I9" s="2" t="str">
        <f>five子指标方向明细!L16</f>
        <v>A</v>
      </c>
      <c r="J9" s="2" t="str">
        <f>five子指标方向明细!F17</f>
        <v>C</v>
      </c>
      <c r="K9" s="2">
        <f>five子指标方向明细!G17</f>
        <v>2</v>
      </c>
      <c r="L9" s="2" t="str">
        <f>five子指标方向明细!H17</f>
        <v>A</v>
      </c>
      <c r="M9" s="2">
        <f>five子指标方向明细!I17</f>
        <v>5</v>
      </c>
      <c r="N9" s="2" t="str">
        <f>five子指标方向明细!L17</f>
        <v>A</v>
      </c>
      <c r="O9" s="2">
        <f t="shared" si="0"/>
        <v>1</v>
      </c>
      <c r="P9" s="2" t="str">
        <f t="shared" si="1"/>
        <v>A</v>
      </c>
      <c r="Q9" s="2" t="s">
        <v>22</v>
      </c>
      <c r="R9" s="2">
        <f t="shared" si="2"/>
        <v>1</v>
      </c>
      <c r="S9" s="2">
        <v>16</v>
      </c>
      <c r="T9" s="2">
        <v>17</v>
      </c>
      <c r="U9" s="2" t="str">
        <f t="shared" si="3"/>
        <v/>
      </c>
    </row>
    <row r="10" ht="23" customHeight="1" spans="1:21">
      <c r="A10" s="6" t="s">
        <v>13</v>
      </c>
      <c r="B10" s="2" t="s">
        <v>37</v>
      </c>
      <c r="C10" s="2">
        <v>4</v>
      </c>
      <c r="D10" s="6" t="s">
        <v>500</v>
      </c>
      <c r="E10" s="2" t="str">
        <f>five子指标方向明细!F18</f>
        <v>A</v>
      </c>
      <c r="F10" s="2">
        <f>five子指标方向明细!G18</f>
        <v>5</v>
      </c>
      <c r="G10" s="2" t="str">
        <f>five子指标方向明细!H18</f>
        <v>C</v>
      </c>
      <c r="H10" s="2">
        <f>five子指标方向明细!I18</f>
        <v>3</v>
      </c>
      <c r="I10" s="2" t="str">
        <f>five子指标方向明细!L18</f>
        <v>A</v>
      </c>
      <c r="J10" s="2" t="str">
        <f>five子指标方向明细!F19</f>
        <v>C</v>
      </c>
      <c r="K10" s="2">
        <f>five子指标方向明细!G19</f>
        <v>4</v>
      </c>
      <c r="L10" s="2" t="str">
        <f>five子指标方向明细!H19</f>
        <v>A</v>
      </c>
      <c r="M10" s="2">
        <f>five子指标方向明细!I19</f>
        <v>5</v>
      </c>
      <c r="N10" s="2" t="str">
        <f>five子指标方向明细!L19</f>
        <v>A</v>
      </c>
      <c r="O10" s="2">
        <f t="shared" si="0"/>
        <v>1</v>
      </c>
      <c r="P10" s="2" t="str">
        <f t="shared" si="1"/>
        <v>A</v>
      </c>
      <c r="Q10" s="2" t="s">
        <v>22</v>
      </c>
      <c r="R10" s="2">
        <f t="shared" si="2"/>
        <v>1</v>
      </c>
      <c r="S10" s="2">
        <v>18</v>
      </c>
      <c r="T10" s="2">
        <v>19</v>
      </c>
      <c r="U10" s="2" t="str">
        <f t="shared" si="3"/>
        <v/>
      </c>
    </row>
    <row r="11" ht="23" customHeight="1" spans="1:21">
      <c r="A11" s="6" t="s">
        <v>13</v>
      </c>
      <c r="B11" s="2" t="s">
        <v>37</v>
      </c>
      <c r="C11" s="2">
        <v>5</v>
      </c>
      <c r="D11" s="6" t="s">
        <v>501</v>
      </c>
      <c r="E11" s="2" t="str">
        <f>five子指标方向明细!F20</f>
        <v>A</v>
      </c>
      <c r="F11" s="2">
        <f>five子指标方向明细!G20</f>
        <v>5</v>
      </c>
      <c r="G11" s="2" t="str">
        <f>five子指标方向明细!H20</f>
        <v>C</v>
      </c>
      <c r="H11" s="2">
        <f>five子指标方向明细!I20</f>
        <v>4</v>
      </c>
      <c r="I11" s="2" t="str">
        <f>five子指标方向明细!L20</f>
        <v>A</v>
      </c>
      <c r="J11" s="2" t="str">
        <f>five子指标方向明细!F21</f>
        <v>C</v>
      </c>
      <c r="K11" s="2">
        <f>five子指标方向明细!G21</f>
        <v>3</v>
      </c>
      <c r="L11" s="2" t="str">
        <f>five子指标方向明细!H21</f>
        <v>A</v>
      </c>
      <c r="M11" s="2">
        <f>five子指标方向明细!I21</f>
        <v>5</v>
      </c>
      <c r="N11" s="2" t="str">
        <f>five子指标方向明细!L21</f>
        <v>A</v>
      </c>
      <c r="O11" s="2">
        <f t="shared" si="0"/>
        <v>1</v>
      </c>
      <c r="P11" s="2" t="str">
        <f t="shared" si="1"/>
        <v>A</v>
      </c>
      <c r="Q11" s="2" t="s">
        <v>22</v>
      </c>
      <c r="R11" s="2">
        <f t="shared" si="2"/>
        <v>1</v>
      </c>
      <c r="S11" s="2">
        <v>20</v>
      </c>
      <c r="T11" s="2">
        <v>21</v>
      </c>
      <c r="U11" s="2" t="str">
        <f t="shared" si="3"/>
        <v/>
      </c>
    </row>
    <row r="12" ht="23" customHeight="1" spans="1:21">
      <c r="A12" s="6" t="s">
        <v>13</v>
      </c>
      <c r="B12" s="2" t="s">
        <v>50</v>
      </c>
      <c r="C12" s="2">
        <v>1</v>
      </c>
      <c r="D12" s="6" t="s">
        <v>497</v>
      </c>
      <c r="E12" s="2" t="str">
        <f>five子指标方向明细!F22</f>
        <v>B</v>
      </c>
      <c r="F12" s="2">
        <f>five子指标方向明细!G22</f>
        <v>5</v>
      </c>
      <c r="G12" s="2" t="str">
        <f>five子指标方向明细!H22</f>
        <v>C</v>
      </c>
      <c r="H12" s="2">
        <f>five子指标方向明细!I22</f>
        <v>4</v>
      </c>
      <c r="I12" s="2" t="str">
        <f>five子指标方向明细!L22</f>
        <v>B</v>
      </c>
      <c r="J12" s="2" t="str">
        <f>five子指标方向明细!F23</f>
        <v>C</v>
      </c>
      <c r="K12" s="2">
        <f>five子指标方向明细!G23</f>
        <v>3</v>
      </c>
      <c r="L12" s="2" t="str">
        <f>five子指标方向明细!H23</f>
        <v>B</v>
      </c>
      <c r="M12" s="2">
        <f>five子指标方向明细!I23</f>
        <v>5</v>
      </c>
      <c r="N12" s="2" t="str">
        <f>five子指标方向明细!L23</f>
        <v>B</v>
      </c>
      <c r="O12" s="2">
        <f t="shared" si="0"/>
        <v>1</v>
      </c>
      <c r="P12" s="2" t="str">
        <f t="shared" si="1"/>
        <v>B</v>
      </c>
      <c r="Q12" s="2" t="s">
        <v>26</v>
      </c>
      <c r="R12" s="2">
        <f t="shared" si="2"/>
        <v>1</v>
      </c>
      <c r="S12" s="2">
        <v>22</v>
      </c>
      <c r="T12" s="2">
        <v>23</v>
      </c>
      <c r="U12" s="2" t="str">
        <f t="shared" si="3"/>
        <v/>
      </c>
    </row>
    <row r="13" ht="23" customHeight="1" spans="1:21">
      <c r="A13" s="6" t="s">
        <v>13</v>
      </c>
      <c r="B13" s="2" t="s">
        <v>50</v>
      </c>
      <c r="C13" s="2">
        <v>2</v>
      </c>
      <c r="D13" s="6" t="s">
        <v>498</v>
      </c>
      <c r="E13" s="2" t="str">
        <f>five子指标方向明细!F24</f>
        <v>B</v>
      </c>
      <c r="F13" s="2">
        <f>five子指标方向明细!G24</f>
        <v>4</v>
      </c>
      <c r="G13" s="2" t="str">
        <f>five子指标方向明细!H24</f>
        <v>C</v>
      </c>
      <c r="H13" s="2">
        <f>five子指标方向明细!I24</f>
        <v>2</v>
      </c>
      <c r="I13" s="2" t="str">
        <f>five子指标方向明细!L24</f>
        <v>B</v>
      </c>
      <c r="J13" s="2" t="str">
        <f>five子指标方向明细!F25</f>
        <v>C</v>
      </c>
      <c r="K13" s="2">
        <f>five子指标方向明细!G25</f>
        <v>2</v>
      </c>
      <c r="L13" s="2" t="str">
        <f>five子指标方向明细!H25</f>
        <v>B</v>
      </c>
      <c r="M13" s="2">
        <f>five子指标方向明细!I25</f>
        <v>5</v>
      </c>
      <c r="N13" s="2" t="str">
        <f>five子指标方向明细!L25</f>
        <v>B</v>
      </c>
      <c r="O13" s="2">
        <f t="shared" si="0"/>
        <v>1</v>
      </c>
      <c r="P13" s="2" t="str">
        <f t="shared" si="1"/>
        <v>B</v>
      </c>
      <c r="Q13" s="2" t="s">
        <v>26</v>
      </c>
      <c r="R13" s="2">
        <f t="shared" si="2"/>
        <v>1</v>
      </c>
      <c r="S13" s="2">
        <v>24</v>
      </c>
      <c r="T13" s="2">
        <v>25</v>
      </c>
      <c r="U13" s="2" t="str">
        <f t="shared" si="3"/>
        <v/>
      </c>
    </row>
    <row r="14" ht="23" customHeight="1" spans="1:21">
      <c r="A14" s="6" t="s">
        <v>13</v>
      </c>
      <c r="B14" s="2" t="s">
        <v>50</v>
      </c>
      <c r="C14" s="2">
        <v>3</v>
      </c>
      <c r="D14" s="6" t="s">
        <v>499</v>
      </c>
      <c r="E14" s="2" t="str">
        <f>five子指标方向明细!F26</f>
        <v>B</v>
      </c>
      <c r="F14" s="2">
        <f>five子指标方向明细!G26</f>
        <v>4</v>
      </c>
      <c r="G14" s="2" t="str">
        <f>five子指标方向明细!H26</f>
        <v>C</v>
      </c>
      <c r="H14" s="2">
        <f>five子指标方向明细!I26</f>
        <v>2</v>
      </c>
      <c r="I14" s="2" t="str">
        <f>five子指标方向明细!L26</f>
        <v>B</v>
      </c>
      <c r="J14" s="2" t="str">
        <f>five子指标方向明细!F27</f>
        <v>C</v>
      </c>
      <c r="K14" s="2">
        <f>five子指标方向明细!G27</f>
        <v>2</v>
      </c>
      <c r="L14" s="2" t="str">
        <f>five子指标方向明细!H27</f>
        <v>B</v>
      </c>
      <c r="M14" s="2">
        <f>five子指标方向明细!I27</f>
        <v>5</v>
      </c>
      <c r="N14" s="2" t="str">
        <f>five子指标方向明细!L27</f>
        <v>B</v>
      </c>
      <c r="O14" s="2">
        <f t="shared" si="0"/>
        <v>1</v>
      </c>
      <c r="P14" s="2" t="str">
        <f t="shared" si="1"/>
        <v>B</v>
      </c>
      <c r="Q14" s="2" t="s">
        <v>26</v>
      </c>
      <c r="R14" s="2">
        <f t="shared" si="2"/>
        <v>1</v>
      </c>
      <c r="S14" s="2">
        <v>26</v>
      </c>
      <c r="T14" s="2">
        <v>27</v>
      </c>
      <c r="U14" s="2" t="str">
        <f t="shared" si="3"/>
        <v/>
      </c>
    </row>
    <row r="15" ht="23" customHeight="1" spans="1:21">
      <c r="A15" s="6" t="s">
        <v>13</v>
      </c>
      <c r="B15" s="2" t="s">
        <v>50</v>
      </c>
      <c r="C15" s="2">
        <v>4</v>
      </c>
      <c r="D15" s="6" t="s">
        <v>500</v>
      </c>
      <c r="E15" s="2" t="str">
        <f>five子指标方向明细!F28</f>
        <v>B</v>
      </c>
      <c r="F15" s="2">
        <f>five子指标方向明细!G28</f>
        <v>5</v>
      </c>
      <c r="G15" s="2" t="str">
        <f>five子指标方向明细!H28</f>
        <v>C</v>
      </c>
      <c r="H15" s="2">
        <f>five子指标方向明细!I28</f>
        <v>4</v>
      </c>
      <c r="I15" s="2" t="str">
        <f>five子指标方向明细!L28</f>
        <v>B</v>
      </c>
      <c r="J15" s="2" t="str">
        <f>five子指标方向明细!F29</f>
        <v>C</v>
      </c>
      <c r="K15" s="2">
        <f>five子指标方向明细!G29</f>
        <v>4</v>
      </c>
      <c r="L15" s="2" t="str">
        <f>five子指标方向明细!H29</f>
        <v>B</v>
      </c>
      <c r="M15" s="2">
        <f>five子指标方向明细!I29</f>
        <v>5</v>
      </c>
      <c r="N15" s="2" t="str">
        <f>five子指标方向明细!L29</f>
        <v>B</v>
      </c>
      <c r="O15" s="2">
        <f t="shared" si="0"/>
        <v>1</v>
      </c>
      <c r="P15" s="2" t="str">
        <f t="shared" si="1"/>
        <v>B</v>
      </c>
      <c r="Q15" s="2" t="s">
        <v>26</v>
      </c>
      <c r="R15" s="2">
        <f t="shared" si="2"/>
        <v>1</v>
      </c>
      <c r="S15" s="2">
        <v>28</v>
      </c>
      <c r="T15" s="2">
        <v>29</v>
      </c>
      <c r="U15" s="2" t="str">
        <f t="shared" si="3"/>
        <v/>
      </c>
    </row>
    <row r="16" ht="23" customHeight="1" spans="1:21">
      <c r="A16" s="6" t="s">
        <v>13</v>
      </c>
      <c r="B16" s="2" t="s">
        <v>50</v>
      </c>
      <c r="C16" s="2">
        <v>5</v>
      </c>
      <c r="D16" s="6" t="s">
        <v>501</v>
      </c>
      <c r="E16" s="2" t="str">
        <f>five子指标方向明细!F30</f>
        <v>B</v>
      </c>
      <c r="F16" s="2">
        <f>five子指标方向明细!G30</f>
        <v>5</v>
      </c>
      <c r="G16" s="2" t="str">
        <f>five子指标方向明细!H30</f>
        <v>C</v>
      </c>
      <c r="H16" s="2">
        <f>five子指标方向明细!I30</f>
        <v>4</v>
      </c>
      <c r="I16" s="2" t="str">
        <f>five子指标方向明细!L30</f>
        <v>B</v>
      </c>
      <c r="J16" s="2" t="str">
        <f>five子指标方向明细!F31</f>
        <v>C</v>
      </c>
      <c r="K16" s="2">
        <f>five子指标方向明细!G31</f>
        <v>4</v>
      </c>
      <c r="L16" s="2" t="str">
        <f>five子指标方向明细!H31</f>
        <v>B</v>
      </c>
      <c r="M16" s="2">
        <f>five子指标方向明细!I31</f>
        <v>5</v>
      </c>
      <c r="N16" s="2" t="str">
        <f>five子指标方向明细!L31</f>
        <v>B</v>
      </c>
      <c r="O16" s="2">
        <f t="shared" si="0"/>
        <v>1</v>
      </c>
      <c r="P16" s="2" t="str">
        <f t="shared" si="1"/>
        <v>B</v>
      </c>
      <c r="Q16" s="2" t="s">
        <v>26</v>
      </c>
      <c r="R16" s="2">
        <f t="shared" si="2"/>
        <v>1</v>
      </c>
      <c r="S16" s="2">
        <v>30</v>
      </c>
      <c r="T16" s="2">
        <v>31</v>
      </c>
      <c r="U16" s="2" t="str">
        <f t="shared" si="3"/>
        <v/>
      </c>
    </row>
    <row r="17" ht="23" customHeight="1" spans="1:21">
      <c r="A17" s="6" t="s">
        <v>63</v>
      </c>
      <c r="B17" s="2" t="s">
        <v>15</v>
      </c>
      <c r="C17" s="2">
        <v>1</v>
      </c>
      <c r="D17" s="6" t="s">
        <v>497</v>
      </c>
      <c r="E17" s="2" t="str">
        <f>five子指标方向明细!F32</f>
        <v>A</v>
      </c>
      <c r="F17" s="2">
        <f>five子指标方向明细!G32</f>
        <v>5</v>
      </c>
      <c r="G17" s="2" t="str">
        <f>five子指标方向明细!H32</f>
        <v>B</v>
      </c>
      <c r="H17" s="2">
        <f>five子指标方向明细!I32</f>
        <v>4</v>
      </c>
      <c r="I17" s="2" t="str">
        <f>five子指标方向明细!L32</f>
        <v>A</v>
      </c>
      <c r="J17" s="2" t="str">
        <f>five子指标方向明细!F33</f>
        <v>B</v>
      </c>
      <c r="K17" s="2">
        <f>five子指标方向明细!G33</f>
        <v>4</v>
      </c>
      <c r="L17" s="2" t="str">
        <f>five子指标方向明细!H33</f>
        <v>A</v>
      </c>
      <c r="M17" s="2">
        <f>five子指标方向明细!I33</f>
        <v>5</v>
      </c>
      <c r="N17" s="2" t="str">
        <f>five子指标方向明细!L33</f>
        <v>A</v>
      </c>
      <c r="O17" s="2">
        <f t="shared" si="0"/>
        <v>1</v>
      </c>
      <c r="P17" s="2" t="str">
        <f t="shared" si="1"/>
        <v>A</v>
      </c>
      <c r="Q17" s="2" t="s">
        <v>22</v>
      </c>
      <c r="R17" s="2">
        <f t="shared" si="2"/>
        <v>1</v>
      </c>
      <c r="S17" s="2">
        <v>32</v>
      </c>
      <c r="T17" s="2">
        <v>33</v>
      </c>
      <c r="U17" s="2" t="str">
        <f t="shared" si="3"/>
        <v/>
      </c>
    </row>
    <row r="18" ht="23" customHeight="1" spans="1:21">
      <c r="A18" s="6" t="s">
        <v>63</v>
      </c>
      <c r="B18" s="2" t="s">
        <v>15</v>
      </c>
      <c r="C18" s="2">
        <v>2</v>
      </c>
      <c r="D18" s="6" t="s">
        <v>498</v>
      </c>
      <c r="E18" s="2" t="str">
        <f>five子指标方向明细!F34</f>
        <v>A</v>
      </c>
      <c r="F18" s="2">
        <f>five子指标方向明细!G34</f>
        <v>5</v>
      </c>
      <c r="G18" s="2" t="str">
        <f>five子指标方向明细!H34</f>
        <v>B</v>
      </c>
      <c r="H18" s="2">
        <f>five子指标方向明细!I34</f>
        <v>4</v>
      </c>
      <c r="I18" s="2" t="str">
        <f>five子指标方向明细!L34</f>
        <v>A</v>
      </c>
      <c r="J18" s="2" t="str">
        <f>five子指标方向明细!F35</f>
        <v>B</v>
      </c>
      <c r="K18" s="2">
        <f>five子指标方向明细!G35</f>
        <v>4</v>
      </c>
      <c r="L18" s="2" t="str">
        <f>five子指标方向明细!H35</f>
        <v>A</v>
      </c>
      <c r="M18" s="2">
        <f>five子指标方向明细!I35</f>
        <v>5</v>
      </c>
      <c r="N18" s="2" t="str">
        <f>five子指标方向明细!L35</f>
        <v>A</v>
      </c>
      <c r="O18" s="2">
        <f t="shared" si="0"/>
        <v>1</v>
      </c>
      <c r="P18" s="2" t="str">
        <f t="shared" si="1"/>
        <v>A</v>
      </c>
      <c r="Q18" s="2" t="s">
        <v>22</v>
      </c>
      <c r="R18" s="2">
        <f t="shared" si="2"/>
        <v>1</v>
      </c>
      <c r="S18" s="2">
        <v>34</v>
      </c>
      <c r="T18" s="2">
        <v>35</v>
      </c>
      <c r="U18" s="2" t="str">
        <f t="shared" si="3"/>
        <v/>
      </c>
    </row>
    <row r="19" ht="23" customHeight="1" spans="1:21">
      <c r="A19" s="6" t="s">
        <v>63</v>
      </c>
      <c r="B19" s="2" t="s">
        <v>15</v>
      </c>
      <c r="C19" s="2">
        <v>3</v>
      </c>
      <c r="D19" s="6" t="s">
        <v>499</v>
      </c>
      <c r="E19" s="2" t="str">
        <f>five子指标方向明细!F36</f>
        <v>A</v>
      </c>
      <c r="F19" s="2">
        <f>five子指标方向明细!G36</f>
        <v>5</v>
      </c>
      <c r="G19" s="2" t="str">
        <f>five子指标方向明细!H36</f>
        <v>B</v>
      </c>
      <c r="H19" s="2">
        <f>five子指标方向明细!I36</f>
        <v>4</v>
      </c>
      <c r="I19" s="2" t="str">
        <f>five子指标方向明细!L36</f>
        <v>A</v>
      </c>
      <c r="J19" s="2" t="str">
        <f>five子指标方向明细!F37</f>
        <v>B</v>
      </c>
      <c r="K19" s="2">
        <f>five子指标方向明细!G37</f>
        <v>4</v>
      </c>
      <c r="L19" s="2" t="str">
        <f>five子指标方向明细!H37</f>
        <v>A</v>
      </c>
      <c r="M19" s="2">
        <f>five子指标方向明细!I37</f>
        <v>5</v>
      </c>
      <c r="N19" s="2" t="str">
        <f>five子指标方向明细!L37</f>
        <v>A</v>
      </c>
      <c r="O19" s="2">
        <f t="shared" si="0"/>
        <v>1</v>
      </c>
      <c r="P19" s="2" t="str">
        <f t="shared" si="1"/>
        <v>A</v>
      </c>
      <c r="Q19" s="2" t="s">
        <v>22</v>
      </c>
      <c r="R19" s="2">
        <f t="shared" si="2"/>
        <v>1</v>
      </c>
      <c r="S19" s="2">
        <v>36</v>
      </c>
      <c r="T19" s="2">
        <v>37</v>
      </c>
      <c r="U19" s="2" t="str">
        <f t="shared" si="3"/>
        <v/>
      </c>
    </row>
    <row r="20" ht="23" customHeight="1" spans="1:21">
      <c r="A20" s="6" t="s">
        <v>63</v>
      </c>
      <c r="B20" s="2" t="s">
        <v>15</v>
      </c>
      <c r="C20" s="2">
        <v>4</v>
      </c>
      <c r="D20" s="6" t="s">
        <v>500</v>
      </c>
      <c r="E20" s="2" t="str">
        <f>five子指标方向明细!F38</f>
        <v>A</v>
      </c>
      <c r="F20" s="2">
        <f>five子指标方向明细!G38</f>
        <v>5</v>
      </c>
      <c r="G20" s="2" t="str">
        <f>five子指标方向明细!H38</f>
        <v>B</v>
      </c>
      <c r="H20" s="2">
        <f>five子指标方向明细!I38</f>
        <v>5</v>
      </c>
      <c r="I20" s="2" t="str">
        <f>five子指标方向明细!L38</f>
        <v>D(平局)</v>
      </c>
      <c r="J20" s="2" t="str">
        <f>five子指标方向明细!F39</f>
        <v>B</v>
      </c>
      <c r="K20" s="2">
        <f>five子指标方向明细!G39</f>
        <v>4</v>
      </c>
      <c r="L20" s="2" t="str">
        <f>five子指标方向明细!H39</f>
        <v>A</v>
      </c>
      <c r="M20" s="2">
        <f>five子指标方向明细!I39</f>
        <v>5</v>
      </c>
      <c r="N20" s="2" t="str">
        <f>five子指标方向明细!L39</f>
        <v>A</v>
      </c>
      <c r="O20" s="2">
        <f t="shared" si="0"/>
        <v>0</v>
      </c>
      <c r="P20" s="2" t="str">
        <f t="shared" si="1"/>
        <v>D(平局)</v>
      </c>
      <c r="Q20" s="2" t="s">
        <v>22</v>
      </c>
      <c r="R20" s="2">
        <f t="shared" si="2"/>
        <v>0</v>
      </c>
      <c r="S20" s="2">
        <v>38</v>
      </c>
      <c r="T20" s="2">
        <v>39</v>
      </c>
      <c r="U20" s="2" t="str">
        <f t="shared" si="3"/>
        <v>方向冲突</v>
      </c>
    </row>
    <row r="21" ht="23" customHeight="1" spans="1:21">
      <c r="A21" s="6" t="s">
        <v>63</v>
      </c>
      <c r="B21" s="2" t="s">
        <v>15</v>
      </c>
      <c r="C21" s="2">
        <v>5</v>
      </c>
      <c r="D21" s="6" t="s">
        <v>501</v>
      </c>
      <c r="E21" s="2" t="str">
        <f>five子指标方向明细!F40</f>
        <v>A</v>
      </c>
      <c r="F21" s="2">
        <f>five子指标方向明细!G40</f>
        <v>5</v>
      </c>
      <c r="G21" s="2" t="str">
        <f>five子指标方向明细!H40</f>
        <v>B</v>
      </c>
      <c r="H21" s="2">
        <f>five子指标方向明细!I40</f>
        <v>5</v>
      </c>
      <c r="I21" s="2" t="str">
        <f>five子指标方向明细!L40</f>
        <v>D(平局)</v>
      </c>
      <c r="J21" s="2" t="str">
        <f>five子指标方向明细!F41</f>
        <v>B</v>
      </c>
      <c r="K21" s="2">
        <f>five子指标方向明细!G41</f>
        <v>5</v>
      </c>
      <c r="L21" s="2" t="str">
        <f>five子指标方向明细!H41</f>
        <v>A</v>
      </c>
      <c r="M21" s="2">
        <f>five子指标方向明细!I41</f>
        <v>5</v>
      </c>
      <c r="N21" s="2" t="str">
        <f>five子指标方向明细!L41</f>
        <v>D(平局)</v>
      </c>
      <c r="O21" s="2">
        <f t="shared" si="0"/>
        <v>1</v>
      </c>
      <c r="P21" s="2" t="str">
        <f t="shared" si="1"/>
        <v>D(平局)</v>
      </c>
      <c r="Q21" s="2" t="s">
        <v>22</v>
      </c>
      <c r="R21" s="2">
        <f t="shared" si="2"/>
        <v>0</v>
      </c>
      <c r="S21" s="2">
        <v>40</v>
      </c>
      <c r="T21" s="2">
        <v>41</v>
      </c>
      <c r="U21" s="2" t="str">
        <f t="shared" si="3"/>
        <v>双向评分平局</v>
      </c>
    </row>
    <row r="22" ht="23" customHeight="1" spans="1:21">
      <c r="A22" s="6" t="s">
        <v>63</v>
      </c>
      <c r="B22" s="2" t="s">
        <v>37</v>
      </c>
      <c r="C22" s="2">
        <v>1</v>
      </c>
      <c r="D22" s="6" t="s">
        <v>497</v>
      </c>
      <c r="E22" s="2" t="str">
        <f>five子指标方向明细!F42</f>
        <v>A</v>
      </c>
      <c r="F22" s="2">
        <f>five子指标方向明细!G42</f>
        <v>5</v>
      </c>
      <c r="G22" s="2" t="str">
        <f>five子指标方向明细!H42</f>
        <v>C</v>
      </c>
      <c r="H22" s="2">
        <f>five子指标方向明细!I42</f>
        <v>2</v>
      </c>
      <c r="I22" s="2" t="str">
        <f>five子指标方向明细!L42</f>
        <v>A</v>
      </c>
      <c r="J22" s="2" t="str">
        <f>five子指标方向明细!F43</f>
        <v>C</v>
      </c>
      <c r="K22" s="2">
        <f>five子指标方向明细!G43</f>
        <v>2</v>
      </c>
      <c r="L22" s="2" t="str">
        <f>five子指标方向明细!H43</f>
        <v>A</v>
      </c>
      <c r="M22" s="2">
        <f>five子指标方向明细!I43</f>
        <v>5</v>
      </c>
      <c r="N22" s="2" t="str">
        <f>five子指标方向明细!L43</f>
        <v>A</v>
      </c>
      <c r="O22" s="2">
        <f t="shared" si="0"/>
        <v>1</v>
      </c>
      <c r="P22" s="2" t="str">
        <f t="shared" si="1"/>
        <v>A</v>
      </c>
      <c r="Q22" s="2" t="s">
        <v>22</v>
      </c>
      <c r="R22" s="2">
        <f t="shared" si="2"/>
        <v>1</v>
      </c>
      <c r="S22" s="2">
        <v>42</v>
      </c>
      <c r="T22" s="2">
        <v>43</v>
      </c>
      <c r="U22" s="2" t="str">
        <f t="shared" si="3"/>
        <v/>
      </c>
    </row>
    <row r="23" ht="23" customHeight="1" spans="1:21">
      <c r="A23" s="6" t="s">
        <v>63</v>
      </c>
      <c r="B23" s="2" t="s">
        <v>37</v>
      </c>
      <c r="C23" s="2">
        <v>2</v>
      </c>
      <c r="D23" s="6" t="s">
        <v>498</v>
      </c>
      <c r="E23" s="2" t="str">
        <f>five子指标方向明细!F44</f>
        <v>A</v>
      </c>
      <c r="F23" s="2">
        <f>five子指标方向明细!G44</f>
        <v>5</v>
      </c>
      <c r="G23" s="2" t="str">
        <f>five子指标方向明细!H44</f>
        <v>C</v>
      </c>
      <c r="H23" s="2">
        <f>five子指标方向明细!I44</f>
        <v>1</v>
      </c>
      <c r="I23" s="2" t="str">
        <f>five子指标方向明细!L44</f>
        <v>A</v>
      </c>
      <c r="J23" s="2" t="str">
        <f>five子指标方向明细!F45</f>
        <v>C</v>
      </c>
      <c r="K23" s="2">
        <f>five子指标方向明细!G45</f>
        <v>1</v>
      </c>
      <c r="L23" s="2" t="str">
        <f>five子指标方向明细!H45</f>
        <v>A</v>
      </c>
      <c r="M23" s="2">
        <f>five子指标方向明细!I45</f>
        <v>5</v>
      </c>
      <c r="N23" s="2" t="str">
        <f>five子指标方向明细!L45</f>
        <v>A</v>
      </c>
      <c r="O23" s="2">
        <f t="shared" si="0"/>
        <v>1</v>
      </c>
      <c r="P23" s="2" t="str">
        <f t="shared" si="1"/>
        <v>A</v>
      </c>
      <c r="Q23" s="2" t="s">
        <v>22</v>
      </c>
      <c r="R23" s="2">
        <f t="shared" si="2"/>
        <v>1</v>
      </c>
      <c r="S23" s="2">
        <v>44</v>
      </c>
      <c r="T23" s="2">
        <v>45</v>
      </c>
      <c r="U23" s="2" t="str">
        <f t="shared" si="3"/>
        <v/>
      </c>
    </row>
    <row r="24" ht="23" customHeight="1" spans="1:21">
      <c r="A24" s="6" t="s">
        <v>63</v>
      </c>
      <c r="B24" s="2" t="s">
        <v>37</v>
      </c>
      <c r="C24" s="2">
        <v>3</v>
      </c>
      <c r="D24" s="6" t="s">
        <v>499</v>
      </c>
      <c r="E24" s="2" t="str">
        <f>five子指标方向明细!F46</f>
        <v>A</v>
      </c>
      <c r="F24" s="2">
        <f>five子指标方向明细!G46</f>
        <v>5</v>
      </c>
      <c r="G24" s="2" t="str">
        <f>five子指标方向明细!H46</f>
        <v>C</v>
      </c>
      <c r="H24" s="2">
        <f>five子指标方向明细!I46</f>
        <v>2</v>
      </c>
      <c r="I24" s="2" t="str">
        <f>five子指标方向明细!L46</f>
        <v>A</v>
      </c>
      <c r="J24" s="2" t="str">
        <f>five子指标方向明细!F47</f>
        <v>C</v>
      </c>
      <c r="K24" s="2">
        <f>five子指标方向明细!G47</f>
        <v>2</v>
      </c>
      <c r="L24" s="2" t="str">
        <f>five子指标方向明细!H47</f>
        <v>A</v>
      </c>
      <c r="M24" s="2">
        <f>five子指标方向明细!I47</f>
        <v>5</v>
      </c>
      <c r="N24" s="2" t="str">
        <f>five子指标方向明细!L47</f>
        <v>A</v>
      </c>
      <c r="O24" s="2">
        <f t="shared" si="0"/>
        <v>1</v>
      </c>
      <c r="P24" s="2" t="str">
        <f t="shared" si="1"/>
        <v>A</v>
      </c>
      <c r="Q24" s="2" t="s">
        <v>22</v>
      </c>
      <c r="R24" s="2">
        <f t="shared" si="2"/>
        <v>1</v>
      </c>
      <c r="S24" s="2">
        <v>46</v>
      </c>
      <c r="T24" s="2">
        <v>47</v>
      </c>
      <c r="U24" s="2" t="str">
        <f t="shared" si="3"/>
        <v/>
      </c>
    </row>
    <row r="25" ht="23" customHeight="1" spans="1:21">
      <c r="A25" s="6" t="s">
        <v>63</v>
      </c>
      <c r="B25" s="2" t="s">
        <v>37</v>
      </c>
      <c r="C25" s="2">
        <v>4</v>
      </c>
      <c r="D25" s="6" t="s">
        <v>500</v>
      </c>
      <c r="E25" s="2" t="str">
        <f>five子指标方向明细!F48</f>
        <v>A</v>
      </c>
      <c r="F25" s="2">
        <f>five子指标方向明细!G48</f>
        <v>5</v>
      </c>
      <c r="G25" s="2" t="str">
        <f>five子指标方向明细!H48</f>
        <v>C</v>
      </c>
      <c r="H25" s="2">
        <f>five子指标方向明细!I48</f>
        <v>2</v>
      </c>
      <c r="I25" s="2" t="str">
        <f>five子指标方向明细!L48</f>
        <v>A</v>
      </c>
      <c r="J25" s="2" t="str">
        <f>five子指标方向明细!F49</f>
        <v>C</v>
      </c>
      <c r="K25" s="2">
        <f>five子指标方向明细!G49</f>
        <v>3</v>
      </c>
      <c r="L25" s="2" t="str">
        <f>five子指标方向明细!H49</f>
        <v>A</v>
      </c>
      <c r="M25" s="2">
        <f>five子指标方向明细!I49</f>
        <v>5</v>
      </c>
      <c r="N25" s="2" t="str">
        <f>five子指标方向明细!L49</f>
        <v>A</v>
      </c>
      <c r="O25" s="2">
        <f t="shared" si="0"/>
        <v>1</v>
      </c>
      <c r="P25" s="2" t="str">
        <f t="shared" si="1"/>
        <v>A</v>
      </c>
      <c r="Q25" s="2" t="s">
        <v>22</v>
      </c>
      <c r="R25" s="2">
        <f t="shared" si="2"/>
        <v>1</v>
      </c>
      <c r="S25" s="2">
        <v>48</v>
      </c>
      <c r="T25" s="2">
        <v>49</v>
      </c>
      <c r="U25" s="2" t="str">
        <f t="shared" si="3"/>
        <v/>
      </c>
    </row>
    <row r="26" ht="23" customHeight="1" spans="1:21">
      <c r="A26" s="6" t="s">
        <v>63</v>
      </c>
      <c r="B26" s="2" t="s">
        <v>37</v>
      </c>
      <c r="C26" s="2">
        <v>5</v>
      </c>
      <c r="D26" s="6" t="s">
        <v>501</v>
      </c>
      <c r="E26" s="2" t="str">
        <f>five子指标方向明细!F50</f>
        <v>A</v>
      </c>
      <c r="F26" s="2">
        <f>five子指标方向明细!G50</f>
        <v>5</v>
      </c>
      <c r="G26" s="2" t="str">
        <f>five子指标方向明细!H50</f>
        <v>C</v>
      </c>
      <c r="H26" s="2">
        <f>five子指标方向明细!I50</f>
        <v>3</v>
      </c>
      <c r="I26" s="2" t="str">
        <f>five子指标方向明细!L50</f>
        <v>A</v>
      </c>
      <c r="J26" s="2" t="str">
        <f>five子指标方向明细!F51</f>
        <v>C</v>
      </c>
      <c r="K26" s="2">
        <f>five子指标方向明细!G51</f>
        <v>3</v>
      </c>
      <c r="L26" s="2" t="str">
        <f>five子指标方向明细!H51</f>
        <v>A</v>
      </c>
      <c r="M26" s="2">
        <f>five子指标方向明细!I51</f>
        <v>5</v>
      </c>
      <c r="N26" s="2" t="str">
        <f>five子指标方向明细!L51</f>
        <v>A</v>
      </c>
      <c r="O26" s="2">
        <f t="shared" si="0"/>
        <v>1</v>
      </c>
      <c r="P26" s="2" t="str">
        <f t="shared" si="1"/>
        <v>A</v>
      </c>
      <c r="Q26" s="2" t="s">
        <v>22</v>
      </c>
      <c r="R26" s="2">
        <f t="shared" si="2"/>
        <v>1</v>
      </c>
      <c r="S26" s="2">
        <v>50</v>
      </c>
      <c r="T26" s="2">
        <v>51</v>
      </c>
      <c r="U26" s="2" t="str">
        <f t="shared" si="3"/>
        <v/>
      </c>
    </row>
    <row r="27" ht="23" customHeight="1" spans="1:21">
      <c r="A27" s="6" t="s">
        <v>63</v>
      </c>
      <c r="B27" s="2" t="s">
        <v>50</v>
      </c>
      <c r="C27" s="2">
        <v>1</v>
      </c>
      <c r="D27" s="6" t="s">
        <v>497</v>
      </c>
      <c r="E27" s="2" t="str">
        <f>five子指标方向明细!F52</f>
        <v>B</v>
      </c>
      <c r="F27" s="2">
        <f>five子指标方向明细!G52</f>
        <v>5</v>
      </c>
      <c r="G27" s="2" t="str">
        <f>five子指标方向明细!H52</f>
        <v>C</v>
      </c>
      <c r="H27" s="2">
        <f>five子指标方向明细!I52</f>
        <v>2</v>
      </c>
      <c r="I27" s="2" t="str">
        <f>five子指标方向明细!L52</f>
        <v>B</v>
      </c>
      <c r="J27" s="2" t="str">
        <f>five子指标方向明细!F53</f>
        <v>C</v>
      </c>
      <c r="K27" s="2">
        <f>five子指标方向明细!G53</f>
        <v>2</v>
      </c>
      <c r="L27" s="2" t="str">
        <f>five子指标方向明细!H53</f>
        <v>B</v>
      </c>
      <c r="M27" s="2">
        <f>five子指标方向明细!I53</f>
        <v>5</v>
      </c>
      <c r="N27" s="2" t="str">
        <f>five子指标方向明细!L53</f>
        <v>B</v>
      </c>
      <c r="O27" s="2">
        <f t="shared" si="0"/>
        <v>1</v>
      </c>
      <c r="P27" s="2" t="str">
        <f t="shared" si="1"/>
        <v>B</v>
      </c>
      <c r="Q27" s="2" t="s">
        <v>26</v>
      </c>
      <c r="R27" s="2">
        <f t="shared" si="2"/>
        <v>1</v>
      </c>
      <c r="S27" s="2">
        <v>52</v>
      </c>
      <c r="T27" s="2">
        <v>53</v>
      </c>
      <c r="U27" s="2" t="str">
        <f t="shared" si="3"/>
        <v/>
      </c>
    </row>
    <row r="28" ht="23" customHeight="1" spans="1:21">
      <c r="A28" s="6" t="s">
        <v>63</v>
      </c>
      <c r="B28" s="2" t="s">
        <v>50</v>
      </c>
      <c r="C28" s="2">
        <v>2</v>
      </c>
      <c r="D28" s="6" t="s">
        <v>498</v>
      </c>
      <c r="E28" s="2" t="str">
        <f>five子指标方向明细!F54</f>
        <v>B</v>
      </c>
      <c r="F28" s="2">
        <f>five子指标方向明细!G54</f>
        <v>5</v>
      </c>
      <c r="G28" s="2" t="str">
        <f>five子指标方向明细!H54</f>
        <v>C</v>
      </c>
      <c r="H28" s="2">
        <f>five子指标方向明细!I54</f>
        <v>2</v>
      </c>
      <c r="I28" s="2" t="str">
        <f>five子指标方向明细!L54</f>
        <v>B</v>
      </c>
      <c r="J28" s="2" t="str">
        <f>five子指标方向明细!F55</f>
        <v>C</v>
      </c>
      <c r="K28" s="2">
        <f>five子指标方向明细!G55</f>
        <v>1</v>
      </c>
      <c r="L28" s="2" t="str">
        <f>five子指标方向明细!H55</f>
        <v>B</v>
      </c>
      <c r="M28" s="2">
        <f>five子指标方向明细!I55</f>
        <v>5</v>
      </c>
      <c r="N28" s="2" t="str">
        <f>five子指标方向明细!L55</f>
        <v>B</v>
      </c>
      <c r="O28" s="2">
        <f t="shared" si="0"/>
        <v>1</v>
      </c>
      <c r="P28" s="2" t="str">
        <f t="shared" si="1"/>
        <v>B</v>
      </c>
      <c r="Q28" s="2" t="s">
        <v>26</v>
      </c>
      <c r="R28" s="2">
        <f t="shared" si="2"/>
        <v>1</v>
      </c>
      <c r="S28" s="2">
        <v>54</v>
      </c>
      <c r="T28" s="2">
        <v>55</v>
      </c>
      <c r="U28" s="2" t="str">
        <f t="shared" si="3"/>
        <v/>
      </c>
    </row>
    <row r="29" ht="23" customHeight="1" spans="1:21">
      <c r="A29" s="6" t="s">
        <v>63</v>
      </c>
      <c r="B29" s="2" t="s">
        <v>50</v>
      </c>
      <c r="C29" s="2">
        <v>3</v>
      </c>
      <c r="D29" s="6" t="s">
        <v>499</v>
      </c>
      <c r="E29" s="2" t="str">
        <f>five子指标方向明细!F56</f>
        <v>B</v>
      </c>
      <c r="F29" s="2">
        <f>five子指标方向明细!G56</f>
        <v>5</v>
      </c>
      <c r="G29" s="2" t="str">
        <f>five子指标方向明细!H56</f>
        <v>C</v>
      </c>
      <c r="H29" s="2">
        <f>five子指标方向明细!I56</f>
        <v>2</v>
      </c>
      <c r="I29" s="2" t="str">
        <f>five子指标方向明细!L56</f>
        <v>B</v>
      </c>
      <c r="J29" s="2" t="str">
        <f>five子指标方向明细!F57</f>
        <v>C</v>
      </c>
      <c r="K29" s="2">
        <f>five子指标方向明细!G57</f>
        <v>2</v>
      </c>
      <c r="L29" s="2" t="str">
        <f>five子指标方向明细!H57</f>
        <v>B</v>
      </c>
      <c r="M29" s="2">
        <f>five子指标方向明细!I57</f>
        <v>5</v>
      </c>
      <c r="N29" s="2" t="str">
        <f>five子指标方向明细!L57</f>
        <v>B</v>
      </c>
      <c r="O29" s="2">
        <f t="shared" si="0"/>
        <v>1</v>
      </c>
      <c r="P29" s="2" t="str">
        <f t="shared" si="1"/>
        <v>B</v>
      </c>
      <c r="Q29" s="2" t="s">
        <v>26</v>
      </c>
      <c r="R29" s="2">
        <f t="shared" si="2"/>
        <v>1</v>
      </c>
      <c r="S29" s="2">
        <v>56</v>
      </c>
      <c r="T29" s="2">
        <v>57</v>
      </c>
      <c r="U29" s="2" t="str">
        <f t="shared" si="3"/>
        <v/>
      </c>
    </row>
    <row r="30" ht="23" customHeight="1" spans="1:21">
      <c r="A30" s="6" t="s">
        <v>63</v>
      </c>
      <c r="B30" s="2" t="s">
        <v>50</v>
      </c>
      <c r="C30" s="2">
        <v>4</v>
      </c>
      <c r="D30" s="6" t="s">
        <v>500</v>
      </c>
      <c r="E30" s="2" t="str">
        <f>five子指标方向明细!F58</f>
        <v>B</v>
      </c>
      <c r="F30" s="2">
        <f>five子指标方向明细!G58</f>
        <v>5</v>
      </c>
      <c r="G30" s="2" t="str">
        <f>five子指标方向明细!H58</f>
        <v>C</v>
      </c>
      <c r="H30" s="2">
        <f>five子指标方向明细!I58</f>
        <v>3</v>
      </c>
      <c r="I30" s="2" t="str">
        <f>five子指标方向明细!L58</f>
        <v>B</v>
      </c>
      <c r="J30" s="2" t="str">
        <f>five子指标方向明细!F59</f>
        <v>C</v>
      </c>
      <c r="K30" s="2">
        <f>five子指标方向明细!G59</f>
        <v>2</v>
      </c>
      <c r="L30" s="2" t="str">
        <f>five子指标方向明细!H59</f>
        <v>B</v>
      </c>
      <c r="M30" s="2">
        <f>five子指标方向明细!I59</f>
        <v>5</v>
      </c>
      <c r="N30" s="2" t="str">
        <f>five子指标方向明细!L59</f>
        <v>B</v>
      </c>
      <c r="O30" s="2">
        <f t="shared" si="0"/>
        <v>1</v>
      </c>
      <c r="P30" s="2" t="str">
        <f t="shared" si="1"/>
        <v>B</v>
      </c>
      <c r="Q30" s="2" t="s">
        <v>26</v>
      </c>
      <c r="R30" s="2">
        <f t="shared" si="2"/>
        <v>1</v>
      </c>
      <c r="S30" s="2">
        <v>58</v>
      </c>
      <c r="T30" s="2">
        <v>59</v>
      </c>
      <c r="U30" s="2" t="str">
        <f t="shared" si="3"/>
        <v/>
      </c>
    </row>
    <row r="31" ht="23" customHeight="1" spans="1:21">
      <c r="A31" s="6" t="s">
        <v>63</v>
      </c>
      <c r="B31" s="2" t="s">
        <v>50</v>
      </c>
      <c r="C31" s="2">
        <v>5</v>
      </c>
      <c r="D31" s="6" t="s">
        <v>501</v>
      </c>
      <c r="E31" s="2" t="str">
        <f>five子指标方向明细!F60</f>
        <v>B</v>
      </c>
      <c r="F31" s="2">
        <f>five子指标方向明细!G60</f>
        <v>5</v>
      </c>
      <c r="G31" s="2" t="str">
        <f>five子指标方向明细!H60</f>
        <v>C</v>
      </c>
      <c r="H31" s="2">
        <f>five子指标方向明细!I60</f>
        <v>4</v>
      </c>
      <c r="I31" s="2" t="str">
        <f>five子指标方向明细!L60</f>
        <v>B</v>
      </c>
      <c r="J31" s="2" t="str">
        <f>five子指标方向明细!F61</f>
        <v>C</v>
      </c>
      <c r="K31" s="2">
        <f>five子指标方向明细!G61</f>
        <v>3</v>
      </c>
      <c r="L31" s="2" t="str">
        <f>five子指标方向明细!H61</f>
        <v>B</v>
      </c>
      <c r="M31" s="2">
        <f>five子指标方向明细!I61</f>
        <v>5</v>
      </c>
      <c r="N31" s="2" t="str">
        <f>five子指标方向明细!L61</f>
        <v>B</v>
      </c>
      <c r="O31" s="2">
        <f t="shared" si="0"/>
        <v>1</v>
      </c>
      <c r="P31" s="2" t="str">
        <f t="shared" si="1"/>
        <v>B</v>
      </c>
      <c r="Q31" s="2" t="s">
        <v>26</v>
      </c>
      <c r="R31" s="2">
        <f t="shared" si="2"/>
        <v>1</v>
      </c>
      <c r="S31" s="2">
        <v>60</v>
      </c>
      <c r="T31" s="2">
        <v>61</v>
      </c>
      <c r="U31" s="2" t="str">
        <f t="shared" si="3"/>
        <v/>
      </c>
    </row>
    <row r="32" ht="23" customHeight="1" spans="1:21">
      <c r="A32" s="6" t="s">
        <v>102</v>
      </c>
      <c r="B32" s="2" t="s">
        <v>15</v>
      </c>
      <c r="C32" s="2">
        <v>1</v>
      </c>
      <c r="D32" s="6" t="s">
        <v>497</v>
      </c>
      <c r="E32" s="2" t="str">
        <f>five子指标方向明细!F62</f>
        <v>A</v>
      </c>
      <c r="F32" s="2">
        <f>five子指标方向明细!G62</f>
        <v>5</v>
      </c>
      <c r="G32" s="2" t="str">
        <f>five子指标方向明细!H62</f>
        <v>B</v>
      </c>
      <c r="H32" s="2">
        <f>five子指标方向明细!I62</f>
        <v>4</v>
      </c>
      <c r="I32" s="2" t="str">
        <f>five子指标方向明细!L62</f>
        <v>A</v>
      </c>
      <c r="J32" s="2" t="str">
        <f>five子指标方向明细!F63</f>
        <v>B</v>
      </c>
      <c r="K32" s="2">
        <f>five子指标方向明细!G63</f>
        <v>5</v>
      </c>
      <c r="L32" s="2" t="str">
        <f>five子指标方向明细!H63</f>
        <v>A</v>
      </c>
      <c r="M32" s="2">
        <f>five子指标方向明细!I63</f>
        <v>5</v>
      </c>
      <c r="N32" s="2" t="str">
        <f>five子指标方向明细!L63</f>
        <v>D(平局)</v>
      </c>
      <c r="O32" s="2">
        <f t="shared" si="0"/>
        <v>0</v>
      </c>
      <c r="P32" s="2" t="str">
        <f t="shared" si="1"/>
        <v>D(平局)</v>
      </c>
      <c r="Q32" s="2" t="s">
        <v>106</v>
      </c>
      <c r="R32" s="2">
        <f t="shared" si="2"/>
        <v>1</v>
      </c>
      <c r="S32" s="2">
        <v>62</v>
      </c>
      <c r="T32" s="2">
        <v>63</v>
      </c>
      <c r="U32" s="2" t="str">
        <f t="shared" si="3"/>
        <v>方向冲突</v>
      </c>
    </row>
    <row r="33" ht="23" customHeight="1" spans="1:21">
      <c r="A33" s="6" t="s">
        <v>102</v>
      </c>
      <c r="B33" s="2" t="s">
        <v>15</v>
      </c>
      <c r="C33" s="2">
        <v>2</v>
      </c>
      <c r="D33" s="6" t="s">
        <v>498</v>
      </c>
      <c r="E33" s="2" t="str">
        <f>five子指标方向明细!F64</f>
        <v>A</v>
      </c>
      <c r="F33" s="2">
        <f>five子指标方向明细!G64</f>
        <v>5</v>
      </c>
      <c r="G33" s="2" t="str">
        <f>five子指标方向明细!H64</f>
        <v>B</v>
      </c>
      <c r="H33" s="2">
        <f>five子指标方向明细!I64</f>
        <v>5</v>
      </c>
      <c r="I33" s="2" t="str">
        <f>five子指标方向明细!L64</f>
        <v>D(平局)</v>
      </c>
      <c r="J33" s="2" t="str">
        <f>five子指标方向明细!F65</f>
        <v>B</v>
      </c>
      <c r="K33" s="2">
        <f>five子指标方向明细!G65</f>
        <v>5</v>
      </c>
      <c r="L33" s="2" t="str">
        <f>five子指标方向明细!H65</f>
        <v>A</v>
      </c>
      <c r="M33" s="2">
        <f>five子指标方向明细!I65</f>
        <v>5</v>
      </c>
      <c r="N33" s="2" t="str">
        <f>five子指标方向明细!L65</f>
        <v>D(平局)</v>
      </c>
      <c r="O33" s="2">
        <f t="shared" si="0"/>
        <v>1</v>
      </c>
      <c r="P33" s="2" t="str">
        <f t="shared" si="1"/>
        <v>D(平局)</v>
      </c>
      <c r="Q33" s="2" t="s">
        <v>106</v>
      </c>
      <c r="R33" s="2">
        <f t="shared" si="2"/>
        <v>1</v>
      </c>
      <c r="S33" s="2">
        <v>64</v>
      </c>
      <c r="T33" s="2">
        <v>65</v>
      </c>
      <c r="U33" s="2" t="str">
        <f t="shared" si="3"/>
        <v>双向评分平局</v>
      </c>
    </row>
    <row r="34" ht="23" customHeight="1" spans="1:21">
      <c r="A34" s="6" t="s">
        <v>102</v>
      </c>
      <c r="B34" s="2" t="s">
        <v>15</v>
      </c>
      <c r="C34" s="2">
        <v>3</v>
      </c>
      <c r="D34" s="6" t="s">
        <v>499</v>
      </c>
      <c r="E34" s="2" t="str">
        <f>five子指标方向明细!F66</f>
        <v>A</v>
      </c>
      <c r="F34" s="2">
        <f>five子指标方向明细!G66</f>
        <v>5</v>
      </c>
      <c r="G34" s="2" t="str">
        <f>five子指标方向明细!H66</f>
        <v>B</v>
      </c>
      <c r="H34" s="2">
        <f>five子指标方向明细!I66</f>
        <v>4</v>
      </c>
      <c r="I34" s="2" t="str">
        <f>five子指标方向明细!L66</f>
        <v>A</v>
      </c>
      <c r="J34" s="2" t="str">
        <f>five子指标方向明细!F67</f>
        <v>B</v>
      </c>
      <c r="K34" s="2">
        <f>five子指标方向明细!G67</f>
        <v>5</v>
      </c>
      <c r="L34" s="2" t="str">
        <f>five子指标方向明细!H67</f>
        <v>A</v>
      </c>
      <c r="M34" s="2">
        <f>five子指标方向明细!I67</f>
        <v>5</v>
      </c>
      <c r="N34" s="2" t="str">
        <f>five子指标方向明细!L67</f>
        <v>D(平局)</v>
      </c>
      <c r="O34" s="2">
        <f t="shared" si="0"/>
        <v>0</v>
      </c>
      <c r="P34" s="2" t="str">
        <f t="shared" si="1"/>
        <v>D(平局)</v>
      </c>
      <c r="Q34" s="2" t="s">
        <v>106</v>
      </c>
      <c r="R34" s="2">
        <f t="shared" si="2"/>
        <v>1</v>
      </c>
      <c r="S34" s="2">
        <v>66</v>
      </c>
      <c r="T34" s="2">
        <v>67</v>
      </c>
      <c r="U34" s="2" t="str">
        <f t="shared" si="3"/>
        <v>方向冲突</v>
      </c>
    </row>
    <row r="35" ht="23" customHeight="1" spans="1:21">
      <c r="A35" s="6" t="s">
        <v>102</v>
      </c>
      <c r="B35" s="2" t="s">
        <v>15</v>
      </c>
      <c r="C35" s="2">
        <v>4</v>
      </c>
      <c r="D35" s="6" t="s">
        <v>500</v>
      </c>
      <c r="E35" s="2" t="str">
        <f>five子指标方向明细!F68</f>
        <v>A</v>
      </c>
      <c r="F35" s="2">
        <f>five子指标方向明细!G68</f>
        <v>5</v>
      </c>
      <c r="G35" s="2" t="str">
        <f>five子指标方向明细!H68</f>
        <v>B</v>
      </c>
      <c r="H35" s="2">
        <f>five子指标方向明细!I68</f>
        <v>5</v>
      </c>
      <c r="I35" s="2" t="str">
        <f>five子指标方向明细!L68</f>
        <v>D(平局)</v>
      </c>
      <c r="J35" s="2" t="str">
        <f>five子指标方向明细!F69</f>
        <v>B</v>
      </c>
      <c r="K35" s="2">
        <f>five子指标方向明细!G69</f>
        <v>5</v>
      </c>
      <c r="L35" s="2" t="str">
        <f>five子指标方向明细!H69</f>
        <v>A</v>
      </c>
      <c r="M35" s="2">
        <f>five子指标方向明细!I69</f>
        <v>5</v>
      </c>
      <c r="N35" s="2" t="str">
        <f>five子指标方向明细!L69</f>
        <v>D(平局)</v>
      </c>
      <c r="O35" s="2">
        <f t="shared" si="0"/>
        <v>1</v>
      </c>
      <c r="P35" s="2" t="str">
        <f t="shared" si="1"/>
        <v>D(平局)</v>
      </c>
      <c r="Q35" s="2" t="s">
        <v>106</v>
      </c>
      <c r="R35" s="2">
        <f t="shared" si="2"/>
        <v>1</v>
      </c>
      <c r="S35" s="2">
        <v>68</v>
      </c>
      <c r="T35" s="2">
        <v>69</v>
      </c>
      <c r="U35" s="2" t="str">
        <f t="shared" si="3"/>
        <v>双向评分平局</v>
      </c>
    </row>
    <row r="36" ht="23" customHeight="1" spans="1:21">
      <c r="A36" s="6" t="s">
        <v>102</v>
      </c>
      <c r="B36" s="2" t="s">
        <v>15</v>
      </c>
      <c r="C36" s="2">
        <v>5</v>
      </c>
      <c r="D36" s="6" t="s">
        <v>501</v>
      </c>
      <c r="E36" s="2" t="str">
        <f>five子指标方向明细!F70</f>
        <v>A</v>
      </c>
      <c r="F36" s="2">
        <f>five子指标方向明细!G70</f>
        <v>5</v>
      </c>
      <c r="G36" s="2" t="str">
        <f>five子指标方向明细!H70</f>
        <v>B</v>
      </c>
      <c r="H36" s="2">
        <f>five子指标方向明细!I70</f>
        <v>5</v>
      </c>
      <c r="I36" s="2" t="str">
        <f>five子指标方向明细!L70</f>
        <v>D(平局)</v>
      </c>
      <c r="J36" s="2" t="str">
        <f>five子指标方向明细!F71</f>
        <v>B</v>
      </c>
      <c r="K36" s="2">
        <f>five子指标方向明细!G71</f>
        <v>5</v>
      </c>
      <c r="L36" s="2" t="str">
        <f>five子指标方向明细!H71</f>
        <v>A</v>
      </c>
      <c r="M36" s="2">
        <f>five子指标方向明细!I71</f>
        <v>5</v>
      </c>
      <c r="N36" s="2" t="str">
        <f>five子指标方向明细!L71</f>
        <v>D(平局)</v>
      </c>
      <c r="O36" s="2">
        <f t="shared" si="0"/>
        <v>1</v>
      </c>
      <c r="P36" s="2" t="str">
        <f t="shared" si="1"/>
        <v>D(平局)</v>
      </c>
      <c r="Q36" s="2" t="s">
        <v>106</v>
      </c>
      <c r="R36" s="2">
        <f t="shared" si="2"/>
        <v>1</v>
      </c>
      <c r="S36" s="2">
        <v>70</v>
      </c>
      <c r="T36" s="2">
        <v>71</v>
      </c>
      <c r="U36" s="2" t="str">
        <f t="shared" si="3"/>
        <v>双向评分平局</v>
      </c>
    </row>
    <row r="37" ht="23" customHeight="1" spans="1:21">
      <c r="A37" s="6" t="s">
        <v>102</v>
      </c>
      <c r="B37" s="2" t="s">
        <v>37</v>
      </c>
      <c r="C37" s="2">
        <v>1</v>
      </c>
      <c r="D37" s="6" t="s">
        <v>497</v>
      </c>
      <c r="E37" s="2" t="str">
        <f>five子指标方向明细!F72</f>
        <v>A</v>
      </c>
      <c r="F37" s="2">
        <f>five子指标方向明细!G72</f>
        <v>5</v>
      </c>
      <c r="G37" s="2" t="str">
        <f>five子指标方向明细!H72</f>
        <v>C</v>
      </c>
      <c r="H37" s="2">
        <f>five子指标方向明细!I72</f>
        <v>2</v>
      </c>
      <c r="I37" s="2" t="str">
        <f>five子指标方向明细!L72</f>
        <v>A</v>
      </c>
      <c r="J37" s="2" t="str">
        <f>five子指标方向明细!F73</f>
        <v>C</v>
      </c>
      <c r="K37" s="2">
        <f>five子指标方向明细!G73</f>
        <v>2</v>
      </c>
      <c r="L37" s="2" t="str">
        <f>five子指标方向明细!H73</f>
        <v>A</v>
      </c>
      <c r="M37" s="2">
        <f>five子指标方向明细!I73</f>
        <v>5</v>
      </c>
      <c r="N37" s="2" t="str">
        <f>five子指标方向明细!L73</f>
        <v>A</v>
      </c>
      <c r="O37" s="2">
        <f t="shared" si="0"/>
        <v>1</v>
      </c>
      <c r="P37" s="2" t="str">
        <f t="shared" si="1"/>
        <v>A</v>
      </c>
      <c r="Q37" s="2" t="s">
        <v>22</v>
      </c>
      <c r="R37" s="2">
        <f t="shared" si="2"/>
        <v>1</v>
      </c>
      <c r="S37" s="2">
        <v>72</v>
      </c>
      <c r="T37" s="2">
        <v>73</v>
      </c>
      <c r="U37" s="2" t="str">
        <f t="shared" si="3"/>
        <v/>
      </c>
    </row>
    <row r="38" ht="23" customHeight="1" spans="1:21">
      <c r="A38" s="6" t="s">
        <v>102</v>
      </c>
      <c r="B38" s="2" t="s">
        <v>37</v>
      </c>
      <c r="C38" s="2">
        <v>2</v>
      </c>
      <c r="D38" s="6" t="s">
        <v>498</v>
      </c>
      <c r="E38" s="2" t="str">
        <f>five子指标方向明细!F74</f>
        <v>A</v>
      </c>
      <c r="F38" s="2">
        <f>five子指标方向明细!G74</f>
        <v>5</v>
      </c>
      <c r="G38" s="2" t="str">
        <f>five子指标方向明细!H74</f>
        <v>C</v>
      </c>
      <c r="H38" s="2">
        <f>five子指标方向明细!I74</f>
        <v>1</v>
      </c>
      <c r="I38" s="2" t="str">
        <f>five子指标方向明细!L74</f>
        <v>A</v>
      </c>
      <c r="J38" s="2" t="str">
        <f>five子指标方向明细!F75</f>
        <v>C</v>
      </c>
      <c r="K38" s="2">
        <f>five子指标方向明细!G75</f>
        <v>1</v>
      </c>
      <c r="L38" s="2" t="str">
        <f>five子指标方向明细!H75</f>
        <v>A</v>
      </c>
      <c r="M38" s="2">
        <f>five子指标方向明细!I75</f>
        <v>5</v>
      </c>
      <c r="N38" s="2" t="str">
        <f>five子指标方向明细!L75</f>
        <v>A</v>
      </c>
      <c r="O38" s="2">
        <f t="shared" si="0"/>
        <v>1</v>
      </c>
      <c r="P38" s="2" t="str">
        <f t="shared" si="1"/>
        <v>A</v>
      </c>
      <c r="Q38" s="2" t="s">
        <v>22</v>
      </c>
      <c r="R38" s="2">
        <f t="shared" si="2"/>
        <v>1</v>
      </c>
      <c r="S38" s="2">
        <v>74</v>
      </c>
      <c r="T38" s="2">
        <v>75</v>
      </c>
      <c r="U38" s="2" t="str">
        <f t="shared" si="3"/>
        <v/>
      </c>
    </row>
    <row r="39" ht="23" customHeight="1" spans="1:21">
      <c r="A39" s="6" t="s">
        <v>102</v>
      </c>
      <c r="B39" s="2" t="s">
        <v>37</v>
      </c>
      <c r="C39" s="2">
        <v>3</v>
      </c>
      <c r="D39" s="6" t="s">
        <v>499</v>
      </c>
      <c r="E39" s="2" t="str">
        <f>five子指标方向明细!F76</f>
        <v>A</v>
      </c>
      <c r="F39" s="2">
        <f>five子指标方向明细!G76</f>
        <v>5</v>
      </c>
      <c r="G39" s="2" t="str">
        <f>five子指标方向明细!H76</f>
        <v>C</v>
      </c>
      <c r="H39" s="2">
        <f>five子指标方向明细!I76</f>
        <v>3</v>
      </c>
      <c r="I39" s="2" t="str">
        <f>five子指标方向明细!L76</f>
        <v>A</v>
      </c>
      <c r="J39" s="2" t="str">
        <f>five子指标方向明细!F77</f>
        <v>C</v>
      </c>
      <c r="K39" s="2">
        <f>five子指标方向明细!G77</f>
        <v>2</v>
      </c>
      <c r="L39" s="2" t="str">
        <f>five子指标方向明细!H77</f>
        <v>A</v>
      </c>
      <c r="M39" s="2">
        <f>five子指标方向明细!I77</f>
        <v>5</v>
      </c>
      <c r="N39" s="2" t="str">
        <f>five子指标方向明细!L77</f>
        <v>A</v>
      </c>
      <c r="O39" s="2">
        <f t="shared" si="0"/>
        <v>1</v>
      </c>
      <c r="P39" s="2" t="str">
        <f t="shared" si="1"/>
        <v>A</v>
      </c>
      <c r="Q39" s="2" t="s">
        <v>22</v>
      </c>
      <c r="R39" s="2">
        <f t="shared" si="2"/>
        <v>1</v>
      </c>
      <c r="S39" s="2">
        <v>76</v>
      </c>
      <c r="T39" s="2">
        <v>77</v>
      </c>
      <c r="U39" s="2" t="str">
        <f t="shared" si="3"/>
        <v/>
      </c>
    </row>
    <row r="40" ht="23" customHeight="1" spans="1:21">
      <c r="A40" s="6" t="s">
        <v>102</v>
      </c>
      <c r="B40" s="2" t="s">
        <v>37</v>
      </c>
      <c r="C40" s="2">
        <v>4</v>
      </c>
      <c r="D40" s="6" t="s">
        <v>500</v>
      </c>
      <c r="E40" s="2" t="str">
        <f>five子指标方向明细!F78</f>
        <v>A</v>
      </c>
      <c r="F40" s="2">
        <f>five子指标方向明细!G78</f>
        <v>5</v>
      </c>
      <c r="G40" s="2" t="str">
        <f>five子指标方向明细!H78</f>
        <v>C</v>
      </c>
      <c r="H40" s="2">
        <f>five子指标方向明细!I78</f>
        <v>2</v>
      </c>
      <c r="I40" s="2" t="str">
        <f>five子指标方向明细!L78</f>
        <v>A</v>
      </c>
      <c r="J40" s="2" t="str">
        <f>five子指标方向明细!F79</f>
        <v>C</v>
      </c>
      <c r="K40" s="2">
        <f>five子指标方向明细!G79</f>
        <v>2</v>
      </c>
      <c r="L40" s="2" t="str">
        <f>five子指标方向明细!H79</f>
        <v>A</v>
      </c>
      <c r="M40" s="2">
        <f>five子指标方向明细!I79</f>
        <v>5</v>
      </c>
      <c r="N40" s="2" t="str">
        <f>five子指标方向明细!L79</f>
        <v>A</v>
      </c>
      <c r="O40" s="2">
        <f t="shared" si="0"/>
        <v>1</v>
      </c>
      <c r="P40" s="2" t="str">
        <f t="shared" si="1"/>
        <v>A</v>
      </c>
      <c r="Q40" s="2" t="s">
        <v>22</v>
      </c>
      <c r="R40" s="2">
        <f t="shared" si="2"/>
        <v>1</v>
      </c>
      <c r="S40" s="2">
        <v>78</v>
      </c>
      <c r="T40" s="2">
        <v>79</v>
      </c>
      <c r="U40" s="2" t="str">
        <f t="shared" si="3"/>
        <v/>
      </c>
    </row>
    <row r="41" ht="23" customHeight="1" spans="1:21">
      <c r="A41" s="6" t="s">
        <v>102</v>
      </c>
      <c r="B41" s="2" t="s">
        <v>37</v>
      </c>
      <c r="C41" s="2">
        <v>5</v>
      </c>
      <c r="D41" s="6" t="s">
        <v>501</v>
      </c>
      <c r="E41" s="2" t="str">
        <f>five子指标方向明细!F80</f>
        <v>A</v>
      </c>
      <c r="F41" s="2">
        <f>five子指标方向明细!G80</f>
        <v>5</v>
      </c>
      <c r="G41" s="2" t="str">
        <f>five子指标方向明细!H80</f>
        <v>C</v>
      </c>
      <c r="H41" s="2">
        <f>five子指标方向明细!I80</f>
        <v>3</v>
      </c>
      <c r="I41" s="2" t="str">
        <f>five子指标方向明细!L80</f>
        <v>A</v>
      </c>
      <c r="J41" s="2" t="str">
        <f>five子指标方向明细!F81</f>
        <v>C</v>
      </c>
      <c r="K41" s="2">
        <f>five子指标方向明细!G81</f>
        <v>3</v>
      </c>
      <c r="L41" s="2" t="str">
        <f>five子指标方向明细!H81</f>
        <v>A</v>
      </c>
      <c r="M41" s="2">
        <f>five子指标方向明细!I81</f>
        <v>5</v>
      </c>
      <c r="N41" s="2" t="str">
        <f>five子指标方向明细!L81</f>
        <v>A</v>
      </c>
      <c r="O41" s="2">
        <f t="shared" si="0"/>
        <v>1</v>
      </c>
      <c r="P41" s="2" t="str">
        <f t="shared" si="1"/>
        <v>A</v>
      </c>
      <c r="Q41" s="2" t="s">
        <v>22</v>
      </c>
      <c r="R41" s="2">
        <f t="shared" si="2"/>
        <v>1</v>
      </c>
      <c r="S41" s="2">
        <v>80</v>
      </c>
      <c r="T41" s="2">
        <v>81</v>
      </c>
      <c r="U41" s="2" t="str">
        <f t="shared" si="3"/>
        <v/>
      </c>
    </row>
    <row r="42" ht="23" customHeight="1" spans="1:21">
      <c r="A42" s="6" t="s">
        <v>102</v>
      </c>
      <c r="B42" s="2" t="s">
        <v>50</v>
      </c>
      <c r="C42" s="2">
        <v>1</v>
      </c>
      <c r="D42" s="6" t="s">
        <v>497</v>
      </c>
      <c r="E42" s="2" t="str">
        <f>five子指标方向明细!F82</f>
        <v>B</v>
      </c>
      <c r="F42" s="2">
        <f>five子指标方向明细!G82</f>
        <v>5</v>
      </c>
      <c r="G42" s="2" t="str">
        <f>five子指标方向明细!H82</f>
        <v>C</v>
      </c>
      <c r="H42" s="2">
        <f>five子指标方向明细!I82</f>
        <v>2</v>
      </c>
      <c r="I42" s="2" t="str">
        <f>five子指标方向明细!L82</f>
        <v>B</v>
      </c>
      <c r="J42" s="2" t="str">
        <f>five子指标方向明细!F83</f>
        <v>C</v>
      </c>
      <c r="K42" s="2">
        <f>five子指标方向明细!G83</f>
        <v>3</v>
      </c>
      <c r="L42" s="2" t="str">
        <f>five子指标方向明细!H83</f>
        <v>B</v>
      </c>
      <c r="M42" s="2">
        <f>five子指标方向明细!I83</f>
        <v>5</v>
      </c>
      <c r="N42" s="2" t="str">
        <f>five子指标方向明细!L83</f>
        <v>B</v>
      </c>
      <c r="O42" s="2">
        <f t="shared" si="0"/>
        <v>1</v>
      </c>
      <c r="P42" s="2" t="str">
        <f t="shared" si="1"/>
        <v>B</v>
      </c>
      <c r="Q42" s="2" t="s">
        <v>26</v>
      </c>
      <c r="R42" s="2">
        <f t="shared" si="2"/>
        <v>1</v>
      </c>
      <c r="S42" s="2">
        <v>82</v>
      </c>
      <c r="T42" s="2">
        <v>83</v>
      </c>
      <c r="U42" s="2" t="str">
        <f t="shared" si="3"/>
        <v/>
      </c>
    </row>
    <row r="43" ht="23" customHeight="1" spans="1:21">
      <c r="A43" s="6" t="s">
        <v>102</v>
      </c>
      <c r="B43" s="2" t="s">
        <v>50</v>
      </c>
      <c r="C43" s="2">
        <v>2</v>
      </c>
      <c r="D43" s="6" t="s">
        <v>498</v>
      </c>
      <c r="E43" s="2" t="str">
        <f>five子指标方向明细!F84</f>
        <v>B</v>
      </c>
      <c r="F43" s="2">
        <f>five子指标方向明细!G84</f>
        <v>5</v>
      </c>
      <c r="G43" s="2" t="str">
        <f>five子指标方向明细!H84</f>
        <v>C</v>
      </c>
      <c r="H43" s="2">
        <f>five子指标方向明细!I84</f>
        <v>1</v>
      </c>
      <c r="I43" s="2" t="str">
        <f>five子指标方向明细!L84</f>
        <v>B</v>
      </c>
      <c r="J43" s="2" t="str">
        <f>five子指标方向明细!F85</f>
        <v>C</v>
      </c>
      <c r="K43" s="2">
        <f>five子指标方向明细!G85</f>
        <v>1</v>
      </c>
      <c r="L43" s="2" t="str">
        <f>five子指标方向明细!H85</f>
        <v>B</v>
      </c>
      <c r="M43" s="2">
        <f>five子指标方向明细!I85</f>
        <v>5</v>
      </c>
      <c r="N43" s="2" t="str">
        <f>five子指标方向明细!L85</f>
        <v>B</v>
      </c>
      <c r="O43" s="2">
        <f t="shared" si="0"/>
        <v>1</v>
      </c>
      <c r="P43" s="2" t="str">
        <f t="shared" si="1"/>
        <v>B</v>
      </c>
      <c r="Q43" s="2" t="s">
        <v>26</v>
      </c>
      <c r="R43" s="2">
        <f t="shared" si="2"/>
        <v>1</v>
      </c>
      <c r="S43" s="2">
        <v>84</v>
      </c>
      <c r="T43" s="2">
        <v>85</v>
      </c>
      <c r="U43" s="2" t="str">
        <f t="shared" si="3"/>
        <v/>
      </c>
    </row>
    <row r="44" ht="23" customHeight="1" spans="1:21">
      <c r="A44" s="6" t="s">
        <v>102</v>
      </c>
      <c r="B44" s="2" t="s">
        <v>50</v>
      </c>
      <c r="C44" s="2">
        <v>3</v>
      </c>
      <c r="D44" s="6" t="s">
        <v>499</v>
      </c>
      <c r="E44" s="2" t="str">
        <f>five子指标方向明细!F86</f>
        <v>B</v>
      </c>
      <c r="F44" s="2">
        <f>five子指标方向明细!G86</f>
        <v>5</v>
      </c>
      <c r="G44" s="2" t="str">
        <f>five子指标方向明细!H86</f>
        <v>C</v>
      </c>
      <c r="H44" s="2">
        <f>five子指标方向明细!I86</f>
        <v>2</v>
      </c>
      <c r="I44" s="2" t="str">
        <f>five子指标方向明细!L86</f>
        <v>B</v>
      </c>
      <c r="J44" s="2" t="str">
        <f>five子指标方向明细!F87</f>
        <v>C</v>
      </c>
      <c r="K44" s="2">
        <f>five子指标方向明细!G87</f>
        <v>3</v>
      </c>
      <c r="L44" s="2" t="str">
        <f>five子指标方向明细!H87</f>
        <v>B</v>
      </c>
      <c r="M44" s="2">
        <f>five子指标方向明细!I87</f>
        <v>5</v>
      </c>
      <c r="N44" s="2" t="str">
        <f>five子指标方向明细!L87</f>
        <v>B</v>
      </c>
      <c r="O44" s="2">
        <f t="shared" si="0"/>
        <v>1</v>
      </c>
      <c r="P44" s="2" t="str">
        <f t="shared" si="1"/>
        <v>B</v>
      </c>
      <c r="Q44" s="2" t="s">
        <v>26</v>
      </c>
      <c r="R44" s="2">
        <f t="shared" si="2"/>
        <v>1</v>
      </c>
      <c r="S44" s="2">
        <v>86</v>
      </c>
      <c r="T44" s="2">
        <v>87</v>
      </c>
      <c r="U44" s="2" t="str">
        <f t="shared" si="3"/>
        <v/>
      </c>
    </row>
    <row r="45" ht="23" customHeight="1" spans="1:21">
      <c r="A45" s="6" t="s">
        <v>102</v>
      </c>
      <c r="B45" s="2" t="s">
        <v>50</v>
      </c>
      <c r="C45" s="2">
        <v>4</v>
      </c>
      <c r="D45" s="6" t="s">
        <v>500</v>
      </c>
      <c r="E45" s="2" t="str">
        <f>five子指标方向明细!F88</f>
        <v>B</v>
      </c>
      <c r="F45" s="2">
        <f>five子指标方向明细!G88</f>
        <v>5</v>
      </c>
      <c r="G45" s="2" t="str">
        <f>five子指标方向明细!H88</f>
        <v>C</v>
      </c>
      <c r="H45" s="2">
        <f>five子指标方向明细!I88</f>
        <v>2</v>
      </c>
      <c r="I45" s="2" t="str">
        <f>five子指标方向明细!L88</f>
        <v>B</v>
      </c>
      <c r="J45" s="2" t="str">
        <f>five子指标方向明细!F89</f>
        <v>C</v>
      </c>
      <c r="K45" s="2">
        <f>five子指标方向明细!G89</f>
        <v>3</v>
      </c>
      <c r="L45" s="2" t="str">
        <f>five子指标方向明细!H89</f>
        <v>B</v>
      </c>
      <c r="M45" s="2">
        <f>five子指标方向明细!I89</f>
        <v>5</v>
      </c>
      <c r="N45" s="2" t="str">
        <f>five子指标方向明细!L89</f>
        <v>B</v>
      </c>
      <c r="O45" s="2">
        <f t="shared" si="0"/>
        <v>1</v>
      </c>
      <c r="P45" s="2" t="str">
        <f t="shared" si="1"/>
        <v>B</v>
      </c>
      <c r="Q45" s="2" t="s">
        <v>26</v>
      </c>
      <c r="R45" s="2">
        <f t="shared" si="2"/>
        <v>1</v>
      </c>
      <c r="S45" s="2">
        <v>88</v>
      </c>
      <c r="T45" s="2">
        <v>89</v>
      </c>
      <c r="U45" s="2" t="str">
        <f t="shared" si="3"/>
        <v/>
      </c>
    </row>
    <row r="46" ht="23" customHeight="1" spans="1:21">
      <c r="A46" s="6" t="s">
        <v>102</v>
      </c>
      <c r="B46" s="2" t="s">
        <v>50</v>
      </c>
      <c r="C46" s="2">
        <v>5</v>
      </c>
      <c r="D46" s="6" t="s">
        <v>501</v>
      </c>
      <c r="E46" s="2" t="str">
        <f>five子指标方向明细!F90</f>
        <v>B</v>
      </c>
      <c r="F46" s="2">
        <f>five子指标方向明细!G90</f>
        <v>5</v>
      </c>
      <c r="G46" s="2" t="str">
        <f>five子指标方向明细!H90</f>
        <v>C</v>
      </c>
      <c r="H46" s="2">
        <f>five子指标方向明细!I90</f>
        <v>3</v>
      </c>
      <c r="I46" s="2" t="str">
        <f>five子指标方向明细!L90</f>
        <v>B</v>
      </c>
      <c r="J46" s="2" t="str">
        <f>five子指标方向明细!F91</f>
        <v>C</v>
      </c>
      <c r="K46" s="2">
        <f>five子指标方向明细!G91</f>
        <v>2</v>
      </c>
      <c r="L46" s="2" t="str">
        <f>five子指标方向明细!H91</f>
        <v>B</v>
      </c>
      <c r="M46" s="2">
        <f>five子指标方向明细!I91</f>
        <v>5</v>
      </c>
      <c r="N46" s="2" t="str">
        <f>five子指标方向明细!L91</f>
        <v>B</v>
      </c>
      <c r="O46" s="2">
        <f t="shared" si="0"/>
        <v>1</v>
      </c>
      <c r="P46" s="2" t="str">
        <f t="shared" si="1"/>
        <v>B</v>
      </c>
      <c r="Q46" s="2" t="s">
        <v>26</v>
      </c>
      <c r="R46" s="2">
        <f t="shared" si="2"/>
        <v>1</v>
      </c>
      <c r="S46" s="2">
        <v>90</v>
      </c>
      <c r="T46" s="2">
        <v>91</v>
      </c>
      <c r="U46" s="2" t="str">
        <f t="shared" si="3"/>
        <v/>
      </c>
    </row>
    <row r="47" ht="23" customHeight="1" spans="1:21">
      <c r="A47" s="6" t="s">
        <v>141</v>
      </c>
      <c r="B47" s="2" t="s">
        <v>15</v>
      </c>
      <c r="C47" s="2">
        <v>1</v>
      </c>
      <c r="D47" s="6" t="s">
        <v>497</v>
      </c>
      <c r="E47" s="2" t="str">
        <f>five子指标方向明细!F92</f>
        <v>A</v>
      </c>
      <c r="F47" s="2">
        <f>five子指标方向明细!G92</f>
        <v>5</v>
      </c>
      <c r="G47" s="2" t="str">
        <f>five子指标方向明细!H92</f>
        <v>B</v>
      </c>
      <c r="H47" s="2">
        <f>five子指标方向明细!I92</f>
        <v>5</v>
      </c>
      <c r="I47" s="2" t="str">
        <f>five子指标方向明细!L92</f>
        <v>D(平局)</v>
      </c>
      <c r="J47" s="2" t="str">
        <f>five子指标方向明细!F93</f>
        <v>B</v>
      </c>
      <c r="K47" s="2">
        <f>five子指标方向明细!G93</f>
        <v>5</v>
      </c>
      <c r="L47" s="2" t="str">
        <f>five子指标方向明细!H93</f>
        <v>A</v>
      </c>
      <c r="M47" s="2">
        <f>five子指标方向明细!I93</f>
        <v>5</v>
      </c>
      <c r="N47" s="2" t="str">
        <f>five子指标方向明细!L93</f>
        <v>D(平局)</v>
      </c>
      <c r="O47" s="2">
        <f t="shared" si="0"/>
        <v>1</v>
      </c>
      <c r="P47" s="2" t="str">
        <f t="shared" si="1"/>
        <v>D(平局)</v>
      </c>
      <c r="Q47" s="2" t="s">
        <v>106</v>
      </c>
      <c r="R47" s="2">
        <f t="shared" si="2"/>
        <v>1</v>
      </c>
      <c r="S47" s="2">
        <v>92</v>
      </c>
      <c r="T47" s="2">
        <v>93</v>
      </c>
      <c r="U47" s="2" t="str">
        <f t="shared" si="3"/>
        <v>双向评分平局</v>
      </c>
    </row>
    <row r="48" ht="23" customHeight="1" spans="1:21">
      <c r="A48" s="6" t="s">
        <v>141</v>
      </c>
      <c r="B48" s="2" t="s">
        <v>15</v>
      </c>
      <c r="C48" s="2">
        <v>2</v>
      </c>
      <c r="D48" s="6" t="s">
        <v>498</v>
      </c>
      <c r="E48" s="2" t="str">
        <f>five子指标方向明细!F94</f>
        <v>A</v>
      </c>
      <c r="F48" s="2">
        <f>five子指标方向明细!G94</f>
        <v>5</v>
      </c>
      <c r="G48" s="2" t="str">
        <f>five子指标方向明细!H94</f>
        <v>B</v>
      </c>
      <c r="H48" s="2">
        <f>five子指标方向明细!I94</f>
        <v>5</v>
      </c>
      <c r="I48" s="2" t="str">
        <f>five子指标方向明细!L94</f>
        <v>D(平局)</v>
      </c>
      <c r="J48" s="2" t="str">
        <f>five子指标方向明细!F95</f>
        <v>B</v>
      </c>
      <c r="K48" s="2">
        <f>five子指标方向明细!G95</f>
        <v>5</v>
      </c>
      <c r="L48" s="2" t="str">
        <f>five子指标方向明细!H95</f>
        <v>A</v>
      </c>
      <c r="M48" s="2">
        <f>five子指标方向明细!I95</f>
        <v>5</v>
      </c>
      <c r="N48" s="2" t="str">
        <f>five子指标方向明细!L95</f>
        <v>D(平局)</v>
      </c>
      <c r="O48" s="2">
        <f t="shared" si="0"/>
        <v>1</v>
      </c>
      <c r="P48" s="2" t="str">
        <f t="shared" si="1"/>
        <v>D(平局)</v>
      </c>
      <c r="Q48" s="2" t="s">
        <v>106</v>
      </c>
      <c r="R48" s="2">
        <f t="shared" si="2"/>
        <v>1</v>
      </c>
      <c r="S48" s="2">
        <v>94</v>
      </c>
      <c r="T48" s="2">
        <v>95</v>
      </c>
      <c r="U48" s="2" t="str">
        <f t="shared" si="3"/>
        <v>双向评分平局</v>
      </c>
    </row>
    <row r="49" ht="23" customHeight="1" spans="1:21">
      <c r="A49" s="6" t="s">
        <v>141</v>
      </c>
      <c r="B49" s="2" t="s">
        <v>15</v>
      </c>
      <c r="C49" s="2">
        <v>3</v>
      </c>
      <c r="D49" s="6" t="s">
        <v>499</v>
      </c>
      <c r="E49" s="2" t="str">
        <f>five子指标方向明细!F96</f>
        <v>A</v>
      </c>
      <c r="F49" s="2">
        <f>five子指标方向明细!G96</f>
        <v>5</v>
      </c>
      <c r="G49" s="2" t="str">
        <f>five子指标方向明细!H96</f>
        <v>B</v>
      </c>
      <c r="H49" s="2">
        <f>five子指标方向明细!I96</f>
        <v>5</v>
      </c>
      <c r="I49" s="2" t="str">
        <f>five子指标方向明细!L96</f>
        <v>D(平局)</v>
      </c>
      <c r="J49" s="2" t="str">
        <f>five子指标方向明细!F97</f>
        <v>B</v>
      </c>
      <c r="K49" s="2">
        <f>five子指标方向明细!G97</f>
        <v>5</v>
      </c>
      <c r="L49" s="2" t="str">
        <f>five子指标方向明细!H97</f>
        <v>A</v>
      </c>
      <c r="M49" s="2">
        <f>five子指标方向明细!I97</f>
        <v>5</v>
      </c>
      <c r="N49" s="2" t="str">
        <f>five子指标方向明细!L97</f>
        <v>D(平局)</v>
      </c>
      <c r="O49" s="2">
        <f t="shared" si="0"/>
        <v>1</v>
      </c>
      <c r="P49" s="2" t="str">
        <f t="shared" si="1"/>
        <v>D(平局)</v>
      </c>
      <c r="Q49" s="2" t="s">
        <v>106</v>
      </c>
      <c r="R49" s="2">
        <f t="shared" si="2"/>
        <v>1</v>
      </c>
      <c r="S49" s="2">
        <v>96</v>
      </c>
      <c r="T49" s="2">
        <v>97</v>
      </c>
      <c r="U49" s="2" t="str">
        <f t="shared" si="3"/>
        <v>双向评分平局</v>
      </c>
    </row>
    <row r="50" ht="23" customHeight="1" spans="1:21">
      <c r="A50" s="6" t="s">
        <v>141</v>
      </c>
      <c r="B50" s="2" t="s">
        <v>15</v>
      </c>
      <c r="C50" s="2">
        <v>4</v>
      </c>
      <c r="D50" s="6" t="s">
        <v>500</v>
      </c>
      <c r="E50" s="2" t="str">
        <f>five子指标方向明细!F98</f>
        <v>A</v>
      </c>
      <c r="F50" s="2">
        <f>five子指标方向明细!G98</f>
        <v>5</v>
      </c>
      <c r="G50" s="2" t="str">
        <f>five子指标方向明细!H98</f>
        <v>B</v>
      </c>
      <c r="H50" s="2">
        <f>five子指标方向明细!I98</f>
        <v>5</v>
      </c>
      <c r="I50" s="2" t="str">
        <f>five子指标方向明细!L98</f>
        <v>D(平局)</v>
      </c>
      <c r="J50" s="2" t="str">
        <f>five子指标方向明细!F99</f>
        <v>B</v>
      </c>
      <c r="K50" s="2">
        <f>five子指标方向明细!G99</f>
        <v>5</v>
      </c>
      <c r="L50" s="2" t="str">
        <f>five子指标方向明细!H99</f>
        <v>A</v>
      </c>
      <c r="M50" s="2">
        <f>five子指标方向明细!I99</f>
        <v>5</v>
      </c>
      <c r="N50" s="2" t="str">
        <f>five子指标方向明细!L99</f>
        <v>D(平局)</v>
      </c>
      <c r="O50" s="2">
        <f t="shared" si="0"/>
        <v>1</v>
      </c>
      <c r="P50" s="2" t="str">
        <f t="shared" si="1"/>
        <v>D(平局)</v>
      </c>
      <c r="Q50" s="2" t="s">
        <v>106</v>
      </c>
      <c r="R50" s="2">
        <f t="shared" si="2"/>
        <v>1</v>
      </c>
      <c r="S50" s="2">
        <v>98</v>
      </c>
      <c r="T50" s="2">
        <v>99</v>
      </c>
      <c r="U50" s="2" t="str">
        <f t="shared" si="3"/>
        <v>双向评分平局</v>
      </c>
    </row>
    <row r="51" ht="23" customHeight="1" spans="1:21">
      <c r="A51" s="6" t="s">
        <v>141</v>
      </c>
      <c r="B51" s="2" t="s">
        <v>15</v>
      </c>
      <c r="C51" s="2">
        <v>5</v>
      </c>
      <c r="D51" s="6" t="s">
        <v>501</v>
      </c>
      <c r="E51" s="2" t="str">
        <f>five子指标方向明细!F100</f>
        <v>A</v>
      </c>
      <c r="F51" s="2">
        <f>five子指标方向明细!G100</f>
        <v>5</v>
      </c>
      <c r="G51" s="2" t="str">
        <f>five子指标方向明细!H100</f>
        <v>B</v>
      </c>
      <c r="H51" s="2">
        <f>five子指标方向明细!I100</f>
        <v>5</v>
      </c>
      <c r="I51" s="2" t="str">
        <f>five子指标方向明细!L100</f>
        <v>D(平局)</v>
      </c>
      <c r="J51" s="2" t="str">
        <f>five子指标方向明细!F101</f>
        <v>B</v>
      </c>
      <c r="K51" s="2">
        <f>five子指标方向明细!G101</f>
        <v>5</v>
      </c>
      <c r="L51" s="2" t="str">
        <f>five子指标方向明细!H101</f>
        <v>A</v>
      </c>
      <c r="M51" s="2">
        <f>five子指标方向明细!I101</f>
        <v>5</v>
      </c>
      <c r="N51" s="2" t="str">
        <f>five子指标方向明细!L101</f>
        <v>D(平局)</v>
      </c>
      <c r="O51" s="2">
        <f t="shared" si="0"/>
        <v>1</v>
      </c>
      <c r="P51" s="2" t="str">
        <f t="shared" si="1"/>
        <v>D(平局)</v>
      </c>
      <c r="Q51" s="2" t="s">
        <v>106</v>
      </c>
      <c r="R51" s="2">
        <f t="shared" si="2"/>
        <v>1</v>
      </c>
      <c r="S51" s="2">
        <v>100</v>
      </c>
      <c r="T51" s="2">
        <v>101</v>
      </c>
      <c r="U51" s="2" t="str">
        <f t="shared" si="3"/>
        <v>双向评分平局</v>
      </c>
    </row>
    <row r="52" ht="23" customHeight="1" spans="1:21">
      <c r="A52" s="6" t="s">
        <v>141</v>
      </c>
      <c r="B52" s="2" t="s">
        <v>37</v>
      </c>
      <c r="C52" s="2">
        <v>1</v>
      </c>
      <c r="D52" s="6" t="s">
        <v>497</v>
      </c>
      <c r="E52" s="2" t="str">
        <f>five子指标方向明细!F102</f>
        <v>A</v>
      </c>
      <c r="F52" s="2">
        <f>five子指标方向明细!G102</f>
        <v>5</v>
      </c>
      <c r="G52" s="2" t="str">
        <f>five子指标方向明细!H102</f>
        <v>C</v>
      </c>
      <c r="H52" s="2">
        <f>five子指标方向明细!I102</f>
        <v>5</v>
      </c>
      <c r="I52" s="2" t="str">
        <f>five子指标方向明细!L102</f>
        <v>D(平局)</v>
      </c>
      <c r="J52" s="2" t="str">
        <f>five子指标方向明细!F103</f>
        <v>C</v>
      </c>
      <c r="K52" s="2">
        <f>five子指标方向明细!G103</f>
        <v>5</v>
      </c>
      <c r="L52" s="2" t="str">
        <f>five子指标方向明细!H103</f>
        <v>A</v>
      </c>
      <c r="M52" s="2">
        <f>five子指标方向明细!I103</f>
        <v>5</v>
      </c>
      <c r="N52" s="2" t="str">
        <f>five子指标方向明细!L103</f>
        <v>D(平局)</v>
      </c>
      <c r="O52" s="2">
        <f t="shared" si="0"/>
        <v>1</v>
      </c>
      <c r="P52" s="2" t="str">
        <f t="shared" si="1"/>
        <v>D(平局)</v>
      </c>
      <c r="Q52" s="2" t="s">
        <v>22</v>
      </c>
      <c r="R52" s="2">
        <f t="shared" si="2"/>
        <v>0</v>
      </c>
      <c r="S52" s="2">
        <v>102</v>
      </c>
      <c r="T52" s="2">
        <v>103</v>
      </c>
      <c r="U52" s="2" t="str">
        <f t="shared" si="3"/>
        <v>双向评分平局</v>
      </c>
    </row>
    <row r="53" ht="23" customHeight="1" spans="1:21">
      <c r="A53" s="6" t="s">
        <v>141</v>
      </c>
      <c r="B53" s="2" t="s">
        <v>37</v>
      </c>
      <c r="C53" s="2">
        <v>2</v>
      </c>
      <c r="D53" s="6" t="s">
        <v>498</v>
      </c>
      <c r="E53" s="2" t="str">
        <f>five子指标方向明细!F104</f>
        <v>A</v>
      </c>
      <c r="F53" s="2">
        <f>five子指标方向明细!G104</f>
        <v>5</v>
      </c>
      <c r="G53" s="2" t="str">
        <f>five子指标方向明细!H104</f>
        <v>C</v>
      </c>
      <c r="H53" s="2">
        <f>five子指标方向明细!I104</f>
        <v>3</v>
      </c>
      <c r="I53" s="2" t="str">
        <f>five子指标方向明细!L104</f>
        <v>A</v>
      </c>
      <c r="J53" s="2" t="str">
        <f>five子指标方向明细!F105</f>
        <v>C</v>
      </c>
      <c r="K53" s="2">
        <f>five子指标方向明细!G105</f>
        <v>4</v>
      </c>
      <c r="L53" s="2" t="str">
        <f>five子指标方向明细!H105</f>
        <v>A</v>
      </c>
      <c r="M53" s="2">
        <f>five子指标方向明细!I105</f>
        <v>5</v>
      </c>
      <c r="N53" s="2" t="str">
        <f>five子指标方向明细!L105</f>
        <v>A</v>
      </c>
      <c r="O53" s="2">
        <f t="shared" si="0"/>
        <v>1</v>
      </c>
      <c r="P53" s="2" t="str">
        <f t="shared" si="1"/>
        <v>A</v>
      </c>
      <c r="Q53" s="2" t="s">
        <v>22</v>
      </c>
      <c r="R53" s="2">
        <f t="shared" si="2"/>
        <v>1</v>
      </c>
      <c r="S53" s="2">
        <v>104</v>
      </c>
      <c r="T53" s="2">
        <v>105</v>
      </c>
      <c r="U53" s="2" t="str">
        <f t="shared" si="3"/>
        <v/>
      </c>
    </row>
    <row r="54" ht="23" customHeight="1" spans="1:21">
      <c r="A54" s="6" t="s">
        <v>141</v>
      </c>
      <c r="B54" s="2" t="s">
        <v>37</v>
      </c>
      <c r="C54" s="2">
        <v>3</v>
      </c>
      <c r="D54" s="6" t="s">
        <v>499</v>
      </c>
      <c r="E54" s="2" t="str">
        <f>five子指标方向明细!F106</f>
        <v>A</v>
      </c>
      <c r="F54" s="2">
        <f>five子指标方向明细!G106</f>
        <v>5</v>
      </c>
      <c r="G54" s="2" t="str">
        <f>five子指标方向明细!H106</f>
        <v>C</v>
      </c>
      <c r="H54" s="2">
        <f>five子指标方向明细!I106</f>
        <v>5</v>
      </c>
      <c r="I54" s="2" t="str">
        <f>five子指标方向明细!L106</f>
        <v>D(平局)</v>
      </c>
      <c r="J54" s="2" t="str">
        <f>five子指标方向明细!F107</f>
        <v>C</v>
      </c>
      <c r="K54" s="2">
        <f>five子指标方向明细!G107</f>
        <v>5</v>
      </c>
      <c r="L54" s="2" t="str">
        <f>five子指标方向明细!H107</f>
        <v>A</v>
      </c>
      <c r="M54" s="2">
        <f>five子指标方向明细!I107</f>
        <v>5</v>
      </c>
      <c r="N54" s="2" t="str">
        <f>five子指标方向明细!L107</f>
        <v>D(平局)</v>
      </c>
      <c r="O54" s="2">
        <f t="shared" si="0"/>
        <v>1</v>
      </c>
      <c r="P54" s="2" t="str">
        <f t="shared" si="1"/>
        <v>D(平局)</v>
      </c>
      <c r="Q54" s="2" t="s">
        <v>22</v>
      </c>
      <c r="R54" s="2">
        <f t="shared" si="2"/>
        <v>0</v>
      </c>
      <c r="S54" s="2">
        <v>106</v>
      </c>
      <c r="T54" s="2">
        <v>107</v>
      </c>
      <c r="U54" s="2" t="str">
        <f t="shared" si="3"/>
        <v>双向评分平局</v>
      </c>
    </row>
    <row r="55" ht="23" customHeight="1" spans="1:21">
      <c r="A55" s="6" t="s">
        <v>141</v>
      </c>
      <c r="B55" s="2" t="s">
        <v>37</v>
      </c>
      <c r="C55" s="2">
        <v>4</v>
      </c>
      <c r="D55" s="6" t="s">
        <v>500</v>
      </c>
      <c r="E55" s="2" t="str">
        <f>five子指标方向明细!F108</f>
        <v>A</v>
      </c>
      <c r="F55" s="2">
        <f>five子指标方向明细!G108</f>
        <v>5</v>
      </c>
      <c r="G55" s="2" t="str">
        <f>five子指标方向明细!H108</f>
        <v>C</v>
      </c>
      <c r="H55" s="2">
        <f>five子指标方向明细!I108</f>
        <v>5</v>
      </c>
      <c r="I55" s="2" t="str">
        <f>five子指标方向明细!L108</f>
        <v>D(平局)</v>
      </c>
      <c r="J55" s="2" t="str">
        <f>five子指标方向明细!F109</f>
        <v>C</v>
      </c>
      <c r="K55" s="2">
        <f>five子指标方向明细!G109</f>
        <v>5</v>
      </c>
      <c r="L55" s="2" t="str">
        <f>five子指标方向明细!H109</f>
        <v>A</v>
      </c>
      <c r="M55" s="2">
        <f>five子指标方向明细!I109</f>
        <v>5</v>
      </c>
      <c r="N55" s="2" t="str">
        <f>five子指标方向明细!L109</f>
        <v>D(平局)</v>
      </c>
      <c r="O55" s="2">
        <f t="shared" si="0"/>
        <v>1</v>
      </c>
      <c r="P55" s="2" t="str">
        <f t="shared" si="1"/>
        <v>D(平局)</v>
      </c>
      <c r="Q55" s="2" t="s">
        <v>22</v>
      </c>
      <c r="R55" s="2">
        <f t="shared" si="2"/>
        <v>0</v>
      </c>
      <c r="S55" s="2">
        <v>108</v>
      </c>
      <c r="T55" s="2">
        <v>109</v>
      </c>
      <c r="U55" s="2" t="str">
        <f t="shared" si="3"/>
        <v>双向评分平局</v>
      </c>
    </row>
    <row r="56" ht="23" customHeight="1" spans="1:21">
      <c r="A56" s="6" t="s">
        <v>141</v>
      </c>
      <c r="B56" s="2" t="s">
        <v>37</v>
      </c>
      <c r="C56" s="2">
        <v>5</v>
      </c>
      <c r="D56" s="6" t="s">
        <v>501</v>
      </c>
      <c r="E56" s="2" t="str">
        <f>five子指标方向明细!F110</f>
        <v>A</v>
      </c>
      <c r="F56" s="2">
        <f>five子指标方向明细!G110</f>
        <v>5</v>
      </c>
      <c r="G56" s="2" t="str">
        <f>five子指标方向明细!H110</f>
        <v>C</v>
      </c>
      <c r="H56" s="2">
        <f>five子指标方向明细!I110</f>
        <v>4</v>
      </c>
      <c r="I56" s="2" t="str">
        <f>five子指标方向明细!L110</f>
        <v>A</v>
      </c>
      <c r="J56" s="2" t="str">
        <f>five子指标方向明细!F111</f>
        <v>C</v>
      </c>
      <c r="K56" s="2">
        <f>five子指标方向明细!G111</f>
        <v>5</v>
      </c>
      <c r="L56" s="2" t="str">
        <f>five子指标方向明细!H111</f>
        <v>A</v>
      </c>
      <c r="M56" s="2">
        <f>five子指标方向明细!I111</f>
        <v>5</v>
      </c>
      <c r="N56" s="2" t="str">
        <f>five子指标方向明细!L111</f>
        <v>D(平局)</v>
      </c>
      <c r="O56" s="2">
        <f t="shared" si="0"/>
        <v>0</v>
      </c>
      <c r="P56" s="2" t="str">
        <f t="shared" si="1"/>
        <v>D(平局)</v>
      </c>
      <c r="Q56" s="2" t="s">
        <v>22</v>
      </c>
      <c r="R56" s="2">
        <f t="shared" si="2"/>
        <v>0</v>
      </c>
      <c r="S56" s="2">
        <v>110</v>
      </c>
      <c r="T56" s="2">
        <v>111</v>
      </c>
      <c r="U56" s="2" t="str">
        <f t="shared" si="3"/>
        <v>方向冲突</v>
      </c>
    </row>
    <row r="57" ht="23" customHeight="1" spans="1:21">
      <c r="A57" s="6" t="s">
        <v>141</v>
      </c>
      <c r="B57" s="2" t="s">
        <v>50</v>
      </c>
      <c r="C57" s="2">
        <v>1</v>
      </c>
      <c r="D57" s="6" t="s">
        <v>497</v>
      </c>
      <c r="E57" s="2" t="str">
        <f>five子指标方向明细!F112</f>
        <v>B</v>
      </c>
      <c r="F57" s="2">
        <f>five子指标方向明细!G112</f>
        <v>5</v>
      </c>
      <c r="G57" s="2" t="str">
        <f>five子指标方向明细!H112</f>
        <v>C</v>
      </c>
      <c r="H57" s="2">
        <f>five子指标方向明细!I112</f>
        <v>5</v>
      </c>
      <c r="I57" s="2" t="str">
        <f>five子指标方向明细!L112</f>
        <v>D(平局)</v>
      </c>
      <c r="J57" s="2" t="str">
        <f>five子指标方向明细!F113</f>
        <v>C</v>
      </c>
      <c r="K57" s="2">
        <f>five子指标方向明细!G113</f>
        <v>5</v>
      </c>
      <c r="L57" s="2" t="str">
        <f>five子指标方向明细!H113</f>
        <v>B</v>
      </c>
      <c r="M57" s="2">
        <f>five子指标方向明细!I113</f>
        <v>5</v>
      </c>
      <c r="N57" s="2" t="str">
        <f>five子指标方向明细!L113</f>
        <v>D(平局)</v>
      </c>
      <c r="O57" s="2">
        <f t="shared" si="0"/>
        <v>1</v>
      </c>
      <c r="P57" s="2" t="str">
        <f t="shared" si="1"/>
        <v>D(平局)</v>
      </c>
      <c r="Q57" s="2" t="s">
        <v>26</v>
      </c>
      <c r="R57" s="2">
        <f t="shared" si="2"/>
        <v>0</v>
      </c>
      <c r="S57" s="2">
        <v>112</v>
      </c>
      <c r="T57" s="2">
        <v>113</v>
      </c>
      <c r="U57" s="2" t="str">
        <f t="shared" si="3"/>
        <v>双向评分平局</v>
      </c>
    </row>
    <row r="58" ht="23" customHeight="1" spans="1:21">
      <c r="A58" s="6" t="s">
        <v>141</v>
      </c>
      <c r="B58" s="2" t="s">
        <v>50</v>
      </c>
      <c r="C58" s="2">
        <v>2</v>
      </c>
      <c r="D58" s="6" t="s">
        <v>498</v>
      </c>
      <c r="E58" s="2" t="str">
        <f>five子指标方向明细!F114</f>
        <v>B</v>
      </c>
      <c r="F58" s="2">
        <f>five子指标方向明细!G114</f>
        <v>5</v>
      </c>
      <c r="G58" s="2" t="str">
        <f>five子指标方向明细!H114</f>
        <v>C</v>
      </c>
      <c r="H58" s="2">
        <f>five子指标方向明细!I114</f>
        <v>4</v>
      </c>
      <c r="I58" s="2" t="str">
        <f>five子指标方向明细!L114</f>
        <v>B</v>
      </c>
      <c r="J58" s="2" t="str">
        <f>five子指标方向明细!F115</f>
        <v>C</v>
      </c>
      <c r="K58" s="2">
        <f>five子指标方向明细!G115</f>
        <v>3</v>
      </c>
      <c r="L58" s="2" t="str">
        <f>five子指标方向明细!H115</f>
        <v>B</v>
      </c>
      <c r="M58" s="2">
        <f>five子指标方向明细!I115</f>
        <v>5</v>
      </c>
      <c r="N58" s="2" t="str">
        <f>five子指标方向明细!L115</f>
        <v>B</v>
      </c>
      <c r="O58" s="2">
        <f t="shared" si="0"/>
        <v>1</v>
      </c>
      <c r="P58" s="2" t="str">
        <f t="shared" si="1"/>
        <v>B</v>
      </c>
      <c r="Q58" s="2" t="s">
        <v>26</v>
      </c>
      <c r="R58" s="2">
        <f t="shared" si="2"/>
        <v>1</v>
      </c>
      <c r="S58" s="2">
        <v>114</v>
      </c>
      <c r="T58" s="2">
        <v>115</v>
      </c>
      <c r="U58" s="2" t="str">
        <f t="shared" si="3"/>
        <v/>
      </c>
    </row>
    <row r="59" ht="23" customHeight="1" spans="1:21">
      <c r="A59" s="6" t="s">
        <v>141</v>
      </c>
      <c r="B59" s="2" t="s">
        <v>50</v>
      </c>
      <c r="C59" s="2">
        <v>3</v>
      </c>
      <c r="D59" s="6" t="s">
        <v>499</v>
      </c>
      <c r="E59" s="2" t="str">
        <f>five子指标方向明细!F116</f>
        <v>B</v>
      </c>
      <c r="F59" s="2">
        <f>five子指标方向明细!G116</f>
        <v>5</v>
      </c>
      <c r="G59" s="2" t="str">
        <f>five子指标方向明细!H116</f>
        <v>C</v>
      </c>
      <c r="H59" s="2">
        <f>five子指标方向明细!I116</f>
        <v>5</v>
      </c>
      <c r="I59" s="2" t="str">
        <f>five子指标方向明细!L116</f>
        <v>D(平局)</v>
      </c>
      <c r="J59" s="2" t="str">
        <f>five子指标方向明细!F117</f>
        <v>C</v>
      </c>
      <c r="K59" s="2">
        <f>five子指标方向明细!G117</f>
        <v>5</v>
      </c>
      <c r="L59" s="2" t="str">
        <f>five子指标方向明细!H117</f>
        <v>B</v>
      </c>
      <c r="M59" s="2">
        <f>five子指标方向明细!I117</f>
        <v>5</v>
      </c>
      <c r="N59" s="2" t="str">
        <f>five子指标方向明细!L117</f>
        <v>D(平局)</v>
      </c>
      <c r="O59" s="2">
        <f t="shared" si="0"/>
        <v>1</v>
      </c>
      <c r="P59" s="2" t="str">
        <f t="shared" si="1"/>
        <v>D(平局)</v>
      </c>
      <c r="Q59" s="2" t="s">
        <v>26</v>
      </c>
      <c r="R59" s="2">
        <f t="shared" si="2"/>
        <v>0</v>
      </c>
      <c r="S59" s="2">
        <v>116</v>
      </c>
      <c r="T59" s="2">
        <v>117</v>
      </c>
      <c r="U59" s="2" t="str">
        <f t="shared" si="3"/>
        <v>双向评分平局</v>
      </c>
    </row>
    <row r="60" ht="23" customHeight="1" spans="1:21">
      <c r="A60" s="6" t="s">
        <v>141</v>
      </c>
      <c r="B60" s="2" t="s">
        <v>50</v>
      </c>
      <c r="C60" s="2">
        <v>4</v>
      </c>
      <c r="D60" s="6" t="s">
        <v>500</v>
      </c>
      <c r="E60" s="2" t="str">
        <f>five子指标方向明细!F118</f>
        <v>B</v>
      </c>
      <c r="F60" s="2">
        <f>five子指标方向明细!G118</f>
        <v>5</v>
      </c>
      <c r="G60" s="2" t="str">
        <f>five子指标方向明细!H118</f>
        <v>C</v>
      </c>
      <c r="H60" s="2">
        <f>five子指标方向明细!I118</f>
        <v>5</v>
      </c>
      <c r="I60" s="2" t="str">
        <f>five子指标方向明细!L118</f>
        <v>D(平局)</v>
      </c>
      <c r="J60" s="2" t="str">
        <f>five子指标方向明细!F119</f>
        <v>C</v>
      </c>
      <c r="K60" s="2">
        <f>five子指标方向明细!G119</f>
        <v>5</v>
      </c>
      <c r="L60" s="2" t="str">
        <f>five子指标方向明细!H119</f>
        <v>B</v>
      </c>
      <c r="M60" s="2">
        <f>five子指标方向明细!I119</f>
        <v>5</v>
      </c>
      <c r="N60" s="2" t="str">
        <f>five子指标方向明细!L119</f>
        <v>D(平局)</v>
      </c>
      <c r="O60" s="2">
        <f t="shared" si="0"/>
        <v>1</v>
      </c>
      <c r="P60" s="2" t="str">
        <f t="shared" si="1"/>
        <v>D(平局)</v>
      </c>
      <c r="Q60" s="2" t="s">
        <v>26</v>
      </c>
      <c r="R60" s="2">
        <f t="shared" si="2"/>
        <v>0</v>
      </c>
      <c r="S60" s="2">
        <v>118</v>
      </c>
      <c r="T60" s="2">
        <v>119</v>
      </c>
      <c r="U60" s="2" t="str">
        <f t="shared" si="3"/>
        <v>双向评分平局</v>
      </c>
    </row>
    <row r="61" ht="23" customHeight="1" spans="1:21">
      <c r="A61" s="6" t="s">
        <v>141</v>
      </c>
      <c r="B61" s="2" t="s">
        <v>50</v>
      </c>
      <c r="C61" s="2">
        <v>5</v>
      </c>
      <c r="D61" s="6" t="s">
        <v>501</v>
      </c>
      <c r="E61" s="2" t="str">
        <f>five子指标方向明细!F120</f>
        <v>B</v>
      </c>
      <c r="F61" s="2">
        <f>five子指标方向明细!G120</f>
        <v>5</v>
      </c>
      <c r="G61" s="2" t="str">
        <f>five子指标方向明细!H120</f>
        <v>C</v>
      </c>
      <c r="H61" s="2">
        <f>five子指标方向明细!I120</f>
        <v>5</v>
      </c>
      <c r="I61" s="2" t="str">
        <f>five子指标方向明细!L120</f>
        <v>D(平局)</v>
      </c>
      <c r="J61" s="2" t="str">
        <f>five子指标方向明细!F121</f>
        <v>C</v>
      </c>
      <c r="K61" s="2">
        <f>five子指标方向明细!G121</f>
        <v>4</v>
      </c>
      <c r="L61" s="2" t="str">
        <f>five子指标方向明细!H121</f>
        <v>B</v>
      </c>
      <c r="M61" s="2">
        <f>five子指标方向明细!I121</f>
        <v>5</v>
      </c>
      <c r="N61" s="2" t="str">
        <f>five子指标方向明细!L121</f>
        <v>B</v>
      </c>
      <c r="O61" s="2">
        <f t="shared" si="0"/>
        <v>0</v>
      </c>
      <c r="P61" s="2" t="str">
        <f t="shared" si="1"/>
        <v>D(平局)</v>
      </c>
      <c r="Q61" s="2" t="s">
        <v>26</v>
      </c>
      <c r="R61" s="2">
        <f t="shared" si="2"/>
        <v>0</v>
      </c>
      <c r="S61" s="2">
        <v>120</v>
      </c>
      <c r="T61" s="2">
        <v>121</v>
      </c>
      <c r="U61" s="2" t="str">
        <f t="shared" si="3"/>
        <v>方向冲突</v>
      </c>
    </row>
    <row r="62" ht="23" customHeight="1" spans="1:21">
      <c r="A62" s="6" t="s">
        <v>179</v>
      </c>
      <c r="B62" s="2" t="s">
        <v>15</v>
      </c>
      <c r="C62" s="2">
        <v>1</v>
      </c>
      <c r="D62" s="6" t="s">
        <v>497</v>
      </c>
      <c r="E62" s="2" t="str">
        <f>five子指标方向明细!F122</f>
        <v>A</v>
      </c>
      <c r="F62" s="2">
        <f>five子指标方向明细!G122</f>
        <v>5</v>
      </c>
      <c r="G62" s="2" t="str">
        <f>five子指标方向明细!H122</f>
        <v>B</v>
      </c>
      <c r="H62" s="2">
        <f>five子指标方向明细!I122</f>
        <v>5</v>
      </c>
      <c r="I62" s="2" t="str">
        <f>five子指标方向明细!L122</f>
        <v>D(平局)</v>
      </c>
      <c r="J62" s="2" t="str">
        <f>five子指标方向明细!F123</f>
        <v>B</v>
      </c>
      <c r="K62" s="2">
        <f>five子指标方向明细!G123</f>
        <v>5</v>
      </c>
      <c r="L62" s="2" t="str">
        <f>five子指标方向明细!H123</f>
        <v>A</v>
      </c>
      <c r="M62" s="2">
        <f>five子指标方向明细!I123</f>
        <v>5</v>
      </c>
      <c r="N62" s="2" t="str">
        <f>five子指标方向明细!L123</f>
        <v>D(平局)</v>
      </c>
      <c r="O62" s="2">
        <f t="shared" si="0"/>
        <v>1</v>
      </c>
      <c r="P62" s="2" t="str">
        <f t="shared" si="1"/>
        <v>D(平局)</v>
      </c>
      <c r="Q62" s="2" t="s">
        <v>26</v>
      </c>
      <c r="R62" s="2">
        <f t="shared" si="2"/>
        <v>0</v>
      </c>
      <c r="S62" s="2">
        <v>122</v>
      </c>
      <c r="T62" s="2">
        <v>123</v>
      </c>
      <c r="U62" s="2" t="str">
        <f t="shared" si="3"/>
        <v>双向评分平局</v>
      </c>
    </row>
    <row r="63" ht="23" customHeight="1" spans="1:21">
      <c r="A63" s="6" t="s">
        <v>179</v>
      </c>
      <c r="B63" s="2" t="s">
        <v>15</v>
      </c>
      <c r="C63" s="2">
        <v>2</v>
      </c>
      <c r="D63" s="6" t="s">
        <v>498</v>
      </c>
      <c r="E63" s="2" t="str">
        <f>five子指标方向明细!F124</f>
        <v>A</v>
      </c>
      <c r="F63" s="2">
        <f>five子指标方向明细!G124</f>
        <v>4</v>
      </c>
      <c r="G63" s="2" t="str">
        <f>five子指标方向明细!H124</f>
        <v>B</v>
      </c>
      <c r="H63" s="2">
        <f>five子指标方向明细!I124</f>
        <v>5</v>
      </c>
      <c r="I63" s="2" t="str">
        <f>five子指标方向明细!L124</f>
        <v>B</v>
      </c>
      <c r="J63" s="2" t="str">
        <f>five子指标方向明细!F125</f>
        <v>B</v>
      </c>
      <c r="K63" s="2">
        <f>five子指标方向明细!G125</f>
        <v>5</v>
      </c>
      <c r="L63" s="2" t="str">
        <f>five子指标方向明细!H125</f>
        <v>A</v>
      </c>
      <c r="M63" s="2">
        <f>five子指标方向明细!I125</f>
        <v>4</v>
      </c>
      <c r="N63" s="2" t="str">
        <f>five子指标方向明细!L125</f>
        <v>B</v>
      </c>
      <c r="O63" s="2">
        <f t="shared" si="0"/>
        <v>1</v>
      </c>
      <c r="P63" s="2" t="str">
        <f t="shared" si="1"/>
        <v>B</v>
      </c>
      <c r="Q63" s="2" t="s">
        <v>26</v>
      </c>
      <c r="R63" s="2">
        <f t="shared" si="2"/>
        <v>1</v>
      </c>
      <c r="S63" s="2">
        <v>124</v>
      </c>
      <c r="T63" s="2">
        <v>125</v>
      </c>
      <c r="U63" s="2" t="str">
        <f t="shared" si="3"/>
        <v/>
      </c>
    </row>
    <row r="64" ht="23" customHeight="1" spans="1:21">
      <c r="A64" s="6" t="s">
        <v>179</v>
      </c>
      <c r="B64" s="2" t="s">
        <v>15</v>
      </c>
      <c r="C64" s="2">
        <v>3</v>
      </c>
      <c r="D64" s="6" t="s">
        <v>499</v>
      </c>
      <c r="E64" s="2" t="str">
        <f>five子指标方向明细!F126</f>
        <v>A</v>
      </c>
      <c r="F64" s="2">
        <f>five子指标方向明细!G126</f>
        <v>4</v>
      </c>
      <c r="G64" s="2" t="str">
        <f>five子指标方向明细!H126</f>
        <v>B</v>
      </c>
      <c r="H64" s="2">
        <f>five子指标方向明细!I126</f>
        <v>5</v>
      </c>
      <c r="I64" s="2" t="str">
        <f>five子指标方向明细!L126</f>
        <v>B</v>
      </c>
      <c r="J64" s="2" t="str">
        <f>five子指标方向明细!F127</f>
        <v>B</v>
      </c>
      <c r="K64" s="2">
        <f>five子指标方向明细!G127</f>
        <v>5</v>
      </c>
      <c r="L64" s="2" t="str">
        <f>five子指标方向明细!H127</f>
        <v>A</v>
      </c>
      <c r="M64" s="2">
        <f>five子指标方向明细!I127</f>
        <v>4</v>
      </c>
      <c r="N64" s="2" t="str">
        <f>five子指标方向明细!L127</f>
        <v>B</v>
      </c>
      <c r="O64" s="2">
        <f t="shared" si="0"/>
        <v>1</v>
      </c>
      <c r="P64" s="2" t="str">
        <f t="shared" si="1"/>
        <v>B</v>
      </c>
      <c r="Q64" s="2" t="s">
        <v>26</v>
      </c>
      <c r="R64" s="2">
        <f t="shared" si="2"/>
        <v>1</v>
      </c>
      <c r="S64" s="2">
        <v>126</v>
      </c>
      <c r="T64" s="2">
        <v>127</v>
      </c>
      <c r="U64" s="2" t="str">
        <f t="shared" si="3"/>
        <v/>
      </c>
    </row>
    <row r="65" ht="23" customHeight="1" spans="1:21">
      <c r="A65" s="6" t="s">
        <v>179</v>
      </c>
      <c r="B65" s="2" t="s">
        <v>15</v>
      </c>
      <c r="C65" s="2">
        <v>4</v>
      </c>
      <c r="D65" s="6" t="s">
        <v>500</v>
      </c>
      <c r="E65" s="2" t="str">
        <f>five子指标方向明细!F128</f>
        <v>A</v>
      </c>
      <c r="F65" s="2">
        <f>five子指标方向明细!G128</f>
        <v>5</v>
      </c>
      <c r="G65" s="2" t="str">
        <f>five子指标方向明细!H128</f>
        <v>B</v>
      </c>
      <c r="H65" s="2">
        <f>five子指标方向明细!I128</f>
        <v>5</v>
      </c>
      <c r="I65" s="2" t="str">
        <f>five子指标方向明细!L128</f>
        <v>D(平局)</v>
      </c>
      <c r="J65" s="2" t="str">
        <f>five子指标方向明细!F129</f>
        <v>B</v>
      </c>
      <c r="K65" s="2">
        <f>five子指标方向明细!G129</f>
        <v>5</v>
      </c>
      <c r="L65" s="2" t="str">
        <f>five子指标方向明细!H129</f>
        <v>A</v>
      </c>
      <c r="M65" s="2">
        <f>five子指标方向明细!I129</f>
        <v>5</v>
      </c>
      <c r="N65" s="2" t="str">
        <f>five子指标方向明细!L129</f>
        <v>D(平局)</v>
      </c>
      <c r="O65" s="2">
        <f t="shared" si="0"/>
        <v>1</v>
      </c>
      <c r="P65" s="2" t="str">
        <f t="shared" si="1"/>
        <v>D(平局)</v>
      </c>
      <c r="Q65" s="2" t="s">
        <v>26</v>
      </c>
      <c r="R65" s="2">
        <f t="shared" si="2"/>
        <v>0</v>
      </c>
      <c r="S65" s="2">
        <v>128</v>
      </c>
      <c r="T65" s="2">
        <v>129</v>
      </c>
      <c r="U65" s="2" t="str">
        <f t="shared" si="3"/>
        <v>双向评分平局</v>
      </c>
    </row>
    <row r="66" ht="23" customHeight="1" spans="1:21">
      <c r="A66" s="6" t="s">
        <v>179</v>
      </c>
      <c r="B66" s="2" t="s">
        <v>15</v>
      </c>
      <c r="C66" s="2">
        <v>5</v>
      </c>
      <c r="D66" s="6" t="s">
        <v>501</v>
      </c>
      <c r="E66" s="2" t="str">
        <f>five子指标方向明细!F130</f>
        <v>A</v>
      </c>
      <c r="F66" s="2">
        <f>five子指标方向明细!G130</f>
        <v>5</v>
      </c>
      <c r="G66" s="2" t="str">
        <f>five子指标方向明细!H130</f>
        <v>B</v>
      </c>
      <c r="H66" s="2">
        <f>five子指标方向明细!I130</f>
        <v>5</v>
      </c>
      <c r="I66" s="2" t="str">
        <f>five子指标方向明细!L130</f>
        <v>D(平局)</v>
      </c>
      <c r="J66" s="2" t="str">
        <f>five子指标方向明细!F131</f>
        <v>B</v>
      </c>
      <c r="K66" s="2">
        <f>five子指标方向明细!G131</f>
        <v>5</v>
      </c>
      <c r="L66" s="2" t="str">
        <f>five子指标方向明细!H131</f>
        <v>A</v>
      </c>
      <c r="M66" s="2">
        <f>five子指标方向明细!I131</f>
        <v>5</v>
      </c>
      <c r="N66" s="2" t="str">
        <f>five子指标方向明细!L131</f>
        <v>D(平局)</v>
      </c>
      <c r="O66" s="2">
        <f t="shared" ref="O66:O129" si="4">--(I66=N66)</f>
        <v>1</v>
      </c>
      <c r="P66" s="2" t="str">
        <f t="shared" ref="P66:P129" si="5">IF(I66=N66,I66,"D(平局)")</f>
        <v>D(平局)</v>
      </c>
      <c r="Q66" s="2" t="s">
        <v>26</v>
      </c>
      <c r="R66" s="2">
        <f t="shared" ref="R66:R129" si="6">--(P66=Q66)</f>
        <v>0</v>
      </c>
      <c r="S66" s="2">
        <v>130</v>
      </c>
      <c r="T66" s="2">
        <v>131</v>
      </c>
      <c r="U66" s="2" t="str">
        <f t="shared" ref="U66:U129" si="7">IF(P66&lt;&gt;"D(平局)","",IF(O66=0,"方向冲突","双向评分平局"))</f>
        <v>双向评分平局</v>
      </c>
    </row>
    <row r="67" ht="23" customHeight="1" spans="1:21">
      <c r="A67" s="6" t="s">
        <v>179</v>
      </c>
      <c r="B67" s="2" t="s">
        <v>37</v>
      </c>
      <c r="C67" s="2">
        <v>1</v>
      </c>
      <c r="D67" s="6" t="s">
        <v>497</v>
      </c>
      <c r="E67" s="2" t="str">
        <f>five子指标方向明细!F132</f>
        <v>A</v>
      </c>
      <c r="F67" s="2">
        <f>five子指标方向明细!G132</f>
        <v>5</v>
      </c>
      <c r="G67" s="2" t="str">
        <f>five子指标方向明细!H132</f>
        <v>C</v>
      </c>
      <c r="H67" s="2">
        <f>five子指标方向明细!I132</f>
        <v>5</v>
      </c>
      <c r="I67" s="2" t="str">
        <f>five子指标方向明细!L132</f>
        <v>D(平局)</v>
      </c>
      <c r="J67" s="2" t="str">
        <f>five子指标方向明细!F133</f>
        <v>C</v>
      </c>
      <c r="K67" s="2">
        <f>five子指标方向明细!G133</f>
        <v>5</v>
      </c>
      <c r="L67" s="2" t="str">
        <f>five子指标方向明细!H133</f>
        <v>A</v>
      </c>
      <c r="M67" s="2">
        <f>five子指标方向明细!I133</f>
        <v>5</v>
      </c>
      <c r="N67" s="2" t="str">
        <f>five子指标方向明细!L133</f>
        <v>D(平局)</v>
      </c>
      <c r="O67" s="2">
        <f t="shared" si="4"/>
        <v>1</v>
      </c>
      <c r="P67" s="2" t="str">
        <f t="shared" si="5"/>
        <v>D(平局)</v>
      </c>
      <c r="Q67" s="2" t="s">
        <v>22</v>
      </c>
      <c r="R67" s="2">
        <f t="shared" si="6"/>
        <v>0</v>
      </c>
      <c r="S67" s="2">
        <v>132</v>
      </c>
      <c r="T67" s="2">
        <v>133</v>
      </c>
      <c r="U67" s="2" t="str">
        <f t="shared" si="7"/>
        <v>双向评分平局</v>
      </c>
    </row>
    <row r="68" ht="23" customHeight="1" spans="1:21">
      <c r="A68" s="6" t="s">
        <v>179</v>
      </c>
      <c r="B68" s="2" t="s">
        <v>37</v>
      </c>
      <c r="C68" s="2">
        <v>2</v>
      </c>
      <c r="D68" s="6" t="s">
        <v>498</v>
      </c>
      <c r="E68" s="2" t="str">
        <f>five子指标方向明细!F134</f>
        <v>A</v>
      </c>
      <c r="F68" s="2">
        <f>five子指标方向明细!G134</f>
        <v>4</v>
      </c>
      <c r="G68" s="2" t="str">
        <f>five子指标方向明细!H134</f>
        <v>C</v>
      </c>
      <c r="H68" s="2">
        <f>five子指标方向明细!I134</f>
        <v>4</v>
      </c>
      <c r="I68" s="2" t="str">
        <f>five子指标方向明细!L134</f>
        <v>D(平局)</v>
      </c>
      <c r="J68" s="2" t="str">
        <f>five子指标方向明细!F135</f>
        <v>C</v>
      </c>
      <c r="K68" s="2">
        <f>five子指标方向明细!G135</f>
        <v>5</v>
      </c>
      <c r="L68" s="2" t="str">
        <f>five子指标方向明细!H135</f>
        <v>A</v>
      </c>
      <c r="M68" s="2">
        <f>five子指标方向明细!I135</f>
        <v>4</v>
      </c>
      <c r="N68" s="2" t="str">
        <f>five子指标方向明细!L135</f>
        <v>C</v>
      </c>
      <c r="O68" s="2">
        <f t="shared" si="4"/>
        <v>0</v>
      </c>
      <c r="P68" s="2" t="str">
        <f t="shared" si="5"/>
        <v>D(平局)</v>
      </c>
      <c r="Q68" s="2" t="s">
        <v>22</v>
      </c>
      <c r="R68" s="2">
        <f t="shared" si="6"/>
        <v>0</v>
      </c>
      <c r="S68" s="2">
        <v>134</v>
      </c>
      <c r="T68" s="2">
        <v>135</v>
      </c>
      <c r="U68" s="2" t="str">
        <f t="shared" si="7"/>
        <v>方向冲突</v>
      </c>
    </row>
    <row r="69" ht="23" customHeight="1" spans="1:21">
      <c r="A69" s="6" t="s">
        <v>179</v>
      </c>
      <c r="B69" s="2" t="s">
        <v>37</v>
      </c>
      <c r="C69" s="2">
        <v>3</v>
      </c>
      <c r="D69" s="6" t="s">
        <v>499</v>
      </c>
      <c r="E69" s="2" t="str">
        <f>five子指标方向明细!F136</f>
        <v>A</v>
      </c>
      <c r="F69" s="2">
        <f>five子指标方向明细!G136</f>
        <v>5</v>
      </c>
      <c r="G69" s="2" t="str">
        <f>five子指标方向明细!H136</f>
        <v>C</v>
      </c>
      <c r="H69" s="2">
        <f>five子指标方向明细!I136</f>
        <v>5</v>
      </c>
      <c r="I69" s="2" t="str">
        <f>five子指标方向明细!L136</f>
        <v>D(平局)</v>
      </c>
      <c r="J69" s="2" t="str">
        <f>five子指标方向明细!F137</f>
        <v>C</v>
      </c>
      <c r="K69" s="2">
        <f>five子指标方向明细!G137</f>
        <v>5</v>
      </c>
      <c r="L69" s="2" t="str">
        <f>five子指标方向明细!H137</f>
        <v>A</v>
      </c>
      <c r="M69" s="2">
        <f>five子指标方向明细!I137</f>
        <v>5</v>
      </c>
      <c r="N69" s="2" t="str">
        <f>five子指标方向明细!L137</f>
        <v>D(平局)</v>
      </c>
      <c r="O69" s="2">
        <f t="shared" si="4"/>
        <v>1</v>
      </c>
      <c r="P69" s="2" t="str">
        <f t="shared" si="5"/>
        <v>D(平局)</v>
      </c>
      <c r="Q69" s="2" t="s">
        <v>22</v>
      </c>
      <c r="R69" s="2">
        <f t="shared" si="6"/>
        <v>0</v>
      </c>
      <c r="S69" s="2">
        <v>136</v>
      </c>
      <c r="T69" s="2">
        <v>137</v>
      </c>
      <c r="U69" s="2" t="str">
        <f t="shared" si="7"/>
        <v>双向评分平局</v>
      </c>
    </row>
    <row r="70" ht="23" customHeight="1" spans="1:21">
      <c r="A70" s="6" t="s">
        <v>179</v>
      </c>
      <c r="B70" s="2" t="s">
        <v>37</v>
      </c>
      <c r="C70" s="2">
        <v>4</v>
      </c>
      <c r="D70" s="6" t="s">
        <v>500</v>
      </c>
      <c r="E70" s="2" t="str">
        <f>five子指标方向明细!F138</f>
        <v>A</v>
      </c>
      <c r="F70" s="2">
        <f>five子指标方向明细!G138</f>
        <v>5</v>
      </c>
      <c r="G70" s="2" t="str">
        <f>five子指标方向明细!H138</f>
        <v>C</v>
      </c>
      <c r="H70" s="2">
        <f>five子指标方向明细!I138</f>
        <v>5</v>
      </c>
      <c r="I70" s="2" t="str">
        <f>five子指标方向明细!L138</f>
        <v>D(平局)</v>
      </c>
      <c r="J70" s="2" t="str">
        <f>five子指标方向明细!F139</f>
        <v>C</v>
      </c>
      <c r="K70" s="2">
        <f>five子指标方向明细!G139</f>
        <v>5</v>
      </c>
      <c r="L70" s="2" t="str">
        <f>five子指标方向明细!H139</f>
        <v>A</v>
      </c>
      <c r="M70" s="2">
        <f>five子指标方向明细!I139</f>
        <v>5</v>
      </c>
      <c r="N70" s="2" t="str">
        <f>five子指标方向明细!L139</f>
        <v>D(平局)</v>
      </c>
      <c r="O70" s="2">
        <f t="shared" si="4"/>
        <v>1</v>
      </c>
      <c r="P70" s="2" t="str">
        <f t="shared" si="5"/>
        <v>D(平局)</v>
      </c>
      <c r="Q70" s="2" t="s">
        <v>22</v>
      </c>
      <c r="R70" s="2">
        <f t="shared" si="6"/>
        <v>0</v>
      </c>
      <c r="S70" s="2">
        <v>138</v>
      </c>
      <c r="T70" s="2">
        <v>139</v>
      </c>
      <c r="U70" s="2" t="str">
        <f t="shared" si="7"/>
        <v>双向评分平局</v>
      </c>
    </row>
    <row r="71" ht="23" customHeight="1" spans="1:21">
      <c r="A71" s="6" t="s">
        <v>179</v>
      </c>
      <c r="B71" s="2" t="s">
        <v>37</v>
      </c>
      <c r="C71" s="2">
        <v>5</v>
      </c>
      <c r="D71" s="6" t="s">
        <v>501</v>
      </c>
      <c r="E71" s="2" t="str">
        <f>five子指标方向明细!F140</f>
        <v>A</v>
      </c>
      <c r="F71" s="2">
        <f>five子指标方向明细!G140</f>
        <v>5</v>
      </c>
      <c r="G71" s="2" t="str">
        <f>five子指标方向明细!H140</f>
        <v>C</v>
      </c>
      <c r="H71" s="2">
        <f>five子指标方向明细!I140</f>
        <v>3</v>
      </c>
      <c r="I71" s="2" t="str">
        <f>five子指标方向明细!L140</f>
        <v>A</v>
      </c>
      <c r="J71" s="2" t="str">
        <f>five子指标方向明细!F141</f>
        <v>C</v>
      </c>
      <c r="K71" s="2">
        <f>five子指标方向明细!G141</f>
        <v>5</v>
      </c>
      <c r="L71" s="2" t="str">
        <f>five子指标方向明细!H141</f>
        <v>A</v>
      </c>
      <c r="M71" s="2">
        <f>five子指标方向明细!I141</f>
        <v>5</v>
      </c>
      <c r="N71" s="2" t="str">
        <f>five子指标方向明细!L141</f>
        <v>D(平局)</v>
      </c>
      <c r="O71" s="2">
        <f t="shared" si="4"/>
        <v>0</v>
      </c>
      <c r="P71" s="2" t="str">
        <f t="shared" si="5"/>
        <v>D(平局)</v>
      </c>
      <c r="Q71" s="2" t="s">
        <v>22</v>
      </c>
      <c r="R71" s="2">
        <f t="shared" si="6"/>
        <v>0</v>
      </c>
      <c r="S71" s="2">
        <v>140</v>
      </c>
      <c r="T71" s="2">
        <v>141</v>
      </c>
      <c r="U71" s="2" t="str">
        <f t="shared" si="7"/>
        <v>方向冲突</v>
      </c>
    </row>
    <row r="72" ht="23" customHeight="1" spans="1:21">
      <c r="A72" s="6" t="s">
        <v>179</v>
      </c>
      <c r="B72" s="2" t="s">
        <v>50</v>
      </c>
      <c r="C72" s="2">
        <v>1</v>
      </c>
      <c r="D72" s="6" t="s">
        <v>497</v>
      </c>
      <c r="E72" s="2" t="str">
        <f>five子指标方向明细!F142</f>
        <v>B</v>
      </c>
      <c r="F72" s="2">
        <f>five子指标方向明细!G142</f>
        <v>5</v>
      </c>
      <c r="G72" s="2" t="str">
        <f>five子指标方向明细!H142</f>
        <v>C</v>
      </c>
      <c r="H72" s="2">
        <f>five子指标方向明细!I142</f>
        <v>5</v>
      </c>
      <c r="I72" s="2" t="str">
        <f>five子指标方向明细!L142</f>
        <v>D(平局)</v>
      </c>
      <c r="J72" s="2" t="str">
        <f>five子指标方向明细!F143</f>
        <v>C</v>
      </c>
      <c r="K72" s="2">
        <f>five子指标方向明细!G143</f>
        <v>5</v>
      </c>
      <c r="L72" s="2" t="str">
        <f>five子指标方向明细!H143</f>
        <v>B</v>
      </c>
      <c r="M72" s="2">
        <f>five子指标方向明细!I143</f>
        <v>5</v>
      </c>
      <c r="N72" s="2" t="str">
        <f>five子指标方向明细!L143</f>
        <v>D(平局)</v>
      </c>
      <c r="O72" s="2">
        <f t="shared" si="4"/>
        <v>1</v>
      </c>
      <c r="P72" s="2" t="str">
        <f t="shared" si="5"/>
        <v>D(平局)</v>
      </c>
      <c r="Q72" s="2" t="s">
        <v>26</v>
      </c>
      <c r="R72" s="2">
        <f t="shared" si="6"/>
        <v>0</v>
      </c>
      <c r="S72" s="2">
        <v>142</v>
      </c>
      <c r="T72" s="2">
        <v>143</v>
      </c>
      <c r="U72" s="2" t="str">
        <f t="shared" si="7"/>
        <v>双向评分平局</v>
      </c>
    </row>
    <row r="73" ht="23" customHeight="1" spans="1:21">
      <c r="A73" s="6" t="s">
        <v>179</v>
      </c>
      <c r="B73" s="2" t="s">
        <v>50</v>
      </c>
      <c r="C73" s="2">
        <v>2</v>
      </c>
      <c r="D73" s="6" t="s">
        <v>498</v>
      </c>
      <c r="E73" s="2" t="str">
        <f>five子指标方向明细!F144</f>
        <v>B</v>
      </c>
      <c r="F73" s="2">
        <f>five子指标方向明细!G144</f>
        <v>5</v>
      </c>
      <c r="G73" s="2" t="str">
        <f>five子指标方向明细!H144</f>
        <v>C</v>
      </c>
      <c r="H73" s="2">
        <f>five子指标方向明细!I144</f>
        <v>3</v>
      </c>
      <c r="I73" s="2" t="str">
        <f>five子指标方向明细!L144</f>
        <v>B</v>
      </c>
      <c r="J73" s="2" t="str">
        <f>five子指标方向明细!F145</f>
        <v>C</v>
      </c>
      <c r="K73" s="2">
        <f>five子指标方向明细!G145</f>
        <v>5</v>
      </c>
      <c r="L73" s="2" t="str">
        <f>five子指标方向明细!H145</f>
        <v>B</v>
      </c>
      <c r="M73" s="2">
        <f>five子指标方向明细!I145</f>
        <v>4</v>
      </c>
      <c r="N73" s="2" t="str">
        <f>five子指标方向明细!L145</f>
        <v>C</v>
      </c>
      <c r="O73" s="2">
        <f t="shared" si="4"/>
        <v>0</v>
      </c>
      <c r="P73" s="2" t="str">
        <f t="shared" si="5"/>
        <v>D(平局)</v>
      </c>
      <c r="Q73" s="2" t="s">
        <v>26</v>
      </c>
      <c r="R73" s="2">
        <f t="shared" si="6"/>
        <v>0</v>
      </c>
      <c r="S73" s="2">
        <v>144</v>
      </c>
      <c r="T73" s="2">
        <v>145</v>
      </c>
      <c r="U73" s="2" t="str">
        <f t="shared" si="7"/>
        <v>方向冲突</v>
      </c>
    </row>
    <row r="74" ht="23" customHeight="1" spans="1:21">
      <c r="A74" s="6" t="s">
        <v>179</v>
      </c>
      <c r="B74" s="2" t="s">
        <v>50</v>
      </c>
      <c r="C74" s="2">
        <v>3</v>
      </c>
      <c r="D74" s="6" t="s">
        <v>499</v>
      </c>
      <c r="E74" s="2" t="str">
        <f>five子指标方向明细!F146</f>
        <v>B</v>
      </c>
      <c r="F74" s="2">
        <f>five子指标方向明细!G146</f>
        <v>5</v>
      </c>
      <c r="G74" s="2" t="str">
        <f>five子指标方向明细!H146</f>
        <v>C</v>
      </c>
      <c r="H74" s="2">
        <f>five子指标方向明细!I146</f>
        <v>4</v>
      </c>
      <c r="I74" s="2" t="str">
        <f>five子指标方向明细!L146</f>
        <v>B</v>
      </c>
      <c r="J74" s="2" t="str">
        <f>five子指标方向明细!F147</f>
        <v>C</v>
      </c>
      <c r="K74" s="2">
        <f>five子指标方向明细!G147</f>
        <v>4</v>
      </c>
      <c r="L74" s="2" t="str">
        <f>five子指标方向明细!H147</f>
        <v>B</v>
      </c>
      <c r="M74" s="2">
        <f>five子指标方向明细!I147</f>
        <v>4</v>
      </c>
      <c r="N74" s="2" t="str">
        <f>five子指标方向明细!L147</f>
        <v>D(平局)</v>
      </c>
      <c r="O74" s="2">
        <f t="shared" si="4"/>
        <v>0</v>
      </c>
      <c r="P74" s="2" t="str">
        <f t="shared" si="5"/>
        <v>D(平局)</v>
      </c>
      <c r="Q74" s="2" t="s">
        <v>26</v>
      </c>
      <c r="R74" s="2">
        <f t="shared" si="6"/>
        <v>0</v>
      </c>
      <c r="S74" s="2">
        <v>146</v>
      </c>
      <c r="T74" s="2">
        <v>147</v>
      </c>
      <c r="U74" s="2" t="str">
        <f t="shared" si="7"/>
        <v>方向冲突</v>
      </c>
    </row>
    <row r="75" ht="23" customHeight="1" spans="1:21">
      <c r="A75" s="6" t="s">
        <v>179</v>
      </c>
      <c r="B75" s="2" t="s">
        <v>50</v>
      </c>
      <c r="C75" s="2">
        <v>4</v>
      </c>
      <c r="D75" s="6" t="s">
        <v>500</v>
      </c>
      <c r="E75" s="2" t="str">
        <f>five子指标方向明细!F148</f>
        <v>B</v>
      </c>
      <c r="F75" s="2">
        <f>five子指标方向明细!G148</f>
        <v>5</v>
      </c>
      <c r="G75" s="2" t="str">
        <f>five子指标方向明细!H148</f>
        <v>C</v>
      </c>
      <c r="H75" s="2">
        <f>five子指标方向明细!I148</f>
        <v>5</v>
      </c>
      <c r="I75" s="2" t="str">
        <f>five子指标方向明细!L148</f>
        <v>D(平局)</v>
      </c>
      <c r="J75" s="2" t="str">
        <f>five子指标方向明细!F149</f>
        <v>C</v>
      </c>
      <c r="K75" s="2">
        <f>five子指标方向明细!G149</f>
        <v>5</v>
      </c>
      <c r="L75" s="2" t="str">
        <f>five子指标方向明细!H149</f>
        <v>B</v>
      </c>
      <c r="M75" s="2">
        <f>five子指标方向明细!I149</f>
        <v>4</v>
      </c>
      <c r="N75" s="2" t="str">
        <f>five子指标方向明细!L149</f>
        <v>C</v>
      </c>
      <c r="O75" s="2">
        <f t="shared" si="4"/>
        <v>0</v>
      </c>
      <c r="P75" s="2" t="str">
        <f t="shared" si="5"/>
        <v>D(平局)</v>
      </c>
      <c r="Q75" s="2" t="s">
        <v>26</v>
      </c>
      <c r="R75" s="2">
        <f t="shared" si="6"/>
        <v>0</v>
      </c>
      <c r="S75" s="2">
        <v>148</v>
      </c>
      <c r="T75" s="2">
        <v>149</v>
      </c>
      <c r="U75" s="2" t="str">
        <f t="shared" si="7"/>
        <v>方向冲突</v>
      </c>
    </row>
    <row r="76" ht="23" customHeight="1" spans="1:21">
      <c r="A76" s="6" t="s">
        <v>179</v>
      </c>
      <c r="B76" s="2" t="s">
        <v>50</v>
      </c>
      <c r="C76" s="2">
        <v>5</v>
      </c>
      <c r="D76" s="6" t="s">
        <v>501</v>
      </c>
      <c r="E76" s="2" t="str">
        <f>five子指标方向明细!F150</f>
        <v>B</v>
      </c>
      <c r="F76" s="2">
        <f>five子指标方向明细!G150</f>
        <v>5</v>
      </c>
      <c r="G76" s="2" t="str">
        <f>five子指标方向明细!H150</f>
        <v>C</v>
      </c>
      <c r="H76" s="2">
        <f>five子指标方向明细!I150</f>
        <v>2</v>
      </c>
      <c r="I76" s="2" t="str">
        <f>five子指标方向明细!L150</f>
        <v>B</v>
      </c>
      <c r="J76" s="2" t="str">
        <f>five子指标方向明细!F151</f>
        <v>C</v>
      </c>
      <c r="K76" s="2">
        <f>five子指标方向明细!G151</f>
        <v>5</v>
      </c>
      <c r="L76" s="2" t="str">
        <f>five子指标方向明细!H151</f>
        <v>B</v>
      </c>
      <c r="M76" s="2">
        <f>five子指标方向明细!I151</f>
        <v>5</v>
      </c>
      <c r="N76" s="2" t="str">
        <f>five子指标方向明细!L151</f>
        <v>D(平局)</v>
      </c>
      <c r="O76" s="2">
        <f t="shared" si="4"/>
        <v>0</v>
      </c>
      <c r="P76" s="2" t="str">
        <f t="shared" si="5"/>
        <v>D(平局)</v>
      </c>
      <c r="Q76" s="2" t="s">
        <v>26</v>
      </c>
      <c r="R76" s="2">
        <f t="shared" si="6"/>
        <v>0</v>
      </c>
      <c r="S76" s="2">
        <v>150</v>
      </c>
      <c r="T76" s="2">
        <v>151</v>
      </c>
      <c r="U76" s="2" t="str">
        <f t="shared" si="7"/>
        <v>方向冲突</v>
      </c>
    </row>
    <row r="77" ht="23" customHeight="1" spans="1:21">
      <c r="A77" s="6" t="s">
        <v>217</v>
      </c>
      <c r="B77" s="2" t="s">
        <v>15</v>
      </c>
      <c r="C77" s="2">
        <v>1</v>
      </c>
      <c r="D77" s="6" t="s">
        <v>497</v>
      </c>
      <c r="E77" s="2" t="str">
        <f>five子指标方向明细!F152</f>
        <v>A</v>
      </c>
      <c r="F77" s="2">
        <f>five子指标方向明细!G152</f>
        <v>5</v>
      </c>
      <c r="G77" s="2" t="str">
        <f>five子指标方向明细!H152</f>
        <v>B</v>
      </c>
      <c r="H77" s="2">
        <f>five子指标方向明细!I152</f>
        <v>5</v>
      </c>
      <c r="I77" s="2" t="str">
        <f>five子指标方向明细!L152</f>
        <v>D(平局)</v>
      </c>
      <c r="J77" s="2" t="str">
        <f>five子指标方向明细!F153</f>
        <v>B</v>
      </c>
      <c r="K77" s="2">
        <f>five子指标方向明细!G153</f>
        <v>5</v>
      </c>
      <c r="L77" s="2" t="str">
        <f>five子指标方向明细!H153</f>
        <v>A</v>
      </c>
      <c r="M77" s="2">
        <f>five子指标方向明细!I153</f>
        <v>5</v>
      </c>
      <c r="N77" s="2" t="str">
        <f>five子指标方向明细!L153</f>
        <v>D(平局)</v>
      </c>
      <c r="O77" s="2">
        <f t="shared" si="4"/>
        <v>1</v>
      </c>
      <c r="P77" s="2" t="str">
        <f t="shared" si="5"/>
        <v>D(平局)</v>
      </c>
      <c r="Q77" s="2" t="s">
        <v>22</v>
      </c>
      <c r="R77" s="2">
        <f t="shared" si="6"/>
        <v>0</v>
      </c>
      <c r="S77" s="2">
        <v>152</v>
      </c>
      <c r="T77" s="2">
        <v>153</v>
      </c>
      <c r="U77" s="2" t="str">
        <f t="shared" si="7"/>
        <v>双向评分平局</v>
      </c>
    </row>
    <row r="78" ht="23" customHeight="1" spans="1:21">
      <c r="A78" s="6" t="s">
        <v>217</v>
      </c>
      <c r="B78" s="2" t="s">
        <v>15</v>
      </c>
      <c r="C78" s="2">
        <v>2</v>
      </c>
      <c r="D78" s="6" t="s">
        <v>498</v>
      </c>
      <c r="E78" s="2" t="str">
        <f>five子指标方向明细!F154</f>
        <v>A</v>
      </c>
      <c r="F78" s="2">
        <f>five子指标方向明细!G154</f>
        <v>5</v>
      </c>
      <c r="G78" s="2" t="str">
        <f>five子指标方向明细!H154</f>
        <v>B</v>
      </c>
      <c r="H78" s="2">
        <f>five子指标方向明细!I154</f>
        <v>4</v>
      </c>
      <c r="I78" s="2" t="str">
        <f>five子指标方向明细!L154</f>
        <v>A</v>
      </c>
      <c r="J78" s="2" t="str">
        <f>five子指标方向明细!F155</f>
        <v>B</v>
      </c>
      <c r="K78" s="2">
        <f>five子指标方向明细!G155</f>
        <v>4</v>
      </c>
      <c r="L78" s="2" t="str">
        <f>five子指标方向明细!H155</f>
        <v>A</v>
      </c>
      <c r="M78" s="2">
        <f>five子指标方向明细!I155</f>
        <v>5</v>
      </c>
      <c r="N78" s="2" t="str">
        <f>five子指标方向明细!L155</f>
        <v>A</v>
      </c>
      <c r="O78" s="2">
        <f t="shared" si="4"/>
        <v>1</v>
      </c>
      <c r="P78" s="2" t="str">
        <f t="shared" si="5"/>
        <v>A</v>
      </c>
      <c r="Q78" s="2" t="s">
        <v>22</v>
      </c>
      <c r="R78" s="2">
        <f t="shared" si="6"/>
        <v>1</v>
      </c>
      <c r="S78" s="2">
        <v>154</v>
      </c>
      <c r="T78" s="2">
        <v>155</v>
      </c>
      <c r="U78" s="2" t="str">
        <f t="shared" si="7"/>
        <v/>
      </c>
    </row>
    <row r="79" ht="23" customHeight="1" spans="1:21">
      <c r="A79" s="6" t="s">
        <v>217</v>
      </c>
      <c r="B79" s="2" t="s">
        <v>15</v>
      </c>
      <c r="C79" s="2">
        <v>3</v>
      </c>
      <c r="D79" s="6" t="s">
        <v>499</v>
      </c>
      <c r="E79" s="2" t="str">
        <f>five子指标方向明细!F156</f>
        <v>A</v>
      </c>
      <c r="F79" s="2">
        <f>five子指标方向明细!G156</f>
        <v>5</v>
      </c>
      <c r="G79" s="2" t="str">
        <f>five子指标方向明细!H156</f>
        <v>B</v>
      </c>
      <c r="H79" s="2">
        <f>five子指标方向明细!I156</f>
        <v>5</v>
      </c>
      <c r="I79" s="2" t="str">
        <f>five子指标方向明细!L156</f>
        <v>D(平局)</v>
      </c>
      <c r="J79" s="2" t="str">
        <f>five子指标方向明细!F157</f>
        <v>B</v>
      </c>
      <c r="K79" s="2">
        <f>five子指标方向明细!G157</f>
        <v>5</v>
      </c>
      <c r="L79" s="2" t="str">
        <f>five子指标方向明细!H157</f>
        <v>A</v>
      </c>
      <c r="M79" s="2">
        <f>five子指标方向明细!I157</f>
        <v>5</v>
      </c>
      <c r="N79" s="2" t="str">
        <f>five子指标方向明细!L157</f>
        <v>D(平局)</v>
      </c>
      <c r="O79" s="2">
        <f t="shared" si="4"/>
        <v>1</v>
      </c>
      <c r="P79" s="2" t="str">
        <f t="shared" si="5"/>
        <v>D(平局)</v>
      </c>
      <c r="Q79" s="2" t="s">
        <v>22</v>
      </c>
      <c r="R79" s="2">
        <f t="shared" si="6"/>
        <v>0</v>
      </c>
      <c r="S79" s="2">
        <v>156</v>
      </c>
      <c r="T79" s="2">
        <v>157</v>
      </c>
      <c r="U79" s="2" t="str">
        <f t="shared" si="7"/>
        <v>双向评分平局</v>
      </c>
    </row>
    <row r="80" ht="23" customHeight="1" spans="1:21">
      <c r="A80" s="6" t="s">
        <v>217</v>
      </c>
      <c r="B80" s="2" t="s">
        <v>15</v>
      </c>
      <c r="C80" s="2">
        <v>4</v>
      </c>
      <c r="D80" s="6" t="s">
        <v>500</v>
      </c>
      <c r="E80" s="2" t="str">
        <f>five子指标方向明细!F158</f>
        <v>A</v>
      </c>
      <c r="F80" s="2">
        <f>five子指标方向明细!G158</f>
        <v>5</v>
      </c>
      <c r="G80" s="2" t="str">
        <f>five子指标方向明细!H158</f>
        <v>B</v>
      </c>
      <c r="H80" s="2">
        <f>five子指标方向明细!I158</f>
        <v>5</v>
      </c>
      <c r="I80" s="2" t="str">
        <f>five子指标方向明细!L158</f>
        <v>D(平局)</v>
      </c>
      <c r="J80" s="2" t="str">
        <f>five子指标方向明细!F159</f>
        <v>B</v>
      </c>
      <c r="K80" s="2">
        <f>five子指标方向明细!G159</f>
        <v>5</v>
      </c>
      <c r="L80" s="2" t="str">
        <f>five子指标方向明细!H159</f>
        <v>A</v>
      </c>
      <c r="M80" s="2">
        <f>five子指标方向明细!I159</f>
        <v>5</v>
      </c>
      <c r="N80" s="2" t="str">
        <f>five子指标方向明细!L159</f>
        <v>D(平局)</v>
      </c>
      <c r="O80" s="2">
        <f t="shared" si="4"/>
        <v>1</v>
      </c>
      <c r="P80" s="2" t="str">
        <f t="shared" si="5"/>
        <v>D(平局)</v>
      </c>
      <c r="Q80" s="2" t="s">
        <v>22</v>
      </c>
      <c r="R80" s="2">
        <f t="shared" si="6"/>
        <v>0</v>
      </c>
      <c r="S80" s="2">
        <v>158</v>
      </c>
      <c r="T80" s="2">
        <v>159</v>
      </c>
      <c r="U80" s="2" t="str">
        <f t="shared" si="7"/>
        <v>双向评分平局</v>
      </c>
    </row>
    <row r="81" ht="23" customHeight="1" spans="1:21">
      <c r="A81" s="6" t="s">
        <v>217</v>
      </c>
      <c r="B81" s="2" t="s">
        <v>15</v>
      </c>
      <c r="C81" s="2">
        <v>5</v>
      </c>
      <c r="D81" s="6" t="s">
        <v>501</v>
      </c>
      <c r="E81" s="2" t="str">
        <f>five子指标方向明细!F160</f>
        <v>A</v>
      </c>
      <c r="F81" s="2">
        <f>five子指标方向明细!G160</f>
        <v>5</v>
      </c>
      <c r="G81" s="2" t="str">
        <f>five子指标方向明细!H160</f>
        <v>B</v>
      </c>
      <c r="H81" s="2">
        <f>five子指标方向明细!I160</f>
        <v>5</v>
      </c>
      <c r="I81" s="2" t="str">
        <f>five子指标方向明细!L160</f>
        <v>D(平局)</v>
      </c>
      <c r="J81" s="2" t="str">
        <f>five子指标方向明细!F161</f>
        <v>B</v>
      </c>
      <c r="K81" s="2">
        <f>five子指标方向明细!G161</f>
        <v>5</v>
      </c>
      <c r="L81" s="2" t="str">
        <f>five子指标方向明细!H161</f>
        <v>A</v>
      </c>
      <c r="M81" s="2">
        <f>five子指标方向明细!I161</f>
        <v>5</v>
      </c>
      <c r="N81" s="2" t="str">
        <f>five子指标方向明细!L161</f>
        <v>D(平局)</v>
      </c>
      <c r="O81" s="2">
        <f t="shared" si="4"/>
        <v>1</v>
      </c>
      <c r="P81" s="2" t="str">
        <f t="shared" si="5"/>
        <v>D(平局)</v>
      </c>
      <c r="Q81" s="2" t="s">
        <v>22</v>
      </c>
      <c r="R81" s="2">
        <f t="shared" si="6"/>
        <v>0</v>
      </c>
      <c r="S81" s="2">
        <v>160</v>
      </c>
      <c r="T81" s="2">
        <v>161</v>
      </c>
      <c r="U81" s="2" t="str">
        <f t="shared" si="7"/>
        <v>双向评分平局</v>
      </c>
    </row>
    <row r="82" ht="23" customHeight="1" spans="1:21">
      <c r="A82" s="6" t="s">
        <v>217</v>
      </c>
      <c r="B82" s="2" t="s">
        <v>37</v>
      </c>
      <c r="C82" s="2">
        <v>1</v>
      </c>
      <c r="D82" s="6" t="s">
        <v>497</v>
      </c>
      <c r="E82" s="2" t="str">
        <f>five子指标方向明细!F162</f>
        <v>A</v>
      </c>
      <c r="F82" s="2">
        <f>five子指标方向明细!G162</f>
        <v>5</v>
      </c>
      <c r="G82" s="2" t="str">
        <f>five子指标方向明细!H162</f>
        <v>C</v>
      </c>
      <c r="H82" s="2">
        <f>five子指标方向明细!I162</f>
        <v>5</v>
      </c>
      <c r="I82" s="2" t="str">
        <f>five子指标方向明细!L162</f>
        <v>D(平局)</v>
      </c>
      <c r="J82" s="2" t="str">
        <f>five子指标方向明细!F163</f>
        <v>C</v>
      </c>
      <c r="K82" s="2">
        <f>five子指标方向明细!G163</f>
        <v>5</v>
      </c>
      <c r="L82" s="2" t="str">
        <f>five子指标方向明细!H163</f>
        <v>A</v>
      </c>
      <c r="M82" s="2">
        <f>five子指标方向明细!I163</f>
        <v>5</v>
      </c>
      <c r="N82" s="2" t="str">
        <f>five子指标方向明细!L163</f>
        <v>D(平局)</v>
      </c>
      <c r="O82" s="2">
        <f t="shared" si="4"/>
        <v>1</v>
      </c>
      <c r="P82" s="2" t="str">
        <f t="shared" si="5"/>
        <v>D(平局)</v>
      </c>
      <c r="Q82" s="2" t="s">
        <v>22</v>
      </c>
      <c r="R82" s="2">
        <f t="shared" si="6"/>
        <v>0</v>
      </c>
      <c r="S82" s="2">
        <v>162</v>
      </c>
      <c r="T82" s="2">
        <v>163</v>
      </c>
      <c r="U82" s="2" t="str">
        <f t="shared" si="7"/>
        <v>双向评分平局</v>
      </c>
    </row>
    <row r="83" ht="23" customHeight="1" spans="1:21">
      <c r="A83" s="6" t="s">
        <v>217</v>
      </c>
      <c r="B83" s="2" t="s">
        <v>37</v>
      </c>
      <c r="C83" s="2">
        <v>2</v>
      </c>
      <c r="D83" s="6" t="s">
        <v>498</v>
      </c>
      <c r="E83" s="2" t="str">
        <f>five子指标方向明细!F164</f>
        <v>A</v>
      </c>
      <c r="F83" s="2">
        <f>five子指标方向明细!G164</f>
        <v>5</v>
      </c>
      <c r="G83" s="2" t="str">
        <f>five子指标方向明细!H164</f>
        <v>C</v>
      </c>
      <c r="H83" s="2">
        <f>five子指标方向明细!I164</f>
        <v>2</v>
      </c>
      <c r="I83" s="2" t="str">
        <f>five子指标方向明细!L164</f>
        <v>A</v>
      </c>
      <c r="J83" s="2" t="str">
        <f>five子指标方向明细!F165</f>
        <v>C</v>
      </c>
      <c r="K83" s="2">
        <f>five子指标方向明细!G165</f>
        <v>3</v>
      </c>
      <c r="L83" s="2" t="str">
        <f>five子指标方向明细!H165</f>
        <v>A</v>
      </c>
      <c r="M83" s="2">
        <f>five子指标方向明细!I165</f>
        <v>5</v>
      </c>
      <c r="N83" s="2" t="str">
        <f>five子指标方向明细!L165</f>
        <v>A</v>
      </c>
      <c r="O83" s="2">
        <f t="shared" si="4"/>
        <v>1</v>
      </c>
      <c r="P83" s="2" t="str">
        <f t="shared" si="5"/>
        <v>A</v>
      </c>
      <c r="Q83" s="2" t="s">
        <v>22</v>
      </c>
      <c r="R83" s="2">
        <f t="shared" si="6"/>
        <v>1</v>
      </c>
      <c r="S83" s="2">
        <v>164</v>
      </c>
      <c r="T83" s="2">
        <v>165</v>
      </c>
      <c r="U83" s="2" t="str">
        <f t="shared" si="7"/>
        <v/>
      </c>
    </row>
    <row r="84" ht="23" customHeight="1" spans="1:21">
      <c r="A84" s="6" t="s">
        <v>217</v>
      </c>
      <c r="B84" s="2" t="s">
        <v>37</v>
      </c>
      <c r="C84" s="2">
        <v>3</v>
      </c>
      <c r="D84" s="6" t="s">
        <v>499</v>
      </c>
      <c r="E84" s="2" t="str">
        <f>five子指标方向明细!F166</f>
        <v>A</v>
      </c>
      <c r="F84" s="2">
        <f>five子指标方向明细!G166</f>
        <v>5</v>
      </c>
      <c r="G84" s="2" t="str">
        <f>five子指标方向明细!H166</f>
        <v>C</v>
      </c>
      <c r="H84" s="2">
        <f>five子指标方向明细!I166</f>
        <v>5</v>
      </c>
      <c r="I84" s="2" t="str">
        <f>five子指标方向明细!L166</f>
        <v>D(平局)</v>
      </c>
      <c r="J84" s="2" t="str">
        <f>five子指标方向明细!F167</f>
        <v>C</v>
      </c>
      <c r="K84" s="2">
        <f>five子指标方向明细!G167</f>
        <v>5</v>
      </c>
      <c r="L84" s="2" t="str">
        <f>five子指标方向明细!H167</f>
        <v>A</v>
      </c>
      <c r="M84" s="2">
        <f>five子指标方向明细!I167</f>
        <v>5</v>
      </c>
      <c r="N84" s="2" t="str">
        <f>five子指标方向明细!L167</f>
        <v>D(平局)</v>
      </c>
      <c r="O84" s="2">
        <f t="shared" si="4"/>
        <v>1</v>
      </c>
      <c r="P84" s="2" t="str">
        <f t="shared" si="5"/>
        <v>D(平局)</v>
      </c>
      <c r="Q84" s="2" t="s">
        <v>22</v>
      </c>
      <c r="R84" s="2">
        <f t="shared" si="6"/>
        <v>0</v>
      </c>
      <c r="S84" s="2">
        <v>166</v>
      </c>
      <c r="T84" s="2">
        <v>167</v>
      </c>
      <c r="U84" s="2" t="str">
        <f t="shared" si="7"/>
        <v>双向评分平局</v>
      </c>
    </row>
    <row r="85" ht="23" customHeight="1" spans="1:21">
      <c r="A85" s="6" t="s">
        <v>217</v>
      </c>
      <c r="B85" s="2" t="s">
        <v>37</v>
      </c>
      <c r="C85" s="2">
        <v>4</v>
      </c>
      <c r="D85" s="6" t="s">
        <v>500</v>
      </c>
      <c r="E85" s="2" t="str">
        <f>five子指标方向明细!F168</f>
        <v>A</v>
      </c>
      <c r="F85" s="2">
        <f>five子指标方向明细!G168</f>
        <v>5</v>
      </c>
      <c r="G85" s="2" t="str">
        <f>five子指标方向明细!H168</f>
        <v>C</v>
      </c>
      <c r="H85" s="2">
        <f>five子指标方向明细!I168</f>
        <v>5</v>
      </c>
      <c r="I85" s="2" t="str">
        <f>five子指标方向明细!L168</f>
        <v>D(平局)</v>
      </c>
      <c r="J85" s="2" t="str">
        <f>five子指标方向明细!F169</f>
        <v>C</v>
      </c>
      <c r="K85" s="2">
        <f>five子指标方向明细!G169</f>
        <v>5</v>
      </c>
      <c r="L85" s="2" t="str">
        <f>five子指标方向明细!H169</f>
        <v>A</v>
      </c>
      <c r="M85" s="2">
        <f>five子指标方向明细!I169</f>
        <v>5</v>
      </c>
      <c r="N85" s="2" t="str">
        <f>five子指标方向明细!L169</f>
        <v>D(平局)</v>
      </c>
      <c r="O85" s="2">
        <f t="shared" si="4"/>
        <v>1</v>
      </c>
      <c r="P85" s="2" t="str">
        <f t="shared" si="5"/>
        <v>D(平局)</v>
      </c>
      <c r="Q85" s="2" t="s">
        <v>22</v>
      </c>
      <c r="R85" s="2">
        <f t="shared" si="6"/>
        <v>0</v>
      </c>
      <c r="S85" s="2">
        <v>168</v>
      </c>
      <c r="T85" s="2">
        <v>169</v>
      </c>
      <c r="U85" s="2" t="str">
        <f t="shared" si="7"/>
        <v>双向评分平局</v>
      </c>
    </row>
    <row r="86" ht="23" customHeight="1" spans="1:21">
      <c r="A86" s="6" t="s">
        <v>217</v>
      </c>
      <c r="B86" s="2" t="s">
        <v>37</v>
      </c>
      <c r="C86" s="2">
        <v>5</v>
      </c>
      <c r="D86" s="6" t="s">
        <v>501</v>
      </c>
      <c r="E86" s="2" t="str">
        <f>five子指标方向明细!F170</f>
        <v>A</v>
      </c>
      <c r="F86" s="2">
        <f>five子指标方向明细!G170</f>
        <v>5</v>
      </c>
      <c r="G86" s="2" t="str">
        <f>five子指标方向明细!H170</f>
        <v>C</v>
      </c>
      <c r="H86" s="2">
        <f>five子指标方向明细!I170</f>
        <v>5</v>
      </c>
      <c r="I86" s="2" t="str">
        <f>five子指标方向明细!L170</f>
        <v>D(平局)</v>
      </c>
      <c r="J86" s="2" t="str">
        <f>five子指标方向明细!F171</f>
        <v>C</v>
      </c>
      <c r="K86" s="2">
        <f>five子指标方向明细!G171</f>
        <v>5</v>
      </c>
      <c r="L86" s="2" t="str">
        <f>five子指标方向明细!H171</f>
        <v>A</v>
      </c>
      <c r="M86" s="2">
        <f>five子指标方向明细!I171</f>
        <v>5</v>
      </c>
      <c r="N86" s="2" t="str">
        <f>five子指标方向明细!L171</f>
        <v>D(平局)</v>
      </c>
      <c r="O86" s="2">
        <f t="shared" si="4"/>
        <v>1</v>
      </c>
      <c r="P86" s="2" t="str">
        <f t="shared" si="5"/>
        <v>D(平局)</v>
      </c>
      <c r="Q86" s="2" t="s">
        <v>22</v>
      </c>
      <c r="R86" s="2">
        <f t="shared" si="6"/>
        <v>0</v>
      </c>
      <c r="S86" s="2">
        <v>170</v>
      </c>
      <c r="T86" s="2">
        <v>171</v>
      </c>
      <c r="U86" s="2" t="str">
        <f t="shared" si="7"/>
        <v>双向评分平局</v>
      </c>
    </row>
    <row r="87" ht="23" customHeight="1" spans="1:21">
      <c r="A87" s="6" t="s">
        <v>217</v>
      </c>
      <c r="B87" s="2" t="s">
        <v>50</v>
      </c>
      <c r="C87" s="2">
        <v>1</v>
      </c>
      <c r="D87" s="6" t="s">
        <v>497</v>
      </c>
      <c r="E87" s="2" t="str">
        <f>five子指标方向明细!F172</f>
        <v>B</v>
      </c>
      <c r="F87" s="2">
        <f>five子指标方向明细!G172</f>
        <v>5</v>
      </c>
      <c r="G87" s="2" t="str">
        <f>five子指标方向明细!H172</f>
        <v>C</v>
      </c>
      <c r="H87" s="2">
        <f>five子指标方向明细!I172</f>
        <v>5</v>
      </c>
      <c r="I87" s="2" t="str">
        <f>five子指标方向明细!L172</f>
        <v>D(平局)</v>
      </c>
      <c r="J87" s="2" t="str">
        <f>five子指标方向明细!F173</f>
        <v>C</v>
      </c>
      <c r="K87" s="2">
        <f>five子指标方向明细!G173</f>
        <v>5</v>
      </c>
      <c r="L87" s="2" t="str">
        <f>five子指标方向明细!H173</f>
        <v>B</v>
      </c>
      <c r="M87" s="2">
        <f>five子指标方向明细!I173</f>
        <v>5</v>
      </c>
      <c r="N87" s="2" t="str">
        <f>five子指标方向明细!L173</f>
        <v>D(平局)</v>
      </c>
      <c r="O87" s="2">
        <f t="shared" si="4"/>
        <v>1</v>
      </c>
      <c r="P87" s="2" t="str">
        <f t="shared" si="5"/>
        <v>D(平局)</v>
      </c>
      <c r="Q87" s="2" t="s">
        <v>26</v>
      </c>
      <c r="R87" s="2">
        <f t="shared" si="6"/>
        <v>0</v>
      </c>
      <c r="S87" s="2">
        <v>172</v>
      </c>
      <c r="T87" s="2">
        <v>173</v>
      </c>
      <c r="U87" s="2" t="str">
        <f t="shared" si="7"/>
        <v>双向评分平局</v>
      </c>
    </row>
    <row r="88" ht="23" customHeight="1" spans="1:21">
      <c r="A88" s="6" t="s">
        <v>217</v>
      </c>
      <c r="B88" s="2" t="s">
        <v>50</v>
      </c>
      <c r="C88" s="2">
        <v>2</v>
      </c>
      <c r="D88" s="6" t="s">
        <v>498</v>
      </c>
      <c r="E88" s="2" t="str">
        <f>five子指标方向明细!F174</f>
        <v>B</v>
      </c>
      <c r="F88" s="2">
        <f>five子指标方向明细!G174</f>
        <v>4</v>
      </c>
      <c r="G88" s="2" t="str">
        <f>five子指标方向明细!H174</f>
        <v>C</v>
      </c>
      <c r="H88" s="2">
        <f>five子指标方向明细!I174</f>
        <v>2</v>
      </c>
      <c r="I88" s="2" t="str">
        <f>five子指标方向明细!L174</f>
        <v>B</v>
      </c>
      <c r="J88" s="2" t="str">
        <f>five子指标方向明细!F175</f>
        <v>C</v>
      </c>
      <c r="K88" s="2">
        <f>five子指标方向明细!G175</f>
        <v>2</v>
      </c>
      <c r="L88" s="2" t="str">
        <f>five子指标方向明细!H175</f>
        <v>B</v>
      </c>
      <c r="M88" s="2">
        <f>five子指标方向明细!I175</f>
        <v>4</v>
      </c>
      <c r="N88" s="2" t="str">
        <f>five子指标方向明细!L175</f>
        <v>B</v>
      </c>
      <c r="O88" s="2">
        <f t="shared" si="4"/>
        <v>1</v>
      </c>
      <c r="P88" s="2" t="str">
        <f t="shared" si="5"/>
        <v>B</v>
      </c>
      <c r="Q88" s="2" t="s">
        <v>26</v>
      </c>
      <c r="R88" s="2">
        <f t="shared" si="6"/>
        <v>1</v>
      </c>
      <c r="S88" s="2">
        <v>174</v>
      </c>
      <c r="T88" s="2">
        <v>175</v>
      </c>
      <c r="U88" s="2" t="str">
        <f t="shared" si="7"/>
        <v/>
      </c>
    </row>
    <row r="89" ht="23" customHeight="1" spans="1:21">
      <c r="A89" s="6" t="s">
        <v>217</v>
      </c>
      <c r="B89" s="2" t="s">
        <v>50</v>
      </c>
      <c r="C89" s="2">
        <v>3</v>
      </c>
      <c r="D89" s="6" t="s">
        <v>499</v>
      </c>
      <c r="E89" s="2" t="str">
        <f>five子指标方向明细!F176</f>
        <v>B</v>
      </c>
      <c r="F89" s="2">
        <f>five子指标方向明细!G176</f>
        <v>5</v>
      </c>
      <c r="G89" s="2" t="str">
        <f>five子指标方向明细!H176</f>
        <v>C</v>
      </c>
      <c r="H89" s="2">
        <f>five子指标方向明细!I176</f>
        <v>5</v>
      </c>
      <c r="I89" s="2" t="str">
        <f>five子指标方向明细!L176</f>
        <v>D(平局)</v>
      </c>
      <c r="J89" s="2" t="str">
        <f>five子指标方向明细!F177</f>
        <v>C</v>
      </c>
      <c r="K89" s="2">
        <f>five子指标方向明细!G177</f>
        <v>5</v>
      </c>
      <c r="L89" s="2" t="str">
        <f>five子指标方向明细!H177</f>
        <v>B</v>
      </c>
      <c r="M89" s="2">
        <f>five子指标方向明细!I177</f>
        <v>5</v>
      </c>
      <c r="N89" s="2" t="str">
        <f>five子指标方向明细!L177</f>
        <v>D(平局)</v>
      </c>
      <c r="O89" s="2">
        <f t="shared" si="4"/>
        <v>1</v>
      </c>
      <c r="P89" s="2" t="str">
        <f t="shared" si="5"/>
        <v>D(平局)</v>
      </c>
      <c r="Q89" s="2" t="s">
        <v>26</v>
      </c>
      <c r="R89" s="2">
        <f t="shared" si="6"/>
        <v>0</v>
      </c>
      <c r="S89" s="2">
        <v>176</v>
      </c>
      <c r="T89" s="2">
        <v>177</v>
      </c>
      <c r="U89" s="2" t="str">
        <f t="shared" si="7"/>
        <v>双向评分平局</v>
      </c>
    </row>
    <row r="90" ht="23" customHeight="1" spans="1:21">
      <c r="A90" s="6" t="s">
        <v>217</v>
      </c>
      <c r="B90" s="2" t="s">
        <v>50</v>
      </c>
      <c r="C90" s="2">
        <v>4</v>
      </c>
      <c r="D90" s="6" t="s">
        <v>500</v>
      </c>
      <c r="E90" s="2" t="str">
        <f>five子指标方向明细!F178</f>
        <v>B</v>
      </c>
      <c r="F90" s="2">
        <f>five子指标方向明细!G178</f>
        <v>5</v>
      </c>
      <c r="G90" s="2" t="str">
        <f>five子指标方向明细!H178</f>
        <v>C</v>
      </c>
      <c r="H90" s="2">
        <f>five子指标方向明细!I178</f>
        <v>5</v>
      </c>
      <c r="I90" s="2" t="str">
        <f>five子指标方向明细!L178</f>
        <v>D(平局)</v>
      </c>
      <c r="J90" s="2" t="str">
        <f>five子指标方向明细!F179</f>
        <v>C</v>
      </c>
      <c r="K90" s="2">
        <f>five子指标方向明细!G179</f>
        <v>5</v>
      </c>
      <c r="L90" s="2" t="str">
        <f>five子指标方向明细!H179</f>
        <v>B</v>
      </c>
      <c r="M90" s="2">
        <f>five子指标方向明细!I179</f>
        <v>5</v>
      </c>
      <c r="N90" s="2" t="str">
        <f>five子指标方向明细!L179</f>
        <v>D(平局)</v>
      </c>
      <c r="O90" s="2">
        <f t="shared" si="4"/>
        <v>1</v>
      </c>
      <c r="P90" s="2" t="str">
        <f t="shared" si="5"/>
        <v>D(平局)</v>
      </c>
      <c r="Q90" s="2" t="s">
        <v>26</v>
      </c>
      <c r="R90" s="2">
        <f t="shared" si="6"/>
        <v>0</v>
      </c>
      <c r="S90" s="2">
        <v>178</v>
      </c>
      <c r="T90" s="2">
        <v>179</v>
      </c>
      <c r="U90" s="2" t="str">
        <f t="shared" si="7"/>
        <v>双向评分平局</v>
      </c>
    </row>
    <row r="91" ht="23" customHeight="1" spans="1:21">
      <c r="A91" s="6" t="s">
        <v>217</v>
      </c>
      <c r="B91" s="2" t="s">
        <v>50</v>
      </c>
      <c r="C91" s="2">
        <v>5</v>
      </c>
      <c r="D91" s="6" t="s">
        <v>501</v>
      </c>
      <c r="E91" s="2" t="str">
        <f>five子指标方向明细!F180</f>
        <v>B</v>
      </c>
      <c r="F91" s="2">
        <f>five子指标方向明细!G180</f>
        <v>5</v>
      </c>
      <c r="G91" s="2" t="str">
        <f>five子指标方向明细!H180</f>
        <v>C</v>
      </c>
      <c r="H91" s="2">
        <f>five子指标方向明细!I180</f>
        <v>4</v>
      </c>
      <c r="I91" s="2" t="str">
        <f>five子指标方向明细!L180</f>
        <v>B</v>
      </c>
      <c r="J91" s="2" t="str">
        <f>five子指标方向明细!F181</f>
        <v>C</v>
      </c>
      <c r="K91" s="2">
        <f>five子指标方向明细!G181</f>
        <v>4</v>
      </c>
      <c r="L91" s="2" t="str">
        <f>five子指标方向明细!H181</f>
        <v>B</v>
      </c>
      <c r="M91" s="2">
        <f>five子指标方向明细!I181</f>
        <v>5</v>
      </c>
      <c r="N91" s="2" t="str">
        <f>five子指标方向明细!L181</f>
        <v>B</v>
      </c>
      <c r="O91" s="2">
        <f t="shared" si="4"/>
        <v>1</v>
      </c>
      <c r="P91" s="2" t="str">
        <f t="shared" si="5"/>
        <v>B</v>
      </c>
      <c r="Q91" s="2" t="s">
        <v>26</v>
      </c>
      <c r="R91" s="2">
        <f t="shared" si="6"/>
        <v>1</v>
      </c>
      <c r="S91" s="2">
        <v>180</v>
      </c>
      <c r="T91" s="2">
        <v>181</v>
      </c>
      <c r="U91" s="2" t="str">
        <f t="shared" si="7"/>
        <v/>
      </c>
    </row>
    <row r="92" ht="23" customHeight="1" spans="1:21">
      <c r="A92" s="6" t="s">
        <v>255</v>
      </c>
      <c r="B92" s="2" t="s">
        <v>15</v>
      </c>
      <c r="C92" s="2">
        <v>1</v>
      </c>
      <c r="D92" s="6" t="s">
        <v>497</v>
      </c>
      <c r="E92" s="2" t="str">
        <f>five子指标方向明细!F182</f>
        <v>A</v>
      </c>
      <c r="F92" s="2">
        <f>five子指标方向明细!G182</f>
        <v>5</v>
      </c>
      <c r="G92" s="2" t="str">
        <f>five子指标方向明细!H182</f>
        <v>B</v>
      </c>
      <c r="H92" s="2">
        <f>five子指标方向明细!I182</f>
        <v>5</v>
      </c>
      <c r="I92" s="2" t="str">
        <f>five子指标方向明细!L182</f>
        <v>D(平局)</v>
      </c>
      <c r="J92" s="2" t="str">
        <f>five子指标方向明细!F183</f>
        <v>B</v>
      </c>
      <c r="K92" s="2">
        <f>five子指标方向明细!G183</f>
        <v>5</v>
      </c>
      <c r="L92" s="2" t="str">
        <f>five子指标方向明细!H183</f>
        <v>A</v>
      </c>
      <c r="M92" s="2">
        <f>five子指标方向明细!I183</f>
        <v>5</v>
      </c>
      <c r="N92" s="2" t="str">
        <f>five子指标方向明细!L183</f>
        <v>D(平局)</v>
      </c>
      <c r="O92" s="2">
        <f t="shared" si="4"/>
        <v>1</v>
      </c>
      <c r="P92" s="2" t="str">
        <f t="shared" si="5"/>
        <v>D(平局)</v>
      </c>
      <c r="Q92" s="2" t="s">
        <v>22</v>
      </c>
      <c r="R92" s="2">
        <f t="shared" si="6"/>
        <v>0</v>
      </c>
      <c r="S92" s="2">
        <v>182</v>
      </c>
      <c r="T92" s="2">
        <v>183</v>
      </c>
      <c r="U92" s="2" t="str">
        <f t="shared" si="7"/>
        <v>双向评分平局</v>
      </c>
    </row>
    <row r="93" ht="23" customHeight="1" spans="1:21">
      <c r="A93" s="6" t="s">
        <v>255</v>
      </c>
      <c r="B93" s="2" t="s">
        <v>15</v>
      </c>
      <c r="C93" s="2">
        <v>2</v>
      </c>
      <c r="D93" s="6" t="s">
        <v>498</v>
      </c>
      <c r="E93" s="2" t="str">
        <f>five子指标方向明细!F184</f>
        <v>A</v>
      </c>
      <c r="F93" s="2">
        <f>five子指标方向明细!G184</f>
        <v>5</v>
      </c>
      <c r="G93" s="2" t="str">
        <f>five子指标方向明细!H184</f>
        <v>B</v>
      </c>
      <c r="H93" s="2">
        <f>five子指标方向明细!I184</f>
        <v>2</v>
      </c>
      <c r="I93" s="2" t="str">
        <f>five子指标方向明细!L184</f>
        <v>A</v>
      </c>
      <c r="J93" s="2" t="str">
        <f>five子指标方向明细!F185</f>
        <v>B</v>
      </c>
      <c r="K93" s="2">
        <f>five子指标方向明细!G185</f>
        <v>3</v>
      </c>
      <c r="L93" s="2" t="str">
        <f>five子指标方向明细!H185</f>
        <v>A</v>
      </c>
      <c r="M93" s="2">
        <f>five子指标方向明细!I185</f>
        <v>5</v>
      </c>
      <c r="N93" s="2" t="str">
        <f>five子指标方向明细!L185</f>
        <v>A</v>
      </c>
      <c r="O93" s="2">
        <f t="shared" si="4"/>
        <v>1</v>
      </c>
      <c r="P93" s="2" t="str">
        <f t="shared" si="5"/>
        <v>A</v>
      </c>
      <c r="Q93" s="2" t="s">
        <v>22</v>
      </c>
      <c r="R93" s="2">
        <f t="shared" si="6"/>
        <v>1</v>
      </c>
      <c r="S93" s="2">
        <v>184</v>
      </c>
      <c r="T93" s="2">
        <v>185</v>
      </c>
      <c r="U93" s="2" t="str">
        <f t="shared" si="7"/>
        <v/>
      </c>
    </row>
    <row r="94" ht="23" customHeight="1" spans="1:21">
      <c r="A94" s="6" t="s">
        <v>255</v>
      </c>
      <c r="B94" s="2" t="s">
        <v>15</v>
      </c>
      <c r="C94" s="2">
        <v>3</v>
      </c>
      <c r="D94" s="6" t="s">
        <v>499</v>
      </c>
      <c r="E94" s="2" t="str">
        <f>five子指标方向明细!F186</f>
        <v>A</v>
      </c>
      <c r="F94" s="2">
        <f>five子指标方向明细!G186</f>
        <v>5</v>
      </c>
      <c r="G94" s="2" t="str">
        <f>five子指标方向明细!H186</f>
        <v>B</v>
      </c>
      <c r="H94" s="2">
        <f>five子指标方向明细!I186</f>
        <v>5</v>
      </c>
      <c r="I94" s="2" t="str">
        <f>five子指标方向明细!L186</f>
        <v>D(平局)</v>
      </c>
      <c r="J94" s="2" t="str">
        <f>five子指标方向明细!F187</f>
        <v>B</v>
      </c>
      <c r="K94" s="2">
        <f>five子指标方向明细!G187</f>
        <v>5</v>
      </c>
      <c r="L94" s="2" t="str">
        <f>five子指标方向明细!H187</f>
        <v>A</v>
      </c>
      <c r="M94" s="2">
        <f>five子指标方向明细!I187</f>
        <v>5</v>
      </c>
      <c r="N94" s="2" t="str">
        <f>five子指标方向明细!L187</f>
        <v>D(平局)</v>
      </c>
      <c r="O94" s="2">
        <f t="shared" si="4"/>
        <v>1</v>
      </c>
      <c r="P94" s="2" t="str">
        <f t="shared" si="5"/>
        <v>D(平局)</v>
      </c>
      <c r="Q94" s="2" t="s">
        <v>22</v>
      </c>
      <c r="R94" s="2">
        <f t="shared" si="6"/>
        <v>0</v>
      </c>
      <c r="S94" s="2">
        <v>186</v>
      </c>
      <c r="T94" s="2">
        <v>187</v>
      </c>
      <c r="U94" s="2" t="str">
        <f t="shared" si="7"/>
        <v>双向评分平局</v>
      </c>
    </row>
    <row r="95" ht="23" customHeight="1" spans="1:21">
      <c r="A95" s="6" t="s">
        <v>255</v>
      </c>
      <c r="B95" s="2" t="s">
        <v>15</v>
      </c>
      <c r="C95" s="2">
        <v>4</v>
      </c>
      <c r="D95" s="6" t="s">
        <v>500</v>
      </c>
      <c r="E95" s="2" t="str">
        <f>five子指标方向明细!F188</f>
        <v>A</v>
      </c>
      <c r="F95" s="2">
        <f>five子指标方向明细!G188</f>
        <v>5</v>
      </c>
      <c r="G95" s="2" t="str">
        <f>five子指标方向明细!H188</f>
        <v>B</v>
      </c>
      <c r="H95" s="2">
        <f>five子指标方向明细!I188</f>
        <v>5</v>
      </c>
      <c r="I95" s="2" t="str">
        <f>five子指标方向明细!L188</f>
        <v>D(平局)</v>
      </c>
      <c r="J95" s="2" t="str">
        <f>five子指标方向明细!F189</f>
        <v>B</v>
      </c>
      <c r="K95" s="2">
        <f>five子指标方向明细!G189</f>
        <v>5</v>
      </c>
      <c r="L95" s="2" t="str">
        <f>five子指标方向明细!H189</f>
        <v>A</v>
      </c>
      <c r="M95" s="2">
        <f>five子指标方向明细!I189</f>
        <v>5</v>
      </c>
      <c r="N95" s="2" t="str">
        <f>five子指标方向明细!L189</f>
        <v>D(平局)</v>
      </c>
      <c r="O95" s="2">
        <f t="shared" si="4"/>
        <v>1</v>
      </c>
      <c r="P95" s="2" t="str">
        <f t="shared" si="5"/>
        <v>D(平局)</v>
      </c>
      <c r="Q95" s="2" t="s">
        <v>22</v>
      </c>
      <c r="R95" s="2">
        <f t="shared" si="6"/>
        <v>0</v>
      </c>
      <c r="S95" s="2">
        <v>188</v>
      </c>
      <c r="T95" s="2">
        <v>189</v>
      </c>
      <c r="U95" s="2" t="str">
        <f t="shared" si="7"/>
        <v>双向评分平局</v>
      </c>
    </row>
    <row r="96" ht="23" customHeight="1" spans="1:21">
      <c r="A96" s="6" t="s">
        <v>255</v>
      </c>
      <c r="B96" s="2" t="s">
        <v>15</v>
      </c>
      <c r="C96" s="2">
        <v>5</v>
      </c>
      <c r="D96" s="6" t="s">
        <v>501</v>
      </c>
      <c r="E96" s="2" t="str">
        <f>five子指标方向明细!F190</f>
        <v>A</v>
      </c>
      <c r="F96" s="2">
        <f>five子指标方向明细!G190</f>
        <v>5</v>
      </c>
      <c r="G96" s="2" t="str">
        <f>five子指标方向明细!H190</f>
        <v>B</v>
      </c>
      <c r="H96" s="2">
        <f>five子指标方向明细!I190</f>
        <v>5</v>
      </c>
      <c r="I96" s="2" t="str">
        <f>five子指标方向明细!L190</f>
        <v>D(平局)</v>
      </c>
      <c r="J96" s="2" t="str">
        <f>five子指标方向明细!F191</f>
        <v>B</v>
      </c>
      <c r="K96" s="2">
        <f>five子指标方向明细!G191</f>
        <v>5</v>
      </c>
      <c r="L96" s="2" t="str">
        <f>five子指标方向明细!H191</f>
        <v>A</v>
      </c>
      <c r="M96" s="2">
        <f>five子指标方向明细!I191</f>
        <v>5</v>
      </c>
      <c r="N96" s="2" t="str">
        <f>five子指标方向明细!L191</f>
        <v>D(平局)</v>
      </c>
      <c r="O96" s="2">
        <f t="shared" si="4"/>
        <v>1</v>
      </c>
      <c r="P96" s="2" t="str">
        <f t="shared" si="5"/>
        <v>D(平局)</v>
      </c>
      <c r="Q96" s="2" t="s">
        <v>22</v>
      </c>
      <c r="R96" s="2">
        <f t="shared" si="6"/>
        <v>0</v>
      </c>
      <c r="S96" s="2">
        <v>190</v>
      </c>
      <c r="T96" s="2">
        <v>191</v>
      </c>
      <c r="U96" s="2" t="str">
        <f t="shared" si="7"/>
        <v>双向评分平局</v>
      </c>
    </row>
    <row r="97" ht="23" customHeight="1" spans="1:21">
      <c r="A97" s="6" t="s">
        <v>255</v>
      </c>
      <c r="B97" s="2" t="s">
        <v>37</v>
      </c>
      <c r="C97" s="2">
        <v>1</v>
      </c>
      <c r="D97" s="6" t="s">
        <v>497</v>
      </c>
      <c r="E97" s="2" t="str">
        <f>five子指标方向明细!F192</f>
        <v>A</v>
      </c>
      <c r="F97" s="2">
        <f>five子指标方向明细!G192</f>
        <v>5</v>
      </c>
      <c r="G97" s="2" t="str">
        <f>five子指标方向明细!H192</f>
        <v>C</v>
      </c>
      <c r="H97" s="2">
        <f>five子指标方向明细!I192</f>
        <v>5</v>
      </c>
      <c r="I97" s="2" t="str">
        <f>five子指标方向明细!L192</f>
        <v>D(平局)</v>
      </c>
      <c r="J97" s="2" t="str">
        <f>five子指标方向明细!F193</f>
        <v>C</v>
      </c>
      <c r="K97" s="2">
        <f>five子指标方向明细!G193</f>
        <v>5</v>
      </c>
      <c r="L97" s="2" t="str">
        <f>five子指标方向明细!H193</f>
        <v>A</v>
      </c>
      <c r="M97" s="2">
        <f>five子指标方向明细!I193</f>
        <v>5</v>
      </c>
      <c r="N97" s="2" t="str">
        <f>five子指标方向明细!L193</f>
        <v>D(平局)</v>
      </c>
      <c r="O97" s="2">
        <f t="shared" si="4"/>
        <v>1</v>
      </c>
      <c r="P97" s="2" t="str">
        <f t="shared" si="5"/>
        <v>D(平局)</v>
      </c>
      <c r="Q97" s="2" t="s">
        <v>22</v>
      </c>
      <c r="R97" s="2">
        <f t="shared" si="6"/>
        <v>0</v>
      </c>
      <c r="S97" s="2">
        <v>192</v>
      </c>
      <c r="T97" s="2">
        <v>193</v>
      </c>
      <c r="U97" s="2" t="str">
        <f t="shared" si="7"/>
        <v>双向评分平局</v>
      </c>
    </row>
    <row r="98" ht="23" customHeight="1" spans="1:21">
      <c r="A98" s="6" t="s">
        <v>255</v>
      </c>
      <c r="B98" s="2" t="s">
        <v>37</v>
      </c>
      <c r="C98" s="2">
        <v>2</v>
      </c>
      <c r="D98" s="6" t="s">
        <v>498</v>
      </c>
      <c r="E98" s="2" t="str">
        <f>five子指标方向明细!F194</f>
        <v>A</v>
      </c>
      <c r="F98" s="2">
        <f>five子指标方向明细!G194</f>
        <v>5</v>
      </c>
      <c r="G98" s="2" t="str">
        <f>five子指标方向明细!H194</f>
        <v>C</v>
      </c>
      <c r="H98" s="2">
        <f>five子指标方向明细!I194</f>
        <v>3</v>
      </c>
      <c r="I98" s="2" t="str">
        <f>five子指标方向明细!L194</f>
        <v>A</v>
      </c>
      <c r="J98" s="2" t="str">
        <f>five子指标方向明细!F195</f>
        <v>C</v>
      </c>
      <c r="K98" s="2">
        <f>five子指标方向明细!G195</f>
        <v>4</v>
      </c>
      <c r="L98" s="2" t="str">
        <f>five子指标方向明细!H195</f>
        <v>A</v>
      </c>
      <c r="M98" s="2">
        <f>five子指标方向明细!I195</f>
        <v>5</v>
      </c>
      <c r="N98" s="2" t="str">
        <f>five子指标方向明细!L195</f>
        <v>A</v>
      </c>
      <c r="O98" s="2">
        <f t="shared" si="4"/>
        <v>1</v>
      </c>
      <c r="P98" s="2" t="str">
        <f t="shared" si="5"/>
        <v>A</v>
      </c>
      <c r="Q98" s="2" t="s">
        <v>22</v>
      </c>
      <c r="R98" s="2">
        <f t="shared" si="6"/>
        <v>1</v>
      </c>
      <c r="S98" s="2">
        <v>194</v>
      </c>
      <c r="T98" s="2">
        <v>195</v>
      </c>
      <c r="U98" s="2" t="str">
        <f t="shared" si="7"/>
        <v/>
      </c>
    </row>
    <row r="99" ht="23" customHeight="1" spans="1:21">
      <c r="A99" s="6" t="s">
        <v>255</v>
      </c>
      <c r="B99" s="2" t="s">
        <v>37</v>
      </c>
      <c r="C99" s="2">
        <v>3</v>
      </c>
      <c r="D99" s="6" t="s">
        <v>499</v>
      </c>
      <c r="E99" s="2" t="str">
        <f>five子指标方向明细!F196</f>
        <v>A</v>
      </c>
      <c r="F99" s="2">
        <f>five子指标方向明细!G196</f>
        <v>5</v>
      </c>
      <c r="G99" s="2" t="str">
        <f>five子指标方向明细!H196</f>
        <v>C</v>
      </c>
      <c r="H99" s="2">
        <f>five子指标方向明细!I196</f>
        <v>4</v>
      </c>
      <c r="I99" s="2" t="str">
        <f>five子指标方向明细!L196</f>
        <v>A</v>
      </c>
      <c r="J99" s="2" t="str">
        <f>five子指标方向明细!F197</f>
        <v>C</v>
      </c>
      <c r="K99" s="2">
        <f>five子指标方向明细!G197</f>
        <v>4</v>
      </c>
      <c r="L99" s="2" t="str">
        <f>five子指标方向明细!H197</f>
        <v>A</v>
      </c>
      <c r="M99" s="2">
        <f>five子指标方向明细!I197</f>
        <v>5</v>
      </c>
      <c r="N99" s="2" t="str">
        <f>five子指标方向明细!L197</f>
        <v>A</v>
      </c>
      <c r="O99" s="2">
        <f t="shared" si="4"/>
        <v>1</v>
      </c>
      <c r="P99" s="2" t="str">
        <f t="shared" si="5"/>
        <v>A</v>
      </c>
      <c r="Q99" s="2" t="s">
        <v>22</v>
      </c>
      <c r="R99" s="2">
        <f t="shared" si="6"/>
        <v>1</v>
      </c>
      <c r="S99" s="2">
        <v>196</v>
      </c>
      <c r="T99" s="2">
        <v>197</v>
      </c>
      <c r="U99" s="2" t="str">
        <f t="shared" si="7"/>
        <v/>
      </c>
    </row>
    <row r="100" ht="23" customHeight="1" spans="1:21">
      <c r="A100" s="6" t="s">
        <v>255</v>
      </c>
      <c r="B100" s="2" t="s">
        <v>37</v>
      </c>
      <c r="C100" s="2">
        <v>4</v>
      </c>
      <c r="D100" s="6" t="s">
        <v>500</v>
      </c>
      <c r="E100" s="2" t="str">
        <f>five子指标方向明细!F198</f>
        <v>A</v>
      </c>
      <c r="F100" s="2">
        <f>five子指标方向明细!G198</f>
        <v>5</v>
      </c>
      <c r="G100" s="2" t="str">
        <f>five子指标方向明细!H198</f>
        <v>C</v>
      </c>
      <c r="H100" s="2">
        <f>five子指标方向明细!I198</f>
        <v>5</v>
      </c>
      <c r="I100" s="2" t="str">
        <f>five子指标方向明细!L198</f>
        <v>D(平局)</v>
      </c>
      <c r="J100" s="2" t="str">
        <f>five子指标方向明细!F199</f>
        <v>C</v>
      </c>
      <c r="K100" s="2">
        <f>five子指标方向明细!G199</f>
        <v>5</v>
      </c>
      <c r="L100" s="2" t="str">
        <f>five子指标方向明细!H199</f>
        <v>A</v>
      </c>
      <c r="M100" s="2">
        <f>five子指标方向明细!I199</f>
        <v>5</v>
      </c>
      <c r="N100" s="2" t="str">
        <f>five子指标方向明细!L199</f>
        <v>D(平局)</v>
      </c>
      <c r="O100" s="2">
        <f t="shared" si="4"/>
        <v>1</v>
      </c>
      <c r="P100" s="2" t="str">
        <f t="shared" si="5"/>
        <v>D(平局)</v>
      </c>
      <c r="Q100" s="2" t="s">
        <v>22</v>
      </c>
      <c r="R100" s="2">
        <f t="shared" si="6"/>
        <v>0</v>
      </c>
      <c r="S100" s="2">
        <v>198</v>
      </c>
      <c r="T100" s="2">
        <v>199</v>
      </c>
      <c r="U100" s="2" t="str">
        <f t="shared" si="7"/>
        <v>双向评分平局</v>
      </c>
    </row>
    <row r="101" ht="23" customHeight="1" spans="1:21">
      <c r="A101" s="6" t="s">
        <v>255</v>
      </c>
      <c r="B101" s="2" t="s">
        <v>37</v>
      </c>
      <c r="C101" s="2">
        <v>5</v>
      </c>
      <c r="D101" s="6" t="s">
        <v>501</v>
      </c>
      <c r="E101" s="2" t="str">
        <f>five子指标方向明细!F200</f>
        <v>A</v>
      </c>
      <c r="F101" s="2">
        <f>five子指标方向明细!G200</f>
        <v>5</v>
      </c>
      <c r="G101" s="2" t="str">
        <f>five子指标方向明细!H200</f>
        <v>C</v>
      </c>
      <c r="H101" s="2">
        <f>five子指标方向明细!I200</f>
        <v>5</v>
      </c>
      <c r="I101" s="2" t="str">
        <f>five子指标方向明细!L200</f>
        <v>D(平局)</v>
      </c>
      <c r="J101" s="2" t="str">
        <f>five子指标方向明细!F201</f>
        <v>C</v>
      </c>
      <c r="K101" s="2">
        <f>five子指标方向明细!G201</f>
        <v>5</v>
      </c>
      <c r="L101" s="2" t="str">
        <f>five子指标方向明细!H201</f>
        <v>A</v>
      </c>
      <c r="M101" s="2">
        <f>five子指标方向明细!I201</f>
        <v>5</v>
      </c>
      <c r="N101" s="2" t="str">
        <f>five子指标方向明细!L201</f>
        <v>D(平局)</v>
      </c>
      <c r="O101" s="2">
        <f t="shared" si="4"/>
        <v>1</v>
      </c>
      <c r="P101" s="2" t="str">
        <f t="shared" si="5"/>
        <v>D(平局)</v>
      </c>
      <c r="Q101" s="2" t="s">
        <v>22</v>
      </c>
      <c r="R101" s="2">
        <f t="shared" si="6"/>
        <v>0</v>
      </c>
      <c r="S101" s="2">
        <v>200</v>
      </c>
      <c r="T101" s="2">
        <v>201</v>
      </c>
      <c r="U101" s="2" t="str">
        <f t="shared" si="7"/>
        <v>双向评分平局</v>
      </c>
    </row>
    <row r="102" ht="23" customHeight="1" spans="1:21">
      <c r="A102" s="6" t="s">
        <v>255</v>
      </c>
      <c r="B102" s="2" t="s">
        <v>50</v>
      </c>
      <c r="C102" s="2">
        <v>1</v>
      </c>
      <c r="D102" s="6" t="s">
        <v>497</v>
      </c>
      <c r="E102" s="2" t="str">
        <f>five子指标方向明细!F202</f>
        <v>B</v>
      </c>
      <c r="F102" s="2">
        <f>five子指标方向明细!G202</f>
        <v>5</v>
      </c>
      <c r="G102" s="2" t="str">
        <f>five子指标方向明细!H202</f>
        <v>C</v>
      </c>
      <c r="H102" s="2">
        <f>five子指标方向明细!I202</f>
        <v>5</v>
      </c>
      <c r="I102" s="2" t="str">
        <f>five子指标方向明细!L202</f>
        <v>D(平局)</v>
      </c>
      <c r="J102" s="2" t="str">
        <f>five子指标方向明细!F203</f>
        <v>C</v>
      </c>
      <c r="K102" s="2">
        <f>five子指标方向明细!G203</f>
        <v>5</v>
      </c>
      <c r="L102" s="2" t="str">
        <f>five子指标方向明细!H203</f>
        <v>B</v>
      </c>
      <c r="M102" s="2">
        <f>five子指标方向明细!I203</f>
        <v>5</v>
      </c>
      <c r="N102" s="2" t="str">
        <f>five子指标方向明细!L203</f>
        <v>D(平局)</v>
      </c>
      <c r="O102" s="2">
        <f t="shared" si="4"/>
        <v>1</v>
      </c>
      <c r="P102" s="2" t="str">
        <f t="shared" si="5"/>
        <v>D(平局)</v>
      </c>
      <c r="Q102" s="2" t="s">
        <v>77</v>
      </c>
      <c r="R102" s="2">
        <f t="shared" si="6"/>
        <v>0</v>
      </c>
      <c r="S102" s="2">
        <v>202</v>
      </c>
      <c r="T102" s="2">
        <v>203</v>
      </c>
      <c r="U102" s="2" t="str">
        <f t="shared" si="7"/>
        <v>双向评分平局</v>
      </c>
    </row>
    <row r="103" ht="23" customHeight="1" spans="1:21">
      <c r="A103" s="6" t="s">
        <v>255</v>
      </c>
      <c r="B103" s="2" t="s">
        <v>50</v>
      </c>
      <c r="C103" s="2">
        <v>2</v>
      </c>
      <c r="D103" s="6" t="s">
        <v>498</v>
      </c>
      <c r="E103" s="2" t="str">
        <f>five子指标方向明细!F204</f>
        <v>B</v>
      </c>
      <c r="F103" s="2">
        <f>five子指标方向明细!G204</f>
        <v>3</v>
      </c>
      <c r="G103" s="2" t="str">
        <f>five子指标方向明细!H204</f>
        <v>C</v>
      </c>
      <c r="H103" s="2">
        <f>five子指标方向明细!I204</f>
        <v>3</v>
      </c>
      <c r="I103" s="2" t="str">
        <f>five子指标方向明细!L204</f>
        <v>D(平局)</v>
      </c>
      <c r="J103" s="2" t="str">
        <f>five子指标方向明细!F205</f>
        <v>C</v>
      </c>
      <c r="K103" s="2">
        <f>five子指标方向明细!G205</f>
        <v>4</v>
      </c>
      <c r="L103" s="2" t="str">
        <f>five子指标方向明细!H205</f>
        <v>B</v>
      </c>
      <c r="M103" s="2">
        <f>five子指标方向明细!I205</f>
        <v>3</v>
      </c>
      <c r="N103" s="2" t="str">
        <f>five子指标方向明细!L205</f>
        <v>C</v>
      </c>
      <c r="O103" s="2">
        <f t="shared" si="4"/>
        <v>0</v>
      </c>
      <c r="P103" s="2" t="str">
        <f t="shared" si="5"/>
        <v>D(平局)</v>
      </c>
      <c r="Q103" s="2" t="s">
        <v>77</v>
      </c>
      <c r="R103" s="2">
        <f t="shared" si="6"/>
        <v>0</v>
      </c>
      <c r="S103" s="2">
        <v>204</v>
      </c>
      <c r="T103" s="2">
        <v>205</v>
      </c>
      <c r="U103" s="2" t="str">
        <f t="shared" si="7"/>
        <v>方向冲突</v>
      </c>
    </row>
    <row r="104" ht="23" customHeight="1" spans="1:21">
      <c r="A104" s="6" t="s">
        <v>255</v>
      </c>
      <c r="B104" s="2" t="s">
        <v>50</v>
      </c>
      <c r="C104" s="2">
        <v>3</v>
      </c>
      <c r="D104" s="6" t="s">
        <v>499</v>
      </c>
      <c r="E104" s="2" t="str">
        <f>five子指标方向明细!F206</f>
        <v>B</v>
      </c>
      <c r="F104" s="2">
        <f>five子指标方向明细!G206</f>
        <v>5</v>
      </c>
      <c r="G104" s="2" t="str">
        <f>five子指标方向明细!H206</f>
        <v>C</v>
      </c>
      <c r="H104" s="2">
        <f>five子指标方向明细!I206</f>
        <v>4</v>
      </c>
      <c r="I104" s="2" t="str">
        <f>five子指标方向明细!L206</f>
        <v>B</v>
      </c>
      <c r="J104" s="2" t="str">
        <f>five子指标方向明细!F207</f>
        <v>C</v>
      </c>
      <c r="K104" s="2">
        <f>five子指标方向明细!G207</f>
        <v>4</v>
      </c>
      <c r="L104" s="2" t="str">
        <f>five子指标方向明细!H207</f>
        <v>B</v>
      </c>
      <c r="M104" s="2">
        <f>five子指标方向明细!I207</f>
        <v>5</v>
      </c>
      <c r="N104" s="2" t="str">
        <f>five子指标方向明细!L207</f>
        <v>B</v>
      </c>
      <c r="O104" s="2">
        <f t="shared" si="4"/>
        <v>1</v>
      </c>
      <c r="P104" s="2" t="str">
        <f t="shared" si="5"/>
        <v>B</v>
      </c>
      <c r="Q104" s="2" t="s">
        <v>77</v>
      </c>
      <c r="R104" s="2">
        <f t="shared" si="6"/>
        <v>0</v>
      </c>
      <c r="S104" s="2">
        <v>206</v>
      </c>
      <c r="T104" s="2">
        <v>207</v>
      </c>
      <c r="U104" s="2" t="str">
        <f t="shared" si="7"/>
        <v/>
      </c>
    </row>
    <row r="105" ht="23" customHeight="1" spans="1:21">
      <c r="A105" s="6" t="s">
        <v>255</v>
      </c>
      <c r="B105" s="2" t="s">
        <v>50</v>
      </c>
      <c r="C105" s="2">
        <v>4</v>
      </c>
      <c r="D105" s="6" t="s">
        <v>500</v>
      </c>
      <c r="E105" s="2" t="str">
        <f>five子指标方向明细!F208</f>
        <v>B</v>
      </c>
      <c r="F105" s="2">
        <f>five子指标方向明细!G208</f>
        <v>5</v>
      </c>
      <c r="G105" s="2" t="str">
        <f>five子指标方向明细!H208</f>
        <v>C</v>
      </c>
      <c r="H105" s="2">
        <f>five子指标方向明细!I208</f>
        <v>5</v>
      </c>
      <c r="I105" s="2" t="str">
        <f>five子指标方向明细!L208</f>
        <v>D(平局)</v>
      </c>
      <c r="J105" s="2" t="str">
        <f>five子指标方向明细!F209</f>
        <v>C</v>
      </c>
      <c r="K105" s="2">
        <f>five子指标方向明细!G209</f>
        <v>5</v>
      </c>
      <c r="L105" s="2" t="str">
        <f>five子指标方向明细!H209</f>
        <v>B</v>
      </c>
      <c r="M105" s="2">
        <f>five子指标方向明细!I209</f>
        <v>5</v>
      </c>
      <c r="N105" s="2" t="str">
        <f>five子指标方向明细!L209</f>
        <v>D(平局)</v>
      </c>
      <c r="O105" s="2">
        <f t="shared" si="4"/>
        <v>1</v>
      </c>
      <c r="P105" s="2" t="str">
        <f t="shared" si="5"/>
        <v>D(平局)</v>
      </c>
      <c r="Q105" s="2" t="s">
        <v>77</v>
      </c>
      <c r="R105" s="2">
        <f t="shared" si="6"/>
        <v>0</v>
      </c>
      <c r="S105" s="2">
        <v>208</v>
      </c>
      <c r="T105" s="2">
        <v>209</v>
      </c>
      <c r="U105" s="2" t="str">
        <f t="shared" si="7"/>
        <v>双向评分平局</v>
      </c>
    </row>
    <row r="106" ht="23" customHeight="1" spans="1:21">
      <c r="A106" s="6" t="s">
        <v>255</v>
      </c>
      <c r="B106" s="2" t="s">
        <v>50</v>
      </c>
      <c r="C106" s="2">
        <v>5</v>
      </c>
      <c r="D106" s="6" t="s">
        <v>501</v>
      </c>
      <c r="E106" s="2" t="str">
        <f>five子指标方向明细!F210</f>
        <v>B</v>
      </c>
      <c r="F106" s="2">
        <f>five子指标方向明细!G210</f>
        <v>5</v>
      </c>
      <c r="G106" s="2" t="str">
        <f>five子指标方向明细!H210</f>
        <v>C</v>
      </c>
      <c r="H106" s="2">
        <f>five子指标方向明细!I210</f>
        <v>5</v>
      </c>
      <c r="I106" s="2" t="str">
        <f>five子指标方向明细!L210</f>
        <v>D(平局)</v>
      </c>
      <c r="J106" s="2" t="str">
        <f>five子指标方向明细!F211</f>
        <v>C</v>
      </c>
      <c r="K106" s="2">
        <f>five子指标方向明细!G211</f>
        <v>5</v>
      </c>
      <c r="L106" s="2" t="str">
        <f>five子指标方向明细!H211</f>
        <v>B</v>
      </c>
      <c r="M106" s="2">
        <f>five子指标方向明细!I211</f>
        <v>5</v>
      </c>
      <c r="N106" s="2" t="str">
        <f>five子指标方向明细!L211</f>
        <v>D(平局)</v>
      </c>
      <c r="O106" s="2">
        <f t="shared" si="4"/>
        <v>1</v>
      </c>
      <c r="P106" s="2" t="str">
        <f t="shared" si="5"/>
        <v>D(平局)</v>
      </c>
      <c r="Q106" s="2" t="s">
        <v>77</v>
      </c>
      <c r="R106" s="2">
        <f t="shared" si="6"/>
        <v>0</v>
      </c>
      <c r="S106" s="2">
        <v>210</v>
      </c>
      <c r="T106" s="2">
        <v>211</v>
      </c>
      <c r="U106" s="2" t="str">
        <f t="shared" si="7"/>
        <v>双向评分平局</v>
      </c>
    </row>
    <row r="107" ht="23" customHeight="1" spans="1:21">
      <c r="A107" s="6" t="s">
        <v>293</v>
      </c>
      <c r="B107" s="2" t="s">
        <v>15</v>
      </c>
      <c r="C107" s="2">
        <v>1</v>
      </c>
      <c r="D107" s="6" t="s">
        <v>497</v>
      </c>
      <c r="E107" s="2" t="str">
        <f>five子指标方向明细!F212</f>
        <v>A</v>
      </c>
      <c r="F107" s="2">
        <f>five子指标方向明细!G212</f>
        <v>5</v>
      </c>
      <c r="G107" s="2" t="str">
        <f>five子指标方向明细!H212</f>
        <v>B</v>
      </c>
      <c r="H107" s="2">
        <f>five子指标方向明细!I212</f>
        <v>5</v>
      </c>
      <c r="I107" s="2" t="str">
        <f>five子指标方向明细!L212</f>
        <v>D(平局)</v>
      </c>
      <c r="J107" s="2" t="str">
        <f>five子指标方向明细!F213</f>
        <v>B</v>
      </c>
      <c r="K107" s="2">
        <f>five子指标方向明细!G213</f>
        <v>5</v>
      </c>
      <c r="L107" s="2" t="str">
        <f>five子指标方向明细!H213</f>
        <v>A</v>
      </c>
      <c r="M107" s="2">
        <f>five子指标方向明细!I213</f>
        <v>5</v>
      </c>
      <c r="N107" s="2" t="str">
        <f>five子指标方向明细!L213</f>
        <v>D(平局)</v>
      </c>
      <c r="O107" s="2">
        <f t="shared" si="4"/>
        <v>1</v>
      </c>
      <c r="P107" s="2" t="str">
        <f t="shared" si="5"/>
        <v>D(平局)</v>
      </c>
      <c r="Q107" s="2" t="s">
        <v>22</v>
      </c>
      <c r="R107" s="2">
        <f t="shared" si="6"/>
        <v>0</v>
      </c>
      <c r="S107" s="2">
        <v>212</v>
      </c>
      <c r="T107" s="2">
        <v>213</v>
      </c>
      <c r="U107" s="2" t="str">
        <f t="shared" si="7"/>
        <v>双向评分平局</v>
      </c>
    </row>
    <row r="108" ht="23" customHeight="1" spans="1:21">
      <c r="A108" s="6" t="s">
        <v>293</v>
      </c>
      <c r="B108" s="2" t="s">
        <v>15</v>
      </c>
      <c r="C108" s="2">
        <v>2</v>
      </c>
      <c r="D108" s="6" t="s">
        <v>498</v>
      </c>
      <c r="E108" s="2" t="str">
        <f>five子指标方向明细!F214</f>
        <v>A</v>
      </c>
      <c r="F108" s="2">
        <f>five子指标方向明细!G214</f>
        <v>4</v>
      </c>
      <c r="G108" s="2" t="str">
        <f>five子指标方向明细!H214</f>
        <v>B</v>
      </c>
      <c r="H108" s="2">
        <f>five子指标方向明细!I214</f>
        <v>5</v>
      </c>
      <c r="I108" s="2" t="str">
        <f>five子指标方向明细!L214</f>
        <v>B</v>
      </c>
      <c r="J108" s="2" t="str">
        <f>five子指标方向明细!F215</f>
        <v>B</v>
      </c>
      <c r="K108" s="2">
        <f>five子指标方向明细!G215</f>
        <v>5</v>
      </c>
      <c r="L108" s="2" t="str">
        <f>five子指标方向明细!H215</f>
        <v>A</v>
      </c>
      <c r="M108" s="2">
        <f>five子指标方向明细!I215</f>
        <v>4</v>
      </c>
      <c r="N108" s="2" t="str">
        <f>five子指标方向明细!L215</f>
        <v>B</v>
      </c>
      <c r="O108" s="2">
        <f t="shared" si="4"/>
        <v>1</v>
      </c>
      <c r="P108" s="2" t="str">
        <f t="shared" si="5"/>
        <v>B</v>
      </c>
      <c r="Q108" s="2" t="s">
        <v>22</v>
      </c>
      <c r="R108" s="2">
        <f t="shared" si="6"/>
        <v>0</v>
      </c>
      <c r="S108" s="2">
        <v>214</v>
      </c>
      <c r="T108" s="2">
        <v>215</v>
      </c>
      <c r="U108" s="2" t="str">
        <f t="shared" si="7"/>
        <v/>
      </c>
    </row>
    <row r="109" ht="23" customHeight="1" spans="1:21">
      <c r="A109" s="6" t="s">
        <v>293</v>
      </c>
      <c r="B109" s="2" t="s">
        <v>15</v>
      </c>
      <c r="C109" s="2">
        <v>3</v>
      </c>
      <c r="D109" s="6" t="s">
        <v>499</v>
      </c>
      <c r="E109" s="2" t="str">
        <f>five子指标方向明细!F216</f>
        <v>A</v>
      </c>
      <c r="F109" s="2">
        <f>five子指标方向明细!G216</f>
        <v>5</v>
      </c>
      <c r="G109" s="2" t="str">
        <f>five子指标方向明细!H216</f>
        <v>B</v>
      </c>
      <c r="H109" s="2">
        <f>five子指标方向明细!I216</f>
        <v>5</v>
      </c>
      <c r="I109" s="2" t="str">
        <f>five子指标方向明细!L216</f>
        <v>D(平局)</v>
      </c>
      <c r="J109" s="2" t="str">
        <f>five子指标方向明细!F217</f>
        <v>B</v>
      </c>
      <c r="K109" s="2">
        <f>five子指标方向明细!G217</f>
        <v>5</v>
      </c>
      <c r="L109" s="2" t="str">
        <f>five子指标方向明细!H217</f>
        <v>A</v>
      </c>
      <c r="M109" s="2">
        <f>five子指标方向明细!I217</f>
        <v>5</v>
      </c>
      <c r="N109" s="2" t="str">
        <f>five子指标方向明细!L217</f>
        <v>D(平局)</v>
      </c>
      <c r="O109" s="2">
        <f t="shared" si="4"/>
        <v>1</v>
      </c>
      <c r="P109" s="2" t="str">
        <f t="shared" si="5"/>
        <v>D(平局)</v>
      </c>
      <c r="Q109" s="2" t="s">
        <v>22</v>
      </c>
      <c r="R109" s="2">
        <f t="shared" si="6"/>
        <v>0</v>
      </c>
      <c r="S109" s="2">
        <v>216</v>
      </c>
      <c r="T109" s="2">
        <v>217</v>
      </c>
      <c r="U109" s="2" t="str">
        <f t="shared" si="7"/>
        <v>双向评分平局</v>
      </c>
    </row>
    <row r="110" ht="23" customHeight="1" spans="1:21">
      <c r="A110" s="6" t="s">
        <v>293</v>
      </c>
      <c r="B110" s="2" t="s">
        <v>15</v>
      </c>
      <c r="C110" s="2">
        <v>4</v>
      </c>
      <c r="D110" s="6" t="s">
        <v>500</v>
      </c>
      <c r="E110" s="2" t="str">
        <f>five子指标方向明细!F218</f>
        <v>A</v>
      </c>
      <c r="F110" s="2">
        <f>five子指标方向明细!G218</f>
        <v>5</v>
      </c>
      <c r="G110" s="2" t="str">
        <f>five子指标方向明细!H218</f>
        <v>B</v>
      </c>
      <c r="H110" s="2">
        <f>five子指标方向明细!I218</f>
        <v>5</v>
      </c>
      <c r="I110" s="2" t="str">
        <f>five子指标方向明细!L218</f>
        <v>D(平局)</v>
      </c>
      <c r="J110" s="2" t="str">
        <f>five子指标方向明细!F219</f>
        <v>B</v>
      </c>
      <c r="K110" s="2">
        <f>five子指标方向明细!G219</f>
        <v>5</v>
      </c>
      <c r="L110" s="2" t="str">
        <f>five子指标方向明细!H219</f>
        <v>A</v>
      </c>
      <c r="M110" s="2">
        <f>five子指标方向明细!I219</f>
        <v>5</v>
      </c>
      <c r="N110" s="2" t="str">
        <f>five子指标方向明细!L219</f>
        <v>D(平局)</v>
      </c>
      <c r="O110" s="2">
        <f t="shared" si="4"/>
        <v>1</v>
      </c>
      <c r="P110" s="2" t="str">
        <f t="shared" si="5"/>
        <v>D(平局)</v>
      </c>
      <c r="Q110" s="2" t="s">
        <v>22</v>
      </c>
      <c r="R110" s="2">
        <f t="shared" si="6"/>
        <v>0</v>
      </c>
      <c r="S110" s="2">
        <v>218</v>
      </c>
      <c r="T110" s="2">
        <v>219</v>
      </c>
      <c r="U110" s="2" t="str">
        <f t="shared" si="7"/>
        <v>双向评分平局</v>
      </c>
    </row>
    <row r="111" ht="23" customHeight="1" spans="1:21">
      <c r="A111" s="6" t="s">
        <v>293</v>
      </c>
      <c r="B111" s="2" t="s">
        <v>15</v>
      </c>
      <c r="C111" s="2">
        <v>5</v>
      </c>
      <c r="D111" s="6" t="s">
        <v>501</v>
      </c>
      <c r="E111" s="2" t="str">
        <f>five子指标方向明细!F220</f>
        <v>A</v>
      </c>
      <c r="F111" s="2">
        <f>five子指标方向明细!G220</f>
        <v>5</v>
      </c>
      <c r="G111" s="2" t="str">
        <f>five子指标方向明细!H220</f>
        <v>B</v>
      </c>
      <c r="H111" s="2">
        <f>five子指标方向明细!I220</f>
        <v>5</v>
      </c>
      <c r="I111" s="2" t="str">
        <f>five子指标方向明细!L220</f>
        <v>D(平局)</v>
      </c>
      <c r="J111" s="2" t="str">
        <f>five子指标方向明细!F221</f>
        <v>B</v>
      </c>
      <c r="K111" s="2">
        <f>five子指标方向明细!G221</f>
        <v>5</v>
      </c>
      <c r="L111" s="2" t="str">
        <f>five子指标方向明细!H221</f>
        <v>A</v>
      </c>
      <c r="M111" s="2">
        <f>five子指标方向明细!I221</f>
        <v>5</v>
      </c>
      <c r="N111" s="2" t="str">
        <f>five子指标方向明细!L221</f>
        <v>D(平局)</v>
      </c>
      <c r="O111" s="2">
        <f t="shared" si="4"/>
        <v>1</v>
      </c>
      <c r="P111" s="2" t="str">
        <f t="shared" si="5"/>
        <v>D(平局)</v>
      </c>
      <c r="Q111" s="2" t="s">
        <v>22</v>
      </c>
      <c r="R111" s="2">
        <f t="shared" si="6"/>
        <v>0</v>
      </c>
      <c r="S111" s="2">
        <v>220</v>
      </c>
      <c r="T111" s="2">
        <v>221</v>
      </c>
      <c r="U111" s="2" t="str">
        <f t="shared" si="7"/>
        <v>双向评分平局</v>
      </c>
    </row>
    <row r="112" ht="23" customHeight="1" spans="1:21">
      <c r="A112" s="6" t="s">
        <v>293</v>
      </c>
      <c r="B112" s="2" t="s">
        <v>37</v>
      </c>
      <c r="C112" s="2">
        <v>1</v>
      </c>
      <c r="D112" s="6" t="s">
        <v>497</v>
      </c>
      <c r="E112" s="2" t="str">
        <f>five子指标方向明细!F222</f>
        <v>A</v>
      </c>
      <c r="F112" s="2">
        <f>five子指标方向明细!G222</f>
        <v>5</v>
      </c>
      <c r="G112" s="2" t="str">
        <f>five子指标方向明细!H222</f>
        <v>C</v>
      </c>
      <c r="H112" s="2">
        <f>five子指标方向明细!I222</f>
        <v>4</v>
      </c>
      <c r="I112" s="2" t="str">
        <f>five子指标方向明细!L222</f>
        <v>A</v>
      </c>
      <c r="J112" s="2" t="str">
        <f>five子指标方向明细!F223</f>
        <v>C</v>
      </c>
      <c r="K112" s="2">
        <f>five子指标方向明细!G223</f>
        <v>4</v>
      </c>
      <c r="L112" s="2" t="str">
        <f>five子指标方向明细!H223</f>
        <v>A</v>
      </c>
      <c r="M112" s="2">
        <f>five子指标方向明细!I223</f>
        <v>5</v>
      </c>
      <c r="N112" s="2" t="str">
        <f>five子指标方向明细!L223</f>
        <v>A</v>
      </c>
      <c r="O112" s="2">
        <f t="shared" si="4"/>
        <v>1</v>
      </c>
      <c r="P112" s="2" t="str">
        <f t="shared" si="5"/>
        <v>A</v>
      </c>
      <c r="Q112" s="2" t="s">
        <v>22</v>
      </c>
      <c r="R112" s="2">
        <f t="shared" si="6"/>
        <v>1</v>
      </c>
      <c r="S112" s="2">
        <v>222</v>
      </c>
      <c r="T112" s="2">
        <v>223</v>
      </c>
      <c r="U112" s="2" t="str">
        <f t="shared" si="7"/>
        <v/>
      </c>
    </row>
    <row r="113" ht="23" customHeight="1" spans="1:21">
      <c r="A113" s="6" t="s">
        <v>293</v>
      </c>
      <c r="B113" s="2" t="s">
        <v>37</v>
      </c>
      <c r="C113" s="2">
        <v>2</v>
      </c>
      <c r="D113" s="6" t="s">
        <v>498</v>
      </c>
      <c r="E113" s="2" t="str">
        <f>five子指标方向明细!F224</f>
        <v>A</v>
      </c>
      <c r="F113" s="2">
        <f>five子指标方向明细!G224</f>
        <v>5</v>
      </c>
      <c r="G113" s="2" t="str">
        <f>five子指标方向明细!H224</f>
        <v>C</v>
      </c>
      <c r="H113" s="2">
        <f>five子指标方向明细!I224</f>
        <v>2</v>
      </c>
      <c r="I113" s="2" t="str">
        <f>five子指标方向明细!L224</f>
        <v>A</v>
      </c>
      <c r="J113" s="2" t="str">
        <f>five子指标方向明细!F225</f>
        <v>C</v>
      </c>
      <c r="K113" s="2">
        <f>five子指标方向明细!G225</f>
        <v>2</v>
      </c>
      <c r="L113" s="2" t="str">
        <f>five子指标方向明细!H225</f>
        <v>A</v>
      </c>
      <c r="M113" s="2">
        <f>five子指标方向明细!I225</f>
        <v>5</v>
      </c>
      <c r="N113" s="2" t="str">
        <f>five子指标方向明细!L225</f>
        <v>A</v>
      </c>
      <c r="O113" s="2">
        <f t="shared" si="4"/>
        <v>1</v>
      </c>
      <c r="P113" s="2" t="str">
        <f t="shared" si="5"/>
        <v>A</v>
      </c>
      <c r="Q113" s="2" t="s">
        <v>22</v>
      </c>
      <c r="R113" s="2">
        <f t="shared" si="6"/>
        <v>1</v>
      </c>
      <c r="S113" s="2">
        <v>224</v>
      </c>
      <c r="T113" s="2">
        <v>225</v>
      </c>
      <c r="U113" s="2" t="str">
        <f t="shared" si="7"/>
        <v/>
      </c>
    </row>
    <row r="114" ht="23" customHeight="1" spans="1:21">
      <c r="A114" s="6" t="s">
        <v>293</v>
      </c>
      <c r="B114" s="2" t="s">
        <v>37</v>
      </c>
      <c r="C114" s="2">
        <v>3</v>
      </c>
      <c r="D114" s="6" t="s">
        <v>499</v>
      </c>
      <c r="E114" s="2" t="str">
        <f>five子指标方向明细!F226</f>
        <v>A</v>
      </c>
      <c r="F114" s="2">
        <f>five子指标方向明细!G226</f>
        <v>5</v>
      </c>
      <c r="G114" s="2" t="str">
        <f>five子指标方向明细!H226</f>
        <v>C</v>
      </c>
      <c r="H114" s="2">
        <f>five子指标方向明细!I226</f>
        <v>4</v>
      </c>
      <c r="I114" s="2" t="str">
        <f>five子指标方向明细!L226</f>
        <v>A</v>
      </c>
      <c r="J114" s="2" t="str">
        <f>five子指标方向明细!F227</f>
        <v>C</v>
      </c>
      <c r="K114" s="2">
        <f>five子指标方向明细!G227</f>
        <v>4</v>
      </c>
      <c r="L114" s="2" t="str">
        <f>five子指标方向明细!H227</f>
        <v>A</v>
      </c>
      <c r="M114" s="2">
        <f>five子指标方向明细!I227</f>
        <v>5</v>
      </c>
      <c r="N114" s="2" t="str">
        <f>five子指标方向明细!L227</f>
        <v>A</v>
      </c>
      <c r="O114" s="2">
        <f t="shared" si="4"/>
        <v>1</v>
      </c>
      <c r="P114" s="2" t="str">
        <f t="shared" si="5"/>
        <v>A</v>
      </c>
      <c r="Q114" s="2" t="s">
        <v>22</v>
      </c>
      <c r="R114" s="2">
        <f t="shared" si="6"/>
        <v>1</v>
      </c>
      <c r="S114" s="2">
        <v>226</v>
      </c>
      <c r="T114" s="2">
        <v>227</v>
      </c>
      <c r="U114" s="2" t="str">
        <f t="shared" si="7"/>
        <v/>
      </c>
    </row>
    <row r="115" ht="23" customHeight="1" spans="1:21">
      <c r="A115" s="6" t="s">
        <v>293</v>
      </c>
      <c r="B115" s="2" t="s">
        <v>37</v>
      </c>
      <c r="C115" s="2">
        <v>4</v>
      </c>
      <c r="D115" s="6" t="s">
        <v>500</v>
      </c>
      <c r="E115" s="2" t="str">
        <f>five子指标方向明细!F228</f>
        <v>A</v>
      </c>
      <c r="F115" s="2">
        <f>five子指标方向明细!G228</f>
        <v>5</v>
      </c>
      <c r="G115" s="2" t="str">
        <f>five子指标方向明细!H228</f>
        <v>C</v>
      </c>
      <c r="H115" s="2">
        <f>five子指标方向明细!I228</f>
        <v>5</v>
      </c>
      <c r="I115" s="2" t="str">
        <f>five子指标方向明细!L228</f>
        <v>D(平局)</v>
      </c>
      <c r="J115" s="2" t="str">
        <f>five子指标方向明细!F229</f>
        <v>C</v>
      </c>
      <c r="K115" s="2">
        <f>five子指标方向明细!G229</f>
        <v>5</v>
      </c>
      <c r="L115" s="2" t="str">
        <f>five子指标方向明细!H229</f>
        <v>A</v>
      </c>
      <c r="M115" s="2">
        <f>five子指标方向明细!I229</f>
        <v>5</v>
      </c>
      <c r="N115" s="2" t="str">
        <f>five子指标方向明细!L229</f>
        <v>D(平局)</v>
      </c>
      <c r="O115" s="2">
        <f t="shared" si="4"/>
        <v>1</v>
      </c>
      <c r="P115" s="2" t="str">
        <f t="shared" si="5"/>
        <v>D(平局)</v>
      </c>
      <c r="Q115" s="2" t="s">
        <v>22</v>
      </c>
      <c r="R115" s="2">
        <f t="shared" si="6"/>
        <v>0</v>
      </c>
      <c r="S115" s="2">
        <v>228</v>
      </c>
      <c r="T115" s="2">
        <v>229</v>
      </c>
      <c r="U115" s="2" t="str">
        <f t="shared" si="7"/>
        <v>双向评分平局</v>
      </c>
    </row>
    <row r="116" ht="23" customHeight="1" spans="1:21">
      <c r="A116" s="6" t="s">
        <v>293</v>
      </c>
      <c r="B116" s="2" t="s">
        <v>37</v>
      </c>
      <c r="C116" s="2">
        <v>5</v>
      </c>
      <c r="D116" s="6" t="s">
        <v>501</v>
      </c>
      <c r="E116" s="2" t="str">
        <f>five子指标方向明细!F230</f>
        <v>A</v>
      </c>
      <c r="F116" s="2">
        <f>five子指标方向明细!G230</f>
        <v>5</v>
      </c>
      <c r="G116" s="2" t="str">
        <f>five子指标方向明细!H230</f>
        <v>C</v>
      </c>
      <c r="H116" s="2">
        <f>five子指标方向明细!I230</f>
        <v>4</v>
      </c>
      <c r="I116" s="2" t="str">
        <f>five子指标方向明细!L230</f>
        <v>A</v>
      </c>
      <c r="J116" s="2" t="str">
        <f>five子指标方向明细!F231</f>
        <v>C</v>
      </c>
      <c r="K116" s="2">
        <f>five子指标方向明细!G231</f>
        <v>4</v>
      </c>
      <c r="L116" s="2" t="str">
        <f>five子指标方向明细!H231</f>
        <v>A</v>
      </c>
      <c r="M116" s="2">
        <f>five子指标方向明细!I231</f>
        <v>5</v>
      </c>
      <c r="N116" s="2" t="str">
        <f>five子指标方向明细!L231</f>
        <v>A</v>
      </c>
      <c r="O116" s="2">
        <f t="shared" si="4"/>
        <v>1</v>
      </c>
      <c r="P116" s="2" t="str">
        <f t="shared" si="5"/>
        <v>A</v>
      </c>
      <c r="Q116" s="2" t="s">
        <v>22</v>
      </c>
      <c r="R116" s="2">
        <f t="shared" si="6"/>
        <v>1</v>
      </c>
      <c r="S116" s="2">
        <v>230</v>
      </c>
      <c r="T116" s="2">
        <v>231</v>
      </c>
      <c r="U116" s="2" t="str">
        <f t="shared" si="7"/>
        <v/>
      </c>
    </row>
    <row r="117" ht="23" customHeight="1" spans="1:21">
      <c r="A117" s="6" t="s">
        <v>293</v>
      </c>
      <c r="B117" s="2" t="s">
        <v>50</v>
      </c>
      <c r="C117" s="2">
        <v>1</v>
      </c>
      <c r="D117" s="6" t="s">
        <v>497</v>
      </c>
      <c r="E117" s="2" t="str">
        <f>five子指标方向明细!F232</f>
        <v>B</v>
      </c>
      <c r="F117" s="2">
        <f>five子指标方向明细!G232</f>
        <v>5</v>
      </c>
      <c r="G117" s="2" t="str">
        <f>five子指标方向明细!H232</f>
        <v>C</v>
      </c>
      <c r="H117" s="2">
        <f>five子指标方向明细!I232</f>
        <v>4</v>
      </c>
      <c r="I117" s="2" t="str">
        <f>five子指标方向明细!L232</f>
        <v>B</v>
      </c>
      <c r="J117" s="2" t="str">
        <f>five子指标方向明细!F233</f>
        <v>C</v>
      </c>
      <c r="K117" s="2">
        <f>five子指标方向明细!G233</f>
        <v>4</v>
      </c>
      <c r="L117" s="2" t="str">
        <f>five子指标方向明细!H233</f>
        <v>B</v>
      </c>
      <c r="M117" s="2">
        <f>five子指标方向明细!I233</f>
        <v>5</v>
      </c>
      <c r="N117" s="2" t="str">
        <f>five子指标方向明细!L233</f>
        <v>B</v>
      </c>
      <c r="O117" s="2">
        <f t="shared" si="4"/>
        <v>1</v>
      </c>
      <c r="P117" s="2" t="str">
        <f t="shared" si="5"/>
        <v>B</v>
      </c>
      <c r="Q117" s="2" t="s">
        <v>26</v>
      </c>
      <c r="R117" s="2">
        <f t="shared" si="6"/>
        <v>1</v>
      </c>
      <c r="S117" s="2">
        <v>232</v>
      </c>
      <c r="T117" s="2">
        <v>233</v>
      </c>
      <c r="U117" s="2" t="str">
        <f t="shared" si="7"/>
        <v/>
      </c>
    </row>
    <row r="118" ht="23" customHeight="1" spans="1:21">
      <c r="A118" s="6" t="s">
        <v>293</v>
      </c>
      <c r="B118" s="2" t="s">
        <v>50</v>
      </c>
      <c r="C118" s="2">
        <v>2</v>
      </c>
      <c r="D118" s="6" t="s">
        <v>498</v>
      </c>
      <c r="E118" s="2" t="str">
        <f>five子指标方向明细!F234</f>
        <v>B</v>
      </c>
      <c r="F118" s="2">
        <f>five子指标方向明细!G234</f>
        <v>5</v>
      </c>
      <c r="G118" s="2" t="str">
        <f>five子指标方向明细!H234</f>
        <v>C</v>
      </c>
      <c r="H118" s="2">
        <f>five子指标方向明细!I234</f>
        <v>2</v>
      </c>
      <c r="I118" s="2" t="str">
        <f>five子指标方向明细!L234</f>
        <v>B</v>
      </c>
      <c r="J118" s="2" t="str">
        <f>five子指标方向明细!F235</f>
        <v>C</v>
      </c>
      <c r="K118" s="2">
        <f>five子指标方向明细!G235</f>
        <v>2</v>
      </c>
      <c r="L118" s="2" t="str">
        <f>five子指标方向明细!H235</f>
        <v>B</v>
      </c>
      <c r="M118" s="2">
        <f>five子指标方向明细!I235</f>
        <v>5</v>
      </c>
      <c r="N118" s="2" t="str">
        <f>five子指标方向明细!L235</f>
        <v>B</v>
      </c>
      <c r="O118" s="2">
        <f t="shared" si="4"/>
        <v>1</v>
      </c>
      <c r="P118" s="2" t="str">
        <f t="shared" si="5"/>
        <v>B</v>
      </c>
      <c r="Q118" s="2" t="s">
        <v>26</v>
      </c>
      <c r="R118" s="2">
        <f t="shared" si="6"/>
        <v>1</v>
      </c>
      <c r="S118" s="2">
        <v>234</v>
      </c>
      <c r="T118" s="2">
        <v>235</v>
      </c>
      <c r="U118" s="2" t="str">
        <f t="shared" si="7"/>
        <v/>
      </c>
    </row>
    <row r="119" ht="23" customHeight="1" spans="1:21">
      <c r="A119" s="6" t="s">
        <v>293</v>
      </c>
      <c r="B119" s="2" t="s">
        <v>50</v>
      </c>
      <c r="C119" s="2">
        <v>3</v>
      </c>
      <c r="D119" s="6" t="s">
        <v>499</v>
      </c>
      <c r="E119" s="2" t="str">
        <f>five子指标方向明细!F236</f>
        <v>B</v>
      </c>
      <c r="F119" s="2">
        <f>five子指标方向明细!G236</f>
        <v>5</v>
      </c>
      <c r="G119" s="2" t="str">
        <f>five子指标方向明细!H236</f>
        <v>C</v>
      </c>
      <c r="H119" s="2">
        <f>five子指标方向明细!I236</f>
        <v>3</v>
      </c>
      <c r="I119" s="2" t="str">
        <f>five子指标方向明细!L236</f>
        <v>B</v>
      </c>
      <c r="J119" s="2" t="str">
        <f>five子指标方向明细!F237</f>
        <v>C</v>
      </c>
      <c r="K119" s="2">
        <f>five子指标方向明细!G237</f>
        <v>4</v>
      </c>
      <c r="L119" s="2" t="str">
        <f>five子指标方向明细!H237</f>
        <v>B</v>
      </c>
      <c r="M119" s="2">
        <f>five子指标方向明细!I237</f>
        <v>5</v>
      </c>
      <c r="N119" s="2" t="str">
        <f>five子指标方向明细!L237</f>
        <v>B</v>
      </c>
      <c r="O119" s="2">
        <f t="shared" si="4"/>
        <v>1</v>
      </c>
      <c r="P119" s="2" t="str">
        <f t="shared" si="5"/>
        <v>B</v>
      </c>
      <c r="Q119" s="2" t="s">
        <v>26</v>
      </c>
      <c r="R119" s="2">
        <f t="shared" si="6"/>
        <v>1</v>
      </c>
      <c r="S119" s="2">
        <v>236</v>
      </c>
      <c r="T119" s="2">
        <v>237</v>
      </c>
      <c r="U119" s="2" t="str">
        <f t="shared" si="7"/>
        <v/>
      </c>
    </row>
    <row r="120" ht="23" customHeight="1" spans="1:21">
      <c r="A120" s="6" t="s">
        <v>293</v>
      </c>
      <c r="B120" s="2" t="s">
        <v>50</v>
      </c>
      <c r="C120" s="2">
        <v>4</v>
      </c>
      <c r="D120" s="6" t="s">
        <v>500</v>
      </c>
      <c r="E120" s="2" t="str">
        <f>five子指标方向明细!F238</f>
        <v>B</v>
      </c>
      <c r="F120" s="2">
        <f>five子指标方向明细!G238</f>
        <v>5</v>
      </c>
      <c r="G120" s="2" t="str">
        <f>five子指标方向明细!H238</f>
        <v>C</v>
      </c>
      <c r="H120" s="2">
        <f>five子指标方向明细!I238</f>
        <v>5</v>
      </c>
      <c r="I120" s="2" t="str">
        <f>five子指标方向明细!L238</f>
        <v>D(平局)</v>
      </c>
      <c r="J120" s="2" t="str">
        <f>five子指标方向明细!F239</f>
        <v>C</v>
      </c>
      <c r="K120" s="2">
        <f>five子指标方向明细!G239</f>
        <v>5</v>
      </c>
      <c r="L120" s="2" t="str">
        <f>five子指标方向明细!H239</f>
        <v>B</v>
      </c>
      <c r="M120" s="2">
        <f>five子指标方向明细!I239</f>
        <v>5</v>
      </c>
      <c r="N120" s="2" t="str">
        <f>five子指标方向明细!L239</f>
        <v>D(平局)</v>
      </c>
      <c r="O120" s="2">
        <f t="shared" si="4"/>
        <v>1</v>
      </c>
      <c r="P120" s="2" t="str">
        <f t="shared" si="5"/>
        <v>D(平局)</v>
      </c>
      <c r="Q120" s="2" t="s">
        <v>26</v>
      </c>
      <c r="R120" s="2">
        <f t="shared" si="6"/>
        <v>0</v>
      </c>
      <c r="S120" s="2">
        <v>238</v>
      </c>
      <c r="T120" s="2">
        <v>239</v>
      </c>
      <c r="U120" s="2" t="str">
        <f t="shared" si="7"/>
        <v>双向评分平局</v>
      </c>
    </row>
    <row r="121" ht="23" customHeight="1" spans="1:21">
      <c r="A121" s="6" t="s">
        <v>293</v>
      </c>
      <c r="B121" s="2" t="s">
        <v>50</v>
      </c>
      <c r="C121" s="2">
        <v>5</v>
      </c>
      <c r="D121" s="6" t="s">
        <v>501</v>
      </c>
      <c r="E121" s="2" t="str">
        <f>five子指标方向明细!F240</f>
        <v>B</v>
      </c>
      <c r="F121" s="2">
        <f>five子指标方向明细!G240</f>
        <v>5</v>
      </c>
      <c r="G121" s="2" t="str">
        <f>five子指标方向明细!H240</f>
        <v>C</v>
      </c>
      <c r="H121" s="2">
        <f>five子指标方向明细!I240</f>
        <v>3</v>
      </c>
      <c r="I121" s="2" t="str">
        <f>five子指标方向明细!L240</f>
        <v>B</v>
      </c>
      <c r="J121" s="2" t="str">
        <f>five子指标方向明细!F241</f>
        <v>C</v>
      </c>
      <c r="K121" s="2">
        <f>five子指标方向明细!G241</f>
        <v>4</v>
      </c>
      <c r="L121" s="2" t="str">
        <f>five子指标方向明细!H241</f>
        <v>B</v>
      </c>
      <c r="M121" s="2">
        <f>five子指标方向明细!I241</f>
        <v>5</v>
      </c>
      <c r="N121" s="2" t="str">
        <f>five子指标方向明细!L241</f>
        <v>B</v>
      </c>
      <c r="O121" s="2">
        <f t="shared" si="4"/>
        <v>1</v>
      </c>
      <c r="P121" s="2" t="str">
        <f t="shared" si="5"/>
        <v>B</v>
      </c>
      <c r="Q121" s="2" t="s">
        <v>26</v>
      </c>
      <c r="R121" s="2">
        <f t="shared" si="6"/>
        <v>1</v>
      </c>
      <c r="S121" s="2">
        <v>240</v>
      </c>
      <c r="T121" s="2">
        <v>241</v>
      </c>
      <c r="U121" s="2" t="str">
        <f t="shared" si="7"/>
        <v/>
      </c>
    </row>
    <row r="122" ht="23" customHeight="1" spans="1:21">
      <c r="A122" s="6" t="s">
        <v>331</v>
      </c>
      <c r="B122" s="2" t="s">
        <v>15</v>
      </c>
      <c r="C122" s="2">
        <v>1</v>
      </c>
      <c r="D122" s="6" t="s">
        <v>497</v>
      </c>
      <c r="E122" s="2" t="str">
        <f>five子指标方向明细!F242</f>
        <v>A</v>
      </c>
      <c r="F122" s="2">
        <f>five子指标方向明细!G242</f>
        <v>3</v>
      </c>
      <c r="G122" s="2" t="str">
        <f>five子指标方向明细!H242</f>
        <v>B</v>
      </c>
      <c r="H122" s="2">
        <f>five子指标方向明细!I242</f>
        <v>5</v>
      </c>
      <c r="I122" s="2" t="str">
        <f>five子指标方向明细!L242</f>
        <v>B</v>
      </c>
      <c r="J122" s="2" t="str">
        <f>five子指标方向明细!F243</f>
        <v>B</v>
      </c>
      <c r="K122" s="2">
        <f>five子指标方向明细!G243</f>
        <v>5</v>
      </c>
      <c r="L122" s="2" t="str">
        <f>five子指标方向明细!H243</f>
        <v>A</v>
      </c>
      <c r="M122" s="2">
        <f>five子指标方向明细!I243</f>
        <v>4</v>
      </c>
      <c r="N122" s="2" t="str">
        <f>five子指标方向明细!L243</f>
        <v>B</v>
      </c>
      <c r="O122" s="2">
        <f t="shared" si="4"/>
        <v>1</v>
      </c>
      <c r="P122" s="2" t="str">
        <f t="shared" si="5"/>
        <v>B</v>
      </c>
      <c r="Q122" s="2" t="s">
        <v>106</v>
      </c>
      <c r="R122" s="2">
        <f t="shared" si="6"/>
        <v>0</v>
      </c>
      <c r="S122" s="2">
        <v>242</v>
      </c>
      <c r="T122" s="2">
        <v>243</v>
      </c>
      <c r="U122" s="2" t="str">
        <f t="shared" si="7"/>
        <v/>
      </c>
    </row>
    <row r="123" ht="23" customHeight="1" spans="1:21">
      <c r="A123" s="6" t="s">
        <v>331</v>
      </c>
      <c r="B123" s="2" t="s">
        <v>15</v>
      </c>
      <c r="C123" s="2">
        <v>2</v>
      </c>
      <c r="D123" s="6" t="s">
        <v>498</v>
      </c>
      <c r="E123" s="2" t="str">
        <f>five子指标方向明细!F244</f>
        <v>A</v>
      </c>
      <c r="F123" s="2">
        <f>five子指标方向明细!G244</f>
        <v>3</v>
      </c>
      <c r="G123" s="2" t="str">
        <f>five子指标方向明细!H244</f>
        <v>B</v>
      </c>
      <c r="H123" s="2">
        <f>five子指标方向明细!I244</f>
        <v>5</v>
      </c>
      <c r="I123" s="2" t="str">
        <f>five子指标方向明细!L244</f>
        <v>B</v>
      </c>
      <c r="J123" s="2" t="str">
        <f>five子指标方向明细!F245</f>
        <v>B</v>
      </c>
      <c r="K123" s="2">
        <f>five子指标方向明细!G245</f>
        <v>5</v>
      </c>
      <c r="L123" s="2" t="str">
        <f>five子指标方向明细!H245</f>
        <v>A</v>
      </c>
      <c r="M123" s="2">
        <f>five子指标方向明细!I245</f>
        <v>4</v>
      </c>
      <c r="N123" s="2" t="str">
        <f>five子指标方向明细!L245</f>
        <v>B</v>
      </c>
      <c r="O123" s="2">
        <f t="shared" si="4"/>
        <v>1</v>
      </c>
      <c r="P123" s="2" t="str">
        <f t="shared" si="5"/>
        <v>B</v>
      </c>
      <c r="Q123" s="2" t="s">
        <v>106</v>
      </c>
      <c r="R123" s="2">
        <f t="shared" si="6"/>
        <v>0</v>
      </c>
      <c r="S123" s="2">
        <v>244</v>
      </c>
      <c r="T123" s="2">
        <v>245</v>
      </c>
      <c r="U123" s="2" t="str">
        <f t="shared" si="7"/>
        <v/>
      </c>
    </row>
    <row r="124" ht="23" customHeight="1" spans="1:21">
      <c r="A124" s="6" t="s">
        <v>331</v>
      </c>
      <c r="B124" s="2" t="s">
        <v>15</v>
      </c>
      <c r="C124" s="2">
        <v>3</v>
      </c>
      <c r="D124" s="6" t="s">
        <v>499</v>
      </c>
      <c r="E124" s="2" t="str">
        <f>five子指标方向明细!F246</f>
        <v>A</v>
      </c>
      <c r="F124" s="2">
        <f>five子指标方向明细!G246</f>
        <v>3</v>
      </c>
      <c r="G124" s="2" t="str">
        <f>five子指标方向明细!H246</f>
        <v>B</v>
      </c>
      <c r="H124" s="2">
        <f>five子指标方向明细!I246</f>
        <v>5</v>
      </c>
      <c r="I124" s="2" t="str">
        <f>five子指标方向明细!L246</f>
        <v>B</v>
      </c>
      <c r="J124" s="2" t="str">
        <f>five子指标方向明细!F247</f>
        <v>B</v>
      </c>
      <c r="K124" s="2">
        <f>five子指标方向明细!G247</f>
        <v>5</v>
      </c>
      <c r="L124" s="2" t="str">
        <f>five子指标方向明细!H247</f>
        <v>A</v>
      </c>
      <c r="M124" s="2">
        <f>five子指标方向明细!I247</f>
        <v>3</v>
      </c>
      <c r="N124" s="2" t="str">
        <f>five子指标方向明细!L247</f>
        <v>B</v>
      </c>
      <c r="O124" s="2">
        <f t="shared" si="4"/>
        <v>1</v>
      </c>
      <c r="P124" s="2" t="str">
        <f t="shared" si="5"/>
        <v>B</v>
      </c>
      <c r="Q124" s="2" t="s">
        <v>106</v>
      </c>
      <c r="R124" s="2">
        <f t="shared" si="6"/>
        <v>0</v>
      </c>
      <c r="S124" s="2">
        <v>246</v>
      </c>
      <c r="T124" s="2">
        <v>247</v>
      </c>
      <c r="U124" s="2" t="str">
        <f t="shared" si="7"/>
        <v/>
      </c>
    </row>
    <row r="125" ht="23" customHeight="1" spans="1:21">
      <c r="A125" s="6" t="s">
        <v>331</v>
      </c>
      <c r="B125" s="2" t="s">
        <v>15</v>
      </c>
      <c r="C125" s="2">
        <v>4</v>
      </c>
      <c r="D125" s="6" t="s">
        <v>500</v>
      </c>
      <c r="E125" s="2" t="str">
        <f>five子指标方向明细!F248</f>
        <v>A</v>
      </c>
      <c r="F125" s="2">
        <f>five子指标方向明细!G248</f>
        <v>4</v>
      </c>
      <c r="G125" s="2" t="str">
        <f>five子指标方向明细!H248</f>
        <v>B</v>
      </c>
      <c r="H125" s="2">
        <f>five子指标方向明细!I248</f>
        <v>5</v>
      </c>
      <c r="I125" s="2" t="str">
        <f>five子指标方向明细!L248</f>
        <v>B</v>
      </c>
      <c r="J125" s="2" t="str">
        <f>five子指标方向明细!F249</f>
        <v>B</v>
      </c>
      <c r="K125" s="2">
        <f>five子指标方向明细!G249</f>
        <v>5</v>
      </c>
      <c r="L125" s="2" t="str">
        <f>five子指标方向明细!H249</f>
        <v>A</v>
      </c>
      <c r="M125" s="2">
        <f>five子指标方向明细!I249</f>
        <v>4</v>
      </c>
      <c r="N125" s="2" t="str">
        <f>five子指标方向明细!L249</f>
        <v>B</v>
      </c>
      <c r="O125" s="2">
        <f t="shared" si="4"/>
        <v>1</v>
      </c>
      <c r="P125" s="2" t="str">
        <f t="shared" si="5"/>
        <v>B</v>
      </c>
      <c r="Q125" s="2" t="s">
        <v>106</v>
      </c>
      <c r="R125" s="2">
        <f t="shared" si="6"/>
        <v>0</v>
      </c>
      <c r="S125" s="2">
        <v>248</v>
      </c>
      <c r="T125" s="2">
        <v>249</v>
      </c>
      <c r="U125" s="2" t="str">
        <f t="shared" si="7"/>
        <v/>
      </c>
    </row>
    <row r="126" ht="23" customHeight="1" spans="1:21">
      <c r="A126" s="6" t="s">
        <v>331</v>
      </c>
      <c r="B126" s="2" t="s">
        <v>15</v>
      </c>
      <c r="C126" s="2">
        <v>5</v>
      </c>
      <c r="D126" s="6" t="s">
        <v>501</v>
      </c>
      <c r="E126" s="2" t="str">
        <f>five子指标方向明细!F250</f>
        <v>A</v>
      </c>
      <c r="F126" s="2">
        <f>five子指标方向明细!G250</f>
        <v>5</v>
      </c>
      <c r="G126" s="2" t="str">
        <f>five子指标方向明细!H250</f>
        <v>B</v>
      </c>
      <c r="H126" s="2">
        <f>five子指标方向明细!I250</f>
        <v>5</v>
      </c>
      <c r="I126" s="2" t="str">
        <f>five子指标方向明细!L250</f>
        <v>D(平局)</v>
      </c>
      <c r="J126" s="2" t="str">
        <f>five子指标方向明细!F251</f>
        <v>B</v>
      </c>
      <c r="K126" s="2">
        <f>five子指标方向明细!G251</f>
        <v>5</v>
      </c>
      <c r="L126" s="2" t="str">
        <f>five子指标方向明细!H251</f>
        <v>A</v>
      </c>
      <c r="M126" s="2">
        <f>five子指标方向明细!I251</f>
        <v>5</v>
      </c>
      <c r="N126" s="2" t="str">
        <f>five子指标方向明细!L251</f>
        <v>D(平局)</v>
      </c>
      <c r="O126" s="2">
        <f t="shared" si="4"/>
        <v>1</v>
      </c>
      <c r="P126" s="2" t="str">
        <f t="shared" si="5"/>
        <v>D(平局)</v>
      </c>
      <c r="Q126" s="2" t="s">
        <v>106</v>
      </c>
      <c r="R126" s="2">
        <f t="shared" si="6"/>
        <v>1</v>
      </c>
      <c r="S126" s="2">
        <v>250</v>
      </c>
      <c r="T126" s="2">
        <v>251</v>
      </c>
      <c r="U126" s="2" t="str">
        <f t="shared" si="7"/>
        <v>双向评分平局</v>
      </c>
    </row>
    <row r="127" ht="23" customHeight="1" spans="1:21">
      <c r="A127" s="6" t="s">
        <v>331</v>
      </c>
      <c r="B127" s="2" t="s">
        <v>37</v>
      </c>
      <c r="C127" s="2">
        <v>1</v>
      </c>
      <c r="D127" s="6" t="s">
        <v>497</v>
      </c>
      <c r="E127" s="2" t="str">
        <f>five子指标方向明细!F252</f>
        <v>A</v>
      </c>
      <c r="F127" s="2">
        <f>five子指标方向明细!G252</f>
        <v>5</v>
      </c>
      <c r="G127" s="2" t="str">
        <f>five子指标方向明细!H252</f>
        <v>C</v>
      </c>
      <c r="H127" s="2">
        <f>five子指标方向明细!I252</f>
        <v>4</v>
      </c>
      <c r="I127" s="2" t="str">
        <f>five子指标方向明细!L252</f>
        <v>A</v>
      </c>
      <c r="J127" s="2" t="str">
        <f>five子指标方向明细!F253</f>
        <v>C</v>
      </c>
      <c r="K127" s="2">
        <f>five子指标方向明细!G253</f>
        <v>4</v>
      </c>
      <c r="L127" s="2" t="str">
        <f>five子指标方向明细!H253</f>
        <v>A</v>
      </c>
      <c r="M127" s="2">
        <f>five子指标方向明细!I253</f>
        <v>5</v>
      </c>
      <c r="N127" s="2" t="str">
        <f>five子指标方向明细!L253</f>
        <v>A</v>
      </c>
      <c r="O127" s="2">
        <f t="shared" si="4"/>
        <v>1</v>
      </c>
      <c r="P127" s="2" t="str">
        <f t="shared" si="5"/>
        <v>A</v>
      </c>
      <c r="Q127" s="2" t="s">
        <v>22</v>
      </c>
      <c r="R127" s="2">
        <f t="shared" si="6"/>
        <v>1</v>
      </c>
      <c r="S127" s="2">
        <v>252</v>
      </c>
      <c r="T127" s="2">
        <v>253</v>
      </c>
      <c r="U127" s="2" t="str">
        <f t="shared" si="7"/>
        <v/>
      </c>
    </row>
    <row r="128" ht="23" customHeight="1" spans="1:21">
      <c r="A128" s="6" t="s">
        <v>331</v>
      </c>
      <c r="B128" s="2" t="s">
        <v>37</v>
      </c>
      <c r="C128" s="2">
        <v>2</v>
      </c>
      <c r="D128" s="6" t="s">
        <v>498</v>
      </c>
      <c r="E128" s="2" t="str">
        <f>five子指标方向明细!F254</f>
        <v>A</v>
      </c>
      <c r="F128" s="2">
        <f>five子指标方向明细!G254</f>
        <v>4</v>
      </c>
      <c r="G128" s="2" t="str">
        <f>five子指标方向明细!H254</f>
        <v>C</v>
      </c>
      <c r="H128" s="2">
        <f>five子指标方向明细!I254</f>
        <v>4</v>
      </c>
      <c r="I128" s="2" t="str">
        <f>five子指标方向明细!L254</f>
        <v>D(平局)</v>
      </c>
      <c r="J128" s="2" t="str">
        <f>five子指标方向明细!F255</f>
        <v>C</v>
      </c>
      <c r="K128" s="2">
        <f>five子指标方向明细!G255</f>
        <v>3</v>
      </c>
      <c r="L128" s="2" t="str">
        <f>five子指标方向明细!H255</f>
        <v>A</v>
      </c>
      <c r="M128" s="2">
        <f>five子指标方向明细!I255</f>
        <v>5</v>
      </c>
      <c r="N128" s="2" t="str">
        <f>five子指标方向明细!L255</f>
        <v>A</v>
      </c>
      <c r="O128" s="2">
        <f t="shared" si="4"/>
        <v>0</v>
      </c>
      <c r="P128" s="2" t="str">
        <f t="shared" si="5"/>
        <v>D(平局)</v>
      </c>
      <c r="Q128" s="2" t="s">
        <v>22</v>
      </c>
      <c r="R128" s="2">
        <f t="shared" si="6"/>
        <v>0</v>
      </c>
      <c r="S128" s="2">
        <v>254</v>
      </c>
      <c r="T128" s="2">
        <v>255</v>
      </c>
      <c r="U128" s="2" t="str">
        <f t="shared" si="7"/>
        <v>方向冲突</v>
      </c>
    </row>
    <row r="129" ht="23" customHeight="1" spans="1:21">
      <c r="A129" s="6" t="s">
        <v>331</v>
      </c>
      <c r="B129" s="2" t="s">
        <v>37</v>
      </c>
      <c r="C129" s="2">
        <v>3</v>
      </c>
      <c r="D129" s="6" t="s">
        <v>499</v>
      </c>
      <c r="E129" s="2" t="str">
        <f>five子指标方向明细!F256</f>
        <v>A</v>
      </c>
      <c r="F129" s="2">
        <f>five子指标方向明细!G256</f>
        <v>5</v>
      </c>
      <c r="G129" s="2" t="str">
        <f>five子指标方向明细!H256</f>
        <v>C</v>
      </c>
      <c r="H129" s="2">
        <f>five子指标方向明细!I256</f>
        <v>4</v>
      </c>
      <c r="I129" s="2" t="str">
        <f>five子指标方向明细!L256</f>
        <v>A</v>
      </c>
      <c r="J129" s="2" t="str">
        <f>five子指标方向明细!F257</f>
        <v>C</v>
      </c>
      <c r="K129" s="2">
        <f>five子指标方向明细!G257</f>
        <v>3</v>
      </c>
      <c r="L129" s="2" t="str">
        <f>five子指标方向明细!H257</f>
        <v>A</v>
      </c>
      <c r="M129" s="2">
        <f>five子指标方向明细!I257</f>
        <v>4</v>
      </c>
      <c r="N129" s="2" t="str">
        <f>five子指标方向明细!L257</f>
        <v>A</v>
      </c>
      <c r="O129" s="2">
        <f t="shared" si="4"/>
        <v>1</v>
      </c>
      <c r="P129" s="2" t="str">
        <f t="shared" si="5"/>
        <v>A</v>
      </c>
      <c r="Q129" s="2" t="s">
        <v>22</v>
      </c>
      <c r="R129" s="2">
        <f t="shared" si="6"/>
        <v>1</v>
      </c>
      <c r="S129" s="2">
        <v>256</v>
      </c>
      <c r="T129" s="2">
        <v>257</v>
      </c>
      <c r="U129" s="2" t="str">
        <f t="shared" si="7"/>
        <v/>
      </c>
    </row>
    <row r="130" ht="23" customHeight="1" spans="1:21">
      <c r="A130" s="6" t="s">
        <v>331</v>
      </c>
      <c r="B130" s="2" t="s">
        <v>37</v>
      </c>
      <c r="C130" s="2">
        <v>4</v>
      </c>
      <c r="D130" s="6" t="s">
        <v>500</v>
      </c>
      <c r="E130" s="2" t="str">
        <f>five子指标方向明细!F258</f>
        <v>A</v>
      </c>
      <c r="F130" s="2">
        <f>five子指标方向明细!G258</f>
        <v>5</v>
      </c>
      <c r="G130" s="2" t="str">
        <f>five子指标方向明细!H258</f>
        <v>C</v>
      </c>
      <c r="H130" s="2">
        <f>five子指标方向明细!I258</f>
        <v>4</v>
      </c>
      <c r="I130" s="2" t="str">
        <f>five子指标方向明细!L258</f>
        <v>A</v>
      </c>
      <c r="J130" s="2" t="str">
        <f>five子指标方向明细!F259</f>
        <v>C</v>
      </c>
      <c r="K130" s="2">
        <f>five子指标方向明细!G259</f>
        <v>4</v>
      </c>
      <c r="L130" s="2" t="str">
        <f>five子指标方向明细!H259</f>
        <v>A</v>
      </c>
      <c r="M130" s="2">
        <f>five子指标方向明细!I259</f>
        <v>5</v>
      </c>
      <c r="N130" s="2" t="str">
        <f>five子指标方向明细!L259</f>
        <v>A</v>
      </c>
      <c r="O130" s="2">
        <f t="shared" ref="O130:O181" si="8">--(I130=N130)</f>
        <v>1</v>
      </c>
      <c r="P130" s="2" t="str">
        <f t="shared" ref="P130:P181" si="9">IF(I130=N130,I130,"D(平局)")</f>
        <v>A</v>
      </c>
      <c r="Q130" s="2" t="s">
        <v>22</v>
      </c>
      <c r="R130" s="2">
        <f t="shared" ref="R130:R181" si="10">--(P130=Q130)</f>
        <v>1</v>
      </c>
      <c r="S130" s="2">
        <v>258</v>
      </c>
      <c r="T130" s="2">
        <v>259</v>
      </c>
      <c r="U130" s="2" t="str">
        <f t="shared" ref="U130:U181" si="11">IF(P130&lt;&gt;"D(平局)","",IF(O130=0,"方向冲突","双向评分平局"))</f>
        <v/>
      </c>
    </row>
    <row r="131" ht="23" customHeight="1" spans="1:21">
      <c r="A131" s="6" t="s">
        <v>331</v>
      </c>
      <c r="B131" s="2" t="s">
        <v>37</v>
      </c>
      <c r="C131" s="2">
        <v>5</v>
      </c>
      <c r="D131" s="6" t="s">
        <v>501</v>
      </c>
      <c r="E131" s="2" t="str">
        <f>five子指标方向明细!F260</f>
        <v>A</v>
      </c>
      <c r="F131" s="2">
        <f>five子指标方向明细!G260</f>
        <v>5</v>
      </c>
      <c r="G131" s="2" t="str">
        <f>five子指标方向明细!H260</f>
        <v>C</v>
      </c>
      <c r="H131" s="2">
        <f>five子指标方向明细!I260</f>
        <v>5</v>
      </c>
      <c r="I131" s="2" t="str">
        <f>five子指标方向明细!L260</f>
        <v>D(平局)</v>
      </c>
      <c r="J131" s="2" t="str">
        <f>five子指标方向明细!F261</f>
        <v>C</v>
      </c>
      <c r="K131" s="2">
        <f>five子指标方向明细!G261</f>
        <v>4</v>
      </c>
      <c r="L131" s="2" t="str">
        <f>five子指标方向明细!H261</f>
        <v>A</v>
      </c>
      <c r="M131" s="2">
        <f>five子指标方向明细!I261</f>
        <v>5</v>
      </c>
      <c r="N131" s="2" t="str">
        <f>five子指标方向明细!L261</f>
        <v>A</v>
      </c>
      <c r="O131" s="2">
        <f t="shared" si="8"/>
        <v>0</v>
      </c>
      <c r="P131" s="2" t="str">
        <f t="shared" si="9"/>
        <v>D(平局)</v>
      </c>
      <c r="Q131" s="2" t="s">
        <v>22</v>
      </c>
      <c r="R131" s="2">
        <f t="shared" si="10"/>
        <v>0</v>
      </c>
      <c r="S131" s="2">
        <v>260</v>
      </c>
      <c r="T131" s="2">
        <v>261</v>
      </c>
      <c r="U131" s="2" t="str">
        <f t="shared" si="11"/>
        <v>方向冲突</v>
      </c>
    </row>
    <row r="132" ht="23" customHeight="1" spans="1:21">
      <c r="A132" s="6" t="s">
        <v>331</v>
      </c>
      <c r="B132" s="2" t="s">
        <v>50</v>
      </c>
      <c r="C132" s="2">
        <v>1</v>
      </c>
      <c r="D132" s="6" t="s">
        <v>497</v>
      </c>
      <c r="E132" s="2" t="str">
        <f>five子指标方向明细!F262</f>
        <v>B</v>
      </c>
      <c r="F132" s="2">
        <f>five子指标方向明细!G262</f>
        <v>5</v>
      </c>
      <c r="G132" s="2" t="str">
        <f>five子指标方向明细!H262</f>
        <v>C</v>
      </c>
      <c r="H132" s="2">
        <f>five子指标方向明细!I262</f>
        <v>3</v>
      </c>
      <c r="I132" s="2" t="str">
        <f>five子指标方向明细!L262</f>
        <v>B</v>
      </c>
      <c r="J132" s="2" t="str">
        <f>five子指标方向明细!F263</f>
        <v>C</v>
      </c>
      <c r="K132" s="2">
        <f>five子指标方向明细!G263</f>
        <v>3</v>
      </c>
      <c r="L132" s="2" t="str">
        <f>five子指标方向明细!H263</f>
        <v>B</v>
      </c>
      <c r="M132" s="2">
        <f>five子指标方向明细!I263</f>
        <v>5</v>
      </c>
      <c r="N132" s="2" t="str">
        <f>five子指标方向明细!L263</f>
        <v>B</v>
      </c>
      <c r="O132" s="2">
        <f t="shared" si="8"/>
        <v>1</v>
      </c>
      <c r="P132" s="2" t="str">
        <f t="shared" si="9"/>
        <v>B</v>
      </c>
      <c r="Q132" s="2" t="s">
        <v>26</v>
      </c>
      <c r="R132" s="2">
        <f t="shared" si="10"/>
        <v>1</v>
      </c>
      <c r="S132" s="2">
        <v>262</v>
      </c>
      <c r="T132" s="2">
        <v>263</v>
      </c>
      <c r="U132" s="2" t="str">
        <f t="shared" si="11"/>
        <v/>
      </c>
    </row>
    <row r="133" ht="23" customHeight="1" spans="1:21">
      <c r="A133" s="6" t="s">
        <v>331</v>
      </c>
      <c r="B133" s="2" t="s">
        <v>50</v>
      </c>
      <c r="C133" s="2">
        <v>2</v>
      </c>
      <c r="D133" s="6" t="s">
        <v>498</v>
      </c>
      <c r="E133" s="2" t="str">
        <f>five子指标方向明细!F264</f>
        <v>B</v>
      </c>
      <c r="F133" s="2">
        <f>five子指标方向明细!G264</f>
        <v>5</v>
      </c>
      <c r="G133" s="2" t="str">
        <f>five子指标方向明细!H264</f>
        <v>C</v>
      </c>
      <c r="H133" s="2">
        <f>five子指标方向明细!I264</f>
        <v>3</v>
      </c>
      <c r="I133" s="2" t="str">
        <f>five子指标方向明细!L264</f>
        <v>B</v>
      </c>
      <c r="J133" s="2" t="str">
        <f>five子指标方向明细!F265</f>
        <v>C</v>
      </c>
      <c r="K133" s="2">
        <f>five子指标方向明细!G265</f>
        <v>2</v>
      </c>
      <c r="L133" s="2" t="str">
        <f>five子指标方向明细!H265</f>
        <v>B</v>
      </c>
      <c r="M133" s="2">
        <f>five子指标方向明细!I265</f>
        <v>5</v>
      </c>
      <c r="N133" s="2" t="str">
        <f>five子指标方向明细!L265</f>
        <v>B</v>
      </c>
      <c r="O133" s="2">
        <f t="shared" si="8"/>
        <v>1</v>
      </c>
      <c r="P133" s="2" t="str">
        <f t="shared" si="9"/>
        <v>B</v>
      </c>
      <c r="Q133" s="2" t="s">
        <v>26</v>
      </c>
      <c r="R133" s="2">
        <f t="shared" si="10"/>
        <v>1</v>
      </c>
      <c r="S133" s="2">
        <v>264</v>
      </c>
      <c r="T133" s="2">
        <v>265</v>
      </c>
      <c r="U133" s="2" t="str">
        <f t="shared" si="11"/>
        <v/>
      </c>
    </row>
    <row r="134" ht="23" customHeight="1" spans="1:21">
      <c r="A134" s="6" t="s">
        <v>331</v>
      </c>
      <c r="B134" s="2" t="s">
        <v>50</v>
      </c>
      <c r="C134" s="2">
        <v>3</v>
      </c>
      <c r="D134" s="6" t="s">
        <v>499</v>
      </c>
      <c r="E134" s="2" t="str">
        <f>five子指标方向明细!F266</f>
        <v>B</v>
      </c>
      <c r="F134" s="2">
        <f>five子指标方向明细!G266</f>
        <v>5</v>
      </c>
      <c r="G134" s="2" t="str">
        <f>five子指标方向明细!H266</f>
        <v>C</v>
      </c>
      <c r="H134" s="2">
        <f>five子指标方向明细!I266</f>
        <v>4</v>
      </c>
      <c r="I134" s="2" t="str">
        <f>five子指标方向明细!L266</f>
        <v>B</v>
      </c>
      <c r="J134" s="2" t="str">
        <f>five子指标方向明细!F267</f>
        <v>C</v>
      </c>
      <c r="K134" s="2">
        <f>five子指标方向明细!G267</f>
        <v>4</v>
      </c>
      <c r="L134" s="2" t="str">
        <f>five子指标方向明细!H267</f>
        <v>B</v>
      </c>
      <c r="M134" s="2">
        <f>five子指标方向明细!I267</f>
        <v>5</v>
      </c>
      <c r="N134" s="2" t="str">
        <f>five子指标方向明细!L267</f>
        <v>B</v>
      </c>
      <c r="O134" s="2">
        <f t="shared" si="8"/>
        <v>1</v>
      </c>
      <c r="P134" s="2" t="str">
        <f t="shared" si="9"/>
        <v>B</v>
      </c>
      <c r="Q134" s="2" t="s">
        <v>26</v>
      </c>
      <c r="R134" s="2">
        <f t="shared" si="10"/>
        <v>1</v>
      </c>
      <c r="S134" s="2">
        <v>266</v>
      </c>
      <c r="T134" s="2">
        <v>267</v>
      </c>
      <c r="U134" s="2" t="str">
        <f t="shared" si="11"/>
        <v/>
      </c>
    </row>
    <row r="135" ht="23" customHeight="1" spans="1:21">
      <c r="A135" s="6" t="s">
        <v>331</v>
      </c>
      <c r="B135" s="2" t="s">
        <v>50</v>
      </c>
      <c r="C135" s="2">
        <v>4</v>
      </c>
      <c r="D135" s="6" t="s">
        <v>500</v>
      </c>
      <c r="E135" s="2" t="str">
        <f>five子指标方向明细!F268</f>
        <v>B</v>
      </c>
      <c r="F135" s="2">
        <f>five子指标方向明细!G268</f>
        <v>5</v>
      </c>
      <c r="G135" s="2" t="str">
        <f>five子指标方向明细!H268</f>
        <v>C</v>
      </c>
      <c r="H135" s="2">
        <f>five子指标方向明细!I268</f>
        <v>4</v>
      </c>
      <c r="I135" s="2" t="str">
        <f>five子指标方向明细!L268</f>
        <v>B</v>
      </c>
      <c r="J135" s="2" t="str">
        <f>five子指标方向明细!F269</f>
        <v>C</v>
      </c>
      <c r="K135" s="2">
        <f>five子指标方向明细!G269</f>
        <v>3</v>
      </c>
      <c r="L135" s="2" t="str">
        <f>five子指标方向明细!H269</f>
        <v>B</v>
      </c>
      <c r="M135" s="2">
        <f>five子指标方向明细!I269</f>
        <v>5</v>
      </c>
      <c r="N135" s="2" t="str">
        <f>five子指标方向明细!L269</f>
        <v>B</v>
      </c>
      <c r="O135" s="2">
        <f t="shared" si="8"/>
        <v>1</v>
      </c>
      <c r="P135" s="2" t="str">
        <f t="shared" si="9"/>
        <v>B</v>
      </c>
      <c r="Q135" s="2" t="s">
        <v>26</v>
      </c>
      <c r="R135" s="2">
        <f t="shared" si="10"/>
        <v>1</v>
      </c>
      <c r="S135" s="2">
        <v>268</v>
      </c>
      <c r="T135" s="2">
        <v>269</v>
      </c>
      <c r="U135" s="2" t="str">
        <f t="shared" si="11"/>
        <v/>
      </c>
    </row>
    <row r="136" ht="23" customHeight="1" spans="1:21">
      <c r="A136" s="6" t="s">
        <v>331</v>
      </c>
      <c r="B136" s="2" t="s">
        <v>50</v>
      </c>
      <c r="C136" s="2">
        <v>5</v>
      </c>
      <c r="D136" s="6" t="s">
        <v>501</v>
      </c>
      <c r="E136" s="2" t="str">
        <f>five子指标方向明细!F270</f>
        <v>B</v>
      </c>
      <c r="F136" s="2">
        <f>five子指标方向明细!G270</f>
        <v>5</v>
      </c>
      <c r="G136" s="2" t="str">
        <f>five子指标方向明细!H270</f>
        <v>C</v>
      </c>
      <c r="H136" s="2">
        <f>five子指标方向明细!I270</f>
        <v>5</v>
      </c>
      <c r="I136" s="2" t="str">
        <f>five子指标方向明细!L270</f>
        <v>D(平局)</v>
      </c>
      <c r="J136" s="2" t="str">
        <f>five子指标方向明细!F271</f>
        <v>C</v>
      </c>
      <c r="K136" s="2">
        <f>five子指标方向明细!G271</f>
        <v>5</v>
      </c>
      <c r="L136" s="2" t="str">
        <f>five子指标方向明细!H271</f>
        <v>B</v>
      </c>
      <c r="M136" s="2">
        <f>five子指标方向明细!I271</f>
        <v>5</v>
      </c>
      <c r="N136" s="2" t="str">
        <f>five子指标方向明细!L271</f>
        <v>D(平局)</v>
      </c>
      <c r="O136" s="2">
        <f t="shared" si="8"/>
        <v>1</v>
      </c>
      <c r="P136" s="2" t="str">
        <f t="shared" si="9"/>
        <v>D(平局)</v>
      </c>
      <c r="Q136" s="2" t="s">
        <v>26</v>
      </c>
      <c r="R136" s="2">
        <f t="shared" si="10"/>
        <v>0</v>
      </c>
      <c r="S136" s="2">
        <v>270</v>
      </c>
      <c r="T136" s="2">
        <v>271</v>
      </c>
      <c r="U136" s="2" t="str">
        <f t="shared" si="11"/>
        <v>双向评分平局</v>
      </c>
    </row>
    <row r="137" ht="23" customHeight="1" spans="1:21">
      <c r="A137" s="6" t="s">
        <v>369</v>
      </c>
      <c r="B137" s="2" t="s">
        <v>15</v>
      </c>
      <c r="C137" s="2">
        <v>1</v>
      </c>
      <c r="D137" s="6" t="s">
        <v>497</v>
      </c>
      <c r="E137" s="2" t="str">
        <f>five子指标方向明细!F272</f>
        <v>A</v>
      </c>
      <c r="F137" s="2">
        <f>five子指标方向明细!G272</f>
        <v>4</v>
      </c>
      <c r="G137" s="2" t="str">
        <f>five子指标方向明细!H272</f>
        <v>B</v>
      </c>
      <c r="H137" s="2">
        <f>five子指标方向明细!I272</f>
        <v>5</v>
      </c>
      <c r="I137" s="2" t="str">
        <f>five子指标方向明细!L272</f>
        <v>B</v>
      </c>
      <c r="J137" s="2" t="str">
        <f>five子指标方向明细!F273</f>
        <v>B</v>
      </c>
      <c r="K137" s="2">
        <f>five子指标方向明细!G273</f>
        <v>5</v>
      </c>
      <c r="L137" s="2" t="str">
        <f>five子指标方向明细!H273</f>
        <v>A</v>
      </c>
      <c r="M137" s="2">
        <f>five子指标方向明细!I273</f>
        <v>4</v>
      </c>
      <c r="N137" s="2" t="str">
        <f>five子指标方向明细!L273</f>
        <v>B</v>
      </c>
      <c r="O137" s="2">
        <f t="shared" si="8"/>
        <v>1</v>
      </c>
      <c r="P137" s="2" t="str">
        <f t="shared" si="9"/>
        <v>B</v>
      </c>
      <c r="Q137" s="2" t="s">
        <v>26</v>
      </c>
      <c r="R137" s="2">
        <f t="shared" si="10"/>
        <v>1</v>
      </c>
      <c r="S137" s="2">
        <v>272</v>
      </c>
      <c r="T137" s="2">
        <v>273</v>
      </c>
      <c r="U137" s="2" t="str">
        <f t="shared" si="11"/>
        <v/>
      </c>
    </row>
    <row r="138" ht="23" customHeight="1" spans="1:21">
      <c r="A138" s="6" t="s">
        <v>369</v>
      </c>
      <c r="B138" s="2" t="s">
        <v>15</v>
      </c>
      <c r="C138" s="2">
        <v>2</v>
      </c>
      <c r="D138" s="6" t="s">
        <v>498</v>
      </c>
      <c r="E138" s="2" t="str">
        <f>five子指标方向明细!F274</f>
        <v>A</v>
      </c>
      <c r="F138" s="2">
        <f>five子指标方向明细!G274</f>
        <v>3</v>
      </c>
      <c r="G138" s="2" t="str">
        <f>five子指标方向明细!H274</f>
        <v>B</v>
      </c>
      <c r="H138" s="2">
        <f>five子指标方向明细!I274</f>
        <v>5</v>
      </c>
      <c r="I138" s="2" t="str">
        <f>five子指标方向明细!L274</f>
        <v>B</v>
      </c>
      <c r="J138" s="2" t="str">
        <f>five子指标方向明细!F275</f>
        <v>B</v>
      </c>
      <c r="K138" s="2">
        <f>five子指标方向明细!G275</f>
        <v>5</v>
      </c>
      <c r="L138" s="2" t="str">
        <f>five子指标方向明细!H275</f>
        <v>A</v>
      </c>
      <c r="M138" s="2">
        <f>five子指标方向明细!I275</f>
        <v>3</v>
      </c>
      <c r="N138" s="2" t="str">
        <f>five子指标方向明细!L275</f>
        <v>B</v>
      </c>
      <c r="O138" s="2">
        <f t="shared" si="8"/>
        <v>1</v>
      </c>
      <c r="P138" s="2" t="str">
        <f t="shared" si="9"/>
        <v>B</v>
      </c>
      <c r="Q138" s="2" t="s">
        <v>26</v>
      </c>
      <c r="R138" s="2">
        <f t="shared" si="10"/>
        <v>1</v>
      </c>
      <c r="S138" s="2">
        <v>274</v>
      </c>
      <c r="T138" s="2">
        <v>275</v>
      </c>
      <c r="U138" s="2" t="str">
        <f t="shared" si="11"/>
        <v/>
      </c>
    </row>
    <row r="139" ht="23" customHeight="1" spans="1:21">
      <c r="A139" s="6" t="s">
        <v>369</v>
      </c>
      <c r="B139" s="2" t="s">
        <v>15</v>
      </c>
      <c r="C139" s="2">
        <v>3</v>
      </c>
      <c r="D139" s="6" t="s">
        <v>499</v>
      </c>
      <c r="E139" s="2" t="str">
        <f>five子指标方向明细!F276</f>
        <v>A</v>
      </c>
      <c r="F139" s="2">
        <f>five子指标方向明细!G276</f>
        <v>4</v>
      </c>
      <c r="G139" s="2" t="str">
        <f>five子指标方向明细!H276</f>
        <v>B</v>
      </c>
      <c r="H139" s="2">
        <f>five子指标方向明细!I276</f>
        <v>5</v>
      </c>
      <c r="I139" s="2" t="str">
        <f>five子指标方向明细!L276</f>
        <v>B</v>
      </c>
      <c r="J139" s="2" t="str">
        <f>five子指标方向明细!F277</f>
        <v>B</v>
      </c>
      <c r="K139" s="2">
        <f>five子指标方向明细!G277</f>
        <v>5</v>
      </c>
      <c r="L139" s="2" t="str">
        <f>five子指标方向明细!H277</f>
        <v>A</v>
      </c>
      <c r="M139" s="2">
        <f>five子指标方向明细!I277</f>
        <v>5</v>
      </c>
      <c r="N139" s="2" t="str">
        <f>five子指标方向明细!L277</f>
        <v>D(平局)</v>
      </c>
      <c r="O139" s="2">
        <f t="shared" si="8"/>
        <v>0</v>
      </c>
      <c r="P139" s="2" t="str">
        <f t="shared" si="9"/>
        <v>D(平局)</v>
      </c>
      <c r="Q139" s="2" t="s">
        <v>26</v>
      </c>
      <c r="R139" s="2">
        <f t="shared" si="10"/>
        <v>0</v>
      </c>
      <c r="S139" s="2">
        <v>276</v>
      </c>
      <c r="T139" s="2">
        <v>277</v>
      </c>
      <c r="U139" s="2" t="str">
        <f t="shared" si="11"/>
        <v>方向冲突</v>
      </c>
    </row>
    <row r="140" ht="23" customHeight="1" spans="1:21">
      <c r="A140" s="6" t="s">
        <v>369</v>
      </c>
      <c r="B140" s="2" t="s">
        <v>15</v>
      </c>
      <c r="C140" s="2">
        <v>4</v>
      </c>
      <c r="D140" s="6" t="s">
        <v>500</v>
      </c>
      <c r="E140" s="2" t="str">
        <f>five子指标方向明细!F278</f>
        <v>A</v>
      </c>
      <c r="F140" s="2">
        <f>five子指标方向明细!G278</f>
        <v>4</v>
      </c>
      <c r="G140" s="2" t="str">
        <f>five子指标方向明细!H278</f>
        <v>B</v>
      </c>
      <c r="H140" s="2">
        <f>five子指标方向明细!I278</f>
        <v>5</v>
      </c>
      <c r="I140" s="2" t="str">
        <f>five子指标方向明细!L278</f>
        <v>B</v>
      </c>
      <c r="J140" s="2" t="str">
        <f>five子指标方向明细!F279</f>
        <v>B</v>
      </c>
      <c r="K140" s="2">
        <f>five子指标方向明细!G279</f>
        <v>5</v>
      </c>
      <c r="L140" s="2" t="str">
        <f>five子指标方向明细!H279</f>
        <v>A</v>
      </c>
      <c r="M140" s="2">
        <f>five子指标方向明细!I279</f>
        <v>4</v>
      </c>
      <c r="N140" s="2" t="str">
        <f>five子指标方向明细!L279</f>
        <v>B</v>
      </c>
      <c r="O140" s="2">
        <f t="shared" si="8"/>
        <v>1</v>
      </c>
      <c r="P140" s="2" t="str">
        <f t="shared" si="9"/>
        <v>B</v>
      </c>
      <c r="Q140" s="2" t="s">
        <v>26</v>
      </c>
      <c r="R140" s="2">
        <f t="shared" si="10"/>
        <v>1</v>
      </c>
      <c r="S140" s="2">
        <v>278</v>
      </c>
      <c r="T140" s="2">
        <v>279</v>
      </c>
      <c r="U140" s="2" t="str">
        <f t="shared" si="11"/>
        <v/>
      </c>
    </row>
    <row r="141" ht="23" customHeight="1" spans="1:21">
      <c r="A141" s="6" t="s">
        <v>369</v>
      </c>
      <c r="B141" s="2" t="s">
        <v>15</v>
      </c>
      <c r="C141" s="2">
        <v>5</v>
      </c>
      <c r="D141" s="6" t="s">
        <v>501</v>
      </c>
      <c r="E141" s="2" t="str">
        <f>five子指标方向明细!F280</f>
        <v>A</v>
      </c>
      <c r="F141" s="2">
        <f>five子指标方向明细!G280</f>
        <v>5</v>
      </c>
      <c r="G141" s="2" t="str">
        <f>five子指标方向明细!H280</f>
        <v>B</v>
      </c>
      <c r="H141" s="2">
        <f>five子指标方向明细!I280</f>
        <v>5</v>
      </c>
      <c r="I141" s="2" t="str">
        <f>five子指标方向明细!L280</f>
        <v>D(平局)</v>
      </c>
      <c r="J141" s="2" t="str">
        <f>five子指标方向明细!F281</f>
        <v>B</v>
      </c>
      <c r="K141" s="2">
        <f>five子指标方向明细!G281</f>
        <v>5</v>
      </c>
      <c r="L141" s="2" t="str">
        <f>five子指标方向明细!H281</f>
        <v>A</v>
      </c>
      <c r="M141" s="2">
        <f>five子指标方向明细!I281</f>
        <v>4</v>
      </c>
      <c r="N141" s="2" t="str">
        <f>five子指标方向明细!L281</f>
        <v>B</v>
      </c>
      <c r="O141" s="2">
        <f t="shared" si="8"/>
        <v>0</v>
      </c>
      <c r="P141" s="2" t="str">
        <f t="shared" si="9"/>
        <v>D(平局)</v>
      </c>
      <c r="Q141" s="2" t="s">
        <v>26</v>
      </c>
      <c r="R141" s="2">
        <f t="shared" si="10"/>
        <v>0</v>
      </c>
      <c r="S141" s="2">
        <v>280</v>
      </c>
      <c r="T141" s="2">
        <v>281</v>
      </c>
      <c r="U141" s="2" t="str">
        <f t="shared" si="11"/>
        <v>方向冲突</v>
      </c>
    </row>
    <row r="142" ht="23" customHeight="1" spans="1:21">
      <c r="A142" s="6" t="s">
        <v>369</v>
      </c>
      <c r="B142" s="2" t="s">
        <v>37</v>
      </c>
      <c r="C142" s="2">
        <v>1</v>
      </c>
      <c r="D142" s="6" t="s">
        <v>497</v>
      </c>
      <c r="E142" s="2" t="str">
        <f>five子指标方向明细!F282</f>
        <v>A</v>
      </c>
      <c r="F142" s="2">
        <f>five子指标方向明细!G282</f>
        <v>5</v>
      </c>
      <c r="G142" s="2" t="str">
        <f>five子指标方向明细!H282</f>
        <v>C</v>
      </c>
      <c r="H142" s="2">
        <f>five子指标方向明细!I282</f>
        <v>3</v>
      </c>
      <c r="I142" s="2" t="str">
        <f>five子指标方向明细!L282</f>
        <v>A</v>
      </c>
      <c r="J142" s="2" t="str">
        <f>five子指标方向明细!F283</f>
        <v>C</v>
      </c>
      <c r="K142" s="2">
        <f>five子指标方向明细!G283</f>
        <v>3</v>
      </c>
      <c r="L142" s="2" t="str">
        <f>five子指标方向明细!H283</f>
        <v>A</v>
      </c>
      <c r="M142" s="2">
        <f>five子指标方向明细!I283</f>
        <v>5</v>
      </c>
      <c r="N142" s="2" t="str">
        <f>five子指标方向明细!L283</f>
        <v>A</v>
      </c>
      <c r="O142" s="2">
        <f t="shared" si="8"/>
        <v>1</v>
      </c>
      <c r="P142" s="2" t="str">
        <f t="shared" si="9"/>
        <v>A</v>
      </c>
      <c r="Q142" s="2" t="s">
        <v>22</v>
      </c>
      <c r="R142" s="2">
        <f t="shared" si="10"/>
        <v>1</v>
      </c>
      <c r="S142" s="2">
        <v>282</v>
      </c>
      <c r="T142" s="2">
        <v>283</v>
      </c>
      <c r="U142" s="2" t="str">
        <f t="shared" si="11"/>
        <v/>
      </c>
    </row>
    <row r="143" ht="23" customHeight="1" spans="1:21">
      <c r="A143" s="6" t="s">
        <v>369</v>
      </c>
      <c r="B143" s="2" t="s">
        <v>37</v>
      </c>
      <c r="C143" s="2">
        <v>2</v>
      </c>
      <c r="D143" s="6" t="s">
        <v>498</v>
      </c>
      <c r="E143" s="2" t="str">
        <f>five子指标方向明细!F284</f>
        <v>A</v>
      </c>
      <c r="F143" s="2">
        <f>five子指标方向明细!G284</f>
        <v>5</v>
      </c>
      <c r="G143" s="2" t="str">
        <f>five子指标方向明细!H284</f>
        <v>C</v>
      </c>
      <c r="H143" s="2">
        <f>five子指标方向明细!I284</f>
        <v>2</v>
      </c>
      <c r="I143" s="2" t="str">
        <f>five子指标方向明细!L284</f>
        <v>A</v>
      </c>
      <c r="J143" s="2" t="str">
        <f>five子指标方向明细!F285</f>
        <v>C</v>
      </c>
      <c r="K143" s="2">
        <f>five子指标方向明细!G285</f>
        <v>2</v>
      </c>
      <c r="L143" s="2" t="str">
        <f>five子指标方向明细!H285</f>
        <v>A</v>
      </c>
      <c r="M143" s="2">
        <f>five子指标方向明细!I285</f>
        <v>5</v>
      </c>
      <c r="N143" s="2" t="str">
        <f>five子指标方向明细!L285</f>
        <v>A</v>
      </c>
      <c r="O143" s="2">
        <f t="shared" si="8"/>
        <v>1</v>
      </c>
      <c r="P143" s="2" t="str">
        <f t="shared" si="9"/>
        <v>A</v>
      </c>
      <c r="Q143" s="2" t="s">
        <v>22</v>
      </c>
      <c r="R143" s="2">
        <f t="shared" si="10"/>
        <v>1</v>
      </c>
      <c r="S143" s="2">
        <v>284</v>
      </c>
      <c r="T143" s="2">
        <v>285</v>
      </c>
      <c r="U143" s="2" t="str">
        <f t="shared" si="11"/>
        <v/>
      </c>
    </row>
    <row r="144" ht="23" customHeight="1" spans="1:21">
      <c r="A144" s="6" t="s">
        <v>369</v>
      </c>
      <c r="B144" s="2" t="s">
        <v>37</v>
      </c>
      <c r="C144" s="2">
        <v>3</v>
      </c>
      <c r="D144" s="6" t="s">
        <v>499</v>
      </c>
      <c r="E144" s="2" t="str">
        <f>five子指标方向明细!F286</f>
        <v>A</v>
      </c>
      <c r="F144" s="2">
        <f>five子指标方向明细!G286</f>
        <v>5</v>
      </c>
      <c r="G144" s="2" t="str">
        <f>five子指标方向明细!H286</f>
        <v>C</v>
      </c>
      <c r="H144" s="2">
        <f>five子指标方向明细!I286</f>
        <v>3</v>
      </c>
      <c r="I144" s="2" t="str">
        <f>five子指标方向明细!L286</f>
        <v>A</v>
      </c>
      <c r="J144" s="2" t="str">
        <f>five子指标方向明细!F287</f>
        <v>C</v>
      </c>
      <c r="K144" s="2">
        <f>five子指标方向明细!G287</f>
        <v>2</v>
      </c>
      <c r="L144" s="2" t="str">
        <f>five子指标方向明细!H287</f>
        <v>A</v>
      </c>
      <c r="M144" s="2">
        <f>five子指标方向明细!I287</f>
        <v>5</v>
      </c>
      <c r="N144" s="2" t="str">
        <f>five子指标方向明细!L287</f>
        <v>A</v>
      </c>
      <c r="O144" s="2">
        <f t="shared" si="8"/>
        <v>1</v>
      </c>
      <c r="P144" s="2" t="str">
        <f t="shared" si="9"/>
        <v>A</v>
      </c>
      <c r="Q144" s="2" t="s">
        <v>22</v>
      </c>
      <c r="R144" s="2">
        <f t="shared" si="10"/>
        <v>1</v>
      </c>
      <c r="S144" s="2">
        <v>286</v>
      </c>
      <c r="T144" s="2">
        <v>287</v>
      </c>
      <c r="U144" s="2" t="str">
        <f t="shared" si="11"/>
        <v/>
      </c>
    </row>
    <row r="145" ht="23" customHeight="1" spans="1:21">
      <c r="A145" s="6" t="s">
        <v>369</v>
      </c>
      <c r="B145" s="2" t="s">
        <v>37</v>
      </c>
      <c r="C145" s="2">
        <v>4</v>
      </c>
      <c r="D145" s="6" t="s">
        <v>500</v>
      </c>
      <c r="E145" s="2" t="str">
        <f>five子指标方向明细!F288</f>
        <v>A</v>
      </c>
      <c r="F145" s="2">
        <f>five子指标方向明细!G288</f>
        <v>5</v>
      </c>
      <c r="G145" s="2" t="str">
        <f>five子指标方向明细!H288</f>
        <v>C</v>
      </c>
      <c r="H145" s="2">
        <f>five子指标方向明细!I288</f>
        <v>3</v>
      </c>
      <c r="I145" s="2" t="str">
        <f>five子指标方向明细!L288</f>
        <v>A</v>
      </c>
      <c r="J145" s="2" t="str">
        <f>five子指标方向明细!F289</f>
        <v>C</v>
      </c>
      <c r="K145" s="2">
        <f>five子指标方向明细!G289</f>
        <v>3</v>
      </c>
      <c r="L145" s="2" t="str">
        <f>five子指标方向明细!H289</f>
        <v>A</v>
      </c>
      <c r="M145" s="2">
        <f>five子指标方向明细!I289</f>
        <v>5</v>
      </c>
      <c r="N145" s="2" t="str">
        <f>five子指标方向明细!L289</f>
        <v>A</v>
      </c>
      <c r="O145" s="2">
        <f t="shared" si="8"/>
        <v>1</v>
      </c>
      <c r="P145" s="2" t="str">
        <f t="shared" si="9"/>
        <v>A</v>
      </c>
      <c r="Q145" s="2" t="s">
        <v>22</v>
      </c>
      <c r="R145" s="2">
        <f t="shared" si="10"/>
        <v>1</v>
      </c>
      <c r="S145" s="2">
        <v>288</v>
      </c>
      <c r="T145" s="2">
        <v>289</v>
      </c>
      <c r="U145" s="2" t="str">
        <f t="shared" si="11"/>
        <v/>
      </c>
    </row>
    <row r="146" ht="23" customHeight="1" spans="1:21">
      <c r="A146" s="6" t="s">
        <v>369</v>
      </c>
      <c r="B146" s="2" t="s">
        <v>37</v>
      </c>
      <c r="C146" s="2">
        <v>5</v>
      </c>
      <c r="D146" s="6" t="s">
        <v>501</v>
      </c>
      <c r="E146" s="2" t="str">
        <f>five子指标方向明细!F290</f>
        <v>A</v>
      </c>
      <c r="F146" s="2">
        <f>five子指标方向明细!G290</f>
        <v>5</v>
      </c>
      <c r="G146" s="2" t="str">
        <f>five子指标方向明细!H290</f>
        <v>C</v>
      </c>
      <c r="H146" s="2">
        <f>five子指标方向明细!I290</f>
        <v>2</v>
      </c>
      <c r="I146" s="2" t="str">
        <f>five子指标方向明细!L290</f>
        <v>A</v>
      </c>
      <c r="J146" s="2" t="str">
        <f>five子指标方向明细!F291</f>
        <v>C</v>
      </c>
      <c r="K146" s="2">
        <f>five子指标方向明细!G291</f>
        <v>4</v>
      </c>
      <c r="L146" s="2" t="str">
        <f>five子指标方向明细!H291</f>
        <v>A</v>
      </c>
      <c r="M146" s="2">
        <f>five子指标方向明细!I291</f>
        <v>5</v>
      </c>
      <c r="N146" s="2" t="str">
        <f>five子指标方向明细!L291</f>
        <v>A</v>
      </c>
      <c r="O146" s="2">
        <f t="shared" si="8"/>
        <v>1</v>
      </c>
      <c r="P146" s="2" t="str">
        <f t="shared" si="9"/>
        <v>A</v>
      </c>
      <c r="Q146" s="2" t="s">
        <v>22</v>
      </c>
      <c r="R146" s="2">
        <f t="shared" si="10"/>
        <v>1</v>
      </c>
      <c r="S146" s="2">
        <v>290</v>
      </c>
      <c r="T146" s="2">
        <v>291</v>
      </c>
      <c r="U146" s="2" t="str">
        <f t="shared" si="11"/>
        <v/>
      </c>
    </row>
    <row r="147" ht="23" customHeight="1" spans="1:21">
      <c r="A147" s="6" t="s">
        <v>369</v>
      </c>
      <c r="B147" s="2" t="s">
        <v>50</v>
      </c>
      <c r="C147" s="2">
        <v>1</v>
      </c>
      <c r="D147" s="6" t="s">
        <v>497</v>
      </c>
      <c r="E147" s="2" t="str">
        <f>five子指标方向明细!F292</f>
        <v>B</v>
      </c>
      <c r="F147" s="2">
        <f>five子指标方向明细!G292</f>
        <v>5</v>
      </c>
      <c r="G147" s="2" t="str">
        <f>five子指标方向明细!H292</f>
        <v>C</v>
      </c>
      <c r="H147" s="2">
        <f>five子指标方向明细!I292</f>
        <v>3</v>
      </c>
      <c r="I147" s="2" t="str">
        <f>five子指标方向明细!L292</f>
        <v>B</v>
      </c>
      <c r="J147" s="2" t="str">
        <f>five子指标方向明细!F293</f>
        <v>C</v>
      </c>
      <c r="K147" s="2">
        <f>five子指标方向明细!G293</f>
        <v>3</v>
      </c>
      <c r="L147" s="2" t="str">
        <f>five子指标方向明细!H293</f>
        <v>B</v>
      </c>
      <c r="M147" s="2">
        <f>five子指标方向明细!I293</f>
        <v>5</v>
      </c>
      <c r="N147" s="2" t="str">
        <f>five子指标方向明细!L293</f>
        <v>B</v>
      </c>
      <c r="O147" s="2">
        <f t="shared" si="8"/>
        <v>1</v>
      </c>
      <c r="P147" s="2" t="str">
        <f t="shared" si="9"/>
        <v>B</v>
      </c>
      <c r="Q147" s="2" t="s">
        <v>26</v>
      </c>
      <c r="R147" s="2">
        <f t="shared" si="10"/>
        <v>1</v>
      </c>
      <c r="S147" s="2">
        <v>292</v>
      </c>
      <c r="T147" s="2">
        <v>293</v>
      </c>
      <c r="U147" s="2" t="str">
        <f t="shared" si="11"/>
        <v/>
      </c>
    </row>
    <row r="148" ht="23" customHeight="1" spans="1:21">
      <c r="A148" s="6" t="s">
        <v>369</v>
      </c>
      <c r="B148" s="2" t="s">
        <v>50</v>
      </c>
      <c r="C148" s="2">
        <v>2</v>
      </c>
      <c r="D148" s="6" t="s">
        <v>498</v>
      </c>
      <c r="E148" s="2" t="str">
        <f>five子指标方向明细!F294</f>
        <v>B</v>
      </c>
      <c r="F148" s="2">
        <f>five子指标方向明细!G294</f>
        <v>5</v>
      </c>
      <c r="G148" s="2" t="str">
        <f>five子指标方向明细!H294</f>
        <v>C</v>
      </c>
      <c r="H148" s="2">
        <f>five子指标方向明细!I294</f>
        <v>2</v>
      </c>
      <c r="I148" s="2" t="str">
        <f>five子指标方向明细!L294</f>
        <v>B</v>
      </c>
      <c r="J148" s="2" t="str">
        <f>five子指标方向明细!F295</f>
        <v>C</v>
      </c>
      <c r="K148" s="2">
        <f>five子指标方向明细!G295</f>
        <v>2</v>
      </c>
      <c r="L148" s="2" t="str">
        <f>five子指标方向明细!H295</f>
        <v>B</v>
      </c>
      <c r="M148" s="2">
        <f>five子指标方向明细!I295</f>
        <v>5</v>
      </c>
      <c r="N148" s="2" t="str">
        <f>five子指标方向明细!L295</f>
        <v>B</v>
      </c>
      <c r="O148" s="2">
        <f t="shared" si="8"/>
        <v>1</v>
      </c>
      <c r="P148" s="2" t="str">
        <f t="shared" si="9"/>
        <v>B</v>
      </c>
      <c r="Q148" s="2" t="s">
        <v>26</v>
      </c>
      <c r="R148" s="2">
        <f t="shared" si="10"/>
        <v>1</v>
      </c>
      <c r="S148" s="2">
        <v>294</v>
      </c>
      <c r="T148" s="2">
        <v>295</v>
      </c>
      <c r="U148" s="2" t="str">
        <f t="shared" si="11"/>
        <v/>
      </c>
    </row>
    <row r="149" ht="23" customHeight="1" spans="1:21">
      <c r="A149" s="6" t="s">
        <v>369</v>
      </c>
      <c r="B149" s="2" t="s">
        <v>50</v>
      </c>
      <c r="C149" s="2">
        <v>3</v>
      </c>
      <c r="D149" s="6" t="s">
        <v>499</v>
      </c>
      <c r="E149" s="2" t="str">
        <f>five子指标方向明细!F296</f>
        <v>B</v>
      </c>
      <c r="F149" s="2">
        <f>five子指标方向明细!G296</f>
        <v>5</v>
      </c>
      <c r="G149" s="2" t="str">
        <f>five子指标方向明细!H296</f>
        <v>C</v>
      </c>
      <c r="H149" s="2">
        <f>five子指标方向明细!I296</f>
        <v>3</v>
      </c>
      <c r="I149" s="2" t="str">
        <f>five子指标方向明细!L296</f>
        <v>B</v>
      </c>
      <c r="J149" s="2" t="str">
        <f>five子指标方向明细!F297</f>
        <v>C</v>
      </c>
      <c r="K149" s="2">
        <f>five子指标方向明细!G297</f>
        <v>2</v>
      </c>
      <c r="L149" s="2" t="str">
        <f>five子指标方向明细!H297</f>
        <v>B</v>
      </c>
      <c r="M149" s="2">
        <f>five子指标方向明细!I297</f>
        <v>5</v>
      </c>
      <c r="N149" s="2" t="str">
        <f>five子指标方向明细!L297</f>
        <v>B</v>
      </c>
      <c r="O149" s="2">
        <f t="shared" si="8"/>
        <v>1</v>
      </c>
      <c r="P149" s="2" t="str">
        <f t="shared" si="9"/>
        <v>B</v>
      </c>
      <c r="Q149" s="2" t="s">
        <v>26</v>
      </c>
      <c r="R149" s="2">
        <f t="shared" si="10"/>
        <v>1</v>
      </c>
      <c r="S149" s="2">
        <v>296</v>
      </c>
      <c r="T149" s="2">
        <v>297</v>
      </c>
      <c r="U149" s="2" t="str">
        <f t="shared" si="11"/>
        <v/>
      </c>
    </row>
    <row r="150" ht="23" customHeight="1" spans="1:21">
      <c r="A150" s="6" t="s">
        <v>369</v>
      </c>
      <c r="B150" s="2" t="s">
        <v>50</v>
      </c>
      <c r="C150" s="2">
        <v>4</v>
      </c>
      <c r="D150" s="6" t="s">
        <v>500</v>
      </c>
      <c r="E150" s="2" t="str">
        <f>five子指标方向明细!F298</f>
        <v>B</v>
      </c>
      <c r="F150" s="2">
        <f>five子指标方向明细!G298</f>
        <v>5</v>
      </c>
      <c r="G150" s="2" t="str">
        <f>five子指标方向明细!H298</f>
        <v>C</v>
      </c>
      <c r="H150" s="2">
        <f>five子指标方向明细!I298</f>
        <v>3</v>
      </c>
      <c r="I150" s="2" t="str">
        <f>five子指标方向明细!L298</f>
        <v>B</v>
      </c>
      <c r="J150" s="2" t="str">
        <f>five子指标方向明细!F299</f>
        <v>C</v>
      </c>
      <c r="K150" s="2">
        <f>five子指标方向明细!G299</f>
        <v>3</v>
      </c>
      <c r="L150" s="2" t="str">
        <f>five子指标方向明细!H299</f>
        <v>B</v>
      </c>
      <c r="M150" s="2">
        <f>five子指标方向明细!I299</f>
        <v>5</v>
      </c>
      <c r="N150" s="2" t="str">
        <f>five子指标方向明细!L299</f>
        <v>B</v>
      </c>
      <c r="O150" s="2">
        <f t="shared" si="8"/>
        <v>1</v>
      </c>
      <c r="P150" s="2" t="str">
        <f t="shared" si="9"/>
        <v>B</v>
      </c>
      <c r="Q150" s="2" t="s">
        <v>26</v>
      </c>
      <c r="R150" s="2">
        <f t="shared" si="10"/>
        <v>1</v>
      </c>
      <c r="S150" s="2">
        <v>298</v>
      </c>
      <c r="T150" s="2">
        <v>299</v>
      </c>
      <c r="U150" s="2" t="str">
        <f t="shared" si="11"/>
        <v/>
      </c>
    </row>
    <row r="151" ht="23" customHeight="1" spans="1:21">
      <c r="A151" s="6" t="s">
        <v>369</v>
      </c>
      <c r="B151" s="2" t="s">
        <v>50</v>
      </c>
      <c r="C151" s="2">
        <v>5</v>
      </c>
      <c r="D151" s="6" t="s">
        <v>501</v>
      </c>
      <c r="E151" s="2" t="str">
        <f>five子指标方向明细!F300</f>
        <v>B</v>
      </c>
      <c r="F151" s="2">
        <f>five子指标方向明细!G300</f>
        <v>5</v>
      </c>
      <c r="G151" s="2" t="str">
        <f>five子指标方向明细!H300</f>
        <v>C</v>
      </c>
      <c r="H151" s="2">
        <f>five子指标方向明细!I300</f>
        <v>2</v>
      </c>
      <c r="I151" s="2" t="str">
        <f>five子指标方向明细!L300</f>
        <v>B</v>
      </c>
      <c r="J151" s="2" t="str">
        <f>five子指标方向明细!F301</f>
        <v>C</v>
      </c>
      <c r="K151" s="2">
        <f>five子指标方向明细!G301</f>
        <v>2</v>
      </c>
      <c r="L151" s="2" t="str">
        <f>five子指标方向明细!H301</f>
        <v>B</v>
      </c>
      <c r="M151" s="2">
        <f>five子指标方向明细!I301</f>
        <v>5</v>
      </c>
      <c r="N151" s="2" t="str">
        <f>five子指标方向明细!L301</f>
        <v>B</v>
      </c>
      <c r="O151" s="2">
        <f t="shared" si="8"/>
        <v>1</v>
      </c>
      <c r="P151" s="2" t="str">
        <f t="shared" si="9"/>
        <v>B</v>
      </c>
      <c r="Q151" s="2" t="s">
        <v>26</v>
      </c>
      <c r="R151" s="2">
        <f t="shared" si="10"/>
        <v>1</v>
      </c>
      <c r="S151" s="2">
        <v>300</v>
      </c>
      <c r="T151" s="2">
        <v>301</v>
      </c>
      <c r="U151" s="2" t="str">
        <f t="shared" si="11"/>
        <v/>
      </c>
    </row>
    <row r="152" ht="23" customHeight="1" spans="1:21">
      <c r="A152" s="6" t="s">
        <v>407</v>
      </c>
      <c r="B152" s="2" t="s">
        <v>15</v>
      </c>
      <c r="C152" s="2">
        <v>1</v>
      </c>
      <c r="D152" s="6" t="s">
        <v>497</v>
      </c>
      <c r="E152" s="2" t="str">
        <f>five子指标方向明细!F302</f>
        <v>A</v>
      </c>
      <c r="F152" s="2">
        <f>five子指标方向明细!G302</f>
        <v>4</v>
      </c>
      <c r="G152" s="2" t="str">
        <f>five子指标方向明细!H302</f>
        <v>B</v>
      </c>
      <c r="H152" s="2">
        <f>five子指标方向明细!I302</f>
        <v>5</v>
      </c>
      <c r="I152" s="2" t="str">
        <f>five子指标方向明细!L302</f>
        <v>B</v>
      </c>
      <c r="J152" s="2" t="str">
        <f>five子指标方向明细!F303</f>
        <v>B</v>
      </c>
      <c r="K152" s="2">
        <f>five子指标方向明细!G303</f>
        <v>5</v>
      </c>
      <c r="L152" s="2" t="str">
        <f>five子指标方向明细!H303</f>
        <v>A</v>
      </c>
      <c r="M152" s="2">
        <f>five子指标方向明细!I303</f>
        <v>4</v>
      </c>
      <c r="N152" s="2" t="str">
        <f>five子指标方向明细!L303</f>
        <v>B</v>
      </c>
      <c r="O152" s="2">
        <f t="shared" si="8"/>
        <v>1</v>
      </c>
      <c r="P152" s="2" t="str">
        <f t="shared" si="9"/>
        <v>B</v>
      </c>
      <c r="Q152" s="2" t="s">
        <v>22</v>
      </c>
      <c r="R152" s="2">
        <f t="shared" si="10"/>
        <v>0</v>
      </c>
      <c r="S152" s="2">
        <v>302</v>
      </c>
      <c r="T152" s="2">
        <v>303</v>
      </c>
      <c r="U152" s="2" t="str">
        <f t="shared" si="11"/>
        <v/>
      </c>
    </row>
    <row r="153" ht="23" customHeight="1" spans="1:21">
      <c r="A153" s="6" t="s">
        <v>407</v>
      </c>
      <c r="B153" s="2" t="s">
        <v>15</v>
      </c>
      <c r="C153" s="2">
        <v>2</v>
      </c>
      <c r="D153" s="6" t="s">
        <v>498</v>
      </c>
      <c r="E153" s="2" t="str">
        <f>five子指标方向明细!F304</f>
        <v>A</v>
      </c>
      <c r="F153" s="2">
        <f>five子指标方向明细!G304</f>
        <v>5</v>
      </c>
      <c r="G153" s="2" t="str">
        <f>five子指标方向明细!H304</f>
        <v>B</v>
      </c>
      <c r="H153" s="2">
        <f>five子指标方向明细!I304</f>
        <v>2</v>
      </c>
      <c r="I153" s="2" t="str">
        <f>five子指标方向明细!L304</f>
        <v>A</v>
      </c>
      <c r="J153" s="2" t="str">
        <f>five子指标方向明细!F305</f>
        <v>B</v>
      </c>
      <c r="K153" s="2">
        <f>five子指标方向明细!G305</f>
        <v>2</v>
      </c>
      <c r="L153" s="2" t="str">
        <f>five子指标方向明细!H305</f>
        <v>A</v>
      </c>
      <c r="M153" s="2">
        <f>five子指标方向明细!I305</f>
        <v>5</v>
      </c>
      <c r="N153" s="2" t="str">
        <f>five子指标方向明细!L305</f>
        <v>A</v>
      </c>
      <c r="O153" s="2">
        <f t="shared" si="8"/>
        <v>1</v>
      </c>
      <c r="P153" s="2" t="str">
        <f t="shared" si="9"/>
        <v>A</v>
      </c>
      <c r="Q153" s="2" t="s">
        <v>22</v>
      </c>
      <c r="R153" s="2">
        <f t="shared" si="10"/>
        <v>1</v>
      </c>
      <c r="S153" s="2">
        <v>304</v>
      </c>
      <c r="T153" s="2">
        <v>305</v>
      </c>
      <c r="U153" s="2" t="str">
        <f t="shared" si="11"/>
        <v/>
      </c>
    </row>
    <row r="154" ht="23" customHeight="1" spans="1:21">
      <c r="A154" s="6" t="s">
        <v>407</v>
      </c>
      <c r="B154" s="2" t="s">
        <v>15</v>
      </c>
      <c r="C154" s="2">
        <v>3</v>
      </c>
      <c r="D154" s="6" t="s">
        <v>499</v>
      </c>
      <c r="E154" s="2" t="str">
        <f>five子指标方向明细!F306</f>
        <v>A</v>
      </c>
      <c r="F154" s="2">
        <f>five子指标方向明细!G306</f>
        <v>4</v>
      </c>
      <c r="G154" s="2" t="str">
        <f>five子指标方向明细!H306</f>
        <v>B</v>
      </c>
      <c r="H154" s="2">
        <f>five子指标方向明细!I306</f>
        <v>4</v>
      </c>
      <c r="I154" s="2" t="str">
        <f>five子指标方向明细!L306</f>
        <v>D(平局)</v>
      </c>
      <c r="J154" s="2" t="str">
        <f>five子指标方向明细!F307</f>
        <v>B</v>
      </c>
      <c r="K154" s="2">
        <f>five子指标方向明细!G307</f>
        <v>4</v>
      </c>
      <c r="L154" s="2" t="str">
        <f>five子指标方向明细!H307</f>
        <v>A</v>
      </c>
      <c r="M154" s="2">
        <f>five子指标方向明细!I307</f>
        <v>4</v>
      </c>
      <c r="N154" s="2" t="str">
        <f>five子指标方向明细!L307</f>
        <v>D(平局)</v>
      </c>
      <c r="O154" s="2">
        <f t="shared" si="8"/>
        <v>1</v>
      </c>
      <c r="P154" s="2" t="str">
        <f t="shared" si="9"/>
        <v>D(平局)</v>
      </c>
      <c r="Q154" s="2" t="s">
        <v>22</v>
      </c>
      <c r="R154" s="2">
        <f t="shared" si="10"/>
        <v>0</v>
      </c>
      <c r="S154" s="2">
        <v>306</v>
      </c>
      <c r="T154" s="2">
        <v>307</v>
      </c>
      <c r="U154" s="2" t="str">
        <f t="shared" si="11"/>
        <v>双向评分平局</v>
      </c>
    </row>
    <row r="155" ht="23" customHeight="1" spans="1:21">
      <c r="A155" s="6" t="s">
        <v>407</v>
      </c>
      <c r="B155" s="2" t="s">
        <v>15</v>
      </c>
      <c r="C155" s="2">
        <v>4</v>
      </c>
      <c r="D155" s="6" t="s">
        <v>500</v>
      </c>
      <c r="E155" s="2" t="str">
        <f>five子指标方向明细!F308</f>
        <v>A</v>
      </c>
      <c r="F155" s="2">
        <f>five子指标方向明细!G308</f>
        <v>5</v>
      </c>
      <c r="G155" s="2" t="str">
        <f>five子指标方向明细!H308</f>
        <v>B</v>
      </c>
      <c r="H155" s="2">
        <f>five子指标方向明细!I308</f>
        <v>4</v>
      </c>
      <c r="I155" s="2" t="str">
        <f>five子指标方向明细!L308</f>
        <v>A</v>
      </c>
      <c r="J155" s="2" t="str">
        <f>five子指标方向明细!F309</f>
        <v>B</v>
      </c>
      <c r="K155" s="2">
        <f>five子指标方向明细!G309</f>
        <v>5</v>
      </c>
      <c r="L155" s="2" t="str">
        <f>five子指标方向明细!H309</f>
        <v>A</v>
      </c>
      <c r="M155" s="2">
        <f>five子指标方向明细!I309</f>
        <v>4</v>
      </c>
      <c r="N155" s="2" t="str">
        <f>five子指标方向明细!L309</f>
        <v>B</v>
      </c>
      <c r="O155" s="2">
        <f t="shared" si="8"/>
        <v>0</v>
      </c>
      <c r="P155" s="2" t="str">
        <f t="shared" si="9"/>
        <v>D(平局)</v>
      </c>
      <c r="Q155" s="2" t="s">
        <v>22</v>
      </c>
      <c r="R155" s="2">
        <f t="shared" si="10"/>
        <v>0</v>
      </c>
      <c r="S155" s="2">
        <v>308</v>
      </c>
      <c r="T155" s="2">
        <v>309</v>
      </c>
      <c r="U155" s="2" t="str">
        <f t="shared" si="11"/>
        <v>方向冲突</v>
      </c>
    </row>
    <row r="156" ht="23" customHeight="1" spans="1:21">
      <c r="A156" s="6" t="s">
        <v>407</v>
      </c>
      <c r="B156" s="2" t="s">
        <v>15</v>
      </c>
      <c r="C156" s="2">
        <v>5</v>
      </c>
      <c r="D156" s="6" t="s">
        <v>501</v>
      </c>
      <c r="E156" s="2" t="str">
        <f>five子指标方向明细!F310</f>
        <v>A</v>
      </c>
      <c r="F156" s="2">
        <f>five子指标方向明细!G310</f>
        <v>5</v>
      </c>
      <c r="G156" s="2" t="str">
        <f>five子指标方向明细!H310</f>
        <v>B</v>
      </c>
      <c r="H156" s="2">
        <f>five子指标方向明细!I310</f>
        <v>4</v>
      </c>
      <c r="I156" s="2" t="str">
        <f>five子指标方向明细!L310</f>
        <v>A</v>
      </c>
      <c r="J156" s="2" t="str">
        <f>five子指标方向明细!F311</f>
        <v>B</v>
      </c>
      <c r="K156" s="2">
        <f>five子指标方向明细!G311</f>
        <v>4</v>
      </c>
      <c r="L156" s="2" t="str">
        <f>five子指标方向明细!H311</f>
        <v>A</v>
      </c>
      <c r="M156" s="2">
        <f>five子指标方向明细!I311</f>
        <v>5</v>
      </c>
      <c r="N156" s="2" t="str">
        <f>five子指标方向明细!L311</f>
        <v>A</v>
      </c>
      <c r="O156" s="2">
        <f t="shared" si="8"/>
        <v>1</v>
      </c>
      <c r="P156" s="2" t="str">
        <f t="shared" si="9"/>
        <v>A</v>
      </c>
      <c r="Q156" s="2" t="s">
        <v>22</v>
      </c>
      <c r="R156" s="2">
        <f t="shared" si="10"/>
        <v>1</v>
      </c>
      <c r="S156" s="2">
        <v>310</v>
      </c>
      <c r="T156" s="2">
        <v>311</v>
      </c>
      <c r="U156" s="2" t="str">
        <f t="shared" si="11"/>
        <v/>
      </c>
    </row>
    <row r="157" ht="23" customHeight="1" spans="1:21">
      <c r="A157" s="6" t="s">
        <v>407</v>
      </c>
      <c r="B157" s="2" t="s">
        <v>37</v>
      </c>
      <c r="C157" s="2">
        <v>1</v>
      </c>
      <c r="D157" s="6" t="s">
        <v>497</v>
      </c>
      <c r="E157" s="2" t="str">
        <f>five子指标方向明细!F312</f>
        <v>A</v>
      </c>
      <c r="F157" s="2">
        <f>five子指标方向明细!G312</f>
        <v>3</v>
      </c>
      <c r="G157" s="2" t="str">
        <f>five子指标方向明细!H312</f>
        <v>C</v>
      </c>
      <c r="H157" s="2">
        <f>five子指标方向明细!I312</f>
        <v>5</v>
      </c>
      <c r="I157" s="2" t="str">
        <f>five子指标方向明细!L312</f>
        <v>C</v>
      </c>
      <c r="J157" s="2" t="str">
        <f>five子指标方向明细!F313</f>
        <v>C</v>
      </c>
      <c r="K157" s="2">
        <f>five子指标方向明细!G313</f>
        <v>5</v>
      </c>
      <c r="L157" s="2" t="str">
        <f>five子指标方向明细!H313</f>
        <v>A</v>
      </c>
      <c r="M157" s="2">
        <f>five子指标方向明细!I313</f>
        <v>3</v>
      </c>
      <c r="N157" s="2" t="str">
        <f>five子指标方向明细!L313</f>
        <v>C</v>
      </c>
      <c r="O157" s="2">
        <f t="shared" si="8"/>
        <v>1</v>
      </c>
      <c r="P157" s="2" t="str">
        <f t="shared" si="9"/>
        <v>C</v>
      </c>
      <c r="Q157" s="2" t="s">
        <v>77</v>
      </c>
      <c r="R157" s="2">
        <f t="shared" si="10"/>
        <v>1</v>
      </c>
      <c r="S157" s="2">
        <v>312</v>
      </c>
      <c r="T157" s="2">
        <v>313</v>
      </c>
      <c r="U157" s="2" t="str">
        <f t="shared" si="11"/>
        <v/>
      </c>
    </row>
    <row r="158" ht="23" customHeight="1" spans="1:21">
      <c r="A158" s="6" t="s">
        <v>407</v>
      </c>
      <c r="B158" s="2" t="s">
        <v>37</v>
      </c>
      <c r="C158" s="2">
        <v>2</v>
      </c>
      <c r="D158" s="6" t="s">
        <v>498</v>
      </c>
      <c r="E158" s="2" t="str">
        <f>five子指标方向明细!F314</f>
        <v>A</v>
      </c>
      <c r="F158" s="2">
        <f>five子指标方向明细!G314</f>
        <v>3</v>
      </c>
      <c r="G158" s="2" t="str">
        <f>five子指标方向明细!H314</f>
        <v>C</v>
      </c>
      <c r="H158" s="2">
        <f>five子指标方向明细!I314</f>
        <v>5</v>
      </c>
      <c r="I158" s="2" t="str">
        <f>five子指标方向明细!L314</f>
        <v>C</v>
      </c>
      <c r="J158" s="2" t="str">
        <f>five子指标方向明细!F315</f>
        <v>C</v>
      </c>
      <c r="K158" s="2">
        <f>five子指标方向明细!G315</f>
        <v>5</v>
      </c>
      <c r="L158" s="2" t="str">
        <f>five子指标方向明细!H315</f>
        <v>A</v>
      </c>
      <c r="M158" s="2">
        <f>five子指标方向明细!I315</f>
        <v>4</v>
      </c>
      <c r="N158" s="2" t="str">
        <f>five子指标方向明细!L315</f>
        <v>C</v>
      </c>
      <c r="O158" s="2">
        <f t="shared" si="8"/>
        <v>1</v>
      </c>
      <c r="P158" s="2" t="str">
        <f t="shared" si="9"/>
        <v>C</v>
      </c>
      <c r="Q158" s="2" t="s">
        <v>77</v>
      </c>
      <c r="R158" s="2">
        <f t="shared" si="10"/>
        <v>1</v>
      </c>
      <c r="S158" s="2">
        <v>314</v>
      </c>
      <c r="T158" s="2">
        <v>315</v>
      </c>
      <c r="U158" s="2" t="str">
        <f t="shared" si="11"/>
        <v/>
      </c>
    </row>
    <row r="159" ht="23" customHeight="1" spans="1:21">
      <c r="A159" s="6" t="s">
        <v>407</v>
      </c>
      <c r="B159" s="2" t="s">
        <v>37</v>
      </c>
      <c r="C159" s="2">
        <v>3</v>
      </c>
      <c r="D159" s="6" t="s">
        <v>499</v>
      </c>
      <c r="E159" s="2" t="str">
        <f>five子指标方向明细!F316</f>
        <v>A</v>
      </c>
      <c r="F159" s="2">
        <f>five子指标方向明细!G316</f>
        <v>4</v>
      </c>
      <c r="G159" s="2" t="str">
        <f>five子指标方向明细!H316</f>
        <v>C</v>
      </c>
      <c r="H159" s="2">
        <f>five子指标方向明细!I316</f>
        <v>5</v>
      </c>
      <c r="I159" s="2" t="str">
        <f>five子指标方向明细!L316</f>
        <v>C</v>
      </c>
      <c r="J159" s="2" t="str">
        <f>five子指标方向明细!F317</f>
        <v>C</v>
      </c>
      <c r="K159" s="2">
        <f>five子指标方向明细!G317</f>
        <v>5</v>
      </c>
      <c r="L159" s="2" t="str">
        <f>five子指标方向明细!H317</f>
        <v>A</v>
      </c>
      <c r="M159" s="2">
        <f>five子指标方向明细!I317</f>
        <v>3</v>
      </c>
      <c r="N159" s="2" t="str">
        <f>five子指标方向明细!L317</f>
        <v>C</v>
      </c>
      <c r="O159" s="2">
        <f t="shared" si="8"/>
        <v>1</v>
      </c>
      <c r="P159" s="2" t="str">
        <f t="shared" si="9"/>
        <v>C</v>
      </c>
      <c r="Q159" s="2" t="s">
        <v>77</v>
      </c>
      <c r="R159" s="2">
        <f t="shared" si="10"/>
        <v>1</v>
      </c>
      <c r="S159" s="2">
        <v>316</v>
      </c>
      <c r="T159" s="2">
        <v>317</v>
      </c>
      <c r="U159" s="2" t="str">
        <f t="shared" si="11"/>
        <v/>
      </c>
    </row>
    <row r="160" ht="23" customHeight="1" spans="1:21">
      <c r="A160" s="6" t="s">
        <v>407</v>
      </c>
      <c r="B160" s="2" t="s">
        <v>37</v>
      </c>
      <c r="C160" s="2">
        <v>4</v>
      </c>
      <c r="D160" s="6" t="s">
        <v>500</v>
      </c>
      <c r="E160" s="2" t="str">
        <f>five子指标方向明细!F318</f>
        <v>A</v>
      </c>
      <c r="F160" s="2">
        <f>five子指标方向明细!G318</f>
        <v>5</v>
      </c>
      <c r="G160" s="2" t="str">
        <f>five子指标方向明细!H318</f>
        <v>C</v>
      </c>
      <c r="H160" s="2">
        <f>five子指标方向明细!I318</f>
        <v>5</v>
      </c>
      <c r="I160" s="2" t="str">
        <f>five子指标方向明细!L318</f>
        <v>D(平局)</v>
      </c>
      <c r="J160" s="2" t="str">
        <f>five子指标方向明细!F319</f>
        <v>C</v>
      </c>
      <c r="K160" s="2">
        <f>five子指标方向明细!G319</f>
        <v>5</v>
      </c>
      <c r="L160" s="2" t="str">
        <f>five子指标方向明细!H319</f>
        <v>A</v>
      </c>
      <c r="M160" s="2">
        <f>five子指标方向明细!I319</f>
        <v>5</v>
      </c>
      <c r="N160" s="2" t="str">
        <f>five子指标方向明细!L319</f>
        <v>D(平局)</v>
      </c>
      <c r="O160" s="2">
        <f t="shared" si="8"/>
        <v>1</v>
      </c>
      <c r="P160" s="2" t="str">
        <f t="shared" si="9"/>
        <v>D(平局)</v>
      </c>
      <c r="Q160" s="2" t="s">
        <v>77</v>
      </c>
      <c r="R160" s="2">
        <f t="shared" si="10"/>
        <v>0</v>
      </c>
      <c r="S160" s="2">
        <v>318</v>
      </c>
      <c r="T160" s="2">
        <v>319</v>
      </c>
      <c r="U160" s="2" t="str">
        <f t="shared" si="11"/>
        <v>双向评分平局</v>
      </c>
    </row>
    <row r="161" ht="23" customHeight="1" spans="1:21">
      <c r="A161" s="6" t="s">
        <v>407</v>
      </c>
      <c r="B161" s="2" t="s">
        <v>37</v>
      </c>
      <c r="C161" s="2">
        <v>5</v>
      </c>
      <c r="D161" s="6" t="s">
        <v>501</v>
      </c>
      <c r="E161" s="2" t="str">
        <f>five子指标方向明细!F320</f>
        <v>A</v>
      </c>
      <c r="F161" s="2">
        <f>five子指标方向明细!G320</f>
        <v>5</v>
      </c>
      <c r="G161" s="2" t="str">
        <f>five子指标方向明细!H320</f>
        <v>C</v>
      </c>
      <c r="H161" s="2">
        <f>five子指标方向明细!I320</f>
        <v>5</v>
      </c>
      <c r="I161" s="2" t="str">
        <f>five子指标方向明细!L320</f>
        <v>D(平局)</v>
      </c>
      <c r="J161" s="2" t="str">
        <f>five子指标方向明细!F321</f>
        <v>C</v>
      </c>
      <c r="K161" s="2">
        <f>five子指标方向明细!G321</f>
        <v>5</v>
      </c>
      <c r="L161" s="2" t="str">
        <f>five子指标方向明细!H321</f>
        <v>A</v>
      </c>
      <c r="M161" s="2">
        <f>five子指标方向明细!I321</f>
        <v>5</v>
      </c>
      <c r="N161" s="2" t="str">
        <f>five子指标方向明细!L321</f>
        <v>D(平局)</v>
      </c>
      <c r="O161" s="2">
        <f t="shared" si="8"/>
        <v>1</v>
      </c>
      <c r="P161" s="2" t="str">
        <f t="shared" si="9"/>
        <v>D(平局)</v>
      </c>
      <c r="Q161" s="2" t="s">
        <v>77</v>
      </c>
      <c r="R161" s="2">
        <f t="shared" si="10"/>
        <v>0</v>
      </c>
      <c r="S161" s="2">
        <v>320</v>
      </c>
      <c r="T161" s="2">
        <v>321</v>
      </c>
      <c r="U161" s="2" t="str">
        <f t="shared" si="11"/>
        <v>双向评分平局</v>
      </c>
    </row>
    <row r="162" ht="23" customHeight="1" spans="1:21">
      <c r="A162" s="6" t="s">
        <v>407</v>
      </c>
      <c r="B162" s="2" t="s">
        <v>50</v>
      </c>
      <c r="C162" s="2">
        <v>1</v>
      </c>
      <c r="D162" s="6" t="s">
        <v>497</v>
      </c>
      <c r="E162" s="2" t="str">
        <f>five子指标方向明细!F322</f>
        <v>B</v>
      </c>
      <c r="F162" s="2">
        <f>five子指标方向明细!G322</f>
        <v>4</v>
      </c>
      <c r="G162" s="2" t="str">
        <f>five子指标方向明细!H322</f>
        <v>C</v>
      </c>
      <c r="H162" s="2">
        <f>five子指标方向明细!I322</f>
        <v>5</v>
      </c>
      <c r="I162" s="2" t="str">
        <f>five子指标方向明细!L322</f>
        <v>C</v>
      </c>
      <c r="J162" s="2" t="str">
        <f>five子指标方向明细!F323</f>
        <v>C</v>
      </c>
      <c r="K162" s="2">
        <f>five子指标方向明细!G323</f>
        <v>5</v>
      </c>
      <c r="L162" s="2" t="str">
        <f>five子指标方向明细!H323</f>
        <v>B</v>
      </c>
      <c r="M162" s="2">
        <f>five子指标方向明细!I323</f>
        <v>5</v>
      </c>
      <c r="N162" s="2" t="str">
        <f>five子指标方向明细!L323</f>
        <v>D(平局)</v>
      </c>
      <c r="O162" s="2">
        <f t="shared" si="8"/>
        <v>0</v>
      </c>
      <c r="P162" s="2" t="str">
        <f t="shared" si="9"/>
        <v>D(平局)</v>
      </c>
      <c r="Q162" s="2" t="s">
        <v>77</v>
      </c>
      <c r="R162" s="2">
        <f t="shared" si="10"/>
        <v>0</v>
      </c>
      <c r="S162" s="2">
        <v>322</v>
      </c>
      <c r="T162" s="2">
        <v>323</v>
      </c>
      <c r="U162" s="2" t="str">
        <f t="shared" si="11"/>
        <v>方向冲突</v>
      </c>
    </row>
    <row r="163" ht="23" customHeight="1" spans="1:21">
      <c r="A163" s="6" t="s">
        <v>407</v>
      </c>
      <c r="B163" s="2" t="s">
        <v>50</v>
      </c>
      <c r="C163" s="2">
        <v>2</v>
      </c>
      <c r="D163" s="6" t="s">
        <v>498</v>
      </c>
      <c r="E163" s="2" t="str">
        <f>five子指标方向明细!F324</f>
        <v>B</v>
      </c>
      <c r="F163" s="2">
        <f>five子指标方向明细!G324</f>
        <v>1</v>
      </c>
      <c r="G163" s="2" t="str">
        <f>five子指标方向明细!H324</f>
        <v>C</v>
      </c>
      <c r="H163" s="2">
        <f>five子指标方向明细!I324</f>
        <v>5</v>
      </c>
      <c r="I163" s="2" t="str">
        <f>five子指标方向明细!L324</f>
        <v>C</v>
      </c>
      <c r="J163" s="2" t="str">
        <f>five子指标方向明细!F325</f>
        <v>C</v>
      </c>
      <c r="K163" s="2">
        <f>five子指标方向明细!G325</f>
        <v>5</v>
      </c>
      <c r="L163" s="2" t="str">
        <f>five子指标方向明细!H325</f>
        <v>B</v>
      </c>
      <c r="M163" s="2">
        <f>five子指标方向明细!I325</f>
        <v>1</v>
      </c>
      <c r="N163" s="2" t="str">
        <f>five子指标方向明细!L325</f>
        <v>C</v>
      </c>
      <c r="O163" s="2">
        <f t="shared" si="8"/>
        <v>1</v>
      </c>
      <c r="P163" s="2" t="str">
        <f t="shared" si="9"/>
        <v>C</v>
      </c>
      <c r="Q163" s="2" t="s">
        <v>77</v>
      </c>
      <c r="R163" s="2">
        <f t="shared" si="10"/>
        <v>1</v>
      </c>
      <c r="S163" s="2">
        <v>324</v>
      </c>
      <c r="T163" s="2">
        <v>325</v>
      </c>
      <c r="U163" s="2" t="str">
        <f t="shared" si="11"/>
        <v/>
      </c>
    </row>
    <row r="164" ht="23" customHeight="1" spans="1:21">
      <c r="A164" s="6" t="s">
        <v>407</v>
      </c>
      <c r="B164" s="2" t="s">
        <v>50</v>
      </c>
      <c r="C164" s="2">
        <v>3</v>
      </c>
      <c r="D164" s="6" t="s">
        <v>499</v>
      </c>
      <c r="E164" s="2" t="str">
        <f>five子指标方向明细!F326</f>
        <v>B</v>
      </c>
      <c r="F164" s="2">
        <f>five子指标方向明细!G326</f>
        <v>4</v>
      </c>
      <c r="G164" s="2" t="str">
        <f>five子指标方向明细!H326</f>
        <v>C</v>
      </c>
      <c r="H164" s="2">
        <f>five子指标方向明细!I326</f>
        <v>4</v>
      </c>
      <c r="I164" s="2" t="str">
        <f>five子指标方向明细!L326</f>
        <v>D(平局)</v>
      </c>
      <c r="J164" s="2" t="str">
        <f>five子指标方向明细!F327</f>
        <v>C</v>
      </c>
      <c r="K164" s="2">
        <f>five子指标方向明细!G327</f>
        <v>5</v>
      </c>
      <c r="L164" s="2" t="str">
        <f>five子指标方向明细!H327</f>
        <v>B</v>
      </c>
      <c r="M164" s="2">
        <f>five子指标方向明细!I327</f>
        <v>5</v>
      </c>
      <c r="N164" s="2" t="str">
        <f>five子指标方向明细!L327</f>
        <v>D(平局)</v>
      </c>
      <c r="O164" s="2">
        <f t="shared" si="8"/>
        <v>1</v>
      </c>
      <c r="P164" s="2" t="str">
        <f t="shared" si="9"/>
        <v>D(平局)</v>
      </c>
      <c r="Q164" s="2" t="s">
        <v>77</v>
      </c>
      <c r="R164" s="2">
        <f t="shared" si="10"/>
        <v>0</v>
      </c>
      <c r="S164" s="2">
        <v>326</v>
      </c>
      <c r="T164" s="2">
        <v>327</v>
      </c>
      <c r="U164" s="2" t="str">
        <f t="shared" si="11"/>
        <v>双向评分平局</v>
      </c>
    </row>
    <row r="165" ht="23" customHeight="1" spans="1:21">
      <c r="A165" s="6" t="s">
        <v>407</v>
      </c>
      <c r="B165" s="2" t="s">
        <v>50</v>
      </c>
      <c r="C165" s="2">
        <v>4</v>
      </c>
      <c r="D165" s="6" t="s">
        <v>500</v>
      </c>
      <c r="E165" s="2" t="str">
        <f>five子指标方向明细!F328</f>
        <v>B</v>
      </c>
      <c r="F165" s="2">
        <f>five子指标方向明细!G328</f>
        <v>5</v>
      </c>
      <c r="G165" s="2" t="str">
        <f>five子指标方向明细!H328</f>
        <v>C</v>
      </c>
      <c r="H165" s="2">
        <f>five子指标方向明细!I328</f>
        <v>5</v>
      </c>
      <c r="I165" s="2" t="str">
        <f>five子指标方向明细!L328</f>
        <v>D(平局)</v>
      </c>
      <c r="J165" s="2" t="str">
        <f>five子指标方向明细!F329</f>
        <v>C</v>
      </c>
      <c r="K165" s="2">
        <f>five子指标方向明细!G329</f>
        <v>5</v>
      </c>
      <c r="L165" s="2" t="str">
        <f>five子指标方向明细!H329</f>
        <v>B</v>
      </c>
      <c r="M165" s="2">
        <f>five子指标方向明细!I329</f>
        <v>5</v>
      </c>
      <c r="N165" s="2" t="str">
        <f>five子指标方向明细!L329</f>
        <v>D(平局)</v>
      </c>
      <c r="O165" s="2">
        <f t="shared" si="8"/>
        <v>1</v>
      </c>
      <c r="P165" s="2" t="str">
        <f t="shared" si="9"/>
        <v>D(平局)</v>
      </c>
      <c r="Q165" s="2" t="s">
        <v>77</v>
      </c>
      <c r="R165" s="2">
        <f t="shared" si="10"/>
        <v>0</v>
      </c>
      <c r="S165" s="2">
        <v>328</v>
      </c>
      <c r="T165" s="2">
        <v>329</v>
      </c>
      <c r="U165" s="2" t="str">
        <f t="shared" si="11"/>
        <v>双向评分平局</v>
      </c>
    </row>
    <row r="166" ht="23" customHeight="1" spans="1:21">
      <c r="A166" s="6" t="s">
        <v>407</v>
      </c>
      <c r="B166" s="2" t="s">
        <v>50</v>
      </c>
      <c r="C166" s="2">
        <v>5</v>
      </c>
      <c r="D166" s="6" t="s">
        <v>501</v>
      </c>
      <c r="E166" s="2" t="str">
        <f>five子指标方向明细!F330</f>
        <v>B</v>
      </c>
      <c r="F166" s="2">
        <f>five子指标方向明细!G330</f>
        <v>4</v>
      </c>
      <c r="G166" s="2" t="str">
        <f>five子指标方向明细!H330</f>
        <v>C</v>
      </c>
      <c r="H166" s="2">
        <f>five子指标方向明细!I330</f>
        <v>5</v>
      </c>
      <c r="I166" s="2" t="str">
        <f>five子指标方向明细!L330</f>
        <v>C</v>
      </c>
      <c r="J166" s="2" t="str">
        <f>five子指标方向明细!F331</f>
        <v>C</v>
      </c>
      <c r="K166" s="2">
        <f>five子指标方向明细!G331</f>
        <v>5</v>
      </c>
      <c r="L166" s="2" t="str">
        <f>five子指标方向明细!H331</f>
        <v>B</v>
      </c>
      <c r="M166" s="2">
        <f>five子指标方向明细!I331</f>
        <v>4</v>
      </c>
      <c r="N166" s="2" t="str">
        <f>five子指标方向明细!L331</f>
        <v>C</v>
      </c>
      <c r="O166" s="2">
        <f t="shared" si="8"/>
        <v>1</v>
      </c>
      <c r="P166" s="2" t="str">
        <f t="shared" si="9"/>
        <v>C</v>
      </c>
      <c r="Q166" s="2" t="s">
        <v>77</v>
      </c>
      <c r="R166" s="2">
        <f t="shared" si="10"/>
        <v>1</v>
      </c>
      <c r="S166" s="2">
        <v>330</v>
      </c>
      <c r="T166" s="2">
        <v>331</v>
      </c>
      <c r="U166" s="2" t="str">
        <f t="shared" si="11"/>
        <v/>
      </c>
    </row>
    <row r="167" ht="23" customHeight="1" spans="1:21">
      <c r="A167" s="6" t="s">
        <v>445</v>
      </c>
      <c r="B167" s="2" t="s">
        <v>15</v>
      </c>
      <c r="C167" s="2">
        <v>1</v>
      </c>
      <c r="D167" s="6" t="s">
        <v>497</v>
      </c>
      <c r="E167" s="2" t="str">
        <f>five子指标方向明细!F332</f>
        <v>A</v>
      </c>
      <c r="F167" s="2">
        <f>five子指标方向明细!G332</f>
        <v>5</v>
      </c>
      <c r="G167" s="2" t="str">
        <f>five子指标方向明细!H332</f>
        <v>B</v>
      </c>
      <c r="H167" s="2">
        <f>five子指标方向明细!I332</f>
        <v>3</v>
      </c>
      <c r="I167" s="2" t="str">
        <f>five子指标方向明细!L332</f>
        <v>A</v>
      </c>
      <c r="J167" s="2" t="str">
        <f>five子指标方向明细!F333</f>
        <v>B</v>
      </c>
      <c r="K167" s="2">
        <f>five子指标方向明细!G333</f>
        <v>4</v>
      </c>
      <c r="L167" s="2" t="str">
        <f>five子指标方向明细!H333</f>
        <v>A</v>
      </c>
      <c r="M167" s="2">
        <f>five子指标方向明细!I333</f>
        <v>5</v>
      </c>
      <c r="N167" s="2" t="str">
        <f>five子指标方向明细!L333</f>
        <v>A</v>
      </c>
      <c r="O167" s="2">
        <f t="shared" si="8"/>
        <v>1</v>
      </c>
      <c r="P167" s="2" t="str">
        <f t="shared" si="9"/>
        <v>A</v>
      </c>
      <c r="Q167" s="2" t="s">
        <v>22</v>
      </c>
      <c r="R167" s="2">
        <f t="shared" si="10"/>
        <v>1</v>
      </c>
      <c r="S167" s="2">
        <v>332</v>
      </c>
      <c r="T167" s="2">
        <v>333</v>
      </c>
      <c r="U167" s="2" t="str">
        <f t="shared" si="11"/>
        <v/>
      </c>
    </row>
    <row r="168" ht="23" customHeight="1" spans="1:21">
      <c r="A168" s="6" t="s">
        <v>445</v>
      </c>
      <c r="B168" s="2" t="s">
        <v>15</v>
      </c>
      <c r="C168" s="2">
        <v>2</v>
      </c>
      <c r="D168" s="6" t="s">
        <v>498</v>
      </c>
      <c r="E168" s="2" t="str">
        <f>five子指标方向明细!F334</f>
        <v>A</v>
      </c>
      <c r="F168" s="2">
        <f>five子指标方向明细!G334</f>
        <v>5</v>
      </c>
      <c r="G168" s="2" t="str">
        <f>five子指标方向明细!H334</f>
        <v>B</v>
      </c>
      <c r="H168" s="2">
        <f>five子指标方向明细!I334</f>
        <v>2</v>
      </c>
      <c r="I168" s="2" t="str">
        <f>five子指标方向明细!L334</f>
        <v>A</v>
      </c>
      <c r="J168" s="2" t="str">
        <f>five子指标方向明细!F335</f>
        <v>B</v>
      </c>
      <c r="K168" s="2">
        <f>five子指标方向明细!G335</f>
        <v>3</v>
      </c>
      <c r="L168" s="2" t="str">
        <f>five子指标方向明细!H335</f>
        <v>A</v>
      </c>
      <c r="M168" s="2">
        <f>five子指标方向明细!I335</f>
        <v>5</v>
      </c>
      <c r="N168" s="2" t="str">
        <f>five子指标方向明细!L335</f>
        <v>A</v>
      </c>
      <c r="O168" s="2">
        <f t="shared" si="8"/>
        <v>1</v>
      </c>
      <c r="P168" s="2" t="str">
        <f t="shared" si="9"/>
        <v>A</v>
      </c>
      <c r="Q168" s="2" t="s">
        <v>22</v>
      </c>
      <c r="R168" s="2">
        <f t="shared" si="10"/>
        <v>1</v>
      </c>
      <c r="S168" s="2">
        <v>334</v>
      </c>
      <c r="T168" s="2">
        <v>335</v>
      </c>
      <c r="U168" s="2" t="str">
        <f t="shared" si="11"/>
        <v/>
      </c>
    </row>
    <row r="169" ht="23" customHeight="1" spans="1:21">
      <c r="A169" s="6" t="s">
        <v>445</v>
      </c>
      <c r="B169" s="2" t="s">
        <v>15</v>
      </c>
      <c r="C169" s="2">
        <v>3</v>
      </c>
      <c r="D169" s="6" t="s">
        <v>499</v>
      </c>
      <c r="E169" s="2" t="str">
        <f>five子指标方向明细!F336</f>
        <v>A</v>
      </c>
      <c r="F169" s="2">
        <f>five子指标方向明细!G336</f>
        <v>5</v>
      </c>
      <c r="G169" s="2" t="str">
        <f>five子指标方向明细!H336</f>
        <v>B</v>
      </c>
      <c r="H169" s="2">
        <f>five子指标方向明细!I336</f>
        <v>4</v>
      </c>
      <c r="I169" s="2" t="str">
        <f>five子指标方向明细!L336</f>
        <v>A</v>
      </c>
      <c r="J169" s="2" t="str">
        <f>five子指标方向明细!F337</f>
        <v>B</v>
      </c>
      <c r="K169" s="2">
        <f>five子指标方向明细!G337</f>
        <v>4</v>
      </c>
      <c r="L169" s="2" t="str">
        <f>five子指标方向明细!H337</f>
        <v>A</v>
      </c>
      <c r="M169" s="2">
        <f>five子指标方向明细!I337</f>
        <v>5</v>
      </c>
      <c r="N169" s="2" t="str">
        <f>five子指标方向明细!L337</f>
        <v>A</v>
      </c>
      <c r="O169" s="2">
        <f t="shared" si="8"/>
        <v>1</v>
      </c>
      <c r="P169" s="2" t="str">
        <f t="shared" si="9"/>
        <v>A</v>
      </c>
      <c r="Q169" s="2" t="s">
        <v>22</v>
      </c>
      <c r="R169" s="2">
        <f t="shared" si="10"/>
        <v>1</v>
      </c>
      <c r="S169" s="2">
        <v>336</v>
      </c>
      <c r="T169" s="2">
        <v>337</v>
      </c>
      <c r="U169" s="2" t="str">
        <f t="shared" si="11"/>
        <v/>
      </c>
    </row>
    <row r="170" ht="23" customHeight="1" spans="1:21">
      <c r="A170" s="6" t="s">
        <v>445</v>
      </c>
      <c r="B170" s="2" t="s">
        <v>15</v>
      </c>
      <c r="C170" s="2">
        <v>4</v>
      </c>
      <c r="D170" s="6" t="s">
        <v>500</v>
      </c>
      <c r="E170" s="2" t="str">
        <f>five子指标方向明细!F338</f>
        <v>A</v>
      </c>
      <c r="F170" s="2">
        <f>five子指标方向明细!G338</f>
        <v>5</v>
      </c>
      <c r="G170" s="2" t="str">
        <f>five子指标方向明细!H338</f>
        <v>B</v>
      </c>
      <c r="H170" s="2">
        <f>five子指标方向明细!I338</f>
        <v>3</v>
      </c>
      <c r="I170" s="2" t="str">
        <f>five子指标方向明细!L338</f>
        <v>A</v>
      </c>
      <c r="J170" s="2" t="str">
        <f>five子指标方向明细!F339</f>
        <v>B</v>
      </c>
      <c r="K170" s="2">
        <f>five子指标方向明细!G339</f>
        <v>4</v>
      </c>
      <c r="L170" s="2" t="str">
        <f>five子指标方向明细!H339</f>
        <v>A</v>
      </c>
      <c r="M170" s="2">
        <f>five子指标方向明细!I339</f>
        <v>5</v>
      </c>
      <c r="N170" s="2" t="str">
        <f>five子指标方向明细!L339</f>
        <v>A</v>
      </c>
      <c r="O170" s="2">
        <f t="shared" si="8"/>
        <v>1</v>
      </c>
      <c r="P170" s="2" t="str">
        <f t="shared" si="9"/>
        <v>A</v>
      </c>
      <c r="Q170" s="2" t="s">
        <v>22</v>
      </c>
      <c r="R170" s="2">
        <f t="shared" si="10"/>
        <v>1</v>
      </c>
      <c r="S170" s="2">
        <v>338</v>
      </c>
      <c r="T170" s="2">
        <v>339</v>
      </c>
      <c r="U170" s="2" t="str">
        <f t="shared" si="11"/>
        <v/>
      </c>
    </row>
    <row r="171" ht="23" customHeight="1" spans="1:21">
      <c r="A171" s="6" t="s">
        <v>445</v>
      </c>
      <c r="B171" s="2" t="s">
        <v>15</v>
      </c>
      <c r="C171" s="2">
        <v>5</v>
      </c>
      <c r="D171" s="6" t="s">
        <v>501</v>
      </c>
      <c r="E171" s="2" t="str">
        <f>five子指标方向明细!F340</f>
        <v>A</v>
      </c>
      <c r="F171" s="2">
        <f>five子指标方向明细!G340</f>
        <v>5</v>
      </c>
      <c r="G171" s="2" t="str">
        <f>five子指标方向明细!H340</f>
        <v>B</v>
      </c>
      <c r="H171" s="2">
        <f>five子指标方向明细!I340</f>
        <v>3</v>
      </c>
      <c r="I171" s="2" t="str">
        <f>five子指标方向明细!L340</f>
        <v>A</v>
      </c>
      <c r="J171" s="2" t="str">
        <f>five子指标方向明细!F341</f>
        <v>B</v>
      </c>
      <c r="K171" s="2">
        <f>five子指标方向明细!G341</f>
        <v>3</v>
      </c>
      <c r="L171" s="2" t="str">
        <f>five子指标方向明细!H341</f>
        <v>A</v>
      </c>
      <c r="M171" s="2">
        <f>five子指标方向明细!I341</f>
        <v>5</v>
      </c>
      <c r="N171" s="2" t="str">
        <f>five子指标方向明细!L341</f>
        <v>A</v>
      </c>
      <c r="O171" s="2">
        <f t="shared" si="8"/>
        <v>1</v>
      </c>
      <c r="P171" s="2" t="str">
        <f t="shared" si="9"/>
        <v>A</v>
      </c>
      <c r="Q171" s="2" t="s">
        <v>22</v>
      </c>
      <c r="R171" s="2">
        <f t="shared" si="10"/>
        <v>1</v>
      </c>
      <c r="S171" s="2">
        <v>340</v>
      </c>
      <c r="T171" s="2">
        <v>341</v>
      </c>
      <c r="U171" s="2" t="str">
        <f t="shared" si="11"/>
        <v/>
      </c>
    </row>
    <row r="172" ht="23" customHeight="1" spans="1:21">
      <c r="A172" s="6" t="s">
        <v>445</v>
      </c>
      <c r="B172" s="2" t="s">
        <v>37</v>
      </c>
      <c r="C172" s="2">
        <v>1</v>
      </c>
      <c r="D172" s="6" t="s">
        <v>497</v>
      </c>
      <c r="E172" s="2" t="str">
        <f>five子指标方向明细!F342</f>
        <v>A</v>
      </c>
      <c r="F172" s="2">
        <f>five子指标方向明细!G342</f>
        <v>5</v>
      </c>
      <c r="G172" s="2" t="str">
        <f>five子指标方向明细!H342</f>
        <v>C</v>
      </c>
      <c r="H172" s="2">
        <f>five子指标方向明细!I342</f>
        <v>5</v>
      </c>
      <c r="I172" s="2" t="str">
        <f>five子指标方向明细!L342</f>
        <v>D(平局)</v>
      </c>
      <c r="J172" s="2" t="str">
        <f>five子指标方向明细!F343</f>
        <v>C</v>
      </c>
      <c r="K172" s="2">
        <f>five子指标方向明细!G343</f>
        <v>5</v>
      </c>
      <c r="L172" s="2" t="str">
        <f>five子指标方向明细!H343</f>
        <v>A</v>
      </c>
      <c r="M172" s="2">
        <f>five子指标方向明细!I343</f>
        <v>5</v>
      </c>
      <c r="N172" s="2" t="str">
        <f>five子指标方向明细!L343</f>
        <v>D(平局)</v>
      </c>
      <c r="O172" s="2">
        <f t="shared" si="8"/>
        <v>1</v>
      </c>
      <c r="P172" s="2" t="str">
        <f t="shared" si="9"/>
        <v>D(平局)</v>
      </c>
      <c r="Q172" s="2" t="s">
        <v>106</v>
      </c>
      <c r="R172" s="2">
        <f t="shared" si="10"/>
        <v>1</v>
      </c>
      <c r="S172" s="2">
        <v>342</v>
      </c>
      <c r="T172" s="2">
        <v>343</v>
      </c>
      <c r="U172" s="2" t="str">
        <f t="shared" si="11"/>
        <v>双向评分平局</v>
      </c>
    </row>
    <row r="173" ht="23" customHeight="1" spans="1:21">
      <c r="A173" s="6" t="s">
        <v>445</v>
      </c>
      <c r="B173" s="2" t="s">
        <v>37</v>
      </c>
      <c r="C173" s="2">
        <v>2</v>
      </c>
      <c r="D173" s="6" t="s">
        <v>498</v>
      </c>
      <c r="E173" s="2" t="str">
        <f>five子指标方向明细!F344</f>
        <v>A</v>
      </c>
      <c r="F173" s="2">
        <f>five子指标方向明细!G344</f>
        <v>5</v>
      </c>
      <c r="G173" s="2" t="str">
        <f>five子指标方向明细!H344</f>
        <v>C</v>
      </c>
      <c r="H173" s="2">
        <f>five子指标方向明细!I344</f>
        <v>4</v>
      </c>
      <c r="I173" s="2" t="str">
        <f>five子指标方向明细!L344</f>
        <v>A</v>
      </c>
      <c r="J173" s="2" t="str">
        <f>five子指标方向明细!F345</f>
        <v>C</v>
      </c>
      <c r="K173" s="2">
        <f>five子指标方向明细!G345</f>
        <v>3</v>
      </c>
      <c r="L173" s="2" t="str">
        <f>five子指标方向明细!H345</f>
        <v>A</v>
      </c>
      <c r="M173" s="2">
        <f>five子指标方向明细!I345</f>
        <v>5</v>
      </c>
      <c r="N173" s="2" t="str">
        <f>five子指标方向明细!L345</f>
        <v>A</v>
      </c>
      <c r="O173" s="2">
        <f t="shared" si="8"/>
        <v>1</v>
      </c>
      <c r="P173" s="2" t="str">
        <f t="shared" si="9"/>
        <v>A</v>
      </c>
      <c r="Q173" s="2" t="s">
        <v>106</v>
      </c>
      <c r="R173" s="2">
        <f t="shared" si="10"/>
        <v>0</v>
      </c>
      <c r="S173" s="2">
        <v>344</v>
      </c>
      <c r="T173" s="2">
        <v>345</v>
      </c>
      <c r="U173" s="2" t="str">
        <f t="shared" si="11"/>
        <v/>
      </c>
    </row>
    <row r="174" ht="23" customHeight="1" spans="1:21">
      <c r="A174" s="6" t="s">
        <v>445</v>
      </c>
      <c r="B174" s="2" t="s">
        <v>37</v>
      </c>
      <c r="C174" s="2">
        <v>3</v>
      </c>
      <c r="D174" s="6" t="s">
        <v>499</v>
      </c>
      <c r="E174" s="2" t="str">
        <f>five子指标方向明细!F346</f>
        <v>A</v>
      </c>
      <c r="F174" s="2">
        <f>five子指标方向明细!G346</f>
        <v>5</v>
      </c>
      <c r="G174" s="2" t="str">
        <f>five子指标方向明细!H346</f>
        <v>C</v>
      </c>
      <c r="H174" s="2">
        <f>five子指标方向明细!I346</f>
        <v>5</v>
      </c>
      <c r="I174" s="2" t="str">
        <f>five子指标方向明细!L346</f>
        <v>D(平局)</v>
      </c>
      <c r="J174" s="2" t="str">
        <f>five子指标方向明细!F347</f>
        <v>C</v>
      </c>
      <c r="K174" s="2">
        <f>five子指标方向明细!G347</f>
        <v>5</v>
      </c>
      <c r="L174" s="2" t="str">
        <f>five子指标方向明细!H347</f>
        <v>A</v>
      </c>
      <c r="M174" s="2">
        <f>five子指标方向明细!I347</f>
        <v>5</v>
      </c>
      <c r="N174" s="2" t="str">
        <f>five子指标方向明细!L347</f>
        <v>D(平局)</v>
      </c>
      <c r="O174" s="2">
        <f t="shared" si="8"/>
        <v>1</v>
      </c>
      <c r="P174" s="2" t="str">
        <f t="shared" si="9"/>
        <v>D(平局)</v>
      </c>
      <c r="Q174" s="2" t="s">
        <v>106</v>
      </c>
      <c r="R174" s="2">
        <f t="shared" si="10"/>
        <v>1</v>
      </c>
      <c r="S174" s="2">
        <v>346</v>
      </c>
      <c r="T174" s="2">
        <v>347</v>
      </c>
      <c r="U174" s="2" t="str">
        <f t="shared" si="11"/>
        <v>双向评分平局</v>
      </c>
    </row>
    <row r="175" ht="23" customHeight="1" spans="1:21">
      <c r="A175" s="6" t="s">
        <v>445</v>
      </c>
      <c r="B175" s="2" t="s">
        <v>37</v>
      </c>
      <c r="C175" s="2">
        <v>4</v>
      </c>
      <c r="D175" s="6" t="s">
        <v>500</v>
      </c>
      <c r="E175" s="2" t="str">
        <f>five子指标方向明细!F348</f>
        <v>A</v>
      </c>
      <c r="F175" s="2">
        <f>five子指标方向明细!G348</f>
        <v>5</v>
      </c>
      <c r="G175" s="2" t="str">
        <f>five子指标方向明细!H348</f>
        <v>C</v>
      </c>
      <c r="H175" s="2">
        <f>five子指标方向明细!I348</f>
        <v>5</v>
      </c>
      <c r="I175" s="2" t="str">
        <f>five子指标方向明细!L348</f>
        <v>D(平局)</v>
      </c>
      <c r="J175" s="2" t="str">
        <f>five子指标方向明细!F349</f>
        <v>C</v>
      </c>
      <c r="K175" s="2">
        <f>five子指标方向明细!G349</f>
        <v>5</v>
      </c>
      <c r="L175" s="2" t="str">
        <f>five子指标方向明细!H349</f>
        <v>A</v>
      </c>
      <c r="M175" s="2">
        <f>five子指标方向明细!I349</f>
        <v>5</v>
      </c>
      <c r="N175" s="2" t="str">
        <f>five子指标方向明细!L349</f>
        <v>D(平局)</v>
      </c>
      <c r="O175" s="2">
        <f t="shared" si="8"/>
        <v>1</v>
      </c>
      <c r="P175" s="2" t="str">
        <f t="shared" si="9"/>
        <v>D(平局)</v>
      </c>
      <c r="Q175" s="2" t="s">
        <v>106</v>
      </c>
      <c r="R175" s="2">
        <f t="shared" si="10"/>
        <v>1</v>
      </c>
      <c r="S175" s="2">
        <v>348</v>
      </c>
      <c r="T175" s="2">
        <v>349</v>
      </c>
      <c r="U175" s="2" t="str">
        <f t="shared" si="11"/>
        <v>双向评分平局</v>
      </c>
    </row>
    <row r="176" ht="23" customHeight="1" spans="1:21">
      <c r="A176" s="6" t="s">
        <v>445</v>
      </c>
      <c r="B176" s="2" t="s">
        <v>37</v>
      </c>
      <c r="C176" s="2">
        <v>5</v>
      </c>
      <c r="D176" s="6" t="s">
        <v>501</v>
      </c>
      <c r="E176" s="2" t="str">
        <f>five子指标方向明细!F350</f>
        <v>A</v>
      </c>
      <c r="F176" s="2">
        <f>five子指标方向明细!G350</f>
        <v>5</v>
      </c>
      <c r="G176" s="2" t="str">
        <f>five子指标方向明细!H350</f>
        <v>C</v>
      </c>
      <c r="H176" s="2">
        <f>five子指标方向明细!I350</f>
        <v>5</v>
      </c>
      <c r="I176" s="2" t="str">
        <f>five子指标方向明细!L350</f>
        <v>D(平局)</v>
      </c>
      <c r="J176" s="2" t="str">
        <f>five子指标方向明细!F351</f>
        <v>C</v>
      </c>
      <c r="K176" s="2">
        <f>five子指标方向明细!G351</f>
        <v>5</v>
      </c>
      <c r="L176" s="2" t="str">
        <f>five子指标方向明细!H351</f>
        <v>A</v>
      </c>
      <c r="M176" s="2">
        <f>five子指标方向明细!I351</f>
        <v>5</v>
      </c>
      <c r="N176" s="2" t="str">
        <f>five子指标方向明细!L351</f>
        <v>D(平局)</v>
      </c>
      <c r="O176" s="2">
        <f t="shared" si="8"/>
        <v>1</v>
      </c>
      <c r="P176" s="2" t="str">
        <f t="shared" si="9"/>
        <v>D(平局)</v>
      </c>
      <c r="Q176" s="2" t="s">
        <v>106</v>
      </c>
      <c r="R176" s="2">
        <f t="shared" si="10"/>
        <v>1</v>
      </c>
      <c r="S176" s="2">
        <v>350</v>
      </c>
      <c r="T176" s="2">
        <v>351</v>
      </c>
      <c r="U176" s="2" t="str">
        <f t="shared" si="11"/>
        <v>双向评分平局</v>
      </c>
    </row>
    <row r="177" ht="23" customHeight="1" spans="1:21">
      <c r="A177" s="6" t="s">
        <v>445</v>
      </c>
      <c r="B177" s="2" t="s">
        <v>50</v>
      </c>
      <c r="C177" s="2">
        <v>1</v>
      </c>
      <c r="D177" s="6" t="s">
        <v>497</v>
      </c>
      <c r="E177" s="2" t="str">
        <f>five子指标方向明细!F352</f>
        <v>B</v>
      </c>
      <c r="F177" s="2">
        <f>five子指标方向明细!G352</f>
        <v>4</v>
      </c>
      <c r="G177" s="2" t="str">
        <f>five子指标方向明细!H352</f>
        <v>C</v>
      </c>
      <c r="H177" s="2">
        <f>five子指标方向明细!I352</f>
        <v>5</v>
      </c>
      <c r="I177" s="2" t="str">
        <f>five子指标方向明细!L352</f>
        <v>C</v>
      </c>
      <c r="J177" s="2" t="str">
        <f>five子指标方向明细!F353</f>
        <v>C</v>
      </c>
      <c r="K177" s="2">
        <f>five子指标方向明细!G353</f>
        <v>5</v>
      </c>
      <c r="L177" s="2" t="str">
        <f>five子指标方向明细!H353</f>
        <v>B</v>
      </c>
      <c r="M177" s="2">
        <f>five子指标方向明细!I353</f>
        <v>3</v>
      </c>
      <c r="N177" s="2" t="str">
        <f>five子指标方向明细!L353</f>
        <v>C</v>
      </c>
      <c r="O177" s="2">
        <f t="shared" si="8"/>
        <v>1</v>
      </c>
      <c r="P177" s="2" t="str">
        <f t="shared" si="9"/>
        <v>C</v>
      </c>
      <c r="Q177" s="2" t="s">
        <v>77</v>
      </c>
      <c r="R177" s="2">
        <f t="shared" si="10"/>
        <v>1</v>
      </c>
      <c r="S177" s="2">
        <v>352</v>
      </c>
      <c r="T177" s="2">
        <v>353</v>
      </c>
      <c r="U177" s="2" t="str">
        <f t="shared" si="11"/>
        <v/>
      </c>
    </row>
    <row r="178" ht="23" customHeight="1" spans="1:21">
      <c r="A178" s="6" t="s">
        <v>445</v>
      </c>
      <c r="B178" s="2" t="s">
        <v>50</v>
      </c>
      <c r="C178" s="2">
        <v>2</v>
      </c>
      <c r="D178" s="6" t="s">
        <v>498</v>
      </c>
      <c r="E178" s="2" t="str">
        <f>five子指标方向明细!F354</f>
        <v>B</v>
      </c>
      <c r="F178" s="2">
        <f>five子指标方向明细!G354</f>
        <v>3</v>
      </c>
      <c r="G178" s="2" t="str">
        <f>five子指标方向明细!H354</f>
        <v>C</v>
      </c>
      <c r="H178" s="2">
        <f>five子指标方向明细!I354</f>
        <v>3</v>
      </c>
      <c r="I178" s="2" t="str">
        <f>five子指标方向明细!L354</f>
        <v>D(平局)</v>
      </c>
      <c r="J178" s="2" t="str">
        <f>five子指标方向明细!F355</f>
        <v>C</v>
      </c>
      <c r="K178" s="2">
        <f>five子指标方向明细!G355</f>
        <v>5</v>
      </c>
      <c r="L178" s="2" t="str">
        <f>five子指标方向明细!H355</f>
        <v>B</v>
      </c>
      <c r="M178" s="2">
        <f>five子指标方向明细!I355</f>
        <v>3</v>
      </c>
      <c r="N178" s="2" t="str">
        <f>five子指标方向明细!L355</f>
        <v>C</v>
      </c>
      <c r="O178" s="2">
        <f t="shared" si="8"/>
        <v>0</v>
      </c>
      <c r="P178" s="2" t="str">
        <f t="shared" si="9"/>
        <v>D(平局)</v>
      </c>
      <c r="Q178" s="2" t="s">
        <v>77</v>
      </c>
      <c r="R178" s="2">
        <f t="shared" si="10"/>
        <v>0</v>
      </c>
      <c r="S178" s="2">
        <v>354</v>
      </c>
      <c r="T178" s="2">
        <v>355</v>
      </c>
      <c r="U178" s="2" t="str">
        <f t="shared" si="11"/>
        <v>方向冲突</v>
      </c>
    </row>
    <row r="179" ht="23" customHeight="1" spans="1:21">
      <c r="A179" s="6" t="s">
        <v>445</v>
      </c>
      <c r="B179" s="2" t="s">
        <v>50</v>
      </c>
      <c r="C179" s="2">
        <v>3</v>
      </c>
      <c r="D179" s="6" t="s">
        <v>499</v>
      </c>
      <c r="E179" s="2" t="str">
        <f>five子指标方向明细!F356</f>
        <v>B</v>
      </c>
      <c r="F179" s="2">
        <f>five子指标方向明细!G356</f>
        <v>4</v>
      </c>
      <c r="G179" s="2" t="str">
        <f>five子指标方向明细!H356</f>
        <v>C</v>
      </c>
      <c r="H179" s="2">
        <f>five子指标方向明细!I356</f>
        <v>5</v>
      </c>
      <c r="I179" s="2" t="str">
        <f>five子指标方向明细!L356</f>
        <v>C</v>
      </c>
      <c r="J179" s="2" t="str">
        <f>five子指标方向明细!F357</f>
        <v>C</v>
      </c>
      <c r="K179" s="2">
        <f>five子指标方向明细!G357</f>
        <v>5</v>
      </c>
      <c r="L179" s="2" t="str">
        <f>five子指标方向明细!H357</f>
        <v>B</v>
      </c>
      <c r="M179" s="2">
        <f>five子指标方向明细!I357</f>
        <v>3</v>
      </c>
      <c r="N179" s="2" t="str">
        <f>five子指标方向明细!L357</f>
        <v>C</v>
      </c>
      <c r="O179" s="2">
        <f t="shared" si="8"/>
        <v>1</v>
      </c>
      <c r="P179" s="2" t="str">
        <f t="shared" si="9"/>
        <v>C</v>
      </c>
      <c r="Q179" s="2" t="s">
        <v>77</v>
      </c>
      <c r="R179" s="2">
        <f t="shared" si="10"/>
        <v>1</v>
      </c>
      <c r="S179" s="2">
        <v>356</v>
      </c>
      <c r="T179" s="2">
        <v>357</v>
      </c>
      <c r="U179" s="2" t="str">
        <f t="shared" si="11"/>
        <v/>
      </c>
    </row>
    <row r="180" ht="23" customHeight="1" spans="1:21">
      <c r="A180" s="6" t="s">
        <v>445</v>
      </c>
      <c r="B180" s="2" t="s">
        <v>50</v>
      </c>
      <c r="C180" s="2">
        <v>4</v>
      </c>
      <c r="D180" s="6" t="s">
        <v>500</v>
      </c>
      <c r="E180" s="2" t="str">
        <f>five子指标方向明细!F358</f>
        <v>B</v>
      </c>
      <c r="F180" s="2">
        <f>five子指标方向明细!G358</f>
        <v>4</v>
      </c>
      <c r="G180" s="2" t="str">
        <f>five子指标方向明细!H358</f>
        <v>C</v>
      </c>
      <c r="H180" s="2">
        <f>five子指标方向明细!I358</f>
        <v>5</v>
      </c>
      <c r="I180" s="2" t="str">
        <f>five子指标方向明细!L358</f>
        <v>C</v>
      </c>
      <c r="J180" s="2" t="str">
        <f>five子指标方向明细!F359</f>
        <v>C</v>
      </c>
      <c r="K180" s="2">
        <f>five子指标方向明细!G359</f>
        <v>5</v>
      </c>
      <c r="L180" s="2" t="str">
        <f>five子指标方向明细!H359</f>
        <v>B</v>
      </c>
      <c r="M180" s="2">
        <f>five子指标方向明细!I359</f>
        <v>3</v>
      </c>
      <c r="N180" s="2" t="str">
        <f>five子指标方向明细!L359</f>
        <v>C</v>
      </c>
      <c r="O180" s="2">
        <f t="shared" si="8"/>
        <v>1</v>
      </c>
      <c r="P180" s="2" t="str">
        <f t="shared" si="9"/>
        <v>C</v>
      </c>
      <c r="Q180" s="2" t="s">
        <v>77</v>
      </c>
      <c r="R180" s="2">
        <f t="shared" si="10"/>
        <v>1</v>
      </c>
      <c r="S180" s="2">
        <v>358</v>
      </c>
      <c r="T180" s="2">
        <v>359</v>
      </c>
      <c r="U180" s="2" t="str">
        <f t="shared" si="11"/>
        <v/>
      </c>
    </row>
    <row r="181" ht="23" customHeight="1" spans="1:21">
      <c r="A181" s="6" t="s">
        <v>445</v>
      </c>
      <c r="B181" s="2" t="s">
        <v>50</v>
      </c>
      <c r="C181" s="2">
        <v>5</v>
      </c>
      <c r="D181" s="6" t="s">
        <v>501</v>
      </c>
      <c r="E181" s="2" t="str">
        <f>five子指标方向明细!F360</f>
        <v>B</v>
      </c>
      <c r="F181" s="2">
        <f>five子指标方向明细!G360</f>
        <v>3</v>
      </c>
      <c r="G181" s="2" t="str">
        <f>five子指标方向明细!H360</f>
        <v>C</v>
      </c>
      <c r="H181" s="2">
        <f>five子指标方向明细!I360</f>
        <v>5</v>
      </c>
      <c r="I181" s="2" t="str">
        <f>five子指标方向明细!L360</f>
        <v>C</v>
      </c>
      <c r="J181" s="2" t="str">
        <f>five子指标方向明细!F361</f>
        <v>C</v>
      </c>
      <c r="K181" s="2">
        <f>five子指标方向明细!G361</f>
        <v>5</v>
      </c>
      <c r="L181" s="2" t="str">
        <f>five子指标方向明细!H361</f>
        <v>B</v>
      </c>
      <c r="M181" s="2">
        <f>five子指标方向明细!I361</f>
        <v>3</v>
      </c>
      <c r="N181" s="2" t="str">
        <f>five子指标方向明细!L361</f>
        <v>C</v>
      </c>
      <c r="O181" s="2">
        <f t="shared" si="8"/>
        <v>1</v>
      </c>
      <c r="P181" s="2" t="str">
        <f t="shared" si="9"/>
        <v>C</v>
      </c>
      <c r="Q181" s="2" t="s">
        <v>77</v>
      </c>
      <c r="R181" s="2">
        <f t="shared" si="10"/>
        <v>1</v>
      </c>
      <c r="S181" s="2">
        <v>360</v>
      </c>
      <c r="T181" s="2">
        <v>361</v>
      </c>
      <c r="U181" s="2" t="str">
        <f t="shared" si="11"/>
        <v/>
      </c>
    </row>
  </sheetData>
  <conditionalFormatting sqref="O2:O181">
    <cfRule type="cellIs" dxfId="2" priority="1" operator="equal">
      <formula>1</formula>
    </cfRule>
    <cfRule type="cellIs" dxfId="4" priority="2" operator="equal">
      <formula>0</formula>
    </cfRule>
  </conditionalFormatting>
  <conditionalFormatting sqref="R2:R181">
    <cfRule type="cellIs" dxfId="2" priority="3" operator="equal">
      <formula>1</formula>
    </cfRule>
    <cfRule type="cellIs" dxfId="3" priority="4" operator="equal">
      <formula>0</formula>
    </cfRule>
  </conditionalFormatting>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4"/>
  <sheetViews>
    <sheetView showGridLines="0" tabSelected="1" workbookViewId="0">
      <selection activeCell="H7" sqref="H7"/>
    </sheetView>
  </sheetViews>
  <sheetFormatPr defaultColWidth="9" defaultRowHeight="13.85"/>
  <cols>
    <col min="1" max="1" width="30" customWidth="1"/>
    <col min="2" max="2" width="48" customWidth="1"/>
    <col min="3" max="17" width="15" customWidth="1"/>
  </cols>
  <sheetData>
    <row r="1" ht="36" customHeight="1" spans="1:17">
      <c r="A1" s="1" t="s">
        <v>517</v>
      </c>
      <c r="B1" s="1"/>
      <c r="C1" s="1"/>
      <c r="D1" s="1"/>
      <c r="E1" s="1"/>
      <c r="F1" s="1"/>
      <c r="G1" s="1"/>
      <c r="H1" s="1"/>
      <c r="I1" s="1"/>
      <c r="J1" s="1"/>
      <c r="K1" s="1"/>
      <c r="L1" s="1"/>
      <c r="M1" s="1"/>
      <c r="N1" s="1"/>
      <c r="O1" s="1"/>
      <c r="P1" s="1"/>
      <c r="Q1" s="1"/>
    </row>
    <row r="2" spans="1:17">
      <c r="A2" s="2"/>
      <c r="B2" s="2"/>
      <c r="C2" s="2"/>
      <c r="D2" s="2"/>
      <c r="E2" s="2"/>
      <c r="F2" s="2"/>
      <c r="G2" s="2"/>
      <c r="H2" s="2"/>
      <c r="I2" s="2"/>
      <c r="J2" s="2"/>
      <c r="K2" s="2"/>
      <c r="L2" s="2"/>
      <c r="M2" s="2"/>
      <c r="N2" s="2"/>
      <c r="O2" s="2"/>
      <c r="P2" s="2"/>
      <c r="Q2" s="2"/>
    </row>
    <row r="3" ht="45" customHeight="1" spans="1:17">
      <c r="A3" s="3" t="s">
        <v>518</v>
      </c>
      <c r="B3" s="3"/>
      <c r="C3" s="3"/>
      <c r="D3" s="3"/>
      <c r="E3" s="3"/>
      <c r="F3" s="3"/>
      <c r="G3" s="3"/>
      <c r="H3" s="3"/>
      <c r="I3" s="3"/>
      <c r="J3" s="3"/>
      <c r="K3" s="3"/>
      <c r="L3" s="3"/>
      <c r="M3" s="3"/>
      <c r="N3" s="3"/>
      <c r="O3" s="3"/>
      <c r="P3" s="3"/>
      <c r="Q3" s="3"/>
    </row>
    <row r="4" spans="1:17">
      <c r="A4" s="2"/>
      <c r="B4" s="2"/>
      <c r="C4" s="2"/>
      <c r="D4" s="2"/>
      <c r="E4" s="2"/>
      <c r="F4" s="2"/>
      <c r="G4" s="2"/>
      <c r="H4" s="2"/>
      <c r="I4" s="2"/>
      <c r="J4" s="2"/>
      <c r="K4" s="2"/>
      <c r="L4" s="2"/>
      <c r="M4" s="2"/>
      <c r="N4" s="2"/>
      <c r="O4" s="2"/>
      <c r="P4" s="2"/>
      <c r="Q4" s="2"/>
    </row>
    <row r="5" spans="1:17">
      <c r="A5" s="4" t="s">
        <v>519</v>
      </c>
      <c r="B5" s="4"/>
      <c r="C5" s="4"/>
      <c r="D5" s="4"/>
      <c r="E5" s="4"/>
      <c r="F5" s="4"/>
      <c r="G5" s="4"/>
      <c r="H5" s="4"/>
      <c r="I5" s="4"/>
      <c r="J5" s="4"/>
      <c r="K5" s="4"/>
      <c r="L5" s="4"/>
      <c r="M5" s="4"/>
      <c r="N5" s="4"/>
      <c r="O5" s="4"/>
      <c r="P5" s="4"/>
      <c r="Q5" s="4"/>
    </row>
    <row r="6" ht="42" customHeight="1" spans="1:17">
      <c r="A6" s="5" t="s">
        <v>520</v>
      </c>
      <c r="B6" s="5" t="s">
        <v>521</v>
      </c>
      <c r="C6" s="5" t="s">
        <v>522</v>
      </c>
      <c r="D6" s="5" t="s">
        <v>523</v>
      </c>
      <c r="E6" s="5" t="s">
        <v>524</v>
      </c>
      <c r="F6" s="5" t="s">
        <v>525</v>
      </c>
      <c r="G6" s="5" t="s">
        <v>526</v>
      </c>
      <c r="H6" s="5" t="s">
        <v>527</v>
      </c>
      <c r="I6" s="5" t="s">
        <v>528</v>
      </c>
      <c r="J6" s="5" t="s">
        <v>529</v>
      </c>
      <c r="K6" s="5" t="s">
        <v>530</v>
      </c>
      <c r="L6" s="5" t="s">
        <v>531</v>
      </c>
      <c r="M6" s="5" t="s">
        <v>532</v>
      </c>
      <c r="N6" s="5" t="s">
        <v>533</v>
      </c>
      <c r="O6" s="5" t="s">
        <v>534</v>
      </c>
      <c r="P6" s="5" t="s">
        <v>535</v>
      </c>
      <c r="Q6" s="5" t="s">
        <v>536</v>
      </c>
    </row>
    <row r="7" ht="34" customHeight="1" spans="1:17">
      <c r="A7" s="2">
        <v>1</v>
      </c>
      <c r="B7" s="6" t="s">
        <v>497</v>
      </c>
      <c r="C7" s="2">
        <f>COUNTIF(five子指标合并明细!$C$2:$C$181,A7)</f>
        <v>36</v>
      </c>
      <c r="D7" s="2">
        <f>SUMIF(five子指标合并明细!$C$2:$C$181,A7,five子指标合并明细!$O$2:$O$181)</f>
        <v>34</v>
      </c>
      <c r="E7" s="7">
        <f>D7/C7</f>
        <v>0.944444444444444</v>
      </c>
      <c r="F7" s="2">
        <f>COUNTIFS(five子指标合并明细!$C$2:$C$181,A7,five子指标合并明细!$P$2:$P$181,"&lt;&gt;")</f>
        <v>36</v>
      </c>
      <c r="G7" s="2">
        <f>SUMIF(five子指标合并明细!$C$2:$C$181,A7,five子指标合并明细!$R$2:$R$181)</f>
        <v>21</v>
      </c>
      <c r="H7" s="7">
        <f>G7/F7</f>
        <v>0.583333333333333</v>
      </c>
      <c r="I7" s="7">
        <f>(COUNTIFS(five子指标合并明细!$C$2:$C$181,A7,five子指标合并明细!$P$2:$P$181,"A")*COUNTIFS(five子指标合并明细!$C$2:$C$181,A7,five子指标合并明细!$Q$2:$Q$181,"A")+COUNTIFS(five子指标合并明细!$C$2:$C$181,A7,five子指标合并明细!$P$2:$P$181,"B")*COUNTIFS(five子指标合并明细!$C$2:$C$181,A7,five子指标合并明细!$Q$2:$Q$181,"B")+COUNTIFS(five子指标合并明细!$C$2:$C$181,A7,five子指标合并明细!$P$2:$P$181,"C")*COUNTIFS(five子指标合并明细!$C$2:$C$181,A7,five子指标合并明细!$Q$2:$Q$181,"C")+COUNTIFS(five子指标合并明细!$C$2:$C$181,A7,five子指标合并明细!$P$2:$P$181,"D(平局)")*COUNTIFS(five子指标合并明细!$C$2:$C$181,A7,five子指标合并明细!$Q$2:$Q$181,"D(平局)"))/(F7^2)</f>
        <v>0.25</v>
      </c>
      <c r="J7" s="10">
        <f>(H7-I7)/(1-I7)</f>
        <v>0.444444444444444</v>
      </c>
      <c r="K7" s="2">
        <f>COUNTIFS(five子指标合并明细!$C$2:$C$181,A7,five子指标合并明细!$P$2:$P$181,"A")</f>
        <v>9</v>
      </c>
      <c r="L7" s="2">
        <f>COUNTIFS(five子指标合并明细!$C$2:$C$181,A7,five子指标合并明细!$P$2:$P$181,"B")</f>
        <v>9</v>
      </c>
      <c r="M7" s="2">
        <f>COUNTIFS(five子指标合并明细!$C$2:$C$181,A7,five子指标合并明细!$P$2:$P$181,"C")</f>
        <v>2</v>
      </c>
      <c r="N7" s="2">
        <f>COUNTIFS(five子指标合并明细!$C$2:$C$181,A7,five子指标合并明细!$P$2:$P$181,"D(平局)")</f>
        <v>16</v>
      </c>
      <c r="O7" s="7">
        <f>N7/F7</f>
        <v>0.444444444444444</v>
      </c>
      <c r="P7" s="2">
        <f>COUNTIFS(five子指标合并明细!$C$2:$C$181,A7,five子指标合并明细!$U$2:$U$181,"双向评分平局")</f>
        <v>14</v>
      </c>
      <c r="Q7" s="2">
        <f>COUNTIFS(five子指标合并明细!$C$2:$C$181,A7,five子指标合并明细!$U$2:$U$181,"方向冲突")</f>
        <v>2</v>
      </c>
    </row>
    <row r="8" ht="34" customHeight="1" spans="1:17">
      <c r="A8" s="2">
        <v>2</v>
      </c>
      <c r="B8" s="6" t="s">
        <v>498</v>
      </c>
      <c r="C8" s="2">
        <f>COUNTIF(five子指标合并明细!$C$2:$C$181,A8)</f>
        <v>36</v>
      </c>
      <c r="D8" s="2">
        <f>SUMIF(five子指标合并明细!$C$2:$C$181,A8,five子指标合并明细!$O$2:$O$181)</f>
        <v>31</v>
      </c>
      <c r="E8" s="7">
        <f>D8/C8</f>
        <v>0.861111111111111</v>
      </c>
      <c r="F8" s="2">
        <f>COUNTIFS(five子指标合并明细!$C$2:$C$181,A8,five子指标合并明细!$P$2:$P$181,"&lt;&gt;")</f>
        <v>36</v>
      </c>
      <c r="G8" s="2">
        <f>SUMIF(five子指标合并明细!$C$2:$C$181,A8,five子指标合并明细!$R$2:$R$181)</f>
        <v>28</v>
      </c>
      <c r="H8" s="7">
        <f>G8/F8</f>
        <v>0.777777777777778</v>
      </c>
      <c r="I8" s="7">
        <f>(COUNTIFS(five子指标合并明细!$C$2:$C$181,A8,five子指标合并明细!$P$2:$P$181,"A")*COUNTIFS(five子指标合并明细!$C$2:$C$181,A8,five子指标合并明细!$Q$2:$Q$181,"A")+COUNTIFS(five子指标合并明细!$C$2:$C$181,A8,five子指标合并明细!$P$2:$P$181,"B")*COUNTIFS(five子指标合并明细!$C$2:$C$181,A8,five子指标合并明细!$Q$2:$Q$181,"B")+COUNTIFS(five子指标合并明细!$C$2:$C$181,A8,five子指标合并明细!$P$2:$P$181,"C")*COUNTIFS(five子指标合并明细!$C$2:$C$181,A8,five子指标合并明细!$Q$2:$Q$181,"C")+COUNTIFS(five子指标合并明细!$C$2:$C$181,A8,five子指标合并明细!$P$2:$P$181,"D(平局)")*COUNTIFS(five子指标合并明细!$C$2:$C$181,A8,five子指标合并明细!$Q$2:$Q$181,"D(平局)"))/(F8^2)</f>
        <v>0.326388888888889</v>
      </c>
      <c r="J8" s="10">
        <f>(H8-I8)/(1-I8)</f>
        <v>0.670103092783505</v>
      </c>
      <c r="K8" s="2">
        <f>COUNTIFS(five子指标合并明细!$C$2:$C$181,A8,five子指标合并明细!$P$2:$P$181,"A")</f>
        <v>15</v>
      </c>
      <c r="L8" s="2">
        <f>COUNTIFS(five子指标合并明细!$C$2:$C$181,A8,five子指标合并明细!$P$2:$P$181,"B")</f>
        <v>12</v>
      </c>
      <c r="M8" s="2">
        <f>COUNTIFS(five子指标合并明细!$C$2:$C$181,A8,five子指标合并明细!$P$2:$P$181,"C")</f>
        <v>2</v>
      </c>
      <c r="N8" s="2">
        <f>COUNTIFS(five子指标合并明细!$C$2:$C$181,A8,five子指标合并明细!$P$2:$P$181,"D(平局)")</f>
        <v>7</v>
      </c>
      <c r="O8" s="7">
        <f>N8/F8</f>
        <v>0.194444444444444</v>
      </c>
      <c r="P8" s="2">
        <f>COUNTIFS(five子指标合并明细!$C$2:$C$181,A8,five子指标合并明细!$U$2:$U$181,"双向评分平局")</f>
        <v>2</v>
      </c>
      <c r="Q8" s="2">
        <f>COUNTIFS(five子指标合并明细!$C$2:$C$181,A8,five子指标合并明细!$U$2:$U$181,"方向冲突")</f>
        <v>5</v>
      </c>
    </row>
    <row r="9" ht="34" customHeight="1" spans="1:17">
      <c r="A9" s="2">
        <v>3</v>
      </c>
      <c r="B9" s="6" t="s">
        <v>499</v>
      </c>
      <c r="C9" s="2">
        <f>COUNTIF(five子指标合并明细!$C$2:$C$181,A9)</f>
        <v>36</v>
      </c>
      <c r="D9" s="2">
        <f>SUMIF(five子指标合并明细!$C$2:$C$181,A9,five子指标合并明细!$O$2:$O$181)</f>
        <v>33</v>
      </c>
      <c r="E9" s="7">
        <f>D9/C9</f>
        <v>0.916666666666667</v>
      </c>
      <c r="F9" s="2">
        <f>COUNTIFS(five子指标合并明细!$C$2:$C$181,A9,five子指标合并明细!$P$2:$P$181,"&lt;&gt;")</f>
        <v>36</v>
      </c>
      <c r="G9" s="2">
        <f>SUMIF(five子指标合并明细!$C$2:$C$181,A9,five子指标合并明细!$R$2:$R$181)</f>
        <v>22</v>
      </c>
      <c r="H9" s="7">
        <f>G9/F9</f>
        <v>0.611111111111111</v>
      </c>
      <c r="I9" s="7">
        <f>(COUNTIFS(five子指标合并明细!$C$2:$C$181,A9,five子指标合并明细!$P$2:$P$181,"A")*COUNTIFS(five子指标合并明细!$C$2:$C$181,A9,five子指标合并明细!$Q$2:$Q$181,"A")+COUNTIFS(five子指标合并明细!$C$2:$C$181,A9,five子指标合并明细!$P$2:$P$181,"B")*COUNTIFS(five子指标合并明细!$C$2:$C$181,A9,five子指标合并明细!$Q$2:$Q$181,"B")+COUNTIFS(five子指标合并明细!$C$2:$C$181,A9,five子指标合并明细!$P$2:$P$181,"C")*COUNTIFS(five子指标合并明细!$C$2:$C$181,A9,five子指标合并明细!$Q$2:$Q$181,"C")+COUNTIFS(five子指标合并明细!$C$2:$C$181,A9,five子指标合并明细!$P$2:$P$181,"D(平局)")*COUNTIFS(five子指标合并明细!$C$2:$C$181,A9,five子指标合并明细!$Q$2:$Q$181,"D(平局)"))/(F9^2)</f>
        <v>0.260030864197531</v>
      </c>
      <c r="J9" s="10">
        <f>(H9-I9)/(1-I9)</f>
        <v>0.474452554744526</v>
      </c>
      <c r="K9" s="2">
        <f>COUNTIFS(five子指标合并明细!$C$2:$C$181,A9,five子指标合并明细!$P$2:$P$181,"A")</f>
        <v>10</v>
      </c>
      <c r="L9" s="2">
        <f>COUNTIFS(five子指标合并明细!$C$2:$C$181,A9,five子指标合并明细!$P$2:$P$181,"B")</f>
        <v>9</v>
      </c>
      <c r="M9" s="2">
        <f>COUNTIFS(five子指标合并明细!$C$2:$C$181,A9,five子指标合并明细!$P$2:$P$181,"C")</f>
        <v>2</v>
      </c>
      <c r="N9" s="2">
        <f>COUNTIFS(five子指标合并明细!$C$2:$C$181,A9,five子指标合并明细!$P$2:$P$181,"D(平局)")</f>
        <v>15</v>
      </c>
      <c r="O9" s="7">
        <f>N9/F9</f>
        <v>0.416666666666667</v>
      </c>
      <c r="P9" s="2">
        <f>COUNTIFS(five子指标合并明细!$C$2:$C$181,A9,five子指标合并明细!$U$2:$U$181,"双向评分平局")</f>
        <v>12</v>
      </c>
      <c r="Q9" s="2">
        <f>COUNTIFS(five子指标合并明细!$C$2:$C$181,A9,five子指标合并明细!$U$2:$U$181,"方向冲突")</f>
        <v>3</v>
      </c>
    </row>
    <row r="10" ht="34" customHeight="1" spans="1:17">
      <c r="A10" s="2">
        <v>4</v>
      </c>
      <c r="B10" s="6" t="s">
        <v>500</v>
      </c>
      <c r="C10" s="2">
        <f>COUNTIF(five子指标合并明细!$C$2:$C$181,A10)</f>
        <v>36</v>
      </c>
      <c r="D10" s="2">
        <f>SUMIF(five子指标合并明细!$C$2:$C$181,A10,five子指标合并明细!$O$2:$O$181)</f>
        <v>33</v>
      </c>
      <c r="E10" s="7">
        <f>D10/C10</f>
        <v>0.916666666666667</v>
      </c>
      <c r="F10" s="2">
        <f>COUNTIFS(five子指标合并明细!$C$2:$C$181,A10,five子指标合并明细!$P$2:$P$181,"&lt;&gt;")</f>
        <v>36</v>
      </c>
      <c r="G10" s="2">
        <f>SUMIF(five子指标合并明细!$C$2:$C$181,A10,five子指标合并明细!$R$2:$R$181)</f>
        <v>17</v>
      </c>
      <c r="H10" s="7">
        <f>G10/F10</f>
        <v>0.472222222222222</v>
      </c>
      <c r="I10" s="7">
        <f>(COUNTIFS(five子指标合并明细!$C$2:$C$181,A10,five子指标合并明细!$P$2:$P$181,"A")*COUNTIFS(five子指标合并明细!$C$2:$C$181,A10,five子指标合并明细!$Q$2:$Q$181,"A")+COUNTIFS(five子指标合并明细!$C$2:$C$181,A10,five子指标合并明细!$P$2:$P$181,"B")*COUNTIFS(five子指标合并明细!$C$2:$C$181,A10,five子指标合并明细!$Q$2:$Q$181,"B")+COUNTIFS(five子指标合并明细!$C$2:$C$181,A10,five子指标合并明细!$P$2:$P$181,"C")*COUNTIFS(five子指标合并明细!$C$2:$C$181,A10,five子指标合并明细!$Q$2:$Q$181,"C")+COUNTIFS(five子指标合并明细!$C$2:$C$181,A10,five子指标合并明细!$P$2:$P$181,"D(平局)")*COUNTIFS(five子指标合并明细!$C$2:$C$181,A10,five子指标合并明细!$Q$2:$Q$181,"D(平局)"))/(F10^2)</f>
        <v>0.219135802469136</v>
      </c>
      <c r="J10" s="10">
        <f>(H10-I10)/(1-I10)</f>
        <v>0.324110671936759</v>
      </c>
      <c r="K10" s="2">
        <f>COUNTIFS(five子指标合并明细!$C$2:$C$181,A10,five子指标合并明细!$P$2:$P$181,"A")</f>
        <v>7</v>
      </c>
      <c r="L10" s="2">
        <f>COUNTIFS(five子指标合并明细!$C$2:$C$181,A10,five子指标合并明细!$P$2:$P$181,"B")</f>
        <v>7</v>
      </c>
      <c r="M10" s="2">
        <f>COUNTIFS(five子指标合并明细!$C$2:$C$181,A10,five子指标合并明细!$P$2:$P$181,"C")</f>
        <v>1</v>
      </c>
      <c r="N10" s="2">
        <f>COUNTIFS(five子指标合并明细!$C$2:$C$181,A10,five子指标合并明细!$P$2:$P$181,"D(平局)")</f>
        <v>21</v>
      </c>
      <c r="O10" s="7">
        <f>N10/F10</f>
        <v>0.583333333333333</v>
      </c>
      <c r="P10" s="2">
        <f>COUNTIFS(five子指标合并明细!$C$2:$C$181,A10,five子指标合并明细!$U$2:$U$181,"双向评分平局")</f>
        <v>18</v>
      </c>
      <c r="Q10" s="2">
        <f>COUNTIFS(five子指标合并明细!$C$2:$C$181,A10,five子指标合并明细!$U$2:$U$181,"方向冲突")</f>
        <v>3</v>
      </c>
    </row>
    <row r="11" ht="34" customHeight="1" spans="1:17">
      <c r="A11" s="2">
        <v>5</v>
      </c>
      <c r="B11" s="6" t="s">
        <v>501</v>
      </c>
      <c r="C11" s="2">
        <f>COUNTIF(five子指标合并明细!$C$2:$C$181,A11)</f>
        <v>36</v>
      </c>
      <c r="D11" s="2">
        <f>SUMIF(five子指标合并明细!$C$2:$C$181,A11,five子指标合并明细!$O$2:$O$181)</f>
        <v>30</v>
      </c>
      <c r="E11" s="7">
        <f>D11/C11</f>
        <v>0.833333333333333</v>
      </c>
      <c r="F11" s="2">
        <f>COUNTIFS(five子指标合并明细!$C$2:$C$181,A11,five子指标合并明细!$P$2:$P$181,"&lt;&gt;")</f>
        <v>36</v>
      </c>
      <c r="G11" s="2">
        <f>SUMIF(five子指标合并明细!$C$2:$C$181,A11,five子指标合并明细!$R$2:$R$181)</f>
        <v>20</v>
      </c>
      <c r="H11" s="7">
        <f>G11/F11</f>
        <v>0.555555555555556</v>
      </c>
      <c r="I11" s="7">
        <f>(COUNTIFS(five子指标合并明细!$C$2:$C$181,A11,five子指标合并明细!$P$2:$P$181,"A")*COUNTIFS(five子指标合并明细!$C$2:$C$181,A11,five子指标合并明细!$Q$2:$Q$181,"A")+COUNTIFS(five子指标合并明细!$C$2:$C$181,A11,five子指标合并明细!$P$2:$P$181,"B")*COUNTIFS(five子指标合并明细!$C$2:$C$181,A11,five子指标合并明细!$Q$2:$Q$181,"B")+COUNTIFS(five子指标合并明细!$C$2:$C$181,A11,five子指标合并明细!$P$2:$P$181,"C")*COUNTIFS(five子指标合并明细!$C$2:$C$181,A11,five子指标合并明细!$Q$2:$Q$181,"C")+COUNTIFS(five子指标合并明细!$C$2:$C$181,A11,five子指标合并明细!$P$2:$P$181,"D(平局)")*COUNTIFS(five子指标合并明细!$C$2:$C$181,A11,five子指标合并明细!$Q$2:$Q$181,"D(平局)"))/(F11^2)</f>
        <v>0.223765432098765</v>
      </c>
      <c r="J11" s="10">
        <f>(H11-I11)/(1-I11)</f>
        <v>0.427435387673956</v>
      </c>
      <c r="K11" s="2">
        <f>COUNTIFS(five子指标合并明细!$C$2:$C$181,A11,five子指标合并明细!$P$2:$P$181,"A")</f>
        <v>8</v>
      </c>
      <c r="L11" s="2">
        <f>COUNTIFS(five子指标合并明细!$C$2:$C$181,A11,five子指标合并明细!$P$2:$P$181,"B")</f>
        <v>6</v>
      </c>
      <c r="M11" s="2">
        <f>COUNTIFS(five子指标合并明细!$C$2:$C$181,A11,five子指标合并明细!$P$2:$P$181,"C")</f>
        <v>2</v>
      </c>
      <c r="N11" s="2">
        <f>COUNTIFS(five子指标合并明细!$C$2:$C$181,A11,five子指标合并明细!$P$2:$P$181,"D(平局)")</f>
        <v>20</v>
      </c>
      <c r="O11" s="7">
        <f>N11/F11</f>
        <v>0.555555555555556</v>
      </c>
      <c r="P11" s="2">
        <f>COUNTIFS(five子指标合并明细!$C$2:$C$181,A11,five子指标合并明细!$U$2:$U$181,"双向评分平局")</f>
        <v>14</v>
      </c>
      <c r="Q11" s="2">
        <f>COUNTIFS(five子指标合并明细!$C$2:$C$181,A11,five子指标合并明细!$U$2:$U$181,"方向冲突")</f>
        <v>6</v>
      </c>
    </row>
    <row r="12" spans="1:17">
      <c r="A12" s="2"/>
      <c r="B12" s="2"/>
      <c r="C12" s="2"/>
      <c r="D12" s="2"/>
      <c r="E12" s="2"/>
      <c r="F12" s="2"/>
      <c r="G12" s="2"/>
      <c r="H12" s="2"/>
      <c r="I12" s="2"/>
      <c r="J12" s="2"/>
      <c r="K12" s="2"/>
      <c r="L12" s="2"/>
      <c r="M12" s="2"/>
      <c r="N12" s="2"/>
      <c r="O12" s="2"/>
      <c r="P12" s="2"/>
      <c r="Q12" s="2"/>
    </row>
    <row r="13" spans="1:17">
      <c r="A13" s="2"/>
      <c r="B13" s="2"/>
      <c r="C13" s="2"/>
      <c r="D13" s="2"/>
      <c r="E13" s="2"/>
      <c r="F13" s="2"/>
      <c r="G13" s="2"/>
      <c r="H13" s="2"/>
      <c r="I13" s="2"/>
      <c r="J13" s="2"/>
      <c r="K13" s="2"/>
      <c r="L13" s="2"/>
      <c r="M13" s="2"/>
      <c r="N13" s="2"/>
      <c r="O13" s="2"/>
      <c r="P13" s="2"/>
      <c r="Q13" s="2"/>
    </row>
    <row r="14" spans="1:17">
      <c r="A14" s="4" t="s">
        <v>537</v>
      </c>
      <c r="B14" s="4"/>
      <c r="C14" s="4"/>
      <c r="D14" s="4"/>
      <c r="E14" s="4"/>
      <c r="F14" s="4"/>
      <c r="G14" s="4"/>
      <c r="H14" s="4"/>
      <c r="I14" s="4"/>
      <c r="J14" s="4"/>
      <c r="K14" s="4"/>
      <c r="L14" s="4"/>
      <c r="M14" s="4"/>
      <c r="N14" s="4"/>
      <c r="O14" s="4"/>
      <c r="P14" s="4"/>
      <c r="Q14" s="4"/>
    </row>
    <row r="15" spans="1:17">
      <c r="A15" s="8" t="s">
        <v>538</v>
      </c>
      <c r="B15" s="8">
        <v>72</v>
      </c>
      <c r="C15" s="8"/>
      <c r="D15" s="2"/>
      <c r="E15" s="2"/>
      <c r="F15" s="2"/>
      <c r="G15" s="2"/>
      <c r="H15" s="2"/>
      <c r="I15" s="2"/>
      <c r="J15" s="2"/>
      <c r="K15" s="2"/>
      <c r="L15" s="2"/>
      <c r="M15" s="2"/>
      <c r="N15" s="2"/>
      <c r="O15" s="2"/>
      <c r="P15" s="2"/>
      <c r="Q15" s="2"/>
    </row>
    <row r="16" spans="1:17">
      <c r="A16" s="8" t="s">
        <v>539</v>
      </c>
      <c r="B16" s="8">
        <v>360</v>
      </c>
      <c r="C16" s="8"/>
      <c r="D16" s="2"/>
      <c r="E16" s="2"/>
      <c r="F16" s="2"/>
      <c r="G16" s="2"/>
      <c r="H16" s="2"/>
      <c r="I16" s="2"/>
      <c r="J16" s="2"/>
      <c r="K16" s="2"/>
      <c r="L16" s="2"/>
      <c r="M16" s="2"/>
      <c r="N16" s="2"/>
      <c r="O16" s="2"/>
      <c r="P16" s="2"/>
      <c r="Q16" s="2"/>
    </row>
    <row r="17" spans="1:17">
      <c r="A17" s="8" t="s">
        <v>540</v>
      </c>
      <c r="B17" s="8">
        <v>360</v>
      </c>
      <c r="C17" s="8"/>
      <c r="D17" s="2"/>
      <c r="E17" s="2"/>
      <c r="F17" s="2"/>
      <c r="G17" s="2"/>
      <c r="H17" s="2"/>
      <c r="I17" s="2"/>
      <c r="J17" s="2"/>
      <c r="K17" s="2"/>
      <c r="L17" s="2"/>
      <c r="M17" s="2"/>
      <c r="N17" s="2"/>
      <c r="O17" s="2"/>
      <c r="P17" s="2"/>
      <c r="Q17" s="2"/>
    </row>
    <row r="18" spans="1:17">
      <c r="A18" s="8" t="s">
        <v>541</v>
      </c>
      <c r="B18" s="8">
        <v>0</v>
      </c>
      <c r="C18" s="8"/>
      <c r="D18" s="2"/>
      <c r="E18" s="2"/>
      <c r="F18" s="2"/>
      <c r="G18" s="2"/>
      <c r="H18" s="2"/>
      <c r="I18" s="2"/>
      <c r="J18" s="2"/>
      <c r="K18" s="2"/>
      <c r="L18" s="2"/>
      <c r="M18" s="2"/>
      <c r="N18" s="2"/>
      <c r="O18" s="2"/>
      <c r="P18" s="2"/>
      <c r="Q18" s="2"/>
    </row>
    <row r="19" spans="1:17">
      <c r="A19" s="8" t="s">
        <v>542</v>
      </c>
      <c r="B19" s="8">
        <v>71</v>
      </c>
      <c r="C19" s="9">
        <f>B19/B15</f>
        <v>0.986111111111111</v>
      </c>
      <c r="D19" s="2"/>
      <c r="E19" s="2"/>
      <c r="F19" s="2"/>
      <c r="G19" s="2"/>
      <c r="H19" s="2"/>
      <c r="I19" s="2"/>
      <c r="J19" s="2"/>
      <c r="K19" s="2"/>
      <c r="L19" s="2"/>
      <c r="M19" s="2"/>
      <c r="N19" s="2"/>
      <c r="O19" s="2"/>
      <c r="P19" s="2"/>
      <c r="Q19" s="2"/>
    </row>
    <row r="20" spans="1:17">
      <c r="A20" s="2"/>
      <c r="B20" s="2"/>
      <c r="C20" s="2"/>
      <c r="D20" s="2"/>
      <c r="E20" s="2"/>
      <c r="F20" s="2"/>
      <c r="G20" s="2"/>
      <c r="H20" s="2"/>
      <c r="I20" s="2"/>
      <c r="J20" s="2"/>
      <c r="K20" s="2"/>
      <c r="L20" s="2"/>
      <c r="M20" s="2"/>
      <c r="N20" s="2"/>
      <c r="O20" s="2"/>
      <c r="P20" s="2"/>
      <c r="Q20" s="2"/>
    </row>
    <row r="21" spans="1:17">
      <c r="A21" s="2"/>
      <c r="B21" s="2"/>
      <c r="C21" s="2"/>
      <c r="D21" s="2"/>
      <c r="E21" s="2"/>
      <c r="F21" s="2"/>
      <c r="G21" s="2"/>
      <c r="H21" s="2"/>
      <c r="I21" s="2"/>
      <c r="J21" s="2"/>
      <c r="K21" s="2"/>
      <c r="L21" s="2"/>
      <c r="M21" s="2"/>
      <c r="N21" s="2"/>
      <c r="O21" s="2"/>
      <c r="P21" s="2"/>
      <c r="Q21" s="2"/>
    </row>
    <row r="22" spans="1:17">
      <c r="A22" s="4" t="s">
        <v>543</v>
      </c>
      <c r="B22" s="4"/>
      <c r="C22" s="4"/>
      <c r="D22" s="4"/>
      <c r="E22" s="4"/>
      <c r="F22" s="4"/>
      <c r="G22" s="4"/>
      <c r="H22" s="4"/>
      <c r="I22" s="2"/>
      <c r="J22" s="2"/>
      <c r="K22" s="2"/>
      <c r="L22" s="2"/>
      <c r="M22" s="2"/>
      <c r="N22" s="2"/>
      <c r="O22" s="2"/>
      <c r="P22" s="2"/>
      <c r="Q22" s="2"/>
    </row>
    <row r="23" spans="1:17">
      <c r="A23" s="5" t="s">
        <v>0</v>
      </c>
      <c r="B23" s="5" t="s">
        <v>483</v>
      </c>
      <c r="C23" s="5" t="s">
        <v>484</v>
      </c>
      <c r="D23" s="5" t="s">
        <v>544</v>
      </c>
      <c r="E23" s="5" t="s">
        <v>545</v>
      </c>
      <c r="F23" s="5" t="s">
        <v>546</v>
      </c>
      <c r="G23" s="5" t="s">
        <v>495</v>
      </c>
      <c r="H23" s="5" t="s">
        <v>496</v>
      </c>
      <c r="I23" s="2"/>
      <c r="J23" s="2"/>
      <c r="K23" s="2"/>
      <c r="L23" s="2"/>
      <c r="M23" s="2"/>
      <c r="N23" s="2"/>
      <c r="O23" s="2"/>
      <c r="P23" s="2"/>
      <c r="Q23" s="2"/>
    </row>
    <row r="24" spans="1:17">
      <c r="A24" s="2" t="s">
        <v>255</v>
      </c>
      <c r="B24" s="2" t="s">
        <v>50</v>
      </c>
      <c r="C24" s="2" t="s">
        <v>17</v>
      </c>
      <c r="D24" s="2">
        <v>23</v>
      </c>
      <c r="E24" s="2">
        <v>22</v>
      </c>
      <c r="F24" s="2" t="s">
        <v>22</v>
      </c>
      <c r="G24" s="2" t="s">
        <v>77</v>
      </c>
      <c r="H24" s="2">
        <v>124</v>
      </c>
      <c r="I24" s="2"/>
      <c r="J24" s="2"/>
      <c r="K24" s="2"/>
      <c r="L24" s="2"/>
      <c r="M24" s="2"/>
      <c r="N24" s="2"/>
      <c r="O24" s="2"/>
      <c r="P24" s="2"/>
      <c r="Q24" s="2"/>
    </row>
  </sheetData>
  <mergeCells count="5">
    <mergeCell ref="A1:Q1"/>
    <mergeCell ref="A3:Q3"/>
    <mergeCell ref="A5:Q5"/>
    <mergeCell ref="A14:Q14"/>
    <mergeCell ref="A22:H2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实验结果</vt:lpstr>
      <vt:lpstr>five子指标方向明细</vt:lpstr>
      <vt:lpstr>five子指标合并明细</vt:lpstr>
      <vt:lpstr>five子指标汇总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Chen_ru</cp:lastModifiedBy>
  <dcterms:created xsi:type="dcterms:W3CDTF">2026-08-17T11:53:45Z</dcterms:created>
  <dcterms:modified xsi:type="dcterms:W3CDTF">2026-08-17T11:55:16Z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01E01405383C4EE7A4811E8E688B19FB_12</vt:lpwstr>
  </property>
  <property fmtid="{D5CDD505-2E9C-101B-9397-08002B2CF9AE}" pid="3" name="KSOProductBuildVer">
    <vt:lpwstr>2052-12.1.0.20305</vt:lpwstr>
  </property>
</Properties>
</file>