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281536f09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5061f2350dfa4495"/>
    <x:sheet xmlns:r="http://schemas.openxmlformats.org/officeDocument/2006/relationships" name="计算明细" sheetId="2" r:id="R908889a6a285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51bb0747c4607" /><Relationship Type="http://schemas.openxmlformats.org/officeDocument/2006/relationships/theme" Target="/xl/theme/theme1.xml" Id="Reafc6522948c4251" /><Relationship Type="http://schemas.openxmlformats.org/officeDocument/2006/relationships/sharedStrings" Target="/xl/sharedStrings.xml" Id="Ra37c382776e54d43" /><Relationship Type="http://schemas.openxmlformats.org/officeDocument/2006/relationships/worksheet" Target="/xl/worksheets/sheet1.xml" Id="R5061f2350dfa4495" /><Relationship Type="http://schemas.openxmlformats.org/officeDocument/2006/relationships/worksheet" Target="/xl/worksheets/sheet2.xml" Id="R908889a6a285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GLM-52 · Codex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GLM-52</x:v>
      </x:c>
      <x:c r="B4" s="81" t="str">
        <x:v>Codex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30</x:v>
      </x:c>
      <x:c r="G4" s="82" t="n">
        <x:f>F4/E4</x:f>
        <x:v>0.8333333333333334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0.36651234567901236</x:v>
      </x:c>
      <x:c r="I4" s="83" t="n">
        <x:f>(G4-H4)/(1-H4)</x:f>
        <x:v>0.7369062119366626</x:v>
      </x:c>
      <x:c r="J4" s="82" t="str">
        <x:v>—</x:v>
      </x:c>
      <x:c r="K4" s="84" t="str">
        <x:v>—</x:v>
      </x:c>
    </x:row>
    <x:row r="5">
      <x:c r="A5" s="85" t="str">
        <x:v>GLM-52</x:v>
      </x:c>
      <x:c r="B5" s="86" t="str">
        <x:v>Codex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29</x:v>
      </x:c>
      <x:c r="G5" s="87" t="n">
        <x:f>F5/E5</x:f>
        <x:v>0.8055555555555556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0.33719135802469136</x:v>
      </x:c>
      <x:c r="I5" s="88" t="n">
        <x:f>(G5-H5)/(1-H5)</x:f>
        <x:v>0.7066356228172294</x:v>
      </x:c>
      <x:c r="J5" s="87" t="str">
        <x:v>—</x:v>
      </x:c>
      <x:c r="K5" s="89" t="str">
        <x:v>—</x:v>
      </x:c>
    </x:row>
    <x:row r="6">
      <x:c r="A6" s="85" t="str">
        <x:v>GLM-52</x:v>
      </x:c>
      <x:c r="B6" s="86" t="str">
        <x:v>Codex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59</x:v>
      </x:c>
      <x:c r="G6" s="87" t="n">
        <x:f>F6/E6</x:f>
        <x:v>0.8194444444444444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0.35185185185185186</x:v>
      </x:c>
      <x:c r="I6" s="88" t="n">
        <x:f>(G6-H6)/(1-H6)</x:f>
        <x:v>0.7214285714285714</x:v>
      </x:c>
      <x:c r="J6" s="87" t="str">
        <x:v>—</x:v>
      </x:c>
      <x:c r="K6" s="89" t="str">
        <x:v>—</x:v>
      </x:c>
    </x:row>
    <x:row r="7">
      <x:c r="A7" s="90" t="str">
        <x:v>GLM-52</x:v>
      </x:c>
      <x:c r="B7" s="91" t="str">
        <x:v>Codex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28</x:v>
      </x:c>
      <x:c r="G7" s="92" t="n">
        <x:f>F7/E7</x:f>
        <x:v>0.7777777777777778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0.32098765432098764</x:v>
      </x:c>
      <x:c r="I7" s="93" t="n">
        <x:f>(G7-H7)/(1-H7)</x:f>
        <x:v>0.6727272727272727</x:v>
      </x:c>
      <x:c r="J7" s="92" t="n">
        <x:f>AVERAGE('计算明细'!S2:S37)</x:f>
        <x:v>0.8333333333333334</x:v>
      </x:c>
      <x:c r="K7" s="94" t="n">
        <x:f>AVERAGE('计算明细'!T2:T37)</x:f>
        <x:v>0.19444444444444445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GLM-52 · Codex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GLM-52</x:v>
      </x:c>
      <x:c r="B13" s="81" t="str">
        <x:v>Codex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31</x:v>
      </x:c>
      <x:c r="G13" s="82" t="n">
        <x:f>F13/E13</x:f>
        <x:v>0.8611111111111112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0.3618827160493827</x:v>
      </x:c>
      <x:c r="I13" s="96" t="n">
        <x:f>(G13-H13)/(1-H13)</x:f>
        <x:v>0.7823458282950424</x:v>
      </x:c>
      <x:c r="J13" s="76"/>
      <x:c r="K13" s="76"/>
    </x:row>
    <x:row r="14">
      <x:c r="A14" s="85" t="str">
        <x:v>GLM-52</x:v>
      </x:c>
      <x:c r="B14" s="86" t="str">
        <x:v>Codex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28</x:v>
      </x:c>
      <x:c r="G14" s="87" t="n">
        <x:f>F14/E14</x:f>
        <x:v>0.7777777777777778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0.35725308641975306</x:v>
      </x:c>
      <x:c r="I14" s="97" t="n">
        <x:f>(G14-H14)/(1-H14)</x:f>
        <x:v>0.6542617046818728</x:v>
      </x:c>
      <x:c r="J14" s="76"/>
      <x:c r="K14" s="76"/>
    </x:row>
    <x:row r="15">
      <x:c r="A15" s="85" t="str">
        <x:v>GLM-52</x:v>
      </x:c>
      <x:c r="B15" s="86" t="str">
        <x:v>Codex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30</x:v>
      </x:c>
      <x:c r="G15" s="87" t="n">
        <x:f>F15/E15</x:f>
        <x:v>0.8333333333333334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0.36574074074074076</x:v>
      </x:c>
      <x:c r="I15" s="97" t="n">
        <x:f>(G15-H15)/(1-H15)</x:f>
        <x:v>0.7372262773722628</x:v>
      </x:c>
      <x:c r="J15" s="76"/>
      <x:c r="K15" s="76"/>
    </x:row>
    <x:row r="16">
      <x:c r="A16" s="85" t="str">
        <x:v>GLM-52</x:v>
      </x:c>
      <x:c r="B16" s="86" t="str">
        <x:v>Codex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29</x:v>
      </x:c>
      <x:c r="G16" s="87" t="n">
        <x:f>F16/E16</x:f>
        <x:v>0.8055555555555556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0.33719135802469136</x:v>
      </x:c>
      <x:c r="I16" s="97" t="n">
        <x:f>(G16-H16)/(1-H16)</x:f>
        <x:v>0.7066356228172294</x:v>
      </x:c>
      <x:c r="J16" s="76"/>
      <x:c r="K16" s="76"/>
    </x:row>
    <x:row r="17">
      <x:c r="A17" s="85" t="str">
        <x:v>GLM-52</x:v>
      </x:c>
      <x:c r="B17" s="86" t="str">
        <x:v>Codex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27</x:v>
      </x:c>
      <x:c r="G17" s="87" t="n">
        <x:f>F17/E17</x:f>
        <x:v>0.75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0.3271604938271605</x:v>
      </x:c>
      <x:c r="I17" s="97" t="n">
        <x:f>(G17-H17)/(1-H17)</x:f>
        <x:v>0.6284403669724771</x:v>
      </x:c>
      <x:c r="J17" s="76"/>
      <x:c r="K17" s="76"/>
    </x:row>
    <x:row r="18">
      <x:c r="A18" s="85" t="str">
        <x:v>GLM-52</x:v>
      </x:c>
      <x:c r="B18" s="86" t="str">
        <x:v>Codex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30</x:v>
      </x:c>
      <x:c r="G18" s="87" t="n">
        <x:f>F18/E18</x:f>
        <x:v>0.8333333333333334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0.3464506172839506</x:v>
      </x:c>
      <x:c r="I18" s="97" t="n">
        <x:f>(G18-H18)/(1-H18)</x:f>
        <x:v>0.7449822904368358</x:v>
      </x:c>
      <x:c r="J18" s="76"/>
      <x:c r="K18" s="76"/>
    </x:row>
    <x:row r="19">
      <x:c r="A19" s="85" t="str">
        <x:v>GLM-52</x:v>
      </x:c>
      <x:c r="B19" s="86" t="str">
        <x:v>Codex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60</x:v>
      </x:c>
      <x:c r="G19" s="87" t="n">
        <x:f>F19/E19</x:f>
        <x:v>0.8333333333333334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0.34953703703703703</x:v>
      </x:c>
      <x:c r="I19" s="97" t="n">
        <x:f>(G19-H19)/(1-H19)</x:f>
        <x:v>0.7437722419928826</x:v>
      </x:c>
      <x:c r="J19" s="76"/>
      <x:c r="K19" s="76"/>
    </x:row>
    <x:row r="20">
      <x:c r="A20" s="85" t="str">
        <x:v>GLM-52</x:v>
      </x:c>
      <x:c r="B20" s="86" t="str">
        <x:v>Codex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55</x:v>
      </x:c>
      <x:c r="G20" s="87" t="n">
        <x:f>F20/E20</x:f>
        <x:v>0.7638888888888888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0.3422067901234568</x:v>
      </x:c>
      <x:c r="I20" s="97" t="n">
        <x:f>(G20-H20)/(1-H20)</x:f>
        <x:v>0.6410557184750733</x:v>
      </x:c>
      <x:c r="J20" s="76"/>
      <x:c r="K20" s="76"/>
    </x:row>
    <x:row r="21">
      <x:c r="A21" s="85" t="str">
        <x:v>GLM-52</x:v>
      </x:c>
      <x:c r="B21" s="86" t="str">
        <x:v>Codex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60</x:v>
      </x:c>
      <x:c r="G21" s="87" t="n">
        <x:f>F21/E21</x:f>
        <x:v>0.8333333333333334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0.3560956790123457</x:v>
      </x:c>
      <x:c r="I21" s="97" t="n">
        <x:f>(G21-H21)/(1-H21)</x:f>
        <x:v>0.7411623726782506</x:v>
      </x:c>
      <x:c r="J21" s="76"/>
      <x:c r="K21" s="76"/>
    </x:row>
    <x:row r="22">
      <x:c r="A22" s="85" t="str">
        <x:v>GLM-52</x:v>
      </x:c>
      <x:c r="B22" s="86" t="str">
        <x:v>Codex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29</x:v>
      </x:c>
      <x:c r="G22" s="87" t="n">
        <x:f>F22/E22</x:f>
        <x:v>0.8055555555555556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0.3263888888888889</x:v>
      </x:c>
      <x:c r="I22" s="97" t="n">
        <x:f>(G22-H22)/(1-H22)</x:f>
        <x:v>0.711340206185567</x:v>
      </x:c>
      <x:c r="J22" s="76"/>
      <x:c r="K22" s="76"/>
    </x:row>
    <x:row r="23">
      <x:c r="A23" s="85" t="str">
        <x:v>GLM-52</x:v>
      </x:c>
      <x:c r="B23" s="86" t="str">
        <x:v>Codex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26</x:v>
      </x:c>
      <x:c r="G23" s="87" t="n">
        <x:f>F23/E23</x:f>
        <x:v>0.7222222222222222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0.2908950617283951</x:v>
      </x:c>
      <x:c r="I23" s="97" t="n">
        <x:f>(G23-H23)/(1-H23)</x:f>
        <x:v>0.6082698585418933</x:v>
      </x:c>
      <x:c r="J23" s="76"/>
      <x:c r="K23" s="76"/>
    </x:row>
    <x:row r="24">
      <x:c r="A24" s="90" t="str">
        <x:v>GLM-52</x:v>
      </x:c>
      <x:c r="B24" s="91" t="str">
        <x:v>Codex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29</x:v>
      </x:c>
      <x:c r="G24" s="92" t="n">
        <x:f>F24/E24</x:f>
        <x:v>0.8055555555555556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0.33024691358024694</x:v>
      </x:c>
      <x:c r="I24" s="98" t="n">
        <x:f>(G24-H24)/(1-H24)</x:f>
        <x:v>0.7096774193548387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D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D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0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0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B</x:v>
      </x:c>
      <x:c r="I5" s="11" t="str">
        <x:v>B</x:v>
      </x:c>
      <x:c r="J5" s="11" t="str">
        <x:v>A</x:v>
      </x:c>
      <x:c r="K5" s="11" t="str">
        <x:f>IF(COUNTIF(H5:J5,"A")&gt;=2,"A",IF(COUNTIF(H5:J5,"B")&gt;=2,"B",IF(COUNTIF(H5:J5,"C")&gt;=2,"C","D")))</x:f>
        <x:v>B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D</x:v>
      </x:c>
      <x:c r="I8" s="11" t="str">
        <x:v>D</x:v>
      </x:c>
      <x:c r="J8" s="11" t="str">
        <x:v>A</x:v>
      </x:c>
      <x:c r="K8" s="11" t="str">
        <x:f>IF(COUNTIF(H8:J8,"A")&gt;=2,"A",IF(COUNTIF(H8:J8,"B")&gt;=2,"B",IF(COUNTIF(H8:J8,"C")&gt;=2,"C","D")))</x:f>
        <x:v>D</x:v>
      </x:c>
      <x:c r="L8" s="11" t="str">
        <x:f>IF(D8=H8,D8,"D")</x:f>
        <x:v>D</x:v>
      </x:c>
      <x:c r="M8" s="11" t="str">
        <x:f>IF(E8=I8,E8,"D")</x:f>
        <x:v>D</x:v>
      </x:c>
      <x:c r="N8" s="11" t="str">
        <x:f>IF(F8=J8,F8,"D")</x:f>
        <x:v>A</x:v>
      </x:c>
      <x:c r="O8" s="11" t="str">
        <x:f>IF(G8=K8,G8,"D")</x:f>
        <x:v>D</x:v>
      </x:c>
      <x:c r="P8" s="11" t="n">
        <x:f>--(G8=C8)</x:f>
        <x:v>0</x:v>
      </x:c>
      <x:c r="Q8" s="11" t="n">
        <x:f>--(K8=C8)</x:f>
        <x:v>1</x:v>
      </x:c>
      <x:c r="R8" s="11" t="n">
        <x:f>--(O8=C8)</x:f>
        <x:v>1</x:v>
      </x:c>
      <x:c r="S8" s="11" t="n">
        <x:f>--(G8=K8)</x:f>
        <x:v>0</x:v>
      </x:c>
      <x:c r="T8" s="11" t="n">
        <x:f>--(O8="D")</x:f>
        <x:v>1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1</x:v>
      </x:c>
      <x:c r="Y8" s="11" t="n">
        <x:f>--(I8=C8)</x:f>
        <x:v>1</x:v>
      </x:c>
      <x:c r="Z8" s="11" t="n">
        <x:f>--(J8=C8)</x:f>
        <x:v>0</x:v>
      </x:c>
      <x:c r="AA8" s="11" t="n">
        <x:f>--(L8=C8)</x:f>
        <x:v>1</x:v>
      </x:c>
      <x:c r="AB8" s="11" t="n">
        <x:f>--(M8=C8)</x:f>
        <x:v>1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D</x:v>
      </x:c>
      <x:c r="I11" s="11" t="str">
        <x:v>D</x:v>
      </x:c>
      <x:c r="J11" s="11" t="str">
        <x:v>D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1</x:v>
      </x:c>
      <x:c r="Y11" s="11" t="n">
        <x:f>--(I11=C11)</x:f>
        <x:v>1</x:v>
      </x:c>
      <x:c r="Z11" s="11" t="n">
        <x:f>--(J11=C11)</x:f>
        <x:v>1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A</x:v>
      </x:c>
      <x:c r="I12" s="11" t="str">
        <x:v>A</x:v>
      </x:c>
      <x:c r="J12" s="11" t="str">
        <x:v>A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A</x:v>
      </x:c>
      <x:c r="M12" s="11" t="str">
        <x:f>IF(E12=I12,E12,"D")</x:f>
        <x:v>A</x:v>
      </x:c>
      <x:c r="N12" s="11" t="str">
        <x:f>IF(F12=J12,F12,"D")</x:f>
        <x:v>A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1</x:v>
      </x:c>
      <x:c r="Y12" s="11" t="n">
        <x:f>--(I12=C12)</x:f>
        <x:v>1</x:v>
      </x:c>
      <x:c r="Z12" s="11" t="n">
        <x:f>--(J12=C12)</x:f>
        <x:v>1</x:v>
      </x:c>
      <x:c r="AA12" s="11" t="n">
        <x:f>--(L12=C12)</x:f>
        <x:v>1</x:v>
      </x:c>
      <x:c r="AB12" s="11" t="n">
        <x:f>--(M12=C12)</x:f>
        <x:v>1</x:v>
      </x:c>
      <x:c r="AC12" s="12" t="n">
        <x:f>--(N12=C12)</x:f>
        <x:v>1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A</x:v>
      </x:c>
      <x:c r="F14" s="11" t="str">
        <x:v>A</x:v>
      </x:c>
      <x:c r="G14" s="11" t="str">
        <x:f>IF(COUNTIF(D14:F14,"A")&gt;=2,"A",IF(COUNTIF(D14:F14,"B")&gt;=2,"B",IF(COUNTIF(D14:F14,"C")&gt;=2,"C","D")))</x:f>
        <x:v>A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D</x:v>
      </x:c>
      <x:c r="O14" s="11" t="str">
        <x:f>IF(G14=K14,G14,"D")</x:f>
        <x:v>D</x:v>
      </x:c>
      <x:c r="P14" s="11" t="n">
        <x:f>--(G14=C14)</x:f>
        <x:v>0</x:v>
      </x:c>
      <x:c r="Q14" s="11" t="n">
        <x:f>--(K14=C14)</x:f>
        <x:v>1</x:v>
      </x:c>
      <x:c r="R14" s="11" t="n">
        <x:f>--(O14=C14)</x:f>
        <x:v>0</x:v>
      </x:c>
      <x:c r="S14" s="11" t="n">
        <x:f>--(G14=K14)</x:f>
        <x:v>0</x:v>
      </x:c>
      <x:c r="T14" s="11" t="n">
        <x:f>--(O14="D")</x:f>
        <x:v>1</x:v>
      </x:c>
      <x:c r="U14" s="11" t="n">
        <x:f>--(D14=C14)</x:f>
        <x:v>1</x:v>
      </x:c>
      <x:c r="V14" s="11" t="n">
        <x:f>--(E14=C14)</x:f>
        <x:v>0</x:v>
      </x:c>
      <x:c r="W14" s="11" t="n">
        <x:f>--(F14=C14)</x:f>
        <x:v>0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0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D</x:v>
      </x:c>
      <x:c r="F15" s="11" t="str">
        <x:v>D</x:v>
      </x:c>
      <x:c r="G15" s="11" t="str">
        <x:f>IF(COUNTIF(D15:F15,"A")&gt;=2,"A",IF(COUNTIF(D15:F15,"B")&gt;=2,"B",IF(COUNTIF(D15:F15,"C")&gt;=2,"C","D")))</x:f>
        <x:v>D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C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0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C</x:v>
      </x:c>
      <x:c r="I16" s="11" t="str">
        <x:v>C</x:v>
      </x:c>
      <x:c r="J16" s="11" t="str">
        <x:v>C</x:v>
      </x:c>
      <x:c r="K16" s="11" t="str">
        <x:f>IF(COUNTIF(H16:J16,"A")&gt;=2,"A",IF(COUNTIF(H16:J16,"B")&gt;=2,"B",IF(COUNTIF(H16:J16,"C")&gt;=2,"C","D")))</x:f>
        <x:v>C</x:v>
      </x:c>
      <x:c r="L16" s="11" t="str">
        <x:f>IF(D16=H16,D16,"D")</x:f>
        <x:v>D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C</x:v>
      </x:c>
      <x:c r="F22" s="11" t="str">
        <x:v>D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C</x:v>
      </x:c>
      <x:c r="N22" s="11" t="str">
        <x:f>IF(F22=J22,F22,"D")</x:f>
        <x:v>D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1</x:v>
      </x:c>
      <x:c r="V22" s="11" t="n">
        <x:f>--(E22=C22)</x:f>
        <x:v>1</x:v>
      </x:c>
      <x:c r="W22" s="11" t="n">
        <x:f>--(F22=C22)</x:f>
        <x:v>0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1</x:v>
      </x:c>
      <x:c r="AB22" s="11" t="n">
        <x:f>--(M22=C22)</x:f>
        <x:v>1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B</x:v>
      </x:c>
      <x:c r="F23" s="11" t="str">
        <x:v>A</x:v>
      </x:c>
      <x:c r="G23" s="11" t="str">
        <x:f>IF(COUNTIF(D23:F23,"A")&gt;=2,"A",IF(COUNTIF(D23:F23,"B")&gt;=2,"B",IF(COUNTIF(D23:F23,"C")&gt;=2,"C","D")))</x:f>
        <x:v>A</x:v>
      </x:c>
      <x:c r="H23" s="11" t="str">
        <x:v>A</x:v>
      </x:c>
      <x:c r="I23" s="11" t="str">
        <x:v>A</x:v>
      </x:c>
      <x:c r="J23" s="11" t="str">
        <x:v>A</x:v>
      </x:c>
      <x:c r="K23" s="11" t="str">
        <x:f>IF(COUNTIF(H23:J23,"A")&gt;=2,"A",IF(COUNTIF(H23:J23,"B")&gt;=2,"B",IF(COUNTIF(H23:J23,"C")&gt;=2,"C","D")))</x:f>
        <x:v>A</x:v>
      </x:c>
      <x:c r="L23" s="11" t="str">
        <x:f>IF(D23=H23,D23,"D")</x:f>
        <x:v>A</x:v>
      </x:c>
      <x:c r="M23" s="11" t="str">
        <x:f>IF(E23=I23,E23,"D")</x:f>
        <x:v>D</x:v>
      </x:c>
      <x:c r="N23" s="11" t="str">
        <x:f>IF(F23=J23,F23,"D")</x:f>
        <x:v>A</x:v>
      </x:c>
      <x:c r="O23" s="11" t="str">
        <x:f>IF(G23=K23,G23,"D")</x:f>
        <x:v>A</x:v>
      </x:c>
      <x:c r="P23" s="11" t="n">
        <x:f>--(G23=C23)</x:f>
        <x:v>1</x:v>
      </x:c>
      <x:c r="Q23" s="11" t="n">
        <x:f>--(K23=C23)</x:f>
        <x:v>1</x:v>
      </x:c>
      <x:c r="R23" s="11" t="n">
        <x:f>--(O23=C23)</x:f>
        <x:v>1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1</x:v>
      </x:c>
      <x:c r="V23" s="11" t="n">
        <x:f>--(E23=C23)</x:f>
        <x:v>0</x:v>
      </x:c>
      <x:c r="W23" s="11" t="n">
        <x:f>--(F23=C23)</x:f>
        <x:v>1</x:v>
      </x:c>
      <x:c r="X23" s="11" t="n">
        <x:f>--(H23=C23)</x:f>
        <x:v>1</x:v>
      </x:c>
      <x:c r="Y23" s="11" t="n">
        <x:f>--(I23=C23)</x:f>
        <x:v>1</x:v>
      </x:c>
      <x:c r="Z23" s="11" t="n">
        <x:f>--(J23=C23)</x:f>
        <x:v>1</x:v>
      </x:c>
      <x:c r="AA23" s="11" t="n">
        <x:f>--(L23=C23)</x:f>
        <x:v>1</x:v>
      </x:c>
      <x:c r="AB23" s="11" t="n">
        <x:f>--(M23=C23)</x:f>
        <x:v>0</x:v>
      </x:c>
      <x:c r="AC23" s="12" t="n">
        <x:f>--(N23=C23)</x:f>
        <x:v>1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A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A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D</x:v>
      </x:c>
      <x:c r="N26" s="11" t="str">
        <x:f>IF(F26=J26,F26,"D")</x:f>
        <x:v>D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1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B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B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1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1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B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B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1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B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D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0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0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B</x:v>
      </x:c>
      <x:c r="E37" s="14" t="str">
        <x:v>B</x:v>
      </x:c>
      <x:c r="F37" s="14" t="str">
        <x:v>C</x:v>
      </x:c>
      <x:c r="G37" s="14" t="str">
        <x:f>IF(COUNTIF(D37:F37,"A")&gt;=2,"A",IF(COUNTIF(D37:F37,"B")&gt;=2,"B",IF(COUNTIF(D37:F37,"C")&gt;=2,"C","D")))</x:f>
        <x:v>B</x:v>
      </x:c>
      <x:c r="H37" s="14" t="str">
        <x:v>B</x:v>
      </x:c>
      <x:c r="I37" s="14" t="str">
        <x:v>B</x:v>
      </x:c>
      <x:c r="J37" s="14" t="str">
        <x:v>C</x:v>
      </x:c>
      <x:c r="K37" s="14" t="str">
        <x:f>IF(COUNTIF(H37:J37,"A")&gt;=2,"A",IF(COUNTIF(H37:J37,"B")&gt;=2,"B",IF(COUNTIF(H37:J37,"C")&gt;=2,"C","D")))</x:f>
        <x:v>B</x:v>
      </x:c>
      <x:c r="L37" s="14" t="str">
        <x:f>IF(D37=H37,D37,"D")</x:f>
        <x:v>B</x:v>
      </x:c>
      <x:c r="M37" s="14" t="str">
        <x:f>IF(E37=I37,E37,"D")</x:f>
        <x:v>B</x:v>
      </x:c>
      <x:c r="N37" s="14" t="str">
        <x:f>IF(F37=J37,F37,"D")</x:f>
        <x:v>C</x:v>
      </x:c>
      <x:c r="O37" s="14" t="str">
        <x:f>IF(G37=K37,G37,"D")</x:f>
        <x:v>B</x:v>
      </x:c>
      <x:c r="P37" s="14" t="n">
        <x:f>--(G37=C37)</x:f>
        <x:v>0</x:v>
      </x:c>
      <x:c r="Q37" s="14" t="n">
        <x:f>--(K37=C37)</x:f>
        <x:v>0</x:v>
      </x:c>
      <x:c r="R37" s="14" t="n">
        <x:f>--(O37=C37)</x:f>
        <x:v>0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0</x:v>
      </x:c>
      <x:c r="V37" s="14" t="n">
        <x:f>--(E37=C37)</x:f>
        <x:v>0</x:v>
      </x:c>
      <x:c r="W37" s="14" t="n">
        <x:f>--(F37=C37)</x:f>
        <x:v>1</x:v>
      </x:c>
      <x:c r="X37" s="14" t="n">
        <x:f>--(H37=C37)</x:f>
        <x:v>0</x:v>
      </x:c>
      <x:c r="Y37" s="14" t="n">
        <x:f>--(I37=C37)</x:f>
        <x:v>0</x:v>
      </x:c>
      <x:c r="Z37" s="14" t="n">
        <x:f>--(J37=C37)</x:f>
        <x:v>1</x:v>
      </x:c>
      <x:c r="AA37" s="14" t="n">
        <x:f>--(L37=C37)</x:f>
        <x:v>0</x:v>
      </x:c>
      <x:c r="AB37" s="14" t="n">
        <x:f>--(M37=C37)</x:f>
        <x:v>0</x:v>
      </x:c>
      <x:c r="AC37" s="15" t="n">
        <x:f>--(N37=C37)</x:f>
        <x:v>1</x:v>
      </x:c>
    </x:row>
  </x:sheetData>
  <x:pageMargins left="0.7" right="0.7" top="0.75" bottom="0.75" header="0.3" footer="0.3"/>
</x:worksheet>
</file>