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9efec40ec48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Q1结果" sheetId="1" r:id="R8a82eea34d4e4d8a"/>
    <x:sheet xmlns:r="http://schemas.openxmlformats.org/officeDocument/2006/relationships" name="计算明细" sheetId="2" r:id="R28940ef87fcf49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10">
    <x:font>
      <x:sz val="11"/>
      <x:name val="Carlito"/>
    </x:font>
    <x:font>
      <x:b/>
      <x:sz val="10"/>
      <x:color rgb="FFFFFFFF"/>
      <x:name val="Microsoft YaHei"/>
    </x:font>
    <x:font>
      <x:sz val="9"/>
      <x:name val="Microsoft YaHei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  <x:font>
      <x:sz val="10"/>
      <x:name val="Microsoft YaHei"/>
    </x:font>
    <x:font>
      <x:b/>
      <x:sz val="10"/>
      <x:color rgb="FF17365D"/>
      <x:name val="Microsoft YaHei"/>
    </x:font>
    <x:font>
      <x:i/>
      <x:sz val="10"/>
      <x:color rgb="FF7F6000"/>
      <x:name val="Microsoft YaHei"/>
    </x:font>
    <x:font>
      <x:b/>
      <x:sz val="14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2">
    <x:border/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  <x:border>
      <x:right style="thin">
        <x:color rgb="FFB4C7E7"/>
      </x:right>
    </x:border>
    <x:border>
      <x:left style="thin">
        <x:color rgb="FFB4C7E7"/>
      </x:left>
      <x:right style="thin">
        <x:color rgb="FFB4C7E7"/>
      </x:right>
    </x:border>
    <x:border>
      <x:left style="thin">
        <x:color rgb="FFB4C7E7"/>
      </x:left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horizontal="center" wrapText="1"/>
    </x:xf>
    <x:xf numFmtId="0" fontId="4" fillId="3" borderId="11" xfId="0" applyNumberFormat="1" applyFont="1" applyFill="1" applyBorder="1" applyAlignment="1">
      <x:alignment horizontal="center" wrapText="1"/>
    </x:xf>
    <x:xf numFmtId="0" fontId="4" fillId="3" borderId="12" xfId="0" applyNumberFormat="1" applyFont="1" applyFill="1" applyBorder="1" applyAlignment="1">
      <x:alignment horizontal="center" wrapText="1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200" fontId="0" fillId="0" borderId="20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/>
    </x:xf>
    <x:xf numFmtId="201" fontId="0" fillId="0" borderId="20" xfId="0" applyNumberFormat="1" applyFont="1" applyFill="1" applyBorder="1" applyAlignment="1">
      <x:alignment horizontal="center" vertical="center"/>
    </x:xf>
    <x:xf numFmtId="200" fontId="0" fillId="0" borderId="15" xfId="0" applyNumberFormat="1" applyFont="1" applyFill="1" applyBorder="1" applyAlignment="1">
      <x:alignment horizontal="center" vertical="center"/>
    </x:xf>
    <x:xf numFmtId="200" fontId="0" fillId="0" borderId="18" xfId="0" applyNumberFormat="1" applyFont="1" applyFill="1" applyBorder="1" applyAlignment="1">
      <x:alignment horizontal="center" vertical="center"/>
    </x:xf>
    <x:xf numFmtId="200" fontId="0" fillId="0" borderId="21" xfId="0" applyNumberFormat="1" applyFont="1" applyFill="1" applyBorder="1" applyAlignment="1">
      <x:alignment horizontal="center" vertical="center"/>
    </x:xf>
    <x:xf numFmtId="201" fontId="0" fillId="0" borderId="15" xfId="0" applyNumberFormat="1" applyFont="1" applyFill="1" applyBorder="1" applyAlignment="1">
      <x:alignment horizontal="center" vertical="center"/>
    </x:xf>
    <x:xf numFmtId="201" fontId="0" fillId="0" borderId="18" xfId="0" applyNumberFormat="1" applyFont="1" applyFill="1" applyBorder="1" applyAlignment="1">
      <x:alignment horizontal="center" vertical="center"/>
    </x:xf>
    <x:xf numFmtId="201" fontId="0" fillId="0" borderId="2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10" xfId="0" applyNumberFormat="1" applyFont="1" applyFill="1" applyBorder="1" applyAlignment="1">
      <x:alignment horizontal="center" vertical="center" wrapText="1"/>
    </x:xf>
    <x:xf numFmtId="0" fontId="7" fillId="3" borderId="11" xfId="0" applyNumberFormat="1" applyFont="1" applyFill="1" applyBorder="1" applyAlignment="1">
      <x:alignment horizontal="center" vertical="center" wrapText="1"/>
    </x:xf>
    <x:xf numFmtId="0" fontId="7" fillId="3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 applyAlignment="1">
      <x:alignment horizontal="center" vertical="center"/>
    </x:xf>
    <x:xf numFmtId="0" fontId="6" fillId="0" borderId="14" xfId="0" applyNumberFormat="1" applyFont="1" applyFill="1" applyBorder="1" applyAlignment="1">
      <x:alignment horizontal="center" vertical="center"/>
    </x:xf>
    <x:xf numFmtId="200" fontId="6" fillId="0" borderId="14" xfId="0" applyNumberFormat="1" applyFont="1" applyFill="1" applyBorder="1" applyAlignment="1">
      <x:alignment horizontal="center" vertical="center"/>
    </x:xf>
    <x:xf numFmtId="201" fontId="6" fillId="0" borderId="14" xfId="0" applyNumberFormat="1" applyFont="1" applyFill="1" applyBorder="1" applyAlignment="1">
      <x:alignment horizontal="center" vertical="center"/>
    </x:xf>
    <x:xf numFmtId="200" fontId="6" fillId="0" borderId="15" xfId="0" applyNumberFormat="1" applyFont="1" applyFill="1" applyBorder="1" applyAlignment="1">
      <x:alignment horizontal="center" vertical="center"/>
    </x:xf>
    <x:xf numFmtId="0" fontId="6" fillId="0" borderId="16" xfId="0" applyNumberFormat="1" applyFont="1" applyFill="1" applyBorder="1" applyAlignment="1">
      <x:alignment horizontal="center" vertical="center"/>
    </x:xf>
    <x:xf numFmtId="0" fontId="6" fillId="0" borderId="17" xfId="0" applyNumberFormat="1" applyFont="1" applyFill="1" applyBorder="1" applyAlignment="1">
      <x:alignment horizontal="center" vertical="center"/>
    </x:xf>
    <x:xf numFmtId="200" fontId="6" fillId="0" borderId="17" xfId="0" applyNumberFormat="1" applyFont="1" applyFill="1" applyBorder="1" applyAlignment="1">
      <x:alignment horizontal="center" vertical="center"/>
    </x:xf>
    <x:xf numFmtId="201" fontId="6" fillId="0" borderId="17" xfId="0" applyNumberFormat="1" applyFont="1" applyFill="1" applyBorder="1" applyAlignment="1">
      <x:alignment horizontal="center" vertical="center"/>
    </x:xf>
    <x:xf numFmtId="200" fontId="6" fillId="0" borderId="18" xfId="0" applyNumberFormat="1" applyFont="1" applyFill="1" applyBorder="1" applyAlignment="1">
      <x:alignment horizontal="center" vertical="center"/>
    </x:xf>
    <x:xf numFmtId="0" fontId="6" fillId="0" borderId="19" xfId="0" applyNumberFormat="1" applyFont="1" applyFill="1" applyBorder="1" applyAlignment="1">
      <x:alignment horizontal="center" vertical="center"/>
    </x:xf>
    <x:xf numFmtId="0" fontId="6" fillId="0" borderId="20" xfId="0" applyNumberFormat="1" applyFont="1" applyFill="1" applyBorder="1" applyAlignment="1">
      <x:alignment horizontal="center" vertical="center"/>
    </x:xf>
    <x:xf numFmtId="200" fontId="6" fillId="0" borderId="20" xfId="0" applyNumberFormat="1" applyFont="1" applyFill="1" applyBorder="1" applyAlignment="1">
      <x:alignment horizontal="center" vertical="center"/>
    </x:xf>
    <x:xf numFmtId="201" fontId="6" fillId="0" borderId="20" xfId="0" applyNumberFormat="1" applyFont="1" applyFill="1" applyBorder="1" applyAlignment="1">
      <x:alignment horizontal="center" vertical="center"/>
    </x:xf>
    <x:xf numFmtId="200" fontId="6" fillId="0" borderId="21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wrapText="1"/>
    </x:xf>
    <x:xf numFmtId="201" fontId="6" fillId="0" borderId="15" xfId="0" applyNumberFormat="1" applyFont="1" applyFill="1" applyBorder="1" applyAlignment="1">
      <x:alignment horizontal="center" vertical="center"/>
    </x:xf>
    <x:xf numFmtId="201" fontId="6" fillId="0" borderId="18" xfId="0" applyNumberFormat="1" applyFont="1" applyFill="1" applyBorder="1" applyAlignment="1">
      <x:alignment horizontal="center" vertical="center"/>
    </x:xf>
    <x:xf numFmtId="201" fontId="6" fillId="0" borderId="2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c585aa85a34e79" /><Relationship Type="http://schemas.openxmlformats.org/officeDocument/2006/relationships/theme" Target="/xl/theme/theme1.xml" Id="R62749f4a120a4c37" /><Relationship Type="http://schemas.openxmlformats.org/officeDocument/2006/relationships/sharedStrings" Target="/xl/sharedStrings.xml" Id="R5e5431f95d6a4e5c" /><Relationship Type="http://schemas.openxmlformats.org/officeDocument/2006/relationships/worksheet" Target="/xl/worksheets/sheet1.xml" Id="R8a82eea34d4e4d8a" /><Relationship Type="http://schemas.openxmlformats.org/officeDocument/2006/relationships/worksheet" Target="/xl/worksheets/sheet2.xml" Id="R28940ef87fcf49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2" hidden="0" customWidth="1"/>
    <x:col min="5" max="5" width="10" hidden="0" customWidth="1"/>
    <x:col min="6" max="6" width="10" hidden="0" customWidth="1"/>
    <x:col min="7" max="7" width="21" hidden="0" customWidth="1"/>
    <x:col min="8" max="8" width="16" hidden="0" customWidth="1"/>
    <x:col min="9" max="9" width="14" hidden="0" customWidth="1"/>
    <x:col min="10" max="10" width="11" hidden="0" customWidth="1"/>
    <x:col min="11" max="11" width="11" hidden="0" customWidth="1"/>
  </x:cols>
  <x:sheetData>
    <x:row r="1" ht="28" customHeight="1">
      <x:c r="A1" s="99" t="str">
        <x:v>表1  三指标多数表决的 Judge 最终结果与人工的一致性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</x:row>
    <x:row r="2">
      <x:c r="A2" s="76" t="str">
        <x:v>Gemini-31-pro · OpenCode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</x:row>
    <x:row r="3" ht="34" customHeight="1">
      <x:c r="A3" s="77" t="str">
        <x:v>基础模型</x:v>
      </x:c>
      <x:c r="B3" s="78" t="str">
        <x:v>范式</x:v>
      </x:c>
      <x:c r="C3" s="78" t="str">
        <x:v>方向</x:v>
      </x:c>
      <x:c r="D3" s="78" t="str">
        <x:v>总候选对</x:v>
      </x:c>
      <x:c r="E3" s="78" t="str">
        <x:v>N有效</x:v>
      </x:c>
      <x:c r="F3" s="78" t="str">
        <x:v>一致数</x:v>
      </x:c>
      <x:c r="G3" s="78" t="str">
        <x:v>一致率（一致数/总样本）</x:v>
      </x:c>
      <x:c r="H3" s="78" t="str">
        <x:v>随机一致率Pe</x:v>
      </x:c>
      <x:c r="I3" s="78" t="str">
        <x:v>Cohen's κ</x:v>
      </x:c>
      <x:c r="J3" s="78" t="str">
        <x:v>PC</x:v>
      </x:c>
      <x:c r="K3" s="79" t="str">
        <x:v>FTR</x:v>
      </x:c>
    </x:row>
    <x:row r="4">
      <x:c r="A4" s="80" t="str">
        <x:v>Gemini-31-pro</x:v>
      </x:c>
      <x:c r="B4" s="81" t="str">
        <x:v>OpenCode</x:v>
      </x:c>
      <x:c r="C4" s="81" t="str">
        <x:v>l2r</x:v>
      </x:c>
      <x:c r="D4" s="81" t="n">
        <x:v>36</x:v>
      </x:c>
      <x:c r="E4" s="81" t="n">
        <x:v>36</x:v>
      </x:c>
      <x:c r="F4" s="81" t="n">
        <x:f>SUM('计算明细'!P2:P37)</x:f>
        <x:v>28</x:v>
      </x:c>
      <x:c r="G4" s="82" t="n">
        <x:f>F4/E4</x:f>
        <x:v>0.7777777777777778</x:v>
      </x:c>
      <x:c r="H4" s="82" t="n">
        <x:f>(((COUNTIF('计算明细'!G2:G37,"A"))*(COUNTIF('计算明细'!C2:C37,"A")))+((COUNTIF('计算明细'!G2:G37,"B"))*(COUNTIF('计算明细'!C2:C37,"B")))+((COUNTIF('计算明细'!G2:G37,"C"))*(COUNTIF('计算明细'!C2:C37,"C")))+((COUNTIF('计算明细'!G2:G37,"D"))*(COUNTIF('计算明细'!C2:C37,"D"))))/(36*36)</x:f>
        <x:v>0.3757716049382716</x:v>
      </x:c>
      <x:c r="I4" s="83" t="n">
        <x:f>(G4-H4)/(1-H4)</x:f>
        <x:v>0.6440049443757725</x:v>
      </x:c>
      <x:c r="J4" s="82" t="str">
        <x:v>—</x:v>
      </x:c>
      <x:c r="K4" s="84" t="str">
        <x:v>—</x:v>
      </x:c>
    </x:row>
    <x:row r="5">
      <x:c r="A5" s="85" t="str">
        <x:v>Gemini-31-pro</x:v>
      </x:c>
      <x:c r="B5" s="86" t="str">
        <x:v>OpenCode</x:v>
      </x:c>
      <x:c r="C5" s="86" t="str">
        <x:v>r2l</x:v>
      </x:c>
      <x:c r="D5" s="86" t="n">
        <x:v>36</x:v>
      </x:c>
      <x:c r="E5" s="86" t="n">
        <x:v>36</x:v>
      </x:c>
      <x:c r="F5" s="86" t="n">
        <x:f>SUM('计算明细'!Q2:Q37)</x:f>
        <x:v>29</x:v>
      </x:c>
      <x:c r="G5" s="87" t="n">
        <x:f>F5/E5</x:f>
        <x:v>0.8055555555555556</x:v>
      </x:c>
      <x:c r="H5" s="87" t="n">
        <x:f>(((COUNTIF('计算明细'!K2:K37,"A"))*(COUNTIF('计算明细'!C2:C37,"A")))+((COUNTIF('计算明细'!K2:K37,"B"))*(COUNTIF('计算明细'!C2:C37,"B")))+((COUNTIF('计算明细'!K2:K37,"C"))*(COUNTIF('计算明细'!C2:C37,"C")))+((COUNTIF('计算明细'!K2:K37,"D"))*(COUNTIF('计算明细'!C2:C37,"D"))))/(36*36)</x:f>
        <x:v>0.33641975308641975</x:v>
      </x:c>
      <x:c r="I5" s="88" t="n">
        <x:f>(G5-H5)/(1-H5)</x:f>
        <x:v>0.7069767441860465</x:v>
      </x:c>
      <x:c r="J5" s="87" t="str">
        <x:v>—</x:v>
      </x:c>
      <x:c r="K5" s="89" t="str">
        <x:v>—</x:v>
      </x:c>
    </x:row>
    <x:row r="6">
      <x:c r="A6" s="85" t="str">
        <x:v>Gemini-31-pro</x:v>
      </x:c>
      <x:c r="B6" s="86" t="str">
        <x:v>OpenCode</x:v>
      </x:c>
      <x:c r="C6" s="86" t="str">
        <x:v>合并</x:v>
      </x:c>
      <x:c r="D6" s="86" t="n">
        <x:v>72</x:v>
      </x:c>
      <x:c r="E6" s="86" t="n">
        <x:v>72</x:v>
      </x:c>
      <x:c r="F6" s="86" t="n">
        <x:f>SUM('计算明细'!P2:Q37)</x:f>
        <x:v>57</x:v>
      </x:c>
      <x:c r="G6" s="87" t="n">
        <x:f>F6/E6</x:f>
        <x:v>0.7916666666666666</x:v>
      </x:c>
      <x:c r="H6" s="87" t="n">
        <x:f>(((COUNTIF('计算明细'!G2:G37,"A")+COUNTIF('计算明细'!K2:K37,"A"))*(2*COUNTIF('计算明细'!C2:C37,"A")))+((COUNTIF('计算明细'!G2:G37,"B")+COUNTIF('计算明细'!K2:K37,"B"))*(2*COUNTIF('计算明细'!C2:C37,"B")))+((COUNTIF('计算明细'!G2:G37,"C")+COUNTIF('计算明细'!K2:K37,"C"))*(2*COUNTIF('计算明细'!C2:C37,"C")))+((COUNTIF('计算明细'!G2:G37,"D")+COUNTIF('计算明细'!K2:K37,"D"))*(2*COUNTIF('计算明细'!C2:C37,"D"))))/(72*72)</x:f>
        <x:v>0.3560956790123457</x:v>
      </x:c>
      <x:c r="I6" s="88" t="n">
        <x:f>(G6-H6)/(1-H6)</x:f>
        <x:v>0.6764529658478131</x:v>
      </x:c>
      <x:c r="J6" s="87" t="str">
        <x:v>—</x:v>
      </x:c>
      <x:c r="K6" s="89" t="str">
        <x:v>—</x:v>
      </x:c>
    </x:row>
    <x:row r="7">
      <x:c r="A7" s="90" t="str">
        <x:v>Gemini-31-pro</x:v>
      </x:c>
      <x:c r="B7" s="91" t="str">
        <x:v>OpenCode</x:v>
      </x:c>
      <x:c r="C7" s="91" t="str">
        <x:v>最终Judge</x:v>
      </x:c>
      <x:c r="D7" s="91" t="n">
        <x:v>36</x:v>
      </x:c>
      <x:c r="E7" s="91" t="n">
        <x:v>36</x:v>
      </x:c>
      <x:c r="F7" s="91" t="n">
        <x:f>SUM('计算明细'!R2:R37)</x:f>
        <x:v>27</x:v>
      </x:c>
      <x:c r="G7" s="92" t="n">
        <x:f>F7/E7</x:f>
        <x:v>0.75</x:v>
      </x:c>
      <x:c r="H7" s="92" t="n">
        <x:f>(((COUNTIF('计算明细'!O2:O37,"A"))*(COUNTIF('计算明细'!C2:C37,"A")))+((COUNTIF('计算明细'!O2:O37,"B"))*(COUNTIF('计算明细'!C2:C37,"B")))+((COUNTIF('计算明细'!O2:O37,"C"))*(COUNTIF('计算明细'!C2:C37,"C")))+((COUNTIF('计算明细'!O2:O37,"D"))*(COUNTIF('计算明细'!C2:C37,"D"))))/(36*36)</x:f>
        <x:v>0.32021604938271603</x:v>
      </x:c>
      <x:c r="I7" s="93" t="n">
        <x:f>(G7-H7)/(1-H7)</x:f>
        <x:v>0.6322360953461975</x:v>
      </x:c>
      <x:c r="J7" s="92" t="n">
        <x:f>AVERAGE('计算明细'!S2:S37)</x:f>
        <x:v>0.8333333333333334</x:v>
      </x:c>
      <x:c r="K7" s="94" t="n">
        <x:f>AVERAGE('计算明细'!T2:T37)</x:f>
        <x:v>0.19444444444444445</x:v>
      </x:c>
    </x:row>
    <x:row r="8">
      <x:c r="A8" s="95" t="str">
        <x:v>注：PC和FTR为设置级指标，仅在“最终Judge”行报告。平局统一记为D，并纳入A/B/C/D四分类计算Pe和κ。</x:v>
      </x:c>
      <x:c r="B8" s="95" t="str">
        <x:v>注：PC和FTR为设置级指标，仅在“最终Judge”行报告。平局统一记为D，并纳入A/B/C/D四分类计算Pe和κ。</x:v>
      </x:c>
      <x:c r="C8" s="95" t="str">
        <x:v>注：PC和FTR为设置级指标，仅在“最终Judge”行报告。平局统一记为D，并纳入A/B/C/D四分类计算Pe和κ。</x:v>
      </x:c>
      <x:c r="D8" s="95" t="str">
        <x:v>注：PC和FTR为设置级指标，仅在“最终Judge”行报告。平局统一记为D，并纳入A/B/C/D四分类计算Pe和κ。</x:v>
      </x:c>
      <x:c r="E8" s="95" t="str">
        <x:v>注：PC和FTR为设置级指标，仅在“最终Judge”行报告。平局统一记为D，并纳入A/B/C/D四分类计算Pe和κ。</x:v>
      </x:c>
      <x:c r="F8" s="95" t="str">
        <x:v>注：PC和FTR为设置级指标，仅在“最终Judge”行报告。平局统一记为D，并纳入A/B/C/D四分类计算Pe和κ。</x:v>
      </x:c>
      <x:c r="G8" s="95" t="str">
        <x:v>注：PC和FTR为设置级指标，仅在“最终Judge”行报告。平局统一记为D，并纳入A/B/C/D四分类计算Pe和κ。</x:v>
      </x:c>
      <x:c r="H8" s="95" t="str">
        <x:v>注：PC和FTR为设置级指标，仅在“最终Judge”行报告。平局统一记为D，并纳入A/B/C/D四分类计算Pe和κ。</x:v>
      </x:c>
      <x:c r="I8" s="95" t="str">
        <x:v>注：PC和FTR为设置级指标，仅在“最终Judge”行报告。平局统一记为D，并纳入A/B/C/D四分类计算Pe和κ。</x:v>
      </x:c>
      <x:c r="J8" s="95" t="str">
        <x:v>注：PC和FTR为设置级指标，仅在“最终Judge”行报告。平局统一记为D，并纳入A/B/C/D四分类计算Pe和κ。</x:v>
      </x:c>
      <x:c r="K8" s="95" t="str">
        <x:v>注：PC和FTR为设置级指标，仅在“最终Judge”行报告。平局统一记为D，并纳入A/B/C/D四分类计算Pe和κ。</x:v>
      </x:c>
    </x:row>
    <x:row r="9">
      <x:c r="A9" s="76"/>
      <x:c r="B9" s="76"/>
      <x:c r="C9" s="76"/>
      <x:c r="D9" s="76"/>
      <x:c r="E9" s="76"/>
      <x:c r="F9" s="76"/>
      <x:c r="G9" s="76"/>
      <x:c r="H9" s="76"/>
      <x:c r="I9" s="76"/>
      <x:c r="J9" s="76"/>
      <x:c r="K9" s="76"/>
    </x:row>
    <x:row r="10" ht="28" customHeight="1">
      <x:c r="A10" s="99" t="str">
        <x:v>表2  每个评价指标分别与人工结果的一致性</x:v>
      </x:c>
      <x:c r="B10" s="99"/>
      <x:c r="C10" s="99"/>
      <x:c r="D10" s="99"/>
      <x:c r="E10" s="99"/>
      <x:c r="F10" s="99"/>
      <x:c r="G10" s="99"/>
      <x:c r="H10" s="99"/>
      <x:c r="I10" s="99"/>
      <x:c r="J10" s="76"/>
      <x:c r="K10" s="76"/>
    </x:row>
    <x:row r="11">
      <x:c r="A11" s="76" t="str">
        <x:v>Gemini-31-pro · OpenCode</x:v>
      </x:c>
      <x:c r="B11" s="76"/>
      <x:c r="C11" s="76"/>
      <x:c r="D11" s="76"/>
      <x:c r="E11" s="76"/>
      <x:c r="F11" s="76"/>
      <x:c r="G11" s="76"/>
      <x:c r="H11" s="76"/>
      <x:c r="I11" s="76"/>
      <x:c r="J11" s="76"/>
      <x:c r="K11" s="76"/>
    </x:row>
    <x:row r="12" ht="34" customHeight="1">
      <x:c r="A12" s="77" t="str">
        <x:v>基础模型</x:v>
      </x:c>
      <x:c r="B12" s="78" t="str">
        <x:v>范式</x:v>
      </x:c>
      <x:c r="C12" s="78" t="str">
        <x:v>方向</x:v>
      </x:c>
      <x:c r="D12" s="78" t="str">
        <x:v>指标</x:v>
      </x:c>
      <x:c r="E12" s="78" t="str">
        <x:v>N有效</x:v>
      </x:c>
      <x:c r="F12" s="78" t="str">
        <x:v>一致数</x:v>
      </x:c>
      <x:c r="G12" s="78" t="str">
        <x:v>C_m,h</x:v>
      </x:c>
      <x:c r="H12" s="78" t="str">
        <x:v>随机一致率Pe</x:v>
      </x:c>
      <x:c r="I12" s="79" t="str">
        <x:v>Cohen's κ</x:v>
      </x:c>
      <x:c r="J12" s="76"/>
      <x:c r="K12" s="76"/>
    </x:row>
    <x:row r="13">
      <x:c r="A13" s="80" t="str">
        <x:v>Gemini-31-pro</x:v>
      </x:c>
      <x:c r="B13" s="81" t="str">
        <x:v>OpenCode</x:v>
      </x:c>
      <x:c r="C13" s="81" t="str">
        <x:v>l2r</x:v>
      </x:c>
      <x:c r="D13" s="81" t="str">
        <x:v>faithfulness</x:v>
      </x:c>
      <x:c r="E13" s="81" t="n">
        <x:v>36</x:v>
      </x:c>
      <x:c r="F13" s="81" t="n">
        <x:f>SUM('计算明细'!U2:U37)</x:f>
        <x:v>27</x:v>
      </x:c>
      <x:c r="G13" s="82" t="n">
        <x:f>F13/E13</x:f>
        <x:v>0.75</x:v>
      </x:c>
      <x:c r="H13" s="82" t="n">
        <x:f>(((COUNTIF('计算明细'!D2:D37,"A"))*(COUNTIF('计算明细'!C2:C37,"A")))+((COUNTIF('计算明细'!D2:D37,"B"))*(COUNTIF('计算明细'!C2:C37,"B")))+((COUNTIF('计算明细'!D2:D37,"C"))*(COUNTIF('计算明细'!C2:C37,"C")))+((COUNTIF('计算明细'!D2:D37,"D"))*(COUNTIF('计算明细'!C2:C37,"D"))))/(36*36)</x:f>
        <x:v>0.3611111111111111</x:v>
      </x:c>
      <x:c r="I13" s="96" t="n">
        <x:f>(G13-H13)/(1-H13)</x:f>
        <x:v>0.6086956521739131</x:v>
      </x:c>
      <x:c r="J13" s="76"/>
      <x:c r="K13" s="76"/>
    </x:row>
    <x:row r="14">
      <x:c r="A14" s="85" t="str">
        <x:v>Gemini-31-pro</x:v>
      </x:c>
      <x:c r="B14" s="86" t="str">
        <x:v>OpenCode</x:v>
      </x:c>
      <x:c r="C14" s="86" t="str">
        <x:v>l2r</x:v>
      </x:c>
      <x:c r="D14" s="86" t="str">
        <x:v>general</x:v>
      </x:c>
      <x:c r="E14" s="86" t="n">
        <x:v>36</x:v>
      </x:c>
      <x:c r="F14" s="86" t="n">
        <x:f>SUM('计算明细'!V2:V37)</x:f>
        <x:v>28</x:v>
      </x:c>
      <x:c r="G14" s="87" t="n">
        <x:f>F14/E14</x:f>
        <x:v>0.7777777777777778</x:v>
      </x:c>
      <x:c r="H14" s="87" t="n">
        <x:f>(((COUNTIF('计算明细'!E2:E37,"A"))*(COUNTIF('计算明细'!C2:C37,"A")))+((COUNTIF('计算明细'!E2:E37,"B"))*(COUNTIF('计算明细'!C2:C37,"B")))+((COUNTIF('计算明细'!E2:E37,"C"))*(COUNTIF('计算明细'!C2:C37,"C")))+((COUNTIF('计算明细'!E2:E37,"D"))*(COUNTIF('计算明细'!C2:C37,"D"))))/(36*36)</x:f>
        <x:v>0.3618827160493827</x:v>
      </x:c>
      <x:c r="I14" s="97" t="n">
        <x:f>(G14-H14)/(1-H14)</x:f>
        <x:v>0.6517533252720678</x:v>
      </x:c>
      <x:c r="J14" s="76"/>
      <x:c r="K14" s="76"/>
    </x:row>
    <x:row r="15">
      <x:c r="A15" s="85" t="str">
        <x:v>Gemini-31-pro</x:v>
      </x:c>
      <x:c r="B15" s="86" t="str">
        <x:v>OpenCode</x:v>
      </x:c>
      <x:c r="C15" s="86" t="str">
        <x:v>l2r</x:v>
      </x:c>
      <x:c r="D15" s="86" t="str">
        <x:v>five</x:v>
      </x:c>
      <x:c r="E15" s="86" t="n">
        <x:v>36</x:v>
      </x:c>
      <x:c r="F15" s="86" t="n">
        <x:f>SUM('计算明细'!W2:W37)</x:f>
        <x:v>29</x:v>
      </x:c>
      <x:c r="G15" s="87" t="n">
        <x:f>F15/E15</x:f>
        <x:v>0.8055555555555556</x:v>
      </x:c>
      <x:c r="H15" s="87" t="n">
        <x:f>(((COUNTIF('计算明细'!F2:F37,"A"))*(COUNTIF('计算明细'!C2:C37,"A")))+((COUNTIF('计算明细'!F2:F37,"B"))*(COUNTIF('计算明细'!C2:C37,"B")))+((COUNTIF('计算明细'!F2:F37,"C"))*(COUNTIF('计算明细'!C2:C37,"C")))+((COUNTIF('计算明细'!F2:F37,"D"))*(COUNTIF('计算明细'!C2:C37,"D"))))/(36*36)</x:f>
        <x:v>0.3757716049382716</x:v>
      </x:c>
      <x:c r="I15" s="97" t="n">
        <x:f>(G15-H15)/(1-H15)</x:f>
        <x:v>0.688504326328801</x:v>
      </x:c>
      <x:c r="J15" s="76"/>
      <x:c r="K15" s="76"/>
    </x:row>
    <x:row r="16">
      <x:c r="A16" s="85" t="str">
        <x:v>Gemini-31-pro</x:v>
      </x:c>
      <x:c r="B16" s="86" t="str">
        <x:v>OpenCode</x:v>
      </x:c>
      <x:c r="C16" s="86" t="str">
        <x:v>r2l</x:v>
      </x:c>
      <x:c r="D16" s="86" t="str">
        <x:v>faithfulness</x:v>
      </x:c>
      <x:c r="E16" s="86" t="n">
        <x:v>36</x:v>
      </x:c>
      <x:c r="F16" s="86" t="n">
        <x:f>SUM('计算明细'!X2:X37)</x:f>
        <x:v>26</x:v>
      </x:c>
      <x:c r="G16" s="87" t="n">
        <x:f>F16/E16</x:f>
        <x:v>0.7222222222222222</x:v>
      </x:c>
      <x:c r="H16" s="87" t="n">
        <x:f>(((COUNTIF('计算明细'!H2:H37,"A"))*(COUNTIF('计算明细'!C2:C37,"A")))+((COUNTIF('计算明细'!H2:H37,"B"))*(COUNTIF('计算明细'!C2:C37,"B")))+((COUNTIF('计算明细'!H2:H37,"C"))*(COUNTIF('计算明细'!C2:C37,"C")))+((COUNTIF('计算明细'!H2:H37,"D"))*(COUNTIF('计算明细'!C2:C37,"D"))))/(36*36)</x:f>
        <x:v>0.341820987654321</x:v>
      </x:c>
      <x:c r="I16" s="97" t="n">
        <x:f>(G16-H16)/(1-H16)</x:f>
        <x:v>0.577960140679953</x:v>
      </x:c>
      <x:c r="J16" s="76"/>
      <x:c r="K16" s="76"/>
    </x:row>
    <x:row r="17">
      <x:c r="A17" s="85" t="str">
        <x:v>Gemini-31-pro</x:v>
      </x:c>
      <x:c r="B17" s="86" t="str">
        <x:v>OpenCode</x:v>
      </x:c>
      <x:c r="C17" s="86" t="str">
        <x:v>r2l</x:v>
      </x:c>
      <x:c r="D17" s="86" t="str">
        <x:v>general</x:v>
      </x:c>
      <x:c r="E17" s="86" t="n">
        <x:v>36</x:v>
      </x:c>
      <x:c r="F17" s="86" t="n">
        <x:f>SUM('计算明细'!Y2:Y37)</x:f>
        <x:v>29</x:v>
      </x:c>
      <x:c r="G17" s="87" t="n">
        <x:f>F17/E17</x:f>
        <x:v>0.8055555555555556</x:v>
      </x:c>
      <x:c r="H17" s="87" t="n">
        <x:f>(((COUNTIF('计算明细'!I2:I37,"A"))*(COUNTIF('计算明细'!C2:C37,"A")))+((COUNTIF('计算明细'!I2:I37,"B"))*(COUNTIF('计算明细'!C2:C37,"B")))+((COUNTIF('计算明细'!I2:I37,"C"))*(COUNTIF('计算明细'!C2:C37,"C")))+((COUNTIF('计算明细'!I2:I37,"D"))*(COUNTIF('计算明细'!C2:C37,"D"))))/(36*36)</x:f>
        <x:v>0.341820987654321</x:v>
      </x:c>
      <x:c r="I17" s="97" t="n">
        <x:f>(G17-H17)/(1-H17)</x:f>
        <x:v>0.7045720984759672</x:v>
      </x:c>
      <x:c r="J17" s="76"/>
      <x:c r="K17" s="76"/>
    </x:row>
    <x:row r="18">
      <x:c r="A18" s="85" t="str">
        <x:v>Gemini-31-pro</x:v>
      </x:c>
      <x:c r="B18" s="86" t="str">
        <x:v>OpenCode</x:v>
      </x:c>
      <x:c r="C18" s="86" t="str">
        <x:v>r2l</x:v>
      </x:c>
      <x:c r="D18" s="86" t="str">
        <x:v>five</x:v>
      </x:c>
      <x:c r="E18" s="86" t="n">
        <x:v>36</x:v>
      </x:c>
      <x:c r="F18" s="86" t="n">
        <x:f>SUM('计算明细'!Z2:Z37)</x:f>
        <x:v>28</x:v>
      </x:c>
      <x:c r="G18" s="87" t="n">
        <x:f>F18/E18</x:f>
        <x:v>0.7777777777777778</x:v>
      </x:c>
      <x:c r="H18" s="87" t="n">
        <x:f>(((COUNTIF('计算明细'!J2:J37,"A"))*(COUNTIF('计算明细'!C2:C37,"A")))+((COUNTIF('计算明细'!J2:J37,"B"))*(COUNTIF('计算明细'!C2:C37,"B")))+((COUNTIF('计算明细'!J2:J37,"C"))*(COUNTIF('计算明细'!C2:C37,"C")))+((COUNTIF('计算明细'!J2:J37,"D"))*(COUNTIF('计算明细'!C2:C37,"D"))))/(36*36)</x:f>
        <x:v>0.3410493827160494</x:v>
      </x:c>
      <x:c r="I18" s="97" t="n">
        <x:f>(G18-H18)/(1-H18)</x:f>
        <x:v>0.6627634660421546</x:v>
      </x:c>
      <x:c r="J18" s="76"/>
      <x:c r="K18" s="76"/>
    </x:row>
    <x:row r="19">
      <x:c r="A19" s="85" t="str">
        <x:v>Gemini-31-pro</x:v>
      </x:c>
      <x:c r="B19" s="86" t="str">
        <x:v>OpenCode</x:v>
      </x:c>
      <x:c r="C19" s="86" t="str">
        <x:v>合并</x:v>
      </x:c>
      <x:c r="D19" s="86" t="str">
        <x:v>faithfulness</x:v>
      </x:c>
      <x:c r="E19" s="86" t="n">
        <x:v>72</x:v>
      </x:c>
      <x:c r="F19" s="86" t="n">
        <x:f>SUM('计算明细'!U2:U37)+SUM('计算明细'!X2:X37)</x:f>
        <x:v>53</x:v>
      </x:c>
      <x:c r="G19" s="87" t="n">
        <x:f>F19/E19</x:f>
        <x:v>0.7361111111111112</x:v>
      </x:c>
      <x:c r="H19" s="87" t="n">
        <x:f>(((COUNTIF('计算明细'!D2:D37,"A")+COUNTIF('计算明细'!H2:H37,"A"))*(2*COUNTIF('计算明细'!C2:C37,"A")))+((COUNTIF('计算明细'!D2:D37,"B")+COUNTIF('计算明细'!H2:H37,"B"))*(2*COUNTIF('计算明细'!C2:C37,"B")))+((COUNTIF('计算明细'!D2:D37,"C")+COUNTIF('计算明细'!H2:H37,"C"))*(2*COUNTIF('计算明细'!C2:C37,"C")))+((COUNTIF('计算明细'!D2:D37,"D")+COUNTIF('计算明细'!H2:H37,"D"))*(2*COUNTIF('计算明细'!C2:C37,"D"))))/(72*72)</x:f>
        <x:v>0.35146604938271603</x:v>
      </x:c>
      <x:c r="I19" s="97" t="n">
        <x:f>(G19-H19)/(1-H19)</x:f>
        <x:v>0.5930993456276027</x:v>
      </x:c>
      <x:c r="J19" s="76"/>
      <x:c r="K19" s="76"/>
    </x:row>
    <x:row r="20">
      <x:c r="A20" s="85" t="str">
        <x:v>Gemini-31-pro</x:v>
      </x:c>
      <x:c r="B20" s="86" t="str">
        <x:v>OpenCode</x:v>
      </x:c>
      <x:c r="C20" s="86" t="str">
        <x:v>合并</x:v>
      </x:c>
      <x:c r="D20" s="86" t="str">
        <x:v>general</x:v>
      </x:c>
      <x:c r="E20" s="86" t="n">
        <x:v>72</x:v>
      </x:c>
      <x:c r="F20" s="86" t="n">
        <x:f>SUM('计算明细'!V2:V37)+SUM('计算明细'!Y2:Y37)</x:f>
        <x:v>57</x:v>
      </x:c>
      <x:c r="G20" s="87" t="n">
        <x:f>F20/E20</x:f>
        <x:v>0.7916666666666666</x:v>
      </x:c>
      <x:c r="H20" s="87" t="n">
        <x:f>(((COUNTIF('计算明细'!E2:E37,"A")+COUNTIF('计算明细'!I2:I37,"A"))*(2*COUNTIF('计算明细'!C2:C37,"A")))+((COUNTIF('计算明细'!E2:E37,"B")+COUNTIF('计算明细'!I2:I37,"B"))*(2*COUNTIF('计算明细'!C2:C37,"B")))+((COUNTIF('计算明细'!E2:E37,"C")+COUNTIF('计算明细'!I2:I37,"C"))*(2*COUNTIF('计算明细'!C2:C37,"C")))+((COUNTIF('计算明细'!E2:E37,"D")+COUNTIF('计算明细'!I2:I37,"D"))*(2*COUNTIF('计算明细'!C2:C37,"D"))))/(72*72)</x:f>
        <x:v>0.35185185185185186</x:v>
      </x:c>
      <x:c r="I20" s="97" t="n">
        <x:f>(G20-H20)/(1-H20)</x:f>
        <x:v>0.6785714285714285</x:v>
      </x:c>
      <x:c r="J20" s="76"/>
      <x:c r="K20" s="76"/>
    </x:row>
    <x:row r="21">
      <x:c r="A21" s="85" t="str">
        <x:v>Gemini-31-pro</x:v>
      </x:c>
      <x:c r="B21" s="86" t="str">
        <x:v>OpenCode</x:v>
      </x:c>
      <x:c r="C21" s="86" t="str">
        <x:v>合并</x:v>
      </x:c>
      <x:c r="D21" s="86" t="str">
        <x:v>five</x:v>
      </x:c>
      <x:c r="E21" s="86" t="n">
        <x:v>72</x:v>
      </x:c>
      <x:c r="F21" s="86" t="n">
        <x:f>SUM('计算明细'!W2:W37)+SUM('计算明细'!Z2:Z37)</x:f>
        <x:v>57</x:v>
      </x:c>
      <x:c r="G21" s="87" t="n">
        <x:f>F21/E21</x:f>
        <x:v>0.7916666666666666</x:v>
      </x:c>
      <x:c r="H21" s="87" t="n">
        <x:f>(((COUNTIF('计算明细'!F2:F37,"A")+COUNTIF('计算明细'!J2:J37,"A"))*(2*COUNTIF('计算明细'!C2:C37,"A")))+((COUNTIF('计算明细'!F2:F37,"B")+COUNTIF('计算明细'!J2:J37,"B"))*(2*COUNTIF('计算明细'!C2:C37,"B")))+((COUNTIF('计算明细'!F2:F37,"C")+COUNTIF('计算明细'!J2:J37,"C"))*(2*COUNTIF('计算明细'!C2:C37,"C")))+((COUNTIF('计算明细'!F2:F37,"D")+COUNTIF('计算明细'!J2:J37,"D"))*(2*COUNTIF('计算明细'!C2:C37,"D"))))/(72*72)</x:f>
        <x:v>0.3584104938271605</x:v>
      </x:c>
      <x:c r="I21" s="97" t="n">
        <x:f>(G21-H21)/(1-H21)</x:f>
        <x:v>0.6752856283824413</x:v>
      </x:c>
      <x:c r="J21" s="76"/>
      <x:c r="K21" s="76"/>
    </x:row>
    <x:row r="22">
      <x:c r="A22" s="85" t="str">
        <x:v>Gemini-31-pro</x:v>
      </x:c>
      <x:c r="B22" s="86" t="str">
        <x:v>OpenCode</x:v>
      </x:c>
      <x:c r="C22" s="86" t="str">
        <x:v>最终Judge</x:v>
      </x:c>
      <x:c r="D22" s="86" t="str">
        <x:v>faithfulness</x:v>
      </x:c>
      <x:c r="E22" s="86" t="n">
        <x:v>36</x:v>
      </x:c>
      <x:c r="F22" s="86" t="n">
        <x:f>SUM('计算明细'!AA2:AA37)</x:f>
        <x:v>24</x:v>
      </x:c>
      <x:c r="G22" s="87" t="n">
        <x:f>F22/E22</x:f>
        <x:v>0.6666666666666666</x:v>
      </x:c>
      <x:c r="H22" s="87" t="n">
        <x:f>(((COUNTIF('计算明细'!L2:L37,"A"))*(COUNTIF('计算明细'!C2:C37,"A")))+((COUNTIF('计算明细'!L2:L37,"B"))*(COUNTIF('计算明细'!C2:C37,"B")))+((COUNTIF('计算明细'!L2:L37,"C"))*(COUNTIF('计算明细'!C2:C37,"C")))+((COUNTIF('计算明细'!L2:L37,"D"))*(COUNTIF('计算明细'!C2:C37,"D"))))/(36*36)</x:f>
        <x:v>0.3001543209876543</x:v>
      </x:c>
      <x:c r="I22" s="97" t="n">
        <x:f>(G22-H22)/(1-H22)</x:f>
        <x:v>0.5237045203969128</x:v>
      </x:c>
      <x:c r="J22" s="76"/>
      <x:c r="K22" s="76"/>
    </x:row>
    <x:row r="23">
      <x:c r="A23" s="85" t="str">
        <x:v>Gemini-31-pro</x:v>
      </x:c>
      <x:c r="B23" s="86" t="str">
        <x:v>OpenCode</x:v>
      </x:c>
      <x:c r="C23" s="86" t="str">
        <x:v>最终Judge</x:v>
      </x:c>
      <x:c r="D23" s="86" t="str">
        <x:v>general</x:v>
      </x:c>
      <x:c r="E23" s="86" t="n">
        <x:v>36</x:v>
      </x:c>
      <x:c r="F23" s="86" t="n">
        <x:f>SUM('计算明细'!AB2:AB37)</x:f>
        <x:v>27</x:v>
      </x:c>
      <x:c r="G23" s="87" t="n">
        <x:f>F23/E23</x:f>
        <x:v>0.75</x:v>
      </x:c>
      <x:c r="H23" s="87" t="n">
        <x:f>(((COUNTIF('计算明细'!M2:M37,"A"))*(COUNTIF('计算明细'!C2:C37,"A")))+((COUNTIF('计算明细'!M2:M37,"B"))*(COUNTIF('计算明细'!C2:C37,"B")))+((COUNTIF('计算明细'!M2:M37,"C"))*(COUNTIF('计算明细'!C2:C37,"C")))+((COUNTIF('计算明细'!M2:M37,"D"))*(COUNTIF('计算明细'!C2:C37,"D"))))/(36*36)</x:f>
        <x:v>0.33641975308641975</x:v>
      </x:c>
      <x:c r="I23" s="97" t="n">
        <x:f>(G23-H23)/(1-H23)</x:f>
        <x:v>0.6232558139534883</x:v>
      </x:c>
      <x:c r="J23" s="76"/>
      <x:c r="K23" s="76"/>
    </x:row>
    <x:row r="24">
      <x:c r="A24" s="90" t="str">
        <x:v>Gemini-31-pro</x:v>
      </x:c>
      <x:c r="B24" s="91" t="str">
        <x:v>OpenCode</x:v>
      </x:c>
      <x:c r="C24" s="91" t="str">
        <x:v>最终Judge</x:v>
      </x:c>
      <x:c r="D24" s="91" t="str">
        <x:v>five</x:v>
      </x:c>
      <x:c r="E24" s="91" t="n">
        <x:v>36</x:v>
      </x:c>
      <x:c r="F24" s="91" t="n">
        <x:f>SUM('计算明细'!AC2:AC37)</x:f>
        <x:v>27</x:v>
      </x:c>
      <x:c r="G24" s="92" t="n">
        <x:f>F24/E24</x:f>
        <x:v>0.75</x:v>
      </x:c>
      <x:c r="H24" s="92" t="n">
        <x:f>(((COUNTIF('计算明细'!N2:N37,"A"))*(COUNTIF('计算明细'!C2:C37,"A")))+((COUNTIF('计算明细'!N2:N37,"B"))*(COUNTIF('计算明细'!C2:C37,"B")))+((COUNTIF('计算明细'!N2:N37,"C"))*(COUNTIF('计算明细'!C2:C37,"C")))+((COUNTIF('计算明细'!N2:N37,"D"))*(COUNTIF('计算明细'!C2:C37,"D"))))/(36*36)</x:f>
        <x:v>0.33024691358024694</x:v>
      </x:c>
      <x:c r="I24" s="98" t="n">
        <x:f>(G24-H24)/(1-H24)</x:f>
        <x:v>0.6267281105990783</x:v>
      </x:c>
      <x:c r="J24" s="76"/>
      <x:c r="K24" s="76"/>
    </x:row>
    <x:row r="25">
      <x:c r="A25" s="95" t="str">
        <x:v>注：“合并”将L2R与R2L作为72条方向性判断合并统计；“最终Judge”先在同一指标内合并两种呈现顺序，结果不同时记为D。</x:v>
      </x:c>
      <x:c r="B25" s="95" t="str">
        <x:v>注：“合并”将L2R与R2L作为72条方向性判断合并统计；“最终Judge”先在同一指标内合并两种呈现顺序，结果不同时记为D。</x:v>
      </x:c>
      <x:c r="C25" s="95" t="str">
        <x:v>注：“合并”将L2R与R2L作为72条方向性判断合并统计；“最终Judge”先在同一指标内合并两种呈现顺序，结果不同时记为D。</x:v>
      </x:c>
      <x:c r="D25" s="95" t="str">
        <x:v>注：“合并”将L2R与R2L作为72条方向性判断合并统计；“最终Judge”先在同一指标内合并两种呈现顺序，结果不同时记为D。</x:v>
      </x:c>
      <x:c r="E25" s="95" t="str">
        <x:v>注：“合并”将L2R与R2L作为72条方向性判断合并统计；“最终Judge”先在同一指标内合并两种呈现顺序，结果不同时记为D。</x:v>
      </x:c>
      <x:c r="F25" s="95" t="str">
        <x:v>注：“合并”将L2R与R2L作为72条方向性判断合并统计；“最终Judge”先在同一指标内合并两种呈现顺序，结果不同时记为D。</x:v>
      </x:c>
      <x:c r="G25" s="95" t="str">
        <x:v>注：“合并”将L2R与R2L作为72条方向性判断合并统计；“最终Judge”先在同一指标内合并两种呈现顺序，结果不同时记为D。</x:v>
      </x:c>
      <x:c r="H25" s="95" t="str">
        <x:v>注：“合并”将L2R与R2L作为72条方向性判断合并统计；“最终Judge”先在同一指标内合并两种呈现顺序，结果不同时记为D。</x:v>
      </x:c>
      <x:c r="I25" s="95" t="str">
        <x:v>注：“合并”将L2R与R2L作为72条方向性判断合并统计；“最终Judge”先在同一指标内合并两种呈现顺序，结果不同时记为D。</x:v>
      </x:c>
      <x:c r="J25" s="76"/>
      <x:c r="K25" s="76"/>
    </x:row>
  </x:sheetData>
  <x:mergeCells>
    <x:mergeCell ref="A1:K1"/>
    <x:mergeCell ref="A10:I10"/>
    <x:mergeCell ref="A8:K8"/>
    <x:mergeCell ref="A25:I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</x:cols>
  <x:sheetData>
    <x:row r="1">
      <x:c r="A1" s="7" t="str">
        <x:v>需求name</x:v>
      </x:c>
      <x:c r="B1" s="8" t="str">
        <x:v>候选对</x:v>
      </x:c>
      <x:c r="C1" s="8" t="str">
        <x:v>人工结果</x:v>
      </x:c>
      <x:c r="D1" s="8" t="str">
        <x:v>Faith L2R</x:v>
      </x:c>
      <x:c r="E1" s="8" t="str">
        <x:v>General L2R</x:v>
      </x:c>
      <x:c r="F1" s="8" t="str">
        <x:v>Five L2R</x:v>
      </x:c>
      <x:c r="G1" s="8" t="str">
        <x:v>Judge L2R</x:v>
      </x:c>
      <x:c r="H1" s="8" t="str">
        <x:v>Faith R2L</x:v>
      </x:c>
      <x:c r="I1" s="8" t="str">
        <x:v>General R2L</x:v>
      </x:c>
      <x:c r="J1" s="8" t="str">
        <x:v>Five R2L</x:v>
      </x:c>
      <x:c r="K1" s="8" t="str">
        <x:v>Judge R2L</x:v>
      </x:c>
      <x:c r="L1" s="8" t="str">
        <x:v>Faith Final</x:v>
      </x:c>
      <x:c r="M1" s="8" t="str">
        <x:v>General Final</x:v>
      </x:c>
      <x:c r="N1" s="8" t="str">
        <x:v>Five Final</x:v>
      </x:c>
      <x:c r="O1" s="8" t="str">
        <x:v>Judge Final</x:v>
      </x:c>
      <x:c r="P1" s="8" t="str">
        <x:v>Judge L一致</x:v>
      </x:c>
      <x:c r="Q1" s="8" t="str">
        <x:v>Judge R一致</x:v>
      </x:c>
      <x:c r="R1" s="8" t="str">
        <x:v>Judge Final一致</x:v>
      </x:c>
      <x:c r="S1" s="8" t="str">
        <x:v>位置一致</x:v>
      </x:c>
      <x:c r="T1" s="8" t="str">
        <x:v>最终平局</x:v>
      </x:c>
      <x:c r="U1" s="8" t="str">
        <x:v>Faith L一致</x:v>
      </x:c>
      <x:c r="V1" s="8" t="str">
        <x:v>General L一致</x:v>
      </x:c>
      <x:c r="W1" s="8" t="str">
        <x:v>Five L一致</x:v>
      </x:c>
      <x:c r="X1" s="8" t="str">
        <x:v>Faith R一致</x:v>
      </x:c>
      <x:c r="Y1" s="8" t="str">
        <x:v>General R一致</x:v>
      </x:c>
      <x:c r="Z1" s="8" t="str">
        <x:v>Five R一致</x:v>
      </x:c>
      <x:c r="AA1" s="8" t="str">
        <x:v>Faith Final一致</x:v>
      </x:c>
      <x:c r="AB1" s="8" t="str">
        <x:v>General Final一致</x:v>
      </x:c>
      <x:c r="AC1" s="9" t="str">
        <x:v>Five Final一致</x:v>
      </x:c>
    </x:row>
    <x:row r="2">
      <x:c r="A2" s="10" t="str">
        <x:v>AdvancedAlloyCompositionOptimization</x:v>
      </x:c>
      <x:c r="B2" s="11" t="str">
        <x:v>A vs B</x:v>
      </x:c>
      <x:c r="C2" s="11" t="str">
        <x:v>A</x:v>
      </x:c>
      <x:c r="D2" s="11" t="str">
        <x:v>A</x:v>
      </x:c>
      <x:c r="E2" s="11" t="str">
        <x:v>A</x:v>
      </x:c>
      <x:c r="F2" s="11" t="str">
        <x:v>A</x:v>
      </x:c>
      <x:c r="G2" s="11" t="str">
        <x:f>IF(COUNTIF(D2:F2,"A")&gt;=2,"A",IF(COUNTIF(D2:F2,"B")&gt;=2,"B",IF(COUNTIF(D2:F2,"C")&gt;=2,"C","D")))</x:f>
        <x:v>A</x:v>
      </x:c>
      <x:c r="H2" s="11" t="str">
        <x:v>A</x:v>
      </x:c>
      <x:c r="I2" s="11" t="str">
        <x:v>A</x:v>
      </x:c>
      <x:c r="J2" s="11" t="str">
        <x:v>A</x:v>
      </x:c>
      <x:c r="K2" s="11" t="str">
        <x:f>IF(COUNTIF(H2:J2,"A")&gt;=2,"A",IF(COUNTIF(H2:J2,"B")&gt;=2,"B",IF(COUNTIF(H2:J2,"C")&gt;=2,"C","D")))</x:f>
        <x:v>A</x:v>
      </x:c>
      <x:c r="L2" s="11" t="str">
        <x:f>IF(D2=H2,D2,"D")</x:f>
        <x:v>A</x:v>
      </x:c>
      <x:c r="M2" s="11" t="str">
        <x:f>IF(E2=I2,E2,"D")</x:f>
        <x:v>A</x:v>
      </x:c>
      <x:c r="N2" s="11" t="str">
        <x:f>IF(F2=J2,F2,"D")</x:f>
        <x:v>A</x:v>
      </x:c>
      <x:c r="O2" s="11" t="str">
        <x:f>IF(G2=K2,G2,"D")</x:f>
        <x:v>A</x:v>
      </x:c>
      <x:c r="P2" s="11" t="n">
        <x:f>--(G2=C2)</x:f>
        <x:v>1</x:v>
      </x:c>
      <x:c r="Q2" s="11" t="n">
        <x:f>--(K2=C2)</x:f>
        <x:v>1</x:v>
      </x:c>
      <x:c r="R2" s="11" t="n">
        <x:f>--(O2=C2)</x:f>
        <x:v>1</x:v>
      </x:c>
      <x:c r="S2" s="11" t="n">
        <x:f>--(G2=K2)</x:f>
        <x:v>1</x:v>
      </x:c>
      <x:c r="T2" s="11" t="n">
        <x:f>--(O2="D")</x:f>
        <x:v>0</x:v>
      </x:c>
      <x:c r="U2" s="11" t="n">
        <x:f>--(D2=C2)</x:f>
        <x:v>1</x:v>
      </x:c>
      <x:c r="V2" s="11" t="n">
        <x:f>--(E2=C2)</x:f>
        <x:v>1</x:v>
      </x:c>
      <x:c r="W2" s="11" t="n">
        <x:f>--(F2=C2)</x:f>
        <x:v>1</x:v>
      </x:c>
      <x:c r="X2" s="11" t="n">
        <x:f>--(H2=C2)</x:f>
        <x:v>1</x:v>
      </x:c>
      <x:c r="Y2" s="11" t="n">
        <x:f>--(I2=C2)</x:f>
        <x:v>1</x:v>
      </x:c>
      <x:c r="Z2" s="11" t="n">
        <x:f>--(J2=C2)</x:f>
        <x:v>1</x:v>
      </x:c>
      <x:c r="AA2" s="11" t="n">
        <x:f>--(L2=C2)</x:f>
        <x:v>1</x:v>
      </x:c>
      <x:c r="AB2" s="11" t="n">
        <x:f>--(M2=C2)</x:f>
        <x:v>1</x:v>
      </x:c>
      <x:c r="AC2" s="12" t="n">
        <x:f>--(N2=C2)</x:f>
        <x:v>1</x:v>
      </x:c>
    </x:row>
    <x:row r="3">
      <x:c r="A3" s="10" t="str">
        <x:v>AdvancedAlloyCompositionOptimization</x:v>
      </x:c>
      <x:c r="B3" s="11" t="str">
        <x:v>A vs C</x:v>
      </x:c>
      <x:c r="C3" s="11" t="str">
        <x:v>A</x:v>
      </x:c>
      <x:c r="D3" s="11" t="str">
        <x:v>A</x:v>
      </x:c>
      <x:c r="E3" s="11" t="str">
        <x:v>A</x:v>
      </x:c>
      <x:c r="F3" s="11" t="str">
        <x:v>A</x:v>
      </x:c>
      <x:c r="G3" s="11" t="str">
        <x:f>IF(COUNTIF(D3:F3,"A")&gt;=2,"A",IF(COUNTIF(D3:F3,"B")&gt;=2,"B",IF(COUNTIF(D3:F3,"C")&gt;=2,"C","D")))</x:f>
        <x:v>A</x:v>
      </x:c>
      <x:c r="H3" s="11" t="str">
        <x:v>A</x:v>
      </x:c>
      <x:c r="I3" s="11" t="str">
        <x:v>A</x:v>
      </x:c>
      <x:c r="J3" s="11" t="str">
        <x:v>A</x:v>
      </x:c>
      <x:c r="K3" s="11" t="str">
        <x:f>IF(COUNTIF(H3:J3,"A")&gt;=2,"A",IF(COUNTIF(H3:J3,"B")&gt;=2,"B",IF(COUNTIF(H3:J3,"C")&gt;=2,"C","D")))</x:f>
        <x:v>A</x:v>
      </x:c>
      <x:c r="L3" s="11" t="str">
        <x:f>IF(D3=H3,D3,"D")</x:f>
        <x:v>A</x:v>
      </x:c>
      <x:c r="M3" s="11" t="str">
        <x:f>IF(E3=I3,E3,"D")</x:f>
        <x:v>A</x:v>
      </x:c>
      <x:c r="N3" s="11" t="str">
        <x:f>IF(F3=J3,F3,"D")</x:f>
        <x:v>A</x:v>
      </x:c>
      <x:c r="O3" s="11" t="str">
        <x:f>IF(G3=K3,G3,"D")</x:f>
        <x:v>A</x:v>
      </x:c>
      <x:c r="P3" s="11" t="n">
        <x:f>--(G3=C3)</x:f>
        <x:v>1</x:v>
      </x:c>
      <x:c r="Q3" s="11" t="n">
        <x:f>--(K3=C3)</x:f>
        <x:v>1</x:v>
      </x:c>
      <x:c r="R3" s="11" t="n">
        <x:f>--(O3=C3)</x:f>
        <x:v>1</x:v>
      </x:c>
      <x:c r="S3" s="11" t="n">
        <x:f>--(G3=K3)</x:f>
        <x:v>1</x:v>
      </x:c>
      <x:c r="T3" s="11" t="n">
        <x:f>--(O3="D")</x:f>
        <x:v>0</x:v>
      </x:c>
      <x:c r="U3" s="11" t="n">
        <x:f>--(D3=C3)</x:f>
        <x:v>1</x:v>
      </x:c>
      <x:c r="V3" s="11" t="n">
        <x:f>--(E3=C3)</x:f>
        <x:v>1</x:v>
      </x:c>
      <x:c r="W3" s="11" t="n">
        <x:f>--(F3=C3)</x:f>
        <x:v>1</x:v>
      </x:c>
      <x:c r="X3" s="11" t="n">
        <x:f>--(H3=C3)</x:f>
        <x:v>1</x:v>
      </x:c>
      <x:c r="Y3" s="11" t="n">
        <x:f>--(I3=C3)</x:f>
        <x:v>1</x:v>
      </x:c>
      <x:c r="Z3" s="11" t="n">
        <x:f>--(J3=C3)</x:f>
        <x:v>1</x:v>
      </x:c>
      <x:c r="AA3" s="11" t="n">
        <x:f>--(L3=C3)</x:f>
        <x:v>1</x:v>
      </x:c>
      <x:c r="AB3" s="11" t="n">
        <x:f>--(M3=C3)</x:f>
        <x:v>1</x:v>
      </x:c>
      <x:c r="AC3" s="12" t="n">
        <x:f>--(N3=C3)</x:f>
        <x:v>1</x:v>
      </x:c>
    </x:row>
    <x:row r="4">
      <x:c r="A4" s="10" t="str">
        <x:v>AdvancedAlloyCompositionOptimization</x:v>
      </x:c>
      <x:c r="B4" s="11" t="str">
        <x:v>B vs C</x:v>
      </x:c>
      <x:c r="C4" s="11" t="str">
        <x:v>B</x:v>
      </x:c>
      <x:c r="D4" s="11" t="str">
        <x:v>B</x:v>
      </x:c>
      <x:c r="E4" s="11" t="str">
        <x:v>B</x:v>
      </x:c>
      <x:c r="F4" s="11" t="str">
        <x:v>B</x:v>
      </x:c>
      <x:c r="G4" s="11" t="str">
        <x:f>IF(COUNTIF(D4:F4,"A")&gt;=2,"A",IF(COUNTIF(D4:F4,"B")&gt;=2,"B",IF(COUNTIF(D4:F4,"C")&gt;=2,"C","D")))</x:f>
        <x:v>B</x:v>
      </x:c>
      <x:c r="H4" s="11" t="str">
        <x:v>B</x:v>
      </x:c>
      <x:c r="I4" s="11" t="str">
        <x:v>B</x:v>
      </x:c>
      <x:c r="J4" s="11" t="str">
        <x:v>B</x:v>
      </x:c>
      <x:c r="K4" s="11" t="str">
        <x:f>IF(COUNTIF(H4:J4,"A")&gt;=2,"A",IF(COUNTIF(H4:J4,"B")&gt;=2,"B",IF(COUNTIF(H4:J4,"C")&gt;=2,"C","D")))</x:f>
        <x:v>B</x:v>
      </x:c>
      <x:c r="L4" s="11" t="str">
        <x:f>IF(D4=H4,D4,"D")</x:f>
        <x:v>B</x:v>
      </x:c>
      <x:c r="M4" s="11" t="str">
        <x:f>IF(E4=I4,E4,"D")</x:f>
        <x:v>B</x:v>
      </x:c>
      <x:c r="N4" s="11" t="str">
        <x:f>IF(F4=J4,F4,"D")</x:f>
        <x:v>B</x:v>
      </x:c>
      <x:c r="O4" s="11" t="str">
        <x:f>IF(G4=K4,G4,"D")</x:f>
        <x:v>B</x:v>
      </x:c>
      <x:c r="P4" s="11" t="n">
        <x:f>--(G4=C4)</x:f>
        <x:v>1</x:v>
      </x:c>
      <x:c r="Q4" s="11" t="n">
        <x:f>--(K4=C4)</x:f>
        <x:v>1</x:v>
      </x:c>
      <x:c r="R4" s="11" t="n">
        <x:f>--(O4=C4)</x:f>
        <x:v>1</x:v>
      </x:c>
      <x:c r="S4" s="11" t="n">
        <x:f>--(G4=K4)</x:f>
        <x:v>1</x:v>
      </x:c>
      <x:c r="T4" s="11" t="n">
        <x:f>--(O4="D")</x:f>
        <x:v>0</x:v>
      </x:c>
      <x:c r="U4" s="11" t="n">
        <x:f>--(D4=C4)</x:f>
        <x:v>1</x:v>
      </x:c>
      <x:c r="V4" s="11" t="n">
        <x:f>--(E4=C4)</x:f>
        <x:v>1</x:v>
      </x:c>
      <x:c r="W4" s="11" t="n">
        <x:f>--(F4=C4)</x:f>
        <x:v>1</x:v>
      </x:c>
      <x:c r="X4" s="11" t="n">
        <x:f>--(H4=C4)</x:f>
        <x:v>1</x:v>
      </x:c>
      <x:c r="Y4" s="11" t="n">
        <x:f>--(I4=C4)</x:f>
        <x:v>1</x:v>
      </x:c>
      <x:c r="Z4" s="11" t="n">
        <x:f>--(J4=C4)</x:f>
        <x:v>1</x:v>
      </x:c>
      <x:c r="AA4" s="11" t="n">
        <x:f>--(L4=C4)</x:f>
        <x:v>1</x:v>
      </x:c>
      <x:c r="AB4" s="11" t="n">
        <x:f>--(M4=C4)</x:f>
        <x:v>1</x:v>
      </x:c>
      <x:c r="AC4" s="12" t="n">
        <x:f>--(N4=C4)</x:f>
        <x:v>1</x:v>
      </x:c>
    </x:row>
    <x:row r="5">
      <x:c r="A5" s="10" t="str">
        <x:v>AI-AssistedDrugDiscoveryPlatform</x:v>
      </x:c>
      <x:c r="B5" s="11" t="str">
        <x:v>A vs B</x:v>
      </x:c>
      <x:c r="C5" s="11" t="str">
        <x:v>A</x:v>
      </x:c>
      <x:c r="D5" s="11" t="str">
        <x:v>A</x:v>
      </x:c>
      <x:c r="E5" s="11" t="str">
        <x:v>A</x:v>
      </x:c>
      <x:c r="F5" s="11" t="str">
        <x:v>A</x:v>
      </x:c>
      <x:c r="G5" s="11" t="str">
        <x:f>IF(COUNTIF(D5:F5,"A")&gt;=2,"A",IF(COUNTIF(D5:F5,"B")&gt;=2,"B",IF(COUNTIF(D5:F5,"C")&gt;=2,"C","D")))</x:f>
        <x:v>A</x:v>
      </x:c>
      <x:c r="H5" s="11" t="str">
        <x:v>B</x:v>
      </x:c>
      <x:c r="I5" s="11" t="str">
        <x:v>A</x:v>
      </x:c>
      <x:c r="J5" s="11" t="str">
        <x:v>A</x:v>
      </x:c>
      <x:c r="K5" s="11" t="str">
        <x:f>IF(COUNTIF(H5:J5,"A")&gt;=2,"A",IF(COUNTIF(H5:J5,"B")&gt;=2,"B",IF(COUNTIF(H5:J5,"C")&gt;=2,"C","D")))</x:f>
        <x:v>A</x:v>
      </x:c>
      <x:c r="L5" s="11" t="str">
        <x:f>IF(D5=H5,D5,"D")</x:f>
        <x:v>D</x:v>
      </x:c>
      <x:c r="M5" s="11" t="str">
        <x:f>IF(E5=I5,E5,"D")</x:f>
        <x:v>A</x:v>
      </x:c>
      <x:c r="N5" s="11" t="str">
        <x:f>IF(F5=J5,F5,"D")</x:f>
        <x:v>A</x:v>
      </x:c>
      <x:c r="O5" s="11" t="str">
        <x:f>IF(G5=K5,G5,"D")</x:f>
        <x:v>A</x:v>
      </x:c>
      <x:c r="P5" s="11" t="n">
        <x:f>--(G5=C5)</x:f>
        <x:v>1</x:v>
      </x:c>
      <x:c r="Q5" s="11" t="n">
        <x:f>--(K5=C5)</x:f>
        <x:v>1</x:v>
      </x:c>
      <x:c r="R5" s="11" t="n">
        <x:f>--(O5=C5)</x:f>
        <x:v>1</x:v>
      </x:c>
      <x:c r="S5" s="11" t="n">
        <x:f>--(G5=K5)</x:f>
        <x:v>1</x:v>
      </x:c>
      <x:c r="T5" s="11" t="n">
        <x:f>--(O5="D")</x:f>
        <x:v>0</x:v>
      </x:c>
      <x:c r="U5" s="11" t="n">
        <x:f>--(D5=C5)</x:f>
        <x:v>1</x:v>
      </x:c>
      <x:c r="V5" s="11" t="n">
        <x:f>--(E5=C5)</x:f>
        <x:v>1</x:v>
      </x:c>
      <x:c r="W5" s="11" t="n">
        <x:f>--(F5=C5)</x:f>
        <x:v>1</x:v>
      </x:c>
      <x:c r="X5" s="11" t="n">
        <x:f>--(H5=C5)</x:f>
        <x:v>0</x:v>
      </x:c>
      <x:c r="Y5" s="11" t="n">
        <x:f>--(I5=C5)</x:f>
        <x:v>1</x:v>
      </x:c>
      <x:c r="Z5" s="11" t="n">
        <x:f>--(J5=C5)</x:f>
        <x:v>1</x:v>
      </x:c>
      <x:c r="AA5" s="11" t="n">
        <x:f>--(L5=C5)</x:f>
        <x:v>0</x:v>
      </x:c>
      <x:c r="AB5" s="11" t="n">
        <x:f>--(M5=C5)</x:f>
        <x:v>1</x:v>
      </x:c>
      <x:c r="AC5" s="12" t="n">
        <x:f>--(N5=C5)</x:f>
        <x:v>1</x:v>
      </x:c>
    </x:row>
    <x:row r="6">
      <x:c r="A6" s="10" t="str">
        <x:v>AI-AssistedDrugDiscoveryPlatform</x:v>
      </x:c>
      <x:c r="B6" s="11" t="str">
        <x:v>A vs C</x:v>
      </x:c>
      <x:c r="C6" s="11" t="str">
        <x:v>A</x:v>
      </x:c>
      <x:c r="D6" s="11" t="str">
        <x:v>A</x:v>
      </x:c>
      <x:c r="E6" s="11" t="str">
        <x:v>A</x:v>
      </x:c>
      <x:c r="F6" s="11" t="str">
        <x:v>A</x:v>
      </x:c>
      <x:c r="G6" s="11" t="str">
        <x:f>IF(COUNTIF(D6:F6,"A")&gt;=2,"A",IF(COUNTIF(D6:F6,"B")&gt;=2,"B",IF(COUNTIF(D6:F6,"C")&gt;=2,"C","D")))</x:f>
        <x:v>A</x:v>
      </x:c>
      <x:c r="H6" s="11" t="str">
        <x:v>A</x:v>
      </x:c>
      <x:c r="I6" s="11" t="str">
        <x:v>A</x:v>
      </x:c>
      <x:c r="J6" s="11" t="str">
        <x:v>A</x:v>
      </x:c>
      <x:c r="K6" s="11" t="str">
        <x:f>IF(COUNTIF(H6:J6,"A")&gt;=2,"A",IF(COUNTIF(H6:J6,"B")&gt;=2,"B",IF(COUNTIF(H6:J6,"C")&gt;=2,"C","D")))</x:f>
        <x:v>A</x:v>
      </x:c>
      <x:c r="L6" s="11" t="str">
        <x:f>IF(D6=H6,D6,"D")</x:f>
        <x:v>A</x:v>
      </x:c>
      <x:c r="M6" s="11" t="str">
        <x:f>IF(E6=I6,E6,"D")</x:f>
        <x:v>A</x:v>
      </x:c>
      <x:c r="N6" s="11" t="str">
        <x:f>IF(F6=J6,F6,"D")</x:f>
        <x:v>A</x:v>
      </x:c>
      <x:c r="O6" s="11" t="str">
        <x:f>IF(G6=K6,G6,"D")</x:f>
        <x:v>A</x:v>
      </x:c>
      <x:c r="P6" s="11" t="n">
        <x:f>--(G6=C6)</x:f>
        <x:v>1</x:v>
      </x:c>
      <x:c r="Q6" s="11" t="n">
        <x:f>--(K6=C6)</x:f>
        <x:v>1</x:v>
      </x:c>
      <x:c r="R6" s="11" t="n">
        <x:f>--(O6=C6)</x:f>
        <x:v>1</x:v>
      </x:c>
      <x:c r="S6" s="11" t="n">
        <x:f>--(G6=K6)</x:f>
        <x:v>1</x:v>
      </x:c>
      <x:c r="T6" s="11" t="n">
        <x:f>--(O6="D")</x:f>
        <x:v>0</x:v>
      </x:c>
      <x:c r="U6" s="11" t="n">
        <x:f>--(D6=C6)</x:f>
        <x:v>1</x:v>
      </x:c>
      <x:c r="V6" s="11" t="n">
        <x:f>--(E6=C6)</x:f>
        <x:v>1</x:v>
      </x:c>
      <x:c r="W6" s="11" t="n">
        <x:f>--(F6=C6)</x:f>
        <x:v>1</x:v>
      </x:c>
      <x:c r="X6" s="11" t="n">
        <x:f>--(H6=C6)</x:f>
        <x:v>1</x:v>
      </x:c>
      <x:c r="Y6" s="11" t="n">
        <x:f>--(I6=C6)</x:f>
        <x:v>1</x:v>
      </x:c>
      <x:c r="Z6" s="11" t="n">
        <x:f>--(J6=C6)</x:f>
        <x:v>1</x:v>
      </x:c>
      <x:c r="AA6" s="11" t="n">
        <x:f>--(L6=C6)</x:f>
        <x:v>1</x:v>
      </x:c>
      <x:c r="AB6" s="11" t="n">
        <x:f>--(M6=C6)</x:f>
        <x:v>1</x:v>
      </x:c>
      <x:c r="AC6" s="12" t="n">
        <x:f>--(N6=C6)</x:f>
        <x:v>1</x:v>
      </x:c>
    </x:row>
    <x:row r="7">
      <x:c r="A7" s="10" t="str">
        <x:v>AI-AssistedDrugDiscoveryPlatform</x:v>
      </x:c>
      <x:c r="B7" s="11" t="str">
        <x:v>B vs C</x:v>
      </x:c>
      <x:c r="C7" s="11" t="str">
        <x:v>B</x:v>
      </x:c>
      <x:c r="D7" s="11" t="str">
        <x:v>B</x:v>
      </x:c>
      <x:c r="E7" s="11" t="str">
        <x:v>B</x:v>
      </x:c>
      <x:c r="F7" s="11" t="str">
        <x:v>B</x:v>
      </x:c>
      <x:c r="G7" s="11" t="str">
        <x:f>IF(COUNTIF(D7:F7,"A")&gt;=2,"A",IF(COUNTIF(D7:F7,"B")&gt;=2,"B",IF(COUNTIF(D7:F7,"C")&gt;=2,"C","D")))</x:f>
        <x:v>B</x:v>
      </x:c>
      <x:c r="H7" s="11" t="str">
        <x:v>B</x:v>
      </x:c>
      <x:c r="I7" s="11" t="str">
        <x:v>B</x:v>
      </x:c>
      <x:c r="J7" s="11" t="str">
        <x:v>B</x:v>
      </x:c>
      <x:c r="K7" s="11" t="str">
        <x:f>IF(COUNTIF(H7:J7,"A")&gt;=2,"A",IF(COUNTIF(H7:J7,"B")&gt;=2,"B",IF(COUNTIF(H7:J7,"C")&gt;=2,"C","D")))</x:f>
        <x:v>B</x:v>
      </x:c>
      <x:c r="L7" s="11" t="str">
        <x:f>IF(D7=H7,D7,"D")</x:f>
        <x:v>B</x:v>
      </x:c>
      <x:c r="M7" s="11" t="str">
        <x:f>IF(E7=I7,E7,"D")</x:f>
        <x:v>B</x:v>
      </x:c>
      <x:c r="N7" s="11" t="str">
        <x:f>IF(F7=J7,F7,"D")</x:f>
        <x:v>B</x:v>
      </x:c>
      <x:c r="O7" s="11" t="str">
        <x:f>IF(G7=K7,G7,"D")</x:f>
        <x:v>B</x:v>
      </x:c>
      <x:c r="P7" s="11" t="n">
        <x:f>--(G7=C7)</x:f>
        <x:v>1</x:v>
      </x:c>
      <x:c r="Q7" s="11" t="n">
        <x:f>--(K7=C7)</x:f>
        <x:v>1</x:v>
      </x:c>
      <x:c r="R7" s="11" t="n">
        <x:f>--(O7=C7)</x:f>
        <x:v>1</x:v>
      </x:c>
      <x:c r="S7" s="11" t="n">
        <x:f>--(G7=K7)</x:f>
        <x:v>1</x:v>
      </x:c>
      <x:c r="T7" s="11" t="n">
        <x:f>--(O7="D")</x:f>
        <x:v>0</x:v>
      </x:c>
      <x:c r="U7" s="11" t="n">
        <x:f>--(D7=C7)</x:f>
        <x:v>1</x:v>
      </x:c>
      <x:c r="V7" s="11" t="n">
        <x:f>--(E7=C7)</x:f>
        <x:v>1</x:v>
      </x:c>
      <x:c r="W7" s="11" t="n">
        <x:f>--(F7=C7)</x:f>
        <x:v>1</x:v>
      </x:c>
      <x:c r="X7" s="11" t="n">
        <x:f>--(H7=C7)</x:f>
        <x:v>1</x:v>
      </x:c>
      <x:c r="Y7" s="11" t="n">
        <x:f>--(I7=C7)</x:f>
        <x:v>1</x:v>
      </x:c>
      <x:c r="Z7" s="11" t="n">
        <x:f>--(J7=C7)</x:f>
        <x:v>1</x:v>
      </x:c>
      <x:c r="AA7" s="11" t="n">
        <x:f>--(L7=C7)</x:f>
        <x:v>1</x:v>
      </x:c>
      <x:c r="AB7" s="11" t="n">
        <x:f>--(M7=C7)</x:f>
        <x:v>1</x:v>
      </x:c>
      <x:c r="AC7" s="12" t="n">
        <x:f>--(N7=C7)</x:f>
        <x:v>1</x:v>
      </x:c>
    </x:row>
    <x:row r="8">
      <x:c r="A8" s="10" t="str">
        <x:v>AirTrafficControlNavigationSystem</x:v>
      </x:c>
      <x:c r="B8" s="11" t="str">
        <x:v>A vs B</x:v>
      </x:c>
      <x:c r="C8" s="11" t="str">
        <x:v>D</x:v>
      </x:c>
      <x:c r="D8" s="11" t="str">
        <x:v>A</x:v>
      </x:c>
      <x:c r="E8" s="11" t="str">
        <x:v>A</x:v>
      </x:c>
      <x:c r="F8" s="11" t="str">
        <x:v>A</x:v>
      </x:c>
      <x:c r="G8" s="11" t="str">
        <x:f>IF(COUNTIF(D8:F8,"A")&gt;=2,"A",IF(COUNTIF(D8:F8,"B")&gt;=2,"B",IF(COUNTIF(D8:F8,"C")&gt;=2,"C","D")))</x:f>
        <x:v>A</x:v>
      </x:c>
      <x:c r="H8" s="11" t="str">
        <x:v>A</x:v>
      </x:c>
      <x:c r="I8" s="11" t="str">
        <x:v>A</x:v>
      </x:c>
      <x:c r="J8" s="11" t="str">
        <x:v>A</x:v>
      </x:c>
      <x:c r="K8" s="11" t="str">
        <x:f>IF(COUNTIF(H8:J8,"A")&gt;=2,"A",IF(COUNTIF(H8:J8,"B")&gt;=2,"B",IF(COUNTIF(H8:J8,"C")&gt;=2,"C","D")))</x:f>
        <x:v>A</x:v>
      </x:c>
      <x:c r="L8" s="11" t="str">
        <x:f>IF(D8=H8,D8,"D")</x:f>
        <x:v>A</x:v>
      </x:c>
      <x:c r="M8" s="11" t="str">
        <x:f>IF(E8=I8,E8,"D")</x:f>
        <x:v>A</x:v>
      </x:c>
      <x:c r="N8" s="11" t="str">
        <x:f>IF(F8=J8,F8,"D")</x:f>
        <x:v>A</x:v>
      </x:c>
      <x:c r="O8" s="11" t="str">
        <x:f>IF(G8=K8,G8,"D")</x:f>
        <x:v>A</x:v>
      </x:c>
      <x:c r="P8" s="11" t="n">
        <x:f>--(G8=C8)</x:f>
        <x:v>0</x:v>
      </x:c>
      <x:c r="Q8" s="11" t="n">
        <x:f>--(K8=C8)</x:f>
        <x:v>0</x:v>
      </x:c>
      <x:c r="R8" s="11" t="n">
        <x:f>--(O8=C8)</x:f>
        <x:v>0</x:v>
      </x:c>
      <x:c r="S8" s="11" t="n">
        <x:f>--(G8=K8)</x:f>
        <x:v>1</x:v>
      </x:c>
      <x:c r="T8" s="11" t="n">
        <x:f>--(O8="D")</x:f>
        <x:v>0</x:v>
      </x:c>
      <x:c r="U8" s="11" t="n">
        <x:f>--(D8=C8)</x:f>
        <x:v>0</x:v>
      </x:c>
      <x:c r="V8" s="11" t="n">
        <x:f>--(E8=C8)</x:f>
        <x:v>0</x:v>
      </x:c>
      <x:c r="W8" s="11" t="n">
        <x:f>--(F8=C8)</x:f>
        <x:v>0</x:v>
      </x:c>
      <x:c r="X8" s="11" t="n">
        <x:f>--(H8=C8)</x:f>
        <x:v>0</x:v>
      </x:c>
      <x:c r="Y8" s="11" t="n">
        <x:f>--(I8=C8)</x:f>
        <x:v>0</x:v>
      </x:c>
      <x:c r="Z8" s="11" t="n">
        <x:f>--(J8=C8)</x:f>
        <x:v>0</x:v>
      </x:c>
      <x:c r="AA8" s="11" t="n">
        <x:f>--(L8=C8)</x:f>
        <x:v>0</x:v>
      </x:c>
      <x:c r="AB8" s="11" t="n">
        <x:f>--(M8=C8)</x:f>
        <x:v>0</x:v>
      </x:c>
      <x:c r="AC8" s="12" t="n">
        <x:f>--(N8=C8)</x:f>
        <x:v>0</x:v>
      </x:c>
    </x:row>
    <x:row r="9">
      <x:c r="A9" s="10" t="str">
        <x:v>AirTrafficControlNavigationSystem</x:v>
      </x:c>
      <x:c r="B9" s="11" t="str">
        <x:v>A vs C</x:v>
      </x:c>
      <x:c r="C9" s="11" t="str">
        <x:v>A</x:v>
      </x:c>
      <x:c r="D9" s="11" t="str">
        <x:v>A</x:v>
      </x:c>
      <x:c r="E9" s="11" t="str">
        <x:v>A</x:v>
      </x:c>
      <x:c r="F9" s="11" t="str">
        <x:v>A</x:v>
      </x:c>
      <x:c r="G9" s="11" t="str">
        <x:f>IF(COUNTIF(D9:F9,"A")&gt;=2,"A",IF(COUNTIF(D9:F9,"B")&gt;=2,"B",IF(COUNTIF(D9:F9,"C")&gt;=2,"C","D")))</x:f>
        <x:v>A</x:v>
      </x:c>
      <x:c r="H9" s="11" t="str">
        <x:v>A</x:v>
      </x:c>
      <x:c r="I9" s="11" t="str">
        <x:v>A</x:v>
      </x:c>
      <x:c r="J9" s="11" t="str">
        <x:v>A</x:v>
      </x:c>
      <x:c r="K9" s="11" t="str">
        <x:f>IF(COUNTIF(H9:J9,"A")&gt;=2,"A",IF(COUNTIF(H9:J9,"B")&gt;=2,"B",IF(COUNTIF(H9:J9,"C")&gt;=2,"C","D")))</x:f>
        <x:v>A</x:v>
      </x:c>
      <x:c r="L9" s="11" t="str">
        <x:f>IF(D9=H9,D9,"D")</x:f>
        <x:v>A</x:v>
      </x:c>
      <x:c r="M9" s="11" t="str">
        <x:f>IF(E9=I9,E9,"D")</x:f>
        <x:v>A</x:v>
      </x:c>
      <x:c r="N9" s="11" t="str">
        <x:f>IF(F9=J9,F9,"D")</x:f>
        <x:v>A</x:v>
      </x:c>
      <x:c r="O9" s="11" t="str">
        <x:f>IF(G9=K9,G9,"D")</x:f>
        <x:v>A</x:v>
      </x:c>
      <x:c r="P9" s="11" t="n">
        <x:f>--(G9=C9)</x:f>
        <x:v>1</x:v>
      </x:c>
      <x:c r="Q9" s="11" t="n">
        <x:f>--(K9=C9)</x:f>
        <x:v>1</x:v>
      </x:c>
      <x:c r="R9" s="11" t="n">
        <x:f>--(O9=C9)</x:f>
        <x:v>1</x:v>
      </x:c>
      <x:c r="S9" s="11" t="n">
        <x:f>--(G9=K9)</x:f>
        <x:v>1</x:v>
      </x:c>
      <x:c r="T9" s="11" t="n">
        <x:f>--(O9="D")</x:f>
        <x:v>0</x:v>
      </x:c>
      <x:c r="U9" s="11" t="n">
        <x:f>--(D9=C9)</x:f>
        <x:v>1</x:v>
      </x:c>
      <x:c r="V9" s="11" t="n">
        <x:f>--(E9=C9)</x:f>
        <x:v>1</x:v>
      </x:c>
      <x:c r="W9" s="11" t="n">
        <x:f>--(F9=C9)</x:f>
        <x:v>1</x:v>
      </x:c>
      <x:c r="X9" s="11" t="n">
        <x:f>--(H9=C9)</x:f>
        <x:v>1</x:v>
      </x:c>
      <x:c r="Y9" s="11" t="n">
        <x:f>--(I9=C9)</x:f>
        <x:v>1</x:v>
      </x:c>
      <x:c r="Z9" s="11" t="n">
        <x:f>--(J9=C9)</x:f>
        <x:v>1</x:v>
      </x:c>
      <x:c r="AA9" s="11" t="n">
        <x:f>--(L9=C9)</x:f>
        <x:v>1</x:v>
      </x:c>
      <x:c r="AB9" s="11" t="n">
        <x:f>--(M9=C9)</x:f>
        <x:v>1</x:v>
      </x:c>
      <x:c r="AC9" s="12" t="n">
        <x:f>--(N9=C9)</x:f>
        <x:v>1</x:v>
      </x:c>
    </x:row>
    <x:row r="10">
      <x:c r="A10" s="10" t="str">
        <x:v>AirTrafficControlNavigationSystem</x:v>
      </x:c>
      <x:c r="B10" s="11" t="str">
        <x:v>B vs C</x:v>
      </x:c>
      <x:c r="C10" s="11" t="str">
        <x:v>B</x:v>
      </x:c>
      <x:c r="D10" s="11" t="str">
        <x:v>B</x:v>
      </x:c>
      <x:c r="E10" s="11" t="str">
        <x:v>B</x:v>
      </x:c>
      <x:c r="F10" s="11" t="str">
        <x:v>B</x:v>
      </x:c>
      <x:c r="G10" s="11" t="str">
        <x:f>IF(COUNTIF(D10:F10,"A")&gt;=2,"A",IF(COUNTIF(D10:F10,"B")&gt;=2,"B",IF(COUNTIF(D10:F10,"C")&gt;=2,"C","D")))</x:f>
        <x:v>B</x:v>
      </x:c>
      <x:c r="H10" s="11" t="str">
        <x:v>B</x:v>
      </x:c>
      <x:c r="I10" s="11" t="str">
        <x:v>B</x:v>
      </x:c>
      <x:c r="J10" s="11" t="str">
        <x:v>B</x:v>
      </x:c>
      <x:c r="K10" s="11" t="str">
        <x:f>IF(COUNTIF(H10:J10,"A")&gt;=2,"A",IF(COUNTIF(H10:J10,"B")&gt;=2,"B",IF(COUNTIF(H10:J10,"C")&gt;=2,"C","D")))</x:f>
        <x:v>B</x:v>
      </x:c>
      <x:c r="L10" s="11" t="str">
        <x:f>IF(D10=H10,D10,"D")</x:f>
        <x:v>B</x:v>
      </x:c>
      <x:c r="M10" s="11" t="str">
        <x:f>IF(E10=I10,E10,"D")</x:f>
        <x:v>B</x:v>
      </x:c>
      <x:c r="N10" s="11" t="str">
        <x:f>IF(F10=J10,F10,"D")</x:f>
        <x:v>B</x:v>
      </x:c>
      <x:c r="O10" s="11" t="str">
        <x:f>IF(G10=K10,G10,"D")</x:f>
        <x:v>B</x:v>
      </x:c>
      <x:c r="P10" s="11" t="n">
        <x:f>--(G10=C10)</x:f>
        <x:v>1</x:v>
      </x:c>
      <x:c r="Q10" s="11" t="n">
        <x:f>--(K10=C10)</x:f>
        <x:v>1</x:v>
      </x:c>
      <x:c r="R10" s="11" t="n">
        <x:f>--(O10=C10)</x:f>
        <x:v>1</x:v>
      </x:c>
      <x:c r="S10" s="11" t="n">
        <x:f>--(G10=K10)</x:f>
        <x:v>1</x:v>
      </x:c>
      <x:c r="T10" s="11" t="n">
        <x:f>--(O10="D")</x:f>
        <x:v>0</x:v>
      </x:c>
      <x:c r="U10" s="11" t="n">
        <x:f>--(D10=C10)</x:f>
        <x:v>1</x:v>
      </x:c>
      <x:c r="V10" s="11" t="n">
        <x:f>--(E10=C10)</x:f>
        <x:v>1</x:v>
      </x:c>
      <x:c r="W10" s="11" t="n">
        <x:f>--(F10=C10)</x:f>
        <x:v>1</x:v>
      </x:c>
      <x:c r="X10" s="11" t="n">
        <x:f>--(H10=C10)</x:f>
        <x:v>1</x:v>
      </x:c>
      <x:c r="Y10" s="11" t="n">
        <x:f>--(I10=C10)</x:f>
        <x:v>1</x:v>
      </x:c>
      <x:c r="Z10" s="11" t="n">
        <x:f>--(J10=C10)</x:f>
        <x:v>1</x:v>
      </x:c>
      <x:c r="AA10" s="11" t="n">
        <x:f>--(L10=C10)</x:f>
        <x:v>1</x:v>
      </x:c>
      <x:c r="AB10" s="11" t="n">
        <x:f>--(M10=C10)</x:f>
        <x:v>1</x:v>
      </x:c>
      <x:c r="AC10" s="12" t="n">
        <x:f>--(N10=C10)</x:f>
        <x:v>1</x:v>
      </x:c>
    </x:row>
    <x:row r="11">
      <x:c r="A11" s="10" t="str">
        <x:v>BankAccount</x:v>
      </x:c>
      <x:c r="B11" s="11" t="str">
        <x:v>A vs B</x:v>
      </x:c>
      <x:c r="C11" s="11" t="str">
        <x:v>D</x:v>
      </x:c>
      <x:c r="D11" s="11" t="str">
        <x:v>B</x:v>
      </x:c>
      <x:c r="E11" s="11" t="str">
        <x:v>D</x:v>
      </x:c>
      <x:c r="F11" s="11" t="str">
        <x:v>D</x:v>
      </x:c>
      <x:c r="G11" s="11" t="str">
        <x:f>IF(COUNTIF(D11:F11,"A")&gt;=2,"A",IF(COUNTIF(D11:F11,"B")&gt;=2,"B",IF(COUNTIF(D11:F11,"C")&gt;=2,"C","D")))</x:f>
        <x:v>D</x:v>
      </x:c>
      <x:c r="H11" s="11" t="str">
        <x:v>B</x:v>
      </x:c>
      <x:c r="I11" s="11" t="str">
        <x:v>D</x:v>
      </x:c>
      <x:c r="J11" s="11" t="str">
        <x:v>D</x:v>
      </x:c>
      <x:c r="K11" s="11" t="str">
        <x:f>IF(COUNTIF(H11:J11,"A")&gt;=2,"A",IF(COUNTIF(H11:J11,"B")&gt;=2,"B",IF(COUNTIF(H11:J11,"C")&gt;=2,"C","D")))</x:f>
        <x:v>D</x:v>
      </x:c>
      <x:c r="L11" s="11" t="str">
        <x:f>IF(D11=H11,D11,"D")</x:f>
        <x:v>B</x:v>
      </x:c>
      <x:c r="M11" s="11" t="str">
        <x:f>IF(E11=I11,E11,"D")</x:f>
        <x:v>D</x:v>
      </x:c>
      <x:c r="N11" s="11" t="str">
        <x:f>IF(F11=J11,F11,"D")</x:f>
        <x:v>D</x:v>
      </x:c>
      <x:c r="O11" s="11" t="str">
        <x:f>IF(G11=K11,G11,"D")</x:f>
        <x:v>D</x:v>
      </x:c>
      <x:c r="P11" s="11" t="n">
        <x:f>--(G11=C11)</x:f>
        <x:v>1</x:v>
      </x:c>
      <x:c r="Q11" s="11" t="n">
        <x:f>--(K11=C11)</x:f>
        <x:v>1</x:v>
      </x:c>
      <x:c r="R11" s="11" t="n">
        <x:f>--(O11=C11)</x:f>
        <x:v>1</x:v>
      </x:c>
      <x:c r="S11" s="11" t="n">
        <x:f>--(G11=K11)</x:f>
        <x:v>1</x:v>
      </x:c>
      <x:c r="T11" s="11" t="n">
        <x:f>--(O11="D")</x:f>
        <x:v>1</x:v>
      </x:c>
      <x:c r="U11" s="11" t="n">
        <x:f>--(D11=C11)</x:f>
        <x:v>0</x:v>
      </x:c>
      <x:c r="V11" s="11" t="n">
        <x:f>--(E11=C11)</x:f>
        <x:v>1</x:v>
      </x:c>
      <x:c r="W11" s="11" t="n">
        <x:f>--(F11=C11)</x:f>
        <x:v>1</x:v>
      </x:c>
      <x:c r="X11" s="11" t="n">
        <x:f>--(H11=C11)</x:f>
        <x:v>0</x:v>
      </x:c>
      <x:c r="Y11" s="11" t="n">
        <x:f>--(I11=C11)</x:f>
        <x:v>1</x:v>
      </x:c>
      <x:c r="Z11" s="11" t="n">
        <x:f>--(J11=C11)</x:f>
        <x:v>1</x:v>
      </x:c>
      <x:c r="AA11" s="11" t="n">
        <x:f>--(L11=C11)</x:f>
        <x:v>0</x:v>
      </x:c>
      <x:c r="AB11" s="11" t="n">
        <x:f>--(M11=C11)</x:f>
        <x:v>1</x:v>
      </x:c>
      <x:c r="AC11" s="12" t="n">
        <x:f>--(N11=C11)</x:f>
        <x:v>1</x:v>
      </x:c>
    </x:row>
    <x:row r="12">
      <x:c r="A12" s="10" t="str">
        <x:v>BankAccount</x:v>
      </x:c>
      <x:c r="B12" s="11" t="str">
        <x:v>A vs C</x:v>
      </x:c>
      <x:c r="C12" s="11" t="str">
        <x:v>A</x:v>
      </x:c>
      <x:c r="D12" s="11" t="str">
        <x:v>A</x:v>
      </x:c>
      <x:c r="E12" s="11" t="str">
        <x:v>A</x:v>
      </x:c>
      <x:c r="F12" s="11" t="str">
        <x:v>A</x:v>
      </x:c>
      <x:c r="G12" s="11" t="str">
        <x:f>IF(COUNTIF(D12:F12,"A")&gt;=2,"A",IF(COUNTIF(D12:F12,"B")&gt;=2,"B",IF(COUNTIF(D12:F12,"C")&gt;=2,"C","D")))</x:f>
        <x:v>A</x:v>
      </x:c>
      <x:c r="H12" s="11" t="str">
        <x:v>C</x:v>
      </x:c>
      <x:c r="I12" s="11" t="str">
        <x:v>A</x:v>
      </x:c>
      <x:c r="J12" s="11" t="str">
        <x:v>A</x:v>
      </x:c>
      <x:c r="K12" s="11" t="str">
        <x:f>IF(COUNTIF(H12:J12,"A")&gt;=2,"A",IF(COUNTIF(H12:J12,"B")&gt;=2,"B",IF(COUNTIF(H12:J12,"C")&gt;=2,"C","D")))</x:f>
        <x:v>A</x:v>
      </x:c>
      <x:c r="L12" s="11" t="str">
        <x:f>IF(D12=H12,D12,"D")</x:f>
        <x:v>D</x:v>
      </x:c>
      <x:c r="M12" s="11" t="str">
        <x:f>IF(E12=I12,E12,"D")</x:f>
        <x:v>A</x:v>
      </x:c>
      <x:c r="N12" s="11" t="str">
        <x:f>IF(F12=J12,F12,"D")</x:f>
        <x:v>A</x:v>
      </x:c>
      <x:c r="O12" s="11" t="str">
        <x:f>IF(G12=K12,G12,"D")</x:f>
        <x:v>A</x:v>
      </x:c>
      <x:c r="P12" s="11" t="n">
        <x:f>--(G12=C12)</x:f>
        <x:v>1</x:v>
      </x:c>
      <x:c r="Q12" s="11" t="n">
        <x:f>--(K12=C12)</x:f>
        <x:v>1</x:v>
      </x:c>
      <x:c r="R12" s="11" t="n">
        <x:f>--(O12=C12)</x:f>
        <x:v>1</x:v>
      </x:c>
      <x:c r="S12" s="11" t="n">
        <x:f>--(G12=K12)</x:f>
        <x:v>1</x:v>
      </x:c>
      <x:c r="T12" s="11" t="n">
        <x:f>--(O12="D")</x:f>
        <x:v>0</x:v>
      </x:c>
      <x:c r="U12" s="11" t="n">
        <x:f>--(D12=C12)</x:f>
        <x:v>1</x:v>
      </x:c>
      <x:c r="V12" s="11" t="n">
        <x:f>--(E12=C12)</x:f>
        <x:v>1</x:v>
      </x:c>
      <x:c r="W12" s="11" t="n">
        <x:f>--(F12=C12)</x:f>
        <x:v>1</x:v>
      </x:c>
      <x:c r="X12" s="11" t="n">
        <x:f>--(H12=C12)</x:f>
        <x:v>0</x:v>
      </x:c>
      <x:c r="Y12" s="11" t="n">
        <x:f>--(I12=C12)</x:f>
        <x:v>1</x:v>
      </x:c>
      <x:c r="Z12" s="11" t="n">
        <x:f>--(J12=C12)</x:f>
        <x:v>1</x:v>
      </x:c>
      <x:c r="AA12" s="11" t="n">
        <x:f>--(L12=C12)</x:f>
        <x:v>0</x:v>
      </x:c>
      <x:c r="AB12" s="11" t="n">
        <x:f>--(M12=C12)</x:f>
        <x:v>1</x:v>
      </x:c>
      <x:c r="AC12" s="12" t="n">
        <x:f>--(N12=C12)</x:f>
        <x:v>1</x:v>
      </x:c>
    </x:row>
    <x:row r="13">
      <x:c r="A13" s="10" t="str">
        <x:v>BankAccount</x:v>
      </x:c>
      <x:c r="B13" s="11" t="str">
        <x:v>B vs C</x:v>
      </x:c>
      <x:c r="C13" s="11" t="str">
        <x:v>B</x:v>
      </x:c>
      <x:c r="D13" s="11" t="str">
        <x:v>B</x:v>
      </x:c>
      <x:c r="E13" s="11" t="str">
        <x:v>B</x:v>
      </x:c>
      <x:c r="F13" s="11" t="str">
        <x:v>B</x:v>
      </x:c>
      <x:c r="G13" s="11" t="str">
        <x:f>IF(COUNTIF(D13:F13,"A")&gt;=2,"A",IF(COUNTIF(D13:F13,"B")&gt;=2,"B",IF(COUNTIF(D13:F13,"C")&gt;=2,"C","D")))</x:f>
        <x:v>B</x:v>
      </x:c>
      <x:c r="H13" s="11" t="str">
        <x:v>B</x:v>
      </x:c>
      <x:c r="I13" s="11" t="str">
        <x:v>B</x:v>
      </x:c>
      <x:c r="J13" s="11" t="str">
        <x:v>B</x:v>
      </x:c>
      <x:c r="K13" s="11" t="str">
        <x:f>IF(COUNTIF(H13:J13,"A")&gt;=2,"A",IF(COUNTIF(H13:J13,"B")&gt;=2,"B",IF(COUNTIF(H13:J13,"C")&gt;=2,"C","D")))</x:f>
        <x:v>B</x:v>
      </x:c>
      <x:c r="L13" s="11" t="str">
        <x:f>IF(D13=H13,D13,"D")</x:f>
        <x:v>B</x:v>
      </x:c>
      <x:c r="M13" s="11" t="str">
        <x:f>IF(E13=I13,E13,"D")</x:f>
        <x:v>B</x:v>
      </x:c>
      <x:c r="N13" s="11" t="str">
        <x:f>IF(F13=J13,F13,"D")</x:f>
        <x:v>B</x:v>
      </x:c>
      <x:c r="O13" s="11" t="str">
        <x:f>IF(G13=K13,G13,"D")</x:f>
        <x:v>B</x:v>
      </x:c>
      <x:c r="P13" s="11" t="n">
        <x:f>--(G13=C13)</x:f>
        <x:v>1</x:v>
      </x:c>
      <x:c r="Q13" s="11" t="n">
        <x:f>--(K13=C13)</x:f>
        <x:v>1</x:v>
      </x:c>
      <x:c r="R13" s="11" t="n">
        <x:f>--(O13=C13)</x:f>
        <x:v>1</x:v>
      </x:c>
      <x:c r="S13" s="11" t="n">
        <x:f>--(G13=K13)</x:f>
        <x:v>1</x:v>
      </x:c>
      <x:c r="T13" s="11" t="n">
        <x:f>--(O13="D")</x:f>
        <x:v>0</x:v>
      </x:c>
      <x:c r="U13" s="11" t="n">
        <x:f>--(D13=C13)</x:f>
        <x:v>1</x:v>
      </x:c>
      <x:c r="V13" s="11" t="n">
        <x:f>--(E13=C13)</x:f>
        <x:v>1</x:v>
      </x:c>
      <x:c r="W13" s="11" t="n">
        <x:f>--(F13=C13)</x:f>
        <x:v>1</x:v>
      </x:c>
      <x:c r="X13" s="11" t="n">
        <x:f>--(H13=C13)</x:f>
        <x:v>1</x:v>
      </x:c>
      <x:c r="Y13" s="11" t="n">
        <x:f>--(I13=C13)</x:f>
        <x:v>1</x:v>
      </x:c>
      <x:c r="Z13" s="11" t="n">
        <x:f>--(J13=C13)</x:f>
        <x:v>1</x:v>
      </x:c>
      <x:c r="AA13" s="11" t="n">
        <x:f>--(L13=C13)</x:f>
        <x:v>1</x:v>
      </x:c>
      <x:c r="AB13" s="11" t="n">
        <x:f>--(M13=C13)</x:f>
        <x:v>1</x:v>
      </x:c>
      <x:c r="AC13" s="12" t="n">
        <x:f>--(N13=C13)</x:f>
        <x:v>1</x:v>
      </x:c>
    </x:row>
    <x:row r="14">
      <x:c r="A14" s="10" t="str">
        <x:v>CelO</x:v>
      </x:c>
      <x:c r="B14" s="11" t="str">
        <x:v>A vs B</x:v>
      </x:c>
      <x:c r="C14" s="11" t="str">
        <x:v>B</x:v>
      </x:c>
      <x:c r="D14" s="11" t="str">
        <x:v>A</x:v>
      </x:c>
      <x:c r="E14" s="11" t="str">
        <x:v>B</x:v>
      </x:c>
      <x:c r="F14" s="11" t="str">
        <x:v>A</x:v>
      </x:c>
      <x:c r="G14" s="11" t="str">
        <x:f>IF(COUNTIF(D14:F14,"A")&gt;=2,"A",IF(COUNTIF(D14:F14,"B")&gt;=2,"B",IF(COUNTIF(D14:F14,"C")&gt;=2,"C","D")))</x:f>
        <x:v>A</x:v>
      </x:c>
      <x:c r="H14" s="11" t="str">
        <x:v>B</x:v>
      </x:c>
      <x:c r="I14" s="11" t="str">
        <x:v>B</x:v>
      </x:c>
      <x:c r="J14" s="11" t="str">
        <x:v>A</x:v>
      </x:c>
      <x:c r="K14" s="11" t="str">
        <x:f>IF(COUNTIF(H14:J14,"A")&gt;=2,"A",IF(COUNTIF(H14:J14,"B")&gt;=2,"B",IF(COUNTIF(H14:J14,"C")&gt;=2,"C","D")))</x:f>
        <x:v>B</x:v>
      </x:c>
      <x:c r="L14" s="11" t="str">
        <x:f>IF(D14=H14,D14,"D")</x:f>
        <x:v>D</x:v>
      </x:c>
      <x:c r="M14" s="11" t="str">
        <x:f>IF(E14=I14,E14,"D")</x:f>
        <x:v>B</x:v>
      </x:c>
      <x:c r="N14" s="11" t="str">
        <x:f>IF(F14=J14,F14,"D")</x:f>
        <x:v>A</x:v>
      </x:c>
      <x:c r="O14" s="11" t="str">
        <x:f>IF(G14=K14,G14,"D")</x:f>
        <x:v>D</x:v>
      </x:c>
      <x:c r="P14" s="11" t="n">
        <x:f>--(G14=C14)</x:f>
        <x:v>0</x:v>
      </x:c>
      <x:c r="Q14" s="11" t="n">
        <x:f>--(K14=C14)</x:f>
        <x:v>1</x:v>
      </x:c>
      <x:c r="R14" s="11" t="n">
        <x:f>--(O14=C14)</x:f>
        <x:v>0</x:v>
      </x:c>
      <x:c r="S14" s="11" t="n">
        <x:f>--(G14=K14)</x:f>
        <x:v>0</x:v>
      </x:c>
      <x:c r="T14" s="11" t="n">
        <x:f>--(O14="D")</x:f>
        <x:v>1</x:v>
      </x:c>
      <x:c r="U14" s="11" t="n">
        <x:f>--(D14=C14)</x:f>
        <x:v>0</x:v>
      </x:c>
      <x:c r="V14" s="11" t="n">
        <x:f>--(E14=C14)</x:f>
        <x:v>1</x:v>
      </x:c>
      <x:c r="W14" s="11" t="n">
        <x:f>--(F14=C14)</x:f>
        <x:v>0</x:v>
      </x:c>
      <x:c r="X14" s="11" t="n">
        <x:f>--(H14=C14)</x:f>
        <x:v>1</x:v>
      </x:c>
      <x:c r="Y14" s="11" t="n">
        <x:f>--(I14=C14)</x:f>
        <x:v>1</x:v>
      </x:c>
      <x:c r="Z14" s="11" t="n">
        <x:f>--(J14=C14)</x:f>
        <x:v>0</x:v>
      </x:c>
      <x:c r="AA14" s="11" t="n">
        <x:f>--(L14=C14)</x:f>
        <x:v>0</x:v>
      </x:c>
      <x:c r="AB14" s="11" t="n">
        <x:f>--(M14=C14)</x:f>
        <x:v>1</x:v>
      </x:c>
      <x:c r="AC14" s="12" t="n">
        <x:f>--(N14=C14)</x:f>
        <x:v>0</x:v>
      </x:c>
    </x:row>
    <x:row r="15">
      <x:c r="A15" s="10" t="str">
        <x:v>CelO</x:v>
      </x:c>
      <x:c r="B15" s="11" t="str">
        <x:v>A vs C</x:v>
      </x:c>
      <x:c r="C15" s="11" t="str">
        <x:v>A</x:v>
      </x:c>
      <x:c r="D15" s="11" t="str">
        <x:v>C</x:v>
      </x:c>
      <x:c r="E15" s="11" t="str">
        <x:v>A</x:v>
      </x:c>
      <x:c r="F15" s="11" t="str">
        <x:v>A</x:v>
      </x:c>
      <x:c r="G15" s="11" t="str">
        <x:f>IF(COUNTIF(D15:F15,"A")&gt;=2,"A",IF(COUNTIF(D15:F15,"B")&gt;=2,"B",IF(COUNTIF(D15:F15,"C")&gt;=2,"C","D")))</x:f>
        <x:v>A</x:v>
      </x:c>
      <x:c r="H15" s="11" t="str">
        <x:v>C</x:v>
      </x:c>
      <x:c r="I15" s="11" t="str">
        <x:v>C</x:v>
      </x:c>
      <x:c r="J15" s="11" t="str">
        <x:v>C</x:v>
      </x:c>
      <x:c r="K15" s="11" t="str">
        <x:f>IF(COUNTIF(H15:J15,"A")&gt;=2,"A",IF(COUNTIF(H15:J15,"B")&gt;=2,"B",IF(COUNTIF(H15:J15,"C")&gt;=2,"C","D")))</x:f>
        <x:v>C</x:v>
      </x:c>
      <x:c r="L15" s="11" t="str">
        <x:f>IF(D15=H15,D15,"D")</x:f>
        <x:v>C</x:v>
      </x:c>
      <x:c r="M15" s="11" t="str">
        <x:f>IF(E15=I15,E15,"D")</x:f>
        <x:v>D</x:v>
      </x:c>
      <x:c r="N15" s="11" t="str">
        <x:f>IF(F15=J15,F15,"D")</x:f>
        <x:v>D</x:v>
      </x:c>
      <x:c r="O15" s="11" t="str">
        <x:f>IF(G15=K15,G15,"D")</x:f>
        <x:v>D</x:v>
      </x:c>
      <x:c r="P15" s="11" t="n">
        <x:f>--(G15=C15)</x:f>
        <x:v>1</x:v>
      </x:c>
      <x:c r="Q15" s="11" t="n">
        <x:f>--(K15=C15)</x:f>
        <x:v>0</x:v>
      </x:c>
      <x:c r="R15" s="11" t="n">
        <x:f>--(O15=C15)</x:f>
        <x:v>0</x:v>
      </x:c>
      <x:c r="S15" s="11" t="n">
        <x:f>--(G15=K15)</x:f>
        <x:v>0</x:v>
      </x:c>
      <x:c r="T15" s="11" t="n">
        <x:f>--(O15="D")</x:f>
        <x:v>1</x:v>
      </x:c>
      <x:c r="U15" s="11" t="n">
        <x:f>--(D15=C15)</x:f>
        <x:v>0</x:v>
      </x:c>
      <x:c r="V15" s="11" t="n">
        <x:f>--(E15=C15)</x:f>
        <x:v>1</x:v>
      </x:c>
      <x:c r="W15" s="11" t="n">
        <x:f>--(F15=C15)</x:f>
        <x:v>1</x:v>
      </x:c>
      <x:c r="X15" s="11" t="n">
        <x:f>--(H15=C15)</x:f>
        <x:v>0</x:v>
      </x:c>
      <x:c r="Y15" s="11" t="n">
        <x:f>--(I15=C15)</x:f>
        <x:v>0</x:v>
      </x:c>
      <x:c r="Z15" s="11" t="n">
        <x:f>--(J15=C15)</x:f>
        <x:v>0</x:v>
      </x:c>
      <x:c r="AA15" s="11" t="n">
        <x:f>--(L15=C15)</x:f>
        <x:v>0</x:v>
      </x:c>
      <x:c r="AB15" s="11" t="n">
        <x:f>--(M15=C15)</x:f>
        <x:v>0</x:v>
      </x:c>
      <x:c r="AC15" s="12" t="n">
        <x:f>--(N15=C15)</x:f>
        <x:v>0</x:v>
      </x:c>
    </x:row>
    <x:row r="16">
      <x:c r="A16" s="10" t="str">
        <x:v>CelO</x:v>
      </x:c>
      <x:c r="B16" s="11" t="str">
        <x:v>B vs C</x:v>
      </x:c>
      <x:c r="C16" s="11" t="str">
        <x:v>B</x:v>
      </x:c>
      <x:c r="D16" s="11" t="str">
        <x:v>C</x:v>
      </x:c>
      <x:c r="E16" s="11" t="str">
        <x:v>C</x:v>
      </x:c>
      <x:c r="F16" s="11" t="str">
        <x:v>B</x:v>
      </x:c>
      <x:c r="G16" s="11" t="str">
        <x:f>IF(COUNTIF(D16:F16,"A")&gt;=2,"A",IF(COUNTIF(D16:F16,"B")&gt;=2,"B",IF(COUNTIF(D16:F16,"C")&gt;=2,"C","D")))</x:f>
        <x:v>C</x:v>
      </x:c>
      <x:c r="H16" s="11" t="str">
        <x:v>C</x:v>
      </x:c>
      <x:c r="I16" s="11" t="str">
        <x:v>C</x:v>
      </x:c>
      <x:c r="J16" s="11" t="str">
        <x:v>C</x:v>
      </x:c>
      <x:c r="K16" s="11" t="str">
        <x:f>IF(COUNTIF(H16:J16,"A")&gt;=2,"A",IF(COUNTIF(H16:J16,"B")&gt;=2,"B",IF(COUNTIF(H16:J16,"C")&gt;=2,"C","D")))</x:f>
        <x:v>C</x:v>
      </x:c>
      <x:c r="L16" s="11" t="str">
        <x:f>IF(D16=H16,D16,"D")</x:f>
        <x:v>C</x:v>
      </x:c>
      <x:c r="M16" s="11" t="str">
        <x:f>IF(E16=I16,E16,"D")</x:f>
        <x:v>C</x:v>
      </x:c>
      <x:c r="N16" s="11" t="str">
        <x:f>IF(F16=J16,F16,"D")</x:f>
        <x:v>D</x:v>
      </x:c>
      <x:c r="O16" s="11" t="str">
        <x:f>IF(G16=K16,G16,"D")</x:f>
        <x:v>C</x:v>
      </x:c>
      <x:c r="P16" s="11" t="n">
        <x:f>--(G16=C16)</x:f>
        <x:v>0</x:v>
      </x:c>
      <x:c r="Q16" s="11" t="n">
        <x:f>--(K16=C16)</x:f>
        <x:v>0</x:v>
      </x:c>
      <x:c r="R16" s="11" t="n">
        <x:f>--(O16=C16)</x:f>
        <x:v>0</x:v>
      </x:c>
      <x:c r="S16" s="11" t="n">
        <x:f>--(G16=K16)</x:f>
        <x:v>1</x:v>
      </x:c>
      <x:c r="T16" s="11" t="n">
        <x:f>--(O16="D")</x:f>
        <x:v>0</x:v>
      </x:c>
      <x:c r="U16" s="11" t="n">
        <x:f>--(D16=C16)</x:f>
        <x:v>0</x:v>
      </x:c>
      <x:c r="V16" s="11" t="n">
        <x:f>--(E16=C16)</x:f>
        <x:v>0</x:v>
      </x:c>
      <x:c r="W16" s="11" t="n">
        <x:f>--(F16=C16)</x:f>
        <x:v>1</x:v>
      </x:c>
      <x:c r="X16" s="11" t="n">
        <x:f>--(H16=C16)</x:f>
        <x:v>0</x:v>
      </x:c>
      <x:c r="Y16" s="11" t="n">
        <x:f>--(I16=C16)</x:f>
        <x:v>0</x:v>
      </x:c>
      <x:c r="Z16" s="11" t="n">
        <x:f>--(J16=C16)</x:f>
        <x:v>0</x:v>
      </x:c>
      <x:c r="AA16" s="11" t="n">
        <x:f>--(L16=C16)</x:f>
        <x:v>0</x:v>
      </x:c>
      <x:c r="AB16" s="11" t="n">
        <x:f>--(M16=C16)</x:f>
        <x:v>0</x:v>
      </x:c>
      <x:c r="AC16" s="12" t="n">
        <x:f>--(N16=C16)</x:f>
        <x:v>0</x:v>
      </x:c>
    </x:row>
    <x:row r="17">
      <x:c r="A17" s="10" t="str">
        <x:v>Cruise</x:v>
      </x:c>
      <x:c r="B17" s="11" t="str">
        <x:v>A vs B</x:v>
      </x:c>
      <x:c r="C17" s="11" t="str">
        <x:v>A</x:v>
      </x:c>
      <x:c r="D17" s="11" t="str">
        <x:v>A</x:v>
      </x:c>
      <x:c r="E17" s="11" t="str">
        <x:v>A</x:v>
      </x:c>
      <x:c r="F17" s="11" t="str">
        <x:v>A</x:v>
      </x:c>
      <x:c r="G17" s="11" t="str">
        <x:f>IF(COUNTIF(D17:F17,"A")&gt;=2,"A",IF(COUNTIF(D17:F17,"B")&gt;=2,"B",IF(COUNTIF(D17:F17,"C")&gt;=2,"C","D")))</x:f>
        <x:v>A</x:v>
      </x:c>
      <x:c r="H17" s="11" t="str">
        <x:v>A</x:v>
      </x:c>
      <x:c r="I17" s="11" t="str">
        <x:v>A</x:v>
      </x:c>
      <x:c r="J17" s="11" t="str">
        <x:v>A</x:v>
      </x:c>
      <x:c r="K17" s="11" t="str">
        <x:f>IF(COUNTIF(H17:J17,"A")&gt;=2,"A",IF(COUNTIF(H17:J17,"B")&gt;=2,"B",IF(COUNTIF(H17:J17,"C")&gt;=2,"C","D")))</x:f>
        <x:v>A</x:v>
      </x:c>
      <x:c r="L17" s="11" t="str">
        <x:f>IF(D17=H17,D17,"D")</x:f>
        <x:v>A</x:v>
      </x:c>
      <x:c r="M17" s="11" t="str">
        <x:f>IF(E17=I17,E17,"D")</x:f>
        <x:v>A</x:v>
      </x:c>
      <x:c r="N17" s="11" t="str">
        <x:f>IF(F17=J17,F17,"D")</x:f>
        <x:v>A</x:v>
      </x:c>
      <x:c r="O17" s="11" t="str">
        <x:f>IF(G17=K17,G17,"D")</x:f>
        <x:v>A</x:v>
      </x:c>
      <x:c r="P17" s="11" t="n">
        <x:f>--(G17=C17)</x:f>
        <x:v>1</x:v>
      </x:c>
      <x:c r="Q17" s="11" t="n">
        <x:f>--(K17=C17)</x:f>
        <x:v>1</x:v>
      </x:c>
      <x:c r="R17" s="11" t="n">
        <x:f>--(O17=C17)</x:f>
        <x:v>1</x:v>
      </x:c>
      <x:c r="S17" s="11" t="n">
        <x:f>--(G17=K17)</x:f>
        <x:v>1</x:v>
      </x:c>
      <x:c r="T17" s="11" t="n">
        <x:f>--(O17="D")</x:f>
        <x:v>0</x:v>
      </x:c>
      <x:c r="U17" s="11" t="n">
        <x:f>--(D17=C17)</x:f>
        <x:v>1</x:v>
      </x:c>
      <x:c r="V17" s="11" t="n">
        <x:f>--(E17=C17)</x:f>
        <x:v>1</x:v>
      </x:c>
      <x:c r="W17" s="11" t="n">
        <x:f>--(F17=C17)</x:f>
        <x:v>1</x:v>
      </x:c>
      <x:c r="X17" s="11" t="n">
        <x:f>--(H17=C17)</x:f>
        <x:v>1</x:v>
      </x:c>
      <x:c r="Y17" s="11" t="n">
        <x:f>--(I17=C17)</x:f>
        <x:v>1</x:v>
      </x:c>
      <x:c r="Z17" s="11" t="n">
        <x:f>--(J17=C17)</x:f>
        <x:v>1</x:v>
      </x:c>
      <x:c r="AA17" s="11" t="n">
        <x:f>--(L17=C17)</x:f>
        <x:v>1</x:v>
      </x:c>
      <x:c r="AB17" s="11" t="n">
        <x:f>--(M17=C17)</x:f>
        <x:v>1</x:v>
      </x:c>
      <x:c r="AC17" s="12" t="n">
        <x:f>--(N17=C17)</x:f>
        <x:v>1</x:v>
      </x:c>
    </x:row>
    <x:row r="18">
      <x:c r="A18" s="10" t="str">
        <x:v>Cruise</x:v>
      </x:c>
      <x:c r="B18" s="11" t="str">
        <x:v>A vs C</x:v>
      </x:c>
      <x:c r="C18" s="11" t="str">
        <x:v>A</x:v>
      </x:c>
      <x:c r="D18" s="11" t="str">
        <x:v>A</x:v>
      </x:c>
      <x:c r="E18" s="11" t="str">
        <x:v>A</x:v>
      </x:c>
      <x:c r="F18" s="11" t="str">
        <x:v>A</x:v>
      </x:c>
      <x:c r="G18" s="11" t="str">
        <x:f>IF(COUNTIF(D18:F18,"A")&gt;=2,"A",IF(COUNTIF(D18:F18,"B")&gt;=2,"B",IF(COUNTIF(D18:F18,"C")&gt;=2,"C","D")))</x:f>
        <x:v>A</x:v>
      </x:c>
      <x:c r="H18" s="11" t="str">
        <x:v>A</x:v>
      </x:c>
      <x:c r="I18" s="11" t="str">
        <x:v>A</x:v>
      </x:c>
      <x:c r="J18" s="11" t="str">
        <x:v>A</x:v>
      </x:c>
      <x:c r="K18" s="11" t="str">
        <x:f>IF(COUNTIF(H18:J18,"A")&gt;=2,"A",IF(COUNTIF(H18:J18,"B")&gt;=2,"B",IF(COUNTIF(H18:J18,"C")&gt;=2,"C","D")))</x:f>
        <x:v>A</x:v>
      </x:c>
      <x:c r="L18" s="11" t="str">
        <x:f>IF(D18=H18,D18,"D")</x:f>
        <x:v>A</x:v>
      </x:c>
      <x:c r="M18" s="11" t="str">
        <x:f>IF(E18=I18,E18,"D")</x:f>
        <x:v>A</x:v>
      </x:c>
      <x:c r="N18" s="11" t="str">
        <x:f>IF(F18=J18,F18,"D")</x:f>
        <x:v>A</x:v>
      </x:c>
      <x:c r="O18" s="11" t="str">
        <x:f>IF(G18=K18,G18,"D")</x:f>
        <x:v>A</x:v>
      </x:c>
      <x:c r="P18" s="11" t="n">
        <x:f>--(G18=C18)</x:f>
        <x:v>1</x:v>
      </x:c>
      <x:c r="Q18" s="11" t="n">
        <x:f>--(K18=C18)</x:f>
        <x:v>1</x:v>
      </x:c>
      <x:c r="R18" s="11" t="n">
        <x:f>--(O18=C18)</x:f>
        <x:v>1</x:v>
      </x:c>
      <x:c r="S18" s="11" t="n">
        <x:f>--(G18=K18)</x:f>
        <x:v>1</x:v>
      </x:c>
      <x:c r="T18" s="11" t="n">
        <x:f>--(O18="D")</x:f>
        <x:v>0</x:v>
      </x:c>
      <x:c r="U18" s="11" t="n">
        <x:f>--(D18=C18)</x:f>
        <x:v>1</x:v>
      </x:c>
      <x:c r="V18" s="11" t="n">
        <x:f>--(E18=C18)</x:f>
        <x:v>1</x:v>
      </x:c>
      <x:c r="W18" s="11" t="n">
        <x:f>--(F18=C18)</x:f>
        <x:v>1</x:v>
      </x:c>
      <x:c r="X18" s="11" t="n">
        <x:f>--(H18=C18)</x:f>
        <x:v>1</x:v>
      </x:c>
      <x:c r="Y18" s="11" t="n">
        <x:f>--(I18=C18)</x:f>
        <x:v>1</x:v>
      </x:c>
      <x:c r="Z18" s="11" t="n">
        <x:f>--(J18=C18)</x:f>
        <x:v>1</x:v>
      </x:c>
      <x:c r="AA18" s="11" t="n">
        <x:f>--(L18=C18)</x:f>
        <x:v>1</x:v>
      </x:c>
      <x:c r="AB18" s="11" t="n">
        <x:f>--(M18=C18)</x:f>
        <x:v>1</x:v>
      </x:c>
      <x:c r="AC18" s="12" t="n">
        <x:f>--(N18=C18)</x:f>
        <x:v>1</x:v>
      </x:c>
    </x:row>
    <x:row r="19">
      <x:c r="A19" s="10" t="str">
        <x:v>Cruise</x:v>
      </x:c>
      <x:c r="B19" s="11" t="str">
        <x:v>B vs C</x:v>
      </x:c>
      <x:c r="C19" s="11" t="str">
        <x:v>B</x:v>
      </x:c>
      <x:c r="D19" s="11" t="str">
        <x:v>B</x:v>
      </x:c>
      <x:c r="E19" s="11" t="str">
        <x:v>B</x:v>
      </x:c>
      <x:c r="F19" s="11" t="str">
        <x:v>B</x:v>
      </x:c>
      <x:c r="G19" s="11" t="str">
        <x:f>IF(COUNTIF(D19:F19,"A")&gt;=2,"A",IF(COUNTIF(D19:F19,"B")&gt;=2,"B",IF(COUNTIF(D19:F19,"C")&gt;=2,"C","D")))</x:f>
        <x:v>B</x:v>
      </x:c>
      <x:c r="H19" s="11" t="str">
        <x:v>B</x:v>
      </x:c>
      <x:c r="I19" s="11" t="str">
        <x:v>B</x:v>
      </x:c>
      <x:c r="J19" s="11" t="str">
        <x:v>B</x:v>
      </x:c>
      <x:c r="K19" s="11" t="str">
        <x:f>IF(COUNTIF(H19:J19,"A")&gt;=2,"A",IF(COUNTIF(H19:J19,"B")&gt;=2,"B",IF(COUNTIF(H19:J19,"C")&gt;=2,"C","D")))</x:f>
        <x:v>B</x:v>
      </x:c>
      <x:c r="L19" s="11" t="str">
        <x:f>IF(D19=H19,D19,"D")</x:f>
        <x:v>B</x:v>
      </x:c>
      <x:c r="M19" s="11" t="str">
        <x:f>IF(E19=I19,E19,"D")</x:f>
        <x:v>B</x:v>
      </x:c>
      <x:c r="N19" s="11" t="str">
        <x:f>IF(F19=J19,F19,"D")</x:f>
        <x:v>B</x:v>
      </x:c>
      <x:c r="O19" s="11" t="str">
        <x:f>IF(G19=K19,G19,"D")</x:f>
        <x:v>B</x:v>
      </x:c>
      <x:c r="P19" s="11" t="n">
        <x:f>--(G19=C19)</x:f>
        <x:v>1</x:v>
      </x:c>
      <x:c r="Q19" s="11" t="n">
        <x:f>--(K19=C19)</x:f>
        <x:v>1</x:v>
      </x:c>
      <x:c r="R19" s="11" t="n">
        <x:f>--(O19=C19)</x:f>
        <x:v>1</x:v>
      </x:c>
      <x:c r="S19" s="11" t="n">
        <x:f>--(G19=K19)</x:f>
        <x:v>1</x:v>
      </x:c>
      <x:c r="T19" s="11" t="n">
        <x:f>--(O19="D")</x:f>
        <x:v>0</x:v>
      </x:c>
      <x:c r="U19" s="11" t="n">
        <x:f>--(D19=C19)</x:f>
        <x:v>1</x:v>
      </x:c>
      <x:c r="V19" s="11" t="n">
        <x:f>--(E19=C19)</x:f>
        <x:v>1</x:v>
      </x:c>
      <x:c r="W19" s="11" t="n">
        <x:f>--(F19=C19)</x:f>
        <x:v>1</x:v>
      </x:c>
      <x:c r="X19" s="11" t="n">
        <x:f>--(H19=C19)</x:f>
        <x:v>1</x:v>
      </x:c>
      <x:c r="Y19" s="11" t="n">
        <x:f>--(I19=C19)</x:f>
        <x:v>1</x:v>
      </x:c>
      <x:c r="Z19" s="11" t="n">
        <x:f>--(J19=C19)</x:f>
        <x:v>1</x:v>
      </x:c>
      <x:c r="AA19" s="11" t="n">
        <x:f>--(L19=C19)</x:f>
        <x:v>1</x:v>
      </x:c>
      <x:c r="AB19" s="11" t="n">
        <x:f>--(M19=C19)</x:f>
        <x:v>1</x:v>
      </x:c>
      <x:c r="AC19" s="12" t="n">
        <x:f>--(N19=C19)</x:f>
        <x:v>1</x:v>
      </x:c>
    </x:row>
    <x:row r="20">
      <x:c r="A20" s="10" t="str">
        <x:v>EUScienceConnect</x:v>
      </x:c>
      <x:c r="B20" s="11" t="str">
        <x:v>A vs B</x:v>
      </x:c>
      <x:c r="C20" s="11" t="str">
        <x:v>A</x:v>
      </x:c>
      <x:c r="D20" s="11" t="str">
        <x:v>A</x:v>
      </x:c>
      <x:c r="E20" s="11" t="str">
        <x:v>A</x:v>
      </x:c>
      <x:c r="F20" s="11" t="str">
        <x:v>A</x:v>
      </x:c>
      <x:c r="G20" s="11" t="str">
        <x:f>IF(COUNTIF(D20:F20,"A")&gt;=2,"A",IF(COUNTIF(D20:F20,"B")&gt;=2,"B",IF(COUNTIF(D20:F20,"C")&gt;=2,"C","D")))</x:f>
        <x:v>A</x:v>
      </x:c>
      <x:c r="H20" s="11" t="str">
        <x:v>A</x:v>
      </x:c>
      <x:c r="I20" s="11" t="str">
        <x:v>A</x:v>
      </x:c>
      <x:c r="J20" s="11" t="str">
        <x:v>A</x:v>
      </x:c>
      <x:c r="K20" s="11" t="str">
        <x:f>IF(COUNTIF(H20:J20,"A")&gt;=2,"A",IF(COUNTIF(H20:J20,"B")&gt;=2,"B",IF(COUNTIF(H20:J20,"C")&gt;=2,"C","D")))</x:f>
        <x:v>A</x:v>
      </x:c>
      <x:c r="L20" s="11" t="str">
        <x:f>IF(D20=H20,D20,"D")</x:f>
        <x:v>A</x:v>
      </x:c>
      <x:c r="M20" s="11" t="str">
        <x:f>IF(E20=I20,E20,"D")</x:f>
        <x:v>A</x:v>
      </x:c>
      <x:c r="N20" s="11" t="str">
        <x:f>IF(F20=J20,F20,"D")</x:f>
        <x:v>A</x:v>
      </x:c>
      <x:c r="O20" s="11" t="str">
        <x:f>IF(G20=K20,G20,"D")</x:f>
        <x:v>A</x:v>
      </x:c>
      <x:c r="P20" s="11" t="n">
        <x:f>--(G20=C20)</x:f>
        <x:v>1</x:v>
      </x:c>
      <x:c r="Q20" s="11" t="n">
        <x:f>--(K20=C20)</x:f>
        <x:v>1</x:v>
      </x:c>
      <x:c r="R20" s="11" t="n">
        <x:f>--(O20=C20)</x:f>
        <x:v>1</x:v>
      </x:c>
      <x:c r="S20" s="11" t="n">
        <x:f>--(G20=K20)</x:f>
        <x:v>1</x:v>
      </x:c>
      <x:c r="T20" s="11" t="n">
        <x:f>--(O20="D")</x:f>
        <x:v>0</x:v>
      </x:c>
      <x:c r="U20" s="11" t="n">
        <x:f>--(D20=C20)</x:f>
        <x:v>1</x:v>
      </x:c>
      <x:c r="V20" s="11" t="n">
        <x:f>--(E20=C20)</x:f>
        <x:v>1</x:v>
      </x:c>
      <x:c r="W20" s="11" t="n">
        <x:f>--(F20=C20)</x:f>
        <x:v>1</x:v>
      </x:c>
      <x:c r="X20" s="11" t="n">
        <x:f>--(H20=C20)</x:f>
        <x:v>1</x:v>
      </x:c>
      <x:c r="Y20" s="11" t="n">
        <x:f>--(I20=C20)</x:f>
        <x:v>1</x:v>
      </x:c>
      <x:c r="Z20" s="11" t="n">
        <x:f>--(J20=C20)</x:f>
        <x:v>1</x:v>
      </x:c>
      <x:c r="AA20" s="11" t="n">
        <x:f>--(L20=C20)</x:f>
        <x:v>1</x:v>
      </x:c>
      <x:c r="AB20" s="11" t="n">
        <x:f>--(M20=C20)</x:f>
        <x:v>1</x:v>
      </x:c>
      <x:c r="AC20" s="12" t="n">
        <x:f>--(N20=C20)</x:f>
        <x:v>1</x:v>
      </x:c>
    </x:row>
    <x:row r="21">
      <x:c r="A21" s="10" t="str">
        <x:v>EUScienceConnect</x:v>
      </x:c>
      <x:c r="B21" s="11" t="str">
        <x:v>A vs C</x:v>
      </x:c>
      <x:c r="C21" s="11" t="str">
        <x:v>A</x:v>
      </x:c>
      <x:c r="D21" s="11" t="str">
        <x:v>A</x:v>
      </x:c>
      <x:c r="E21" s="11" t="str">
        <x:v>A</x:v>
      </x:c>
      <x:c r="F21" s="11" t="str">
        <x:v>A</x:v>
      </x:c>
      <x:c r="G21" s="11" t="str">
        <x:f>IF(COUNTIF(D21:F21,"A")&gt;=2,"A",IF(COUNTIF(D21:F21,"B")&gt;=2,"B",IF(COUNTIF(D21:F21,"C")&gt;=2,"C","D")))</x:f>
        <x:v>A</x:v>
      </x:c>
      <x:c r="H21" s="11" t="str">
        <x:v>A</x:v>
      </x:c>
      <x:c r="I21" s="11" t="str">
        <x:v>A</x:v>
      </x:c>
      <x:c r="J21" s="11" t="str">
        <x:v>A</x:v>
      </x:c>
      <x:c r="K21" s="11" t="str">
        <x:f>IF(COUNTIF(H21:J21,"A")&gt;=2,"A",IF(COUNTIF(H21:J21,"B")&gt;=2,"B",IF(COUNTIF(H21:J21,"C")&gt;=2,"C","D")))</x:f>
        <x:v>A</x:v>
      </x:c>
      <x:c r="L21" s="11" t="str">
        <x:f>IF(D21=H21,D21,"D")</x:f>
        <x:v>A</x:v>
      </x:c>
      <x:c r="M21" s="11" t="str">
        <x:f>IF(E21=I21,E21,"D")</x:f>
        <x:v>A</x:v>
      </x:c>
      <x:c r="N21" s="11" t="str">
        <x:f>IF(F21=J21,F21,"D")</x:f>
        <x:v>A</x:v>
      </x:c>
      <x:c r="O21" s="11" t="str">
        <x:f>IF(G21=K21,G21,"D")</x:f>
        <x:v>A</x:v>
      </x:c>
      <x:c r="P21" s="11" t="n">
        <x:f>--(G21=C21)</x:f>
        <x:v>1</x:v>
      </x:c>
      <x:c r="Q21" s="11" t="n">
        <x:f>--(K21=C21)</x:f>
        <x:v>1</x:v>
      </x:c>
      <x:c r="R21" s="11" t="n">
        <x:f>--(O21=C21)</x:f>
        <x:v>1</x:v>
      </x:c>
      <x:c r="S21" s="11" t="n">
        <x:f>--(G21=K21)</x:f>
        <x:v>1</x:v>
      </x:c>
      <x:c r="T21" s="11" t="n">
        <x:f>--(O21="D")</x:f>
        <x:v>0</x:v>
      </x:c>
      <x:c r="U21" s="11" t="n">
        <x:f>--(D21=C21)</x:f>
        <x:v>1</x:v>
      </x:c>
      <x:c r="V21" s="11" t="n">
        <x:f>--(E21=C21)</x:f>
        <x:v>1</x:v>
      </x:c>
      <x:c r="W21" s="11" t="n">
        <x:f>--(F21=C21)</x:f>
        <x:v>1</x:v>
      </x:c>
      <x:c r="X21" s="11" t="n">
        <x:f>--(H21=C21)</x:f>
        <x:v>1</x:v>
      </x:c>
      <x:c r="Y21" s="11" t="n">
        <x:f>--(I21=C21)</x:f>
        <x:v>1</x:v>
      </x:c>
      <x:c r="Z21" s="11" t="n">
        <x:f>--(J21=C21)</x:f>
        <x:v>1</x:v>
      </x:c>
      <x:c r="AA21" s="11" t="n">
        <x:f>--(L21=C21)</x:f>
        <x:v>1</x:v>
      </x:c>
      <x:c r="AB21" s="11" t="n">
        <x:f>--(M21=C21)</x:f>
        <x:v>1</x:v>
      </x:c>
      <x:c r="AC21" s="12" t="n">
        <x:f>--(N21=C21)</x:f>
        <x:v>1</x:v>
      </x:c>
    </x:row>
    <x:row r="22">
      <x:c r="A22" s="10" t="str">
        <x:v>EUScienceConnect</x:v>
      </x:c>
      <x:c r="B22" s="11" t="str">
        <x:v>B vs C</x:v>
      </x:c>
      <x:c r="C22" s="11" t="str">
        <x:v>C</x:v>
      </x:c>
      <x:c r="D22" s="11" t="str">
        <x:v>C</x:v>
      </x:c>
      <x:c r="E22" s="11" t="str">
        <x:v>C</x:v>
      </x:c>
      <x:c r="F22" s="11" t="str">
        <x:v>D</x:v>
      </x:c>
      <x:c r="G22" s="11" t="str">
        <x:f>IF(COUNTIF(D22:F22,"A")&gt;=2,"A",IF(COUNTIF(D22:F22,"B")&gt;=2,"B",IF(COUNTIF(D22:F22,"C")&gt;=2,"C","D")))</x:f>
        <x:v>C</x:v>
      </x:c>
      <x:c r="H22" s="11" t="str">
        <x:v>C</x:v>
      </x:c>
      <x:c r="I22" s="11" t="str">
        <x:v>C</x:v>
      </x:c>
      <x:c r="J22" s="11" t="str">
        <x:v>C</x:v>
      </x:c>
      <x:c r="K22" s="11" t="str">
        <x:f>IF(COUNTIF(H22:J22,"A")&gt;=2,"A",IF(COUNTIF(H22:J22,"B")&gt;=2,"B",IF(COUNTIF(H22:J22,"C")&gt;=2,"C","D")))</x:f>
        <x:v>C</x:v>
      </x:c>
      <x:c r="L22" s="11" t="str">
        <x:f>IF(D22=H22,D22,"D")</x:f>
        <x:v>C</x:v>
      </x:c>
      <x:c r="M22" s="11" t="str">
        <x:f>IF(E22=I22,E22,"D")</x:f>
        <x:v>C</x:v>
      </x:c>
      <x:c r="N22" s="11" t="str">
        <x:f>IF(F22=J22,F22,"D")</x:f>
        <x:v>D</x:v>
      </x:c>
      <x:c r="O22" s="11" t="str">
        <x:f>IF(G22=K22,G22,"D")</x:f>
        <x:v>C</x:v>
      </x:c>
      <x:c r="P22" s="11" t="n">
        <x:f>--(G22=C22)</x:f>
        <x:v>1</x:v>
      </x:c>
      <x:c r="Q22" s="11" t="n">
        <x:f>--(K22=C22)</x:f>
        <x:v>1</x:v>
      </x:c>
      <x:c r="R22" s="11" t="n">
        <x:f>--(O22=C22)</x:f>
        <x:v>1</x:v>
      </x:c>
      <x:c r="S22" s="11" t="n">
        <x:f>--(G22=K22)</x:f>
        <x:v>1</x:v>
      </x:c>
      <x:c r="T22" s="11" t="n">
        <x:f>--(O22="D")</x:f>
        <x:v>0</x:v>
      </x:c>
      <x:c r="U22" s="11" t="n">
        <x:f>--(D22=C22)</x:f>
        <x:v>1</x:v>
      </x:c>
      <x:c r="V22" s="11" t="n">
        <x:f>--(E22=C22)</x:f>
        <x:v>1</x:v>
      </x:c>
      <x:c r="W22" s="11" t="n">
        <x:f>--(F22=C22)</x:f>
        <x:v>0</x:v>
      </x:c>
      <x:c r="X22" s="11" t="n">
        <x:f>--(H22=C22)</x:f>
        <x:v>1</x:v>
      </x:c>
      <x:c r="Y22" s="11" t="n">
        <x:f>--(I22=C22)</x:f>
        <x:v>1</x:v>
      </x:c>
      <x:c r="Z22" s="11" t="n">
        <x:f>--(J22=C22)</x:f>
        <x:v>1</x:v>
      </x:c>
      <x:c r="AA22" s="11" t="n">
        <x:f>--(L22=C22)</x:f>
        <x:v>1</x:v>
      </x:c>
      <x:c r="AB22" s="11" t="n">
        <x:f>--(M22=C22)</x:f>
        <x:v>1</x:v>
      </x:c>
      <x:c r="AC22" s="12" t="n">
        <x:f>--(N22=C22)</x:f>
        <x:v>0</x:v>
      </x:c>
    </x:row>
    <x:row r="23">
      <x:c r="A23" s="10" t="str">
        <x:v>House</x:v>
      </x:c>
      <x:c r="B23" s="11" t="str">
        <x:v>A vs B</x:v>
      </x:c>
      <x:c r="C23" s="11" t="str">
        <x:v>A</x:v>
      </x:c>
      <x:c r="D23" s="11" t="str">
        <x:v>A</x:v>
      </x:c>
      <x:c r="E23" s="11" t="str">
        <x:v>B</x:v>
      </x:c>
      <x:c r="F23" s="11" t="str">
        <x:v>B</x:v>
      </x:c>
      <x:c r="G23" s="11" t="str">
        <x:f>IF(COUNTIF(D23:F23,"A")&gt;=2,"A",IF(COUNTIF(D23:F23,"B")&gt;=2,"B",IF(COUNTIF(D23:F23,"C")&gt;=2,"C","D")))</x:f>
        <x:v>B</x:v>
      </x:c>
      <x:c r="H23" s="11" t="str">
        <x:v>B</x:v>
      </x:c>
      <x:c r="I23" s="11" t="str">
        <x:v>B</x:v>
      </x:c>
      <x:c r="J23" s="11" t="str">
        <x:v>B</x:v>
      </x:c>
      <x:c r="K23" s="11" t="str">
        <x:f>IF(COUNTIF(H23:J23,"A")&gt;=2,"A",IF(COUNTIF(H23:J23,"B")&gt;=2,"B",IF(COUNTIF(H23:J23,"C")&gt;=2,"C","D")))</x:f>
        <x:v>B</x:v>
      </x:c>
      <x:c r="L23" s="11" t="str">
        <x:f>IF(D23=H23,D23,"D")</x:f>
        <x:v>D</x:v>
      </x:c>
      <x:c r="M23" s="11" t="str">
        <x:f>IF(E23=I23,E23,"D")</x:f>
        <x:v>B</x:v>
      </x:c>
      <x:c r="N23" s="11" t="str">
        <x:f>IF(F23=J23,F23,"D")</x:f>
        <x:v>B</x:v>
      </x:c>
      <x:c r="O23" s="11" t="str">
        <x:f>IF(G23=K23,G23,"D")</x:f>
        <x:v>B</x:v>
      </x:c>
      <x:c r="P23" s="11" t="n">
        <x:f>--(G23=C23)</x:f>
        <x:v>0</x:v>
      </x:c>
      <x:c r="Q23" s="11" t="n">
        <x:f>--(K23=C23)</x:f>
        <x:v>0</x:v>
      </x:c>
      <x:c r="R23" s="11" t="n">
        <x:f>--(O23=C23)</x:f>
        <x:v>0</x:v>
      </x:c>
      <x:c r="S23" s="11" t="n">
        <x:f>--(G23=K23)</x:f>
        <x:v>1</x:v>
      </x:c>
      <x:c r="T23" s="11" t="n">
        <x:f>--(O23="D")</x:f>
        <x:v>0</x:v>
      </x:c>
      <x:c r="U23" s="11" t="n">
        <x:f>--(D23=C23)</x:f>
        <x:v>1</x:v>
      </x:c>
      <x:c r="V23" s="11" t="n">
        <x:f>--(E23=C23)</x:f>
        <x:v>0</x:v>
      </x:c>
      <x:c r="W23" s="11" t="n">
        <x:f>--(F23=C23)</x:f>
        <x:v>0</x:v>
      </x:c>
      <x:c r="X23" s="11" t="n">
        <x:f>--(H23=C23)</x:f>
        <x:v>0</x:v>
      </x:c>
      <x:c r="Y23" s="11" t="n">
        <x:f>--(I23=C23)</x:f>
        <x:v>0</x:v>
      </x:c>
      <x:c r="Z23" s="11" t="n">
        <x:f>--(J23=C23)</x:f>
        <x:v>0</x:v>
      </x:c>
      <x:c r="AA23" s="11" t="n">
        <x:f>--(L23=C23)</x:f>
        <x:v>0</x:v>
      </x:c>
      <x:c r="AB23" s="11" t="n">
        <x:f>--(M23=C23)</x:f>
        <x:v>0</x:v>
      </x:c>
      <x:c r="AC23" s="12" t="n">
        <x:f>--(N23=C23)</x:f>
        <x:v>0</x:v>
      </x:c>
    </x:row>
    <x:row r="24">
      <x:c r="A24" s="10" t="str">
        <x:v>House</x:v>
      </x:c>
      <x:c r="B24" s="11" t="str">
        <x:v>A vs C</x:v>
      </x:c>
      <x:c r="C24" s="11" t="str">
        <x:v>A</x:v>
      </x:c>
      <x:c r="D24" s="11" t="str">
        <x:v>A</x:v>
      </x:c>
      <x:c r="E24" s="11" t="str">
        <x:v>A</x:v>
      </x:c>
      <x:c r="F24" s="11" t="str">
        <x:v>A</x:v>
      </x:c>
      <x:c r="G24" s="11" t="str">
        <x:f>IF(COUNTIF(D24:F24,"A")&gt;=2,"A",IF(COUNTIF(D24:F24,"B")&gt;=2,"B",IF(COUNTIF(D24:F24,"C")&gt;=2,"C","D")))</x:f>
        <x:v>A</x:v>
      </x:c>
      <x:c r="H24" s="11" t="str">
        <x:v>A</x:v>
      </x:c>
      <x:c r="I24" s="11" t="str">
        <x:v>A</x:v>
      </x:c>
      <x:c r="J24" s="11" t="str">
        <x:v>A</x:v>
      </x:c>
      <x:c r="K24" s="11" t="str">
        <x:f>IF(COUNTIF(H24:J24,"A")&gt;=2,"A",IF(COUNTIF(H24:J24,"B")&gt;=2,"B",IF(COUNTIF(H24:J24,"C")&gt;=2,"C","D")))</x:f>
        <x:v>A</x:v>
      </x:c>
      <x:c r="L24" s="11" t="str">
        <x:f>IF(D24=H24,D24,"D")</x:f>
        <x:v>A</x:v>
      </x:c>
      <x:c r="M24" s="11" t="str">
        <x:f>IF(E24=I24,E24,"D")</x:f>
        <x:v>A</x:v>
      </x:c>
      <x:c r="N24" s="11" t="str">
        <x:f>IF(F24=J24,F24,"D")</x:f>
        <x:v>A</x:v>
      </x:c>
      <x:c r="O24" s="11" t="str">
        <x:f>IF(G24=K24,G24,"D")</x:f>
        <x:v>A</x:v>
      </x:c>
      <x:c r="P24" s="11" t="n">
        <x:f>--(G24=C24)</x:f>
        <x:v>1</x:v>
      </x:c>
      <x:c r="Q24" s="11" t="n">
        <x:f>--(K24=C24)</x:f>
        <x:v>1</x:v>
      </x:c>
      <x:c r="R24" s="11" t="n">
        <x:f>--(O24=C24)</x:f>
        <x:v>1</x:v>
      </x:c>
      <x:c r="S24" s="11" t="n">
        <x:f>--(G24=K24)</x:f>
        <x:v>1</x:v>
      </x:c>
      <x:c r="T24" s="11" t="n">
        <x:f>--(O24="D")</x:f>
        <x:v>0</x:v>
      </x:c>
      <x:c r="U24" s="11" t="n">
        <x:f>--(D24=C24)</x:f>
        <x:v>1</x:v>
      </x:c>
      <x:c r="V24" s="11" t="n">
        <x:f>--(E24=C24)</x:f>
        <x:v>1</x:v>
      </x:c>
      <x:c r="W24" s="11" t="n">
        <x:f>--(F24=C24)</x:f>
        <x:v>1</x:v>
      </x:c>
      <x:c r="X24" s="11" t="n">
        <x:f>--(H24=C24)</x:f>
        <x:v>1</x:v>
      </x:c>
      <x:c r="Y24" s="11" t="n">
        <x:f>--(I24=C24)</x:f>
        <x:v>1</x:v>
      </x:c>
      <x:c r="Z24" s="11" t="n">
        <x:f>--(J24=C24)</x:f>
        <x:v>1</x:v>
      </x:c>
      <x:c r="AA24" s="11" t="n">
        <x:f>--(L24=C24)</x:f>
        <x:v>1</x:v>
      </x:c>
      <x:c r="AB24" s="11" t="n">
        <x:f>--(M24=C24)</x:f>
        <x:v>1</x:v>
      </x:c>
      <x:c r="AC24" s="12" t="n">
        <x:f>--(N24=C24)</x:f>
        <x:v>1</x:v>
      </x:c>
    </x:row>
    <x:row r="25">
      <x:c r="A25" s="10" t="str">
        <x:v>House</x:v>
      </x:c>
      <x:c r="B25" s="11" t="str">
        <x:v>B vs C</x:v>
      </x:c>
      <x:c r="C25" s="11" t="str">
        <x:v>B</x:v>
      </x:c>
      <x:c r="D25" s="11" t="str">
        <x:v>B</x:v>
      </x:c>
      <x:c r="E25" s="11" t="str">
        <x:v>B</x:v>
      </x:c>
      <x:c r="F25" s="11" t="str">
        <x:v>B</x:v>
      </x:c>
      <x:c r="G25" s="11" t="str">
        <x:f>IF(COUNTIF(D25:F25,"A")&gt;=2,"A",IF(COUNTIF(D25:F25,"B")&gt;=2,"B",IF(COUNTIF(D25:F25,"C")&gt;=2,"C","D")))</x:f>
        <x:v>B</x:v>
      </x:c>
      <x:c r="H25" s="11" t="str">
        <x:v>B</x:v>
      </x:c>
      <x:c r="I25" s="11" t="str">
        <x:v>B</x:v>
      </x:c>
      <x:c r="J25" s="11" t="str">
        <x:v>B</x:v>
      </x:c>
      <x:c r="K25" s="11" t="str">
        <x:f>IF(COUNTIF(H25:J25,"A")&gt;=2,"A",IF(COUNTIF(H25:J25,"B")&gt;=2,"B",IF(COUNTIF(H25:J25,"C")&gt;=2,"C","D")))</x:f>
        <x:v>B</x:v>
      </x:c>
      <x:c r="L25" s="11" t="str">
        <x:f>IF(D25=H25,D25,"D")</x:f>
        <x:v>B</x:v>
      </x:c>
      <x:c r="M25" s="11" t="str">
        <x:f>IF(E25=I25,E25,"D")</x:f>
        <x:v>B</x:v>
      </x:c>
      <x:c r="N25" s="11" t="str">
        <x:f>IF(F25=J25,F25,"D")</x:f>
        <x:v>B</x:v>
      </x:c>
      <x:c r="O25" s="11" t="str">
        <x:f>IF(G25=K25,G25,"D")</x:f>
        <x:v>B</x:v>
      </x:c>
      <x:c r="P25" s="11" t="n">
        <x:f>--(G25=C25)</x:f>
        <x:v>1</x:v>
      </x:c>
      <x:c r="Q25" s="11" t="n">
        <x:f>--(K25=C25)</x:f>
        <x:v>1</x:v>
      </x:c>
      <x:c r="R25" s="11" t="n">
        <x:f>--(O25=C25)</x:f>
        <x:v>1</x:v>
      </x:c>
      <x:c r="S25" s="11" t="n">
        <x:f>--(G25=K25)</x:f>
        <x:v>1</x:v>
      </x:c>
      <x:c r="T25" s="11" t="n">
        <x:f>--(O25="D")</x:f>
        <x:v>0</x:v>
      </x:c>
      <x:c r="U25" s="11" t="n">
        <x:f>--(D25=C25)</x:f>
        <x:v>1</x:v>
      </x:c>
      <x:c r="V25" s="11" t="n">
        <x:f>--(E25=C25)</x:f>
        <x:v>1</x:v>
      </x:c>
      <x:c r="W25" s="11" t="n">
        <x:f>--(F25=C25)</x:f>
        <x:v>1</x:v>
      </x:c>
      <x:c r="X25" s="11" t="n">
        <x:f>--(H25=C25)</x:f>
        <x:v>1</x:v>
      </x:c>
      <x:c r="Y25" s="11" t="n">
        <x:f>--(I25=C25)</x:f>
        <x:v>1</x:v>
      </x:c>
      <x:c r="Z25" s="11" t="n">
        <x:f>--(J25=C25)</x:f>
        <x:v>1</x:v>
      </x:c>
      <x:c r="AA25" s="11" t="n">
        <x:f>--(L25=C25)</x:f>
        <x:v>1</x:v>
      </x:c>
      <x:c r="AB25" s="11" t="n">
        <x:f>--(M25=C25)</x:f>
        <x:v>1</x:v>
      </x:c>
      <x:c r="AC25" s="12" t="n">
        <x:f>--(N25=C25)</x:f>
        <x:v>1</x:v>
      </x:c>
    </x:row>
    <x:row r="26">
      <x:c r="A26" s="10" t="str">
        <x:v>SellingGoods</x:v>
      </x:c>
      <x:c r="B26" s="11" t="str">
        <x:v>A vs B</x:v>
      </x:c>
      <x:c r="C26" s="11" t="str">
        <x:v>D</x:v>
      </x:c>
      <x:c r="D26" s="11" t="str">
        <x:v>A</x:v>
      </x:c>
      <x:c r="E26" s="11" t="str">
        <x:v>B</x:v>
      </x:c>
      <x:c r="F26" s="11" t="str">
        <x:v>A</x:v>
      </x:c>
      <x:c r="G26" s="11" t="str">
        <x:f>IF(COUNTIF(D26:F26,"A")&gt;=2,"A",IF(COUNTIF(D26:F26,"B")&gt;=2,"B",IF(COUNTIF(D26:F26,"C")&gt;=2,"C","D")))</x:f>
        <x:v>A</x:v>
      </x:c>
      <x:c r="H26" s="11" t="str">
        <x:v>B</x:v>
      </x:c>
      <x:c r="I26" s="11" t="str">
        <x:v>B</x:v>
      </x:c>
      <x:c r="J26" s="11" t="str">
        <x:v>B</x:v>
      </x:c>
      <x:c r="K26" s="11" t="str">
        <x:f>IF(COUNTIF(H26:J26,"A")&gt;=2,"A",IF(COUNTIF(H26:J26,"B")&gt;=2,"B",IF(COUNTIF(H26:J26,"C")&gt;=2,"C","D")))</x:f>
        <x:v>B</x:v>
      </x:c>
      <x:c r="L26" s="11" t="str">
        <x:f>IF(D26=H26,D26,"D")</x:f>
        <x:v>D</x:v>
      </x:c>
      <x:c r="M26" s="11" t="str">
        <x:f>IF(E26=I26,E26,"D")</x:f>
        <x:v>B</x:v>
      </x:c>
      <x:c r="N26" s="11" t="str">
        <x:f>IF(F26=J26,F26,"D")</x:f>
        <x:v>D</x:v>
      </x:c>
      <x:c r="O26" s="11" t="str">
        <x:f>IF(G26=K26,G26,"D")</x:f>
        <x:v>D</x:v>
      </x:c>
      <x:c r="P26" s="11" t="n">
        <x:f>--(G26=C26)</x:f>
        <x:v>0</x:v>
      </x:c>
      <x:c r="Q26" s="11" t="n">
        <x:f>--(K26=C26)</x:f>
        <x:v>0</x:v>
      </x:c>
      <x:c r="R26" s="11" t="n">
        <x:f>--(O26=C26)</x:f>
        <x:v>1</x:v>
      </x:c>
      <x:c r="S26" s="11" t="n">
        <x:f>--(G26=K26)</x:f>
        <x:v>0</x:v>
      </x:c>
      <x:c r="T26" s="11" t="n">
        <x:f>--(O26="D")</x:f>
        <x:v>1</x:v>
      </x:c>
      <x:c r="U26" s="11" t="n">
        <x:f>--(D26=C26)</x:f>
        <x:v>0</x:v>
      </x:c>
      <x:c r="V26" s="11" t="n">
        <x:f>--(E26=C26)</x:f>
        <x:v>0</x:v>
      </x:c>
      <x:c r="W26" s="11" t="n">
        <x:f>--(F26=C26)</x:f>
        <x:v>0</x:v>
      </x:c>
      <x:c r="X26" s="11" t="n">
        <x:f>--(H26=C26)</x:f>
        <x:v>0</x:v>
      </x:c>
      <x:c r="Y26" s="11" t="n">
        <x:f>--(I26=C26)</x:f>
        <x:v>0</x:v>
      </x:c>
      <x:c r="Z26" s="11" t="n">
        <x:f>--(J26=C26)</x:f>
        <x:v>0</x:v>
      </x:c>
      <x:c r="AA26" s="11" t="n">
        <x:f>--(L26=C26)</x:f>
        <x:v>1</x:v>
      </x:c>
      <x:c r="AB26" s="11" t="n">
        <x:f>--(M26=C26)</x:f>
        <x:v>0</x:v>
      </x:c>
      <x:c r="AC26" s="12" t="n">
        <x:f>--(N26=C26)</x:f>
        <x:v>1</x:v>
      </x:c>
    </x:row>
    <x:row r="27">
      <x:c r="A27" s="10" t="str">
        <x:v>SellingGoods</x:v>
      </x:c>
      <x:c r="B27" s="11" t="str">
        <x:v>A vs C</x:v>
      </x:c>
      <x:c r="C27" s="11" t="str">
        <x:v>A</x:v>
      </x:c>
      <x:c r="D27" s="11" t="str">
        <x:v>C</x:v>
      </x:c>
      <x:c r="E27" s="11" t="str">
        <x:v>A</x:v>
      </x:c>
      <x:c r="F27" s="11" t="str">
        <x:v>A</x:v>
      </x:c>
      <x:c r="G27" s="11" t="str">
        <x:f>IF(COUNTIF(D27:F27,"A")&gt;=2,"A",IF(COUNTIF(D27:F27,"B")&gt;=2,"B",IF(COUNTIF(D27:F27,"C")&gt;=2,"C","D")))</x:f>
        <x:v>A</x:v>
      </x:c>
      <x:c r="H27" s="11" t="str">
        <x:v>A</x:v>
      </x:c>
      <x:c r="I27" s="11" t="str">
        <x:v>A</x:v>
      </x:c>
      <x:c r="J27" s="11" t="str">
        <x:v>A</x:v>
      </x:c>
      <x:c r="K27" s="11" t="str">
        <x:f>IF(COUNTIF(H27:J27,"A")&gt;=2,"A",IF(COUNTIF(H27:J27,"B")&gt;=2,"B",IF(COUNTIF(H27:J27,"C")&gt;=2,"C","D")))</x:f>
        <x:v>A</x:v>
      </x:c>
      <x:c r="L27" s="11" t="str">
        <x:f>IF(D27=H27,D27,"D")</x:f>
        <x:v>D</x:v>
      </x:c>
      <x:c r="M27" s="11" t="str">
        <x:f>IF(E27=I27,E27,"D")</x:f>
        <x:v>A</x:v>
      </x:c>
      <x:c r="N27" s="11" t="str">
        <x:f>IF(F27=J27,F27,"D")</x:f>
        <x:v>A</x:v>
      </x:c>
      <x:c r="O27" s="11" t="str">
        <x:f>IF(G27=K27,G27,"D")</x:f>
        <x:v>A</x:v>
      </x:c>
      <x:c r="P27" s="11" t="n">
        <x:f>--(G27=C27)</x:f>
        <x:v>1</x:v>
      </x:c>
      <x:c r="Q27" s="11" t="n">
        <x:f>--(K27=C27)</x:f>
        <x:v>1</x:v>
      </x:c>
      <x:c r="R27" s="11" t="n">
        <x:f>--(O27=C27)</x:f>
        <x:v>1</x:v>
      </x:c>
      <x:c r="S27" s="11" t="n">
        <x:f>--(G27=K27)</x:f>
        <x:v>1</x:v>
      </x:c>
      <x:c r="T27" s="11" t="n">
        <x:f>--(O27="D")</x:f>
        <x:v>0</x:v>
      </x:c>
      <x:c r="U27" s="11" t="n">
        <x:f>--(D27=C27)</x:f>
        <x:v>0</x:v>
      </x:c>
      <x:c r="V27" s="11" t="n">
        <x:f>--(E27=C27)</x:f>
        <x:v>1</x:v>
      </x:c>
      <x:c r="W27" s="11" t="n">
        <x:f>--(F27=C27)</x:f>
        <x:v>1</x:v>
      </x:c>
      <x:c r="X27" s="11" t="n">
        <x:f>--(H27=C27)</x:f>
        <x:v>1</x:v>
      </x:c>
      <x:c r="Y27" s="11" t="n">
        <x:f>--(I27=C27)</x:f>
        <x:v>1</x:v>
      </x:c>
      <x:c r="Z27" s="11" t="n">
        <x:f>--(J27=C27)</x:f>
        <x:v>1</x:v>
      </x:c>
      <x:c r="AA27" s="11" t="n">
        <x:f>--(L27=C27)</x:f>
        <x:v>0</x:v>
      </x:c>
      <x:c r="AB27" s="11" t="n">
        <x:f>--(M27=C27)</x:f>
        <x:v>1</x:v>
      </x:c>
      <x:c r="AC27" s="12" t="n">
        <x:f>--(N27=C27)</x:f>
        <x:v>1</x:v>
      </x:c>
    </x:row>
    <x:row r="28">
      <x:c r="A28" s="10" t="str">
        <x:v>SellingGoods</x:v>
      </x:c>
      <x:c r="B28" s="11" t="str">
        <x:v>B vs C</x:v>
      </x:c>
      <x:c r="C28" s="11" t="str">
        <x:v>B</x:v>
      </x:c>
      <x:c r="D28" s="11" t="str">
        <x:v>B</x:v>
      </x:c>
      <x:c r="E28" s="11" t="str">
        <x:v>B</x:v>
      </x:c>
      <x:c r="F28" s="11" t="str">
        <x:v>B</x:v>
      </x:c>
      <x:c r="G28" s="11" t="str">
        <x:f>IF(COUNTIF(D28:F28,"A")&gt;=2,"A",IF(COUNTIF(D28:F28,"B")&gt;=2,"B",IF(COUNTIF(D28:F28,"C")&gt;=2,"C","D")))</x:f>
        <x:v>B</x:v>
      </x:c>
      <x:c r="H28" s="11" t="str">
        <x:v>B</x:v>
      </x:c>
      <x:c r="I28" s="11" t="str">
        <x:v>B</x:v>
      </x:c>
      <x:c r="J28" s="11" t="str">
        <x:v>B</x:v>
      </x:c>
      <x:c r="K28" s="11" t="str">
        <x:f>IF(COUNTIF(H28:J28,"A")&gt;=2,"A",IF(COUNTIF(H28:J28,"B")&gt;=2,"B",IF(COUNTIF(H28:J28,"C")&gt;=2,"C","D")))</x:f>
        <x:v>B</x:v>
      </x:c>
      <x:c r="L28" s="11" t="str">
        <x:f>IF(D28=H28,D28,"D")</x:f>
        <x:v>B</x:v>
      </x:c>
      <x:c r="M28" s="11" t="str">
        <x:f>IF(E28=I28,E28,"D")</x:f>
        <x:v>B</x:v>
      </x:c>
      <x:c r="N28" s="11" t="str">
        <x:f>IF(F28=J28,F28,"D")</x:f>
        <x:v>B</x:v>
      </x:c>
      <x:c r="O28" s="11" t="str">
        <x:f>IF(G28=K28,G28,"D")</x:f>
        <x:v>B</x:v>
      </x:c>
      <x:c r="P28" s="11" t="n">
        <x:f>--(G28=C28)</x:f>
        <x:v>1</x:v>
      </x:c>
      <x:c r="Q28" s="11" t="n">
        <x:f>--(K28=C28)</x:f>
        <x:v>1</x:v>
      </x:c>
      <x:c r="R28" s="11" t="n">
        <x:f>--(O28=C28)</x:f>
        <x:v>1</x:v>
      </x:c>
      <x:c r="S28" s="11" t="n">
        <x:f>--(G28=K28)</x:f>
        <x:v>1</x:v>
      </x:c>
      <x:c r="T28" s="11" t="n">
        <x:f>--(O28="D")</x:f>
        <x:v>0</x:v>
      </x:c>
      <x:c r="U28" s="11" t="n">
        <x:f>--(D28=C28)</x:f>
        <x:v>1</x:v>
      </x:c>
      <x:c r="V28" s="11" t="n">
        <x:f>--(E28=C28)</x:f>
        <x:v>1</x:v>
      </x:c>
      <x:c r="W28" s="11" t="n">
        <x:f>--(F28=C28)</x:f>
        <x:v>1</x:v>
      </x:c>
      <x:c r="X28" s="11" t="n">
        <x:f>--(H28=C28)</x:f>
        <x:v>1</x:v>
      </x:c>
      <x:c r="Y28" s="11" t="n">
        <x:f>--(I28=C28)</x:f>
        <x:v>1</x:v>
      </x:c>
      <x:c r="Z28" s="11" t="n">
        <x:f>--(J28=C28)</x:f>
        <x:v>1</x:v>
      </x:c>
      <x:c r="AA28" s="11" t="n">
        <x:f>--(L28=C28)</x:f>
        <x:v>1</x:v>
      </x:c>
      <x:c r="AB28" s="11" t="n">
        <x:f>--(M28=C28)</x:f>
        <x:v>1</x:v>
      </x:c>
      <x:c r="AC28" s="12" t="n">
        <x:f>--(N28=C28)</x:f>
        <x:v>1</x:v>
      </x:c>
    </x:row>
    <x:row r="29">
      <x:c r="A29" s="10" t="str">
        <x:v>TeamSportsScoutingSystem</x:v>
      </x:c>
      <x:c r="B29" s="11" t="str">
        <x:v>A vs B</x:v>
      </x:c>
      <x:c r="C29" s="11" t="str">
        <x:v>B</x:v>
      </x:c>
      <x:c r="D29" s="11" t="str">
        <x:v>B</x:v>
      </x:c>
      <x:c r="E29" s="11" t="str">
        <x:v>A</x:v>
      </x:c>
      <x:c r="F29" s="11" t="str">
        <x:v>A</x:v>
      </x:c>
      <x:c r="G29" s="11" t="str">
        <x:f>IF(COUNTIF(D29:F29,"A")&gt;=2,"A",IF(COUNTIF(D29:F29,"B")&gt;=2,"B",IF(COUNTIF(D29:F29,"C")&gt;=2,"C","D")))</x:f>
        <x:v>A</x:v>
      </x:c>
      <x:c r="H29" s="11" t="str">
        <x:v>A</x:v>
      </x:c>
      <x:c r="I29" s="11" t="str">
        <x:v>B</x:v>
      </x:c>
      <x:c r="J29" s="11" t="str">
        <x:v>B</x:v>
      </x:c>
      <x:c r="K29" s="11" t="str">
        <x:f>IF(COUNTIF(H29:J29,"A")&gt;=2,"A",IF(COUNTIF(H29:J29,"B")&gt;=2,"B",IF(COUNTIF(H29:J29,"C")&gt;=2,"C","D")))</x:f>
        <x:v>B</x:v>
      </x:c>
      <x:c r="L29" s="11" t="str">
        <x:f>IF(D29=H29,D29,"D")</x:f>
        <x:v>D</x:v>
      </x:c>
      <x:c r="M29" s="11" t="str">
        <x:f>IF(E29=I29,E29,"D")</x:f>
        <x:v>D</x:v>
      </x:c>
      <x:c r="N29" s="11" t="str">
        <x:f>IF(F29=J29,F29,"D")</x:f>
        <x:v>D</x:v>
      </x:c>
      <x:c r="O29" s="11" t="str">
        <x:f>IF(G29=K29,G29,"D")</x:f>
        <x:v>D</x:v>
      </x:c>
      <x:c r="P29" s="11" t="n">
        <x:f>--(G29=C29)</x:f>
        <x:v>0</x:v>
      </x:c>
      <x:c r="Q29" s="11" t="n">
        <x:f>--(K29=C29)</x:f>
        <x:v>1</x:v>
      </x:c>
      <x:c r="R29" s="11" t="n">
        <x:f>--(O29=C29)</x:f>
        <x:v>0</x:v>
      </x:c>
      <x:c r="S29" s="11" t="n">
        <x:f>--(G29=K29)</x:f>
        <x:v>0</x:v>
      </x:c>
      <x:c r="T29" s="11" t="n">
        <x:f>--(O29="D")</x:f>
        <x:v>1</x:v>
      </x:c>
      <x:c r="U29" s="11" t="n">
        <x:f>--(D29=C29)</x:f>
        <x:v>1</x:v>
      </x:c>
      <x:c r="V29" s="11" t="n">
        <x:f>--(E29=C29)</x:f>
        <x:v>0</x:v>
      </x:c>
      <x:c r="W29" s="11" t="n">
        <x:f>--(F29=C29)</x:f>
        <x:v>0</x:v>
      </x:c>
      <x:c r="X29" s="11" t="n">
        <x:f>--(H29=C29)</x:f>
        <x:v>0</x:v>
      </x:c>
      <x:c r="Y29" s="11" t="n">
        <x:f>--(I29=C29)</x:f>
        <x:v>1</x:v>
      </x:c>
      <x:c r="Z29" s="11" t="n">
        <x:f>--(J29=C29)</x:f>
        <x:v>1</x:v>
      </x:c>
      <x:c r="AA29" s="11" t="n">
        <x:f>--(L29=C29)</x:f>
        <x:v>0</x:v>
      </x:c>
      <x:c r="AB29" s="11" t="n">
        <x:f>--(M29=C29)</x:f>
        <x:v>0</x:v>
      </x:c>
      <x:c r="AC29" s="12" t="n">
        <x:f>--(N29=C29)</x:f>
        <x:v>0</x:v>
      </x:c>
    </x:row>
    <x:row r="30">
      <x:c r="A30" s="10" t="str">
        <x:v>TeamSportsScoutingSystem</x:v>
      </x:c>
      <x:c r="B30" s="11" t="str">
        <x:v>A vs C</x:v>
      </x:c>
      <x:c r="C30" s="11" t="str">
        <x:v>A</x:v>
      </x:c>
      <x:c r="D30" s="11" t="str">
        <x:v>A</x:v>
      </x:c>
      <x:c r="E30" s="11" t="str">
        <x:v>A</x:v>
      </x:c>
      <x:c r="F30" s="11" t="str">
        <x:v>A</x:v>
      </x:c>
      <x:c r="G30" s="11" t="str">
        <x:f>IF(COUNTIF(D30:F30,"A")&gt;=2,"A",IF(COUNTIF(D30:F30,"B")&gt;=2,"B",IF(COUNTIF(D30:F30,"C")&gt;=2,"C","D")))</x:f>
        <x:v>A</x:v>
      </x:c>
      <x:c r="H30" s="11" t="str">
        <x:v>A</x:v>
      </x:c>
      <x:c r="I30" s="11" t="str">
        <x:v>A</x:v>
      </x:c>
      <x:c r="J30" s="11" t="str">
        <x:v>A</x:v>
      </x:c>
      <x:c r="K30" s="11" t="str">
        <x:f>IF(COUNTIF(H30:J30,"A")&gt;=2,"A",IF(COUNTIF(H30:J30,"B")&gt;=2,"B",IF(COUNTIF(H30:J30,"C")&gt;=2,"C","D")))</x:f>
        <x:v>A</x:v>
      </x:c>
      <x:c r="L30" s="11" t="str">
        <x:f>IF(D30=H30,D30,"D")</x:f>
        <x:v>A</x:v>
      </x:c>
      <x:c r="M30" s="11" t="str">
        <x:f>IF(E30=I30,E30,"D")</x:f>
        <x:v>A</x:v>
      </x:c>
      <x:c r="N30" s="11" t="str">
        <x:f>IF(F30=J30,F30,"D")</x:f>
        <x:v>A</x:v>
      </x:c>
      <x:c r="O30" s="11" t="str">
        <x:f>IF(G30=K30,G30,"D")</x:f>
        <x:v>A</x:v>
      </x:c>
      <x:c r="P30" s="11" t="n">
        <x:f>--(G30=C30)</x:f>
        <x:v>1</x:v>
      </x:c>
      <x:c r="Q30" s="11" t="n">
        <x:f>--(K30=C30)</x:f>
        <x:v>1</x:v>
      </x:c>
      <x:c r="R30" s="11" t="n">
        <x:f>--(O30=C30)</x:f>
        <x:v>1</x:v>
      </x:c>
      <x:c r="S30" s="11" t="n">
        <x:f>--(G30=K30)</x:f>
        <x:v>1</x:v>
      </x:c>
      <x:c r="T30" s="11" t="n">
        <x:f>--(O30="D")</x:f>
        <x:v>0</x:v>
      </x:c>
      <x:c r="U30" s="11" t="n">
        <x:f>--(D30=C30)</x:f>
        <x:v>1</x:v>
      </x:c>
      <x:c r="V30" s="11" t="n">
        <x:f>--(E30=C30)</x:f>
        <x:v>1</x:v>
      </x:c>
      <x:c r="W30" s="11" t="n">
        <x:f>--(F30=C30)</x:f>
        <x:v>1</x:v>
      </x:c>
      <x:c r="X30" s="11" t="n">
        <x:f>--(H30=C30)</x:f>
        <x:v>1</x:v>
      </x:c>
      <x:c r="Y30" s="11" t="n">
        <x:f>--(I30=C30)</x:f>
        <x:v>1</x:v>
      </x:c>
      <x:c r="Z30" s="11" t="n">
        <x:f>--(J30=C30)</x:f>
        <x:v>1</x:v>
      </x:c>
      <x:c r="AA30" s="11" t="n">
        <x:f>--(L30=C30)</x:f>
        <x:v>1</x:v>
      </x:c>
      <x:c r="AB30" s="11" t="n">
        <x:f>--(M30=C30)</x:f>
        <x:v>1</x:v>
      </x:c>
      <x:c r="AC30" s="12" t="n">
        <x:f>--(N30=C30)</x:f>
        <x:v>1</x:v>
      </x:c>
    </x:row>
    <x:row r="31">
      <x:c r="A31" s="10" t="str">
        <x:v>TeamSportsScoutingSystem</x:v>
      </x:c>
      <x:c r="B31" s="11" t="str">
        <x:v>B vs C</x:v>
      </x:c>
      <x:c r="C31" s="11" t="str">
        <x:v>B</x:v>
      </x:c>
      <x:c r="D31" s="11" t="str">
        <x:v>B</x:v>
      </x:c>
      <x:c r="E31" s="11" t="str">
        <x:v>B</x:v>
      </x:c>
      <x:c r="F31" s="11" t="str">
        <x:v>B</x:v>
      </x:c>
      <x:c r="G31" s="11" t="str">
        <x:f>IF(COUNTIF(D31:F31,"A")&gt;=2,"A",IF(COUNTIF(D31:F31,"B")&gt;=2,"B",IF(COUNTIF(D31:F31,"C")&gt;=2,"C","D")))</x:f>
        <x:v>B</x:v>
      </x:c>
      <x:c r="H31" s="11" t="str">
        <x:v>B</x:v>
      </x:c>
      <x:c r="I31" s="11" t="str">
        <x:v>B</x:v>
      </x:c>
      <x:c r="J31" s="11" t="str">
        <x:v>B</x:v>
      </x:c>
      <x:c r="K31" s="11" t="str">
        <x:f>IF(COUNTIF(H31:J31,"A")&gt;=2,"A",IF(COUNTIF(H31:J31,"B")&gt;=2,"B",IF(COUNTIF(H31:J31,"C")&gt;=2,"C","D")))</x:f>
        <x:v>B</x:v>
      </x:c>
      <x:c r="L31" s="11" t="str">
        <x:f>IF(D31=H31,D31,"D")</x:f>
        <x:v>B</x:v>
      </x:c>
      <x:c r="M31" s="11" t="str">
        <x:f>IF(E31=I31,E31,"D")</x:f>
        <x:v>B</x:v>
      </x:c>
      <x:c r="N31" s="11" t="str">
        <x:f>IF(F31=J31,F31,"D")</x:f>
        <x:v>B</x:v>
      </x:c>
      <x:c r="O31" s="11" t="str">
        <x:f>IF(G31=K31,G31,"D")</x:f>
        <x:v>B</x:v>
      </x:c>
      <x:c r="P31" s="11" t="n">
        <x:f>--(G31=C31)</x:f>
        <x:v>1</x:v>
      </x:c>
      <x:c r="Q31" s="11" t="n">
        <x:f>--(K31=C31)</x:f>
        <x:v>1</x:v>
      </x:c>
      <x:c r="R31" s="11" t="n">
        <x:f>--(O31=C31)</x:f>
        <x:v>1</x:v>
      </x:c>
      <x:c r="S31" s="11" t="n">
        <x:f>--(G31=K31)</x:f>
        <x:v>1</x:v>
      </x:c>
      <x:c r="T31" s="11" t="n">
        <x:f>--(O31="D")</x:f>
        <x:v>0</x:v>
      </x:c>
      <x:c r="U31" s="11" t="n">
        <x:f>--(D31=C31)</x:f>
        <x:v>1</x:v>
      </x:c>
      <x:c r="V31" s="11" t="n">
        <x:f>--(E31=C31)</x:f>
        <x:v>1</x:v>
      </x:c>
      <x:c r="W31" s="11" t="n">
        <x:f>--(F31=C31)</x:f>
        <x:v>1</x:v>
      </x:c>
      <x:c r="X31" s="11" t="n">
        <x:f>--(H31=C31)</x:f>
        <x:v>1</x:v>
      </x:c>
      <x:c r="Y31" s="11" t="n">
        <x:f>--(I31=C31)</x:f>
        <x:v>1</x:v>
      </x:c>
      <x:c r="Z31" s="11" t="n">
        <x:f>--(J31=C31)</x:f>
        <x:v>1</x:v>
      </x:c>
      <x:c r="AA31" s="11" t="n">
        <x:f>--(L31=C31)</x:f>
        <x:v>1</x:v>
      </x:c>
      <x:c r="AB31" s="11" t="n">
        <x:f>--(M31=C31)</x:f>
        <x:v>1</x:v>
      </x:c>
      <x:c r="AC31" s="12" t="n">
        <x:f>--(N31=C31)</x:f>
        <x:v>1</x:v>
      </x:c>
    </x:row>
    <x:row r="32">
      <x:c r="A32" s="10" t="str">
        <x:v>TileOGame</x:v>
      </x:c>
      <x:c r="B32" s="11" t="str">
        <x:v>A vs B</x:v>
      </x:c>
      <x:c r="C32" s="11" t="str">
        <x:v>A</x:v>
      </x:c>
      <x:c r="D32" s="11" t="str">
        <x:v>A</x:v>
      </x:c>
      <x:c r="E32" s="11" t="str">
        <x:v>B</x:v>
      </x:c>
      <x:c r="F32" s="11" t="str">
        <x:v>A</x:v>
      </x:c>
      <x:c r="G32" s="11" t="str">
        <x:f>IF(COUNTIF(D32:F32,"A")&gt;=2,"A",IF(COUNTIF(D32:F32,"B")&gt;=2,"B",IF(COUNTIF(D32:F32,"C")&gt;=2,"C","D")))</x:f>
        <x:v>A</x:v>
      </x:c>
      <x:c r="H32" s="11" t="str">
        <x:v>A</x:v>
      </x:c>
      <x:c r="I32" s="11" t="str">
        <x:v>B</x:v>
      </x:c>
      <x:c r="J32" s="11" t="str">
        <x:v>D</x:v>
      </x:c>
      <x:c r="K32" s="11" t="str">
        <x:f>IF(COUNTIF(H32:J32,"A")&gt;=2,"A",IF(COUNTIF(H32:J32,"B")&gt;=2,"B",IF(COUNTIF(H32:J32,"C")&gt;=2,"C","D")))</x:f>
        <x:v>D</x:v>
      </x:c>
      <x:c r="L32" s="11" t="str">
        <x:f>IF(D32=H32,D32,"D")</x:f>
        <x:v>A</x:v>
      </x:c>
      <x:c r="M32" s="11" t="str">
        <x:f>IF(E32=I32,E32,"D")</x:f>
        <x:v>B</x:v>
      </x:c>
      <x:c r="N32" s="11" t="str">
        <x:f>IF(F32=J32,F32,"D")</x:f>
        <x:v>D</x:v>
      </x:c>
      <x:c r="O32" s="11" t="str">
        <x:f>IF(G32=K32,G32,"D")</x:f>
        <x:v>D</x:v>
      </x:c>
      <x:c r="P32" s="11" t="n">
        <x:f>--(G32=C32)</x:f>
        <x:v>1</x:v>
      </x:c>
      <x:c r="Q32" s="11" t="n">
        <x:f>--(K32=C32)</x:f>
        <x:v>0</x:v>
      </x:c>
      <x:c r="R32" s="11" t="n">
        <x:f>--(O32=C32)</x:f>
        <x:v>0</x:v>
      </x:c>
      <x:c r="S32" s="11" t="n">
        <x:f>--(G32=K32)</x:f>
        <x:v>0</x:v>
      </x:c>
      <x:c r="T32" s="11" t="n">
        <x:f>--(O32="D")</x:f>
        <x:v>1</x:v>
      </x:c>
      <x:c r="U32" s="11" t="n">
        <x:f>--(D32=C32)</x:f>
        <x:v>1</x:v>
      </x:c>
      <x:c r="V32" s="11" t="n">
        <x:f>--(E32=C32)</x:f>
        <x:v>0</x:v>
      </x:c>
      <x:c r="W32" s="11" t="n">
        <x:f>--(F32=C32)</x:f>
        <x:v>1</x:v>
      </x:c>
      <x:c r="X32" s="11" t="n">
        <x:f>--(H32=C32)</x:f>
        <x:v>1</x:v>
      </x:c>
      <x:c r="Y32" s="11" t="n">
        <x:f>--(I32=C32)</x:f>
        <x:v>0</x:v>
      </x:c>
      <x:c r="Z32" s="11" t="n">
        <x:f>--(J32=C32)</x:f>
        <x:v>0</x:v>
      </x:c>
      <x:c r="AA32" s="11" t="n">
        <x:f>--(L32=C32)</x:f>
        <x:v>1</x:v>
      </x:c>
      <x:c r="AB32" s="11" t="n">
        <x:f>--(M32=C32)</x:f>
        <x:v>0</x:v>
      </x:c>
      <x:c r="AC32" s="12" t="n">
        <x:f>--(N32=C32)</x:f>
        <x:v>0</x:v>
      </x:c>
    </x:row>
    <x:row r="33">
      <x:c r="A33" s="10" t="str">
        <x:v>TileOGame</x:v>
      </x:c>
      <x:c r="B33" s="11" t="str">
        <x:v>A vs C</x:v>
      </x:c>
      <x:c r="C33" s="11" t="str">
        <x:v>C</x:v>
      </x:c>
      <x:c r="D33" s="11" t="str">
        <x:v>C</x:v>
      </x:c>
      <x:c r="E33" s="11" t="str">
        <x:v>C</x:v>
      </x:c>
      <x:c r="F33" s="11" t="str">
        <x:v>C</x:v>
      </x:c>
      <x:c r="G33" s="11" t="str">
        <x:f>IF(COUNTIF(D33:F33,"A")&gt;=2,"A",IF(COUNTIF(D33:F33,"B")&gt;=2,"B",IF(COUNTIF(D33:F33,"C")&gt;=2,"C","D")))</x:f>
        <x:v>C</x:v>
      </x:c>
      <x:c r="H33" s="11" t="str">
        <x:v>C</x:v>
      </x:c>
      <x:c r="I33" s="11" t="str">
        <x:v>C</x:v>
      </x:c>
      <x:c r="J33" s="11" t="str">
        <x:v>C</x:v>
      </x:c>
      <x:c r="K33" s="11" t="str">
        <x:f>IF(COUNTIF(H33:J33,"A")&gt;=2,"A",IF(COUNTIF(H33:J33,"B")&gt;=2,"B",IF(COUNTIF(H33:J33,"C")&gt;=2,"C","D")))</x:f>
        <x:v>C</x:v>
      </x:c>
      <x:c r="L33" s="11" t="str">
        <x:f>IF(D33=H33,D33,"D")</x:f>
        <x:v>C</x:v>
      </x:c>
      <x:c r="M33" s="11" t="str">
        <x:f>IF(E33=I33,E33,"D")</x:f>
        <x:v>C</x:v>
      </x:c>
      <x:c r="N33" s="11" t="str">
        <x:f>IF(F33=J33,F33,"D")</x:f>
        <x:v>C</x:v>
      </x:c>
      <x:c r="O33" s="11" t="str">
        <x:f>IF(G33=K33,G33,"D")</x:f>
        <x:v>C</x:v>
      </x:c>
      <x:c r="P33" s="11" t="n">
        <x:f>--(G33=C33)</x:f>
        <x:v>1</x:v>
      </x:c>
      <x:c r="Q33" s="11" t="n">
        <x:f>--(K33=C33)</x:f>
        <x:v>1</x:v>
      </x:c>
      <x:c r="R33" s="11" t="n">
        <x:f>--(O33=C33)</x:f>
        <x:v>1</x:v>
      </x:c>
      <x:c r="S33" s="11" t="n">
        <x:f>--(G33=K33)</x:f>
        <x:v>1</x:v>
      </x:c>
      <x:c r="T33" s="11" t="n">
        <x:f>--(O33="D")</x:f>
        <x:v>0</x:v>
      </x:c>
      <x:c r="U33" s="11" t="n">
        <x:f>--(D33=C33)</x:f>
        <x:v>1</x:v>
      </x:c>
      <x:c r="V33" s="11" t="n">
        <x:f>--(E33=C33)</x:f>
        <x:v>1</x:v>
      </x:c>
      <x:c r="W33" s="11" t="n">
        <x:f>--(F33=C33)</x:f>
        <x:v>1</x:v>
      </x:c>
      <x:c r="X33" s="11" t="n">
        <x:f>--(H33=C33)</x:f>
        <x:v>1</x:v>
      </x:c>
      <x:c r="Y33" s="11" t="n">
        <x:f>--(I33=C33)</x:f>
        <x:v>1</x:v>
      </x:c>
      <x:c r="Z33" s="11" t="n">
        <x:f>--(J33=C33)</x:f>
        <x:v>1</x:v>
      </x:c>
      <x:c r="AA33" s="11" t="n">
        <x:f>--(L33=C33)</x:f>
        <x:v>1</x:v>
      </x:c>
      <x:c r="AB33" s="11" t="n">
        <x:f>--(M33=C33)</x:f>
        <x:v>1</x:v>
      </x:c>
      <x:c r="AC33" s="12" t="n">
        <x:f>--(N33=C33)</x:f>
        <x:v>1</x:v>
      </x:c>
    </x:row>
    <x:row r="34">
      <x:c r="A34" s="10" t="str">
        <x:v>TileOGame</x:v>
      </x:c>
      <x:c r="B34" s="11" t="str">
        <x:v>B vs C</x:v>
      </x:c>
      <x:c r="C34" s="11" t="str">
        <x:v>C</x:v>
      </x:c>
      <x:c r="D34" s="11" t="str">
        <x:v>C</x:v>
      </x:c>
      <x:c r="E34" s="11" t="str">
        <x:v>C</x:v>
      </x:c>
      <x:c r="F34" s="11" t="str">
        <x:v>C</x:v>
      </x:c>
      <x:c r="G34" s="11" t="str">
        <x:f>IF(COUNTIF(D34:F34,"A")&gt;=2,"A",IF(COUNTIF(D34:F34,"B")&gt;=2,"B",IF(COUNTIF(D34:F34,"C")&gt;=2,"C","D")))</x:f>
        <x:v>C</x:v>
      </x:c>
      <x:c r="H34" s="11" t="str">
        <x:v>C</x:v>
      </x:c>
      <x:c r="I34" s="11" t="str">
        <x:v>C</x:v>
      </x:c>
      <x:c r="J34" s="11" t="str">
        <x:v>C</x:v>
      </x:c>
      <x:c r="K34" s="11" t="str">
        <x:f>IF(COUNTIF(H34:J34,"A")&gt;=2,"A",IF(COUNTIF(H34:J34,"B")&gt;=2,"B",IF(COUNTIF(H34:J34,"C")&gt;=2,"C","D")))</x:f>
        <x:v>C</x:v>
      </x:c>
      <x:c r="L34" s="11" t="str">
        <x:f>IF(D34=H34,D34,"D")</x:f>
        <x:v>C</x:v>
      </x:c>
      <x:c r="M34" s="11" t="str">
        <x:f>IF(E34=I34,E34,"D")</x:f>
        <x:v>C</x:v>
      </x:c>
      <x:c r="N34" s="11" t="str">
        <x:f>IF(F34=J34,F34,"D")</x:f>
        <x:v>C</x:v>
      </x:c>
      <x:c r="O34" s="11" t="str">
        <x:f>IF(G34=K34,G34,"D")</x:f>
        <x:v>C</x:v>
      </x:c>
      <x:c r="P34" s="11" t="n">
        <x:f>--(G34=C34)</x:f>
        <x:v>1</x:v>
      </x:c>
      <x:c r="Q34" s="11" t="n">
        <x:f>--(K34=C34)</x:f>
        <x:v>1</x:v>
      </x:c>
      <x:c r="R34" s="11" t="n">
        <x:f>--(O34=C34)</x:f>
        <x:v>1</x:v>
      </x:c>
      <x:c r="S34" s="11" t="n">
        <x:f>--(G34=K34)</x:f>
        <x:v>1</x:v>
      </x:c>
      <x:c r="T34" s="11" t="n">
        <x:f>--(O34="D")</x:f>
        <x:v>0</x:v>
      </x:c>
      <x:c r="U34" s="11" t="n">
        <x:f>--(D34=C34)</x:f>
        <x:v>1</x:v>
      </x:c>
      <x:c r="V34" s="11" t="n">
        <x:f>--(E34=C34)</x:f>
        <x:v>1</x:v>
      </x:c>
      <x:c r="W34" s="11" t="n">
        <x:f>--(F34=C34)</x:f>
        <x:v>1</x:v>
      </x:c>
      <x:c r="X34" s="11" t="n">
        <x:f>--(H34=C34)</x:f>
        <x:v>1</x:v>
      </x:c>
      <x:c r="Y34" s="11" t="n">
        <x:f>--(I34=C34)</x:f>
        <x:v>1</x:v>
      </x:c>
      <x:c r="Z34" s="11" t="n">
        <x:f>--(J34=C34)</x:f>
        <x:v>1</x:v>
      </x:c>
      <x:c r="AA34" s="11" t="n">
        <x:f>--(L34=C34)</x:f>
        <x:v>1</x:v>
      </x:c>
      <x:c r="AB34" s="11" t="n">
        <x:f>--(M34=C34)</x:f>
        <x:v>1</x:v>
      </x:c>
      <x:c r="AC34" s="12" t="n">
        <x:f>--(N34=C34)</x:f>
        <x:v>1</x:v>
      </x:c>
    </x:row>
    <x:row r="35">
      <x:c r="A35" s="10" t="str">
        <x:v>University</x:v>
      </x:c>
      <x:c r="B35" s="11" t="str">
        <x:v>A vs B</x:v>
      </x:c>
      <x:c r="C35" s="11" t="str">
        <x:v>A</x:v>
      </x:c>
      <x:c r="D35" s="11" t="str">
        <x:v>A</x:v>
      </x:c>
      <x:c r="E35" s="11" t="str">
        <x:v>A</x:v>
      </x:c>
      <x:c r="F35" s="11" t="str">
        <x:v>A</x:v>
      </x:c>
      <x:c r="G35" s="11" t="str">
        <x:f>IF(COUNTIF(D35:F35,"A")&gt;=2,"A",IF(COUNTIF(D35:F35,"B")&gt;=2,"B",IF(COUNTIF(D35:F35,"C")&gt;=2,"C","D")))</x:f>
        <x:v>A</x:v>
      </x:c>
      <x:c r="H35" s="11" t="str">
        <x:v>A</x:v>
      </x:c>
      <x:c r="I35" s="11" t="str">
        <x:v>A</x:v>
      </x:c>
      <x:c r="J35" s="11" t="str">
        <x:v>A</x:v>
      </x:c>
      <x:c r="K35" s="11" t="str">
        <x:f>IF(COUNTIF(H35:J35,"A")&gt;=2,"A",IF(COUNTIF(H35:J35,"B")&gt;=2,"B",IF(COUNTIF(H35:J35,"C")&gt;=2,"C","D")))</x:f>
        <x:v>A</x:v>
      </x:c>
      <x:c r="L35" s="11" t="str">
        <x:f>IF(D35=H35,D35,"D")</x:f>
        <x:v>A</x:v>
      </x:c>
      <x:c r="M35" s="11" t="str">
        <x:f>IF(E35=I35,E35,"D")</x:f>
        <x:v>A</x:v>
      </x:c>
      <x:c r="N35" s="11" t="str">
        <x:f>IF(F35=J35,F35,"D")</x:f>
        <x:v>A</x:v>
      </x:c>
      <x:c r="O35" s="11" t="str">
        <x:f>IF(G35=K35,G35,"D")</x:f>
        <x:v>A</x:v>
      </x:c>
      <x:c r="P35" s="11" t="n">
        <x:f>--(G35=C35)</x:f>
        <x:v>1</x:v>
      </x:c>
      <x:c r="Q35" s="11" t="n">
        <x:f>--(K35=C35)</x:f>
        <x:v>1</x:v>
      </x:c>
      <x:c r="R35" s="11" t="n">
        <x:f>--(O35=C35)</x:f>
        <x:v>1</x:v>
      </x:c>
      <x:c r="S35" s="11" t="n">
        <x:f>--(G35=K35)</x:f>
        <x:v>1</x:v>
      </x:c>
      <x:c r="T35" s="11" t="n">
        <x:f>--(O35="D")</x:f>
        <x:v>0</x:v>
      </x:c>
      <x:c r="U35" s="11" t="n">
        <x:f>--(D35=C35)</x:f>
        <x:v>1</x:v>
      </x:c>
      <x:c r="V35" s="11" t="n">
        <x:f>--(E35=C35)</x:f>
        <x:v>1</x:v>
      </x:c>
      <x:c r="W35" s="11" t="n">
        <x:f>--(F35=C35)</x:f>
        <x:v>1</x:v>
      </x:c>
      <x:c r="X35" s="11" t="n">
        <x:f>--(H35=C35)</x:f>
        <x:v>1</x:v>
      </x:c>
      <x:c r="Y35" s="11" t="n">
        <x:f>--(I35=C35)</x:f>
        <x:v>1</x:v>
      </x:c>
      <x:c r="Z35" s="11" t="n">
        <x:f>--(J35=C35)</x:f>
        <x:v>1</x:v>
      </x:c>
      <x:c r="AA35" s="11" t="n">
        <x:f>--(L35=C35)</x:f>
        <x:v>1</x:v>
      </x:c>
      <x:c r="AB35" s="11" t="n">
        <x:f>--(M35=C35)</x:f>
        <x:v>1</x:v>
      </x:c>
      <x:c r="AC35" s="12" t="n">
        <x:f>--(N35=C35)</x:f>
        <x:v>1</x:v>
      </x:c>
    </x:row>
    <x:row r="36">
      <x:c r="A36" s="10" t="str">
        <x:v>University</x:v>
      </x:c>
      <x:c r="B36" s="11" t="str">
        <x:v>A vs C</x:v>
      </x:c>
      <x:c r="C36" s="11" t="str">
        <x:v>D</x:v>
      </x:c>
      <x:c r="D36" s="11" t="str">
        <x:v>A</x:v>
      </x:c>
      <x:c r="E36" s="11" t="str">
        <x:v>A</x:v>
      </x:c>
      <x:c r="F36" s="11" t="str">
        <x:v>A</x:v>
      </x:c>
      <x:c r="G36" s="11" t="str">
        <x:f>IF(COUNTIF(D36:F36,"A")&gt;=2,"A",IF(COUNTIF(D36:F36,"B")&gt;=2,"B",IF(COUNTIF(D36:F36,"C")&gt;=2,"C","D")))</x:f>
        <x:v>A</x:v>
      </x:c>
      <x:c r="H36" s="11" t="str">
        <x:v>A</x:v>
      </x:c>
      <x:c r="I36" s="11" t="str">
        <x:v>A</x:v>
      </x:c>
      <x:c r="J36" s="11" t="str">
        <x:v>A</x:v>
      </x:c>
      <x:c r="K36" s="11" t="str">
        <x:f>IF(COUNTIF(H36:J36,"A")&gt;=2,"A",IF(COUNTIF(H36:J36,"B")&gt;=2,"B",IF(COUNTIF(H36:J36,"C")&gt;=2,"C","D")))</x:f>
        <x:v>A</x:v>
      </x:c>
      <x:c r="L36" s="11" t="str">
        <x:f>IF(D36=H36,D36,"D")</x:f>
        <x:v>A</x:v>
      </x:c>
      <x:c r="M36" s="11" t="str">
        <x:f>IF(E36=I36,E36,"D")</x:f>
        <x:v>A</x:v>
      </x:c>
      <x:c r="N36" s="11" t="str">
        <x:f>IF(F36=J36,F36,"D")</x:f>
        <x:v>A</x:v>
      </x:c>
      <x:c r="O36" s="11" t="str">
        <x:f>IF(G36=K36,G36,"D")</x:f>
        <x:v>A</x:v>
      </x:c>
      <x:c r="P36" s="11" t="n">
        <x:f>--(G36=C36)</x:f>
        <x:v>0</x:v>
      </x:c>
      <x:c r="Q36" s="11" t="n">
        <x:f>--(K36=C36)</x:f>
        <x:v>0</x:v>
      </x:c>
      <x:c r="R36" s="11" t="n">
        <x:f>--(O36=C36)</x:f>
        <x:v>0</x:v>
      </x:c>
      <x:c r="S36" s="11" t="n">
        <x:f>--(G36=K36)</x:f>
        <x:v>1</x:v>
      </x:c>
      <x:c r="T36" s="11" t="n">
        <x:f>--(O36="D")</x:f>
        <x:v>0</x:v>
      </x:c>
      <x:c r="U36" s="11" t="n">
        <x:f>--(D36=C36)</x:f>
        <x:v>0</x:v>
      </x:c>
      <x:c r="V36" s="11" t="n">
        <x:f>--(E36=C36)</x:f>
        <x:v>0</x:v>
      </x:c>
      <x:c r="W36" s="11" t="n">
        <x:f>--(F36=C36)</x:f>
        <x:v>0</x:v>
      </x:c>
      <x:c r="X36" s="11" t="n">
        <x:f>--(H36=C36)</x:f>
        <x:v>0</x:v>
      </x:c>
      <x:c r="Y36" s="11" t="n">
        <x:f>--(I36=C36)</x:f>
        <x:v>0</x:v>
      </x:c>
      <x:c r="Z36" s="11" t="n">
        <x:f>--(J36=C36)</x:f>
        <x:v>0</x:v>
      </x:c>
      <x:c r="AA36" s="11" t="n">
        <x:f>--(L36=C36)</x:f>
        <x:v>0</x:v>
      </x:c>
      <x:c r="AB36" s="11" t="n">
        <x:f>--(M36=C36)</x:f>
        <x:v>0</x:v>
      </x:c>
      <x:c r="AC36" s="12" t="n">
        <x:f>--(N36=C36)</x:f>
        <x:v>0</x:v>
      </x:c>
    </x:row>
    <x:row r="37">
      <x:c r="A37" s="13" t="str">
        <x:v>University</x:v>
      </x:c>
      <x:c r="B37" s="14" t="str">
        <x:v>B vs C</x:v>
      </x:c>
      <x:c r="C37" s="14" t="str">
        <x:v>C</x:v>
      </x:c>
      <x:c r="D37" s="14" t="str">
        <x:v>B</x:v>
      </x:c>
      <x:c r="E37" s="14" t="str">
        <x:v>B</x:v>
      </x:c>
      <x:c r="F37" s="14" t="str">
        <x:v>C</x:v>
      </x:c>
      <x:c r="G37" s="14" t="str">
        <x:f>IF(COUNTIF(D37:F37,"A")&gt;=2,"A",IF(COUNTIF(D37:F37,"B")&gt;=2,"B",IF(COUNTIF(D37:F37,"C")&gt;=2,"C","D")))</x:f>
        <x:v>B</x:v>
      </x:c>
      <x:c r="H37" s="14" t="str">
        <x:v>C</x:v>
      </x:c>
      <x:c r="I37" s="14" t="str">
        <x:v>C</x:v>
      </x:c>
      <x:c r="J37" s="14" t="str">
        <x:v>C</x:v>
      </x:c>
      <x:c r="K37" s="14" t="str">
        <x:f>IF(COUNTIF(H37:J37,"A")&gt;=2,"A",IF(COUNTIF(H37:J37,"B")&gt;=2,"B",IF(COUNTIF(H37:J37,"C")&gt;=2,"C","D")))</x:f>
        <x:v>C</x:v>
      </x:c>
      <x:c r="L37" s="14" t="str">
        <x:f>IF(D37=H37,D37,"D")</x:f>
        <x:v>D</x:v>
      </x:c>
      <x:c r="M37" s="14" t="str">
        <x:f>IF(E37=I37,E37,"D")</x:f>
        <x:v>D</x:v>
      </x:c>
      <x:c r="N37" s="14" t="str">
        <x:f>IF(F37=J37,F37,"D")</x:f>
        <x:v>C</x:v>
      </x:c>
      <x:c r="O37" s="14" t="str">
        <x:f>IF(G37=K37,G37,"D")</x:f>
        <x:v>D</x:v>
      </x:c>
      <x:c r="P37" s="14" t="n">
        <x:f>--(G37=C37)</x:f>
        <x:v>0</x:v>
      </x:c>
      <x:c r="Q37" s="14" t="n">
        <x:f>--(K37=C37)</x:f>
        <x:v>1</x:v>
      </x:c>
      <x:c r="R37" s="14" t="n">
        <x:f>--(O37=C37)</x:f>
        <x:v>0</x:v>
      </x:c>
      <x:c r="S37" s="14" t="n">
        <x:f>--(G37=K37)</x:f>
        <x:v>0</x:v>
      </x:c>
      <x:c r="T37" s="14" t="n">
        <x:f>--(O37="D")</x:f>
        <x:v>1</x:v>
      </x:c>
      <x:c r="U37" s="14" t="n">
        <x:f>--(D37=C37)</x:f>
        <x:v>0</x:v>
      </x:c>
      <x:c r="V37" s="14" t="n">
        <x:f>--(E37=C37)</x:f>
        <x:v>0</x:v>
      </x:c>
      <x:c r="W37" s="14" t="n">
        <x:f>--(F37=C37)</x:f>
        <x:v>1</x:v>
      </x:c>
      <x:c r="X37" s="14" t="n">
        <x:f>--(H37=C37)</x:f>
        <x:v>1</x:v>
      </x:c>
      <x:c r="Y37" s="14" t="n">
        <x:f>--(I37=C37)</x:f>
        <x:v>1</x:v>
      </x:c>
      <x:c r="Z37" s="14" t="n">
        <x:f>--(J37=C37)</x:f>
        <x:v>1</x:v>
      </x:c>
      <x:c r="AA37" s="14" t="n">
        <x:f>--(L37=C37)</x:f>
        <x:v>0</x:v>
      </x:c>
      <x:c r="AB37" s="14" t="n">
        <x:f>--(M37=C37)</x:f>
        <x:v>0</x:v>
      </x:c>
      <x:c r="AC37" s="15" t="n">
        <x:f>--(N37=C37)</x:f>
        <x:v>1</x:v>
      </x:c>
    </x:row>
  </x:sheetData>
  <x:pageMargins left="0.7" right="0.7" top="0.75" bottom="0.75" header="0.3" footer="0.3"/>
</x:worksheet>
</file>