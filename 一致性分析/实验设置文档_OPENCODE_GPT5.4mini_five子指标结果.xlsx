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<sst xmlns="http://schemas.openxmlformats.org/spreadsheetml/2006/main" count="5351" uniqueCount="547">
  <si>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</si>
  <si>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</si>
  <si>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</si>
  <si>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</si>
  <si>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</si>
  <si>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</si>
  <si>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</si>
  <si>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</si>
  <si>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</si>
  <si>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</si>
  <si>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</si>
  <si>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</si>
  <si>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</si>
  <si>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</si>
  <si>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</si>
  <si>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</si>
  <si>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</si>
  <si>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</si>
  <si>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</si>
  <si>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opencode</t>
  </si>
  <si>
    <t>GPT5.4mini</t>
  </si>
  <si>
    <t>```result
Scores:
1. Requirement fidelity / no hallucinations: Model 1 = 3, Model 2 = 4; Evidence: Model 1 covers the required customer/account structure (`Customer { firstName, lastName }`, `Account { accountNumber, balance }`, `CurrentAccount { overdraftLimit }`, `SavingsAccount`) but adds `bankName` and `branchName`, which are not stated in the requirement. Model 2 covers the required fields too and does not invent bank/branch attributes, though it models branch ownership less strongly.
2. Associations, multiplicities, and relationship types: Model 1 = 5, Model 2 = 4; Evidence: Model 1 has `Bank *-- "0..*" Branch`, `Customer --&gt; "1..5" Account`, and `Account --&gt; "1" Customer`, which matches “consists of”, “at least one and at most five accounts”, and “each account has an owner”. Model 2 gets the customer/account multiplicity right as `Customer "1" -- "1..5" Account` and the bank/customer link right as `Bank "1" -- "0..*" Customer`, but uses a plain association for `Bank -- Branch` instead of composition.
3. Class and attribute appropriateness: Model 1 = 3, Model 2 = 5; Evidence: Model 1 correctly includes the required customer and account attributes, but also introduces extra `bankName` and `branchName`. Model 2 keeps the required attributes only and still includes the required inheritance structure (`Account &lt;|-- CurrentAccount`, `Account &lt;|-- SavingsAccount`).
Total: Model 1 = 11, Model 2 = 13
Choice: B
Reason:
1. Requirement fidelity / no hallucinations: Model 2 is closer because it avoids the extra `bankName` and `branchName` attributes that Model 1 adds without support from the requirement.
2. Associations, multiplicities, and relationship types: Model 1 is stronger on the bank-branch relation because `Bank *-- "0..*" Branch` captures “consists of” more precisely than Model 2’s plain `Bank -- Branch`.
3. Rejected or checked issues: I did not penalize Model 1 for using two opposite-direction associations instead of one bidirectional line, and I did not penalize either model for marking `Account` abstract, since those are explicitly excluded from scoring.
4. Overall judgment: Model 2 wins narrowly because it is cleaner and more faithful to the stated data model, while Model 1’s added bank/branch attributes are unnecessary additions even though its branch composition is better.
```</t>
  </si>
  <si>
    <t>B</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</si>
  <si>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</si>
  <si>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</si>
  <si>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</si>
  <si>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`Bank`, `Branch`, `Customer`, `Account`, `CurrentAccount`, and `SavingsAccount`, with links like `Bank *-- "0..*" Branch` and `Customer --&gt; "1..5" Account`. Model 2 uses the same core classes with `Bank "1" -- "0..*" Customer`, `Bank "1" -- "0..*" Branch`, and `Customer "1" -- "1..5" Account`. Both keep responsibilities centered on the bank domain.
2. Complexity: Model 1 = 4, Model 2 = 4; Evidence: Both have 6 classes and the same inheritance depth with `Account` as the superclass of `CurrentAccount` and `SavingsAccount`. Model 1 adds `bankName` and `branchName`; Model 2 omits those extra attributes. The difference is small enough that the overall structural complexity is comparable.
3. Practicability: Model 1 = 4, Model 2 = 4; Evidence: Model 1 is explicit about containment and ownership with `Bank *-- "0..*" Branch` and `Account --&gt; "1" Customer`, while Model 2 is cleaner and more compact with `Bank "1" -- "0..*" Branch` and `Customer "1" -- "1..5" Account`. Both are readable and map well to the requirement, just with different emphasis.
Total: Model 1 = 12, Model 2 = 12
Choice: C
Reason:
1. Cohesion and Decoupling: Both models express the same bank/customer/branch/account domain with similar separation of concerns, so neither has a clear advantage.
2. Complexity: Both have the same conceptual backbone and inheritance structure; Model 1 is slightly more verbose, but not enough to create a meaningful gap.
3. Practicability: Model 1 is a bit more explicit, Model 2 is a bit more minimal; these trade off and balance out.
4. Rejected or checked issues: I did not penalize Model 1 for using opposite-direction associations or comments, and I did not use primitive type spelling or equivalent multiplicity syntax as negative evidence.
5. Overall judgment: Both diagrams satisfy the requirement well enough, and the quality difference is too small to justify preferring one over the other.
```</t>
  </si>
  <si>
    <t>C</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</si>
  <si>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</si>
  <si>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</si>
  <si>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`Bank`, `Branch`, `Customer`, `Account`, `CurrentAccount`, and `SavingsAccount`, which match the bank domain; Model 2 has the same core classes with the same alignment.
2. Associations/Multiplicities between classes for domain reasoning: Model 1 = 5, Model 2 = 5; Evidence: Model 1 shows `Bank` to `Customer` as `0..*`, `Bank` to `Branch` as `0..*`, `Customer` to `Account` as `1..5`, and `Account` to `Customer` as `1`; Model 2 shows `Bank -- Customer` with `0..*`, `Bank -- Branch` with `0..*`, and `Customer -- Account` with `1..5`, which captures the required ownership and cardinalities.
3. Model attributes with appropriate data types: Model 1 = 4, Model 2 = 5; Evidence: Model 1 correctly has `Customer.firstName: String`, `Customer.lastName: String`, `Account.accountNumber: int`, `Account.balance: double`, and `CurrentAccount.overdraftLimit: double`, but also adds unsupported `Bank.bankName: String` and `Branch.branchName: String`; Model 2 includes only the required attributes with correct types.
4. Consistencies of Terminology with given context: Model 1 = 4, Model 2 = 5; Evidence: Model 1 uses correct domain terms like `Customer`, `Account`, `CurrentAccount`, and `SavingsAccount`, but adds extra terms such as `bankName` and `branchName` that are not in the requirement; Model 2 stays closer to the given wording with `manages`, `consists of`, `owns`, `CurrentAccount`, and `SavingsAccount`.
5. Adherence of UML class diagram standards: Model 1 = 5, Model 2 = 5; Evidence: Both are valid PlantUML class diagrams with class declarations, inheritance (`--|&gt;` / `&lt;|--`), associations, and multiplicities rendered in standard UML form.
Total: Model 1 = 23, Model 2 = 25
Choice: B
Reason:
1. Appropriate conceptual classes aligned with the domain: both models identify the right bank-domain classes, so they tie here.
2. Associations/Multiplicities: both models capture the required customer-account ownership and bank-customer / bank-branch cardinalities correctly.
3. Attributes/Terminology: Model 2 is better because it includes only the required attributes, while Model 1 adds unsupported `bankName` and `branchName`.
4. Rejected or checked issues: I did not penalize Model 1 for using opposite-direction associations or comments, since those are semantically acceptable under the rules.
5. Overall judgment: Model 2 is slightly better because it is more faithful to the requested domain model without extra unsupported attributes, while still matching the required classes, relationships, and UML conventions.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</si>
  <si>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</si>
  <si>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</si>
  <si>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classes and inheritance: Model 1 = 5, Model 2 = 5; Evidence: Model 1 has `Bank`, `Branch`, `Customer`, `abstract class Account`, `CurrentAccount --|&gt; Account`, `SavingsAccount --|&gt; Account`. Model 2 has the same class set and the same inheritance links: `CurrentAccount --|&gt; Account`, `SavingsAccount --|&gt; Account`.
2. Attribute coverage: Model 1 = 4, Model 2 = 5; Evidence: Model 1 includes the required `Customer { firstName: String, lastName: String }`, `Account { accountNumber: int, balance: double }`, and `CurrentAccount { overdraftLimit: double }`, but also adds unsupported `bankName` and `branchName`. Model 2 includes the required customer, account, and overdraft attributes too, and leaves `Bank` and `Branch` empty.
3. Relationship and multiplicity fidelity: Model 1 = 5, Model 2 = 3; Evidence: Model 1 states `Bank --&gt; "0..*" Customer`, `Bank *-- "0..*" Branch`, `Customer --&gt; "1..5" Account`, and `Account --&gt; "1" Customer`, which matches the bank/customer/branch/account constraints. Model 2 has `Bank "1" --- "0..*" Customer`, `Bank "1" *-- "0..*" Branch`, and `Customer "1" --- "1..5" Account`, but it also adds `Account "0..*" --- "1" Customer : owner`, which weakens/duplicates the ownership multiplicity instead of cleanly preserving the required 1..5 bound.
4. Unsupported additions / semantic noise: Model 1 = 4, Model 2 = 3; Evidence: Model 1 has extra unsupported attributes `bankName` and `branchName`, but its associations are otherwise coherent. Model 2 avoids extra attributes, but the duplicated customer-account associations (`Customer --- Account` plus `Account --- Customer`) make the ownership semantics less crisp.
Total: Model 1 = 18, Model 2 = 16
Choice: A
Reason:
1. Required classes and inheritance: both models cover the full class set and the two account specializations correctly.
2. Attribute coverage: Model 2 is cleaner on attributes, but Model 1 still covers all required attributes; its extra bank/branch names are the main downside.
3. Relationship and multiplicity fidelity: this is the deciding factor. Model 1 matches the required customer-account cardinality directly, while Model 2 introduces an additional `Account`-to-`Customer` association with `0..*`, which dilutes the required `1..5` ownership constraint.
4. Rejected or checked issues: I did not penalize Model 1 for `abstract Account`, primitive type spellings, or the use of opposite-direction associations where multiplicities agree, since those are allowed under the instructions.
5. Overall judgment: Model 1 is better because it expresses the required ownership and cardinality constraints more faithfully, even though it includes a couple of unsupported attributes.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</si>
  <si>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</si>
  <si>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</si>
  <si>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the core structure consistent with `abstract class Account`, `CurrentAccount --|&gt; Account`, `SavingsAccount --|&gt; Account`, and a single customer-account ownership pair (`Customer --&gt; "1..5" Account`, `Account --&gt; "1" Customer`). Model 2 uses the same class set, but it duplicates ownership with `Customer "1" --- "1..5" Account` and `Account "0..*" --- "1" Customer`, which makes the customer-account dependency less clear and less decoupled conceptually.
2. Complexity: Model 1 = 3, Model 2 = 3; Evidence: Both models have the same six-class hierarchy (`Bank`, `Branch`, `Customer`, `Account`, `CurrentAccount`, `SavingsAccount`) and the same inheritance depth of one level. Model 1 adds `bankName` and `branchName`, while Model 2 leaves `Bank` and `Branch` empty but adds a second customer-account association; these tradeoffs roughly balance out.
3. Practicability: Model 1 = 4, Model 2 = 2; Evidence: Model 1 is easier to implement and test because the ownership rule is stated once and consistently, with `Customer --&gt; "1..5" Account` and `Account --&gt; "1" Customer`. Model 2 is harder to use in a real design because `Customer "1" --- "1..5" Account` conflicts with `Account "0..*" --- "1" Customer`, so the allowed number of accounts per customer becomes ambiguous.
Total: Model 1 = 11, Model 2 = 7
Choice: A
Reason:
1. Cohesion and Decoupling: Model 1 models one clear ownership relationship for accounts and cleanly separates shared account data from specialized account types; Model 2 introduces contradictory ownership semantics.
2. Complexity: Both are similarly sized and shallow, but Model 1’s extra bank/branch attributes and Model 2’s duplicate association mostly offset each other.
3. Practicability: Model 1 is more directly readable and testable because its multiplicities do not conflict; Model 2 would require extra interpretation to resolve the account ownership rule.
4. Rejected or checked issues: I did not penalize either model for association arrow style, comments, primitive type spelling, or abstract-vs-concrete superclass choice by itself. The deciding issue for Model 2 was the conflicting customer-account multiplicity, not the mere absence of `abstract`.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</si>
  <si>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</si>
  <si>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required domain classes `Bank`, `Branch`, `Customer`, `Account`, `CurrentAccount`, and `SavingsAccount`. Model 1 adds `bankName` and `branchName`, while Model 2 leaves `Bank` and `Branch` empty, but neither changes the class set required by the prompt.
2. Associations/Multiplicities between classes for domain reasoning: Model 1 = 5, Model 2 = 3; Evidence: Model 1 models `Bank *-- "0..*" Branch`, `Bank --&gt; "0..*" Customer`, `Customer --&gt; "1..5" Account`, and `Account --&gt; "1" Customer`, which matches the bank/branch/customer/account constraints. Model 2 gets `Bank "1" *-- "0..*" Branch` and `Bank "1" --- "0..*" Customer` right, but it also adds both `Customer "1" --- "1..5" Account` and `Account "0..*" --- "1" Customer`, creating a redundant and conflicting customer-account multiplicity relation.
3. Model attributes with appropriate data types: Model 1 = 5, Model 2 = 5; Evidence: both have `Customer.firstName: String` and `lastName: String`, `Account.accountNumber: int` and `balance: double`, and `CurrentAccount.overdraftLimit: double`. Model 1 additionally includes `bankName` and `branchName`, but the required attributes are still modeled correctly in both.
4. Consistencies of Terminology with given context: Model 1 = 4, Model 2 = 5; Evidence: Model 2 uses terms closer to the prompt, including `manages`, `consists of`, `has`, and `owner`. Model 1 is still understandable, but `operatesBranch` and the extra `bankName`/`branchName` terms are slightly less aligned with the given wording.
5. Adherence of UML class diagram standards: Model 1 = 5, Model 2 = 5; Evidence: both are valid PlantUML class diagrams with classes, inheritance (`CurrentAccount --|&gt; Account`, `SavingsAccount --|&gt; Account`), and associations. Model 1’s quoted comments are ignorable, and Model 2’s visibility markers are standard UML notation.
Total: Model 1 = 24, Model 2 = 23
Choice: A
Reason:
1. Associations/multiplicities: Model 1 cleanly captures the required bank-branch-customer-account structure, while Model 2 introduces a second customer-account association that clashes with the intended `1..5` ownership cardinality.
2. Terminology: Model 2 is slightly more literal, but that does not outweigh Model 1’s better domain relation modeling.
3. Rejected or checked issues: I did not penalize Model 1 for using `abstract class Account`, nor Model 2 for not marking `Account` abstract, because abstractness is optional here. I also did not penalize Model 1 for opposite-direction associations, since those are semantically equivalent under the instructions.
4. Overall judgment: Model 1 is the better UML model because its multiplicities and ownership relations are more faithful to the requirement, which is the most important difference between the two.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</si>
  <si>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</si>
  <si>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</si>
  <si>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semantic completeness: Model 1 = 4, Model 2 = 4; Evidence: Model 1 includes `Bank -- Customer`, `Bank -- Branch`, `Customer -- Account` with `1..5`, `Account &lt;|-- CurrentAccount`, `Account &lt;|-- SavingsAccount`, and the required attributes `firstName`, `lastName`, `accountNumber`, `balance`, `overdraftLimit`. Model 2 includes the same core classes and attributes, plus `Bank *-- Branch` and an explicit `Account --- Customer : owner`, which are compatible with the text but add extra structure beyond the minimum.
Total: Model 1 = 4, Model 2 = 4
Choice: C
Reason:
1. Requirement alignment: both diagrams cover the required bank, customer, branch, account, and account subtype structure.
2. Relationship semantics: Model 1 expresses ownership once via `Customer "1" -- "1..5" Account : owns`; Model 2 also captures ownership, but adds a second customer-account association and branch composition, which are refinements rather than clear improvements.
3. Rejected issues: I did not penalize Model 1 for not using composition on `Branch`, and I did not penalize Model 2 for keeping `Account` non-abstract, because the prompt does not require either choice.
4. Overall judgment: the two diagrams are materially equivalent in requirement coverage, so the quality difference is too small to separate them.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</si>
  <si>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</si>
  <si>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both diagrams, then I’ll score them on the same 1–5 scale and choose only if the difference is meaningful.
```result
Scores:
1. Cohesion and Decoupling: Model 1 = 5, Model 2 = 4; Evidence: Model 1 uses a plain `Bank "1" -- "0..*" Branch` association, while Model 2 uses `Bank "1" *-- "0..*" Branch`, which adds a stronger lifecycle coupling than the requirement states. Both models keep `Customer`, `Account`, `CurrentAccount`, and `SavingsAccount` separated cleanly with shared account data in `Account`.
2. Complexity: Model 1 = 5, Model 2 = 5; Evidence: Both diagrams have the same 6 core classes (`Bank`, `Branch`, `Customer`, `Account`, `CurrentAccount`, `SavingsAccount`) and the same inheritance depth (`Account` to two subtypes). Neither adds methods or extra conceptual layers that materially change structural complexity.
3. Practicability: Model 1 = 5, Model 2 = 4; Evidence: Both are readable and cover the required bank, customer, branch, and account concepts. Model 1 stays closer to the wording with ordinary associations, while Model 2’s branch composition over-specifies containment/lifecycle behavior that is not required, making it a bit less flexible for implementation and testing.
Total: Model 1 = 15, Model 2 = 13
Choice: A
Reason:
1. Cohesion and Decoupling: Model 1 is less tightly coupled for branches because it models them with a normal association, while Model 2 commits to composition without textual support.
2. Complexity: The models are effectively tied on class count and inheritance structure, so there is no meaningful complexity advantage either way.
3. Rejected or checked issues: I did not treat Model 2’s `Customer`-`Account` reverse association as a penalty, because opposite-direction associations are semantically equivalent under the rules. I also did not penalize Model 1 for making `Account` abstract, since optional abstractness must not affect scoring.
4. Overall judgment: Model 1 is slightly better because it is more conservative and faithful on the only substantive structural difference, while both otherwise satisfy the requirement well.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</si>
  <si>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</si>
  <si>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`Account`, `CurrentAccount`, and `SavingsAccount`, matching the bank domain. Model 2 includes the same class set, with the same domain coverage.
2. Associations/Multiplicities between classes for domain reasoning: Model 1 = 5, Model 2 = 4; Evidence: Model 1 models `Bank "1" -- "0..*" Customer`, `Bank "1" -- "0..*" Branch`, and `Customer "1" -- "1..5" Account`, which matches the requirement exactly. Model 2 has those relations too, but also adds a separate `Account "0..*" --- "1" Customer : owner` link, which is redundant beside `Customer "1" --- "1..5" Account` and makes the ownership/multiplicity story less clean.
3. Model attributes with appropriate data types: Model 1 = 5, Model 2 = 5; Evidence: Model 1 stores `firstName : String`, `lastName : String`, `accountNumber : int`, `balance : double`, and `overdraftLimit : double` on the right classes. Model 2 stores the same attributes with the same types.
4. Consistencies of Terminology with given context: Model 1 = 5, Model 2 = 5; Evidence: Model 1 uses bank/customer/account terminology directly, including `manages`, `consists of`, and `owns`. Model 2 uses the same core terms, plus `has` and `owner`, which still fit the bank description.
5. Adherence of UML class diagram standards: Model 1 = 5, Model 2 = 5; Evidence: Model 1 uses standard class declarations, inheritance (`Account &lt;|-- CurrentAccount`, `Account &lt;|-- SavingsAccount`), and valid association multiplicities. Model 2 also uses valid PlantUML/UML notation (`--|&gt;`, `*--`, multiplicities, class declarations) and remains understandable.
Total: Model 1 = 25, Model 2 = 24
Choice: A
Reason:
1. Appropriate classes: both models capture the bank domain well, but neither has an edge here.
2. Associations/multiplicities: Model 1 is cleaner and matches the requirement directly; Model 2 adds an extra `Account`-`Customer` relation that is redundant beside the required `Customer`-`Account` ownership and weakens the multiplicity model.
3. Rejected or checked issues: I did not penalize Model 1 for making `Account` abstract, and I did not penalize Model 2 for using a different association style or composition-like notation where semantics remain equivalent.
4. Overall judgment: Model 1 is slightly better because its relationships are more faithful and less cluttered, while the rest of the diagram quality is effectively tied.</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</si>
  <si>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</si>
  <si>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</si>
  <si>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fidelity / hallucinations: Model 1 = 5, Model 2 = 3; Evidence: Model 1 stays close to the prompt with `Bank`, `Branch`, `Customer {firstName, lastName}`, `Account {accountNumber, balance}`, `CurrentAccount {overdraftLimit}`, and `SavingsAccount`. Model 2 adds `bankName: String` and `branchName: String`, which are not in the requirement.
2. Core class set and inheritance: Model 1 = 5, Model 2 = 5; Evidence: both diagrams include `Bank`, `Branch`, `Customer`, abstract `Account`, `CurrentAccount`, and `SavingsAccount`, with `Account &lt;|-- CurrentAccount` / `SavingsAccount` in Model 1 and `CurrentAccount --|&gt; Account` / `SavingsAccount --|&gt; Account` in Model 2.
3. Associations and multiplicities: Model 1 = 5, Model 2 = 4; Evidence: Model 1 directly encodes `Bank "1" -- "0..*" Customer`, `Bank "1" -- "0..*" Branch`, and `Customer "1" -- "1..5" Account`, which matches the wording cleanly. Model 2 also captures the same multiplicities through `Bank --&gt; "0..*" Customer`, `Customer --&gt; "1..5" Account`, and `Account --&gt; "1" Customer`, but adds `Bank *-- "0..*" Branch`, which is a stronger whole-part claim than the prompt explicitly states.
4. Attribute and naming precision: Model 1 = 5, Model 2 = 3; Evidence: Model 1 uses only required attributes (`firstName`, `lastName`, `accountNumber`, `balance`, `overdraftLimit`). Model 2 again adds non-required attributes `bankName` and `branchName`, so it is less faithful to the given description.
Total: Model 1 = 20, Model 2 = 15
Choice: A
Reason:
1. Requirement fidelity: Model 1 avoids hallucinated attributes; Model 2 introduces `bankName` and `branchName` without support from the requirement.
2. Core classes: both are equally good on the required domain concepts and inheritance structure.
3. Associations/multiplicities: both capture the required cardinalities, but Model 1 does so with simpler, directly stated relations; Model 2’s branch composition is a stronger semantic commitment than the prompt requires.
4. Rejected or checked issues: I did not penalize Model 2 for the opposite-direction associations or inline comments, because the rules say those are semantically equivalent / ignorable. I also did not penalize abstract `Account` in either model.
5. Overall judgment: Model 1 is better because it matches the requirement more tightly and introduces fewer unsupported details while preserving the needed UML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</si>
  <si>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</si>
  <si>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design centered on the required domain objects only (`Bank`, `Branch`, `Customer`, `Account`, `CurrentAccount`, `SavingsAccount`) with direct links `Bank -- Customer`, `Bank -- Branch`, and `Customer -- Account`. Model 2 covers the same core domain, but also adds `bankName` and `branchName`, which are not stated in the requirement and make those classes slightly less focused.
2. Complexity: Model 1 = 5, Model 2 = 4; Evidence: Model 1 uses a minimal set of classes and relationships: one inheritance chain from `Account` to `CurrentAccount`/`SavingsAccount`, plus the required customer/branch/account links. Model 2 has the same core hierarchy but adds extra attributes (`bankName`, `branchName`), increasing diagram detail beyond what the prompt requires.
3. Practicability: Model 1 = 5, Model 2 = 4; Evidence: Model 1 is very easy to read and maps almost one-to-one to the prompt’s wording. Model 2 is still understandable, but the added `bankName` and `branchName` fields introduce extra information that is not needed to support the stated use case.
Total: Model 1 = 15, Model 2 = 12
Choice: A
Reason:
1. Cohesion and Decoupling: Model 1 stays tighter to the required banking concepts, while Model 2 introduces extra naming data not requested by the prompt.
2. Complexity: Model 1 is simpler overall; Model 2 carries additional attributes without improving requirement coverage.
3. Practicability: Model 1 is the most direct and readable representation of the informal description.
4. Rejected or checked issues: I did not treat Model 2’s opposite-direction associations as a penalty, since those are semantically equivalent under the instructions. I also did not penalize either model for primitive type spelling or multiplicity literal style.
5. Overall judgment: Model 1 is slightly better because it is leaner and closer to the requirement without adding unused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</si>
  <si>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</si>
  <si>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`Bank`, `Branch`, `Customer { firstName, lastName }`, `Account`, `CurrentAccount`, and `SavingsAccount`, which match the bank domain; Model 2 adds only extra attributes, not wrong classes.
2. Associations/Multiplicities between classes for domain reasoning: Model 1 = 5, Model 2 = 5; Evidence: Model 1 has `Bank "1" -- "0..*" Customer`, `Bank "1" -- "0..*" Branch`, and `Customer "1" -- "1..5" Account`; Model 2 expresses the same required relationships with `Bank --&gt; "0..*" Customer`, `Customer --&gt; "1..5" Account`, and `Account --&gt; "1" Customer`, plus `Bank *-- "0..*" Branch`.
3. Model attributes with appropriate data types: Model 1 = 5, Model 2 = 4; Evidence: Model 1 includes only the requested attributes (`firstName:String`, `lastName:String`, `accountNumber:int`, `balance:double`, `overdraftLimit:double`); Model 2 includes those too, but also adds unrequired `bankName:String` and `branchName:String`.
4. Consistencies of Terminology with given context: Model 1 = 5, Model 2 = 4; Evidence: Model 1 uses only the prompt terms (`Bank`, `Branch`, `Customer`, `Account`, `CurrentAccount`, `SavingsAccount`); Model 2 keeps those terms but introduces `bankName`, `branchName`, and `operatesBranch`, which are not part of the given description.
5. Adherence of UML class diagram standards: Model 1 = 5, Model 2 = 5; Evidence: both are valid PlantUML class diagrams with class declarations, inheritance, and associations; Model 2’s paired opposite-direction associations are semantically equivalent and allowed by the instructions, and its comments are ignorable.
Total: Model 1 = 25, Model 2 = 23
Choice: A
Reason:
1. Classes: both models capture the core bank domain correctly, so neither loses here.
2. Associations: both satisfy the required bank/customer/branch/account structure; I did not penalize Model 2 for using opposite-direction associations because they are semantically equivalent.
3. Attributes and terminology: Model 1 sticks to the requested data, while Model 2 adds unrequested `bankName` and `branchName`, making it slightly less faithful to the prompt.
4. Overall judgment: Model 1 is the cleaner, more requirement-faithful diagram, so it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</si>
  <si>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</si>
  <si>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classes and inheritance: Model 1 = 5, Model 2 = 5; Evidence: both models include `Bank`, `Branch`, `Customer`, `Account`, `CurrentAccount`, and `SavingsAccount`, and both show `CurrentAccount --|&gt; Account` and `SavingsAccount --|&gt; Account`.
2. Required attributes and hallucinated extras: Model 1 = 5, Model 2 = 4; Evidence: Model 1 has only the required attributes (`Customer.firstName`, `Customer.lastName`, `Account.accountNumber`, `Account.balance`, `CurrentAccount.overdraftLimit`), while Model 2 has those same required attributes but also adds `Bank.bankName` and `Branch.branchName`, which are not in the requirement.
3. Associations and multiplicities: Model 1 = 2, Model 2 = 5; Evidence: Model 1 correctly has `Bank "1" --- "0..*" Customer : manages` and `Bank "1" *-- "0..*" Branch : consists of`, but its `Account "0..*" --- "1" Customer : owner` conflicts with `Customer "1" --- "1..5" Account : has` because it allows a customer to own any number of accounts. Model 2 has `Bank --&gt; "0..*" Customer : manages`, `Customer --&gt; "1..5" Account : account`, and `Account --&gt; "1" Customer : owner`, which are consistent with the requirement.
Total: Model 1 = 12, Model 2 = 14
Choice: B
Reason:
1. Core classes and inheritance: both cover the required account hierarchy and bank/customer/branch concepts equally well.
2. Attributes and extras: Model 1 stays closer to the requirement; Model 2 adds `bankName` and `branchName` without support from the prompt.
3. Associations and multiplicities: Model 2 is stronger because its customer-account ownership matches the `1..5` requirement cleanly, while Model 1 contains a conflicting `0..*` customer-account multiplicity.
4. Rejected or checked issues: I did not penalize Model 2 for `abstract Account` or for using opposite-direction association lines, since those are allowed/semantically equivalent under the instructions.
5. Overall judgment: Model 2 is better because it preserves the required ownership constraint correctly, and its extra attributes are a smaller issue than Model 1’s multiplicity contradiction.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</si>
  <si>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</si>
  <si>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model focused on the required links: `Bank "1" --- "0..*" Customer : manages`, `Bank "1" *-- "0..*" Branch : consists of`, and the customer-account ownership. Model 2 adds an extra `Customer --&gt; "1" Bank : bank` association and `bankName`/`branchName` attributes, which increases coupling and adds elements not demanded by the requirement.
2. Complexity: Model 1 = 4, Model 2 = 3; Evidence: Both models use 6 classes and the same inheritance depth (`CurrentAccount --|&gt; Account`, `SavingsAccount --|&gt; Account`). Model 2 is slightly more complex because it adds extra attributes (`bankName`, `branchName`) and an additional `Customer`-`Bank` association; Model 1 stays closer to the minimal required structure.
3. Practicability: Model 1 = 4, Model 2 = 3; Evidence: Model 1 is easier to read as a direct mapping of the requirement, with only the needed bank/customer/branch/account concepts. Model 2 introduces extra detail (`bankName`, `branchName`, `Customer --&gt; "1" Bank : bank`) that is not necessary for the stated domain, making the diagram less clean for implementation, testing, and maintenance.
Total: Model 1 = 12, Model 2 = 9
Choice: A
Reason:
1. Cohesion and Decoupling: Model 1 has tighter alignment to the requirement and fewer unnecessary dependencies; Model 2 adds a customer-to-bank link that is not required and increases coupling.
2. Complexity: Both models have the same class count and inheritance depth, but Model 2 carries extra unrelated detail, so Model 1 is simpler overall.
3. Practicability: Model 1 is more directly usable as a requirement-to-design mapping, while Model 2 is cluttered by extra identifiers and an extra association.
4. Rejected or checked issues: I did not use the fact that Model 1 shows `Customer --- Account` and `Account --- Customer` or that Model 2 uses opposite-direction associations/comments, because those are semantically equivalent under the rules.
5. Overall judgment: Model 1 is better because it stays closer to the stated bank domain with fewer extraneous elements, while Model 2 adds avoidable coupling and detail without improving requirement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</si>
  <si>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</si>
  <si>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required classes `Bank`, `Branch`, `Customer`, `Account`, `CurrentAccount`, and `SavingsAccount`. Model 2 makes `Account` abstract, which is still aligned with the two account types.
2. Associations/Multiplicities between classes for domain reasoning: Model 1 = 3, Model 2 = 5; Evidence: Model 1 has `Customer "1" --- "1..5" Account` but also `Account "0..*" --- "1" Customer`, which weakens/conflicts with the required 1..5 account bound. Model 2 consistently models `Customer --&gt; "1..5" Account` and `Account --&gt; "1" Customer`, plus `Bank --&gt; "0..*" Customer` and `Bank *-- "0..*" Branch`.
3. Model attributes with appropriate data types: Model 1 = 5, Model 2 = 4; Evidence: Model 1 stores exactly the required attributes: `Customer.firstName: String`, `Customer.lastName: String`, `Account.accountNumber: int`, `Account.balance: double`, and `CurrentAccount.overdraftLimit: double`. Model 2 adds `bankName: String` and `branchName: String`, which are not required.
4. Consistencies of Terminology with given context: Model 1 = 5, Model 2 = 5; Evidence: Model 1 uses the domain terms `Bank`, `Branch`, `Customer`, `Account`, `CurrentAccount`, and `SavingsAccount` directly. Model 2 also uses those terms, and labels like `manages`, `owner`, and `operatesBranch` remain contextually understandable.
5. Adherence of UML class diagram standards: Model 1 = 5, Model 2 = 5; Evidence: both are valid PlantUML class diagrams with classes, attributes, associations, and inheritance. The extra opposite-direction associations/comments in Model 2 and the redundant Customer-Account links in Model 1 do not make either diagram invalid UML syntax.
Total: Model 1 = 23, Model 2 = 24
Choice: B
Reason:
1. Appropriate classes: both cover the same required domain concepts, so neither wins here.
2. Associations/multiplicities: Model 2 is stronger because it preserves the required `1..5` account constraint cleanly, while Model 1 introduces a conflicting `0..*` customer-account association.
3. Attributes: Model 1 is tighter to the prompt because it avoids the extra `bankName` and `branchName` attributes present in Model 2.
4. Rejected issues: I did not penalize Model 2 for using opposite-direction associations or Model 1 for using `balance` instead of `current account balance`, since those are acceptable under the rules.
5. Overall judgment: Model 2 is slightly better because its core domain relationship modeling is more faithful, and that matters more than Model 1’s smaller attribute set.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</si>
  <si>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</si>
  <si>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classes and required attributes: Model 1 = 5, Model 2 = 5; Evidence: both include `Bank`, `Branch`, `Customer`, `Account`, `CurrentAccount`, and `SavingsAccount`; both give `Customer` the `firstName` and `lastName` `String` attributes, `Account` the `accountNumber : int` and `balance : double` attributes, and `CurrentAccount` the `overdraftLimit : double` attribute.
2. Bank and branch structure: Model 1 = 5, Model 2 = 5; Evidence: Model 1 has `Bank "1" --- "0..*" Customer : manages` and `Bank "1" *-- "0..*" Branch : consists of`; Model 2 has `Bank "1" -- "0..*" Customer : manages` and `Bank "1" -- "0..*" Branch : consists of`. Both capture that a bank manages any number of customers and consists of any number of branches.
3. Customer-account ownership and multiplicity: Model 1 = 2, Model 2 = 5; Evidence: Model 1 has both `Customer "1" --- "1..5" Account : has` and `Account "0..*" --- "1" Customer : owner`, which introduces a second Customer-Account relation with a customer-side `0..*` multiplicity that weakens the required "at least one and at most five accounts" constraint; Model 2 uses a single `Customer "1" -- "1..5" Account : owns`, which directly expresses one customer per account and one-to-five accounts per customer.
4. Account type hierarchy and semantic clarity: Model 1 = 3, Model 2 = 5; Evidence: both models show `CurrentAccount` and `SavingsAccount` inheriting from `Account` (`CurrentAccount --|&gt; Account`, `SavingsAccount --|&gt; Account` in Model 1; `Account &lt;|-- CurrentAccount`, `Account &lt;|-- SavingsAccount` in Model 2). Model 2 is clearer because it does not add the extra conflicting Customer-Account association that Model 1 includes.
Total: Model 1 = 15, Model 2 = 20
Choice: B
Reason:
1. Core coverage: both models satisfy the required classes and attributes.
2. Association fidelity: Model 2 matches the customer-account requirement more cleanly with one association and the required `1..5` multiplicity, while Model 1 adds a second Customer-Account relation with a weaker `0..*` customer-side multiplicity.
3. Hierarchy: both models correctly represent `CurrentAccount` and `SavingsAccount` as specializations of `Account`.
4. Rejected or checked issues: I did not use Model 2’s `abstract` `Account` as a negative or positive factor, since abstractness is optional unless the requirement says otherwise; I also did not penalize association direction/style differences where semantics are equivalent.
5. Overall judgment: Model 2 is better because it preserves all required concepts while avoiding the duplicated and less precise Customer-Account modeling present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</si>
  <si>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</si>
  <si>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core domain split into `Bank`, `Branch`, `Customer`, `Account`, `CurrentAccount`, and `SavingsAccount`, with `Bank *-- Branch` and `Customer --- Account`/`Account --- Customer` capturing the required links. Model 2 uses the same core classes and a single `Customer -- Account` ownership link, with `Account` as a superclass for `CurrentAccount` and `SavingsAccount`. Neither adds unrelated concepts, and both remain similarly cohesive and similarly coupled.
2. Complexity: Model 1 = 4, Model 2 = 4; Evidence: both diagrams have the same substantive class set and one inheritance level: `Bank`, `Branch`, `Customer`, `Account`, `CurrentAccount`, `SavingsAccount` in Model 1, and the same structure in Model 2. Both have no methods, and both encode the required multiplicities. Model 1 has an extra customer-account association line, but it is semantically equivalent to the ownership relation and does not materially change structural complexity; Model 2’s `abstract Account` is optional and not a complexity-based advantage here.
3. Practicability: Model 1 = 4, Model 2 = 4; Evidence: both diagrams include the required attributes (`firstName`, `lastName`, `accountNumber`, `balance`, `overdraftLimit`) and the required relationships (`0..*` customers, `0..*` branches, `1..5` accounts per customer, one customer per account). Model 1 is slightly more explicit about ownership via `Account ... owner Customer` and uses composition for branches; Model 2 is slightly more compact and clearly separates account types through `abstract Account`. Both are readable and implementable, with no major practical gap.
Total: Model 1 = 12, Model 2 = 12
Choice: C
Reason:
1. Cohesion and Decoupling: The two diagrams express the same domain structure with equivalent coupling; Model 1 is a bit more explicit, Model 2 a bit more compact, but neither is clearly better.
2. Complexity: Both have the same class count, no methods, and the same inheritance depth, so there is no meaningful complexity difference.
3. Rejected or checked issues: I did not use opposite association style as a penalty, and I did not reward or penalize abstract `Account` status because that is optional under the requirement.
4. Overall judgment: The meaningful differences are stylistic rather than substantive, so the scores are equal and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</si>
  <si>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</si>
  <si>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`Bank`, `Branch`, `Customer { firstName, lastName }`, `Account { accountNumber, balance }`, `CurrentAccount { overdraftLimit }`, and `SavingsAccount`, which matches the bank domain well.
2. Associations/Multiplicities between classes for domain reasoning: Model 1 = 4, Model 2 = 5; Evidence: Model 1 has `Bank "1" --- "0..*" Customer`, `Bank "1" *-- "0..*" Branch`, and `Customer "1" --- "1..5" Account`, but also adds a second `Account "0..*" --- "1" Customer : owner`, which conflicts with the customer-account multiplicity on the first association; Model 2 has `Bank "1" -- "0..*" Customer`, `Bank "1" -- "0..*" Branch`, and `Customer "1" -- "1..5" Account : owns`, which cleanly captures the required relationships without the extra conflicting link.
3. Model attributes with appropriate data types: Model 1 = 5, Model 2 = 5; Evidence: both give `Customer` the `String` attributes `firstName` and `lastName`, `Account` the `int` `accountNumber` and `double` balance, and `CurrentAccount` the `double` `overdraftLimit`.
4. Consistencies of Terminology with given context: Model 1 = 5, Model 2 = 5; Evidence: both keep the bank/customer/account vocabulary recognizable; Model 1 uses `manages`, `consists of`, `has`, and `owner`, while Model 2 uses `manages`, `consists of`, and `owns`, all of which fit the described domain.
5. Adherence of UML class diagram standards: Model 1 = 5, Model 2 = 5; Evidence: both are valid PlantUML class diagrams with classes, attributes, inheritance, and associations; Model 2’s `abstract class Account` is valid UML, and Model 1’s use of inheritance and multiplicities is also syntactically sound.
Total: Model 1 = 24, Model 2 = 25
Choice: B
Reason:
1. Appropriate conceptual classes aligned with the domain: both models identify the same core bank classes correctly, so this is a tie.
2. Associations/Multiplicities between classes for domain reasoning: Model 2 is cleaner because it states the customer-account ownership once with `1..5`, while Model 1 duplicates that relationship with a second `Account -&gt; Customer` association whose multiplicity conflicts with the first.
3. Rejected or checked issues: I did not penalize Model 2 for making `Account` abstract, since abstractness is optional here, and I did not penalize either model for using association style differences like `--` versus `---`, since those are semantically equivalent.
4. Overall judgment: Model 2 is slightly better because its relationships are less contradictory while preserving the required domain structure.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</si>
  <si>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</si>
  <si>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</si>
  <si>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</si>
  <si>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identifiers: Model 1 = 5, Model 2 = 5; Evidence: Model 1 has `Person { personId }`, `ResearchInstitution { institutionCode }`, `ScientificArticle { doi, title }`, `Publisher { name }`, and `Journal { name, impactFactor }`. Model 2 has the same core concepts as `Person { personID }`, `Institution { institutionCode }`, `ScientificArticle { DOI, title }`, `Publisher { name }`, and `Journal { name, impactFactor }`.
2. Person/institution affiliation: Model 1 = 5, Model 2 = 2; Evidence: Model 1 models `Person --&gt; "1" ResearchInstitution : worksFor` with `ResearchInstitution --&gt; "*" Person : employs`, which fits one person working for one institution and an institution having many persons. Model 2 uses `Person "1" -- "1" Institution : worksFor`, which constrains each institution to exactly one person.
3. Article authorship and author position: Model 1 = 5, Model 2 = 1; Evidence: Model 1 introduces `Authorship { position }` and links it as `Authorship --&gt; "1" Person`, `Authorship --&gt; "1" ScientificArticle`, with `ScientificArticle --&gt; "1..*" Authorship`, which captures multiple authors and their order. Model 2 has `Authorship -- "1..*" Person : author` and `Authorship -- "1" ScientificArticle : article`, which incorrectly makes one authorship relate to multiple persons.
4. Peer-reviewed paper specifics: Model 1 = 5, Model 2 = 5; Evidence: Model 1 has `PeerReviewedPaper { citationCount }`, `PeerReviewedPaper --&gt; "*" Person : reviewedBy`, and `PeerReviewedPaper --&gt; "1" Journal : publishedIn`. Model 2 has `PeerReviewedPaper { citationCount }`, `Person 0..* -- 0..* PeerReviewedPaper : reviews`, and `Journal "1" -- "0..*" PeerReviewedPaper : publishesIn`, which still keeps peer-reviewed papers as the journal-published article type and records reviewers.
5. Technical report publication: Model 1 = 5, Model 2 = 5; Evidence: Model 1 uses `ResearchInstitution --&gt; "*" TechnicalReport : publishes` and `TechnicalReport --&gt; "1" ResearchInstitution : publishedBy`. Model 2 uses `Institution "1" -- "0..*" TechnicalReport : publishes`, which also captures one institution per report and multiple reports per institution.
6. Publisher/journal/subscription structure: Model 1 = 5, Model 2 = 5; Evidence: Model 1 has `Publisher --&gt; "*" Journal : issues`, `Journal --&gt; "1" Publisher : issuedBy`, and `ResearchInstitution --&gt; "*" Journal : subscribesTo`. Model 2 has `Publisher "1" -- "0..*" Journal : publishes` and `Institution "0..*" -- "0..*" Journal : subscribesTo`, which preserves the publisher-journal and subscription concepts.
7. Overall association cardinality fidelity: Model 1 = 5, Model 2 = 2; Evidence: Model 1 keeps the key business constraints aligned across works-for, authorship, reporting, and publishing relations. Model 2 contains major cardinality errors in `Person "1" -- "1" Institution : worksFor` and `Authorship -- "1..*" Person : author`, which conflict with the requirement that institutions have multiple staff and each authorship belongs to one person.
Total: Model 1 = 35, Model 2 = 25
Choice: A
Reason:
1. Person/institution affiliation: Model 1 correctly allows many persons per institution; Model 2 wrongly forces one person per institution.
2. Authorship modeling: Model 1 captures a single person per authorship plus author position; Model 2 makes an authorship involve multiple persons, which is not faithful.
3. Rejected or checked issues: I did not use opposite association direction as negative evidence, and I did not penalize harmless type spelling differences or other presentation-only choices.
4. Overall judgment: Both models cover most required concepts, but Model 1 is materially more faithful to the required multiplicities and authorship structure, so it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</si>
  <si>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</si>
  <si>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separates concerns with `Person`, `ResearchInstitution`, `Publisher`, `Journal`, `ScientificArticle`, `PeerReviewedPaper`, `TechnicalReport`, and `Authorship`, and uses `Authorship` to connect `Person` to `ScientificArticle` with `position`. Model 2 has the same `Authorship` idea, but `Person "1" -- "1" Institution : worksFor` over-couples staff to exactly one institution and each institution to exactly one person, which is a poor fit for the domain.
2. Complexity: Model 1 = 4, Model 2 = 4; Evidence: Both diagrams have the same core class set and the same inheritance depth through `ScientificArticle &lt;|-- PeerReviewedPaper` and `ScientificArticle &lt;|-- TechnicalReport`, with no methods shown. Model 1 adds explicit associations for authorship, reviews, journal publication, and subscriptions; Model 2 uses a similar level of structural detail, so their complexity is broadly comparable.
3. Practicability: Model 1 = 5, Model 2 = 3; Evidence: Model 1 supports the needed real-world rules directly: `ScientificArticle --&gt; "1..*" Authorship`, `Authorship --&gt; "1" Person`, `Authorship --&gt; "1" ScientificArticle`, `PeerReviewedPaper --&gt; "*" Person : reviewedBy`, `ResearchInstitution --&gt; "*" TechnicalReport`, and `PeerReviewedPaper --&gt; "1" Journal`, which covers multiple authors, reviewers, technical reports, and the rule that only peer-reviewed papers appear in journals. Model 2 also includes papers, reports, journals, reviews, and publishers, but `Person "1" -- "1" Institution : worksFor` is too rigid for a database of multiple researchers per institution, reducing practical usefulness and testability.
Total: Model 1 = 14, Model 2 = 10
Choice: A
Reason:
1. Cohesion and Decoupling: Model 1 keeps the domain concepts modular and uses `Authorship` as a proper association class; Model 2’s one-to-one `worksFor` relation is an unrealistic structural constraint.
2. Complexity: The two models are comparable in class count and inheritance depth, so neither gains much here.
3. Rejected or checked issues: I did not penalize Model 1 for using paired opposite-direction associations, since they are semantically equivalent under the rules. I also did not penalize primitive type aliases or abstractness choices.
4. Overall judgment: Model 1 is better because it is more faithful to the required staffing and publication structure while staying equally manageable in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</si>
  <si>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</si>
  <si>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`Person`, `ResearchInstitution`, `Publisher`, `Journal`, `ScientificArticle`, `PeerReviewedPaper`, `TechnicalReport`, and `Authorship`, which matches the requirement directly. Model 2 includes the same core classes, but uses the broader `Institution` instead of `ResearchInstitution`, which is still aligned but slightly less precise.
2. Associations/Multiplicities between classes for domain reasoning: Model 1 = 4, Model 2 = 2; Evidence: Model 1 models `Person` working for exactly one `ResearchInstitution`, `ResearchInstitution` publishing many `TechnicalReport`s, `Publisher` publishing many `Journal`s, `PeerReviewedPaper` being published in a `Journal`, and `Authorship` linking one `Person` to one `ScientificArticle` with `position`. Model 2 gets `Institution -- 0..* TechnicalReport`, `Publisher -- 0..* Journal`, and `Journal -- 0..* PeerReviewedPaper` right, but `Person "1" -- "1" Institution : worksFor` incorrectly makes each institution have exactly one person, and `Authorship -- "1..*" Person : author` incorrectly makes one authorship relate to multiple persons.
3. Model attributes with appropriate data types: Model 1 = 5, Model 2 = 5; Evidence: Model 1 stores `personId : String`, `phoneNumber : String`, `researchKeywords : List&lt;String&gt;`, `institutionCode : String`, `doi : String`, `title : String`, `citationCount : int`, `impactFactor : double`, and `position : int`. Model 2 stores the same required data with `personID : String`, `phoneNumber : String`, `keywords : Set&lt;String&gt;`, `institutionCode : String`, `DOI : String`, `title : String`, `citationCount : int`, `impactFactor : double`, and `position : int`.
4. Consistencies of Terminology with given context: Model 1 = 5, Model 2 = 4; Evidence: Model 1 consistently uses domain terms like `ResearchInstitution`, `ScientificArticle`, `PeerReviewedPaper`, `TechnicalReport`, `Publisher`, and `Journal`. Model 2 is mostly consistent too, but `Institution` is less specific than the requirement’s `research institutions`.
5. Adherence of UML class diagram standards: Model 1 = 4, Model 2 = 4; Evidence: Both diagrams use standard class boxes, inheritance, and association multiplicities in readable PlantUML. Model 1 and Model 2 both express the model clearly, though neither uses a strict textbook association-class notation for `Authorship`.
Total: Model 1 = 23, Model 2 = 19
Choice: A
Reason:
1. Associations/multiplicities: Model 1 captures the core domain constraints much better, especially `Person` to institution and `Authorship` to `Person`/`ScientificArticle`; Model 2 has two major contradictions there.
2. Terminology and classes: both models cover the right entities, but Model 1 is more exact with `ResearchInstitution`; Model 2 is only slightly weaker here, not enough to offset its relation errors.
3. Rejected or checked issues: I did not penalize opposite-direction association lines, lowercase primitive aliases, or abstractness choices, since those are explicitly forbidden or not decisive here.
4. Overall judgment: Model 1 is better because it preserves the required domain structure while Model 2 gets a key organizational relationship wrong and misstates authorship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</si>
  <si>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</si>
  <si>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classes and identifiers: Model 1 = 5, Model 2 = 5; Evidence: Model 1 has `Person { personId }`, `ResearchInstitution { institutionCode }`, `ScientificArticle { doi, title }`, `Publisher { name }`, `Journal { name, impactFactor }`, `PeerReviewedPaper { citationCount }`, and `TechnicalReport`. Model 2 has the same core set with equivalent fields (`personID`, `institutionCode`, `DOI`, `title`, `name`, etc.).
2. Person facts and institutional affiliation: Model 1 = 5, Model 2 = 2; Evidence: Model 1 stores `phoneNumber`, `researchKeywords : List&lt;String&gt;`, and links a person to one institution with `Person --&gt; "1" ResearchInstitution : worksFor` while an institution has many persons via `ResearchInstitution --&gt; "*" Person : employs`. Model 2 stores `phoneNumber` and `researchKeywords : String`, but `Person "1" -- "1" ResearchInstitution : works for` makes the affiliation one-to-one, contradicting the requirement that many persons can work for the same institution.
3. Article authorship and reviewer modeling: Model 1 = 5, Model 2 = 3; Evidence: Model 1 uses `Authorship { position }` between `Person` and `ScientificArticle`, with `ScientificArticle --&gt; "1..*" Authorship` and `Person --&gt; "*" Authorship`, and models reviewers with `PeerReviewedPaper --&gt; "*" Person : reviewedBy` / `Person --&gt; "*" PeerReviewedPaper : reviews`. Model 2 also uses `Authorship { position }`, but `Person "1" -- "*" PeerReviewedPaper : reviews` makes each paper have exactly one reviewer, which is too restrictive for the requirement.
4. Publication venues and article type constraints: Model 1 = 5, Model 2 = 4; Evidence: Model 1 links `TechnicalReport` to `ResearchInstitution` (`publishedBy`) and `PeerReviewedPaper` to `Journal` (`publishedIn`), plus `Publisher --&gt; "*" Journal : issues` and `ResearchInstitution --&gt; "*" Journal : subscribesTo`. Model 2 covers the same core links, but `Publisher "1" *-- "*" Journal : publishes` adds a stronger ownership relation than the requirement states.
5. Overall constraint fidelity and extra restrictions: Model 1 = 5, Model 2 = 3; Evidence: Model 1 stays close to the requirement while keeping author, reviewer, report, publisher, and journal roles separate. Model 2 introduces unsupported restrictions, especially the one-to-one person/institution link and the one-reviewer-per-paper link, which exclude valid cases.
Total: Model 1 = 25, Model 2 = 17
Choice: A
Reason:
1. Core domain coverage is equal, but Model 1 is more faithful on the relationship semantics that matter.
2. The main deciding errors are in Model 2’s cardinalities: `Person` to `ResearchInstitution` is incorrectly 1:1, and `Person` to `PeerReviewedPaper` as reviewer is effectively 1 paper = 1 reviewer.
3. Rejected or checked issues: I did not use bidirectional association style, comments, lowercase primitive types, or abstractness as negative evidence, because those are forbidden or non-decisive here.
4. Overall judgment: Model 1 better matches the requirement’s business rules and leaves valid cases open that Model 2 incorrectly rules out.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</si>
  <si>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</si>
  <si>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authorship as a dedicated `Authorship` class with `position`, and groups keywords as `researchKeywords : List&lt;String&gt;` on `Person`, while Model 2 also uses `Authorship` but weakens the keyword model to `researchKeywords : String` and tightens `Publisher`-`Journal` to `*--` composition.
2. Complexity: Model 1 = 4, Model 2 = 4; Evidence: both models use the same core class set (`Person`, `ResearchInstitution`, `Publisher`, `Journal`, `ScientificArticle`, `PeerReviewedPaper`, `TechnicalReport`, `Authorship`) and the same inheritance tree (`ScientificArticle` specialized into two subclasses), with no methods in either diagram.
3. Practicability: Model 1 = 4, Model 2 = 3; Evidence: Model 1 better supports the requirement that a person has multiple research topics via `List&lt;String&gt;` and cleanly models article authorship with `Authorship(position)`, while Model 2's single `String` for keywords is less practical for multiple topics and its `Publisher *-- Journal` relation overstates ownership compared with the requirement.
Total: Model 1 = 12, Model 2 = 10
Choice: A
Reason:
1. Cohesion and Decoupling: Model 1 separates responsibilities cleanly with `Authorship` as its own concept and keeps publisher-journal as a plain association; Model 2 is close, but `researchKeywords : String` is less coherent for plural keywords and `*--` makes the publisher-journal link more tightly coupled than needed.
2. Complexity: Both diagrams are essentially equal in structural complexity: same number of conceptual classes, same inheritance depth, and the same association-class pattern for authorship.
3. Practicability: Model 1 is more usable for implementation and testing because it preserves multi-keyword meaning and keeps lifecycle assumptions looser; Model 2 is still workable, but the keyword and publisher-journal choices are less practical.
4. Rejected or checked issues: I did not use opposite-direction associations as a penalty, did not penalize primitive type aliases, and did not penalize Model 2 for omitting `abstract` on `ScientificArticle`.
5. Overall judgment: Model 1 is slightly better aligned with the requirement and more practical to implement without adding much extra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</si>
  <si>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</si>
  <si>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required domain classes `Person`, `ResearchInstitution`, `Publisher`, `Journal`, `ScientificArticle`/`PeerReviewedPaper`/`TechnicalReport`, and `Authorship`, with Model 1 using `abstract class ScientificArticle` and Model 2 using `class ScientificArticle`.
2. Associations/Multiplicities between classes for domain reasoning: Model 1 = 5, Model 2 = 3; Evidence: Model 1 models `Person "1" ResearchInstitution`, `TechnicalReport "1" ResearchInstitution`, `Publisher "*" Journal`, `PeerReviewedPaper "*" Person : reviewedBy`, and `PeerReviewedPaper "1" Journal`, which matches the domain well. Model 2 wrongly uses `Person "1" -- "1" ResearchInstitution`, making the institution side one-to-one instead of one-to-many, and `Person "1" -- "*" PeerReviewedPaper : reviews`, which constrains each paper to one reviewer.
3. Model attributes with appropriate data types: Model 1 = 5, Model 2 = 4; Evidence: Model 1 has `researchKeywords : List&lt;String&gt;`, `citationCount : int`, `impactFactor : double`, `position : int`, and identifiers like `personId`, `institutionCode`, `doi`. Model 2 has the same core attributes, but `researchKeywords : String` is weaker than the required plural keyword set.
4. Consistencies of Terminology with given context: Model 1 = 5, Model 2 = 4; Evidence: Model 1 uses domain-aligned terms such as `worksFor`, `authorship`, `reviewedBy`, `publishedIn`, and `researchKeywords`. Model 2 is still mostly aligned, but its wording is less precise in places like `authors through` and `has author`, and it also compresses `researchKeywords` into a singular string.
5. Adherence of UML class diagram standards: Model 1 = 4, Model 2 = 5; Evidence: Model 2 uses standard PlantUML association and inheritance notation cleanly. Model 1 is understandable, but its multiplicities are written with escaped quotes like `\"1\"` and `\"*\"`, which is less clean as PlantUML text.
Total: Model 1 = 24, Model 2 = 21
Choice: A
Reason:
1. Appropriate conceptual classes: both models cover the required domain entities, so this criterion is tied.
2. Associations/multiplicities: Model 1 is much stronger because it correctly captures one person per institution and many people per institution, while Model 2 incorrectly makes that relationship one-to-one and also narrows peer review to one reviewer per paper.
3. Attributes: Model 1 better reflects the plural keyword requirement with `List&lt;String&gt;`; Model 2 weakens that to a plain `String`.
4. Terminology: both are broadly consistent, but Model 1 is slightly more faithful to the wording of the problem statement.
5. Rejected or checked issues: I did not penalize Model 1 for using two opposite-direction associations instead of one bidirectional line, and I did not penalize either model for abstractness choices on `ScientificArticle`.
6. Overall judgment: Model 1 is the better UML/domain model because its core multiplicities and attribute modeling are closer to the requirement, while Model 2 makes a key cardinality mistake on `Person`-`ResearchInstitution`.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</si>
  <si>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</si>
  <si>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attributes: Model 1 = 4, Model 2 = 4; Evidence: Model 1 includes `Person(personID, phoneNumber, keywords)`, `Institution(institutionCode)`, `ScientificArticle(DOI, title)`, `PeerReviewedPaper(citationCount)`, `Publisher(name)`, `Journal(name, impactFactor)`, and `Authorship(position)`. Model 2 covers the same core set with `Person(personID, phoneNumber, researchKeywords)`, `ResearchInstitution(institutionCode)`, `ScientificArticle(DOI, title)`, `PeerReviewedPaper(citationCount)`, `Publisher(name)`, `Journal(name, impactFactor)`, and `Authorship(position)`.
2. Type hierarchy and publication constraints: Model 1 = 4, Model 2 = 4; Evidence: Both use `ScientificArticle &lt;|-- PeerReviewedPaper` and `ScientificArticle &lt;|-- TechnicalReport`, and both connect only `PeerReviewedPaper` to `Journal` (`Journal -- PeerReviewedPaper` in Model 1, `PeerReviewedPaper -- Journal` in Model 2). Model 1 marks `ScientificArticle` as `abstract`, while Model 2 leaves it concrete, but the requirement does not force either choice.
3. Relationship cardinalities and association structure: Model 1 = 2, Model 2 = 3; Evidence: Model 1 has `Person "1" -- "1" Institution : worksFor` and `Authorship -- "1..*" Person : author`, which overconstrains employment and misrepresents authorship. Model 2 is better here because `Person "1" -- "*" Authorship : authors through` and `ScientificArticle "1" -- "*" Authorship : has author` match the multi-author `Authorship(position)` pattern, though Model 2 still gets `Person "1" -- "1" ResearchInstitution : works for` and `Person "1" -- "*" PeerReviewedPaper : reviews` wrong.
4. Semantic faithfulness and unsupported assumptions: Model 1 = 3, Model 2 = 3; Evidence: Model 1 stays with plain associations such as `Publisher "1" -- "0..*" Journal : publishes` and `Institution "0..*" -- "0..*" Journal : subscribesTo`, but its authorship link is semantically weak. Model 2 introduces `Publisher "1" *-- "*" Journal : publishes`, which adds composition semantics not required, but otherwise remains close to the requested domain. Neither model is fully clean, so this is a tie.
Total: Model 1 = 13, Model 2 = 14
Choice: B
Reason:
1. Core entities and attributes: both models cover the required classes and most attributes, so neither has a strong advantage there.
2. Type hierarchy and publication constraints: both correctly split articles into peer-reviewed papers and technical reports and keep journals tied to peer-reviewed papers only.
3. Relationship cardinalities and association structure: Model 2 is better because it models `Authorship` as the bridge between `Person` and `ScientificArticle`, while Model 1 incorrectly connects `Authorship` to `1..* Person`.
4. Rejected or checked issues: I did not penalize primitive type spellings (`int` vs `Integer`), association direction style, or Model 1’s use of `abstract` on `ScientificArticle`. I also did not treat Model 2’s reverse association arrow directions as a problem.
5. Overall judgment: Model 2 is slightly better overall because its authorship structure is closer to the requirement, and that is a core part of the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</si>
  <si>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</si>
  <si>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uses `Authorship -- "1..*" Person` and `Authorship -- "1" ScientificArticle`, which makes the authorship link less cleanly centered on one person and one article. Model 2 uses `Person "1" -- "*" Authorship` and `ScientificArticle "1" -- "*" Authorship`, which is a clearer low-coupling bridge for author metadata; its `Publisher "1" *-- "*" Journal` and `TechnicalReport "*" -- "1" ResearchInstitution` are tighter than necessary, but overall the authorship modeling is better.
2. Complexity: Model 1 = 4, Model 2 = 4; Evidence: Both diagrams have the same core set of 8 classes (`Person`, institution class, `ScientificArticle`, `PeerReviewedPaper`, `TechnicalReport`, `Publisher`, `Journal`, `Authorship`) and the same inheritance depth (`ScientificArticle` to two subclasses). Neither adds extra method-level complexity, and `keywords : Set&lt;String&gt;` vs `researchKeywords : String` does not materially change structural complexity.
3. Practicability: Model 1 = 3, Model 2 = 4; Evidence: Model 2 models multiple authors more directly with `Person "1" -- "*" Authorship` and `ScientificArticle "1" -- "*" Authorship`, plus `position : int` on `Authorship`, which maps well to the requirement. Model 1’s `Authorship -- "1..*" Person` is harder to read and implement. Model 1 does keep `keywords : Set&lt;String&gt;`, but Model 2 is still more workable overall despite its stronger-than-needed compositions.
Total: Model 1 = 10, Model 2 = 12
Choice: B
Reason:
1. Cohesion and Decoupling: Model 2’s authorship bridge is more semantically coherent; Model 1’s authorship multiplicity is weaker.
2. Complexity: Tie, because both diagrams have the same class count and inheritance depth.
3. Rejected or checked issues: I did not penalize abstract vs non-abstract `ScientificArticle`, primitive type spelling (`int` vs `float`), or association direction/style differences when they were semantically equivalent.
4. Overall judgment: Model 2 is better because it models authorship more correctly and is more practical for implementation/testing, while Model 1’s authorship relation is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</si>
  <si>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</si>
  <si>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`Person`, `Institution`/`ResearchInstitution`, `ScientificArticle`, `PeerReviewedPaper`, `TechnicalReport`, `Publisher`, `Journal`, and `Authorship`, which covers the required domain entities.
2. Associations/Multiplicities between classes for domain reasoning: Model 1 = 3, Model 2 = 4; Evidence: Model 1 has `Authorship -- "1..*" Person : author`, which makes one authorship link to multiple persons and weakens the author-position modeling, while Model 2 uses `Person "1" -- "*" Authorship : authors through` and `ScientificArticle "1" -- "*" Authorship : has author`, which better supports one authorship record per person/article pair; Model 2 is only slightly weakened by `Person "1" -- "*" PeerReviewedPaper : reviews`, which is more restrictive than the wording suggests.
3. Model attributes with appropriate data types: Model 1 = 5, Model 2 = 4; Evidence: Model 1 models `keywords : Set&lt;String&gt;`, which matches the plural keyword requirement better, while Model 2 uses `researchKeywords : String`; both otherwise capture the required identifiers and article attributes such as `personID`, `institutionCode`, `DOI`, `title`, `citationCount`, `name`, `impactFactor`, and `position`.
4. Consistencies of Terminology with given context: Model 1 = 4, Model 2 = 5; Evidence: Model 2 uses `ResearchInstitution` and `researchKeywords`, which more closely mirrors the requirement wording, while Model 1’s `Institution` is acceptable but less specific; both still use context-appropriate terms like `PeerReviewedPaper`, `TechnicalReport`, `Publisher`, and `Journal`.
5. Adherence of UML class diagram standards: Model 1 = 5, Model 2 = 5; Evidence: both are valid PlantUML class diagrams with classes, inheritance, and associations rendered in standard syntax, and neither contains a syntax issue that makes the diagram unreadable.
Total: Model 1 = 22, Model 2 = 23
Choice: B
Reason:
1. Conceptual classes: both models cover the full required domain, so neither gains an advantage here.
2. Associations/Multiplicities: Model 2 is stronger because it models authorship through an association class with one person and one article per `Authorship` record, whereas Model 1’s `Authorship -- "1..*" Person` is a poor fit for the stated author-position requirement.
3. Rejected or checked issues: I did not penalize either model for `int` vs `Integer`, `*` vs `0..*`, or Model 2’s composition-style `Publisher *-- Journal`, since those are not decisive here.
4. Overall judgment: Model 2 is slightly better overall because its relationship modeling and terminology align more closely with the requirement, even though Model 1 has the better keyword attribute type.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</si>
  <si>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</si>
  <si>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identifiers: Model 1 = 5, Model 2 = 5; Evidence: Model 1 has `Person { personID, phoneNumber, keywords }`, `Institution { institutionCode }`, `ScientificArticle { DOI, title }`, `Publisher { name }`, `Journal { name, impactFactor }`. Model 2 has the same core concepts as `Person { personId, phoneNumber, researchKeywords }`, `ResearchInstitution { institutionCode }`, `ScientificArticle { doi, title }`, `Publisher { name }`, `Journal { name, impactFactor }`.
2. Person-institution relation: Model 1 = 1, Model 2 = 5; Evidence: Model 1 uses `Person "1" -- "1" Institution : worksFor`, which forces a one-to-one link and contradicts multiple staff per institution. Model 2 uses `Person --&gt; "1" ResearchInstitution : worksFor` and `ResearchInstitution --&gt; "*" Person : employs`, which matches one person working for one institution and one institution having many people.
3. Article authorship and review: Model 1 = 2, Model 2 = 5; Evidence: Model 1 has `Authorship -- "1..*" Person : author` and `Authorship -- "1" ScientificArticle : article`, which makes one authorship involve multiple people instead of one person per authorship. It does correctly include `Person "0..*" -- "0..*" PeerReviewedPaper : reviews`. Model 2 models authorship as `Authorship --&gt; "1" Person`, `Person --&gt; "*" Authorship`, `Authorship --&gt; "1" ScientificArticle`, and `ScientificArticle --&gt; "1..*" Authorship`, which is structurally faithful, and it also includes `PeerReviewedPaper --&gt; "*" Person : reviewedBy`.
4. Technical report publication: Model 1 = 5, Model 2 = 5; Evidence: Model 1 has `Institution "1" -- "0..*" TechnicalReport : publishes`, matching one institution per report and many reports per institution. Model 2 has `ResearchInstitution --&gt; "*" TechnicalReport : publishes` and `TechnicalReport --&gt; "1" ResearchInstitution : publishedBy`, which expresses the same requirement correctly.
5. Publishers, journals, and subscriptions: Model 1 = 5, Model 2 = 5; Evidence: Model 1 includes `Publisher "1" -- "0..*" Journal : publishes`, `Journal "1" -- "0..*" PeerReviewedPaper : publishesIn`, and `Institution "0..*" -- "0..*" Journal : subscribesTo`. Model 2 includes `Publisher --&gt; "*" Journal : issues`, `Journal --&gt; "1" Publisher : issuedBy`, and `ResearchInstitution --&gt; "*" Journal : subscribesTo` plus the reverse link. Both capture publisher, journal, and subscription concepts.
6. Only peer-reviewed papers are published in journals: Model 1 = 5, Model 2 = 5; Evidence: Model 1 connects journals only to `PeerReviewedPaper` via `Journal "1" -- "0..*" PeerReviewedPaper : publishesIn`, with no journal link from `TechnicalReport`. Model 2 does the same with `PeerReviewedPaper --&gt; "1" Journal : publishedIn` and no journal publication path for `TechnicalReport`.
Total: Model 1 = 23, Model 2 = 30
Choice: B
Reason:
1. The main difference is the person-institution cardinality: Model 1 hard-codes `1..1` on `worksFor`, which is contrary to the requirement, while Model 2 correctly models many people per institution.
2. Model 2 also models authorship correctly with one `Person` per `Authorship` and one `ScientificArticle` per `Authorship`; Model 1 incorrectly makes one authorship relate to multiple people.
3. Rejected or checked issues: I did not use bidirectional-vs-unidirectional association style, opposite-direction duplicate links, or primitive type spelling as negative evidence, because those are semantically equivalent under the instructions.
4. Overall judgment: Model 2 is more faithful to the required domain semantics and multiplicities, while Model 1 contains a hard contradiction and a weaker authorship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</si>
  <si>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</si>
  <si>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the right core entities (`Person`, `Institution`, `ScientificArticle`, `Publisher`, `Journal`, `Authorship`), but `Person "1" -- "1" Institution` and `Authorship -- "1..*" Person` blur the intended role boundaries. Model 2 uses the same core entities and models the roles more cleanly with `Person --&gt; "1" ResearchInstitution`, `ResearchInstitution --&gt; "*" Person`, and `Authorship --&gt; "1" Person` / `Authorship --&gt; "1" ScientificArticle`.
2. Complexity: Model 1 = 4, Model 2 = 4; Evidence: Both models have the same conceptual class set and the same inheritance depth (`ScientificArticle` with `PeerReviewedPaper` and `TechnicalReport`), plus one association class (`Authorship`). Model 2 adds mirrored associations, but those are semantically equivalent and do not materially change complexity.
3. Practicability: Model 1 = 2, Model 2 = 4; Evidence: Model 1 contains a likely-invalid staffing constraint (`Person "1" -- "1" Institution`) and an ambiguous authorship link (`Authorship -- "1..*" Person`), which makes implementation and testing unclear. Model 2 is more directly usable: one person belongs to one institution, each authorship binds one person to one article, technical reports are tied to one institution, and peer-reviewed papers are tied to journals and reviewers.
Total: Model 1 = 9, Model 2 = 12
Choice: B
Reason:
1. Cohesion and Decoupling: Model 2 separates the main roles more precisely; Model 1’s multiplicities make the institution and authorship relationships less faithful to the requirement.
2. Complexity: Tie on conceptual size and inheritance; Model 2’s extra mirrored associations were treated as semantically equivalent, not as added complexity.
3. Rejected or checked issues: I did not penalize Model 2 for opposite-direction association pairs, lowercase primitive aliases, equivalent multiplicity literals, or abstractness.
4. Overall judgment: Model 2 better matches the requirement’s cardinalities and is more practical for implementation and testing, while Model 1 has clearer semantic multiplicity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</si>
  <si>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</si>
  <si>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`Person`, `Institution`, `ScientificArticle`, `PeerReviewedPaper`, `TechnicalReport`, `Publisher`, `Journal`, and `Authorship`, which covers the domain well but uses the broader term `Institution`. Model 2 has the same core set but uses `ResearchInstitution`, which matches the requirement more exactly.
2. Associations/Multiplicities between classes for domain reasoning: Model 1 = 3, Model 2 = 5; Evidence: Model 1 correctly shows `worksFor`, `publishes`, `publishesIn`, and `reviews`, but `Authorship -- "1..*" Person : author` makes one authorship relate to multiple persons, which weakens the authorship model. Model 2 models authorship with `Authorship --&gt; "1" Person`, `Person --&gt; "*" Authorship`, `Authorship --&gt; "1" ScientificArticle`, and `ScientificArticle --&gt; "1..*" Authorship`, which fits the one-person-per-authorship, multi-author-per-article structure much better.
3. Model attributes with appropriate data types: Model 1 = 5, Model 2 = 4; Evidence: Model 1 includes `personID : String`, `phoneNumber : String`, `keywords : Set&lt;String&gt;`, `DOI : String`, `title : String`, `citationCount : int`, and `impactFactor : double`. Model 2 includes the same core attributes with `researchKeywords : List&lt;String&gt;`, `doi : String`, `title : String`, `citationCount : int`, and `impactFactor : double`; both are good, but `Set&lt;String&gt;` is a slightly better fit for keywords than `List&lt;String&gt;`.
4. Consistencies of Terminology with given context: Model 1 = 4, Model 2 = 5; Evidence: Model 1 mostly matches the scenario, but `Institution` is less specific than the required research institution. Model 2 tracks the wording more closely with `ResearchInstitution`, `researchKeywords`, `reviewedBy`, and `publishedIn`/`publishedBy`-style labels.
5. Adherence of UML class diagram standards: Model 1 = 4, Model 2 = 5; Evidence: Both are valid class diagrams with inheritance, attributes, and associations. Model 2 is a bit cleaner and more explicit in multiplicities and directionality, while Model 1’s `Authorship` linkage is less idiomatic UML even though still understandable.
Total: Model 1 = 20, Model 2 = 24
Choice: B
Reason:
1. Associations/multiplicities: Model 2 captures authorship and publication constraints more faithfully, especially the `Authorship` structure and the one-journal-per-paper relation.
2. Terminology and classes: Model 2 uses `ResearchInstitution` and otherwise matches the domain vocabulary more closely than Model 1.
3. Rejected or checked issues: I did not penalize either model for using opposite directed associations instead of a single bidirectional line, and I ignored inline PlantUML comments as required. I also treated primitive type aliases as equivalent.
4. Overall judgment: Model 2 is stronger on the core domain modeling dimensions that matter most here, so it wins despite Model 1 being slightly better on the keyword collection type.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</si>
  <si>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</si>
  <si>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2, Model 2 = 5; Evidence: Model 1 covers the main entities (`Person`, `ResearchInstitution`, `ScientificArticle`, `PeerReviewedPaper`, `TechnicalReport`, `Publisher`, `Journal`) but makes `Person "1" -- "1" ResearchInstitution : works for`, which conflicts with institutions having many staff. Model 2 matches the required structure with `Person --&gt; "1" ResearchInstitution` and `ResearchInstitution --&gt; "*" Person`, plus the required article hierarchy and publication links.
2. Conceptual classes and relationships: Model 1 = 2, Model 2 = 5; Evidence: Model 1 does include `ScientificArticle &lt;|-- PeerReviewedPaper` and `ScientificArticle &lt;|-- TechnicalReport`, plus `Authorship(position)`, but its review relation is weaker (`Person "1" -- "*" PeerReviewedPaper : reviews`). Model 2 keeps the same core classes and adds a stronger authorship model (`Authorship`, `ScientificArticle --&gt; "1..*" Authorship`) and clearer review/publication relationships.
3. Associations, cardinalities, and relationship types: Model 1 = 2, Model 2 = 5; Evidence: Model 1 gets `TechnicalReport "*" -- "1" ResearchInstitution`, `Publisher "1" *-- "*" Journal`, and `PeerReviewedPaper "*" -- "1" Journal` in the right direction, but the employment multiplicity is wrong and the review side is underspecified. Model 2 consistently encodes the needed multiplicities for employment, technical-report publication, publisher-journal, institution-journal subscription, authorship, reviewing, and journal publication.
4. Class naming and attribute clarity: Model 1 = 4, Model 2 = 5; Evidence: both use clear domain names, but Model 2 is slightly clearer with `researchKeywords : List&lt;String&gt;` and `abstract class ScientificArticle`, while Model 1 uses `researchKeywords : String`, which is less faithful to multiple keywords. Both still keep the essential identifiers and attributes recognizable.
Total: Model 1 = 10, Model 2 = 20
Choice: B
Reason:
1. Requirement alignment: Model 2 matches the institution membership and article hierarchy more faithfully; Model 1’s `works for` multiplicity is a major mismatch.
2. Conceptual classes and relationships: Model 2 preserves the required conceptual structure better, especially authorship and review handling.
3. Associations/cardinalities: Model 2 is consistently closer to the requirement; Model 1 has the key cardinality error on employment and a weaker review model.
4. Rejected or checked issues: I did not use association drawing style, primitive type spelling, or optional abstractness as negative evidence, per the instructions.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</si>
  <si>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</si>
  <si>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domain split (`Person`, `ResearchInstitution`, `ScientificArticle`, `Authorship`) and uses an `Authorship` association class, but it also hard-wires `Person "1" -- "1" ResearchInstitution` and `Person "1" -- "*" PeerReviewedPaper : reviews`, which makes the main links more rigid than the domain suggests. Model 2 uses the same core split, but models `worksFor/employs`, `Authorship`, `reviewedBy/reviews`, and `publishedIn` with clearer role separation and more appropriate multiplicities, which gives slightly better decoupling.
2. Complexity: Model 1 = 4, Model 2 = 4; Evidence: Both models have the same 8 conceptual classes and a single inheritance layer (`ScientificArticle` -&gt; `PeerReviewedPaper` / `TechnicalReport`). Model 2 adds more explicit association endpoints and an abstract superclass, while Model 1 is a bit leaner; overall both stay in the same moderate complexity range.
3. Practicability: Model 1 = 3, Model 2 = 4; Evidence: Model 1 is readable and covers the main entities, but `researchKeywords : String` compresses a plural concept into one opaque field, and its review/institution cardinalities are less directly usable. Model 2 uses `researchKeywords : List&lt;String&gt;`, keeps `Authorship.position`, and models the paper/journal/institution relationships more explicitly, which is easier to implement and test.
Total: Model 1 = 10, Model 2 = 12
Choice: B
Reason:
1. Cohesion and Decoupling: Model 2 is better because it preserves the same domain decomposition as Model 1 while expressing the major relationships with cleaner separation of roles and more fitting multiplicities.
2. Complexity: They are effectively tied. Both are small, shallow hierarchies with the same conceptual scope, so complexity does not distinguish them much.
3. Rejected or checked issues: I did not use opposite-direction association duplication in Model 2 as negative evidence, and I did not penalize equivalent multiplicity notation or optional abstractness.
4. Overall judgment: Model 2 is more faithful to the requirements without becoming materially more complex, so it is the better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</si>
  <si>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</si>
  <si>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`Person`, `ResearchInstitution`, `ScientificArticle`, `PeerReviewedPaper`, `TechnicalReport`, `Publisher`, `Journal`, and `Authorship`. Model 2 includes the same domain classes, plus `abstract class ScientificArticle`, so both capture the required conceptual space correctly.
2. Associations/Multiplicities between classes for domain reasoning: Model 1 = 4, Model 2 = 5; Evidence: Model 1 captures authorship with `Person "1" -- "*" Authorship` and `ScientificArticle "1" -- "*" Authorship`, and correctly limits technical reports with `TechnicalReport "*" -- "1" ResearchInstitution` and journal publication with `PeerReviewedPaper "*" -- "1" Journal`, but `Person "1" -- "1" ResearchInstitution : works for` is too restrictive for staff-to-institution structure. Model 2 models `Person -&gt; "1" ResearchInstitution` and `ResearchInstitution -&gt; "*"` `Person`, keeps `TechnicalReport -&gt; "1" ResearchInstitution`, and makes review/publication links explicit with `PeerReviewedPaper -&gt; "*" Person` / `Person -&gt; "*" PeerReviewedPaper` and `PeerReviewedPaper -&gt; "1" Journal`.
3. Model attributes with appropriate data types: Model 1 = 4, Model 2 = 5; Evidence: Model 1 has `researchKeywords : String`, which is weaker for the stated multiple keywords, while Model 2 uses `researchKeywords : List&lt;String&gt;`. Both models correctly include `personID`, `institutionCode`, `DOI/doi`, `title`, `citationCount`, and `impactFactor`, but Model 2 models the keyword attribute more naturally.
4. Consistencies of Terminology with given context: Model 1 = 5, Model 2 = 5; Evidence: Model 1 uses domain-aligned terms such as `works for`, `authors through`, `reviews`, `published by`, `subscribes to`, and `published in`. Model 2 uses equally aligned terminology such as `worksFor`, `authorships`, `reviewedBy`, `publishedBy`, `subscribesTo`, and `publishedIn`.
5. Adherence of UML class diagram standards: Model 1 = 5, Model 2 = 5; Evidence: Both are valid PlantUML class diagrams with classes, inheritance, multiplicities, and associations expressed in standard notation. Model 2’s `abstract class ScientificArticle` is valid, and Model 1’s composition/association syntax is also syntactically understandable.
Total: Model 1 = 23, Model 2 = 25
Choice: B
Reason:
1. Associations/Multiplicities: Model 2 better captures the staff-to-institution structure and makes reviewer/publication relationships more explicit, while Model 1’s `Person "1" -- "1" ResearchInstitution` is overly restrictive.
2. Attributes: Model 2’s `researchKeywords : List&lt;String&gt;` matches the plural keyword requirement better than Model 1’s `researchKeywords : String`.
3. Rejected or checked issues: I did not penalize Model 2 for using opposite-direction associations or marking `ScientificArticle` abstract, since those are not negative under the rules.
4. Overall judgment: Both diagrams are broadly solid, but Model 2 is more faithful in the relationships and attribute modeling,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</si>
  <si>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</si>
  <si>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entities: Model 1 = 5, Model 2 = 5; Evidence: Model 1 includes `Person`, `ResearchInstitution`, `ScientificArticle`, `PeerReviewedPaper`, `TechnicalReport`, `Publisher`, `Journal`, and `Authorship`; Model 2 includes the same roles as `Person`, `Institution`, `ScientificArticle`, `PeerReviewedPaper`, `TechnicalReport`, `Publisher`, `Journal`, and `Authorship`.
2. Identifiers and stored attributes: Model 1 = 4, Model 2 = 4; Evidence: Model 1 stores `personID`, `phoneNumber`, `researchKeywords`, `institutionCode`, `DOI`, `title`, `citationCount`, `name`, `impactFactor`, and `position`; Model 2 stores `personID`, `phoneNumber`, `keywords`, `institutionCode`, `DOI`, `title`, `citationCount`, `name`, `impactFactor`, and `position`.
3. Association and cardinality fidelity: Model 1 = 5, Model 2 = 2; Evidence: Model 1 models authorship with `Person "1" -- "*" Authorship` and `ScientificArticle "1" -- "*" Authorship`, plus `TechnicalReport "*" -- "1" ResearchInstitution`, `Publisher "1" *-- "*" Journal`, `ResearchInstitution "*" -- "*" Journal`, and `PeerReviewedPaper "*" -- "1" Journal`; Model 2 uses `Authorship -- "1..*" Person` and `Authorship -- "1" ScientificArticle`, which makes one authorship attach to multiple people and only one article per many people, so the core authorship multiplicity is wrong.
4. Article type hierarchy and publication constraints: Model 1 = 5, Model 2 = 5; Evidence: Model 1 has `ScientificArticle &lt;|-- PeerReviewedPaper` and `ScientificArticle &lt;|-- TechnicalReport`, and only `PeerReviewedPaper` links to `Journal`; Model 2 has the same inheritance and also restricts journal publication to `PeerReviewedPaper` via `Journal "1" -- "0..*" PeerReviewedPaper : publishesIn`.
5. Naming and semantic precision: Model 1 = 5, Model 2 = 4; Evidence: Model 1 keeps the exact domain names `ResearchInstitution`, `ScientificArticle`, `PeerReviewedPaper`, and `TechnicalReport`; Model 2 shortens `ResearchInstitution` to `Institution`, which is still understandable but slightly less exact.
Total: Model 1 = 24, Model 2 = 20
Choice: A
Reason:
1. Core domain entities: both diagrams cover the required conceptual classes, but Model 1 stays closer to the requirement wording with `ResearchInstitution` and `ScientificArticle`.
2. Association and cardinality fidelity: Model 1 correctly uses `Authorship` as the association class for article authorship, with one person and one article per authorship; Model 2's `Authorship -- "1..*" Person` and `Authorship -- "1" ScientificArticle` reverse that meaning and weaken the main requirement.
3. Rejected issues: I did not penalize Model 2 for `abstract ScientificArticle` or for `keywords : Set&lt;String&gt;`, because those are allowed variations under the instructions.
4. Overall judgment: Model 1 is better because it preserves the most important business semantics, especially authorship, while Model 2 has a material cardinality error in that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</si>
  <si>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</si>
  <si>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concerns separated with `Person`, `ResearchInstitution`, `ScientificArticle` plus subclasses, and `Authorship(position)` cleanly mediates the many-to-many authoring link; Model 2 has the same overall structure, but `Authorship -- "1..*" Person` and `Authorship -- "1" ScientificArticle` blur that boundary by making one authorship span multiple people and only one article, though its `keywords : Set&lt;String&gt;` is a slightly cleaner person attribute than Model 1’s `researchKeywords : String`.
2. Complexity: Model 1 = 4, Model 2 = 4; Evidence: both models have the same 8 classes (`Person`, institution, `ScientificArticle`, `PeerReviewedPaper`, `TechnicalReport`, `Publisher`, `Journal`, `Authorship`) and one inheritance step from `ScientificArticle` to its two subclasses; Model 2’s `abstract` marker and `Set&lt;String&gt;` keyword attribute do not materially change structural complexity, and Model 1’s slightly simpler attribute model balances Model 2’s slightly richer one.
3. Practicability: Model 1 = 4, Model 2 = 2; Evidence: Model 1 is directly usable for implementation and testing because `Authorship(position)` supports multi-author papers and the remaining associations match the domain (`peer-reviewed paper` reviews, `technical report` published by one institution, `journal` published by a publisher, subscriptions); Model 2’s authorship multiplicities are practically incorrect for the requirement because they imply one authorship can involve multiple persons and only one article, which breaks the intended author-per-article mapping and makes validation awkward.
Total: Model 1 = 12, Model 2 = 9
Choice: A
Reason:
1. Cohesion and Decoupling: Model 1’s `Authorship` is a cleaner conceptual bridge for author position tracking, while Model 2’s authorship cardinalities weaken the separation between person and article.
2. Complexity: Both are structurally comparable, with the same class count and inheritance depth, so neither gains a clear advantage here.
3. Rejected or checked issues: I did not penalize equivalent multiplicity spellings (`*` vs `0..*`) or opposite association directions; I only used semantic differences. I also did not treat `abstract` alone as a score-changing factor.
4. Overall judgment: Model 1 is better because it preserves the key authoring semantics more faithfully and is more practical to implement, even though Model 2 has a nicer keyword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</si>
  <si>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</si>
  <si>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`Person`, `ResearchInstitution`, `ScientificArticle`, `PeerReviewedPaper`, `TechnicalReport`, `Publisher`, `Journal`, and `Authorship`. Model 2 includes the same core concepts as `Person`, `Institution`, `ScientificArticle` (abstract), `PeerReviewedPaper`, `TechnicalReport`, `Publisher`, `Journal`, and `Authorship`.
2. Associations/Multiplicities between classes for domain reasoning: Model 1 = 4, Model 2 = 3; Evidence: Model 1 models `Person -- ResearchInstitution` (`works for`), `Person -- Authorship`, `ScientificArticle -- Authorship`, `TechnicalReport -- ResearchInstitution`, `Publisher -- Journal`, `ResearchInstitution -- Journal`, and `PeerReviewedPaper -- Journal`. Model 2 has the same main links, but its `Authorship -- "1..*" Person` implies one authorship relates to multiple persons, which conflicts with a single authorship record, even though its `Person -- PeerReviewedPaper` review link is more flexible.
3. Model attributes with appropriate data types: Model 1 = 4, Model 2 = 5; Evidence: Model 1 uses `personID : String`, `phoneNumber : String`, `researchKeywords : String`, `institutionCode : String`, `DOI : String`, `title : String`, `citationCount : int`, `impactFactor : float`, and `position : int`. Model 2 improves `keywords : Set&lt;String&gt;` for plural keywords and otherwise uses fitting types like `personID : String`, `impactFactor : double`, and `citationCount : int`.
4. Consistencies of Terminology with given context: Model 1 = 5, Model 2 = 4; Evidence: Model 1 stays close to the prompt with `ResearchInstitution`, `ScientificArticle`, `PeerReviewedPaper`, and `TechnicalReport`. Model 2 is still mostly aligned, but it generalizes `ResearchInstitution` to `Institution`, which is acceptable but slightly less exact to the given context.
5. Adherence of UML class diagram standards: Model 1 = 5, Model 2 = 5; Evidence: Both diagrams use valid PlantUML class syntax, inheritance (`ScientificArticle &lt;|-- ...`), and association notation. Model 2’s `abstract class ScientificArticle` and Model 1’s associations/composition are both syntactically valid UML/PlantUML.
Total: Model 1 = 23, Model 2 = 22
Choice: A
Reason:
1. Associations/multiplicities: Model 1’s authorship modeling is more faithful because `Person -- Authorship` and `ScientificArticle -- Authorship` cleanly support a single authorship record with a stored `position`, while Model 2’s `Authorship -- "1..*" Person` overstates the number of persons per authorship.
2. Attributes: Model 2 is better on `keywords : Set&lt;String&gt;`, but Model 1 is still acceptable overall; this does not outweigh Model 1’s stronger association modeling.
3. Rejected or checked issues: I did not use `int` vs `Integer`, `float` vs `double`, `*` vs `0..*`, or abstract-vs-non-abstract superclass status as negative evidence.
4. Overall judgment: Model 1 is slightly better because it models the core authoring structure more correctly, and the remaining differences are small.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</si>
  <si>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</si>
  <si>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</si>
  <si>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</si>
  <si>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mapping each diagram against the requirement class-by-class and relation-by-relation, then I’ll score the specific requirement areas separately so the comparison stays evidence-based.
Scores:
1. Core entities and attributes: Model 1 = 5, Model 2 = 4; Evidence: both define `Provider(name/location)`, `Cruise(number/name/startDate/endDate)`, `Employee(name/socialSecurityNumber)`, `Guest(name/VIP)`, `Ship(name/decks/length/passengers)`, `TravelAgency(name/address)`, `Booking(bookingNumber/bookingDate)`, `DestinationArea(name/seaName)`, `Show(title/duration)`, and `Ticket(...)`. Model 1 matches the requirement more closely with `number: int`, `numberOfPassengers`, `isVip`, and `ticketNumber`; Model 2 uses `number: String`, `passengerCapacity`, and `ticketId`, which are still recognizable but less exact.
2. Provider, cruise, ship, destination, travel agency, booking structure: Model 1 = 4, Model 2 = 2; Evidence: Model 1 has `Cruise --&gt; "1" Provider` with `Provider --&gt; "*" Cruise`, `Cruise --&gt; "1" Ship` with `Ship --&gt; "*" Cruise`, `Cruise --&gt; "1" DestinationArea`, and `Booking --&gt; "1" TravelAgency` plus `Booking --&gt; "1" Cruise`, which fits the ownership/booking structure. Model 2 uses `Cruise "1" -- "1" Provider`, which wrongly forces a 1:1 provider-to-cruise relation, while its ship/destination/booking links are otherwise similar.
3. Employee and guest participation cardinalities: Model 1 = 4, Model 2 = 2; Evidence: Model 1 states `Cruise --&gt; "1..*" Employee`, matching “requires many employees,” and `Cruise --&gt; "*" Guest` / `Guest --&gt; "*" Cruise` for multi-cruise guests. Model 2 uses `Cruise "*" -- "*" Employee`, which allows zero employees on a cruise and is weaker on the required staffing constraint; it also uses `Cruise "*" -- "*" Guest`, which still leaves “several guests” at zero.
4. Show and ticket modeling: Model 1 = 3, Model 2 = 3; Evidence: Model 1 has `Cruise --&gt; "*" Show` and `Ticket --&gt; "1" Cruise` plus `Ticket --&gt; "1" Guest`; Model 2 has `Cruise "1" -- "*" Show` and `Ticket "*" -- "1" Cruise` plus `Ticket "*" -- "1" Guest`. Neither model encodes the “only one ticket per cruise per guest” uniqueness rule, so both miss an important constraint.
5. Semantic restraint and unsupported relations: Model 1 = 3, Model 2 = 3; Evidence: both add `Booking ... Guest` associations (`Booking --&gt; "1" Guest` in Model 1, `Booking "*" -- "1" Guest` in Model 2) that are not stated in the requirement. Model 1 also broadens shows to many-to-many (`Show --&gt; "*" Cruise`), while Model 2 keeps shows tied to one cruise. These are extra modeling choices, but neither diagram adds a clearly incompatible class.
Total: Model 1 = 19, Model 2 = 14
Choice: A
Reason:
1. Provider/cruise structure and employee cardinality: Model 1 correctly allows one provider to organize many cruises and requires at least one employee per cruise; Model 2 incorrectly forces a 1:1 provider-to-cruise link and allows zero employees.
2. Show/ticket area: both models miss the ticket uniqueness constraint, but Model 2 is only slightly tighter for shows; that does not outweigh its major provider/employee errors.
3. Rejected or checked issues: I did not count opposite association direction, primitive type spelling (`int` vs `String`, `boolean` vs `Boolean`), or `*` vs `0..*` as negatives.
4. Overall judgment: Model 1 is more faithful to the requirement’s core business relationships, so it is better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</si>
  <si>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</si>
  <si>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cruise entities tightly aligned to the requirement with `Cruise` linked to `Provider`, `Employee`, `Guest`, `Ship`, `DestinationArea`, `Show`, and `Ticket`, and it constrains staffing with `Cruise --&gt; "1..*" Employee`. Model 2 covers the same domain pieces, but `Cruise "*" -- "*" Employee` is looser than required and weakens the cruise-to-employee responsibility boundary; both models also add `Booking` linked to `Guest`, which is extra coupling not stated in the requirement.
2. Complexity: Model 1 = 4, Model 2 = 4; Evidence: Both diagrams have the same conceptual scope: 10 classes, no inheritance tree, and no methods. Model 1 has more explicit association listings, while Model 2 uses fewer lines, but this is semantically equivalent association presentation and does not change conceptual complexity.
3. Practicability: Model 1 = 4, Model 2 = 3; Evidence: Model 1 is more directly actionable for implementation/testing because it captures the required staffing constraint with `1..* Employee` and uses exact domain attributes like `numberOfPassengers`. Model 2 is readable and captures the main entities, but it leaves cruise staffing unconstrained with `*` employees per cruise and uses a less exact `passengerCapacity` / `number : String` style, so it would need more external constraints to satisfy the requirement fully. Both models still miss the “only one ticket per cruise per guest” rule.
Total: Model 1 = 12, Model 2 = 10
Choice: A
Reason:
1. Cohesion and Decoupling: Model 1 better reflects the required cruise staffing relationship with `1..* Employee`, while Model 2 relaxes that to `*`, which is less aligned with the stated “requires many employees” constraint. Model 2 is slightly tighter for `Show`, but the staffing mismatch is more important.
2. Complexity: The diagrams are effectively equal in complexity: same class count, no inheritance, and similar association density at the semantic level.
3. Rejected or checked issues: I did not use opposite-direction association formatting, primitive type spelling (`int` vs `String`), or abstract-class marking as negative evidence.
4. Overall judgment: Model 1 is more faithful to the requirement’s mandatory employee constraint and is therefore the better UML design overall, even though both models still miss the ticket-per-guest-per-cruise uniqueness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</si>
  <si>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</si>
  <si>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full core set of domain classes: `Provider`, `Cruise`, `Employee`, `Guest`, `Ship`, `TravelAgency`, `Booking`, `DestinationArea`, `Show`, and `Ticket`.
2. Associations/Multiplicities between classes for domain reasoning: Model 1 = 4, Model 2 = 4; Evidence: Model 1 models `Cruise`-`Provider`, `Cruise`-`Employee` as `1..*`, `Cruise`-`Guest`, `Cruise`-`Ship`, `Booking`-`Cruise`, `Booking`-`TravelAgency`, `Cruise`-`DestinationArea`, `Cruise`-`Show`, `Ticket`-`Cruise`, and `Ticket`-`Guest`; Model 2 models the same key links with `organizedBy`, `requires`, `participates`, `uses`, `headsFor`, `offers`, `bookedThrough`, `books`, `issuedFor`, and `issuedTo`. Both still miss the exact guest/ticket constraint that a guest has only one ticket per cruise, and Model 2 also leaves employees/guests at `*` instead of the stronger required lower bounds.
3. Model attributes with appropriate data types: Model 1 = 4, Model 2 = 4; Evidence: Model 1 uses `number:int`, `startDate:Date`, `isVip:boolean`, `length:double`, `bookingNumber:int`, and `duration:double`; Model 2 uses `number:String`, `startDate:Date`, `isVIP:Boolean`, `length:Double`, `bookingNumber:String`, and `duration:Duration`. Both cover the required attributes, with only minor type-choice differences.
4. Consistencies of Terminology with given context: Model 1 = 4, Model 2 = 4; Evidence: Model 1 uses context-aligned names like `organizedBy`, `hosts`, `bookedFor`, `headsFor`, `offers`, and `ownedBy`; Model 2 uses similarly aligned names like `organizedBy`, `requires`, `participates`, `bookedThrough`, `headsFor`, `offers`, and `issuedTo`. Both are recognizable, with only minor wording differences.
5. Adherence of UML class diagram standards: Model 1 = 5, Model 2 = 5; Evidence: both are valid PlantUML class diagrams with standard class, attribute, and association syntax. Model 1’s opposite-direction association pairs are semantically equivalent and acceptable; Model 2 uses straightforward standard associations.
Total: Model 1 = 22, Model 2 = 22
Choice: C
Reason:
1. Conceptual classes: both diagrams cover the required domain entities completely, so neither has an advantage here.
2. Associations/multiplicities: both capture the major relationships, but each misses the ticket-per-cruise-per-guest uniqueness constraint; Model 1 is a bit stronger on employee cardinality, while Model 2 is a bit cleaner on some direct links, so neither clearly wins.
3. Attributes/terminology: Model 1 is slightly stronger on numeric identifiers, while Model 2 is slightly stronger on `Duration` and direct wording; these offset each other.
4. Rejected or checked issues: I did not penalize Model 1 for using opposite-direction association pairs, and I did not penalize either model for equivalent primitive-type spellings or equivalent multiplicity literals.
5. Overall judgment: the two diagrams are close enough in semantic coverage and quality that the meaningful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</si>
  <si>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</si>
  <si>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each requirement element and will score them criterion by criterion, with concrete UML evidence from each model.
```result
Scores:
1. Class and attribute coverage: Model 1 = 5, Model 2 = 5; Evidence: Model 1 defines Provider(name, location), Cruise(number, name, startDate, endDate), Employee(name, socialSecurityNumber), Guest(name, isVip), Ship(name, numberOfDecks, length, numberOfPassengers), Booking(bookingNumber, bookingDate), DestinationArea(name, seaName), Show(title, duration), and Ticket(ticketNumber). Model 2 defines the same class set with the same core attributes, so both cover the required entities well.
2. Provider/Cruise/Booking/TravelAgency/Destination/Ship structure: Model 1 = 4, Model 2 = 2; Evidence: Model 1 has `Cruise --&gt; "1" Provider`, `Booking --&gt; "1" Cruise`, `Booking --&gt; "1" TravelAgency`, `Cruise --&gt; "1" DestinationArea`, and `Cruise --&gt; "1" Ship`, which matches the required organizing, booking, destination, and ship relations. Model 2 has `Provider "1" -- "0..*" Cruise`, `TravelAgency "1" -- "0..*" Booking`, `Cruise "1" -- "1" Ship`, and `Cruise "1" -- "1" DestinationArea`, but it does not connect Booking to Cruise and instead uses `Booking "1" -- "1" Ticket`, which is not the stated requirement.
3. Guest participation and ticket rules: Model 1 = 3, Model 2 = 1; Evidence: Model 1 links `Cruise --&gt; "*" Guest` / `Guest --&gt; "*" Cruise`, and `Ticket --&gt; "1" Cruise` / `Ticket --&gt; "1" Guest`, so each ticket is tied to one cruise and one guest, though the “only one ticket per cruise per guest” constraint is still not fully expressed. Model 2 links `Cruise "1" -- "0..*" Guest`, `Guest "0..*" -- "0..*" Cruise`, and `Guest "0..*" -- "0..*" Ticket`, which is weaker for ticket ownership and still does not capture the per-cruise uniqueness constraint.
4. Employee, ship, destination, and show coverage: Model 1 = 5, Model 2 = 5; Evidence: both diagrams include Cruise-to-Employee, Cruise-to-Ship, Cruise-to-DestinationArea, and Cruise-to-Show associations, matching the requirement that a cruise requires many employees, uses a ship, heads for a destination area, and offers several shows.
5. Strictness and unsupported additions: Model 1 = 3, Model 2 = 1; Evidence: Model 1 adds `Booking --&gt; "1" Guest`, which is not stated, but it still keeps the required booking-to-cruise and booking-to-agency structure. Model 2 adds `Booking "1" -- "1" Ticket` and omits Cruise-Booking entirely, which is a larger semantic drift from the requirement.
Total: Model 1 = 20, Model 2 = 14
Choice: A
Reason:
1. Model 1 is better on the booking structure because it models `Booking --&gt; Cruise` and `Booking --&gt; TravelAgency`, while Model 2 incorrectly replaces the cruise link with `Booking -- Ticket`.
2. Both models cover the main domain classes and most attributes, but Model 1 preserves the required cruise-centric structure more faithfully.
3. Rejected or checked issues: I did not penalize either model for `int` vs `Integer`, `*` vs `0..*`, opposite-direction associations, or visibility markers/comments, since those are forbidden or semantically equivalent here.
4. Overall judgment: Model 1 is the closer fit to the requirement because its association graph matches the cruise/booking agency flow better, while Model 2 introduces a wrong booking-ticket relation and drops the required booking-cruise relation.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</si>
  <si>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</si>
  <si>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the core booking flow together with `Booking --&gt; Cruise` and `Booking --&gt; TravelAgency`, while `Cruise`, `Guest`, `Ship`, `Provider`, `DestinationArea`, and `Show` each have direct, domain-specific links. Model 2 instead couples `Booking` to `Ticket` (`Booking "1" -- "1" Ticket`) and has no `Booking`-to-`Cruise` association, which weakens responsibility separation.
2. Complexity: Model 1 = 3, Model 2 = 3; Evidence: both diagrams have the same 10 classes (`Provider`, `Cruise`, `Employee`, `Guest`, `Ship`, `TravelAgency`, `Booking`, `DestinationArea`, `Show`, `Ticket`) and no inheritance hierarchy. Both also use a similar number of associations, so structural complexity is essentially the same.
3. Practicability: Model 1 = 4, Model 2 = 2; Evidence: Model 1 models the key runtime relationships needed to implement the requirement, including `Cruise --&gt; Provider`, `Booking --&gt; Cruise`, `Booking --&gt; TravelAgency`, `Ticket --&gt; Cruise`, and `Ticket --&gt; Guest`. Model 2 is less practical because it omits the `Booking`-to-`Cruise` relation and instead introduces `Booking -- Ticket`, which does not match the stated booking flow as well.
Total: Model 1 = 11, Model 2 = 7
Choice: A
Reason:
1. Cohesion and decoupling: Model 1 places booking concerns around `Booking` with `Cruise` and `TravelAgency`, while Model 2 couples `Booking` to `Ticket` and leaves the cruise booking link implicit, making the design less clean.
2. Complexity: Both models are similarly sized and shallow, so neither gains a meaningful advantage here.
3. Practicability: Model 1 better supports implementation and testing of the stated domain because the main business links are explicit; Model 2 is missing a crucial cruise-booking connection.
4. Rejected or checked issues: I did not score differences in `int` vs `String`, `boolean` vs `Boolean`, `*` vs `0..*`, or opposite-direction association notation, because the instructions say these are semantically equivalent and must not affect scoring.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</si>
  <si>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</si>
  <si>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include the required domain classes `Provider`, `Cruise`, `Employee`, `Guest`, `Ship`, `TravelAgency`, `Booking`, `DestinationArea`, `Show`, and `Ticket`.
2. Associations/Multiplicities between classes for domain reasoning: Model 1 = 4, Model 2 = 2; Evidence: Model 1 captures the main links with `Cruise` to `Provider`, `Employee`, `Guest`, `Ship`, `DestinationArea`, `Booking`, `Show`, and `Ticket` using mostly correct cardinalities, though it also adds `Booking -- Guest`; Model 2 gets some basics right (`Provider -- Cruise`, `Cruise -- Employee`, `Cruise -- Guest`, `TravelAgency -- Booking`, `Cruise -- Ticket`) but wrongly constrains `Cruise -- Ship` and `Cruise -- DestinationArea` as `1..1`, replaces booking-to-cruise with `Booking -- Ticket`, and makes `Guest -- Ticket` many-to-many.
3. Model attributes with appropriate data types: Model 1 = 5, Model 2 = 4; Evidence: Model 1 uses aligned types such as `Cruise.number: int`, `startDate/endDate: Date`, `Guest.isVip: boolean`, and `Ship.length: double`; Model 2 is mostly aligned but uses `Cruise.number: String`, `Booking.bookingNumber: String`, and `Ticket.ticketNumber: String` where numeric identifiers are expected.
4. Consistencies of Terminology with given context: Model 1 = 5, Model 2 = 5; Evidence: both preserve the domain terms directly with `Provider`, `Cruise`, `Guest`, `Ship`, `TravelAgency`, `Booking`, `DestinationArea`, `Show`, and `Ticket`, plus matching attributes like `socialSecurityNumber`, `seaName`, and `bookingDate`.
5. Adherence of UML class diagram standards: Model 1 = 5, Model 2 = 5; Evidence: both are valid PlantUML class diagrams with classes, attributes, and associations; Model 1’s paired opposite associations and inline comments remain semantically valid, and Model 2’s notation is also standard.
Total: Model 1 = 24, Model 2 = 21
Choice: A
Reason:
1. Associations/multiplicities: Model 1 keeps the key domain links in the right shape, especially allowing `Ship` and `DestinationArea` to be reused across cruises, while Model 2 incorrectly makes both one-to-one and invents a `Booking -- Ticket` relationship instead of connecting bookings to cruises.
2. Attributes: Model 1’s identifier and status fields are typed more naturally for the requirement, while Model 2 repeatedly uses `String` for values described as numbers.
3. Rejected or checked issues: I did not penalize Model 1 for opposite-direction duplicate associations or comments, since those are semantically equivalent/ignored by the rules; I also did not use primitive-type spelling differences as evidence. Both models also stop short of fully enforcing the “one ticket per cruise per guest” rule, and I did not treat that as decisive.
4. Overall judgment: Model 1 is materially closer to the requirement on the relationships that carry the domain meaning, so it is the better answer.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</si>
  <si>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</si>
  <si>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Provider-cruise organization: Model 1 = 3, Model 2 = 5; Evidence: Model 1 has `Cruise "1" -- "1" Provider`, which forces each provider to only one cruise. Model 2 has `Provider "1" -- "0..*" Cruise`, which fits “a cruise is organized by a specific provider” and allows a provider to organize multiple cruises.
2. Core cruise participants/resources: Model 1 = 4, Model 2 = 3; Evidence: Model 1 has `Cruise "*" -- "*" Employee`, `Cruise "*" -- "*" Guest`, `Cruise "*" -- "1" Ship`, `Cruise "*" -- "1" DestinationArea`, and `Cruise "1" -- "*" Show`. Model 2 has `Cruise "1" -- "0..*" Employee`, `Cruise "1" -- "0..*" Guest`, `Cruise "1" -- "1" Ship`, `Cruise "1" -- "1" DestinationArea`, and `Cruise "1" -- "0..*" Show`. Model 1 better captures guest cruise reuse and ship reuse; Model 2 is more restrictive on guests and ships.
3. Booking and travel agency: Model 1 = 4, Model 2 = 1; Evidence: Model 1 includes `Booking "*" -- "1" TravelAgency` and `Booking "*" -- "1" Cruise`, which covers bookings through a travel agency for cruises, though it also adds `Booking "*" -- "1" Guest` as extra. Model 2 has `TravelAgency "1" -- "0..*" Booking` but replaces the cruise link with `Booking "1" -- "1" Ticket`, so it misses the required booking-to-cruise relationship and introduces an unsupported ticket relation.
4. Ticket and guest constraints: Model 1 = 4, Model 2 = 2; Evidence: Model 1 has `Ticket "*" -- "1" Cruise` and `Ticket "*" -- "1" Guest`, so each ticket is tied to exactly one cruise and one guest. Model 2 has `Cruise "1" -- "0..*" Ticket` and `Guest "0..*" -- "0..*" Ticket`, which leaves ticket ownership looser and allows sharing tickets across guests. Neither model fully captures “only one ticket per cruise” for a guest, but Model 1 is closer.
Total: Model 1 = 15, Model 2 = 11
Choice: A
Reason:
1. Provider-cruise organization: Model 2 is better on the provider multiplicity, but Model 1 is too restrictive because it makes each provider one-cruise only.
2. Core cruise participants/resources: Model 1 is stronger overall because it preserves many-to-many guest participation and ship reuse across cruises, while Model 2 over-restricts guests and ships to one cruise each.
3. Rejected or checked issues: I did not use association direction as a penalty, and I did not penalize primitive-type spelling differences like `int` vs `Integer`. I also did not score against the missing ternary “one ticket per guest per cruise” constraint as a separate notation failure, since neither diagram models that directly.
4. Overall judgment: Model 1 covers more of the required cruise booking and ticket structure, while Model 2 gets the provider cardinality right but misses the booking-to-cruise relationship and adds an unsupported booking-to-ticket link. Model 1 is the better overall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</si>
  <si>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</si>
  <si>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the core concepts linked in a more direct way with `Booking -- Cruise`, `Ticket -- Cruise`, `Ticket -- Guest`, and reusable `Cruise -- Ship` / `Cruise -- DestinationArea` associations. Model 2 adds a weaker `Booking -- Ticket` link, plus `Guest -- Ticket` and `Guest -- Cruise` many-to-many links, and it also makes `Cruise -- Ship` and `Cruise -- DestinationArea` one-to-one, which over-couples cruises to a single ship and destination.
2. Complexity: Model 1 = 4, Model 2 = 3; Evidence: Both models have the same 10 classes and no inheritance, so base complexity is similar. Model 1’s relationship graph is simpler and more domain-direct, while Model 2 introduces extra links (`Booking -- Ticket`, `Guest -- Ticket`, `Guest -- Cruise`) that make the model denser and harder to reason about.
3. Practicability: Model 1 = 4, Model 2 = 2; Evidence: Model 1 supports the main workflow cleanly: provider organizes cruise, agency books cruise, tickets belong to a cruise and guest, and ships/destinations can be reused across cruises. Model 2 is less practical because booking is tied to a ticket instead of a cruise, and ticket ownership becomes many-to-many with guests, so the booking/ticket/cruise flow is harder to test and implement against the requirement.
Total: Model 1 = 12, Model 2 = 7
Choice: A
Reason:
1. Cohesion and Decoupling: Model 1 separates the domain responsibilities more cleanly; Model 2 adds extra cross-links and a `Booking -- Ticket` dependency that is not required.
2. Complexity: Both are similar in class count, but Model 1 has a simpler association structure; Model 2 is more tangled.
3. Practicability: Model 1 is more directly usable for implementation and testing because it preserves the cruise-booking-ticket relationships more clearly.
4. Rejected or checked issues: I did not use forbidden or non-domain differences such as `*` vs `0..*`, primitive type spelling (`Integer` vs `int`), or line/association style when judging the result.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</si>
  <si>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</si>
  <si>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full required set of domain classes: `Provider`, `Cruise`, `Employee`, `Guest`, `Ship`, `TravelAgency`, `Booking`, `DestinationArea`, `Show`, and `Ticket`.
2. Associations/Multiplicities between classes for domain reasoning: Model 1 = 4, Model 2 = 3; Evidence: Model 1 correctly models `Cruise -- Guest`, `Cruise -- Employee`, `Cruise -- Ship`, `Cruise -- DestinationArea`, `Cruise -- Show`, `Booking -- TravelAgency`, `Booking -- Cruise`, `Ticket -- Cruise`, and `Ticket -- Guest`, but it wrongly makes `Cruise -- Provider` 1-to-1. Model 2 gets `Provider -- Cruise` as 1-to-many, but it wrongly makes `Cruise -- DestinationArea` 1-to-1, `Guest -- Ticket` many-to-many, and adds `Booking -- Ticket` 1-to-1, which is not stated in the requirement.
3. Model attributes with appropriate data types: Model 1 = 5, Model 2 = 4; Evidence: Model 1 uses `Show.duration : Duration`, which matches the requirement better, and otherwise models the required strings/booleans/integers/dates appropriately. Model 2 uses `Show.duration : Integer`, which is a weaker fit for a duration, though its other attributes are mostly aligned.
4. Consistencies of Terminology with given context: Model 1 = 5, Model 2 = 5; Evidence: both use the core domain terminology consistently, including `Cruise`, `Guest`, `Ship`, `TravelAgency`, `DestinationArea`, `Show`, `Booking`, and `Ticket`. Model 1’s `passengerCapacity` and Model 2’s `numberOfPassengers` are transparent variants of the same concept, not term violations.
5. Adherence of UML class diagram standards: Model 1 = 5, Model 2 = 5; Evidence: both are valid PlantUML class diagrams with standard class declarations and associations, and neither has syntax-breaking UML notation.
Total: Model 1 = 24, Model 2 = 22
Choice: A
Reason:
1. Associations/multiplicities: Model 1 has one major multiplicity error on `Cruise -- Provider`, but Model 2 has several stronger domain-structure errors, especially `Guest -- Ticket`, `Cruise -- DestinationArea`, and `Booking -- Ticket`.
2. Attributes: Model 1 models `Show.duration` with a duration type, while Model 2 weakens it to `Integer`.
3. Rejected or checked issues: I did not use association direction/style differences, visibility markers, or extra but reasonable refinements like `passengerCapacity` vs `numberOfPassengers` as decisive penalties.
4. Overall judgment: both diagrams cover the core classes, but Model 1 is more faithful to the required relationships and slightly better on attribute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</si>
  <si>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</si>
  <si>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 and attribute coverage: Model 1 = 4, Model 2 = 4; Evidence: both include the required main classes `Provider`, `Cruise`, `Employee`, `Guest`, `Ship`, `TravelAgency`, `Booking`, `DestinationArea`, `Show`, and `Ticket`, and both capture the core attributes such as `Provider(name, location)`, `Cruise(number, name, startDate, endDate)`, `Guest(name, isVIP/isVip)`, `Ship(name, numberOfDecks, length, passengerCapacity/numberOfPassengers)`, `Booking(bookingNumber, bookingDate)`, and `Show(title, duration)`.
2. Relationship cardinalities and participation: Model 1 = 2, Model 2 = 4; Evidence: Model 1 uses `Cruise "1" -- "1" Provider`, which incorrectly makes provider-to-cruise one-to-one, while Model 2 models `Cruise` with `Provider` as one provider to many cruises. Model 1 also has `Cruise "*" -- "*" Employee`, which does not enforce that a cruise requires at least one employee, while Model 2 uses `Cruise ... "1..*" Employee`, which is closer to “requires many employees.” Both models correctly include cruise-ship, cruise-destination, booking-agency, and ticket-cruise links, but both still fail to express the “one ticket per cruise per guest” rule.
3. Business-rule fidelity and unsupported additions: Model 1 = 2, Model 2 = 3; Evidence: both models add a `Booking`-to-`Guest` association (`Booking "*" -- "1" Guest` in Model 1 and `Booking ... Guest` in Model 2) that is not stated in the requirement. Both also omit the uniqueness constraint that a guest may have only one ticket per cruise. Model 1 is further weakened by the incorrect `Provider` one-to-one link; Model 2 avoids that specific contradiction.
4. Attribute/domain-term alignment: Model 1 = 4, Model 2 = 4; Evidence: Model 1’s attributes are still recognizable and aligned (`isVIP`, `passengerCapacity`, `bookingNumber`), and Model 2 uses equally recognizable variants (`isVip`, `numberOfPassengers`, `ticketNumber`). Both stay close enough to the domain wording to count as semantically aligned.
Total: Model 1 = 12, Model 2 = 15
Choice: B
Reason:
1. Relationship cardinalities and participation: Model 2 is better because it captures the provider-to-cruise and cruise-to-employee multiplicities more faithfully than Model 1.
2. Business-rule fidelity: both have the same unsupported `Booking`-`Guest` link and both miss the ticket-per-cruise-per-guest constraint, but Model 1 also hardcodes an incorrect 1:1 provider relation.
3. Rejected or checked issues: I did not use unidirectional vs bidirectional association rendering, trailing comments, or primitive type spelling differences as negative evidence, per the instructions.
4. Overall judgment: Model 2 is the better diagram because it matches the requirement’s core multiplicities more closely, especially for provider and employee involvement, while sharing the same main remaining gap on ticket uniqueness.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</si>
  <si>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</si>
  <si>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one class per concept (`Provider`, `Cruise`, `Employee`, etc.), but its core relations are less well balanced, e.g. `Cruise "1" -- "1" Provider` makes the provider side artificially one-to-one, and `Cruise "*" -- "*" Employee` does not reflect a cruise requiring multiple employees. Model 2 uses `Cruise --&gt; "1" Provider` with `Provider --&gt; "*" Cruise` and `Cruise --&gt; "1..*" Employee`, which better matches the responsibilities and dependency direction. Both add the same extra `Booking`-`Guest` link, so neither is perfectly minimal.
2. Complexity: Model 1 = 4, Model 2 = 4; Evidence: Both diagrams define the same 10 domain classes and have no inheritance tree or methods. Model 2 has more association statements, but its opposite-direction lines are semantically equivalent to Model 1's single association lines under the rules, so this does not materially change conceptual complexity.
3. Practicability: Model 1 = 3, Model 2 = 4; Evidence: Model 2 is more practical because it captures the main business cardinalities more faithfully, especially `Cruise --&gt; "1..*" Employee` and `Provider --&gt; "*" Cruise`, while Model 1 over-constrains `Provider` to exactly one cruise and leaves employee participation looser. Both models still omit the ticket-per-guest-per-cruise uniqueness constraint and both include the extra `Booking`-`Guest` association, so Model 2 is only modestly better, not perfect.
Total: Model 1 = 10, Model 2 = 12
Choice: B
Reason:
1. Cohesion and Decoupling: Model 2 aligns the provider and employee relationships better with the domain, while Model 1's one-to-one provider link is unnecessarily restrictive.
2. Complexity: The diagrams are effectively tied on structural complexity because they use the same class set and no inheritance; Model 2's duplicated association direction is not a complexity penalty.
3. Rejected or checked issues: I did not treat Model 2's duplicated opposite-direction associations or its lowercase primitive aliases as negatives, because the rules say those are semantically equivalent / not penalizable.
4. Overall judgment: Model 2 is better because it matches the key cardinalities more closely while keeping the same basic class structure and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</si>
  <si>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</si>
  <si>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core domain classes `Provider`, `Cruise`, `Employee`, `Guest`, `Ship`, `TravelAgency`, `Booking`, `DestinationArea`, `Show`, and `Ticket`, which match the requirement closely.
2. Associations/Multiplicities between classes for domain reasoning: Model 1 = 4, Model 2 = 4; Evidence: both model the key links such as cruise-provider, cruise-employee, cruise-guest, cruise-ship, cruise-destination area, cruise-show, booking-travel agency, booking-cruise, and ticket-cruise/guest. Both also miss the explicit `only one ticket per cruise per guest` constraint, so the domain reasoning is strong but not complete.
3. Model attributes with appropriate data types: Model 1 = 5, Model 2 = 4; Evidence: Model 1 uses `startDate : Date`, `endDate : Date`, `isVIP : Boolean`, and `duration : Duration`, which are very appropriate, while Model 2 uses `duration: double` and `numberOfPassengers: int`, which are acceptable but a bit less semantically precise for show duration.
4. Consistencies of Terminology with given context: Model 1 = 5, Model 2 = 4; Evidence: Model 1 uses labels like `organizedBy`, `requires`, `participates`, `bookedThrough`, `issuedFor`, and `issuedTo`, which closely mirror the requirement wording. Model 2 uses `employs`, `hosts`, `managedBy`, and `ownedBy`, which are understandable but less directly aligned with the given context.
5. Adherence of UML class diagram standards: Model 1 = 5, Model 2 = 5; Evidence: both are valid PlantUML class diagrams with correct class/attribute/association structure. Model 2’s opposite-direction association pairs are semantically equivalent and acceptable, and comments are ignored as instructed.
Total: Model 1 = 23, Model 2 = 22
Choice: A
Reason:
1. Appropriate conceptual classes aligned with the domain: both models identify the same required domain classes, so neither gains an advantage here.
2. Associations/Multiplicities: both models capture the essential cruise, booking, ticket, guest, ship, provider, destination, and show relationships, but both still fail to encode the per-guest/per-cruise ticket uniqueness constraint.
3. Model attributes with appropriate data types: Model 1 is slightly better because it uses `Duration` for show length, while Model 2 flattens that to `double`.
4. Terminology: Model 1 is more faithful to the requirement wording, especially `requires`, `participates`, `bookedThrough`, and `issuedTo`; Model 2’s `managedBy` and `ownedBy` are weaker matches.
5. Rejected or checked issues: I did not penalize Model 2 for using opposite-direction associations or either model for primitive type aliases, per the instructions.
6. Overall judgment: Model 1 is marginally stronger on attribute semantics and terminology, so it wins by a small but clear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</si>
  <si>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</si>
  <si>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each requirement slice separately, with special attention to the booking/ticket relationships and to avoiding penalties for equivalent UML syntax.
I’ve isolated the main semantic gaps: Model 1 is weakest on ship reuse, booking linkage, and ticket ownership; Model 2 is much closer overall but adds an unsupported guest link on booking. I’m now scoring each requirement slice explicitly.
```result
Scores:
1. Core provider/cruise identity: Model 1 = 5, Model 2 = 5; Evidence: Model 1 has `Provider(name, location)`, `Cruise(number, name, startDate, endDate)`, and `Provider "1" -- "0..*" Cruise`. Model 2 has the same classes and an equivalent `Cruise --&gt; "1" Provider` / `Provider --&gt; "*" Cruise` relation.
2. Employees and guest participation: Model 1 = 3, Model 2 = 4; Evidence: Model 1 has `Employee(name, socialSecurityNumber)` and `Cruise "1" -- "0..*" Employee`, plus `Guest(name, isVIP)` with `Cruise "1" -- "0..*" Guest` and `Guest "0..*" -- "0..*" Cruise`. Model 2 has the same classes, but `Cruise --&gt; "1..*" Employee` better matches “requires many employees”; its guest/cruise links are still many-to-many.
3. Ship reuse and destination area: Model 1 = 2, Model 2 = 5; Evidence: Model 1 defines `Ship(name, numberOfDecks, length, numberOfPassengers)` but uses `Cruise "1" -- "1" Ship`, which blocks a ship being used for different cruises, and `Cruise "1" -- "1" DestinationArea`, which over-restricts destination reuse. Model 2 has the same ship attributes but `Cruise --&gt; "1" Ship` / `Ship --&gt; "*"` Cruise and `Cruise --&gt; "1" DestinationArea` / `DestinationArea --&gt; "*" Cruise`, which matches the requirement much better.
4. Booking and travel agency: Model 1 = 1, Model 2 = 4; Evidence: Model 1 has `TravelAgency(name, address)` and `Booking(bookingNumber, bookingDate)`, but only `TravelAgency "1" -- "0..*" Booking` and an extra `Booking "1" -- "1" Ticket`, so booking is not actually tied to a cruise. Model 2 has `Booking(bookingNumber, bookingDate)`, `Booking --&gt; "1" Cruise`, and `Booking --&gt; "1" TravelAgency`, which matches the requirement, though `Booking --&gt; "1" Guest` is an unsupported extra.
5. Shows offered on a cruise: Model 1 = 4, Model 2 = 4; Evidence: Model 1 has `Show(title, duration)` and `Cruise "1" -- "0..*" Show`. Model 2 has the same show attributes and `Cruise --&gt; "*"` Show / `Show --&gt; "*"` Cruise, which is semantically fine but still leaves “several” slightly under-specified in both.
6. Tickets and per-cruise ownership: Model 1 = 2, Model 2 = 4; Evidence: Model 1 has `Ticket(ticketNumber)` and `Cruise "1" -- "0..*" Ticket`, which correctly gives each ticket one cruise, but `Guest "0..*" -- "0..*" Ticket` makes tickets shareable across guests and does not express one ticket per cruise per guest. Model 2 has `Ticket(ticketNumber)`, `Ticket --&gt; "1" Cruise`, `Ticket --&gt; "1" Guest`, and `Guest --&gt; "*" Ticket`, which is closer to “a guest can have any number of tickets,” but it still cannot fully encode the one-ticket-per-cruise-per-guest constraint.
Total: Model 1 = 17, Model 2 = 26
Choice: B
Reason:
1. Ship and destination semantics: Model 2 correctly allows a ship to serve multiple cruises and a destination area to be reused, while Model 1 incorrectly forces one-to-one ship/cruise and destination/cruise pairing.
2. Booking semantics: Model 2 connects booking directly to both cruise and travel agency; Model 1 routes booking through ticket, which is not what the requirement says.
3. Ticket semantics: Model 2 is closer because each ticket belongs to exactly one cruise and one guest; Model 1 allows a ticket to be associated with multiple guests.
4. Rejected or checked issues: I did not penalize Model 2 for opposite-direction associations or its extra primitive-type choices, and I did not use the unsupported `Booking -&gt; Guest` link as a sole deciding factor because the overall cruise/booking structure is still much closer than Model 1.
5. Overall judgment: Model 2 matches more of the required business structure and introduces fewer contradictions,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</si>
  <si>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</si>
  <si>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links `Booking` to `Ticket` (`Booking "1" -- "1" Ticket`) instead of to the cruise/agency context, which mixes concerns. Model 2 links `Booking` to `Cruise` and `TravelAgency` (`Booking --&gt; "1" Cruise`, `Booking --&gt; "1" TravelAgency`) and is therefore more coherent, though `Booking --&gt; "1" Guest` adds some extra coupling.
2. Complexity: Model 1 = 3, Model 2 = 3; Evidence: Both models have the same core class set and no inheritance. Model 1 has `Provider`, `Cruise`, `Employee`, `Guest`, `Ship`, `TravelAgency`, `Booking`, `DestinationArea`, `Show`, `Ticket`; Model 2 has the same. After ignoring equivalent opposite-direction association styling, their relationship counts are broadly comparable, so neither is materially simpler.
3. Practicability: Model 1 = 2, Model 2 = 4; Evidence: Model 2 models the booking flow more realistically with `Booking` tied to `Cruise` and `TravelAgency`, which is easier to implement and test. Model 1’s `Booking -- Ticket` makes booking behavior awkward and less usable. Both models still omit the stronger ticket constraint that a guest may have only one ticket per cruise.
Total: Model 1 = 7, Model 2 = 11
Choice: B
Reason:
1. Cohesion and Decoupling: Model 2 keeps booking-related facts together around `Booking`, `Cruise`, and `TravelAgency`, while Model 1 attaches `Booking` to `Ticket`, which is a weaker and less coherent domain grouping.
2. Complexity: They are effectively tied in structural complexity: same classes, no inheritance, and similar association breadth once equivalent opposite-direction lines are treated as semantically identical.
3. Rejected or checked issues: I did not penalize Model 2 for using opposite-direction associations or lowercase primitive spellings, because those are explicitly forbidden as negative evidence.
4. Overall judgment: Model 2 is better because it captures the booking domain more faithfully and is more practical to implement, even though it adds one unsupported `Booking`-to-`Guest`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</si>
  <si>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</si>
  <si>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define the required core classes `Provider`, `Cruise`, `Employee`, `Guest`, `Ship`, `TravelAgency`, `Booking`, `DestinationArea`, `Show`, and `Ticket`, and both attach the expected domain attributes such as `name`, `location`, `number`, `startDate`, `endDate`, `socialSecurityNumber`, `isVIP/isVip`, and `bookingDate`.
2. Associations/Multiplicities between classes for domain reasoning: Model 1 = 3, Model 2 = 4; Evidence: Model 1 gets some basics right with `Provider "1" -- "0..*" Cruise`, `Cruise "1" -- "0..*" Employee`, `Cruise "1" -- "0..*" Guest`, and `Cruise "1" -- "0..*" Show`, but it wrongly makes ships one-to-one with cruises via `Cruise "1" -- "1" Ship` and adds an unsupported `Booking "1" -- "1" Ticket`; Model 2 correctly models reuse and booking flow with `Ship --&gt; "*" Cruise`, `Booking --&gt; "1" Cruise`, `Booking --&gt; "1" TravelAgency`, `Ticket --&gt; "1" Cruise`, and `Cruise --&gt; "1" DestinationArea`, though it adds an extra `Booking --&gt; "1" Guest` relation that is not stated in the requirement.
3. Model attributes with appropriate data types: Model 1 = 5, Model 2 = 5; Evidence: Model 1 uses sensible types like `String`, `Date`, `Integer`, `Double`, and `Boolean` for the required attributes, and Model 2 uses equally acceptable aliases like `int`, `double`, and `boolean` for the same kinds of fields; neither model mis-types the required domain attributes in a way that affects the diagram semantics.
4. Consistencies of Terminology with given context: Model 1 = 5, Model 2 = 5; Evidence: both stay close to the wording of the prompt, using `Provider`, `Cruise`, `Guest`, `Ship`, `TravelAgency`, `Booking`, `DestinationArea`, `Show`, and `Ticket`; Model 2’s relation labels such as `organizedBy`, `headsFor`, `offers`, and `issuedFor` also remain aligned with the cruise domain.
5. Adherence of UML class diagram standards: Model 1 = 5, Model 2 = 5; Evidence: both are valid PlantUML class diagrams with standard class declarations, attributes, and associations; neither has syntax that makes the diagram unreadable or invalid under UML/PlantUML conventions.
Total: Model 1 = 23, Model 2 = 24
Choice: B
Reason:
1. Associations/multiplicities: Model 2 is stronger because it captures key business relationships that Model 1 misses or gets wrong, especially ship reuse across cruises and the booking-to-cruise link.
2. Conceptual classes / attributes / terminology / UML: these are effectively tied; both cover the required classes and attributes well and both are syntactically valid.
3. Rejected or checked issues: I did not penalize either model for using `int`/`double`/`boolean` instead of capitalized wrapper types, and I did not treat opposite-direction association lines as inherently worse.
4. Overall judgment: Model 2 is better because its domain reasoning is closer to the requirement, even though it adds one unsupported `Booking -&gt; Guest` relation.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</si>
  <si>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</si>
  <si>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classes and attributes: Model 1 = 5, Model 2 = 4; Evidence: both include the required classes `Provider`, `Cruise`, `Employee`, `Guest`, `Ship`, `TravelAgency`, `Booking`, `DestinationArea`, `Show`, and `Ticket`. Model 1 matches `Ship` with `numberOfPassengers` and `Show` with a simple `duration`; Model 2 uses `passengerCapacity` and `Duration`, which are close but less exact to the wording.
2. Provider and cruise association: Model 1 = 5, Model 2 = 2; Evidence: Model 1 has `Provider "1" -- "0..*" Cruise`, which fits one provider organizing many cruises. Model 2 has `Cruise "1" -- "1" Provider`, which incorrectly restricts each provider to exactly one cruise.
3. Ship and destination area associations: Model 1 = 1, Model 2 = 5; Evidence: Model 1 uses `Cruise "1" -- "1" Ship` and `Cruise "1" -- "1" DestinationArea`, which wrongly make ship and destination area one-to-one with cruise. Model 2 uses `Cruise "*" -- "1" Ship` and `Cruise "*" -- "1" DestinationArea`, which correctly allows reuse across cruises.
4. Employees and guest participation: Model 1 = 2, Model 2 = 4; Evidence: Model 1 has `Cruise "1" -- "0..*" Employee` and `Cruise "1" -- "0..*" Guest`, but also a separate `Guest "0..*" -- "0..*" Cruise`, which makes the guest-cruise relation redundant and weaker. Model 2 has `Cruise "*" -- "*" Employee` and `Cruise "*" -- "*" Guest`; the employee side is broader than required, but the guest participation matches the requirement better.
5. Booking and travel agency: Model 1 = 1, Model 2 = 4; Evidence: Model 1 has `TravelAgency "1" -- "0..*" Booking`, but then connects `Booking "1" -- "1" Ticket` instead of linking booking to cruise, so the booking concept is not tied to the cruise. Model 2 has `Booking "*" -- "1" TravelAgency` and `Booking "*" -- "1" Cruise`, which directly models booking through an agency for a cruise, though `Booking "*" -- "1" Guest` is extra.
6. Shows and tickets: Model 1 = 2, Model 2 = 4; Evidence: Model 1 has `Cruise "1" -- "0..*" Show` and `Cruise "1" -- "0..*" Ticket`, but `Guest "0..*" -- "0..*" Ticket` allows ticket sharing and does not capture one ticket holder per ticket. Model 2 has `Cruise "*" -- "*" Show`, `Ticket "*" -- "1" Cruise`, and `Ticket "*" -- "1" Guest`, which is closer to the ticket rules and guest ownership.
Total: Model 1 = 16, Model 2 = 23
Choice: B
Reason:
1. Core classes and attributes: both cover the main nouns, but Model 1 is slightly closer on naming fidelity.
2. Provider/ship/destination structure: Model 1 is correct for provider-to-cruise, but Model 2 is much better for ship reuse and destination-area reuse.
3. Employees, guests, booking, and tickets: Model 2 models the key cruise-booking and ticket relationships more directly, while Model 1 leaves booking disconnected from cruise and weakens ticket ownership.
4. Rejected or checked issues: I did not use association direction style, primitive type spellings, or comments as scoring factors. I also did not treat Model 2’s `passengerCapacity` or `Duration` as decisive penalties.
5. Overall judgment: Model 2 aligns better with the requirement’s business relationships, especially ship reuse, destination reuse, booking, and ticket ownership, despite a few extra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</si>
  <si>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</si>
  <si>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ties `Booking` directly to `Ticket` with `Booking "1" -- "1" Ticket`, so the booking concept is coupled to ticket issuance instead of the cruise/agency flow; Model 2 keeps `Booking` attached to the domain actors it relates to with `Booking "*" -- "1" TravelAgency bookedThrough`, `Booking "*" -- "1" Cruise books`, and `Booking "*" -- "1" Guest bookedBy`, which is clearer and more modular.
2. Complexity: Model 1 = 3, Model 2 = 3; Evidence: Both diagrams have the same core size (`Provider`, `Cruise`, `Employee`, `Guest`, `Ship`, `TravelAgency`, `Booking`, `DestinationArea`, `Show`, `Ticket`) and no inheritance tree, so neither is materially more complex by the stated metrics.
3. Practicability: Model 1 = 2, Model 2 = 4; Evidence: Model 1 is harder to use for implementation/testing because `Booking "1" -- "1" Ticket` does not represent the required cruise booking workflow, and `Guest 0..* -- 0..* Ticket` leaves ticket ownership very loose; Model 2 is easier to read and map to code because it explicitly shows `Cruise "* -- 1 Ship"`, `Cruise "* -- 1 DestinationArea"`, `Booking "*" -- 1 Cruise`, `Booking "*" -- 1 TravelAgency`, and `Ticket "*" -- 1 Cruise` / `Ticket "*" -- 1 Guest`, even though it still does not enforce the one-ticket-per-cruise rule.
Total: Model 1 = 7, Model 2 = 11
Choice: B
Reason:
1. Cohesion and Decoupling: Model 2 keeps the booking concept linked to cruise, agency, and guest in a way that matches the domain; Model 1 incorrectly centers booking around `Ticket`, which makes the design less cohesive around the stated requirements.
2. Complexity: They are effectively equal on the stated complexity metrics, since both use the same set of classes and no inheritance.
3. Practicability: Model 2 is more directly implementable and testable because its associations tell a clearer story of cruise, booking, ticket, and guest interactions; Model 1 leaves the booking structure less practical for real-world use.
4. Rejected or checked issues: I did not use forbidden factors such as `*` vs `0..*`, primitive type aliases, or bidirectional-vs-opposite association style as negative evidence. Both models also miss the precise "only one ticket per cruise" constraint, but Model 2 is still closer overall.
5. Overall judgment: Model 2 better matches the requirement’s business relationships and is the more practical UML design, so it wins despite both diagrams having some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</si>
  <si>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</si>
  <si>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include the full set of core domain classes from the prompt, including `Provider`, `Cruise`, `Employee`, `Guest`, `Ship`, `TravelAgency`, `Booking`, `DestinationArea`, `Show`, and `Ticket`.
2. Associations/Multiplicities between classes for domain reasoning: Model 1 = 2, Model 2 = 4; Evidence: Model 1 gets some basics right with `Provider "1" -- "0..*" Cruise` and `Cruise "1" -- "0..*" Ship`, but it routes `Booking "1" -- "1" Ticket` instead of booking a cruise, and its guest/ticket/cruise links do not capture the stated booking and ticket rules well; Model 2 models `Booking -- TravelAgency`, `Booking -- Cruise`, `Ticket -- Cruise`, and `Ticket -- Guest`, but it makes provider one-to-one with cruise (`Cruise "1" -- "1" Provider`) instead of one provider serving multiple cruises.
3. Model attributes with appropriate data types: Model 1 = 4, Model 2 = 5; Evidence: Model 1 models all required attributes, but `Show.duration: Integer` is less semantically precise than Model 2’s `Show.duration : Duration`; both otherwise include the listed fields like cruise dates, guest VIP flag, ship size/passenger info, and booking date/number.
4. Consistencies of Terminology with given context: Model 1 = 4, Model 2 = 4; Evidence: Model 1 stays close to the prompt with terms like `numberOfPassengers`, `bookingDate`, and `seaName`; Model 2 is also context-aligned with labels like `organizedBy`, `bookedThrough`, `headsFor`, and `issuedFor`, though it slightly shifts wording to `passengerCapacity` and `ticketId`.
5. Adherence of UML class diagram standards: Model 1 = 5, Model 2 = 5; Evidence: both are valid PlantUML class diagrams with well-formed class declarations, attributes, associations, and multiplicities.
Total: Model 1 = 20, Model 2 = 23
Choice: B
Reason:
1. Associations/multiplicities: Model 2 captures the critical booking/ticket relationships much better, while Model 1 misplaces booking onto ticket and misses the booking-cruise structure.
2. Attributes: Model 2’s `Duration` for show length is a cleaner fit, and both cover the rest of the required attributes adequately.
3. Rejected or checked issues: I did not penalize `*` vs `0..*`, opposite association directions, or the absence of visibility markers.
4. Overall judgment: Model 1 is slightly better on provider multiplicity, but Model 2 is stronger on the overall domain relationships that matter most here, so Model 2 wins.</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</si>
  <si>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</si>
  <si>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</si>
  <si>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</si>
  <si>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segment against both diagrams separately, then I’ll score them criterion by criterion with concrete UML evidence.
```result
Scores:
1. Core house/basement storage: Model 1 = 5, Model 2 = 5; Evidence: Model 1 has `House { address, buildingMaterial }`, `Basement { name, size }`, and `House *-- "0..1" Basement`; Model 2 has the same core data with `House { address, buildingMaterial }`, `Basement { size, name }`, and `House "1" -- "0..1" Basement`.
2. Basement type hierarchy and basement-specific data: Model 1 = 5, Model 2 = 5; Evidence: Model 1 shows `Basement &lt;|-- EarthBasement` and `Basement &lt;|-- ConcreteBasement`, with `EarthBasement { humidityLevel }`; Model 2 shows the same inheritance and `EarthBasement { humidityLevel }`, with `ConcreteBasement` present as the second subtype.
3. Semi-detached house specialization and attributes: Model 1 = 5, Model 2 = 5; Evidence: Model 1 has `House &lt;|-- SemiDetachedHouse` with `hasGarden` and `windowCount`; Model 2 has `House &lt;|-- SemiDetachedHouse` with `hasOwnGarden` and `numberOfWindows`, which matches the required garden/window facts.
4. Carport/garage rule for semi-detached houses: Model 1 = 5, Model 2 = 2; Evidence: Model 1 models `SemiDetachedHouse *-- "1" ParkingFacility`, then specializes it into `CarportParking &lt;|--` and `GarageParking &lt;|--`, with `CarportParking *-- "2" Carport` and `GarageParking *-- "1" Garage`, plus the required carport/garage attributes; Model 2 uses `SemiDetachedHouse "1" -- "0..2" Carport` and `SemiDetachedHouse "1" -- "0..1" Garage`, which does not formally enforce the required either-two-carports-or-one-garage constraint in UML semantics.
5. Companies and job log: Model 1 = 4, Model 2 = 3; Evidence: Model 1 has `House "1" -- "1..*" Company : servicingCompanies` and a `Job` linked to both `House` and `Company` with `hours` and `agreedPrice`; Model 2 has `House "*" -- "*" Company`, plus `JobLog` linked to `House` and `Company` with `hours` and `price`, but the house-company multiplicity is weaker because it allows zero companies per house.
Total: Model 1 = 24, Model 2 = 20
Choice: A
Reason:
1. Carport/garage exclusivity: Model 1 is closer to the required either/or structure because it encodes one parking facility branch that is either `CarportParking` with exactly 2 carports or `GarageParking` with exactly 1 garage; Model 2 only states separate upper bounds and relies on a note, which is not formal UML constraint behavior.
2. Servicing and job logging: Model 1 better matches “each house is serviced by several companies” with `1..*` companies and explicit `Job` links to both house and company; Model 2’s `* -- *` house-company association is too weak on the required lower bound.
3. Rejected or checked issues: I did not use Model 1’s extra `jobDate` as a negative, and I did not use Model 2’s note or abstractness as decisive factors, since notes and optional abstractness are not the main semantic constraints here.
4. Overall judgment: Both diagrams cover the basic house, basement, and semi-detached-house facts well, but Model 1 is materially better on the required carport/garage constraint and the servicing-company multiplicity, so it is the better fit.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</si>
  <si>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</si>
  <si>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adds `ParkingFacility`, `CarportParking`, and `GarageParking` as extra wrapper types around `Carport`/`Garage`, and it separates servicing via both `House -- Company` and `Job`. Model 2 links `SemiDetachedHouse` directly to `Carport`/`Garage` and uses `JobLog` to connect `House` and `Company`, which is less indirection.
2. Complexity: Model 1 = 2, Model 2 = 4; Evidence: Model 1 has more modeled elements (`House`, `SemiDetachedHouse`, `Basement`, `EarthBasement`, `ConcreteBasement`, `ParkingFacility`, `CarportParking`, `GarageParking`, `Carport`, `Garage`, `Company`, `Job`, plus `BuildingMaterial`) and an extra parking hierarchy. Model 2 has fewer elements (`House`, `SemiDetachedHouse`, `Basement`, `EarthBasement`, `ConcreteBasement`, `Carport`, `Garage`, `Company`, `JobLog`, plus `BuildingMaterial`) and only the `Basement` and `House` inheritance trees.
3. Practicability: Model 1 = 3, Model 2 = 4; Evidence: Model 1 does capture company servicing with `House "1" -- "1..*" Company` and records job data in `Job`, but the extra `jobDate` field and parking wrapper classes make it less straightforward. Model 2 keeps the job-record concern in `JobLog` with `hours` and `price` tied to both `House` and `Company`, which is easier to read and test, though the separate `House "*" -- "*" Company` link is somewhat redundant.
Total: Model 1 = 8, Model 2 = 12
Choice: B
Reason:
1. Cohesion and Decoupling: Model 2 is more cohesive because it models the parking options directly with `Carport` and `Garage`, while Model 1 inserts an extra `ParkingFacility`/`CarportParking`/`GarageParking` layer.
2. Complexity: Model 2 is materially simpler, with fewer classes and less inheritance depth than Model 1.
3. Rejected or checked issues: I did not use opposite association direction, PlantUML comments/notes, primitive type spelling, equivalent multiplicity literals, or optional `abstract`-ness as negative evidence. I also ignored Model 2’s note.
4. Overall judgment: Model 2 better balances structure and clarity for this requirement, so it wins despite both diagrams having some roughness around the company/job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</si>
  <si>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</si>
  <si>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(`House`, `SemiDetachedHouse`, `Basement`, `EarthBasement`, `ConcreteBasement`, `Carport`, `Garage`, `Company`) but also adds extra scaffolding (`ParkingFacility`, `CarportParking`, `GarageParking`, `Job`). Model 2 covers the same core domain directly and uses `JobLog` instead of a generic job class, with fewer non-domain intermediaries.
2. Associations/Multiplicities between classes for domain reasoning: Model 1 = 4, Model 2 = 3; Evidence: Model 1 models optional basements with `House *-- "0..1" Basement` and the semi-detached parking choice through one specialized branch (`SemiDetachedHouse *-- "1" ParkingFacility`, then `CarportParking *-- "2" Carport` or `GarageParking *-- "1" Garage`), plus job links to both `House` and `Company`. Model 2 correctly links `House` to `Basement` and `JobLog`, but `SemiDetachedHouse "1" -- "0..2" Carport` and `SemiDetachedHouse "1" -- "0..1" Garage` can coexist, so the required either/or constraint is not actually enforced by the associations.
3. Model attributes with appropriate data types: Model 1 = 5, Model 2 = 5; Evidence: Model 1 stores the required attributes with suitable types (`address: String`, `buildingMaterial: BuildingMaterial`, `name: String`, `size: double`, `humidityLevel: double`, `hasGarden: boolean`, `windowCount: int`, `isDouble: boolean`, `hasFlatRoof: boolean`, `hasAutomaticDoor: boolean`, `hours: int`, `agreedPrice: double`). Model 2 likewise models the required data with appropriate types (`address: String`, `buildingMaterial: BuildingMaterial`, `size: float`, `name: String`, `humidityLevel: float`, `hasOwnGarden: boolean`, `numberOfWindows: int`, `isDouble: boolean`, `hasFlatRoof: boolean`, `hasAutomaticDoor: boolean`, `hours: float`, `price: float`).
4. Consistencies of Terminology with given context: Model 1 = 4, Model 2 = 5; Evidence: Model 1 mostly matches the prompt, but introduces less direct terms like `ParkingFacility`, `CarportParking`, `GarageParking`, and `Job`. Model 2 stays closer to the wording of the requirement with `SemiDetachedHouse`, `EarthBasement`, `ConcreteBasement`, `Carport`, `Garage`, `Company`, and `JobLog`, plus attribute names that closely mirror the prompt.
5. Adherence of UML class diagram standards: Model 1 = 5, Model 2 = 5; Evidence: Both are valid PlantUML class diagrams using standard class, enum, inheritance, composition, and multiplicity notation. Model 1 and Model 2 are both structurally readable and syntactically well-formed.
Total: Model 1 = 22, Model 2 = 23
Choice: B
Reason:
1. Appropriate conceptual classes aligned with the domain: Model 2 is closer because it maps the required domain entities directly, especially `JobLog`, while Model 1 introduces extra parking hierarchy classes that are not named in the requirement.
2. Associations/Multiplicities: Model 1 better captures the semi-detached-house parking alternative as a single branch, while Model 2 leaves the carport/garage requirement underconstrained because both associations can exist at once.
3. Rejected or checked issues: I did not penalize either model for opposite-direction associations, lowercase primitive aliases, or Model 2’s note; those are either semantically equivalent or outside the scoring criteria.
4. Overall judgment: Model 2 wins narrowly because it is more aligned in class terminology and conceptual coverage, even though Model 1 is better on the parking-choice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</si>
  <si>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</si>
  <si>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each requirement slice separately, then I’ll score both models criterion by criterion with concrete UML evidence.
```result
Scores:
1. House core data and material type: Model 1 = 5, Model 2 = 3; Evidence: Model 1 has `House { address: String; buildingMaterial: BuildingMaterial }` plus `enum BuildingMaterial { WOOD, BRICK, CONCRETE }`. Model 2 has `House { +address: String; +buildingMaterial: String }`, so it stores the data but does not constrain material to the required closed set.
2. Basement structure, optionality, and basement types: Model 1 = 5, Model 2 = 3; Evidence: Model 1 uses `House *-- "0..1" Basement : basement`, `Basement &lt;|-- EarthBasement`, `Basement &lt;|-- ConcreteBasement`, and `EarthBasement { humidityLevel: double }`. Model 2 has `House o-- Basement`, the same two basement subclasses, and `EarthBasement { +humidityLevel: Float }`, but it does not state the optional `0..1` basement cardinality.
3. Semi-detached house attributes: Model 1 = 5, Model 2 = 5; Evidence: Model 1 has `SemiDetachedHouse { hasGarden: boolean; windowCount: int }` and Model 2 has `SemiDetachedHouse { +hasGarden: Boolean; +numberOfWindows: Integer }`. Both capture the required extra information for the special house type.
4. Carport/garage arrangement for semi-detached houses: Model 1 = 5, Model 2 = 1; Evidence: Model 1 models `SemiDetachedHouse *-- "1" ParkingFacility : parkingFacility`, then `CarportParking *-- "2" Carport : carports` and `GarageParking *-- "1" Garage : garage`, which expresses the required “either two carports or a garage” structure much more closely. Model 2 only has `SemiDetachedHouse o-- Carport` and `SemiDetachedHouse o-- Garage`, with no exact `2` vs `1` cardinality and no clear either/or constraint.
5. Companies and job log recording: Model 1 = 4, Model 2 = 1; Evidence: Model 1 has `House "1" -- "1..*" Company : servicingCompanies` and a `Job { hours: int; agreedPrice: double; jobDate: Date }` linked to both `House` and `Company`. Model 2 has `House o-- Company` and `Company o-- JobLog { +hours: Float; +agreedPrice: Float }`, but it does not connect the job record to both the house and the company, so the “job in a house by a company” requirement is only partially represented.
Total: Model 1 = 24, Model 2 = 13
Choice: A
Reason:
1. House material: Model 1 matches the required closed set with an enum; Model 2 leaves it as a free `String`.
2. Basement: Model 1 captures both basement types, humidity for earth basements, and the optional basement cardinality; Model 2 omits the optionality.
3. Parking: Model 1 is much closer to the required either/or plus exact counts; Model 2 lacks both.
4. Companies/job log: Model 1 links job records to both house and company; Model 2 does not.
5. Rejected checks: I did not count association direction/style differences, primitive type spellings, or abstractness as negatives. The decisive gaps were missing cardinalities and missing job-log semantics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</si>
  <si>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</si>
  <si>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directly against the requirement, criterion by criterion, and I’ll score them independently before choosing.
```result
Scores:
1. Cohesion and Decoupling: Model 1 = 4, Model 2 = 2; Evidence: Model 1 groups the parking alternative behind `ParkingFacility` with `CarportParking *-- "2" Carport` and `GarageParking *-- "1" Garage`, and it models the job record as `Job` linked to both `House` and `Company`. Model 2 splits this less cleanly with `SemiDetachedHouse o-- Carport` and `SemiDetachedHouse o-- Garage` directly, and its `JobLog` is only associated to `Company`, not to the house where the job happens.
2. Complexity: Model 1 = 4, Model 2 = 3; Evidence: Model 1 has more classes (`ParkingFacility`, `CarportParking`, `GarageParking`, `Job`) and deeper inheritance, but those refinements match required domain distinctions. Model 2 has fewer classes and a shallower structure, but it collapses required distinctions by omitting a house-linked job concept and by not structuring the carport/garage choice.
3. Practicability: Model 1 = 4, Model 2 = 2; Evidence: Model 1 is easier to implement and test because `House *-- "0..1" Basement`, `House "1" -- "1..*" Company`, and `Job --&gt; House/Company` make the house, service company, and job-log relationships explicit. Model 2 leaves `House o-- Basement` without multiplicity, has no association from `JobLog` to `House`, and models both `Carport` and `Garage` off `SemiDetachedHouse`, which makes the required either/or rule harder to validate.
Total: Model 1 = 12, Model 2 = 7
Choice: A
Reason:
1. Cohesion and Decoupling: Model 1 keeps related concerns together and separates alternatives better; Model 2 spreads the parking choice across two direct links and leaves the job log under-modeled.
2. Complexity: Model 1 is more detailed, but the added classes are traceable domain refinements; Model 2 is simpler, but it is simplified past the point of covering the requirement well.
3. Practicability: Model 1 has clearer domain seams for testing and maintenance, especially for basement optionality and job logging; Model 2 is less actionable because the job log is not tied to the house.
4. Rejected or checked issues: I did not use primitive type spelling differences, association direction/style differences, or extra presentation details as negative evidence.
5. Overall judgment: Model 1 is the better UML fit because it captures the required house/company/job structure and the semi-detached parking alternative more faithfully, while Model 2 is materially underspecified in the most important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</si>
  <si>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</si>
  <si>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`House`, `SemiDetachedHouse`, `Basement`, `EarthBasement`, `ConcreteBasement`, `Carport`, `Garage`, `Company`, `Job`, and a `BuildingMaterial` enum with `WOOD/BRICK/CONCRETE`; Model 2 includes the main house/basement/carport/garage/company classes, but turns `buildingMaterial` into a plain `String` and uses `JobLog` without equally clear domain integration.
2. Associations/Multiplicities between classes for domain reasoning: Model 1 = 4, Model 2 = 2; Evidence: Model 1 has `House *-- "0..1" Basement`, `SemiDetachedHouse *-- "1" ParkingFacility`, `CarportParking *-- "2" Carport`, `GarageParking *-- "1" Garage`, and `Job --&gt; "1" House` / `Job --&gt; "1" Company`; Model 2 has `House o-- Basement`, `SemiDetachedHouse o-- Carport`, `SemiDetachedHouse o-- Garage`, `House o-- Company`, and `Company o-- JobLog`, but it omits the key job-log linkage to both house and company and does not express the required either-or parking structure with multiplicities.
3. Model attributes with appropriate data types: Model 1 = 5, Model 2 = 3; Evidence: Model 1 models `buildingMaterial: BuildingMaterial`, `address: String`, `humidityLevel: double`, `hours: int`, and `agreedPrice: double`; Model 2 uses `buildingMaterial: String`, `size: String`, and `hours: Float` / `agreedPrice: Float`, which is less faithful to the domain.
4. Consistencies of Terminology with given context: Model 1 = 4, Model 2 = 3; Evidence: Model 1 keeps the core domain terms `House`, `SemiDetachedHouse`, `EarthBasement`, `ConcreteBasement`, `Carport`, `Garage`, `Company`, and `Job`; Model 2 also uses many of those terms, but its `JobLog` naming and weaker `buildingMaterial` modeling are less directly aligned with the wording of the requirement.
5. Adherence of UML class diagram standards: Model 1 = 5, Model 2 = 5; Evidence: Both are valid PlantUML class diagrams with standard classes, inheritance, attributes, and associations, and neither has notation that makes the diagram unreadable or invalid.
Total: Model 1 = 22, Model 2 = 16
Choice: A
Reason:
1. Appropriate conceptual classes: Model 1 covers every required concept, including an explicit `BuildingMaterial` enum and the basement hierarchy; Model 2 is closer on some names but weakens the domain by flattening `buildingMaterial` to `String`.
2. Associations/Multiplicities: Model 1 captures optional basement storage and the semi-detached house parking constraint far better; Model 2 misses the actual job-log relationship and leaves the carport/garage rule under-specified.
3. Attributes/types: Model 1 models the key stored facts with more suitable types, especially `BuildingMaterial`; Model 2’s `buildingMaterial: String` and `size: String` are materially weaker.
4. Rejected or checked issues: I did not penalize either model for using different but semantically valid association styles or for primitive type spellings, since those are explicitly forbidden as negative evidence.
5. Overall judgment: Model 1 is clearly stronger on domain fidelity and relationship modeling, while Model 2 has more significant omissions in the core job-log and parking structure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</si>
  <si>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</si>
  <si>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Model 1 = 4, Model 2 = 2; Evidence: Model 1 includes `House`, `Basement` with `EarthBasement`/`ConcreteBasement`, `SemiDetachedHouse`, `Carport`, `Garage`, `Company`, and `JobLog`, with `House -- Basement`, `House -- JobLog`, and `Company -- JobLog` links. Model 2 has the same main classes, but `JobLog` is only linked to `Company` and not to `House`, so the “company carries out a job in a house” requirement is only half modeled.
2. Conceptual classes and relationships: Model 1 = 4, Model 2 = 2; Evidence: Model 1 cleanly expresses the house/basement specialization and the semi-detached-house specialization, plus the domain entities for companies and job logs. Model 2 names the same concepts, but the job-log relationship is structurally weaker and the semi-detached-house equipment is modeled as two independent links instead of a clear either/or structure.
3. Associations, cardinalities, and relationship types: Model 1 = 4, Model 2 = 2; Evidence: Model 1 gives explicit multiplicities such as `House "1" -- "0..1" Basement`, `SemiDetachedHouse "1" -- "0..2" Carport`, `SemiDetachedHouse "1" -- "0..1" Garage`, `House "1" -- "*" JobLog`, and `Company "1" -- "*" JobLog`. Model 2 uses `House o-- Basement`, `SemiDetachedHouse o-- Carport`, `SemiDetachedHouse o-- Garage`, `House o-- Company`, and `Company o-- JobLog` without multiplicities, so the required counts and job-log structure are much less precise.
4. Class naming and attribute clarity: Model 1 = 5, Model 2 = 4; Evidence: Model 1 uses a constrained `BuildingMaterial` enum (`WOOD`, `BRICK`, `CONCRETE`) and clear attributes like `hasOwnGarden`, `numberOfWindows`, `humidityLevel`, and `agreed price` via `JobLog.price`. Model 2 is still readable, but `buildingMaterial: String` and `size: String` are less semantically precise than Model 1’s typed model.
Total: Model 1 = 17, Model 2 = 10
Choice: A
Reason:
1. Strict requirement alignment: Model 1 covers all required domain objects and the key job-log linkage more completely than Model 2, which omits the house side of the job log.
2. Conceptual classes and relationships: Model 1’s class structure better matches the requirement’s domain hierarchy; Model 2 leaves the company/job-log/house interaction underspecified.
3. Associations, cardinalities, and relationship types: Model 1 is materially stronger because it at least encodes the needed multiplicities, while Model 2 largely omits them.
4. Rejected or checked issues: I did not use association arrow style, primitive type aliases, or Model 1’s note as scoring factors. I also did not penalize Model 2 solely for not marking `Basement` abstract, since abstractness alone is not a valid negative here.
5. Overall judgment: Model 1 is closer to the requirement on both structure and multiplicity, so it wins clearly.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</si>
  <si>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</si>
  <si>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the two diagrams, then I’ll score them side by side with concrete UML evidence.
```result
Scores:
1. Cohesion and Decoupling: Model 1 = 4, Model 2 = 3; Evidence: Model 1 keeps the domain split into focused classes (`House`, `Basement`, `EarthBasement`, `ConcreteBasement`, `SemiDetachedHouse`, `Carport`, `Garage`, `Company`, `JobLog`) and connects `JobLog` to both `House` and `Company`, which matches the transaction boundary. Model 2 also separates classes, but `JobLog` is linked only to `Company` (`Company o-- JobLog`) and not to `House`, so the job-recording concept is less cohesively modeled.
2. Complexity: Model 1 = 4, Model 2 = 3; Evidence: Model 1 uses an enum for the closed `BuildingMaterial` set and models the required subtype structure plus multiplicities; it is slightly more detailed but still well aligned to the requirement. Model 2 is structurally smaller and uses plain `String` for `buildingMaterial` and `size`, but it omits important relationship detail and cardinalities, so the lower apparent complexity comes from under-modeling rather than a better-balanced design.
3. Practicability: Model 1 = 4, Model 2 = 2; Evidence: Model 1 is more directly implementable and testable because it stores the required house attributes, basement subtype data, and job logs with both `House` and `Company` associations. Model 2 is harder to use in practice because `JobLog` lacks a house link, `House`-`Company` service cardinality is not expressed, and the required either-or constraint for carports versus garage is not modeled with multiplicities or equivalent structure.
Total: Model 1 = 12, Model 2 = 8
Choice: A
Reason:
1. Cohesion and Decoupling: Model 1 keeps the job-log concept tied to both parties involved, while Model 2 splits the same domain fact across `House o-- Company` and `Company o-- JobLog`, weakening semantic cohesion.
2. Complexity: Model 1 is a slightly richer but still appropriate domain model; Model 2 is simpler only because it leaves out key constraints and relationships.
3. Rejected or checked issues: I did not penalize association direction/style differences or primitive-type wording differences. The decision is based on semantic coverage, especially the missing `House` link from `JobLog` and the weaker constraint modeling in Model 2.
4. Overall judgment: Model 1 is better because it captures the required structure more completely while remaining reasonably modular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</si>
  <si>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</si>
  <si>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Basement, EarthBasement, ConcreteBasement, SemiDetachedHouse, Carport, Garage, Company, JobLog, and a BuildingMaterial enum. Model 2 includes the same core classes: House, Basement, EarthBasement, ConcreteBasement, SemiDetachedHouse, Carport, Garage, Company, and JobLog.
2. Associations/Multiplicities between classes for domain reasoning: Model 1 = 4, Model 2 = 2; Evidence: Model 1 states `House "1" -- "0..1" Basement`, `SemiDetachedHouse "1" -- "0..2" Carport`, `SemiDetachedHouse "1" -- "0..1" Garage`, `Company "1" -- "*" JobLog`, and `House "*" -- "*" Company` / `House "*" -- "*" JobLog`. Model 2 has only `House o-- Basement`, `SemiDetachedHouse o-- Carport`, `SemiDetachedHouse o-- Garage`, `House o-- Company`, and `Company o-- JobLog`, with no multiplicities and no direct house-job-log linkage.
3. Model attributes with appropriate data types: Model 1 = 5, Model 2 = 4; Evidence: Model 1 uses `buildingMaterial: BuildingMaterial`, `size: float`, `humidityLevel: float`, `hasOwnGarden: boolean`, `hours: float`, and `price: float`. Model 2 uses `buildingMaterial: String` and `size: String`, while the rest (`humidityLevel: Float`, `numberOfWindows: Integer`, `agreedPrice: Float`) are appropriate.
4. Consistencies of Terminology with given context: Model 1 = 5, Model 2 = 4; Evidence: Model 1 mirrors the wording closely with `hasOwnGarden`, `numberOfWindows`, `Carport`, `Garage`, `Company`, and `JobLog`. Model 2 is mostly consistent but slightly drifts with `hasGarden` instead of "own garden" and the more generic `buildingMaterial: String`.
5. Adherence of UML class diagram standards: Model 1 = 5, Model 2 = 5; Evidence: Both are valid PlantUML class diagrams using classes, inheritance, and associations. Model 1 uses valid explicit multiplicities and an enum; Model 2 uses valid aggregation notation `o--` and standard class declarations.
Total: Model 1 = 24, Model 2 = 20
Choice: A
Reason:
1. Associations/multiplicities are the main separator: Model 1 captures the required basement and semi-detached-house relationships with explicit multiplicities, while Model 2 omits them.
2. Attributes/data types also favor Model 1 because it constrains building material with an enum and models basement size numerically, whereas Model 2 uses generic strings.
3. Rejected or checked issues: I did not penalize Model 1 for the end-of-line note or for association style details that are semantically equivalent under the rules, and I did not treat Model 2's `o--` notation as a standards failure by itself.
4. Overall judgment: both models have the right core classes, but Model 1 is materially stronger on domain reasoning and attribute fidelity.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</si>
  <si>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</si>
  <si>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two diagrams against the requirement at the level of classes, associations, and cardinalities, then I’ll score each criterion separately before choosing.
```result
Scores:
1. House core data and material: Model 1 = 5, Model 2 = 5; Evidence: Model 1 has `class House { address: String; buildingMaterial: BuildingMaterial }` and `enum BuildingMaterial { WOOD BRICK CONCRETE }`. Model 2 has the same core fields in `House` and the same `BuildingMaterial` enum values.
2. Basement storage and subtype structure: Model 1 = 5, Model 2 = 5; Evidence: Model 1 stores `Basement { size: float; name: String }`, links `House "1" -- "0..1" Basement`, and specializes `Basement` into `EarthBasement { humidityLevel: float }` and `ConcreteBasement`. Model 2 also has `House *-- "0..1" Basement`, `Basement { name; size }`, `EarthBasement { humidityLevel }`, and `ConcreteBasement`.
3. Semi-detached house and carport/garage modeling: Model 1 = 3, Model 2 = 4; Evidence: Model 1 correctly specializes `House &lt;|-- SemiDetachedHouse` and stores `hasOwnGarden` and `numberOfWindows`, but models parking as `SemiDetachedHouse "1" -- "0..2" Carport` and `"0..1" Garage`, which only approximates the required either/or constraint. Model 2 also specializes `House &lt;|-- SemiDetachedHouse` and stores the same extra house data, then uses `SemiDetachedHouse *-- "1" ParkingFacility`, `ParkingFacility &lt;|-- CarportParking/GarageParking`, `CarportParking *-- "2" Carport`, and `GarageParking *-- "1" Garage`, which captures the alternative more faithfully.
4. Company data and servicing multiplicity: Model 1 = 2, Model 2 = 4; Evidence: Both models store `Company { name, address }`. Model 1 uses `House "*" -- "*" Company`, which allows zero companies per house and is weaker than “several companies.” Model 2 uses `House "1" -- "1..*" Company : servicingCompanies`, which at least enforces one-or-more and is closer to the requirement.
5. Job log recording and linkage: Model 1 = 3, Model 2 = 5; Evidence: Model 1 has `JobLog { hours: float; price: float }` plus `House "*" -- "*" JobLog` and `Company "1" -- "*" JobLog`, so it stores the required values but leaves the house/company/job relationship more indirect. Model 2 has `Job { hours: int; agreedPrice: double; jobDate: Date }` with `Job --&gt; "1" House` and `Job --&gt; "1" Company`, which directly ties each logged job to one house and one company while storing the required hours and agreed price.
Total: Model 1 = 18, Model 2 = 23
Choice: B
Reason:
1. House core data and material: Both models satisfy the required house address and building material storage equally well.
2. Basement storage and subtype structure: Both models capture the optional basement, its size/name, the earth vs concrete basement split, and earth-basement humidity equally well.
3. Semi-detached house and carport/garage modeling: Model 2 is stronger because it encodes the carport-vs-garage alternative more faithfully; Model 1 only approximates the exact either/or requirement with loose multiplicities.
4. Company data and servicing multiplicity: Model 2 better matches “serviced by several companies” because it enforces at least one company per house, while Model 1 still allows none.
5. Job log recording and linkage: Model 2 is clearer and more semantically direct because each `Job` is linked to exactly one house and one company with the required hours and price fields.
6. Rejected or checked issues: I did not penalize either model for `abstract` vs non-`abstract` basement, lowercase primitive types, or `*` vs `0..*`, since those are not valid negative evidence here.
7. Overall judgment: Model 2 covers the relationship structure around servicing companies and job logging more faithfully, while also better encoding the semi-detached parking alternatives, so it is the better match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</si>
  <si>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</si>
  <si>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splits the service relationship across `House -- JobLog`, `Company -- JobLog`, and a separate `House -- Company` association, while the parking choice is modeled as two separate links from `SemiDetachedHouse` to `Carport` and `Garage`. Model 2 centralizes the job event in `Job --&gt; House` and `Job --&gt; Company`, and groups the parking alternative under `ParkingFacility` with `CarportParking` and `GarageParking`.
2. Complexity: Model 1 = 5, Model 2 = 3; Evidence: Model 1 uses fewer classes (`House`, one `Basement` hierarchy, `SemiDetachedHouse`, `Carport`, `Garage`, `Company`, `JobLog`, plus `BuildingMaterial`) and a shallow inheritance tree. Model 2 adds extra structural layers (`ParkingFacility`, `CarportParking`, `GarageParking`) and an extra `jobDate`, increasing class count and depth beyond what the requirement needs.
3. Practicability: Model 1 = 4, Model 2 = 3; Evidence: Model 1 is more direct and readable, with the required attributes and associations laid out simply. Model 2 is more explicit about the job record, but the added `ParkingFacility` wrapper and extra `jobDate` make the model heavier and less immediately simple to implement and test.
Total: Model 1 = 12, Model 2 = 10
Choice: A
Reason:
1. Cohesion and decoupling: Model 2 is better because `Job` ties house and company together more cleanly, but Model 1 still covers the domain with simpler classes.
2. Complexity: Model 1 is clearly better because it achieves the requirement with fewer classes and less structural overhead.
3. Practicability: Model 1 is easier to read and implement; Model 2 is more explicit in one area, but its extra wrapper classes reduce simplicity.
4. Rejected or checked issues: I did not penalize Model 2 for the inline comment, and I did not use primitive-type spelling differences or multiplicity shorthand differences in scoring.
5. Overall judgment: Model 1 is the better balance for this requirement because it is much less complex while still capturing the required domain elements adequately.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</si>
  <si>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</si>
  <si>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`Basement`, `EarthBasement`, `ConcreteBasement`, `SemiDetachedHouse`, `Carport`, `Garage`, `Company`, `JobLog`, and `BuildingMaterial`. Model 2 includes the same core domain classes and adds transparent refinements like `ParkingFacility`, `CarportParking`, and `GarageParking`, plus `Job`.
2. Associations/Multiplicities between classes for domain reasoning: Model 1 = 3, Model 2 = 4; Evidence: Model 1 has `House "1" -- "0..1" Basement`, `SemiDetachedHouse "1" -- "0..2" Carport`, and `SemiDetachedHouse "1" -- "0..1" Garage`, but the required either/or parking rule is only stated in a note, not in the class relationships. Model 2 models `SemiDetachedHouse *-- "1" ParkingFacility`, `CarportParking *-- "2" Carport`, `GarageParking *-- "1" Garage`, and `House "1" -- "1..*" Company`, which expresses the domain constraint more clearly.
3. Model attributes with appropriate data types: Model 1 = 5, Model 2 = 4; Evidence: Model 1 stores all required attributes directly: `address`, `buildingMaterial`, basement `size`/`name`, `humidityLevel` for earth basements, `hasOwnGarden`, `numberOfWindows`, company `name`/`address`, and job log `hours`/`price`, with sensible types. Model 2 also covers the required attributes, but adds unsupported `jobDate: Date` on `Job` and uses `hours: int`, which is less faithful to the stated stored data.
4. Consistencies of Terminology with given context: Model 1 = 5, Model 2 = 4; Evidence: Model 1 stays close to the requirement wording with `House`, `Basement`, `EarthBasement`, `ConcreteBasement`, `SemiDetachedHouse`, `Carport`, `Garage`, and `JobLog`. Model 2 is still recognizable, but introduces more abstraction/renaming such as `ParkingFacility`, `CarportParking`, `GarageParking`, `Job`, `hasGarden`, and `windowCount`.
5. Adherence of UML class diagram standards: Model 1 = 5, Model 2 = 5; Evidence: Both are valid PlantUML class diagrams using standard class declarations, inheritance (`Basement &lt;|-- EarthBasement`), and associations. No syntax-breaking UML issues stand out in either model.
Total: Model 1 = 23, Model 2 = 22
Choice: A
Reason:
1. Associations/multiplicities: Model 2 is stronger on the semi-detached house parking constraint, but Model 1 leaves the required either/or rule in a note, which does not carry the same UML semantic weight.
2. Attributes/terminology: Model 1 is tighter to the requirement wording and stored fields, while Model 2 adds an unsupported `jobDate` and uses more abstract renaming.
3. Rejected or checked issues: I did not penalize Model 2 for using `ParkingFacility` as a refinement or Model 1 for equivalent primitive spellings/types; those are not meaningful defects under the rules.
4. Overall judgment: Model 2 has the better parking structure, but Model 1 is more faithful overall to the requested stored data and terminology, so Model 1 wins narrowly.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</si>
  <si>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</si>
  <si>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slice separately and comparing the two diagrams on exact UML semantics, not presentation.
```result
Scores:
1. Core house data and material domain: Model 1 = 2, Model 2 = 5; Evidence: Model 1 stores `House { +address: String +buildingMaterial: String }`, which records the field but does not constrain it to wood/brick/concrete. Model 2 stores `House { address: String buildingMaterial: BuildingMaterial }` and defines `enum BuildingMaterial { WOOD BRICK CONCRETE }`, matching the closed set exactly.
2. Basement structure and optionality: Model 1 = 3, Model 2 = 5; Evidence: Model 1 has `House o-- Basement`, `Basement { +size: String +name: String }`, and the two subclasses `EarthBasement { +humidityLevel: Float }` / `ConcreteBasement {}`. Model 2 has `House *-- "0..1" Basement : basement` with the same two subclasses, so it explicitly models that a house may or may not have a basement.
3. Semi-detached house and parking rule: Model 1 = 1, Model 2 = 4; Evidence: Model 1 connects `SemiDetachedHouse o-- Carport` and `SemiDetachedHouse o-- Garage`, which allows both and does not express the required “either two carports or a garage” choice. Model 2 uses `SemiDetachedHouse *-- "1" ParkingFacility`, then `CarportParking *-- "2" Carport` and `GarageParking *-- "1" Garage`, which captures the alternative structure much better, though the wrapper classes are extra and exclusivity is still not explicit.
4. Carport and garage attributes: Model 1 = 5, Model 2 = 5; Evidence: Model 1 has `Carport { +isDouble: Boolean +hasFlatRoof: Boolean }` and `Garage { +hasAutomaticDoor: Boolean }`. Model 2 has the same attributes in `Carport` and `Garage`.
5. Companies and job logs: Model 1 = 2, Model 2 = 4; Evidence: Model 1 stores `Company { +name: String +address: String }` and `JobLog { +hours: Float +agreedPrice: Float }`, but only links `Company o-- JobLog` and `House o-- Company`, so the job record is not tied to a specific house. Model 2 stores `Company { name: String address: String }` and `Job { hours: int agreedPrice: double jobDate: Date }`, with `House "1" -- "1..*" Company : servicingCompanies` plus `Job --&gt; "1" House` and `Job --&gt; "1" Company`, which models the log more directly but overconstrains each company to one house and adds an extra `jobDate`.
Total: Model 1 = 13, Model 2 = 23
Choice: B
Reason:
1. Material/domain fidelity: Model 2 is much closer because it constrains building material with `enum BuildingMaterial { WOOD BRICK CONCRETE }`, while Model 1 leaves `buildingMaterial` as an unconstrained `String`.
2. Structural requirement coverage: Model 2 better captures the optional basement and the “either two carports or a garage” rule; Model 1 only attaches `Carport` and `Garage` to `SemiDetachedHouse` separately, which misses the required alternative.
3. Job/company recording: Model 2 links a job to both `House` and `Company`, which is closer to the required job log than Model 1’s `Company o-- JobLog` without a house link. Checked issue: I did not penalize opposite-direction association style; the decision is based on the missing/incorrect multiplicities and links, not notation style.
4. Overall judgment: Model 2 has some extra structure (`ParkingFacility`, `CarportParking`, `GarageParking`, `jobDate`) and one overconstraint on company-to-house cardinality, but it still covers more of the required semantics correctly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</si>
  <si>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</si>
  <si>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separate classes for `House`, `Basement`, `SemiDetachedHouse`, `Carport`, `Garage`, `Company`, and `JobLog`, but `SemiDetachedHouse o-- Carport` and `SemiDetachedHouse o-- Garage` model both parking alternatives at once, and `Company o-- JobLog` leaves job records detached from houses. Model 2 separates parking into `ParkingFacility` with `CarportParking` and `GarageParking`, and connects `Job --&gt; House` and `Job --&gt; Company`, which is more cohesive and less coupled.
2. Complexity: Model 1 = 3, Model 2 = 4; Evidence: Model 1 uses 9 classes with two inheritance groups, but it under-models the domain with `buildingMaterial: String` and no explicit job entity linked to the house/company interaction. Model 2 has 11 classes, including `enum BuildingMaterial`, `ParkingFacility`, and `Job`, which adds structure but in a way that matches required domain distinctions.
3. Practicability: Model 1 = 2, Model 2 = 5; Evidence: Model 1 stores `buildingMaterial: String` and has `House o-- Basement` plus `Company o-- JobLog`, but never ties the log to a `House` or records the company-house job interaction clearly, making implementation and testing weak. Model 2 encodes `BuildingMaterial {WOOD, BRICK, CONCRETE}`, `House *-- "0..1" Basement`, `SemiDetachedHouse *-- "1" ParkingFacility`, `CarportParking *-- "2" Carport`, `GarageParking *-- "1" Garage`, and `Job --&gt; House` / `Job --&gt; Company`, which is much more directly usable.
Total: Model 1 = 7, Model 2 = 13
Choice: B
Reason:
1. Cohesion and Decoupling: Model 2 better groups related behavior and data, especially for parking and job logging, while Model 1 leaves key relations under-specified.
2. Complexity: Model 2’s extra classes are justified by the requirement; Model 1 is simpler but only because it omits needed domain structure.
3. Practicability: Model 2 is easier to implement, test, and maintain because its associations and enum capture the requirement more faithfully.
4. Rejected or checked issues: I did not use primitive type spelling, opposite-direction associations, equivalent multiplicities, or abstractness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</si>
  <si>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</si>
  <si>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includes `House`, `Basement`, `EarthBasement`, `ConcreteBasement`, `SemiDetachedHouse`, `Carport`, `Garage`, `Company`, and `JobLog`. Model 2 includes the same core house/basement/company/job concepts, plus `BuildingMaterial` with `WOOD`, `BRICK`, `CONCRETE`, and parking-related refinements (`ParkingFacility`, `CarportParking`, `GarageParking`).
2. Associations/Multiplicities between classes for domain reasoning: Model 1 = 2, Model 2 = 4; Evidence: Model 1 has `House o-- Basement`, `SemiDetachedHouse o-- Carport`, `SemiDetachedHouse o-- Garage`, `House o-- Company`, and `Company o-- JobLog`, but it omits multiplicities and does not model the required `either two carports or a garage` constraint or link the job log back to `House`. Model 2 has `House *-- "0..1" Basement`, `SemiDetachedHouse *-- "1" ParkingFacility`, `CarportParking *-- "2" Carport`, `GarageParking *-- "1" Garage`, and `Job --&gt; "1" House` / `Job --&gt; "1" Company`, which is much closer, though the `Company` multiplicity is still overconstrained.
3. Model attributes with appropriate data types: Model 1 = 3, Model 2 = 4; Evidence: Model 1 uses `buildingMaterial: String` and `Basement.size: String`, which are weak for fixed materials and size, though it does correctly model `humidityLevel: Float`, `hasGarden: Boolean`, `numberOfWindows: Integer`, `hours: Float`, and `agreedPrice: Float`. Model 2 improves this with `buildingMaterial: BuildingMaterial`, `size: double`, `humidityLevel: double`, `windowCount: int`, and `agreedPrice: double`, while keeping the required house/company attributes.
4. Consistencies of Terminology with given context: Model 1 = 5, Model 2 = 4; Evidence: Model 1 uses the exact domain terms `House`, `Basement`, `EarthBasement`, `ConcreteBasement`, `SemiDetachedHouse`, `Carport`, `Garage`, `Company`, and `JobLog`. Model 2 stays mostly aligned but introduces extra terminology like `ParkingFacility`, `CarportParking`, `GarageParking`, and `Job` instead of `JobLog`, which is still recognizable but slightly less direct.
5. Adherence of UML class diagram standards: Model 1 = 5, Model 2 = 5; Evidence: Both diagrams use valid PlantUML class declarations, inheritance, and associations, and both are readable UML class diagrams without syntax-breaking issues.
Total: Model 1 = 19, Model 2 = 21
Choice: B
Reason:
1. Appropriate conceptual classes: both models cover the main domain nouns, but Model 2 also makes the bounded material set explicit with `BuildingMaterial`, which fits the requirement better than Model 1’s plain `String`.
2. Associations/Multiplicities: Model 2 is substantially stronger because it captures `basement` as optional, models the `two carports or one garage` split, and connects the job record to both `House` and `Company`; Model 1 misses those constraints entirely.
3. Attributes/Data types: Model 2 uses more appropriate types for the fixed material set and basement size, while Model 1 leaves important fields underspecified or loosely typed.
4. Terminology: Model 1 is a bit cleaner lexically, but that advantage is smaller than Model 2’s stronger domain structure.
5. Rejected or checked issues: I did not penalize Model 2 for lowercase primitive aliases or the inline association comment, since those are non-issues under the rules.
6. Overall judgment: Model 2 is the better semantic fit because it models the required relationships and constraints more completely, even with one overconstrained multiplicity.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</si>
  <si>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</si>
  <si>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identity and material: Model 1 = 3, Model 2 = 5; Evidence: Model 1 has `House { +address: String; +buildingMaterial: String }`, which stores the fields but does not constrain building material to the required set. Model 2 has `enum BuildingMaterial { WOOD, BRICK, CONCRETE }` and `House { address: String; buildingMaterial: BuildingMaterial }`, which matches the requirement much more closely.
2. Basement modeling: Model 1 = 3, Model 2 = 5; Evidence: Model 1 includes `class Basement`, `class EarthBasement { +humidityLevel: Float }`, `class ConcreteBasement {}`, and `House o-- Basement`, but `Basement` is not marked abstract and the house-basement link has no multiplicity. Model 2 has `abstract class Basement`, the same two specializations, and `House "1" -- "0..1" Basement`, which better captures an optional basement with exactly two basement types.
3. Semi-detached house specialization: Model 1 = 4, Model 2 = 4; Evidence: Model 1 has `House &lt;|-- SemiDetachedHouse` plus `+hasGarden: Boolean` and `+numberOfWindows: Integer`. Model 2 also has `House &lt;|-- SemiDetachedHouse` plus `hasOwnGarden: boolean` and `numberOfWindows: int`. Both capture the required extra data.
4. Carport/garage structure: Model 1 = 2, Model 2 = 4; Evidence: Model 1 links `SemiDetachedHouse o-- Carport` and `SemiDetachedHouse o-- Garage` with no multiplicities, so it does not express the required “either two carports or a garage” constraint. Model 2 adds `SemiDetachedHouse "1" -- "0..2" Carport` and `SemiDetachedHouse "1" -- "0..1" Garage`, which captures the counts much better, though not the exclusivity fully in UML relations.
5. Companies and job logs: Model 1 = 2, Model 2 = 4; Evidence: Model 1 has `House o-- Company` and `Company o-- JobLog`, but the job log is not clearly tied to the house. Model 2 connects `House "1" -- "*" JobLog`, `Company "1" -- "*" JobLog`, and `House "*" -- "*" Company`, which better reflects that a company carries out jobs in houses and that the job log records those jobs.
Total: Model 1 = 14, Model 2 = 22
Choice: B
Reason:
1. House material and basement constraints: Model 2 is more faithful because it constrains building materials to the required three values and models the basement as optional with the proper subtype structure.
2. Semi-detached/carport-garage/job logging: Model 2 is stronger on multiplicities and links, especially for carports/garage counts and for tying job logs to both houses and companies.
3. Rejected or checked issues: I did not penalize Model 1 for using `String` or Model 2 for using an enum as a primitive-type difference. I ignored the PlantUML note in Model 2, and I did not treat opposite association style as a semantic difference.
4. Overall judgment: Model 2 is closer to the requirement overall, even though it still does not fully enforce the either/or carport-vs-garage constraint in pure class-diagram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</si>
  <si>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</si>
  <si>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stores `buildingMaterial` as a raw `String` and splits job logging across `House o-- Company` and `Company o-- JobLog` without a direct `JobLog`-to-`House` link, so the responsibility is not cleanly centered. Model 2 uses a closed `BuildingMaterial` enum and links `JobLog` to both `House` and `Company`, which keeps the domain concepts better grouped, though the extra `House "*" -- "*" Company` association adds some coupling.
2. Complexity: Model 1 = 2, Model 2 = 4; Evidence: Model 1 has the core classes but leaves important constraints implicit, with 9 classes and no explicit multiplicities. Model 2 has the same core hierarchy plus `BuildingMaterial` as an enum and explicit relationships such as `House "1" -- "0..1" Basement` and `House "1" -- "*" JobLog`, which adds some structural detail but keeps the model aligned with the requirement.
3. Practicability: Model 1 = 2, Model 2 = 4; Evidence: Model 1 is readable but weak for implementation and testing because it does not show which house a `JobLog` belongs to, does not constrain building materials, and does not express the semi-detached-house carport/garage rule. Model 2 is more usable in practice because it models a fixed material set, optional basements, and house/company/job-log relationships, though the carport/garage exclusivity is only partially captured by multiplicities.
Total: Model 1 = 6, Model 2 = 12
Choice: B
Reason:
1. Cohesion and Decoupling: Model 2 is better because it uses `BuildingMaterial` as a constrained domain type and connects `JobLog` to both `House` and `Company`, while Model 1 leaves those relations looser and less coherent.
2. Complexity: Model 2 is the better-balanced design for this requirement because it adds only the needed semantic structure; Model 1 is simpler, but partly by omitting important constraints rather than by achieving clean minimality.
3. Practicability: Model 2 is more directly implementable and testable because it encodes the closed material set and the job-log structure; Model 1 does not provide enough semantics for robust validation.
4. Rejected or checked issues: I did not score against association direction, the note in Model 2, lowercase primitive spellings, or Model 2’s `abstract` marking of `Basement`, since those are not valid negative evidence here.
5. Overall judgment: Model 2 better matches the requirement and is more practical for real-world use, even though it still does not perfectly enforce the semi-detached house either/or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</si>
  <si>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</si>
  <si>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`Basement`, `EarthBasement`, `ConcreteBasement`, `SemiDetachedHouse`, `Carport`, `Garage`, `Company`, and `JobLog`, which matches the required domain objects. Model 2 includes the same classes and also an explicit `BuildingMaterial` enum for `WOOD`, `BRICK`, and `CONCRETE`.
2. Associations/Multiplicities between classes for domain reasoning: Model 1 = 2, Model 2 = 4; Evidence: Model 1 has associations like `House o-- Basement`, `SemiDetachedHouse o-- Carport`, `SemiDetachedHouse o-- Garage`, `House o-- Company`, and `Company o-- JobLog`, but no multiplicities and no explicit `House`-`JobLog` link. Model 2 adds `House "1" -- "0..1" Basement`, `SemiDetachedHouse "1" -- "0..2" Carport`, `SemiDetachedHouse "1" -- "0..1" Garage`, `House "1" -- "*" JobLog`, `Company "1" -- "*" JobLog`, and a `House "*" -- "*" Company` link, plus a note stating the either/or constraint, though the carport/garage cardinalities still do not fully encode the exact business rule.
3. Model attributes with appropriate data types: Model 1 = 3, Model 2 = 5; Evidence: Model 1 uses `buildingMaterial: String` and `Basement.size: String`, which are weaker than the domain suggests, even though other fields like `hours: Float` and `agreedPrice: Float` are fine. Model 2 uses `buildingMaterial: BuildingMaterial`, `size: float`, `humidityLevel: float`, `hasOwnGarden: boolean`, `numberOfWindows: int`, and `hours: float`, which are well matched to the requirement.
4. Consistencies of Terminology with given context: Model 1 = 4, Model 2 = 5; Evidence: Model 1 mostly uses the right terms (`SemiDetachedHouse`, `EarthBasement`, `Garage`, `Company`, `JobLog`) but softens some wording with `hasGarden` and an unconstrained `buildingMaterial`. Model 2 is more exact with `BuildingMaterial`, `hasOwnGarden`, `numberOfWindows`, `Carport`, `Garage`, and `JobLog`, though `price` is a slightly shorter label than `agreed price`.
5. Adherence of UML class diagram standards: Model 1 = 5, Model 2 = 5; Evidence: Both are valid PlantUML class diagrams with standard inheritance and association notation. Model 1’s `o--` and Model 2’s quoted multiplicities/note are syntactically acceptable UML/PlantUML.
Total: Model 1 = 19, Model 2 = 24
Choice: B
Reason:
1. Appropriate conceptual classes aligned with the domain: both models cover the full domain class set, so neither wins here.
2. Associations/Multiplicities between classes for domain reasoning: Model 2 is stronger because it explicitly models optional basement, job logs, and semi-detached house cardinalities, while Model 1 leaves those key relationship constraints implicit.
3. Rejected or checked issues: I did not penalize either model for using opposite-direction vs bidirectional associations, primitive type aliases, comments, or optional abstractness.
4. Overall judgment: Model 2 better captures the requirement’s relational structure and attribute typing, so it is the better UML model overall.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</si>
  <si>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</si>
  <si>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</si>
  <si>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</si>
  <si>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UML semantics against the requirement piece by piece, then I’ll score each model on coverage, relationship accuracy, multiplicities, and naming.
```result
Scores:
1. Strict requirement coverage: Model 1 = 2, Model 2 = 4; Evidence: Model 1 has `User`, `Organizer`, `Attendee`, `Event`, `Location`, `TaskTemplate`, `EventTask`, and `Invitation`, but `Invitation` only carries `rsvpStatus` and is linked directly to `Attendee`, so it does not model an invite sent to an email address before an account exists. Model 2 adds `Invitation.invitedEmail` and still includes `Event`, `EventType`, `Location`, `TaskTemplate`, and `EventTask`, so it covers more of the invitation-and-response flow from the requirement.
2. Conceptual classes and relationships: Model 1 = 2, Model 2 = 4; Evidence: Model 1’s main concepts are recognizable, with `EventKind -&gt; TaskTemplate -&gt; EventTask` and `Event -&gt; Invitation`, but `Invitation "*" --&gt; "1" Attendee` is a weak fit for a pre-account invitation. Model 2 maps the domain more directly with `Event -- Invitation`, `Invitation -- Attendee`, `EventType -- TaskTemplate`, and `EventTask -- TaskTemplate`, which better matches the described flow.
3. Associations, cardinalities, and relationship types: Model 1 = 2, Model 2 = 4; Evidence: Model 1’s `Attendee "0..*" --&gt; "0..*" EventTask` is broad and does not express that attendee tasks are only shown to confirmed attendees, and `Organizer "1..*" --&gt; "1" Event` also constrains each organizer to one event. Model 2’s `Event "1" -- "*" Invitation`, `Invitation "*" -- "0..1" Attendee`, and `EventTask "*" -- "0..1" Invitation` more clearly represent invitations, reply state, and attendee-assigned tasks, even if the confirmed-only visibility rule is still implicit.
4. Naming and attribute adequacy: Model 1 = 3, Model 2 = 4; Evidence: Model 1 uses understandable domain names like `EventKind`, `TaskTemplate`, and `EventTask`, but `Invitation` lacks the invited email that the requirement explicitly mentions. Model 2 adds `Invitation.invitedEmail` and uses `EventType` / `EventTask.isForAttendees`, which makes the invitation and task intent clearer overall.
Total: Model 1 = 9, Model 2 = 16
Choice: B
Reason:
1. Strict requirement coverage: Model 2 captures the invitation-to-email-before-account step that Model 1 misses.
2. Conceptual class/relationship fidelity: Model 2’s invitation, event type, and task links align more directly with the described domain.
3. Associations/cardinalities: Model 2 expresses the invitation and task ownership structure more precisely.
4. Rejected or checked issues: I did not use `CONFIRMED` vs `ATTENDING`, `*` vs `0..*`, association direction, or lowercase primitive type spellings as negative evidence.
5. Overall judgment: Model 2 is better because it models the pre-account invitation flow and attendee-specific task assignment more faithfully, while Model 1 leaves those core requirements under-specified.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</si>
  <si>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</si>
  <si>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couples attendees directly to work items with `Attendee "0..*" --&gt; "0..*" EventTask : volunteersFor` and also links templates to work items through `TaskTemplate "0..*" --&gt; "0..*" EventTask`; Model 2 keeps the assignment path tighter with `EventTask "*" -- "0..1" Invitation : assigned to` and `Invitation "*" -- "0..1" Attendee : claimed by`, which localizes responsibility better.
2. Complexity: Model 1 = 3, Model 2 = 4; Evidence: Both models have the same core type count and the same single inheritance tree (`User` with `Organizer` and `Attendee`), but Model 1 adds broader cross-links (`TaskTemplate` to `EventTask`, `Attendee` to `EventTask`) that make the relationship graph denser; Model 2 uses a similar number of classes but routes task assignment through `Invitation`, which is easier to reason about.
3. Practicability: Model 1 = 3, Model 2 = 4; Evidence: Model 1 models `Invitation` only with `rsvpStatus` and points it directly at `Attendee`, which is weaker for the “invite someone before account creation” flow; Model 2 adds `Invitation { invitedEmail, rsvpStatus }` and allows `Invitation "*" -- "0..1" Attendee`, which better matches email-based invitation and later account creation.
Total: Model 1 = 9, Model 2 = 12
Choice: B
Reason:
1. Cohesion and Decoupling: Model 2 keeps invitation, attendance, and task assignment more cleanly separated than Model 1’s direct attendee-to-task coupling.
2. Complexity: The two diagrams are close in size, but Model 2 is a little easier to follow because the workflow is expressed through fewer overlapping relations.
3. Rejected or checked issues: I did not use association-arrow direction, primitive type aliases, comments, or optional abstractness as negative evidence. Both models also share the same limitation that “an organizer can also attend” is not modeled explicitly, so that did not decide the result.
4. Overall judgment: Model 2 is modestly more faithful to the invitation workflow and more practical for real 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</si>
  <si>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</si>
  <si>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`User`, `Organizer`, `Attendee`, `EventKind`, `Location`, `Event`, `TaskTemplate`, `EventTask`, and `Invitation`, which map well to the celebration-planning domain. Model 2 includes the same core concepts with `EventType` instead of `EventKind`, plus `TaskTemplate`, `EventTask`, and `Invitation`, also matching the domain well.
2. Associations/Multiplicities between classes for domain reasoning: Model 1 = 3, Model 2 = 4; Evidence: Model 1 has weak or over-broad links like `TaskTemplate "0..*" --&gt; "0..*" EventTask` and `Attendee "0..*" --&gt; "0..*" EventTask`, and `Organizer "1..*" --&gt; "1" Event` restricts organizers too tightly. Model 2 better captures the workflow with `EventTask "*" -- "0..1" Invitation`, `EventType "1" -- "*" TaskTemplate`, `Event "1" -- "*" Invitation`, and `Invitation "*" -- "0..1" Attendee`, though it still has the same organizer-per-event limitation in `Event "1" -- "1..*" Organizer`.
3. Model attributes with appropriate data types: Model 1 = 4, Model 2 = 5; Evidence: both model core person and event fields with sensible types such as `firstName`, `lastName`, `email`, `password`, `postalAddress`, `phoneNumber`, and date/time fields. Model 2 also adds `Invitation.invitedEmail`, which matches the invitation-email requirement more directly; Model 1 relies on the attendee association and does not model that email explicitly.
4. Consistencies of Terminology with given context: Model 1 = 4, Model 2 = 5; Evidence: Model 1 uses understandable but slightly less direct terms like `EventKind`, `TaskTemplate`, `EventTask`, and `RsvpStatus.CONFIRMED`. Model 2 is closer to the prompt wording with `EventType`, `Invitation.invitedEmail`, `RsvpStatus.ATTENDING`, and `EventTask.isForAttendees`.
5. Adherence of UML class diagram standards: Model 1 = 5, Model 2 = 5; Evidence: both are valid PlantUML class diagrams using standard class, enum, inheritance, association, and multiplicity syntax; the inline `'opposite ...` comments are ignorable per the instructions.
Total: Model 1 = 21, Model 2 = 24
Choice: B
Reason:
1. Model 2 is stronger on domain reasoning because it explicitly connects `EventTask` to `Invitation` and gives `Invitation.invitedEmail`, while Model 1 leaves task assignment and invitation handling looser.
2. Model 2 is also slightly better on terminology and attribute modeling, using `ATTENDING` and `isForAttendees` in a way that tracks the requirement more closely.
3. Rejected or checked issues: I did not penalize either model for opposite-direction association arrows or comments, and I treated primitive type aliases as equivalent where relevant.
4. Overall judgment: Model 2 is the better UML fit, mainly because its associations and invitation/task attributes map more directly to the described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</si>
  <si>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</si>
  <si>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domain classes and attributes: Model 1 = 5, Model 2 = 5; Evidence: Model 1 has `User`/`Organizer`/`Attendee`, organizer fields (`postalAddress`, `phoneNumber`), user fields (`firstName`, `lastName`, `email`, `password`), `Event` (`startDateTime`, `endDateTime`, `occasion`), `Location` (`name`, `address`), and invitation/task classes. Model 2 covers the same essentials with `Person`/`Organizer`/`Attendee`, `Event`, `Location`, `Invitation`, `Task`, and `EventTask`.
2. Event kind, location, and checklist structure: Model 1 = 4, Model 2 = 5; Evidence: Model 1 uses `EventKind` plus `TaskTemplate` (`EventKind *-- TaskTemplate`) and `Event *-- EventTask`. Model 2 uses `EventType` plus reusable `Task` (`EventType *-- Task`) and the event-specific `EventTask -- Task`, which maps more directly to reusable checklist items and per-event instances.
3. Organizer can also attend: Model 1 = 2, Model 2 = 5; Evidence: Model 1 only connects `Organizer` to `Event` via `manages`, and `Organizer` and `Attendee` are separate subclasses of `User`, so the same person is not modeled as both organizer and attendee. Model 2 explicitly adds `Organizer 0..* attends 0..* Event` alongside `organizes`, matching the requirement that an organizer may also attend.
4. Invitation and RSVP flow: Model 1 = 5, Model 2 = 4; Evidence: Model 1 has `Invitation.rsvpStatus` with `PENDING`, `CONFIRMED`, `MAYBE`, `DECLINED`, and `Invitation "*" --&gt; "1" Attendee`, which is precise for one invitation to one attendee. Model 2 also models invitation status (`Attending`, `Maybe`, `NotAttending`, `NotReplied`), but `Attendee 0..* receives 0..* Invitation` is looser about the invitation-to-attendee pairing.
5. Task reuse, attendee assignment, and relationship precision: Model 1 = 3, Model 2 = 4; Evidence: Model 1 has `EventTask.status`, `isAttendeeDesignated`, `TaskTemplate --&gt; EventTask`, and `Attendee --&gt; EventTask`, but `Organizer "1..*" --&gt; "1..*" Event` overconstrains both sides and the template-to-instance linkage is less explicit. Model 2 has `Event *-- 0..* EventTask`, `EventTask -- 1 Task`, `EventType *-- 0..* Task`, and `Attendee selects EventTask`, which is clearer overall, though `Organizer "1..*" organizes "0..*" Event` still overconstrains events to having at least one organizer.
Total: Model 1 = 19, Model 2 = 23
Choice: B
Reason:
1. Organizer-attendee overlap: Model 2 is the only one that explicitly supports an organizer also attending an event (`Organizer attends Event`), while Model 1 separates `Organizer` and `Attendee` without a bridge.
2. Task/checklist modeling: Model 2 gives a cleaner reusable-task-to-event-task split (`EventType *-- Task`, `EventTask -- Task`) than Model 1’s more indirect `TaskTemplate --&gt; EventTask`.
3. Rejected or checked issues: I did not use arrow direction (`--&gt;` vs `--`), comment text, primitive type spelling, or abstractness as negative evidence, per the instructions.
4. Overall judgment: Model 1 is solid on RSVP precision, but Model 2 better covers the full requirement, especially the organizer-as-attendee case and the task lifecycle.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</si>
  <si>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</si>
  <si>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against both diagrams separately, then I’ll score them side by side with only semantic evidence from the UML.
```result
Scores:
1. Cohesion and Decoupling: Model 1 = 3, Model 2 = 4; Evidence: Model 1 has `User &lt;|-- Organizer` and `User &lt;|-- Attendee`, plus `EventKind "1" *-- "0..*" TaskTemplate` and `TaskTemplate "0..*" --&gt; "0..*" EventTask`, but it does not model the organizer-as-attendee role explicitly and its template-to-task linkage is relatively loose. Model 2 has `Person &lt;|-- Organizer` and `Person &lt;|-- Attendee`, `Organizer "1..*" organizes "0..*" Event`, `Organizer "0..*" attends "0..*" Event`, `EventType *-- "0..*" Task`, and `EventTask -- "1" Task`, which separates roles and task definition more cleanly.
2. Complexity: Model 1 = 4, Model 2 = 4; Evidence: Model 1 uses 8 classes (`User`, `Organizer`, `Attendee`, `EventKind`, `Location`, `Event`, `TaskTemplate`, `EventTask`, `Invitation`) plus 2 enums, while Model 2 uses 9 classes (`Person`, `Organizer`, `Attendee`, `Event`, `EventType`, `Location`, `Task`, `Invitation`, `EventTask`) plus 2 enums. Both have the same inheritance depth and no methods, so both remain reasonably balanced.
3. Practicability: Model 1 = 3, Model 2 = 4; Evidence: Model 1 precisely captures `Invitation "*" --&gt; "1" Attendee` and uses `RsvpStatus` with `PENDING`, `CONFIRMED`, `MAYBE`, `DECLINED`, but it leaves organizer attendance implicit and its `TaskTemplate`/`EventTask` reuse is less operationally clear. Model 2 explicitly supports `Organizer attends Event`, `InvitationStatus` with `Attending`, `Maybe`, `NotAttending`, `NotReplied`, and `Attendee selects EventTask`, which is easier to read and test as a workflow, though `Attendee "0..*" receives "0..*" Invitation` is looser than ideal.
Total: Model 1 = 10, Model 2 = 12
Choice: B
Reason:
1. Cohesion and Decoupling: Model 2 matches the requirement’s separate organizer, attendee, and task-selection responsibilities more cleanly; Model 1 leaves organizer attendance unmodeled and uses a weaker template/task linkage.
2. Complexity: Both are similarly compact, but Model 2’s extra `Task` class is justified by the reusable task structure rather than gratuitous complexity.
3. Practicability: Model 2 is easier to implement and validate end-to-end because the invite, RSVP, organizer attendance, and attendee task-selection flows are explicit.
4. Rejected or checked issues: I did not use association arrow direction, primitive type spellings, or missing `abstract` markers as penalties.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</si>
  <si>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</si>
  <si>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include the core domain objects (`Organizer`/`Person`, `Attendee`, `Event`, `Location`, invitation, and reusable/event-specific task concepts via `TaskTemplate`/`EventTask` or `Task`/`EventTask`). Neither adds a clearly wrong class, and both capture the main event-planning structure.
2. Associations/Multiplicities between classes for domain reasoning: Model 1 = 4, Model 2 = 3; Evidence: Model 1 correctly models `Invitation "*" --&gt; "1" Attendee` and `Event "1" *-- "0..*" Invitation`, matching one invitation per attendee per event. Model 2 has `Attendee "0..*" receives "0..*" Invitation`, which allows an invitation to be linked to multiple attendees and weakens the invitation semantics. Both otherwise connect event type/location and organizer/event reasonably well.
3. Model attributes with appropriate data types: Model 1 = 4, Model 2 = 5; Evidence: Model 1 has the required names/email/password/address/phone fields, but `startDateTime` and `endDateTime` are typed as `Date`, which underspecifies the required time component. Model 2 uses `DateTime` for both and otherwise models the needed string, boolean, and enum attributes cleanly.
4. Consistencies of Terminology with given context: Model 1 = 4, Model 2 = 4; Evidence: Model 1’s `User`, `EventKind`, `TaskTemplate`, and `RsvpStatus` are understandable but slightly more abstract than the prompt language. Model 2’s `Person`, `EventType`, `InvitationStatus`, `Task`, and `EventTask` are also aligned, though still somewhat generalized relative to the wording about checklist items and bringing tasks.
5. Adherence of UML class diagram standards: Model 1 = 5, Model 2 = 5; Evidence: both are valid PlantUML class diagrams with standard classes, enums, inheritance, and associations. Neither has notation issues that make the diagram unreadable or invalid.
Total: Model 1 = 21, Model 2 = 21
Choice: C
Reason:
1. Classes: both models cover the main domain concepts well enough, with no decisive winner.
2. Associations: Model 1 is stronger because it keeps the invitation-to-attendee relation single-valued, while Model 2’s attendee/invitation multiplicity is too loose.
3. Attributes: Model 2 is stronger because `DateTime` matches the required start/end date-time fields better than Model 1’s `Date`.
4. Terminology: both are close to the prompt’s wording, with only minor differences.
5. Rejected or checked issues: I did not use association-direction style differences or primitive type aliases as negative evidence, since they are semantically acceptable under the rules. I also did not penalize either model for not introducing a separate account class, because the requirement does not explicitly require one.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</si>
  <si>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</si>
  <si>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attributes: Model 1 = 4, Model 2 = 4; Evidence: Model 1 has `User` with `firstName`, `lastName`, `email`, `password`, plus `Organizer` with `postalAddress`, `phoneNumber`, `Event`, `EventType`, `Location`, `Invitation`, `TaskTemplate`, and `EventTask`. Model 2 has `Person` with the same basic person fields, plus `Organizer`, `Attendee`, `Event`, `EventType`, `Location`, `Invitation`, `Task`, and `EventTask`.
2. Organizer-event and attendance roles: Model 1 = 3, Model 2 = 5; Evidence: Model 1 models `Event "1" -- "1..*" Organizer : organized by &gt;`, but does not model organizer attendance. Model 2 explicitly includes both `Organizer "1..*" organizes "0..*" Event` and `Organizer "0..*" attends "0..*" Event`, which matches the “managing but not attending / also attends” requirement directly.
3. Invitation and RSVP flow: Model 1 = 4, Model 2 = 2; Evidence: Model 1 gives `Invitation` an `invitedEmail` and `rsvpStatus` (`PENDING`, `ATTENDING`, `MAYBE`, `DECLINED`), and links `Invitation "*" -- "0..1" Attendee : claimed by &gt;`. Model 2 has `Invitation` with only `status`, plus `Attendee "0..*" receives "0..*" Invitation`, so the email/username handoff from invitation is not represented.
4. Checklist/task lifecycle and attendee tasks: Model 1 = 5, Model 2 = 4; Evidence: Model 1 uses `EventType -- TaskTemplate`, `Event -- EventTask`, `EventTask -- TaskTemplate`, `EventTask.status`, `EventTask.isForAttendees`, and `EventTask -- Invitation : assigned to &gt;`, which cleanly separates reusable task templates from event-specific task instances. Model 2 uses `EventType *-- "0..*" Task`, `Event *-- "0..*" EventTask`, `EventTask -- "1" Task`, and `Attendee "0..*" selects "0..*" EventTask`, which captures attendee task selection well but is a bit less explicit about template-vs-instance structure.
Total: Model 1 = 16, Model 2 = 15
Choice: A
Reason:
1. Organizer attendance: Model 2 is better here because it explicitly models organizers who only manage versus organizers who also attend; Model 1 omits that relation.
2. Invitation semantics: Model 1 is better because it includes `invitedEmail` and RSVP status on `Invitation`, which aligns with the invitation/email account flow in the requirement; Model 2 leaves that implicit.
3. Task modeling: Model 1 is slightly stronger overall because it separates reusable `TaskTemplate` from per-event `EventTask`, matching the “available for the next event” requirement more directly.
4. Overall judgment: Model 1 is slightly closer to the full requirement set, while Model 2 wins on organizer-attendance and direct attendee task selection. The gap is small, but Model 1’s explicit invitation email and reusable task-template structure make it the better match overall.
5. Rejected issues: I did not use association arrow direction, primitive type spelling, or `*` versus `0..*`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</si>
  <si>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</si>
  <si>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the three required dimensions separately and grounding each score in specific classes, relations, and multiplicities.
```result
Scores:
1. Cohesion and Decoupling: Model 1 = 3, Model 2 = 4; Evidence: Model 1 groups shared identity in `User` with `Organizer` and `Attendee`, but `Attendee` stays nearly empty and task assignment is routed through `EventTask "*" -- "0..1" Invitation : assigned to &gt;`, which is a less direct participation link. Model 2 also uses a shared `Person` base, but separates the main roles more cleanly with `Organizer "1..*" organizes "0..* Event"`, `Organizer "0..*" attends "0..* Event"`, and `Attendee "0..*" selects "0..*" EventTask`, which maps more directly to the domain behaviors.
2. Complexity: Model 1 = 4, Model 2 = 4; Evidence: Both diagrams have the same conceptual size class-for-class: one general person class (`User` vs `Person`), `Organizer`, `Attendee`, `Event`, `EventType`, `Location`, `Invitation`, a task-definition class (`TaskTemplate` vs `Task`), `EventTask`, and two enums. Both have inheritance depth 1 and no methods. Model 1 uses `TaskTemplate` plus `EventTask`, while Model 2 uses `Task` plus `EventTask`; the overall structural complexity is essentially the same.
3. Practicability: Model 1 = 3, Model 2 = 4; Evidence: Model 1 captures RSVP and checklist state with `Invitation.rsvpStatus` and `EventTask.status`, but it does not explicitly model an organizer also attending, and it ties attendee-task assignment to `Invitation` rather than to the attendee’s participation flow. Model 2 is more operationally clear for the stated workflow: `Organizer "0..*" attends "0..* Event"` supports organizer-as-attendee, `Invitation.status` includes `NotReplied`, and `Attendee "0..*" selects "0..*" EventTask` matches the “who is bringing what” interaction more directly.
Total: Model 1 = 10, Model 2 = 12
Choice: B
Reason:
1. Cohesion and Decoupling: Model 2 aligns roles and actions more directly, especially with organizer attendance and attendee task selection. Model 1 is more indirect because `EventTask` depends on `Invitation` instead of the attending person flow.
2. Complexity: This is effectively a tie. Both models have the same number of classes/enums, the same inheritance depth, and similarly sized association structures.
3. Rejected or checked issues: I did not use association arrow style, primitive type spelling (`boolean` vs `Boolean`), or multiplicity shorthand (`*` vs `0..*`) as negative evidence, per the rules. I also did not score based on layout or comments.
4. Overall judgment: Model 2 is slightly better because it covers the organizer-attends use case explicitly and presents the attendee/task workflow more practically, while keeping complexity comparable to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</si>
  <si>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</si>
  <si>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`User`, `Organizer`, `Attendee`, `Event`, `EventType`, `Location`, `Invitation`, `TaskTemplate`, `EventTask`, which matches the organizer/attendee, event, invite, and checklist concepts. Model 2 has `Person`, `Organizer`, `Attendee`, `Event`, `EventType`, `Location`, `Task`, `Invitation`, `EventTask`, which is also well aligned, though `Invitation` is thinner.
2. Associations/Multiplicities between classes for domain reasoning: Model 1 = 4, Model 2 = 4; Evidence: Model 1 explicitly models `Event "1" -- "1..*" Organizer`, `Event "1" -- "1" EventType`, `Event "1" -- "1" Location`, `Event "1" -- "*" Invitation`, `Invitation "*" -- "0..1" Attendee`, and `EventTask "*" -- "0..1" Invitation`. Model 2 captures `Organizer ... attends Event`, `Attendee ... selects EventTask`, `Event *-- Invitation`, `Attendee ... receives Invitation`, and `EventType *-- Task`, but it is less explicit about invitation-to-email/account linkage.
3. Model attributes with appropriate data types: Model 1 = 5, Model 2 = 4; Evidence: Model 1 includes `firstName`, `lastName`, `email`, `password`, `postalAddress`, `phoneNumber`, `startDate`, `endDate`, `occasion`, `invitedEmail`, `rsvpStatus`, `description`, `status`, and `isForAttendees`, covering the required data more completely. Model 2 has the core fields too, but `Invitation` only has `status` and omits the invited email address needed by the requirement.
4. Consistencies of Terminology with given context: Model 1 = 4, Model 2 = 4; Evidence: Model 1 uses context-fitting terms like `Invitation`, `EventType`, `Location`, `TaskTemplate`, `RsvpStatus`, and `TaskStatus`, though `PENDING`/`DECLINED` are a bit more generic than the prompt. Model 2 uses very close wording like `NotReplied`, `NotAttending`, `Maybe`, `NeedsToBeDone`, and `HasBeenDone`, but `Person` and `Task` are slightly more generic than the requirement language.
5. Adherence of UML class diagram standards: Model 1 = 4, Model 2 = 4; Evidence: Both are valid, readable PlantUML class diagrams using standard inheritance and association notation. Model 1 and Model 2 each keep multiplicities and class relationships understandable; neither has a syntax or UML-notation problem severe enough to block interpretation.
Total: Model 1 = 21, Model 2 = 20
Choice: A
Reason:
1. Appropriate classes: both models cover the main domain entities, but Model 1 is slightly more complete because `Invitation` carries `invitedEmail`, which is important for the invitation workflow.
2. Associations: Model 2 better exposes organizer attendance and attendee task selection, but Model 1 is stronger on event/type/location and invitation linkage; overall this is close enough to score as a tie.
3. Attributes: Model 1 is clearly better because it models the invitation email explicitly, while Model 2 drops that field.
4. Rejected or checked issues: I did not penalize either model for benign terminology variants like `PENDING` vs `NotReplied`, lowercase `boolean`, or opposite association direction, since those are not valid negative evidence here.
5. Overall judgment: Model 1 has the better domain data model overall, and that edge comes from the required invitation details rather than superficial notation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</si>
  <si>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</si>
  <si>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classes and attributes: Model 1 = 4, Model 2 = 2; Evidence: Model 1 includes `User { firstName, lastName, email, password }`, `Organizer { postalAddress, phoneNumber }`, `Event { startDate: DateTime, endDate: DateTime, occasion }`, `Location { name, address }`, and `Invitation { invitedEmail, rsvpStatus }`. Model 2 has the same base user/organizer/location classes, but `Invitation { rsvpStatus }` drops the invited email, and `Event { startDateTime: Date, endDateTime: Date }` is less explicit about the required date/time semantics.
2. Event, location, and type structure: Model 1 = 4, Model 2 = 3; Evidence: Model 1 models `Event -- EventType`, `Event -- Location`, and `EventType -- TaskTemplate`, which matches selecting or creating event kinds and locations. Model 2 has `EventKind --&gt; Event`, `EventKind *-- TaskTemplate`, and `Event --&gt; Location`, but it also says `Organizer 1..* --&gt; 1..* Event`, which overconstrains organizers to already manage at least one event.
3. Invitation and attendee lifecycle: Model 1 = 4, Model 2 = 1; Evidence: Model 1 has `Invitation { invitedEmail, rsvpStatus }` and `Invitation * -- 0..1 Attendee`, so an invitation can exist before account creation and later be claimed by an attendee. Model 2 has only `Invitation { rsvpStatus }` and `Invitation * --&gt; 1 Attendee`, which does not model the invited email needed for account creation and assumes an attendee already exists at invite time.
4. Checklist and task assignment: Model 1 = 4, Model 2 = 2; Evidence: Model 1 uses `EventType 1 -- * TaskTemplate`, `Event 1 -- * EventTask`, `EventTask * -- 1 TaskTemplate`, and `EventTask * -- 0..1 Invitation`, which cleanly separates reusable task templates from per-event task instances. Model 2 has `EventKind 1 *-- 0..* TaskTemplate`, `Event 1 *-- 0..* EventTask`, `TaskTemplate 0..* --&gt; 0..* EventTask`, and `Attendee 0..* --&gt; 0..* EventTask`; that many-to-many template/task link is weaker and less precise for a per-event checklist.
Total: Model 1 = 16, Model 2 = 8
Choice: A
Reason:
1. Core classes and attributes: Model 1 keeps the required organizer identity and invitation email; Model 2 omits the invitation email and weakens the date/time representation.
2. Invitation and attendee lifecycle: Model 1 supports an invitation existing before an attendee account is created; Model 2 ties invitations directly to an existing attendee and cannot represent the invitee email from the requirement.
3. Checklist/task workflow: Model 1 has a clearer template-to-instance mapping for event-specific tasks; Model 2’s task-template association is too loose for the requirement’s checklist semantics.
4. Rejected or checked issues: I ignored Model 2’s opposite-direction association styling and its PlantUML comments, since those are semantically equivalent per the instructions; I also did not penalize primitive type spelling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</si>
  <si>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</si>
  <si>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concerns fairly isolated across `User/Organizer/Attendee`, `Event`, `Location`, `Invitation`, `EventType`, `TaskTemplate`, and `EventTask`, with `TaskTemplate` owned by `EventType` and `EventTask` tied to one template and optionally one invitation. Model 2 adds more cross-links across `EventKind`, `EventTask`, `Invitation`, `Attendee`, and `Organizer`, including direct `Attendee ... EventTask` and `Organizer ... Event` links, which increases coupling.
2. Complexity: Model 1 = 4, Model 2 = 4; Evidence: both models have the same overall scale, with the same basic inheritance depth from `User` and no methods at all. Model 2 has more relation density, but the class count and inheritance complexity are effectively the same as Model 1.
3. Practicability: Model 1 = 3, Model 2 = 4; Evidence: Model 2 more directly supports the attendee task workflow with `Attendee ... EventTask : volunteersFor`, which matches "attendees can select their tasks" better. Model 1 routes task assignment through `EventTask ... Invitation : assigned to`, which is understandable but less direct for attendee selection, though both still capture invitations, RSVP state, and checklist concepts.
Total: Model 1 = 11, Model 2 = 11
Choice: C
Reason:
1. Cohesion and Decoupling: Model 1 is slightly cleaner because its responsibilities are more localized; Model 2 is more interwoven through extra direct associations.
2. Complexity: They are effectively tied on structural complexity because they use the same inheritance depth and similar class count.
3. Rejected or checked issues: I did not penalize opposite-direction associations, inline comments, primitive type aliases, or equivalent multiplicities, and I treated `ATTENDING` vs `CONFIRMED` as a naming variation rather than a substantive difference.
4. Overall judgment: The designs trade strengths. Model 1 is cleaner; Model 2 is more workflow-complete for attendee task selection. Neither clearly dominates,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</si>
  <si>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</si>
  <si>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`User`, `Organizer`, `Attendee`, `Event`, `EventType`, `Location`, `Invitation`, `TaskTemplate`, and `EventTask`, which maps well to organizers, invitees, event kind, location, RSVP, and checklist tasks. Model 2 has the same core set with `EventKind` instead of `EventType`, plus `Invitation` and `EventTask`, so it is also well aligned, though both models model the invited person/account relationship only indirectly.
2. Associations/Multiplicities between classes for domain reasoning: Model 1 = 4, Model 2 = 3; Evidence: Model 1 links `Event "1" -- "1..*" Organizer`, `Event "1" -- "1" Location`, `Event "1" -- "*" Invitation`, `Invitation "*" -- "0..1" Attendee`, and `EventTask "*" -- "0..1" Invitation`, which supports multiple organizers, invitations before account creation, and attendee-assigned tasks. Model 2 has `Organizer "1..*" --&gt; "1..*" Event`, `Event "1" *-- "0..*" Invitation`, and `Event "1" *-- "0..*" EventTask`, but `Invitation "*" --&gt; "1" Attendee` assumes every invitee already has an attendee account, and `TaskTemplate "0..*" --&gt; "0..*" EventTask` overstates the template-to-instance relationship.
3. Model attributes with appropriate data types: Model 1 = 5, Model 2 = 4; Evidence: Model 1 uses `startDate: DateTime`, `endDate: DateTime`, `firstName/lastName/email/password: String`, `postalAddress`, `phoneNumber`, `invitedEmail: String`, and `TaskStatus`, which matches the prompt closely. Model 2 has similar attributes, but `startDateTime: Date` and `endDateTime: Date` lose the time component required by the prompt, and `Invitation` does not carry an invited email field.
4. Consistencies of Terminology with given context: Model 1 = 4, Model 2 = 4; Evidence: Model 1 uses `EventType`, `Invitation`, `RsvpStatus { ATTENDING, MAYBE, DECLINED }`, and `TaskStatus { TODO, DONE, NOT_APPLICABLE }`, which are close to the prompt’s event kind, invitation, attendance reply, and task states. Model 2 uses `EventKind`, `Invitation`, `RsvpStatus { CONFIRMED, MAYBE, DECLINED }`, and `TaskStatus { TO_DO, DONE, NOT_APPLICABLE }`, which is also mostly consistent, though `CONFIRMED` is a bit less direct than the prompt’s “will attend.”
5. Adherence of UML class diagram standards: Model 1 = 5, Model 2 = 5; Evidence: Both are valid PlantUML class diagrams with enums, inheritance, associations, and multiplicities rendered in standard UML form. Model 2’s opposite-direction associations and inline labels are still semantically valid UML/PlantUML, so they do not reduce its UML conformance.
Total: Model 1 = 22, Model 2 = 20
Choice: A
Reason:
1. Appropriate conceptual classes: both are strong, but neither fully separates invitation-before-account from attendee account, so they land equally at 4.
2. Associations/Multiplicities: Model 1 is better because it allows an invitation to exist with `0..1 Attendee`, which fits the “may not yet have an account” case, while Model 2 forces every `Invitation` to point to exactly one `Attendee` and uses a weaker many-to-many template relation.
3. Rejected or checked issues: I did not penalize Model 2 for using opposite-direction associations, since those are semantically equivalent under the rules. I also did not use inline comments or note placement as negative evidence.
4. Overall judgment: Model 1 is the better UML model of the requirement because it handles the invitation/account timing and task assignment flow more faithfully, and it uses better date-time attributes for the event.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</si>
  <si>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</si>
  <si>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Model 1 = 3, Model 2 = 4; Evidence: Model 1 covers `Person`, `Organizer`, `Attendee`, `Event`, `EventType`, `Location`, `Invitation`, and `EventTask`, but the invited person is only implied by `Attendee "0..*" receives "0..*" Invitation` rather than being directly linked from `Invitation`. Model 2 covers `User`, `Organizer`, `Attendee`, `Event`, `EventKind`, `Location`, `Invitation`, and `EventTask`, and explicitly links `Invitation "*" --&gt; "1" Attendee`, but it does not model the optional organizer-as-attendee case.
2. Conceptual class and relationship essentials: Model 1 = 3, Model 2 = 4; Evidence: Model 1 uses `Person &lt;|-- Organizer` and `Person &lt;|-- Attendee`, plus `EventType`, `Task`, and `EventTask`, which is broadly aligned but less directly captures the invitation/account workflow. Model 2 uses `User &lt;|-- Organizer` and `User &lt;|-- Attendee`, plus `EventKind`, `TaskTemplate`, `EventTask`, and `Invitation`, which maps more directly to reusable event templates and RSVP flow.
3. Associations, cardinalities, and relationship types: Model 1 = 2, Model 2 = 4; Evidence: Model 1 has `Organizer "1..*" organizes "0..*" Event` and `Event *-- "0..*" Invitation`, but the event can still end up with zero organizers and invitations are not explicitly attached to an attendee. Model 2 has `Organizer "1..*" --&gt; "1..*" Event`, `Event "1" *-- "0..*" Invitation`, and `Invitation "*" --&gt; "1" Attendee`, which is clearer for the event-attendee-invitation chain, though `TaskTemplate "0..*" --&gt; "0..*" EventTask` is weaker than ideal.
4. Clarity of class names and attributes: Model 1 = 4, Model 2 = 5; Evidence: Model 1 uses readable names like `Person`, `Organizer`, `Attendee`, `EventType`, `Location`, `Task`, and organizer attributes `postalAddress` and `phoneNumber`, but `Person` is less aligned with the account/login concept. Model 2 uses `User`, `EventKind`, `TaskTemplate`, and `EventTask`, and adds `note right of User: email serves as username`, which matches the requirement’s account semantics more closely.
Total: Model 1 = 12, Model 2 = 17
Choice: B
Reason:
1. Strict requirement alignment: Model 2 better captures the invitation/RSVP flow because it directly links `Invitation` to `Attendee` and models reply states with `RsvpStatus`, while Model 1 leaves the invitee relationship indirect.
2. Associations and cardinalities: Model 2 is stronger overall because the key event-invitation-attendee chain is explicit; Model 1’s `Event *-- Invitation` plus `Attendee receives Invitation` is less direct.
3. Rejected or checked issues: I did not use arrow direction, lowercase primitive types, or abstractness as negatives, since those are forbidden or irrelevant under the rubric.
4. Overall judgment: Model 2 is the better semantic fit despite still missing the organizer-attends relation; its core event, invitation, attendee, and task-template modeling is closer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</si>
  <si>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</si>
  <si>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the three required criteria one by one, using only the UML semantics and the stated business requirement.
```result
Scores:
1. Cohesion and Decoupling: Model 1 = 4, Model 2 = 4; Evidence: Model 1 cleanly splits shared person data into `Person` with `Organizer` and `Attendee`, and separates reusable vs per-event concepts with `EventType *-- Task` and `Event *-- EventTask`. Model 2 does the same with `User`/`Organizer`/`Attendee`, plus `EventKind *-- TaskTemplate`, `Event *-- EventTask`, and `Invitation --&gt; Attendee`, which is a bit more explicit but not a materially different cohesion level.
2. Complexity: Model 1 = 4, Model 2 = 4; Evidence: Both diagrams have the same overall class count and inheritance depth (`Person`/`User` as a single superclass with two subclasses), and neither introduces methods. Model 2 adds more associations and intermediate concepts (`TaskTemplate`, `Invitation --&gt; Attendee`), but under the stated complexity metrics the two are essentially equal.
3. Practicability: Model 1 = 4, Model 2 = 4; Evidence: Model 1 covers the core workflow with `Invitation` status, `EventTask.status`, event kind, location, and attendee task selection (`Attendee selects EventTask`). Model 2 is slightly more explicit about real-world usage with the note that email is the username, `Invitation rsvpStatus`, and `Invitation --&gt; Attendee`, but Model 1 still represents the same domain adequately through `Attendee receives Invitation` and the event/task structures.
Total: Model 1 = 12, Model 2 = 12
Choice: C
Reason:
1. Cohesion and Decoupling: Both models keep shared identity data in a superclass and separate event, invitation, and checklist concerns into dedicated classes, so neither has a clear structural advantage.
2. Complexity: Both have the same class-level footprint and inheritance depth, so their complexity is effectively the same.
3. Rejected or checked issues: I did not use opposite-direction association syntax, PlantUML comments, lowercase primitive aliases, equivalent multiplicity spellings, or optional abstractness as negative evidence.
4. Overall judgment: Model 2 is a bit more explicit in a few places, while Model 1 is slightly simpler, but those differences are small and do not rise to a meaningful quality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</si>
  <si>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</si>
  <si>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`Person`, `Organizer`, `Attendee`, `Event`, `EventType`, `Location`, `Invitation`, `Task`, and `EventTask`, which map directly to the celebration workflow. Model 2 has the same core concepts with `User`, `Organizer`, `Attendee`, `Event`, `EventKind`, `Location`, `Invitation`, `TaskTemplate`, and `EventTask`, also aligned with the requirement.
2. Associations/Multiplicities between classes for domain reasoning: Model 1 = 4, Model 2 = 3; Evidence: Model 1 includes `Organizer "1..*" organizes "0..*" Event`, `Organizer "0..*" attends "0..*" Event`, `Event *-- "0..*" Invitation`, `Attendee "0..*" receives "0..*" Invitation`, and `EventType *-- "0..*" Task`, which cover most required relations, though `Attendee ... receives ... Invitation` is a bit loose. Model 2 has `EventKind "1" --&gt; "0..*" Event`, `Event "1" *-- "0..*" Invitation`, `Invitation "*" --&gt; "1" Attendee`, and `Attendee "0..*" --&gt; "0..*" EventTask`, but it omits the organizer-attends-vs-manages distinction and uses a broader `TaskTemplate "0..*" --&gt; "0..*" EventTask` link.
3. Model attributes with appropriate data types: Model 1 = 5, Model 2 = 4; Evidence: Model 1 uses `startDateTime: DateTime` and `endDateTime: DateTime`, matching the requirement’s date/time wording, and includes `firstName`, `lastName`, `email`, `password`, `postalAddress`, `phoneNumber`, `occasion`, `name`, and `address`. Model 2 has the same attribute coverage, but `startDateTime: Date` and `endDateTime: Date` are less precise than the requested date/time fields.
4. Consistencies of Terminology with given context: Model 1 = 5, Model 2 = 4; Evidence: Model 1’s `InvitationStatus { Attending, Maybe, NotAttending, NotReplied }` and `TaskStatus { NeedsToBeDone, HasBeenDone, NotApplicable }` closely match the wording in the prompt. Model 2’s `RsvpStatus { PENDING, CONFIRMED, MAYBE, DECLINED }` and `TaskStatus { TO_DO, DONE, NOT_APPLICABLE }` are understandable, and `note right of User email serves as username` matches the context, but the status terminology is less exact.
5. Adherence of UML class diagram standards: Model 1 = 5, Model 2 = 5; Evidence: Both diagrams use standard UML class/enum declarations, inheritance (`Person &lt;|-- Organizer`, `User &lt;|-- Attendee`), associations, multiplicities, and valid PlantUML note syntax, and both remain readable and structurally valid as class diagrams.
Total: Model 1 = 24, Model 2 = 21
Choice: A
Reason:
1. Associations/Multiplicities: Model 1 better captures the organizer role split with `Organizer ... attends ... Event` in addition to `organizes`, which directly reflects “sometimes an organizer is only managing the event but not attending.” Model 2 only has `Organizer ... manages ... Event`.
2. Attributes and terminology: Model 1’s `DateTime` fields and exact statuses (`Attending/Maybe/NotAttending/NotReplied`, `NeedsToBeDone/HasBeenDone/NotApplicable`) track the prompt more tightly than Model 2’s more generic `Date` and `RsvpStatus`.
3. Rejected or checked issues: I did not penalize Model 2 for using opposite-direction associations or lower-case/alternate primitive names, since those are semantically equivalent under the instructions.
4. Overall judgment: Both models are broadly correct, but Model 1 is more faithful to the required domain reasoning and wording, so it wins.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</si>
  <si>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</si>
  <si>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4, Model 2 = 4; Evidence: Model 1 has `Person`/`Organizer`/`Attendee`, `Event` with `occasion`, `startDateTime`, `endDateTime`, `EventType`, `Location`, `Invitation`, and `EventTask`, matching the main celebration-planning flow. Model 2 has the same core classes via `User`/`Organizer`/`Attendee`, `Event`, `EventType`, `Location`, `Invitation.invitedEmail`, and `RsvpStatus`, also covering the invitation/RSVP flow. Both miss some behavioral detail such as explicit account-creation steps and the “create new event kind/location” workflow.
2. Conceptual classes and relationships: Model 1 = 4, Model 2 = 4; Evidence: Model 1 separates reusable task data with `EventType *-- Task` and per-event checklist entries with `Event *-- EventTask`, then links `EventTask -- "1" Task` and `Attendee "0..*" selects "0..*" EventTask`. Model 2 similarly uses `EventType -- TaskTemplate`, `Event -- EventTask`, `EventTask -- TaskTemplate`, and adds `EventTask -- "0..1" Invitation`, which still represents attendee task selection through the invitation path.
3. Associations and cardinalities: Model 1 = 4, Model 2 = 2; Evidence: Model 1’s `Organizer "1..*" organizes "0..*" Event` supports multiple organizers per event and multiple events per organizer, and `Organizer "0..*" attends "0..*" Event` captures optional organizer attendance. Model 2’s `Event "1" -- "1..*" Organizer` implies each organizer belongs to exactly one event, which conflicts with the system’s organizer workflow, and it lacks a direct organizer-attends-event association.
4. Naming and attribute clarity: Model 1 = 4, Model 2 = 4; Evidence: Model 1 uses `startDateTime`/`endDateTime`, `InvitationStatus`, and `Task.description`, which are directly legible against the requirement. Model 2 uses `invitedEmail`, `RsvpStatus`, and `TaskTemplate`, which are also clear and help with invitation semantics, though `startDate`/`endDate` is slightly less explicit than Model 1’s datetime names.
Total: Model 1 = 16, Model 2 = 14
Choice: A
Reason:
1. Requirement alignment: both cover most of the main domain, but neither fully models the invitation-account creation workflow; this criterion is essentially tied.
2. Associations/cardinalities: Model 1 is materially better because it allows multiple organizers per event and multiple events per organizer, while Model 2 restricts each organizer to exactly one event.
3. Rejected or checked issues: I did not use forbidden factors such as `Boolean` vs `boolean`, `*` vs `0..*`, or opposite-direction association styling.
4. Overall judgment: Model 1 is the better UML fit because its organizer/event semantics are closer to the requirement, and its attendance relationship is more faithful, even though Model 2 has a nicer invitation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</si>
  <si>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</si>
  <si>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shared `Person` hierarchy (`Person &lt;|-- Organizer`, `Person &lt;|-- Attendee`) and separates event-task concerns with `EventTask`, but it links attendees directly to checklist items via `Attendee "0..*" selects "0..*" EventTask` and does not make the invitation/account boundary explicit. Model 2 keeps the same role split (`User &lt;|-- Organizer`, `User &lt;|-- Attendee`) but adds clearer role separation with `Invitation { invitedEmail, rsvpStatus }`, `Invitation "*" -- "0..1" Attendee : claimed by`, and `EventTask "*" -- "0..1" Invitation : assigned to`.
2. Complexity: Model 1 = 4, Model 2 = 4; Evidence: both diagrams use the same overall scale of structure: 9 classes each, 2 enums each, and one inheritance level (`Person/User` to `Organizer/Attendee`). Model 2 adds `TaskTemplate` and a couple of extra associations, while Model 1 uses `Task` plus `EventTask`; the resulting complexity is similarly balanced.
3. Practicability: Model 1 = 3, Model 2 = 5; Evidence: Model 1 covers RSVP state with `InvitationStatus` and has event-specific tasks, but it only shows `Attendee "0..*" receives "0..*" Invitation`, so the invite-email-to-account workflow is weakly modeled. Model 2 explicitly includes `Invitation.invitedEmail`, `Invitation "*" -- "0..1" Attendee : claimed by`, and `RsvpStatus`, which better supports invitation delivery, account creation, RSVP tracking, and task assignment.
Total: Model 1 = 10, Model 2 = 13
Choice: B
Reason:
1. Cohesion and Decoupling: Model 2 separates invitation, attendee identity, and task assignment more cleanly than Model 1, which connects attendees directly to event tasks.
2. Complexity: Both are similarly sized and shallow, so neither gains a meaningful advantage here.
3. Rejected or checked issues: I did not count association direction, primitive type spellings (`String` vs `str`, `Boolean` vs `boolean`), or abstractness differences as negative evidence.
4. Overall judgment: Model 2 is more practical and closer to the requirement because it models the invitation email/claim flow and task assignment flow more explicitly.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</si>
  <si>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</si>
  <si>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`Person`, `Organizer`, `Attendee`, `Event`, `EventType`, `Location`, `Invitation`, `Task`, and `EventTask`, which covers the core domain well, but it does not separate reusable checklist items as clearly. Model 2 has `User`, `Organizer`, `Attendee`, `Event`, `EventType`, `Location`, `Invitation`, `TaskTemplate`, and `EventTask`, which maps more directly to reusable tasks plus event-specific tasks.
2. Associations/Multiplicities between classes for domain reasoning: Model 1 = 3, Model 2 = 4; Evidence: Model 1 captures `Organizer ... attends ... Event` and `Event *-- Invitation`, but `Attendee "0..*" receives "0..*" Invitation` and `Attendee "0..*" selects "0..*" EventTask` are too loose for per-attendee invitations and task ownership. Model 2 has `Event "1" -- "*" Invitation`, `Invitation "*" -- "0..1" Attendee`, `EventTask "*" -- "0..1" Invitation`, and `EventType "1" -- "*" TaskTemplate`, which is closer to the requirement, though it still lacks an explicit organizer-attends-event link.
3. Model attributes with appropriate data types: Model 1 = 4, Model 2 = 5; Evidence: Model 1 includes the key organizer and event fields (`firstName`, `lastName`, `email`, `password`, `postalAddress`, `phoneNumber`, `occasion`, `startDateTime: DateTime`, `endDateTime: DateTime`) plus `Invitation.status` and `EventTask.status`, but it does not explicitly model invitation email. Model 2 includes the same core fields and also `Invitation.invitedEmail` and `rsvpStatus`, which better matches the invitation/account flow.
4. Consistencies of Terminology with given context: Model 1 = 5, Model 2 = 4; Evidence: Model 1 uses `InvitationStatus` values `Attending`, `Maybe`, `NotAttending`, `NotReplied` and `TaskStatus` values `NeedsToBeDone`, `HasBeenDone`, `NotApplicable`, which closely mirror the requirement wording. Model 2 is still understandable with `RsvpStatus` (`PENDING`, `ATTENDING`, `MAYBE`, `DECLINED`) and `TaskStatus` (`TODO`, `DONE`, `NOT_APPLICABLE`), but the wording is a bit more generalized.
5. Adherence of UML class diagram standards: Model 1 = 5, Model 2 = 5; Evidence: Both use valid PlantUML class/enum/inheritance/association syntax, such as `Person &lt;|-- Organizer`, `User &lt;|-- Attendee`, and multiplicity-bearing associations. No UML syntax issue materially affects interpretability in either diagram.
Total: Model 1 = 21, Model 2 = 23
Choice: B
Reason:
1. Model 2 is stronger on domain modeling because it explicitly models invitation email and task templates (`Invitation.invitedEmail`, `TaskTemplate`) and connects event tasks to invitations, which better fits the workflow described.
2. Model 1 does capture organizer attendance (`Organizer ... attends ... Event`), but its invitation/task associations are too loose (`0..*` to `0..*`), making the domain reasoning less precise.
3. Rejected or checked issues: I did not penalize either model for using different but equivalent association styles or for common type aliases; those were treated as semantically equivalent.
4. Overall judgment: Model 2 is the better UML domain model despite one missing organizer-attends-event relation, because its class structure, attributes, and association structure align more closely with the invitation and checklist workflow.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</si>
  <si>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</si>
  <si>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</si>
  <si>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</si>
  <si>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semantic coverage against the requirement first, then I’ll score each model criterion by criterion with direct evidence.
I’ve finished the comparison. The main tradeoff is Model 1’s exact 32-card / 2-4-player constraints versus Model 2’s explicit connection-piece and designer-operation modeling.
```result
Scores:
1. Game lifecycle and one-at-a-time play: Model 1 = 4, Model 2 = 4; Evidence: Model 1 has `GameState { SETUP, PLAYING, FINISHED }` and `Game` with `state`, plus comment `'Singleton constraint: Only one game can be played at a time`; Model 2 has `Game` with `isGameEnded`, `startGame()`, `endGame(winner)`, and `nextTurn()`, but no explicit singleton. Neither models pausing/saving, which is good because the requirement forbids them.
2. Designer workflow and board definition: Model 1 = 3, Model 2 = 5; Evidence: Model 1 only has `Designer --&gt; "1" Game : designs` plus `Board` and `Tile`, but no explicit designer operations or deck-definition workflow. Model 2 has `GameDesigner` with `designBoard()`, `placeTile(tile)`, `connectTiles(tile1, tile2, side)`, `setHiddenTile(tile)`, `setStartingPosition(player, tile)`, `setActionTile(tile)`, and `defineActionDeck()`, which matches the requirement closely.
3. Tile placement, connections, and side constraints: Model 1 = 4, Model 2 = 4; Evidence: Model 1 models `Tile --&gt; "0..1" Tile : rightTile/leftTile/topTile/bottomTile`, which captures at-most-one-per-side and all four sides. Model 2 uses `ConnectionPiece` with `side1/side2`, plus `ConnectionPiece --&gt; Tile` twice and `GameDesigner.connectTiles(..., side)`, but the per-side at-most-one constraint is only implicit, not explicit.
4. Hidden tile, starting positions, and action tiles: Model 1 = 4, Model 2 = 4; Evidence: Model 1 has `Tile.isHidden`, `Player --&gt; "1" Tile : startingTile`, and `Tile &lt;|-- ActionTile`; Model 2 has separate `HiddenTile`, `setHiddenTile(tile)`, `setStartingPosition(player, tile)`, and `Tile &lt;|-- ActionTile`. Both cover the concepts, though neither fully encodes all designer constraints on these placements.
5. Players, turn order, and player count: Model 1 = 5, Model 2 = 3; Evidence: Model 1 has `Game *-- "2..4" Player : players`, `Player.turnOrder`, and `Game --&gt; "1" Player : currentPlayer`, directly matching 2 to 4 players and turn order. Model 2 has `Game --&gt; Player : has players`, `currentPlayer`, and `Player.playerNumber`, but no 2..4 multiplicity or explicit start order from Player 1 through Player 4.
6. Playing pieces and color: Model 1 = 4, Model 2 = 5; Evidence: Model 1 has `Player *-- "1" PlayingPiece` and `PlayingPiece.color: String`, which captures one piece per player and distinct colors only loosely. Model 2 has `PlayingPieceColor { RED, BLUE, GREEN, YELLOW }` and `PlayingPiece.color : PlayingPieceColor`, which aligns better with the “different color” requirement.
7. Movement, die, and action-card deck rules: Model 1 = 4, Model 2 = 4; Evidence: Model 1 has `Die`, `ActionCardType` with the five required choices, and `Deck *-- "32" ActionCard`. Model 2 has `Die`, the same five action-card categories via `ActionCardType`, `Deck`, and `Game.rollDie()`, but the deck size is not explicitly 32 in the UML.
8. Visited tiles, hidden-tile win condition, and action-tile cooldown behavior: Model 1 = 3, Model 2 = 4; Evidence: Model 1 has `Tile.isVisited`, `Tile.color`, `Game.winner`, and `ActionTile.turnsAsRegular/turnsRemaining/isRevealed`, but the turn-based action-tile temporary regularity is not clearly tied to game state flow. Model 2 has `Tile.markVisited()`, `TileColor { WHITE, BLACK }`, `Game.endGame(winner)`, and `ActionTile.cooldownTurns/currentCooldown`, which maps more directly to “turns as regular tile,” though the exact hidden-tile discovery logic is still implicit.
Total: Model 1 = 31, Model 2 = 33
Choice: B
Reason:
1. Designer workflow and board definition: Model 2 is clearly stronger because it explicitly models the designer’s actions (`placeTile`, `connectTiles`, `setHiddenTile`, `setStartingPosition`, `setActionTile`, `defineActionDeck`), while Model 1 only has a generic `Designer --&gt; Game : designs` link.
2. Players and turn order: Model 1 wins on the hard requirement of `2..4` players with `Player.turnOrder`, but Model 2 still represents turn management with `currentPlayer` and `playerNumber`. This is a real advantage for Model 1, but not enough to outweigh Model 2’s broader requirement coverage.
3. Rejected or checked issues: I did not penalize either model for using opposite-direction associations instead of a single bidirectional line, primitive type aliases, or equivalent multiplicities. I also did not use the lack of `abstract` on `Tile` in Model 2 as a negative because the requirement does not specify whether direct `Tile` instances are allowed.
4. Overall judgment: Model 2 covers the designer-side domain much more faithfully and models the tile/action mechanics more explicitly, while Model 1 is stronger on exact player-cardinality and exact deck count. The overall semantic fit is better in Model 2,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</si>
  <si>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</si>
  <si>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each criterion separately and grounding the score in the actual classes, attributes, and associations in each model.
```result
Scores:
1. Cohesion and Decoupling: Model 1 = 2, Model 2 = 4; Evidence: Model 1 puts connection state into `Tile` (`isConnectedRight`, `isConnectedLeft`, `isConnectedTop`, `isConnectedBottom`) and mixes gameplay state into `Game` (`state`, `maxPlayers`, `spareConnectionPieces`, `currentPlayerIndex`), while Model 2 separates `ConnectionPiece`, `ConnectionPiecePile`, `GameBoard`, `HiddenTile`, and `ActionTile`, with `GameDesigner` holding explicit board-design operations.
2. Complexity: Model 1 = 2, Model 2 = 4; Evidence: Model 1 has fewer classes and almost no behavior, but it compresses several domain concepts into attributes; Model 2 has more classes and methods (`startGame`, `nextTurn`, `connectTiles`, `drawCard`, `takePiece`) and a slightly deeper hierarchy (`Tile` -&gt; `RegularTile` / `ActionTile` / `HiddenTile`), which is more complex but better aligned with the requirement.
3. Practicability: Model 1 = 2, Model 2 = 4; Evidence: Model 1 lacks explicit operations for drawing/executing action cards or managing connection pieces, so implementation and testing are less direct; Model 2 adds concrete behaviors on `Deck`, `ActionCard`, `GameBoard`, `ConnectionPiece`, and `Player`, making the design more readable and testable.
Total: Model 1 = 6, Model 2 = 12
Choice: B
Reason:
1. Cohesion and Decoupling: Model 2 is more modular because it separates board, connection pieces, deck, and hidden/action tile concerns into dedicated classes; Model 1 concentrates several responsibilities inside `Tile` and `Game`.
2. Complexity: Model 2 has more classes, but they are mostly justified by distinct domain concepts in the requirement; Model 1 is simpler but too compressed for the described game flow.
3. Rejected or checked issues: I did not score against `abstract class Tile`, opposite-direction associations, primitive type aliases, or the singleton-style comment, because those are explicitly non-penalized or semantically equivalent.
4. Overall judgment: Model 2 better matches the required board-design-and-play lifecycle and is more practical to implement and test.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</si>
  <si>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</si>
  <si>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covers `Game`, `Designer`, `Player`, `Board`, `Tile`, `ActionTile`, `Deck`, `ActionCard`, and `PlayingPiece`, but it does not model `ConnectionPiece`, `HiddenTile`, or `RegularTile` as distinct concepts. Model 2 adds `GameDesigner`, `GameBoard`, abstract `Tile` with `RegularTile`, `ActionTile`, `HiddenTile`, plus `ConnectionPiece`, `ConnectionPiecePile`, and the supporting enums.
2. Associations/Multiplicities between classes for domain reasoning: Model 1 = 4, Model 2 = 4; Evidence: Model 1 correctly shows `Game` owning `Board`, `Deck`, `Player`, and `Die`, `Game "2..4" Player`, `Board` containing tiles, and `Tile` linked to adjacent tiles with `0..1` on each side, but it lacks a `ConnectionPiece` relation. Model 2 correctly shows `Game` with `GameBoard`, `Deck`, `ConnectionPiecePile`, `Die`, `GameBoard` containing `Tile` and `ConnectionPiece`, `ConnectionPiece` connecting two tiles, and `Deck` containing `ActionCard`, but it does not state the `2..4` player multiplicity or side-specific `0..1` constraints as explicitly.
3. Model attributes with appropriate data types: Model 1 = 4, Model 2 = 5; Evidence: Model 1 uses usable types like `int`, `boolean`, and enums for `GameState` and `ActionCardType`, but several domain values are plain `String` or boolean flags such as `Tile.color`, `PlayingPiece.color`, and `Tile.isConnectedRight/Left/Top/Bottom`. Model 2 models these more precisely with `TileColor`, `PlayingPieceColor`, `Side`, and `ActionCardType` enums, plus typed references like `currentTile : Tile` and `winner : Player`.
4. Consistencies of Terminology with given context: Model 1 = 4, Model 2 = 5; Evidence: Model 1 mostly matches the brief with `Designer`, `Player`, `Board`, `Tile`, `ActionTile`, and `ActionCard`, but some domain ideas are flattened into flags like `isHidden` and `isStartingPosition`. Model 2 stays closer to the wording of the requirement with `GameDesigner`, `GameBoard`, `HiddenTile`, `ConnectionPiece`, `ConnectionPiecePile`, and action-card behavior names that map directly to the described game flow.
5. Adherence of UML class diagram standards: Model 1 = 5, Model 2 = 5; Evidence: Both are valid PlantUML class diagrams with classes/enums, inheritance, associations, and multiplicities rendered in standard UML form.
Total: Model 1 = 20, Model 2 = 24
Choice: B
Reason:
1. Appropriate conceptual classes: Model 2 is much closer to the required domain model because it explicitly represents `ConnectionPiece`, `HiddenTile`, `RegularTile`, and the spare-piece pile, while Model 1 compresses several of those into flags or omits them entirely.
2. Associations/Multiplicities: Model 1 is stronger on exact player count and per-side tile limits, but Model 2 better captures the connection-piece workflow and the board/pile structure; overall they are comparable, with Model 2 slightly richer in domain structure.
3. Attributes/data types: Model 2 is clearly better because it uses enums for tile color, piece color, side, and card type, while Model 1 leaves several domain values as raw strings or booleans.
4. Terminology: Model 2 aligns more closely with the problem statement’s vocabulary and separates hidden/action/regular tiles explicitly.
5. Rejected or checked issues: I did not penalize either model for association direction style or equivalent primitive naming choices, since those are not valid negative factors here.
6. Overall judgment: Model 2 gives the more faithful and complete domain model, so it wins despite Model 1’s stronger explicit player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</si>
  <si>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</si>
  <si>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strictly on requirement fidelity: classes, relationships, multiplicities, and whether they invent or miss key domain concepts.
```result
Scores:
1. Game lifecycle and single-game flow: Model 1 = 3, Model 2 = 4; Evidence: Model 1 has `GameState { SETUP, PLAYING, FINISHED }` and `Game.state`, but no explicit play/start/end operations; Model 2 has `GameState { DESIGNING, PLAYING, ENDED }`, plus `start()`, `endGame(winner)`, and `nextTurn()`.
2. Designer setup and board ownership: Model 1 = 3, Model 2 = 4; Evidence: Model 1 uses `Designer --&gt; Game : designs` and `Game *-- Board`; Model 2 uses `GameDesigner`, `Game --&gt; GameDesigner : designedBy`, `Game *-- Board`, and `Board --&gt; HiddenTile : hiddenTile`.
3. Tile connectivity and connection pieces: Model 1 = 2, Model 2 = 5; Evidence: Model 1 models connections as tile-to-tile links (`Tile --&gt; Tile` for right/left/top/bottom) plus booleans like `isConnectedRight`; Model 2 models explicit `ConnectionPiece` objects, `Tile o-- ConnectionPiece` on each side, and `ConnectionPiece --&gt; "2" Tile : connects`, which matches the requirement directly.
4. Players, pieces, and turn order: Model 1 = 4, Model 2 = 5; Evidence: Model 1 has `Game *-- "2..4" Player`, `Player.turnOrder`, `Player *-- PlayingPiece`, and `Player --&gt; Tile : startingTile/currentTile`; Model 2 has the same core elements with `Player.order`, `Player *-- PlayingPiece`, `Player --&gt; Tile : startingPosition`, and `PlayingPiece.color: PieceColor`.
5. Hidden tile, visit marking, and win condition: Model 1 = 3, Model 2 = 5; Evidence: Model 1 has `Tile.isHidden`, `Tile.isVisited`, and `Game --&gt; "0..1" Player : winner`, but no explicit hidden-tile class; Model 2 has `HiddenTile` as a subclass, `Board --&gt; HiddenTile : hiddenTile`, `Tile.markVisited()`, `Tile.isVisited()`, and `Game.endGame(winner)`.
6. Action tiles and action cards: Model 1 = 3, Model 2 = 5; Evidence: Model 1 has `Deck *-- "32" ActionCard`, `ActionCard.cardType: ActionCardType`, and `ActionTile.turnsAsRegular`; Model 2 has `Deck.drawCard()`, abstract `ActionCard` with subclasses for all five predefined choices, and `ActionTile.cooldownTurns/remainingCooldown`.
Total: Model 1 = 18, Model 2 = 28
Choice: B
Reason:
1. Tile connectivity and connection pieces: Model 2 is much closer because it explicitly models `ConnectionPiece` and two-tile links; Model 1 only uses directional booleans and tile-to-tile associations.
2. Hidden tile and action-card modeling: Model 2 directly represents `HiddenTile` and the five card types as subclasses, while Model 1 compresses both concepts into weaker flags/enums.
3. Rejected or checked issues: I did not penalize association direction, primitive type aliases, or comments; those are forbidden as negative evidence here.
4. Overall judgment: Model 2 better captures the required domain structure and constraints with fewer semantic gaps, especially for board connections, hidden tile handling, and the action-card deck.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</si>
  <si>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</si>
  <si>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packs multiple concerns into `Tile` (`isVisited`, `isHidden`, `isStartingPosition`, `isConnectedRight/Left/Top/Bottom`) and keeps `ActionCard` as only `cardType`, while Model 2 separates `HiddenTile`, `ActionTile`, `ConnectionPiece`, and makes `ActionCard` an abstract type with `execute(game, player)`.
2. Complexity: Model 1 = 3, Model 2 = 4; Evidence: Model 1 has a smaller set of classes (`Game`, `Board`, `Tile`, `ActionTile`, `Deck`, `ActionCard`, etc.) with one simple inheritance link (`Tile &lt;|-- ActionTile`), while Model 2 adds more domain-specific classes (`RegularTile`, `HiddenTile`, `ConnectionPiece`, five action-card subclasses) and deeper inheritance, but those extra concepts map to the requirement rather than arbitrary clutter.
3. Practicability: Model 1 = 2, Model 2 = 4; Evidence: Model 1 is mostly structural data with little behavior (`Die.roll()` only; `Deck` and `ActionCard` have no operations), making turn flow, card handling, and cooldown logic implicit; Model 2 exposes testable operations such as `Game.start/endGame/nextTurn`, `Deck.drawCard/isEmpty`, `ActionCard.execute`, `Tile.markVisited`, and `ActionTile.tickCooldown`.
Total: Model 1 = 7, Model 2 = 12
Choice: B
Reason:
1. Cohesion and Decoupling: Model 2 keeps board connectivity, hidden-tile identity, and action-card behavior in separate concepts; Model 1 concentrates several concerns inside `Tile` and uses an enum-only `ActionCard`.
2. Complexity: Model 2 is larger, but most of its extra classes are justified by required domain concepts; Model 1 is smaller mainly because it flattens several required concepts into attributes.
3. Rejected or checked issues: I did not penalize opposite-direction associations, PlantUML comments, lowercase primitive types, equivalent multiplicities, or optional abstractness.
4. Overall judgment: Model 2 is more faithful to the requirement and more practical to implement and test, so it wins despite being a bit more elaborate.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</si>
  <si>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</si>
  <si>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against each criterion now, using only the UML semantics in each block and the requirement text.
I’ve identified the main tradeoff: Model 2 explicitly models connection pieces, hidden tiles, and card subclasses, while Model 1 compresses several domain concepts into booleans/enums. I’m assigning scores now.
```result
Scores:
1. Appropriate conceptual classes aligned with the domain: Model 1 = 4, Model 2 = 5; Evidence: Model 1 includes `Designer`, `Game`, `Board`, `Tile`, `ActionTile`, `Player`, `PlayingPiece`, `Deck`, and `ActionCard`, but folds hidden tiles and connection pieces into `Tile` flags and self-links; Model 2 adds explicit `GameDesigner`, `HiddenTile`, `ConnectionPiece`, and separate `ExtraTurnCard` through `LoseTurnCard` classes that match the stated domain more directly.
2. Associations/Multiplicities between classes for domain reasoning: Model 1 = 3, Model 2 = 5; Evidence: Model 1 has `Game *-- Board`, `Game *-- Player` with `2..4`, `Board *-- Tile`, `Player *-- PlayingPiece`, and `Tile` self-associations for sides, but no explicit `ConnectionPiece` structure or `hiddenTile` association; Model 2 adds `Board --&gt; HiddenTile : hiddenTile`, four side `Tile o-- ConnectionPiece` links, `ConnectionPiece --&gt; "2" Tile : connects`, and `Game o-- "2..4" Player`.
3. Model attributes with appropriate data types: Model 1 = 3, Model 2 = 4; Evidence: Model 1 has useful attributes like `state`, `turnOrder`, `isVisited`, `isHidden`, `isStartingPosition`, and side flags, but also uses weaker typing such as `color: String` and several booleans that overlap with associations; Model 2 uses stronger domain types like `TileColor`, `PieceColor`, and cooldown counters, though some state is modeled through associations rather than attributes.
4. Consistencies of Terminology with given context: Model 1 = 4, Model 2 = 5; Evidence: Model 1 is mostly aligned with terms like `Designer`, `PlayingPiece`, `ActionTile`, and `ActionCardType`, but expresses hidden and connection concepts indirectly via tile flags; Model 2 uses the requirement’s terminology more directly with `GameDesigner`, `HiddenTile`, `ConnectionPiece`, `ActionTile`, and the five action-card subclasses.
5. Adherence of UML class diagram standards: Model 1 = 5, Model 2 = 5; Evidence: both diagrams use valid PlantUML class-diagram syntax with standard inheritance, composition, association, and multiplicity notation, and neither has a notation-level error that makes the diagram unreadable.
Total: Model 1 = 19, Model 2 = 24
Choice: B
Reason:
1. Conceptual classes: Model 2 is more faithful because it explicitly models `HiddenTile`, `ConnectionPiece`, and the five action-card types, while Model 1 compresses those concepts into booleans and one generic `ActionCard`.
2. Associations/multiplicities: Model 2 captures the core board topology and hidden-tile placement directly, including side-based connection pieces and `2..4` players; Model 1 only approximates tile connectivity with self-associations.
3. Attributes/data types: Model 2 uses more appropriate domain enums such as `TileColor` and `PieceColor`; Model 1 relies more on plain strings and overlapping boolean flags.
4. Rejected or checked issues: I did not penalize bidirectional-vs-opposite association style, single-quote comments, or the abstractness of `ActionCard`, since those are forbidden/non-scoring factors here.
5. Overall judgment: Model 2 is materially closer to the requirement across the domain model, relationships, and terminology, so it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</si>
  <si>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</si>
  <si>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Model 1 = 3, Model 2 = 4; Evidence: Model 1 includes the main concepts `Game`, `GameDesigner`, `Player`, `PlayingPiece`, `Tile`, `HiddenTile`, `ActionTile`, `Deck`, `Die`, and `ConnectionPiece`, plus `GameDesigner` methods like `setHiddenTile()` and `setActionTile()`. Model 2 includes the same core concepts plus `Board`, `GameState`, and explicit `ActionCard` subclasses, and it directly models `Game "1" o-- "2..4" Player`, which is closer to the requirement’s player-count rule.
2. Association/cardinality fidelity: Model 1 = 2, Model 2 = 5; Evidence: Model 1 uses generic links like `Game --&gt; Player : has players` and `ConnectionPiece --&gt; Tile : connects` twice, but it does not express the required `2..4` players, `32` cards, or the `0..1` per-side tile-connection limit. Model 2 explicitly states `Game "1" o-- "2..4" Player`, `Deck "1" *-- "32" ActionCard : cards`, and `Tile "1" o-- "0..1" ConnectionPiece` for right/left/top/bottom, plus `ConnectionPiece --&gt; "2" Tile : connects`.
3. Designer setup workflow: Model 1 = 5, Model 2 = 2; Evidence: Model 1 models the designer’s responsibilities directly with `designBoard()`, `placeTile()`, `connectTiles()`, `setHiddenTile()`, `setStartingPosition()`, `setActionTile()`, and `defineActionDeck()`. Model 2 only has `class GameDesigner { name: String }` and `Game "1" --&gt; "1" GameDesigner : designedBy`, so the setup workflow is mostly implicit rather than represented.
4. Action deck and card modeling: Model 1 = 3, Model 2 = 5; Evidence: Model 1 captures the five predefined choices via `enum ActionCardType { ROLL_EXTRA_TURN, CONNECT_TILES, REMOVE_CONNECTION, MOVE_TO_ARBITRARY_TILE, LOSE_TURN }` and a generic `ActionCard { type : ActionCardType }`, but it does not model the required deck size of 32. Model 2 models `Deck "1" *-- "32" ActionCard : cards` and splits the five choices into `ExtraTurnCard`, `ConnectTilesCard`, `RemoveConnectionCard`, `MoveToTileCard`, and `LoseTurnCard`, which is a tighter fit to the requirement.
5. Constraint restraint / extra modeling: Model 1 = 3, Model 2 = 3; Evidence: Model 1 adds `GameBoard width/height`, `ConnectionPiecePile`, and `cardsRemaining`; Model 2 adds `GameState`, `turnNumber`, `spareConnectionPieces: int`, and `skipNextTurn: boolean`. Both introduce some implementation-oriented detail beyond the requirement, but neither clearly violates the requirement. I did not treat `ActionCard` being `abstract` in Model 2 as a negative, since abstractness is optional here.
Total: Model 1 = 16, Model 2 = 19
Choice: B
Reason:
1. Model 2 better captures the hard UML constraints the requirement stresses most: `2..4` players, `32` action cards, and `0..1` connection per side.
2. Model 1 is stronger on the designer workflow, but that is outweighed by Model 2’s much more precise multiplicities and card/deck structure.
3. Rejected issues: I did not score against association direction differences or abstract-vs-concrete superclass choice, since those are semantically neutral under the rules.
4. Overall judgment: Model 2 is the better UML match because it represents the required cardinalities and board topology more faithfully, even though Model 1 has a better explicit design-phase API.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</si>
  <si>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</si>
  <si>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`GameBoard`, `Deck`, `ConnectionPiecePile`, and `Die` from `Game`, and `GameDesigner` owns setup actions like `placeTile`, `connectTiles`, `setHiddenTile`, `setStartingPosition`, and `defineActionDeck`. Model 2 keeps `Board`, `Deck`, `Tile`, `ActionTile`, and `PlayingPiece` separate too, but folds spare-piece tracking into `Game.spareConnectionPieces: int` and leaves `GameDesigner` with only `name`, so responsibility boundaries are less explicit.
2. Complexity: Model 1 = 4, Model 2 = 3; Evidence: Model 1 uses one `ActionCard` class with an `ActionCardType` enum, so the action-card model stays compact, while Model 2 expands that concept into `abstract class ActionCard` plus five concrete subclasses (`ExtraTurnCard`, `ConnectTilesCard`, `RemoveConnectionCard`, `MoveToTileCard`, `LoseTurnCard`), increasing total class count and inheritance depth. Both have a small number of methods per class, but Model 2 is structurally heavier.
3. Practicability: Model 1 = 3, Model 2 = 4; Evidence: Model 2 captures more of the stated rules directly with `Game "1" o-- "2..4" Player`, `Deck "1" *-- "32" ActionCard`, four side-specific tile connections with `0..1` multiplicities, and `Board`/`HiddenTile` links. Model 1 is readable and modular, but it omits explicit 2-to-4 player cardinality, the 32-card count, and the per-side connection limits, so it is less complete for validation and testing.
Total: Model 1 = 11, Model 2 = 10
Choice: A
Reason:
1. Cohesion and Decoupling: Model 1 keeps more responsibilities in separate classes (`GameBoard`, `Deck`, `ConnectionPiecePile`, `Die`) instead of collapsing them into `Game`, while Model 2 stores spare-piece state directly in `Game`.
2. Complexity: Model 1 is simpler because it models action-card variety with a type enum, whereas Model 2 introduces five extra action-card subclasses and a deeper inheritance tree.
3. Practicability: Model 2 is more practical because it states the core constraints explicitly, especially 2..4 players, 32 action cards, and side-limited tile connections.
4. Rejected or checked issues: I did not use association direction, primitive-type spelling, or abstractness style as scoring factors; those are forbidden by the rubric.
5. Overall judgment: Model 1 edges out Model 2 on cohesion and complexity, and that outweighs Model 2's better rule-level explicitness.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</si>
  <si>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</si>
  <si>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`Game`, `GameDesigner`, `GameBoard`, `Tile`/`RegularTile`/`ActionTile`/`HiddenTile`, `Player`, `PlayingPiece`, `Deck`, `ActionCard`, `Die`, and `ConnectionPiecePile`, but it compresses the five action-card choices into `ActionCardType`. Model 2 includes `Game`, `GameDesigner`, `Board`, the tile hierarchy, `Player`, `PlayingPiece`, `Deck`, `Die`, and it maps the five required action-card choices directly to `ExtraTurnCard`, `ConnectTilesCard`, `RemoveConnectionCard`, `MoveToTileCard`, and `LoseTurnCard`.
2. Associations/Multiplicities between classes for domain reasoning: Model 1 = 2, Model 2 = 5; Evidence: Model 1 has `Game --&gt; Player : has players/current player/winner`, `Player --&gt; Tile : current tile`, and container relations like `GameBoard *- Tile`, but it does not state the required `2..4` player count, `32` cards, or side-specific `0..1` tile connections. Model 2 explicitly models `Game "1" o-- "2..4" Player`, `Deck "1" *-- "32" ActionCard`, `Tile` with four side relations each `0..1`, and `ConnectionPiece --&gt; "2" Tile`.
3. Model attributes with appropriate data types: Model 1 = 5, Model 2 = 4; Evidence: Model 1 gives `Tile.color`, `Tile.x/y`, `ActionTile.cooldownTurns/currentCooldown`, `ConnectionPiece.side1/side2`, `ActionCard.type`, `Deck.cardsRemaining`, and `PlayingPiece.color`. Model 2 has useful attributes too (`Tile.color/x/y`, `ActionTile.cooldownTurns/remainingCooldown`, `Game.state`, `Player.order/skipNextTurn`), but `ConnectionPiece` and `ActionCard` are mostly attribute-free shells.
4. Consistencies of Terminology with given context: Model 1 = 4, Model 2 = 4; Evidence: Model 1 uses domain-aligned terms like `GameBoard`, `ConnectionPiecePile`, `PlayingPieceColor`, and `GameDesigner`, while Model 2 uses `Board`, `GameState`, `PieceColor`, and the five action-card subclasses. Both are mostly consistent, with only minor wording differences from the prompt.
5. Adherence of UML class diagram standards: Model 1 = 5, Model 2 = 5; Evidence: Both use standard class, enum, inheritance, and association notation that remains readable. Model 1 and Model 2 are both syntactically coherent PlantUML class diagrams, with no major notation breakdowns affecting interpretation.
Total: Model 1 = 20, Model 2 = 23
Choice: B
Reason:
1. Conceptual classes: Model 2 is closer to the requirement because it represents the five predefined action-card choices as separate subclasses, while Model 1 collapses them into an enum.
2. Associations/Multiplicities: Model 2 is clearly stronger because it captures the key cardinalities and relationships the prompt states explicitly: `2..4` players, `32` action cards, and one connection per tile side.
3. Attributes: Model 1 is stronger here because it models more of the board-game state directly, especially `ConnectionPiece.side1/side2` and `ActionCard.type`, which Model 2 leaves implicit.
4. Rejected or checked issues: I did not penalize either model for equivalent association direction or primitive type spelling differences, since those are semantically equivalent per the instructions.
5. Overall judgment: Model 2 wins overall because the requirement is driven more by structural domain relationships than by extra attribute detail, and Model 2 captures the core multiplicities and action-card structure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</si>
  <si>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</si>
  <si>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Game lifecycle and exclusivity: Model 1 = 3, Model 2 = 3; Evidence: Model 1 has `Game` with `currentPlayer`, `isGameEnded`, `winner`, plus `startGame()`, `endGame()`, and `nextTurn()`, but nothing for non-pausing/non-saving or one-game exclusivity. Model 2 has `GameState { SETUP, PLAYING, FINISHED }`, `currentPlayerIndex`, `maxPlayers`, and `winner`, but likewise no real pause/save model and only a comment for singleton behavior.
2. Player roster, turn order, and pieces: Model 1 = 3, Model 2 = 4; Evidence: Model 1 has `Player.playerNumber`, `skippedTurns`, `PlayingPiece.color`, and `Game --&gt; Player`, but no `2..4` player cardinality or explicit first-player ordering. Model 2 has `Game "1" *-- "2..4" Player`, `Player.turnOrder`, `isNextTurnLost`, and `Player *-- PlayingPiece`.
3. Board layout and tile connectivity: Model 1 = 4, Model 2 = 4; Evidence: Model 1 has `GameBoard *- Tile`, `GameBoard *- ConnectionPiece`, and `ConnectionPiece` with `side1/side2` plus `connect(tile1, tile2, side)`, which captures connection pieces. Model 2 has `Tile --&gt; "0..1" Tile` for `rightTile`, `leftTile`, `topTile`, and `bottomTile`, directly encoding one connection per side, but without a separate connection-piece class.
4. Designer setup artifacts: Model 1 = 4, Model 2 = 3; Evidence: Model 1 includes `ConnectionPiecePile` with `sparePieces`, `takePiece()`, `returnPiece()`, and a `Deck` of `ActionCard`s with `ActionCardType` choices. Model 2 has `Deck "1" *-- "32" ActionCard` and `ActionCardType`, but only `Game.spareConnectionPieces : int` instead of a spare-piece pile/class and no `ConnectionPiece` entity.
5. Hidden/action tile mechanics and state changes: Model 1 = 4, Model 2 = 4; Evidence: Model 1 has `Tile.color : TileColor`, `markVisited()/isVisited()`, `HiddenTile`, and `ActionTile.cooldownTurns/currentCooldown`. Model 2 has `Tile.isVisited`, `isHidden`, `color`, and `ActionTile.turnsAsRegular/turnsRemaining/isRevealed`, which also models visited and temporary action-tile behavior.
Total: Model 1 = 18, Model 2 = 18
Choice: C
Reason:
1. Game lifecycle and exclusivity: neither model fully captures the no-pause/no-save, one-game-at-a-time constraint, so neither gains a decisive edge.
2. Player roster, turn order, and pieces: Model 2 is stronger on `2..4` players and turn ordering; Model 1 is weaker there but still models player/piece roles.
3. Board layout and tile connectivity: Model 1 is stronger on physical connection pieces; Model 2 is stronger on explicit per-side connection multiplicities. These offset each other.
4. Designer setup artifacts: Model 1 better represents the required connection-piece pile; Model 2 better represents the 32-card deck. The key domain concepts are split across the two.
5. Rejected or checked issues: I did not use unidirectional-vs-bidirectional association style or Model 2's singleton comment as negative evidence, because those are forbidden/ignored.
6. Overall judgment: the two diagrams have different but balanced strengths, and neither dominates the other enough to justify A or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</si>
  <si>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</si>
  <si>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concerns into `Game`, `GameDesigner`, `GameBoard`, `Tile` with `ActionTile`/`HiddenTile`, `ConnectionPiece`, `Deck`, and `ConnectionPiecePile`, while `Tile` itself only tracks tile state (`color`, `x`, `y`, visited). Model 2 packs many concerns into `Tile` (`posX`, `posY`, `isVisited`, `isHidden`, `isStartingPosition`, `color`, four `isConnected...` flags) and keeps spare connections only as `Game.spareConnectionPieces: int`, which increases coupling and reduces cohesion.
2. Complexity: Model 1 = 4, Model 2 = 3; Evidence: Model 1 has more classes and a moderate method load, but they map to the domain’s required concepts (`Player`, `PlayingPiece`, `Die`, `ActionCard`, `Deck`, `ConnectionPiece`, etc.) with only one inheritance step under `Tile`. Model 2 has fewer classes and almost no methods, but that simplicity comes from collapsing connection pieces, spare pile, hidden/starting tile concerns, and board connectivity into `Tile` and `Game`, so it is simpler but less appropriately balanced for the requirement.
3. Practicability: Model 1 = 4, Model 2 = 2; Evidence: Model 1 offers directly testable operations like `placeTile`, `connectTiles`, `setHiddenTile`, `setStartingPosition`, `setActionTile`, `drawCard`, `takePiece`, and explicit objects for `Deck`, `ConnectionPiecePile`, and `Die`, which map well to setup and gameplay flows. Model 2 has a mostly attribute-only `Designer`, an empty `Deck`, and no `ConnectionPiece` or pile object; behavior would need to be inferred from flags on `Tile` and primitive counters, which is less practical for implementation and testing.
Total: Model 1 = 12, Model 2 = 7
Choice: A
Reason:
1. Cohesion and Decoupling: Model 1 isolates mechanics into focused classes; Model 2 centralizes multiple responsibilities in `Tile` and `Game`.
2. Complexity: Model 1 is more complex in class count but aligned with the domain; Model 2 is simpler but mainly by flattening required concepts.
3. Rejected or checked issues: I did not use association direction, primitive type aliases, multiplicity literal variants, or PlantUML comments as negative evidence.
4. Overall judgment: Model 1 is the more faithful and maintainable UML design for the requirement, so it wins clearly rather than by a narrow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</si>
  <si>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</si>
  <si>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`GameDesigner`, `GameBoard`, `HiddenTile`, `ActionTile`, `ConnectionPiece`, `Deck`, `ActionCard`, and `Die`, which map directly to the requirement. Model 2 has `Designer`, `Board`, `Tile`, `ActionTile`, `Deck`, `ActionCard`, and `Die`, but it flattens the hidden tile into `Tile.isHidden` and omits any `ConnectionPiece` class.
2. Associations/Multiplicities between classes for domain reasoning: Model 1 = 3, Model 2 = 4; Evidence: Model 1 connects `Game` to `Player`, `Board` to `Tile`/`ConnectionPiece`, and `ConnectionPiece` to `Tile`, but it does not express `2..4` players or the side-specific `0..1` limits. Model 2 explicitly shows `Game "1" *-- "2..4" Player`, `Deck "1" *-- "32" ActionCard`, `Board "1" *-- "1..*" Tile`, `Player -&gt; "1" Tile` for start/current tiles, and four `0..1` side links, but it omits a `ConnectionPiece` class and models tile links directly.
3. Model attributes with appropriate data types: Model 1 = 4, Model 2 = 3; Evidence: Model 1 uses typed attributes like `Tile.color : TileColor`, `PlayingPiece.color : PlayingPieceColor`, `ActionCard.type : ActionCardType`, `ActionTile.cooldownTurns/currentCooldown : int`, and `Deck.cards : ActionCard[]`. Model 2 has useful fields like `Tile.isVisited`, `isHidden`, `isStartingPosition`, and `ActionTile.turnsRemaining`, but `Deck` is empty, `PlayingPiece.color` is just `String`, and the spare connection pieces are reduced to `Game.spareConnectionPieces : int`.
4. Consistencies of Terminology with given context: Model 1 = 5, Model 2 = 3; Evidence: Model 1 keeps the domain vocabulary with `HiddenTile`, `ActionTile`, `ConnectionPiece`, `PlayingPiece`, and `ActionCardType` matching the described game. Model 2 stays partly aligned with `Designer`, `Player`, `Board`, and `ActionCard`, but it replaces the hidden tile and connection-piece concepts with generic booleans such as `isHidden` and `isConnectedRight/Left/Top/Bottom`.
5. Adherence of UML class diagram standards: Model 1 = 5, Model 2 = 5; Evidence: Both are valid PlantUML class diagrams with classes, enums, inheritance, associations, and multiplicities rendered in standard syntax.
Total: Model 1 = 22, Model 2 = 18
Choice: A
Reason:
1. Appropriate conceptual classes aligned with the domain: Model 1 models the key domain objects more faithfully, especially `HiddenTile` and `ConnectionPiece`; Model 2 collapses those into booleans and direct tile links.
2. Associations/Multiplicities between classes for domain reasoning: Model 2 is stronger on explicit multiplicities like `2..4` players and `32` cards, but it still misses the `ConnectionPiece` concept. Model 1 has the right object structure, but less multiplicity detail.
3. Rejected or checked issues: I did not penalize either model for using opposite-direction associations, duplicate association lines, single-quote comments, or primitive aliases like `int`/`String`, since those are not valid negatives under the rules.
4. Overall judgment: Model 1 is better because it captures the domain concepts and terminology more faithfully, and its small multiplicity gaps are less damaging than Model 2’s missing `ConnectionPiece` and hidden-tile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</si>
  <si>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</si>
  <si>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slice against both diagrams and will score them separately, then compare on the strongest semantic gaps.
```result
Scores:
1. Designer setup and game definition: Model 1 = 4, Model 2 = 3; Evidence: Model 1 has `GameDesigner` and `Game --&gt; "1" GameDesigner : designedBy`, plus `GameState` with `DESIGNING`; Model 2 has `Designer` and `Designer --&gt; "1" Game : designs`, plus `GameState` with `SETUP`. Model 1 is slightly more directly aligned to the requirement’s “game designer defines the whole game” wording.
2. Board, tiles, and connection semantics: Model 1 = 5, Model 2 = 3; Evidence: Model 1 includes `Board`, `Tile`, `HiddenTile`, `ActionTile`, and a `ConnectionPiece` class with four side-specific tile-to-connection associations and `ConnectionPiece --&gt; "2" Tile : connects`; Model 2 has `Board`, `Tile`, and `ActionTile`, but models adjacency with tile-to-tile links and has no `ConnectionPiece` class.
3. Player, piece, and turn flow: Model 1 = 5, Model 2 = 4; Evidence: Model 1 has `Game --&gt; "2..4" Player`, `Player.order`, `PlayingPiece.color: PieceColor`, `Game.nextTurn()`, and `endGame(winner: Player)`; Model 2 has `Game --&gt; "2..4" Player`, `Player.turnOrder`, `Game.currentPlayerIndex`, `Game.winner`, and `isNextTurnLost`. Model 2 captures winner state explicitly, but Model 1 is clearer on piece color and turn progression.
4. Hidden tile and visitation semantics: Model 1 = 5, Model 2 = 3; Evidence: Model 1 uses a dedicated `HiddenTile` subclass, `Board --&gt; "1" HiddenTile : hiddenTile`, and `Tile.color: TileColor` with `WHITE`/`BLACK` plus `markVisited()` / `isVisited()`; Model 2 uses `Tile.isHidden`, `Tile.isVisited`, and `ActionTile.isRevealed`, which is a weaker merge of concepts and does not make hidden tile a distinct conceptual class.
5. Action deck and action tiles: Model 1 = 5, Model 2 = 3; Evidence: Model 1 has `Deck` with `32` `ActionCard`s, an `abstract class ActionCard { execute(game, player) }`, and the five required subclasses `ExtraTurnCard`, `ConnectTilesCard`, `RemoveConnectionCard`, `MoveToTileCard`, and `LoseTurnCard`; Model 2 has `ActionCardType` and `ActionCard.cardType`, plus `ActionTile.turnsAsRegular` / `turnsRemaining`, but it does not model the required card deck as specialized actions or their execution.
Total: Model 1 = 24, Model 2 = 16
Choice: A
Reason:
1. Designer/setup: both capture the designer role, but Model 1 matches the requirement more directly with `GameDesigner` and a game-design link on `Game`.
2. Board/connectivity: Model 1 explicitly models connection pieces and per-side limits; Model 2 only encodes neighbor links and omits the required connection-piece object.
3. Gameplay flow: both support turn order, but Model 1 is stronger on piece color and turn progression, while Model 2 mainly adds state fields.
4. Hidden/action mechanics: Model 1 separates `HiddenTile`, `ActionTile`, and visited coloring more cleanly; Model 2 folds several concepts into generic flags.
5. Rejected or checked issues: I did not use association-arrow style, PlantUML comments, primitive type aliases, or equivalent multiplicity spellings as scoring factors. I also did not treat the lack of an explicit singleton stereotype as a decisive flaw for Model 1.
6. Overall judgment: Model 1 covers more of the requirement’s core domain concepts with better semantic separation, especially for connection pieces, hidden tiles, and the action card deck.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</si>
  <si>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</si>
  <si>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against each criterion separately and checking only UML semantics, not presentation details or association style.
```result
Scores:
1. Cohesion and Decoupling: Model 1 = 4, Model 2 = 2; Evidence: Model 1 separates concerns with `Game`, `Board`, `Player`, `PlayingPiece`, `Deck`, `ActionCard` subclasses, and `Tile` subclasses (`RegularTile`, `HiddenTile`, `ActionTile`), plus `ActionCard.execute(game, player)`. Model 2 concentrates unrelated concerns into `Tile` (`isHidden`, `isStartingPosition`, `isVisited`, `color`, `isConnectedRight/Left/Top/Bottom`) and uses a single `ActionCard` with only `cardType`, which reduces cohesion.
2. Complexity: Model 1 = 4, Model 2 = 3; Evidence: Model 1 has more classes and inheritance depth, but they are domain-relevant and traceable (`ActionCard` specialized into five cards, `Tile` specialized into three tile kinds, `Board` owns tiles, `Player` owns `PlayingPiece`). Model 2 is structurally smaller, but it flattens several concepts into fields and enums (`ActionCardType`, booleans on `Tile`, `currentPlayerIndex` in `Game`), which lowers explicit model structure even if it reduces class count.
3. Practicability: Model 1 = 4, Model 2 = 2; Evidence: Model 1 supports clear gameplay behavior with `start()`, `endGame(winner)`, `nextTurn()`, die rolling, card execution, and explicit hidden/action tile modeling, which is easier to test and maintain. Model 2 has weaker behavioral modeling: `Deck` has no operations, `ActionCard` has no behavior beyond `cardType`, and `Tile` encodes many states as booleans, making the design less clear for implementation and testing.
Total: Model 1 = 12, Model 2 = 7
Choice: A
Reason:
1. Cohesion and Decoupling: Model 1 keeps responsibilities more isolated, while Model 2 overloads `Tile` with hidden/starting/visited/connection state and collapses cards into an enum-backed class.
2. Complexity: Model 1 is richer but still organized around the domain’s actual concepts; Model 2 is simpler on paper but too compressed, which weakens the model rather than improving it.
3. Practicability: Model 1 is more directly implementable and testable because its classes and methods map to gameplay behavior; Model 2 leaves key behavior implicit.
4. Rejected or checked issues: I did not penalize Model 2 for using opposite-direction associations for tile links, and I ignored the singleton-style comment, per the rules.
5. Overall judgment: Model 1 better satisfies the requirement with a more faithful, maintainable UML design,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</si>
  <si>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</si>
  <si>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`GameDesigner`, `Board`, `Tile`, `RegularTile`, `HiddenTile`, `ActionTile`, `ConnectionPiece`, `Player`, `PlayingPiece`, `Deck`, and the five specific `ActionCard` subclasses; Model 2 includes `Designer`, `Game`, `Board`, `Tile`, `ActionTile`, `Deck`, and a generic `ActionCard`, but collapses hidden/regular tiles and the five action-card choices into attributes or a single type instead of explicit domain classes.
2. Associations/Multiplicities between classes for domain reasoning: Model 1 = 4, Model 2 = 3; Evidence: Model 1 models `Game "1" o-- "2..4" Player`, `Board "1" *-- "1..*"` `Tile`, `Tile` sides each linked to `0..1 ConnectionPiece`, `ConnectionPiece --&gt; "2" Tile`, and `Player --&gt; "1" Tile : startingPosition`; Model 2 has `Game "1" *-- "2..4" Player`, `Board "1" *-- "1..*" Tile`, `Player --&gt; "1" Tile : startingTile/currentTile`, and four `Tile --&gt; "0..1" Tile` side links, but it omits the `ConnectionPiece` relationship and therefore weakens the board-connection reasoning.
3. Model attributes with appropriate data types: Model 1 = 5, Model 2 = 4; Evidence: Model 1 uses focused types like `TileColor`, `Direction`, `PieceColor`, `Tile.color: TileColor`, `Tile.x/y: int`, `ActionTile.cooldownTurns/remainingCooldown: int`, and `Player.skipNextTurn: boolean`; Model 2 uses workable but looser types such as `Tile.color: String`, `PlayingPiece.color: String`, plus booleans like `isHidden`, `isStartingPosition`, and `isVisited`, which are acceptable but less precise than Model 1’s typed modeling.
4. Consistencies of Terminology with given context: Model 1 = 5, Model 2 = 4; Evidence: Model 1 tracks the prompt’s vocabulary closely with `GameDesigner`, `HiddenTile`, `ActionTile`, `ConnectionPiece`, `PlayingPiece`, and action cards named after the five listed effects; Model 2 is still broadly aligned, but uses more generic names like `Designer`, `ActionCardType`, `startingTile`, and `isHidden`, which are less direct than the prompt’s terminology.
5. Adherence of UML class diagram standards: Model 1 = 5, Model 2 = 5; Evidence: both are valid PlantUML class diagrams with classes, inheritance, associations, and multiplicities rendered in standard notation, and neither has syntax that makes the diagram incomprehensible.
Total: Model 1 = 24, Model 2 = 19
Choice: A
Reason:
1. Appropriate conceptual classes: Model 1 models the domain’s core concepts more faithfully by making tiles, connection pieces, and the five action-card variants explicit classes; Model 2 compresses several of those into generic attributes/types.
2. Associations/multiplicities: Model 1 captures the board topology and player structure more completely, especially the per-side `ConnectionPiece` links and `2..4` players; Model 2’s direct tile-to-tile links are usable, but the missing `ConnectionPiece` class weakens the required reasoning.
3. Rejected or checked issues: I did not penalize Model 2 for using opposite-direction associations or inline comments, since those are explicitly excluded as negative evidence; I also did not penalize primitive type aliases.
4. Overall judgment: Model 1 is the stronger UML design because it preserves more of the domain’s conceptual structure without sacrificing correctness, while Model 2 is more flattened and less expressive.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</si>
  <si>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</si>
  <si>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player cardinality: Model 1 = 5, Model 2 = 4; Evidence: Model 1 includes `Game`, `GameDesigner`, `Board`, `Tile` subclasses, `Player`, `PlayingPiece`, `Deck`, `Die`, and `Game "1" o-- "2..4" Player : players`. Model 2 also has the main entities, but `Game --&gt; Player : has players` does not explicitly capture the required 2-to-4 player constraint.
2. Designer setup workflow: Model 1 = 3, Model 2 = 5; Evidence: Model 1 has `GameDesigner { name }` and `Game --&gt; GameDesigner : designedBy`, but no design operations. Model 2 explicitly models the design steps with `designBoard()`, `placeTile()`, `connectTiles()`, `setHiddenTile()`, `setStartingPosition()`, `setActionTile()`, and `defineActionDeck()`.
3. Game flow and turn order: Model 1 = 5, Model 2 = 4; Evidence: Model 1 has `GameState { DESIGNING, PLAYING, ENDED }`, `start()`, `endGame(winner)`, `nextTurn()`, and `Player.order`. Model 2 has `startGame()`, `endGame()`, `nextTurn()`, `currentPlayer`, and `playerNumber`, but no explicit design/play state split; neither model captures pause/save, so that omission is shared.
4. Board, tile, and connection semantics: Model 1 = 5, Model 2 = 4; Evidence: Model 1 gives each `Tile` four side-specific associations, each `0..1` `ConnectionPiece`, plus `ConnectionPiece --&gt; "2" Tile : connects`. Model 2 uses `ConnectionPiece` with `side1`/`side2` and `connect(tile1, tile2, side)`, but it does not express the per-side max-one-connection rule as directly.
5. Hidden tile, visited tiles, and win condition: Model 1 = 4, Model 2 = 4; Evidence: Model 1 has `Board --&gt; "1" HiddenTile : hiddenTile`, `Tile.color`, `markVisited()`, `isVisited()`, and `ActionTile.cooldownTurns/remainingCooldown`. Model 2 has `HiddenTile.isFound()`, `Tile.markVisited()`, `isVisited()`, `TileColor`, `ActionTile.cooldownTurns/currentCooldown`, and `Game.winner`; both are partial because neither directly wires hidden-tile discovery to the win condition.
6. Action cards and spare connection resources: Model 1 = 4, Model 2 = 4; Evidence: Model 1 models `Deck *-- "32" ActionCard : cards` and the five specific subclasses `ExtraTurnCard`, `ConnectTilesCard`, `RemoveConnectionCard`, `MoveToTileCard`, and `LoseTurnCard`, but only tracks spare connections as `spareConnectionPieces: int`. Model 2 models `Deck` with `ActionCardType` and a `ConnectionPiecePile` with spare pieces, but it lacks the explicit `32`-card deck cardinality and the five concrete action-card classes.
Total: Model 1 = 26, Model 2 = 25
Choice: A
Reason:
1. Designer/setup coverage: Model 2 is stronger on explicit design operations, but Model 1 still contains the core design-domain classes and, unlike Model 2, explicitly encodes the required 2-to-4 player game constraint.
2. Gameplay semantics: Model 1 better captures the required play lifecycle with `DESIGNING/PLAYING/ENDED`, player order, and `endGame(winner)`, while Model 2 is more generic and less explicit about the phase transition from design to play.
3. Rejected or checked issues: I did not use association direction, primitive type aliases, equivalent multiplicity spelling, or PlantUML comments as negative evidence.
4. Overall judgment: Model 1 is slightly better because it more faithfully encodes the core gameplay constraints and board-connection cardinalities, while Model 2’s stronger designer workflow does not fully offset those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</si>
  <si>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</si>
  <si>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many concerns inside `Game` (`state`, `turnNumber`, `spareConnectionPieces`, `currentPlayer`, `players`) and has a mostly passive `GameDesigner`; Model 2 separates responsibilities into `GameDesigner`, `GameBoard`, `ConnectionPiecePile`, `Deck`, `Player`, and `PlayingPiece`, with focused operations like `placeTile`, `connectTiles`, `takePiece`, and `returnPiece`.
2. Complexity: Model 1 = 3, Model 2 = 3; Evidence: Model 1 uses more classes overall because it splits action cards into five subclasses (`ExtraTurnCard`, `ConnectTilesCard`, `RemoveConnectionCard`, `MoveToTileCard`, `LoseTurnCard`) and also has three tile subclasses; Model 2 reduces class count by using one `ActionCard` plus `ActionCardType`, but adds many methods across `GameDesigner`, `GameBoard`, and `Player`. Both keep inheritance depth about the same for tiles.
3. Practicability: Model 1 = 3, Model 2 = 4; Evidence: Model 1 captures useful domain facts like `GameState`, `Board -&gt; HiddenTile`, and `Deck *-- "32" ActionCard`, but it lacks concrete designer workflow methods and a spare-piece pile abstraction; Model 2 adds practical, testable operations (`designBoard`, `setHiddenTile`, `setActionTile`, `move`, `drawCard`, `roll`) and an explicit `ConnectionPiecePile`, though it is less explicit about the deck being exactly 32 cards.
Total: Model 1 = 9, Model 2 = 11
Choice: B
Reason:
1. Cohesion and Decoupling: Model 2 is better separated into domain-focused components, while Model 1 centralizes more state in `Game`.
2. Complexity: Both are acceptable, but Model 1 is broader in class count and Model 2 is broader in method surface, so neither clearly wins here.
3. Rejected or checked issues: I did not use opposite-arrow association style, primitive type aliases, or abstract-vs-concrete spelling as scoring evidence.
4. Overall judgment: Model 2 is the stronger design because it is more modular and more directly supports design/play workflows, even though Model 1 is slightly more explicit about the 32-card deck and hidden-tile relation.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</si>
  <si>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</si>
  <si>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criterion by criterion against the requirement, focusing only on UML semantics and explicit domain coverage.
```result
Scores:
1. Appropriate conceptual classes aligned with the domain: Model 1 = 5, Model 2 = 4; Evidence: Model 1 includes `Game`, `GameDesigner`, `Board`, `Tile`, `HiddenTile`, `ActionTile`, `ConnectionPiece`, `Player`, `PlayingPiece`, `Deck`, and five specific `ActionCard` subclasses (`ExtraTurnCard`, `ConnectTilesCard`, `RemoveConnectionCard`, `MoveToTileCard`, `LoseTurnCard`) that map directly to the prompt. Model 2 also covers the core domain, but collapses the five action-card variants into one `ActionCard` with `ActionCardType`, which is slightly less direct.
2. Associations/Multiplicities between classes for domain reasoning: Model 1 = 4, Model 2 = 3; Evidence: Model 1 states `Game "1" o-- "2..4" Player`, `Deck "1" *-- "32" ActionCard`, four side-specific `Tile` links with `0..1` connection pieces, and `ConnectionPiece --&gt; "2" Tile`. Model 2 has `Game --&gt; Player : has players`, `Game --&gt; Player : current player`, `Game --&gt; Player : winner`, `GameBoard *- Tile`, and two `ConnectionPiece --&gt; Tile` links, but it omits the explicit 2..4 player multiplicity and does not model the hidden-tile, starting-position, or action-tile relationships as clearly.
3. Model attributes with appropriate data types: Model 1 = 4, Model 2 = 5; Evidence: Model 1 has useful attributes like `Game.state: GameState`, `turnNumber: int`, `Tile.color: TileColor`, `x: int`, `y: int`, `Player.order: int`, and `skipNextTurn: boolean`, but it is lighter on state around the deck/pile and connection details. Model 2 adds more complete domain state such as `Player.currentTile`, `skippedTurns`, `GameBoard.width/height`, `ConnectionPiece.side1/side2`, `Deck.cards/cardsRemaining`, `ConnectionPiecePile.sparePieces/piecesRemaining`, and `ActionCard.type`, with appropriate types.
4. Consistencies of Terminology with given context: Model 1 = 5, Model 2 = 4; Evidence: Model 1 uses the prompt’s exact concepts and names closely (`Board`, `Tile`, `HiddenTile`, `ActionTile`, `ConnectionPiece`, `Deck`, `ActionCard`, `PlayingPiece`). Model 2 is still mostly aligned, but introduces more renamed abstractions like `GameBoard`, `PlayingPieceColor`, `ActionCardType`, and `ConnectionPiecePile`, which are reasonable yet less literal to the given wording.
5. Adherence of UML class diagram standards: Model 1 = 5, Model 2 = 5; Evidence: Both are valid PlantUML class diagrams with classes, enums, inheritance, and associations. Model 1’s `abstract class ActionCard` with subclasses and Model 2’s `ActionCard` plus `ActionCardType` are both legal UML representations, and neither has a major notation error that makes it hard to interpret.
Total: Model 1 = 23, Model 2 = 21
Choice: A
Reason:
1. Appropriate conceptual classes: Model 1 is more directly aligned because it models the five action-card choices as separate subclasses, while Model 2 compresses them into one typed class.
2. Associations/Multiplicities: Model 1 is stronger because it explicitly captures `2..4` players and `32` action cards, plus the tile-side connection constraints; Model 2 leaves those relationships more implicit.
3. Rejected or checked issues: I did not penalize either model for using `int` vs `Integer`, `*` vs `0..*`, or opposite association directions, since those are explicitly equivalent under the instructions.
4. Overall judgment: Model 1 better captures the required domain structure and turn/board relationships, so it is the better UML answer overall.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</si>
  <si>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</si>
  <si>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</si>
  <si>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</si>
  <si>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coverage: Model 1 = 3, Model 2 = 4; Evidence: Model 1 covers `Customer`, `Product.currentStock`, `Order`, `OrderLine`, `Invoice`, and `Shipment`, but it does not model the Step 3 payment-timing choice or Step 2/4 line-level shipment tracking. Model 2 adds `PaymentTiming { ON_ORDER, ON_DELIVERY }`, `PaymentStatus`, `ShipmentLine.shippedQuantity`, and `ShipmentStatus`, so it reaches more of Steps 2-4, though `Order "1" -- "0..1" Invoice` is weaker than the implied always-invoice setup.
2. Relationships, cardinalities, and composition/aggregation fidelity: Model 1 = 3, Model 2 = 4; Evidence: Model 1 has `Customer "1" -- "0..*"` `Order`, `Order "1" *-- "1..*"` `OrderLine`, and `Shipment "1" o-- "1..*"` `OrderLine`, which is reasonable for whole-order shipping but does not capture partial shipment of a line. Model 2 uses `Order "1" -- "1..*" OrderLine`, `Order "1" -- "0..*" Shipment`, `Shipment "1" -- "1..*" ShipmentLine`, and `ShipmentLine "0..*" -- "1" OrderLine`, which better matches grouped and partial deliveries, though the invoice link is still looser than the requirement suggests.
3. Payment, invoice, and shipment state modeling: Model 1 = 2, Model 2 = 4; Evidence: Model 1 has `paidDate`, `OrderStatus { PLACED, PAID, PARTIALLY_SHIPPED, FULLY_SHIPPED }`, and operations like `markPaid()` / `markFullyShipped()`, but no explicit choice between paying on order or after delivery. Model 2 directly models `PaymentTiming`, `PaymentStatus`, and `ShipmentStatus { PACKED, SHIPPED, RECEIVED, MISSING, DAMAGED }`, which is much closer to the later-step workflow, even if it still does not state the “paid in full” constraint explicitly.
4. Avoidance of hallucinations/additions: Model 1 = 3, Model 2 = 3; Evidence: Model 1 adds `Warehouse`, `customerId`, `name`, `unitPrice`, and operations like `register()` / `placeOrder()`, which are not all stated in the requirement. Model 2 adds `ShipmentLine`, `isPaid`, and extra shipment statuses `MISSING` / `DAMAGED`; these are more speculative, but also partly motivated by Step 4, so neither model is clearly free of additions.
5. Class-name and attribute clarity: Model 1 = 3, Model 2 = 4; Evidence: Model 1 uses clear core names like `Customer`, `Product`, `OrderLine`, `Invoice`, and `Shipment`, with recognizable attributes such as `vatNumber`, `currentStock`, and `paidDate`. Model 2 keeps the same core names and adds transparent refinements like `ShipmentLine`, `PaymentTiming`, and `shippedQuantity`, which expose the evolving requirements more directly, though `deliveryWarehouses` is a bit vague.
Total: Model 1 = 14, Model 2 = 19
Choice: B
Reason:
1. Strict requirement coverage: Model 2 covers more of the iterative requirements, especially Step 3 payment timing and Step 2/4 partial shipment handling, while Model 1 stays closer to an early-step whole-order model.
2. Relationships, cardinalities, and composition/aggregation fidelity: Model 2’s `Shipment -&gt; ShipmentLine -&gt; OrderLine` structure better represents grouped and partial deliveries than Model 1’s direct shipment-to-order-line grouping.
3. Payment/invoice/shipment state modeling: Model 2 explicitly models `ON_ORDER` vs `ON_DELIVERY` and shipment lifecycle states, which are central to the later steps.
4. Rejected or checked issues: I did not use association direction style, primitive type spelling, or `0..*` vs `*` differences as evidence.
5. Overall judgment: Model 2 is closer to the evolving business process across all four steps, even though it still has a few speculative elements and some weak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</si>
  <si>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</si>
  <si>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couples `Shipment` directly to `OrderLine` via `Shipment "1" o-- "1..*" OrderLine : groups` and keeps shipment/order state mixed in `Order.status`, `Order.paidDate`, and `Shipment.status`. Model 2 separates shipping concerns with `Shipment -&gt; ShipmentLine -&gt; OrderLine`, and `ShipmentLine` carries `shippedQuantity`, which is a cleaner division of responsibilities, though `Customer -- Address : deliveryWarehouses` is a bit vague.
2. Complexity: Model 1 = 3, Model 2 = 4; Evidence: Model 1 has more structural surface area, including `Customer`, `Warehouse`, `Product`, `Order`, `OrderLine`, `Invoice`, `Shipment`, `Address`, plus `OrderStatus` and `ShipmentStatus`, and several operations like `markPaid()`, `markFullyShipped()`, `pack()`, and `ship()`. Model 2 is leaner with `Customer`, `Address`, `Product`, `Order`, `OrderLine`, `Invoice`, `Shipment`, `ShipmentLine`, and three enums, with no operations, so it is simpler overall while still adding one justified helper class for partial shipments.
3. Practicability: Model 1 = 2, Model 2 = 4; Evidence: Model 1 covers basic order stock concepts (`Product.currentStock`, `Customer.vatNumber`, `Order.paidDate`, `Shipment.trackingNumber`) but cannot express partial shipment progress per line, because `Shipment` only groups `OrderLine` directly and there is no shipped quantity per line. Model 2 supports the later steps much better with `Order.paymentTiming`, `Order.paymentStatus`, `Order.deliveredTo`, `OrderLine.shippedQuantity`, `ShipmentLine.shippedQuantity`, and `ShipmentStatus` including `MISSING` and `DAMAGED`, which makes implementation and testing more realistic, though `Invoice` being `0..1` is a slight weakness.
Total: Model 1 = 8, Model 2 = 12
Choice: B
Reason:
1. Cohesion and Decoupling: Model 2 is better because it introduces `ShipmentLine` to isolate shipment-specific data from `OrderLine`, while Model 1 binds shipment handling directly to order lines and leaves no place for line-level shipment quantities.
2. Complexity: Model 2 is better because it stays smaller and avoids several operations that Model 1 adds, while still including the one extra concept (`ShipmentLine`) needed by the partial-shipment requirement.
3. Practicability: Model 2 is much more practical for the full scenario because it supports payment timing, delivery address, shipment statuses, and partial shipment tracking; Model 1 cannot represent those later-step behaviors as clearly.
4. Rejected or checked issues: I did not use association direction, primitive type spelling, or optional abstractness as negative evidence, since those are either forbidden or irrelevant here.
5. Overall judgment: Model 2 aligns more closely with Steps 2 to 4 while remaining reasonably simple and testable, so it is the better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</si>
  <si>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</si>
  <si>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covers the core domain with `Customer`, `Product`, `Order`, `OrderLine`, `Invoice`, `Shipment`, and `Address`, but adds `Warehouse` and has no separate shipment-line concept. Model 2 also covers the core domain and adds `ShipmentLine` plus payment enums, but it omits a warehouse concept and is a bit leaner overall.
2. Associations/Multiplicities between classes for domain reasoning: Model 1 = 3, Model 2 = 4; Evidence: Model 1 links `Order` directly to `Shipment` and `Shipment` to `OrderLine` (`Shipment "1" o-- "1..*" OrderLine`), which does not model partial or grouped shipments cleanly. Model 2 uses `Shipment "1" -- "1..*" ShipmentLine` and `ShipmentLine "0..*" -- "1" OrderLine`, which better supports line-level shipping, and it also connects `Customer` to `Address` for both `headOffice` and `deliveryWarehouses`.
3. Model attributes with appropriate data types: Model 1 = 4, Model 2 = 3; Evidence: Model 1 has richer attributes such as `customerId`, `vatNumber`, `street/city/postalCode/country`, `price : Money`, `paidDate`, and `trackingNumber`. Model 2 has fewer attributes overall, e.g. `Customer` only has `vatNumber`, `Product` only has `name` and `currentStock`, and several classes lack identifiers.
4. Consistencies of Terminology with given context: Model 1 = 4, Model 2 = 4; Evidence: Model 1 uses domain terms like `vatNumber`, `OrderLine`, `Invoice`, `Shipment`, and `currentStock`, but `Order "1" -- "1" Warehouse : delivers to` is less precise than the address-based wording in the requirement. Model 2 uses `paymentTiming`, `paymentStatus`, `ShipmentLine`, `headOffice`, and `deliveredTo`, which matches the later steps well, though `deliveryWarehouses` is slightly imprecise because the requirement speaks about delivery addresses.
5. Adherence of UML class diagram standards: Model 1 = 5, Model 2 = 5; Evidence: both are valid PlantUML class diagrams with classes, enums, attributes, associations, and multiplicities, and neither has notation that breaks UML/PlantUML interpretation.
Total: Model 1 = 20, Model 2 = 20
Choice: C
Reason:
1. Model 2 is stronger on shipment reasoning because it introduces `ShipmentLine` and links shipments to order lines through that intermediate class, while Model 1 keeps the coarser `Shipment -&gt; OrderLine` grouping.
2. Model 1 is stronger on explicit attribute coverage because it includes identifiers, dates, addresses, money-valued fields, and shipment tracking data that Model 2 largely omits.
3. Rejected or checked issues: I did not use opposite association direction, lowercase primitive aliases, or equivalent multiplicity spellings as negative evidence.
4. Overall judgment: the two models trade off strengths in different places, and the gaps balance out enough that neither clearly dominates.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</si>
  <si>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</si>
  <si>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Model 1 = 3, Model 2 = 4; Evidence: Model 1 covers the step-1 core with `Customer.vatNumber`, `Product.currentStock`, `OrderLine.quantity`, `Order.paidDate`, and `Shipment.shipmentDate`, but it does not model invoice payment choice or delivery-address revisions; Model 2 adds `PaymentMethod { DIRECT, POST_DELIVERY }`, `PaymentStatus`, `ShippingStatus`, `DeliveryAddress`, and `DeliveryStatus`, but it lacks explicit paid/shipped date attributes.
2. Hallucination control: Model 1 = 4, Model 2 = 3; Evidence: Model 1 adds `Warehouse` and connects `Order` to `Warehouse`, which is at least adjacent to the prompt’s warehouse language; Model 2 adds an extra `Company` class plus a separate `Delivery` class, with `Company` not named in the requirement.
3. Conceptual classes and relationships: Model 1 = 3, Model 2 = 4; Evidence: Model 1 has the core chain `Customer -&gt; Order -&gt; OrderLine -&gt; Product` and `Customer -&gt; Address`, but `Order -&gt; Warehouse` is a weak fit for the later delivery-address requirement; Model 2 better reflects the revised model with `Order -&gt; Invoice`, `Shipment -&gt; Delivery`, `Delivery -&gt; OrderLine`, and customer head-office/delivery addresses.
4. Cardinalities and relationship types: Model 1 = 3, Model 2 = 4; Evidence: Model 1’s `Order 1 *-- 1..* OrderLine` and `Shipment o-- 1..* OrderLine` fit whole-order shipment, but not partial deliveries; Model 2’s `Order -&gt; Shipment -&gt; Delivery -&gt; OrderLine` structure is looser, yet it better supports grouped shipments, partial delivery tracking, and delivery status.
5. Clarity of class names and attributes: Model 1 = 4, Model 2 = 3; Evidence: Model 1 uses straightforward names like `Address`, `OrderLine`, `Invoice`, and `Shipment`, and useful attributes like `paidDate` and `receivedDate`; Model 2’s `DeliveryAddress`, `PaymentMethod`, and `ShipmentStatus` fit later steps, but `Company` and `hasWarehouses` are less aligned with the domain wording.
Total: Model 1 = 17, Model 2 = 18
Choice: B
Reason:
1. Strict requirement alignment: Model 2 better covers the full step progression, especially step 3 and step 4, with payment-method choice, delivery addresses, partial delivery support, and delivery status.
2. Conceptual modeling: Model 2’s extra `Delivery` layer is more aligned with the later requirement changes than Model 1’s `Order -&gt; Warehouse` delivery target.
3. Rejected or checked issues: I did not penalize opposite-direction arrows, PlantUML comments like `'opposite ...`, or lowercase primitive aliases like `int`.
4. Overall judgment: Model 1 is cleaner on basic accounting dates, but Model 2 is slightly better overall because it models the later requirement revisions more completely.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</si>
  <si>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</si>
  <si>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domain split into focused classes like `Customer`, `Product`, `Order`, `OrderLine`, `Invoice`, and `Shipment`, with one main workflow link from `Order` to `OrderLine` and `Shipment "1" o-- "1..*" OrderLine`. Model 2 adds a central `Company` tied to both `Customer` and `Product`, plus both `Shipment` and `Delivery` with overlapping links (`Shipment "1" --&gt; "*" Delivery`, `Delivery "*" --&gt; "*" OrderLine`), which creates more cross-coupling and conceptual overlap.
2. Complexity: Model 1 = 4, Model 2 = 2; Evidence: Model 1 has a moderate set of domain types (`Address`, `Customer`, `Warehouse`, `Product`, `Order`, `OrderLine`, `Invoice`, `Shipment`) and a small number of methods, with no inheritance tree. Model 2 adds extra structural burden with `Company`, `DeliveryAddress`, `Delivery`, and five enums (`PaymentStatus`, `ShippingStatus`, `DeliveryStatus`, `ShipmentStatus`, `PaymentMethod`), making the model heavier than needed for the stated domain.
3. Practicability: Model 1 = 4, Model 2 = 3; Evidence: Model 1 includes operationally useful fields such as `paidDate`, `shipmentDate`, `receivedDate`, `vatNumber`, and `currentStock`, which supports accounting and testing of the order lifecycle. Model 2 improves step 3/4 coverage with `paymentMethod` and `DeliveryStatus` values like `DAMAGED` and `MISSING`, but it omits a payment timestamp and introduces an extra `Delivery` layer plus a `*`-to-`*` `Delivery`/`OrderLine` relation that makes the workflow less clear.
Total: Model 1 = 12, Model 2 = 8
Choice: A
Reason:
1. Cohesion and Decoupling: Model 1 is more modular around the business nouns directly present in the requirement, while Model 2 adds a `Company` hub and a separate `Delivery` concept that overlaps with `Shipment`.
2. Complexity: Model 1 stays leaner with fewer concepts and fewer enums; Model 2 adds extra layers that do not clearly improve requirement coverage enough to justify the added complexity.
3. Practically checked issues: I did not penalize either model for opposite-direction associations, lowercase primitive names like `int`, or missing abstract markers, because those are forbidden as negative evidence here.
4. Overall judgment: Model 1 is the better UML design because it is simpler, cleaner, and still captures the main stock/order/invoice/shipment lifecycle with usable state and timestamp fields.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</si>
  <si>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</si>
  <si>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each requirement step and scoring each criterion independently, then I’ll total them and decide.
```result
Scores:
1. Appropriate conceptual classes aligned with the domain: Model 1 = 4, Model 2 = 3; Evidence: Model 1 includes the core domain classes `Customer`, `Product`, `Order`, `OrderLine`, `Invoice`, `Shipment`, and `Address`, plus `Warehouse`; Model 2 includes `Customer`, `Product`, `Order`, `OrderLine`, `Invoice`, `Shipment`, and `Delivery`, but also adds the extra `Company` class and uses `DeliveryAddress` instead of a plain address concept.
2. Associations/Multiplicities between classes for domain reasoning: Model 1 = 4, Model 2 = 3; Evidence: Model 1 has `Customer "1" *-- "0..*" Order`, `Order "1" *-- "1..*" OrderLine`, `OrderLine "*" -- "1" Product`, and `Order "1" *-- "0..*" Shipment`, which matches the order/line/shipment structure reasonably well, though `Order "1" -- "1" Warehouse : delivers to` is a misfit; Model 2 has `Order "1" --&gt; "*" OrderLine`, `Order "1" --&gt; "*" Shipment`, `Shipment "1" --&gt; "*" Delivery`, and `Delivery "*" --&gt; "*" OrderLine`, which is more indirect and less clearly grounded in the required order/shipment flow.
3. Model attributes with appropriate data types: Model 1 = 5, Model 2 = 2; Evidence: Model 1 provides domain-relevant attributes such as `customerId`, `vatNumber`, `headOfficeAddress : Address`, `productId`, `price : Money`, `currentStock : Integer`, `orderDate : Date`, `paidDate : Date`, `unitPrice : Money`, and `totalAmount : Money`; Model 2 has some correct attributes like `vatNumber`, `currentStock : int`, `orderDate : Date`, and `trackingNumber`, but it omits key identifiers and core fields such as a customer address/name, product ID, order ID, and line-level pricing, while also using weaker modeling like `totalAmount : double`.
4. Consistencies of Terminology with given context: Model 1 = 4, Model 2 = 2; Evidence: Model 1 mostly uses the problem’s vocabulary directly (`Customer`, `Product`, `OrderLine`, `Invoice`, `Shipment`, `stock`, `vatNumber`), though `Warehouse` and `headOfficeAddress` arrive a bit early and `Order ... delivers to Warehouse` is not the natural wording from the prompt; Model 2 introduces less-contextual terms like `Company`, `DeliveryAddress`, and `hasWarehouses`, and splits the logistics concepts into `Shipment` and `Delivery` in a way that is less aligned with the prompt’s wording.
5. Adherence of UML class diagram standards: Model 1 = 5, Model 2 = 5; Evidence: Both are valid PlantUML class diagrams with classes, enums, attributes, and associations rendered in standard UML notation; Model 1 uses composition/aggregation and multiplicities cleanly, and Model 2 is also syntactically well-formed. 
Total: Model 1 = 22, Model 2 = 15
Choice: A
Reason:
1. Appropriate conceptual classes aligned with the domain: Model 1 covers the main business entities directly; Model 2 adds a generic `Company` and uses a less natural `DeliveryAddress`/`Delivery` split.
2. Associations/Multiplicities between classes for domain reasoning: Model 1 better matches the order-to-lines and shipment-to-lines structure, despite one incorrect `Warehouse` link; Model 2’s `Shipment -&gt; Delivery -&gt; OrderLine` chain is more indirect and less clearly justified by the requirement.
3. Rejected or checked issues: I did not penalize Model 2 for opposite-direction arrows or inline comments, since those are semantically equivalent/ignored under the instructions.
4. Overall judgment: Model 1 is more faithful to the required domain model, especially on core entities and attributes, so it is the better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</si>
  <si>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</si>
  <si>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fidelity and hallucination control: Model 1 = 4, Model 2 = 2; Evidence: Model 1 covers `Customer(vatNumber)`, `Product(currentStock)`, `Order(paymentStatus, paymentTiming)`, `Invoice`, `Shipment`, and `ShipmentLine`, which maps well to the stock/order/invoice/shipping story; Model 2 adds `Company`, `Delivery`, and `DeliveryAddress`, plus `PaymentMethod` and `ShippingStatus`, but those additions make the model less strictly aligned to the stated domain.
2. Core domain classes and evolution support: Model 1 = 4, Model 2 = 2; Evidence: Model 1 has the essential domain classes `Customer`, `Address`, `Product`, `Order`, `OrderLine`, `Invoice`, `Shipment`, and `ShipmentLine`, which supports the stepwise shift from full-order shipping to line-based shipment grouping; Model 2 splits the shipping concept across both `Shipment` and `Delivery` and introduces `Company`, so the core concepts are less cleanly represented.
3. Associations and multiplicities: Model 1 = 4, Model 2 = 2; Evidence: Model 1 gives sensible links like `Customer "1" -- "0..*" Order`, `Order "1" -- "1..*" OrderLine`, `OrderLine "0..*" -- "1" Product`, and `Shipment "1" -- "1..*" ShipmentLine`; Model 2 has weaker cardinalities and relationships such as `Order "1" --&gt; "*" OrderLine`, `Shipment "1" --&gt; "*" Delivery`, and `Delivery "*" --&gt; "*" OrderLine`, which are less precise for “one or more order lines” and for grouping shipped lines.
4. Naming and attribute clarity: Model 1 = 4, Model 2 = 3; Evidence: Model 1 uses direct names like `OrderLine`, `ShipmentLine`, `paymentTiming`, and `shippedQuantity`, which are easy to map to the requirement; Model 2’s names are individually understandable, but `Shipment`, `Delivery`, `DeliveryAddress`, and `ShippingStatus` together create overlap that makes the model less conceptually clear.
Total: Model 1 = 16, Model 2 = 9
Choice: A
Reason:
1. Requirement fidelity and hallucination control: Model 1 stays closer to the requested stock/customer/order model, while Model 2 introduces extra domain entities (`Company`, `Delivery`) that are not needed by the requirement.
2. Core domain classes and evolution support: Model 1’s `Order`/`OrderLine`/`ShipmentLine` structure is a cleaner fit for the stepwise move toward partial and grouped shipments than Model 2’s split `Shipment`/`Delivery` design.
3. Associations and multiplicities: Model 1 expresses the key ownership and line-item relationships more precisely; Model 2’s `*`-heavy links and `Delivery "*" -- "*" OrderLine` are too loose for the stated constraints.
4. Rejected or checked issues: I did not use opposite association direction, inline comments, or `int` vs `Integer` as negative evidence, since those are explicitly disallowed as penalties here.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</si>
  <si>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</si>
  <si>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fairly separated with `Customer(vatNumber)` linked to `Address`, `Order(orderDate, paymentStatus, paymentTiming)`, `OrderLine(orderedQuantity, shippedQuantity)`, `Invoice`, `Shipment`, and `ShipmentLine`. Model 2 spreads related concerns across more overlapping classes: `Company`, `DeliveryAddress`, `Shipment`, and `Delivery`, while `Order` also carries `paymentStatus`, `paymentMethod`, and `shippingStatus`, and shipments are tied both to `Delivery` and directly to `OrderLine`, increasing coupling.
2. Complexity: Model 1 = 4, Model 2 = 2; Evidence: Model 1 has fewer classes and enums overall (`Customer`, `Address`, `Product`, `Order`, `OrderLine`, `Invoice`, `Shipment`, `ShipmentLine`, plus `PaymentTiming`, `PaymentStatus`, `ShipmentStatus`) and no inheritance. Model 2 adds extra classes and enums (`Company`, `Delivery`, `PaymentMethod`, `ShippingStatus`, `DeliveryStatus`) and duplicates lifecycle concepts across `Shipment` and `Delivery`, making the model heavier than needed.
3. Practicability: Model 1 = 4, Model 2 = 2; Evidence: Model 1 is easier to read and implement with direct links like `Order -&gt; OrderLine`, `Order -&gt; Invoice`, `Order -&gt; Shipment`, and `Shipment -&gt; ShipmentLine -&gt; OrderLine`, which map cleanly to testing and persistence. Model 2 is harder to interpret because `Shipment` and `Delivery` overlap, `Order` mixes business state fields, and `Shipment` is linked to both `Delivery` and `OrderLine` with additional many-to-many style associations, which complicates implementation and validation.
Total: Model 1 = 12, Model 2 = 6
Choice: A
Reason:
1. Cohesion and Decoupling: Model 1 is more cohesive because each class has a narrower role, while Model 2 mixes and duplicates shipment/delivery responsibilities across `Shipment`, `Delivery`, and `Order`.
2. Complexity: Model 1 stays closer to the requirement with fewer moving parts; Model 2 introduces extra domain objects and enums that raise complexity without clear necessity.
3. Practicability: Model 1 is more straightforward for developers and testers to work with; Model 2’s overlapping concepts make the design less transparent.
4. Rejected or checked issues: I did not use opposite-arrow vs bidirectional association style as evidence, and I ignored PlantUML comments like `'opposite ...` per the rules. I also did not penalize lowercase primitive aliases or missing abstract markers.
5. Overall judgment: Model 1 better balances the required stock/order/invoice/shipment concepts with simpler structure and clearer responsibilities.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</si>
  <si>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</si>
  <si>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has the core domain classes `Customer`, `Address`, `Product`, `Order`, `OrderLine`, `Invoice`, `Shipment`, and `ShipmentLine`, which map directly to the requirement. Model 2 has many core classes too, but adds `Company` and splits logistics into both `Shipment` and `Delivery`, which is less directly aligned.
2. Associations/Multiplicities between classes for domain reasoning: Model 1 = 4, Model 2 = 3; Evidence: Model 1 connects `Customer` to `Order`, `Order` to `OrderLine`, `OrderLine` to `Product`, `Order` to `Invoice`, and `Shipment` to `ShipmentLine` to `OrderLine`, which supports most required reasoning. Model 2 also links `Customer`, `Order`, `Invoice`, `Shipment`, `Delivery`, and `OrderLine`, but the `Shipment -&gt; Delivery -&gt; OrderLine` chain is more indirect and the multiplicities are less clearly grounded.
3. Model attributes with appropriate data types: Model 1 = 4, Model 2 = 3; Evidence: Model 1 uses concrete attributes like `vatNumber: String`, `street/city/postalCode: String`, `currentStock: Integer`, `orderedQuantity: Integer`, `shippedQuantity: Integer`, and `totalAmount: Decimal`. Model 2 has useful fields like `paymentMethod`, `shippingStatus`, and `trackingNumber`, but it uses a very generic `DeliveryAddress.address: String`, omits shipped quantity tracking on order lines, and uses `totalAmount: double`.
4. Consistencies of Terminology with given context: Model 1 = 5, Model 2 = 3; Evidence: Model 1 stays close to the problem wording with `Customer`, `Product`, `OrderLine`, `Invoice`, `Shipment`, and `ShipmentLine`. Model 2 introduces `Company`, `DeliveryAddress`, `Delivery`, and `ShippingStatus`, which blurs the requirement's terminology and makes the logistics model less consistent.
5. Adherence of UML class diagram standards: Model 1 = 5, Model 2 = 5; Evidence: Both are valid PlantUML class diagrams with class/enum declarations and multiplicity-labelled associations, and both remain interpretable as UML class diagrams.
Total: Model 1 = 22, Model 2 = 17
Choice: A
Reason:
1. Appropriate conceptual classes: Model 1 covers the domain with fewer mismatched concepts; Model 2 adds `Company` and duplicates logistics concepts with `Shipment` and `Delivery`.
2. Associations/Multiplicities: Model 1 expresses the core order-to-line-to-product structure more directly, while Model 2's extra `Shipment -&gt; Delivery -&gt; OrderLine` layer makes the domain flow less clear.
3. Attributes/Terminology: Model 1's attributes are more specific to the problem (`Address` fields, `shippedQuantity`), and its names track the requirement more closely.
4. Rejected or checked issues: I did not count opposite-arrow notation or lowercase primitive aliases against Model 2, since those are semantically acceptable under the rules.
5. Overall judgment: Model 1 is the better UML model for this requirement, with stronger domain alignment and cleaner reasoning support, even though neither diagram fully captures every step perfectly.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</si>
  <si>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</si>
  <si>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model: Model 1 = 4, Model 2 = 4; Evidence: Model 1 has `Customer`, `Address`, `Product(currentStock)`, `Order(paymentStatus, paymentTiming)`, `OrderLine(orderedQuantity)` and the key links `Customer -- Order`, `Order -- OrderLine`, `OrderLine -- Product`. Model 2 has the same core set with `Customer(vatNumber, headOfficeAddress)`, `Product(currentStock)`, `Order(status, paidDate)`, `OrderLine(quantity)`, and `OrderLine -- Product`.
2. Step 2 partial shipment support: Model 1 = 4, Model 2 = 3; Evidence: Model 1 models line-level shipment detail with `OrderLine(shippedQuantity)`, `Order -- Shipment`, `Shipment -- ShipmentLine`, and `ShipmentLine -- OrderLine`. Model 2 has `OrderStatus(PARTIALLY_SHIPPED, FULLY_SHIPPED)` and `Shipment -- OrderLine : groups`, but no per-line shipped quantity or separate to-be-shipped tracking.
3. Step 3 delivery addresses and invoicing: Model 1 = 4, Model 2 = 3; Evidence: Model 1 directly models `Customer -- Address : headOffice`, `Customer -- Address : deliveryWarehouses`, `Order -- Address : deliveredTo`, `Order -- Invoice`, and `PaymentTiming(ON_ORDER, ON_DELIVERY)`. Model 2 has `Customer.headOfficeAddress`, `Warehouse.address`, `Order -- Warehouse : delivers to`, and `Order *-- Invoice`, but it lacks an explicit pay-now/pay-later choice and uses `Warehouse` rather than a direct delivery address.
4. Step 4 shipment lifecycle and grouped deliveries: Model 1 = 3, Model 2 = 4; Evidence: Model 1 has `ShipmentStatus(PACKED, SHIPPED, RECEIVED, MISSING, DAMAGED)` and `Shipment -- ShipmentLine`, which keeps shipment detail at line level. Model 2 has `ShipmentStatus(PACKED, SHIPPED, RECEIVED)`, `Shipment -- OrderLine : groups`, `receivedDate`, and `OrderStatus(PARTIALLY_SHIPPED, FULLY_SHIPPED)`, which is closer to grouped shipment tracking.
Total: Model 1 = 15, Model 2 = 14
Choice: A
Reason:
1. Step 1 core domain model: both cover the basic customer/product/order structure, but Model 1 already includes the payment-related FSM needed for the workflow, while Model 2 is more generic and adds extra implementation-oriented fields.
2. Step 2 partial shipment support: Model 1 better captures partial shipment semantics through `shippedQuantity` and `ShipmentLine`; Model 2 only labels order status without a comparable line-level quantity model.
3. Step 3 delivery addresses and invoicing: Model 1 is stronger because it models the head-office and delivery address distinction directly and includes explicit payment timing. Model 2 has a solid invoice object, but its delivery target is a `Warehouse` instead of a direct delivery address and it omits pay-on-order vs pay-on-delivery.
4. Step 4 shipment lifecycle and grouped deliveries: Model 2 wins this step because it models shipment status and grouped order lines more directly. Model 1 still uses line-oriented shipment detail and adds extra statuses (`MISSING`, `DAMAGED`) that are not required.
5. Rejected or checked issues: I did not use association direction, primitive type spelling, or comments as scoring factors. I also did not reward Model 2’s extra methods/fields (`register()`, `adjustStock()`, `trackingNumber`, etc.) because they do not materially improve requirement coverage.
6. Overall judgment: Model 1 is better overall because it matches the earlier steps more faithfully and preserves the key payment and partial-shipment semantics, while Model 2 is stronger only on the final shipment-status step.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</si>
  <si>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</si>
  <si>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concerns mostly separated into `Customer`, `Address`, `Product`, `Order`, `Shipment`, and a dedicated `ShipmentLine` linking shipments to order lines. Model 2 adds the useful `Warehouse` concept, but it also places generic actions like `register()`, `placeOrder()`, `adjustStock()`, `pack()`, `ship()`, and `markReceived()` directly on entities, which broadens responsibilities.
2. Complexity: Model 1 = 3, Model 2 = 4; Evidence: Model 1 is structurally smaller with 8 classes and 3 enums and no operations, but it undermodels later steps by omitting `Warehouse` and an explicit order status model. Model 2 has more classes, attributes, and lifecycle methods, including `Warehouse`, `OrderStatus`, `ShipmentStatus`, `Invoice`, and shipment/order operations, which is more complex but better aligned to the full iterative requirement.
3. Practicability: Model 1 = 3, Model 2 = 4; Evidence: Model 1 is readable, but it lacks a `Warehouse` concept and explicit workflow methods, so step 3/4 behavior is only partly represented through flags and links. Model 2 is more operationally practical for testing and maintenance because it includes `Warehouse`, `Invoice`, `OrderStatus`, `ShipmentStatus`, and methods such as `markPaid()`, `markFullyShipped()`, `pack()`, `ship()`, and `markReceived()`, even though its `Shipment -- OrderLine` grouping does not expose per-line shipped quantities.
Total: Model 1 = 10, Model 2 = 11
Choice: B
Reason:
1. Cohesion and Decoupling: Model 1 is cleaner at the entity level, but Model 2’s added `Warehouse` is useful and the extra methods on domain objects do not outweigh its broader domain coverage enough to win this criterion.
2. Complexity: Model 2 is the better fit for the evolving requirement because it adds the needed `Warehouse`, order/shipment states, and lifecycle detail instead of stopping at the simpler step-1 view.
3. Practicability: Model 2 is easier to use in a real system and for tests because it makes order, invoice, and shipment progression explicit; Model 1 is too static for the later steps.
4. Rejected or checked issues: I did not use association direction/style, lowercase primitive aliases, PlantUML comments, equivalent multiplicities, or abstractness markers as scoring factors.
5. Overall judgment: Model 2 better matches the full stepwise requirement, despite Model 1 having the stronger per-line shipment representation.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</si>
  <si>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</si>
  <si>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includes `Customer`, `Product`, `Order`, `OrderLine`, `Invoice`, `Shipment`, and `ShipmentLine`, which fits the evolving shipping needs, but it has no explicit `Warehouse`. Model 2 includes `Customer`, `Product`, `Order`, `OrderLine`, `Invoice`, `Shipment`, and `Warehouse`, but it omits a shipment-line concept needed for partial shipments.
2. Associations/Multiplicities between classes for domain reasoning: Model 1 = 4, Model 2 = 3; Evidence: Model 1 links `Order 1 -- 1..* OrderLine`, `Order 1 -- 0..* Shipment`, and `Shipment 1 -- 1..* ShipmentLine`, which supports partial shipment reasoning, though `Order 1 -- 0..1 Invoice` is weaker than a mandatory invoice. Model 2 links `Order 1 -- 1..* OrderLine` and `Order 1 -- 0..* Shipment`, but `Order 1 -- 1 Warehouse : delivers to` is the wrong target concept, and `Shipment 1 o-- 1..* OrderLine` is too coarse for line-level partial shipping.
3. Model attributes with appropriate data types: Model 1 = 4, Model 2 = 4; Evidence: Model 1 has relevant attributes like `vatNumber: String`, `currentStock: Integer`, `orderedQuantity: Integer`, `shippedQuantity: Integer`, `invoiceDate: Date`, and `totalAmount: Decimal`. Model 2 has `vatNumber: String`, `currentStock: Integer`, `orderDate: Date`, `paidDate: Date`, `quantity: Integer`, `unitPrice: Money`, and `trackingNumber: String`. Both use sensible types, but each leaves some shipment/payment detail under-modeled.
4. Consistencies of Terminology with given context: Model 1 = 3, Model 2 = 3; Evidence: Model 1 uses `deliveryWarehouses` while typing it as `Address`, which does not cleanly match the requirement’s delivery-address/warehouse wording. Model 2 uses `Warehouse` and `ShipmentStatus`, but `Order ... delivers to Warehouse` conflicts with the requirement that delivery is about addresses and shipment handling, not delivering to a warehouse.
5. Adherence of UML class diagram standards: Model 1 = 5, Model 2 = 5; Evidence: Both are valid PlantUML class diagrams with standard class, enum, attribute, and association notation; neither has syntax that makes the diagram unreadable.
Total: Model 1 = 20, Model 2 = 19  
Choice: A
Reason:
1. Appropriate conceptual classes: Model 1 is slightly closer because `ShipmentLine` directly supports the step 2 and step 4 partial-shipment evolution, while Model 2’s `Warehouse` is useful but does not replace that missing shipment-line concept.
2. Associations/Multiplicities: Model 1 is stronger for domain reasoning because it explicitly models shipments through shipment lines and order lines; Model 2’s `Order -- Warehouse` delivery link is semantically off and its shipment grouping is too coarse for partial deliveries.
3. Model attributes: both are acceptable, but Model 1 includes the shipment-quantity detail needed for line-level shipping, while Model 2 has richer bookkeeping fields yet still misses that core quantity detail.
4. Rejected or checked issues: I did not use association arrow style, `*` vs `0..*`, or primitive-type spelling as negative evidence.
5. Overall judgment: Model 1 better matches the iterative requirements, especially for partial shipment handling and delivery tracking, so it edges out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</si>
  <si>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</si>
  <si>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customer/order/product model: Model 1 = 3, Model 2 = 4; Evidence: Model 1 has `Customer.vatNumber`, `Product.currentStock`, and `OrderLine.quantityOrdered`, but `Order "1" --&gt; "*"` `OrderLine` allows zero lines. Model 2 has `Customer.vatNumber`, `Product.currentStock`, and `Order *-- "1..*"` `OrderLine`, which matches the required one-or-more order lines better.
2. Partial shipment / line-level fulfillment: Model 1 = 3, Model 2 = 4; Evidence: Model 1 has `ShippingStatus.PARTIALLY_SHIPPED` plus `Shipment --&gt; OrderLine` and `Delivery --&gt; OrderLine`, but the shipped-line structure is split across two concepts. Model 2 has `OrderStatus.PARTIALLY_SHIPPED` / `FULLY_SHIPPED` and `Shipment o-- "1..*" OrderLine : groups`, which more clearly supports grouped line shipments.
3. Addresses, invoicing, and payment timing: Model 1 = 4, Model 2 = 3; Evidence: Model 1 explicitly models `Customer.headOfficeAddress`, `Order.deliveredTo`, `Invoice`, and `PaymentMethod { DIRECT, POST_DELIVERY }`, which captures the required payment-choice axis. Model 2 has `Customer.headOfficeAddress`, `Warehouse.address`, and `Invoice`, but no direct-vs-post-delivery payment choice, only `paidDate` / `status`.
4. Shipment / delivery lifecycle and tracking coherence: Model 1 = 3, Model 2 = 4; Evidence: Model 1 includes `ShipmentStatus { PACKED, SHIPPED, RECEIVED }` and a separate `DeliveryStatus { PACKED, SHIPPED, RECEIVED, DAMAGED, MISSING }`, but splits lifecycle across `Shipment` and `Delivery`. Model 2 keeps the lifecycle on one `Shipment` class with `status`, `pack()`, `ship()`, and `markReceived()`, and ties it to grouped `OrderLine`s more coherently.
Total: Model 1 = 13, Model 2 = 15
Choice: B
Reason:
1. Core model: Model 2 is closer because it enforces one-or-more order lines and cleanly includes the customer address concept.
2. Fulfillment: Model 2 better captures grouped shipment of order lines and partial/full shipment states.
3. Payment/addressing: Model 1 wins on payment timing because `PaymentMethod` directly models pay-now vs pay-after-delivery.
4. Lifecycle: Model 2 is more coherent for shipment tracking, while Model 1’s extra `DeliveryStatus` detail is not enough to offset the split `Shipment`/`Delivery` design.
5. Rejected or checked issues: I did not use association-direction style, PlantUML comments, primitive type spelling, or abstractness differences in scoring.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</si>
  <si>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</si>
  <si>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fulfillment across `Order`, `Shipment`, and `Delivery` with `Shipment --&gt; OrderLine`, `Shipment --&gt; Delivery`, and `Delivery --&gt; OrderLine`, plus an extra `Company` root that centralizes unrelated ownership. Model 2 keeps responsibilities more localized with `Order`, `OrderLine`, `Invoice`, `Shipment`, `Product`, `Warehouse`, and `Address`, and `Shipment o-- OrderLine` is a cleaner grouping structure.
2. Complexity: Model 1 = 2, Model 2 = 4; Evidence: Model 1 uses 9 classes and 5 enums (`PaymentStatus`, `ShippingStatus`, `DeliveryStatus`, `ShipmentStatus`, `PaymentMethod`), which fragments state across multiple concepts. Model 2 uses 8 classes and 2 enums (`OrderStatus`, `ShipmentStatus`), with a more balanced class count and a simpler state model, despite adding a few useful operations like `markPaid()` and `pack()`.
3. Practicability: Model 1 = 2, Model 2 = 4; Evidence: Model 1 has only data fields and no behavior for paying, shipping, or stock adjustment, and it models delivery through both `Shipment` and `Delivery`, which is harder to implement and test cleanly. Model 2 includes practical lifecycle methods such as `Product.adjustStock()`, `Order.markPaid()`, `Order.markFullyShipped()`, and `Shipment.pack()/ship()/markReceived()`, plus explicit `Address` and `Warehouse` structure for the later steps.
Total: Model 1 = 6, Model 2 = 12
Choice: B
Reason:
1. Cohesion and Decoupling: Model 2 is more cohesive because each class has a clearer single role, while Model 1 spreads delivery concerns across multiple overlapping classes and associations.
2. Complexity: Model 2 is less cluttered overall, with fewer classes and enums and a more consolidated lifecycle model; Model 1 fragments the domain into more separate state classes.
3. Practicability: Model 2 is easier to turn into working code and tests because it exposes key business operations and lifecycle transitions directly in the diagram.
4. Rejected or checked issues: I did not use association direction style, PlantUML comments, primitive type spellings, or equivalent multiplicity notation as negative evidence.
5. Overall judgment: Model 2 better supports the evolving requirements from stock/order tracking through partial shipments, warehouses, and delivery status handling.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</si>
  <si>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</si>
  <si>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core classes like `Customer`, `Product`, `Order`, `OrderLine`, `Invoice`, `Shipment`, and `Delivery`, but also adds unrelated `Company` and splits the delivery concept into both `Shipment` and `Delivery`; Model 2 includes the core `Customer`, `Address`, `Product`, `Order`, `OrderLine`, `Invoice`, and `Shipment`, plus `Warehouse` from the later requirements, though `Warehouse` is a slightly indirect fit for the delivery-address wording.
2. Associations/Multiplicities between classes for domain reasoning: Model 1 = 2, Model 2 = 4; Evidence: Model 1 has some correct links like `Customer 1 --&gt; * Order` and `Order 1 --&gt; * OrderLine`, but also confusing relationships such as `Shipment 1 --&gt; * Delivery` and `Delivery * --&gt; * OrderLine`, plus a single `Order -&gt; DeliveryAddress` that does not scale well to later-step delivery destinations; Model 2 more cleanly models `Order 1 *-- 1..* OrderLine`, `OrderLine *-- 1 Product`, `Order 1 *-- 0..* Shipment`, and `Shipment 1 o-- 1..* OrderLine`, though `Order 1 -- 1 Warehouse` is a mild mismatch with the prompt.
3. Model attributes with appropriate data types: Model 1 = 2, Model 2 = 4; Evidence: Model 1 has only a few relevant attributes such as `vatNumber`, `currentStock`, `quantityOrdered`, and status enums, but it misses key required data like customer address details and explicit paid/shipped timestamps; Model 2 adds richer domain data like `Address.street/city/postalCode/country`, `Order.paidDate`, `Shipment.receivedDate`, `Product.price`, `Invoice.totalAmount`, and identifiers, though some fields are extra and `Money` is an added type.
4. Consistencies of Terminology with given context: Model 1 = 3, Model 2 = 4; Evidence: Model 1 uses several prompt-aligned terms such as `PaymentMethod { DIRECT, POST_DELIVERY }`, `OrderLine`, `Invoice`, and `Shipment`, but also introduces `Company` and uses `DeliveryAddress`/`Delivery`, which are less faithful to the scenario wording; Model 2 uses the main scenario terms `Customer`, `Address`, `Product`, `Order`, `OrderLine`, `Invoice`, and `Shipment`, and `Warehouse` fits the later requirements, though `Order -&gt; Warehouse` is a slight terminology drift.
5. Adherence of UML class diagram standards: Model 1 = 5, Model 2 = 5; Evidence: both diagrams are valid PlantUML class diagrams with classes, enums, attributes, and associations, and neither has a syntax issue that prevents interpretation.
Total: Model 1 = 15, Model 2 = 21
Choice: B
Reason:
1. Appropriate conceptual classes: Model 2 covers the main domain classes more directly and with fewer irrelevant additions than Model 1.
2. Associations/Multiplicities: Model 2 expresses the order-line-shipment structure more clearly; Model 1’s `Shipment`/`Delivery` layering is muddier.
3. Attributes: Model 2 captures the required operational data better, especially paid/shipped/received timing and richer address information.
4. Rejected or checked issues: I did not penalize arrow direction, lowercase primitive type names, or PlantUML comments, since those are explicitly forbidden as negative evidence.
5. Overall judgment: Model 2 is the better fit for the evolving requirements, especially for later-step shipment handling and accounting-related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</si>
  <si>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</si>
  <si>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Stepwise requirement fit: Model 1 = 2, Model 2 = 4; Evidence: Model 1 introduces extra early-stage structure like `Company` and makes `Order "1" --&gt; "1" Invoice` mandatory even though invoices only appear in STEP 3, while also splitting shipment concepts across both `Shipment` and `Delivery`. Model 2 stays closer to the staged requirement with `Order "1" -- "0..1" Invoice`, `PaymentTiming`, and `ShipmentLine` for the later partial-shipment steps.
2. Associations and multiplicities: Model 1 = 2, Model 2 = 5; Evidence: Model 1 uses `Shipment "1" --&gt; "*" OrderLine` and `Delivery "*" --&gt; "*" OrderLine`, which does not clearly model grouped shipments or line-level partial shipment tracking. Model 2 uses `Shipment "1" -- "1..*" ShipmentLine`, `ShipmentLine "0..*" -- "1" OrderLine`, and `Order "1" -- "0..*" Shipment`, which matches grouped shipment units and partial fulfillment much better.
3. Naming and attribute clarity: Model 1 = 3, Model 2 = 4; Evidence: Model 1 has understandable core fields like `Customer.vatNumber`, `Product.currentStock`, and `OrderLine.quantityOrdered`, but the mix of `DeliveryAddress`, `Shipment`, and `Delivery` blurs the domain. Model 2 uses clearer, more evolution-friendly names such as `Address`, `ShipmentLine`, `orderedQuantity`, and `shippedQuantity`, though `Invoice.isPaid` is somewhat redundant.
Total: Model 1 = 7, Model 2 = 13
Choice: B
Reason:
1. Stepwise fit: Model 2 follows the requirement’s staged evolution more faithfully, especially for STEP 3 and STEP 4.
2. Association semantics: Model 2’s `ShipmentLine` structure captures partial shipments and grouped lines directly; Model 1 does not.
3. Rejected issues: I did not use opposite-direction vs bidirectional association style, primitive type aliases (`int` vs `Integer`), or equivalent multiplicity spellings (`*` vs `0..*`) as negative evidence.
4. Overall judgment: Model 2 is materially better aligned with the requirement and more semantically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</si>
  <si>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</si>
  <si>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shipment concerns across both `Shipment` and `Delivery` (`Shipment.status`, `Delivery.status`, `Delivery.conditionNotes`) and mixes order/payment/shipping concerns into `Order` (`paymentStatus`, `paymentMethod`, `shippingStatus`), while also reusing `DeliveryAddress` for both head office and warehouses. Model 2 keeps concerns cleaner with `Address` for locations, `Order` for order/payment state, `Shipment` for shipment state, and `ShipmentLine` for shipment-to-order-line linkage.
2. Complexity: Model 1 = 2, Model 2 = 4; Evidence: Model 1 has more moving parts than needed for the requirement (`Company`, `Delivery`, five enums, and many associations), including two overlapping shipment-related classes. Model 2 uses fewer core concepts (`Customer`, `Address`, `Product`, `Order`, `OrderLine`, `Invoice`, `Shipment`, `ShipmentLine`) and a smaller set of enums, which is a more balanced level of complexity for the stated steps.
3. Practicability: Model 1 = 2, Model 2 = 4; Evidence: Model 1 is harder to implement cleanly because `Order --&gt; Invoice` is mandatory (`1`), which over-constrains earlier steps, and the `Shipment`/`Delivery` split makes partial shipment handling ambiguous. Model 2 is more directly usable: it supports `0..1 Invoice`, `Order 1..* OrderLine`, `Shipment 1..* ShipmentLine`, and `ShipmentLine` linked to `OrderLine`, which better matches partial shipping and later-stage invoicing.
Total: Model 1 = 6, Model 2 = 12
Choice: B
Reason:
1. Cohesion and decoupling: Model 2 has a clearer separation of concerns, while Model 1 duplicates shipment semantics across `Shipment` and `Delivery` and mixes multiple responsibilities into `Order`.
2. Complexity: Model 2 achieves the requirement with fewer redundant concepts; Model 1 adds extra classes and enums that do not improve the domain model enough to justify the added complexity.
3. Practicability: Model 2 is easier to implement and extend for STEP 2 to STEP 4 because `ShipmentLine` explicitly supports grouped and partial shipments, and `Invoice` is optional rather than forced from the start.
4. Rejected issues: I did not use `--&gt;` vs `--`, PlantUML end-of-line comments, primitive type spellings, or optional abstractness as negative evidence, per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</si>
  <si>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</si>
  <si>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has `Customer`, `Product`, `Order`, `OrderLine`, `Invoice`, `Shipment`, and `DeliveryAddress`, but also adds `Company` and a separate `Delivery` class that muddies the domain. Model 2 uses `Customer`, `Address`, `Product`, `Order`, `OrderLine`, `Invoice`, `Shipment`, and `ShipmentLine`, which maps more directly to the requirements, especially step 4.
2. Associations/Multiplicities between classes for domain reasoning: Model 1 = 3, Model 2 = 4; Evidence: Model 1 correctly links `Customer` to `Order`, `Order` to `OrderLine`, and `Order` to `Invoice`, but splits shipment reasoning across `Shipment "1" --&gt; "*" Delivery`, `Shipment "1" --&gt; "*" OrderLine`, and `Delivery "*" --&gt; "*" OrderLine`, which is weaker for partial-shipment handling. Model 2 links `Customer` to `Order`, `Order` to `OrderLine` with `1..*`, `Order` to `Shipment`, and `Shipment` to `ShipmentLine` to `OrderLine`, which better supports line-level shipping.
3. Model attributes with appropriate data types: Model 1 = 3, Model 2 = 4; Evidence: Model 1 includes useful attributes like `vatNumber`, `currentStock: int`, `quantityOrdered: int`, `totalAmount: double`, and `shipmentDate: Date`, but it lacks a shipped-quantity attribute and uses a single `address: String` instead of structured address data. Model 2 adds `Address(street, city, postalCode)`, `OrderLine(orderedQuantity, shippedQuantity)`, and `Invoice(totalAmount: Decimal, isPaid: Boolean)`, which is more complete.
4. Consistencies of Terminology with given context: Model 1 = 3, Model 2 = 4; Evidence: Model 1 mixes `Company`, `DeliveryAddress`, `Shipment`, and `Delivery`, plus `hasWarehouses`, which is less consistent with the supermarket/order wording. Model 2 stays closer to the scenario with `Customer`, `Address`, `Order`, `Invoice`, `Shipment`, `ShipmentLine`, `PaymentTiming`, and `deliveryWarehouses`.
5. Adherence of UML class diagram standards: Model 1 = 4, Model 2 = 5; Evidence: Both are valid PlantUML class diagrams, but Model 2 uses cleaner standard class-and-association notation and a more conventional structure. Model 1 is still understandable, but its overlapping shipment/delivery structure makes the diagram less straightforward.
Total: Model 1 = 16, Model 2 = 21
Choice: B
Reason:
1. Appropriate conceptual classes: Model 2 is better aligned with the evolving requirements because it includes `ShipmentLine` for line-grouped deliveries and `Address` for head office and delivery locations; Model 1’s extra `Company` and `Delivery` classes are less directly tied to the problem.
2. Associations/multiplicities: Model 2 models the shipping flow more coherently with `Shipment -&gt; ShipmentLine -&gt; OrderLine`, while Model 1 spreads the same idea across multiple overlapping links involving both `Shipment` and `Delivery`.
3. Rejected or checked issues: I did not penalize either model for `int` vs `Integer`, `double` vs `Decimal`, or opposite-direction association styling, since those are explicitly allowed or equivalent under the instructions.
4. Overall judgment: Model 2 is the stronger UML domain model. It better captures partial shipment handling and payment timing, and its associations and terminology are closer to the stated requirements.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</si>
  <si>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</si>
  <si>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</si>
  <si>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</si>
  <si>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university structure and required attributes: Model 1 = 5, Model 2 = 4; Evidence: Model 1 has `University {name, totalEmployees}`, `Faculty {name}`, `Institute {name, address}`, plus `University *-- 1..* Faculty` and `Faculty *-- 1..* Institute`. Model 2 has `Faculty {name}`, `Institute {name, address}`, and the same containment links, but `University` only shows `totalEmployees` and does not include `name`.
2. Employee model and university employment: Model 1 = 5, Model 2 = 3; Evidence: Model 1 defines `Employee {socialSecurityNumber, name, email}`, distinguishes `ResearchStaff` and `AdministrativeStaff`, and links `University --&gt; "*" Employee` / `Employee --&gt; "1" University`. Model 2 also defines `Employee` and the staff split, but it has no `University`-`Employee` association, so university employment is not represented.
3. Research assistant, lecturer, and institute assignment: Model 1 = 5, Model 2 = 2; Evidence: Model 1 explicitly has `ResearchAssistant {fieldOfResearch}` under `ResearchStaff`, `ResearchAssistant --&gt; 1..* Institute`, and `ResearchAssistant &lt;|-- Lecturer`. Model 2 uses `ResearchStaff {fieldOfResearch}` with `ResearchStaff --&gt; 1..* Institute` and `ResearchStaff &lt;|-- Lecturer`, but it collapses the RA concept into a broader research-staff class instead of modeling RAs explicitly.
4. Project and course modeling: Model 1 = 5, Model 2 = 4; Evidence: Model 1 models `Project {name, startDate, endDate}` plus `ProjectInvolvement {hours}` between RA and Project, and `Course {id, name, weeklyDurationHours}` with lecturer-course links. Model 2 also has `Project {name, startDate, endDate}` and a research-staff-to-project association carrying `hours`, plus `Course {id, name, weeklyDurationHours}` and `Lecturer --&gt; Course`, so it covers the domain but with less explicit structure.
5. Exactness to the stated domain: Model 1 = 5, Model 2 = 3; Evidence: Model 1 preserves the requirement's named roles (`ResearchAssistant`, `Lecturer`, `ProjectInvolvement`) and keeps the organizational model anchored with university employees. Model 2 conflates RA into `ResearchStaff`, omits `University.name`, and leaves employees unlinked to the university, so it is less faithful to the exact wording.
Total: Model 1 = 25, Model 2 = 16
Choice: A
Reason:
1. Core university structure and required attributes: Model 1 includes all requested top-level entities and attributes, while Model 2 omits the university name.
2. Employee model and university employment: Model 1 correctly models employees as belonging to the university; Model 2 leaves that relationship out.
3. Research assistant, lecturer, and institute assignment: Model 1 explicitly models RA and makes lecturer a specialization of RA; Model 2 merges RA into `ResearchStaff`, which weakens the requirement fit.
4. Project and course modeling: Both cover projects and courses, but Model 1 makes the project-hours relationship more explicit and keeps the domain roles closer to the wording.
5. Rejected or checked issues: I did not penalize either model for one-way vs bidirectional associations, primitive type choices, or abstractness, since those are explicitly forbidden as scoring factors.
6. Overall judgment: Model 1 is more faithful to the requirement across the core structure, staffing hierarchy, and RA/lecturer semantics,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</si>
  <si>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</si>
  <si>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`Employee`, `ResearchStaff`, `AdministrativeStaff`, `ResearchAssistant`, `Lecturer`, and `ProjectInvolvement`, so personal data, staff roles, and project-hours are split into focused classes. Model 2 collapses the RA/project/course behavior into `ResearchStaff` with direct links to `Institute`, `Project`, and `Course`, which is less modular.
2. Complexity: Model 1 = 3, Model 2 = 3; Evidence: Model 1 has more classes and a deeper chain (`Employee -&gt; ResearchStaff -&gt; ResearchAssistant -&gt; Lecturer`) plus `ProjectInvolvement`, while Model 2 is smaller and shallower (`Employee -&gt; ResearchStaff -&gt; Lecturer`). Model 1 is more detailed, but the extra structure is requirement-driven rather than gratuitous.
3. Practicability: Model 1 = 4, Model 2 = 2; Evidence: Model 1 explicitly models `University`-`Employee`, the dean/faculty relation, `ResearchAssistant` assigned to `1..*` `Institute`, project hours through `ProjectInvolvement`, and `Course` data, which is easier to implement and test. Model 2 omits the university-employee link, has no explicit RA class, and uses vague `many` multiplicities, making it less precise for real-world use.
Total: Model 1 = 11, Model 2 = 8
Choice: A
Reason:
1. Cohesion and Decoupling: Model 1 keeps concepts more separated, especially by isolating `ProjectInvolvement` and the lecturer role, while Model 2 puts several responsibilities onto `ResearchStaff`.
2. Complexity: Model 1 is a bit more elaborate, but that extra structure matches the requirement; Model 2 is simpler mainly because it merges distinct domain concepts.
3. Practicability: Model 1 maps more cleanly to implementation and testing because it captures the required roles and relationships more explicitly.
4. Rejected or checked issues: I did not penalize opposite-direction association pairs, primitive type aliases, equivalent multiplicities, or abstractness choices, since those are forbidden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</si>
  <si>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</si>
  <si>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both diagrams and comparing only what’s explicitly modeled, not style or layout.
```result
Scores:
1. Appropriate conceptual classes aligned with the domain: Model 1 = 5, Model 2 = 3; Evidence: Model 1 includes the key domain classes `University`, `Faculty`, `Institute`, `Employee`, `ResearchStaff`, `AdministrativeStaff`, `ResearchAssistant`, `Lecturer`, `Project`, `ProjectInvolvement`, and `Course`. Model 2 covers most of the domain but collapses the RA concept into `ResearchStaff` and never models a distinct `ResearchAssistant`, so the required role structure is less faithful.
2. Associations/Multiplicities between classes for domain reasoning: Model 1 = 4, Model 2 = 2; Evidence: Model 1 models `University *-- Faculty`, `Faculty *-- Institute`, `Faculty --&gt; Employee : dean`, `ResearchAssistant --&gt; Institute` with `1..*`, and a project involvement path via `ResearchAssistant --&gt; ProjectInvolvement` and `ProjectInvolvement --&gt; Project`. Model 2 has `University *-- Faculty`, `Faculty *-- Institute`, `Faculty --&gt; Employee : has dean`, `ResearchStaff --&gt; Institute`, and `ResearchStaff --&gt; Project`, but it omits the employee-university link, does not model a separate project-involvement structure with hours, and broadens RA-specific relations to all research staff.
3. Model attributes with appropriate data types: Model 1 = 5, Model 2 = 4; Evidence: Model 1 explicitly models `socialSecurityNumber`, `name`, `email`, `fieldOfResearch`, `Project(name, startDate, endDate)`, `ProjectInvolvement(hours)`, and `Course(id, name, weeklyDurationHours)`. Model 2 includes most core attributes too, but places `fieldOfResearch` on `ResearchStaff` rather than a distinct RA concept and is less precise in the course/RA modeling.
4. Consistencies of Terminology with given context: Model 1 = 5, Model 2 = 3; Evidence: Model 1 uses the exact domain terms `ResearchAssistant`, `Lecturer`, `Institute`, `Dean`, and `ProjectInvolvement` in a way that tracks the requirement wording. Model 2 replaces the RA concept with broader `ResearchStaff` terminology and uses less domain-specific relation labels like `contains` and `has dean`, so it is only partially aligned.
5. Adherence of UML class diagram standards: Model 1 = 5, Model 2 = 3; Evidence: Model 1 uses standard class and inheritance notation plus numeric multiplicities like `1..*` and `0..*`. Model 2 is readable, but it uses nonstandard multiplicity text such as `"many"` and omits some of the cleaner UML structure seen in Model 1.
Total: Model 1 = 24, Model 2 = 15
Choice: A
Reason:
1. Conceptual classes: Model 1 captures the required RA/lecturer split directly, while Model 2 collapses that distinction into `ResearchStaff`.
2. Associations/multiplicities: Model 1 models the employee/faculty/institute/project structure more faithfully, including the project involvement intermediary; Model 2 is missing key domain links and broadens RA-specific relations.
3. Attributes: both cover most required attributes, but Model 1 is more explicit and better organized around the required domain concepts.
4. Terminology: Model 1 tracks the wording of the requirement more closely, especially for `ResearchAssistant` and `Lecturer`.
5. Rejected or checked issues: I did not penalize either model for primitive type aliases or for opposite-direction association duplication; those are semantically equivalent under the rules.
6. Overall judgment: Model 1 is materially closer to the requirement across concept modeling, relationships, and UML conformance,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</si>
  <si>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</si>
  <si>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5, Model 2 = 4; Evidence: Model 1 has `University *-- "1..*" Faculty : faculties` and `Faculty *-- "1..*" Institute : institutes`. Model 2 has `University "1" *-- "0..*" Faculty` and `Faculty "1" *-- "0..*" Institute`, which models the hierarchy but is weaker on the “several/various” part.
2. Names and institute address: Model 1 = 5, Model 2 = 5; Evidence: Model 1 gives `Faculty.name`, `Institute.name`, and `Institute.address : String`. Model 2 gives `Faculty.name`, `Institute.name`, and `Institute *-- Address` with `street`, `city`, and `zipCode`, which still captures a known address.
3. Dean and employee-of-university relation: Model 1 = 5, Model 2 = 4; Evidence: Model 1 has `Faculty --&gt; "1" Employee : dean`, `Employee --&gt; "0..1" Faculty : headedFaculty`, and `University --&gt; "*" Employee : employees`. Model 2 has `Faculty "1" --&gt; "1" Employee : dean` but no explicit University-Employee association.
4. Employee data, staff split, and total employees: Model 1 = 5, Model 2 = 4; Evidence: Model 1 has `Employee { socialSecurityNumber, name, email }`, subclasses `ResearchStaff` and `AdministrativeStaff`, plus `University.totalEmployees` and `University --&gt; "*" Employee`. Model 2 has the same employee attributes and subclasses, plus `University.totalEmployees`, but lacks the university-employees link.
5. RA institute assignment and research field: Model 1 = 5, Model 2 = 5; Evidence: Model 1 has `ResearchAssistant { fieldOfResearch }` and `ResearchAssistant --&gt; "1..*" Institute : assignedInstitutes`. Model 2 has `ResearchAssistant { fieldOfResearch }` and `ResearchAssistant "1..*" -- "0..*" Institute : assigned to`.
6. RA project involvement and project data: Model 1 = 5, Model 2 = 3; Evidence: Model 1 has `Project { name, startDate, endDate }`, `ProjectInvolvement { hours }`, `ResearchAssistant --&gt; "0..*" ProjectInvolvement`, and `ProjectInvolvement --&gt; "1" Project`. Model 2 has the same project fields and `ProjectInvolvement { hours }`, but `ResearchAssistant "0..*" -- "0..*" ProjectInvolvement` is too weak to show each involvement is tied to one RA.
7. Lecturer specialization and teaching courses: Model 1 = 5, Model 2 = 5; Evidence: Model 1 has `ResearchAssistant &lt;|-- Lecturer` and `Lecturer --&gt; "0..*" Course : taughtCourses`. Model 2 has `ResearchAssistant &lt;|-- Lecturer` and `Lecturer "0..*" -- "0..*" Course : teaches`.
8. Course attributes and identifier: Model 1 = 5, Model 2 = 4; Evidence: Model 1 has `Course { id : int, name : String, weeklyDurationHours : double }`. Model 2 has `Course { id : String, name : String, weeklyDurationHours : int }`, which covers the fields but models the ID less precisely as a string.
Total: Model 1 = 40, Model 2 = 34
Choice: A
Reason:
1. University structure and staffing coverage: Model 1 more explicitly connects the university to its employees and uses stronger faculty/institute multiplicities, while Model 2 leaves the employee-university link implicit.
2. Project participation modeling: Model 1 models the RA-to-project-involvement-to-project chain more faithfully; Model 2’s many-to-many RA-to-ProjectInvolvement link is semantically weaker.
3. Course and dean coverage: Both models handle lecturers teaching courses, but Model 1 is stronger overall because it also ties dean, employees, and university together.
4. Rejected or checked issues: I did not use forbidden factors such as bidirectional-vs-unidirectional association style, `*` vs `0..*`, or abstractness as negatives. I also did not penalize Model 2 merely for using an `Address` class or Model 1 for having an extra `University.name`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</si>
  <si>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</si>
  <si>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`Institute.address` as a simple attribute and uses direct domain links like `University *-- Faculty`, `Faculty *-- Institute`, `Faculty --&gt; Employee : dean`, `ResearchAssistant --&gt; Institute`, and `Lecturer --&gt; Course`. Model 2 adds a separate `Address` class with `Institute *-- Address`, which is modular, but it also adds another object boundary and does not show an explicit `University`-`Employee` association.
2. Complexity: Model 1 = 4, Model 2 = 3; Evidence: Model 1 has 11 classes and a straightforward inheritance chain (`Employee` -&gt; `ResearchStaff` -&gt; `ResearchAssistant` -&gt; `Lecturer`). Model 2 adds an extra `Address` class plus structured address fields, increasing class count and structural load without a clear requirement-driven benefit.
3. Practicability: Model 1 = 5, Model 2 = 3; Evidence: Model 1 matches the requirement directly with `University --&gt; Employee`, `Faculty --&gt; Employee : dean`, `Institute : address`, `ResearchAssistant --&gt; 1..* Institute`, `ResearchAssistant --&gt; ProjectInvolvement`, `ProjectInvolvement --&gt; Project`, `Lecturer --&gt; Course`, and `Course.id : int`. Model 2 is less practical because `University` has no employee relation, `University *-- 0..* Faculty` and `Faculty *-- 0..* Institute` allow empty structures, `Institute` lacks a direct address property, and `Course.id : String` is less aligned with a numbered course ID.
Total: Model 1 = 12, Model 2 = 9
Choice: A
Reason:
1. Cohesion and Decoupling: Model 1 is cleaner because it keeps the core university structure directly connected and avoids an extra `Address` object; Model 2 is more modular in one spot, but that comes with extra coupling and less direct representation of university staffing.
2. Complexity: Model 1 is simpler overall, while Model 2 introduces one more class and more structure than the requirement needs.
3. Rejected or checked issues: I did not penalize either model for bidirectional vs unidirectional association style, primitive type aliases, equivalent multiplicity spellings, or optional abstractness of `Employee`.
4. Overall judgment: Model 1 better preserves the required domain relationships with fewer moving parts, so it is the stronger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</si>
  <si>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</si>
  <si>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`University`, `Faculty`, `Institute`, `Employee`, `ResearchStaff`, `AdministrativeStaff`, `ResearchAssistant`, `Lecturer`, `Project`, `ProjectInvolvement`, and `Course`. Model 2 includes the same core concepts and adds `Address` as a refinement, with `abstract class Employee`.
2. Associations/Multiplicities between classes for domain reasoning: Model 1 = 5, Model 2 = 4; Evidence: Model 1 captures `University *-- "1..*" Faculty`, `Faculty *-- "1..*" Institute`, `Faculty --&gt; "1" Employee : dean`, `ResearchAssistant --&gt; "1..*" Institute`, `ResearchAssistant --&gt; "0..*" ProjectInvolvement`, `ProjectInvolvement --&gt; "1" Project`, and `University --&gt; "*" Employee`. Model 2 has the right relationships too, but weakens key constraints with `University "1" *-- "0..*" Faculty`, `Faculty "1" *-- "0..*" Institute`, `ResearchAssistant "0..*" -- "0..*" ProjectInvolvement`, and it has no explicit `University`-`Employee` association.
3. Model attributes with appropriate data types: Model 1 = 5, Model 2 = 4; Evidence: Model 1 directly models `Institute.address : String`, `Employee.socialSecurityNumber/name/email`, `ResearchAssistant.fieldOfResearch`, `Project.name/startDate/endDate`, `Course.id : int`, and `Course.weeklyDurationHours : double`. Model 2 has the same core attributes, but uses `Course.id : String` and `weeklyDurationHours : int`, and turns institute address into a separate `Address` class.
4. Consistencies of Terminology with given context: Model 1 = 5, Model 2 = 5; Evidence: Model 1 stays very close to the wording of the requirement with `dean`, `ResearchAssistant`, `lecturer`, `project`, and `course`. Model 2 is also mostly consistent, using the same domain terms plus `Address` as a structural refinement.
5. Adherence of UML class diagram standards: Model 1 = 5, Model 2 = 5; Evidence: Both are valid PlantUML class diagrams with standard class declarations, inheritance, associations, and multiplicities. Model 2’s `abstract class Employee` and `Institute *-- Address` are valid UML, and Model 1’s opposite-direction associations are semantically acceptable.
Total: Model 1 = 25, Model 2 = 23
Choice: A
Reason:
1. Associations/multiplicities: Model 1 is tighter on the main business relations, especially `University` to `Faculty`, `Faculty` to `Institute`, and `University` to `Employee`. Model 2 relaxes several of these to `0..*` and makes `ResearchAssistant`-`ProjectInvolvement` effectively many-to-many.
2. Attributes/data types: Model 1 models the requested data more directly, especially `Course.id : int` and `Institute.address : String`. Model 2’s `Course.id : String` is less faithful to “unique number (ID)”.
3. Rejected or checked issues: I did not penalize Model 2 for `abstract class Employee` or the separate `Address` class, since those are allowed refinements. I also did not penalize Model 1 for using opposite-direction associations or comments, since those are semantically equivalent and ignored by the rules.
4. Overall judgment: Both models cover the core classes well, but Model 1 is more faithful on the key domain constraints and attribute modeling, so it is the better diagram.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</si>
  <si>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</si>
  <si>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4, Model 2 = 5; Evidence: Model 1 covers `University.totalEmployees`, `Faculty.name`, `Institute.name/address`, `Employee.socialSecurityNumber/name/email`, and `Course.id/name/weeklyDurationHours`, but it only uses `ResearchStaff` for the research role. Model 2 covers the same core data and also makes the RA role explicit with `ResearchAssistant.fieldOfResearch` plus `ProjectInvolvement.hours` and `Address`.
2. Specialization/inheritance fidelity: Model 1 = 3, Model 2 = 5; Evidence: Model 1 has `Employee &lt;|-- AdministrativeStaff`, `Employee &lt;|-- ResearchStaff`, and `ResearchStaff &lt;|-- Lecturer`, which merges RAs into a generic research bucket. Model 2 has `Employee &lt;|-- AdministrativeStaff`, `Employee &lt;|-- ResearchStaff`, `ResearchStaff &lt;|-- ResearchAssistant`, and `ResearchAssistant &lt;|-- Lecturer`, which matches the requirement’s RA-to-lecturer wording much more directly.
3. Associations and cardinalities: Model 1 = 3, Model 2 = 4; Evidence: Model 1 uses `ResearchStaff "many" --&gt; "1..*" Institute` and `ResearchStaff "many" --&gt; "0..*" Project (hours : int)`. Model 2 uses `ResearchAssistant "1..*" -- "0..*" Institute`, `ResearchAssistant "0..*" -- "0..*" ProjectInvolvement`, and `Project "1" -- "0..*" ProjectInvolvement`, which models RA assignment and project-hours more explicitly.
4. Modeling clarity / attribute structure: Model 1 = 4, Model 2 = 4; Evidence: Model 1 keeps `Institute.address : String` directly on the institute, while Model 2 introduces `Address {street, city, zipCode}` and keeps `Institute` separate from the address structure. Model 1 is simpler; Model 2 is more explicit. Both are semantically clear.
Total: Model 1 = 14, Model 2 = 18
Choice: B
Reason:
1. Core requirement coverage: Model 2 captures the required RA structure and project involvement more completely, while Model 1 leaves those concepts implicit under `ResearchStaff`.
2. Specialization/inheritance fidelity: Model 2 directly models `ResearchAssistant` and `Lecturer` as the required refinement, whereas Model 1 collapses that into `ResearchStaff`.
3. Associations and cardinalities: Model 2 is stronger on RA assignment and project participation semantics via `ProjectInvolvement`, even though both diagrams are loose on faculty/institute lower bounds.
4. Rejected or checked issues: I did not use association direction/style, primitive type spelling, or abstractness of `Employee` as negative factors, since those are explicitly non-decisive under the instructions. I also did not penalize Model 2’s extra `Address` structure as a hard error, because it is a reasonable refinement rather than a contradiction.
5. Overall judgment: Model 2 is closer to the requirement’s domain model, especially for RA, lecturer, and project-hour relationships,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</si>
  <si>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</si>
  <si>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both diagrams, then I’ll score them and choose only if there’s a meaningful difference.
```result
Scores:
1. Cohesion and Decoupling: Model 1 = 3, Model 2 = 4; Evidence: Model 1 keeps `Institute.address : String` inline and attaches `hours : int` directly to `ResearchStaff --&gt; Project`, while Model 2 separates these into `Address` and `ProjectInvolvement(hours : int)`. Both models keep faculty/institute and staff concerns reasonably grouped, but Model 2 is more modular.
2. Complexity: Model 1 = 4, Model 2 = 3; Evidence: Model 1 has fewer classes and a shallower hierarchy (`Employee -&gt; ResearchStaff -&gt; Lecturer`), while Model 2 adds `Address`, `ResearchAssistant`, and `ProjectInvolvement`, plus a deeper chain (`Employee -&gt; ResearchStaff -&gt; ResearchAssistant -&gt; Lecturer`), so it is structurally more complex.
3. Practicability: Model 1 = 3, Model 2 = 4; Evidence: Model 1 is readable but less practical for testing and maintenance because address and project-hours concerns are not modeled as separate concepts. Model 2 is more maintainable and testable with explicit `Address`, `ProjectInvolvement`, and a clearer `Lecturer` specialization path.
Total: Model 1 = 10, Model 2 = 11
Choice: B
Reason:
1. Cohesion and Decoupling: Model 2 separates address and project involvement into their own concepts, reducing entanglement compared with Model 1’s inline string and association attribute usage.
2. Complexity: Model 1 is simpler, but Model 2’s extra classes are mostly justified refinements rather than noise.
3. Practicability: Model 2 is easier to extend and test because the address and project-hour concerns are explicit and modular.
4. Rejected or checked issues: I did not use association arrow direction, comment syntax, primitive type aliases, or multiplicity spelling differences as evidence. I also did not score `abstract Employee` as a plus or minus, since that is optional when direct instantiation is not specified.
5. Overall judgment: Model 2 is slightly better overall because it captures the requirement more faithfully while still remaining reasonably coherent and practical, despite being a bit more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</si>
  <si>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</si>
  <si>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against both UMLs and will score them criterion by criterion, with concrete evidence for every item.
```result
Scores:
1. Appropriate conceptual classes aligned with the domain: Model 1 = 4, Model 2 = 5; Evidence: Model 1 has `University`, `Faculty`, `Institute`, `Employee`, `AdministrativeStaff`, `ResearchStaff`, `Lecturer`, `Project`, and `Course`, which covers most domain concepts, but it uses `ResearchStaff` instead of an explicit `ResearchAssistant`. Model 2 includes `University`, `Faculty`, `Institute`, `Address`, `Employee`, `AdministrativeStaff`, `ResearchStaff`, `ResearchAssistant`, `Lecturer`, `Project`, `Course`, and `ProjectInvolvement`, so the domain concepts are represented more directly.
2. Associations/Multiplicities between classes for domain reasoning: Model 1 = 3, Model 2 = 4; Evidence: Model 1 has `University "1" *-- "many" Faculty`, `Faculty "1" *-- "many" Institute`, `Faculty "1" --&gt; "1" Employee : has dean`, `ResearchStaff "many" --&gt; "1..*" Institute`, `ResearchStaff "many" --&gt; "0..*" Project`, and `Lecturer "many" --&gt; "0..*" Course`, but the multiplicities are partly vague (`many`) and project effort is only implicit in an association label. Model 2 has `University "1" *-- "0..*"` `Faculty`, `Faculty "1" *-- "0..*"` `Institute`, `Faculty "1" --&gt; "1" Employee : dean`, `ResearchAssistant "1..*" -- "0..*" Institute : assigned to`, `ResearchAssistant "0..*" -- "0..*" ProjectInvolvement`, `Project "1" -- "0..*" ProjectInvolvement`, and `Lecturer "0..*" -- "0..*" Course : teaches`, which models RA assignment and project-hours reasoning more clearly.
3. Model attributes with appropriate data types: Model 1 = 4, Model 2 = 5; Evidence: Model 1 includes `totalEmployees : int`, `name : String`, `address : String`, `socialSecurityNumber : String`, `email : String`, `fieldOfResearch : String`, `startDate : Date`, `endDate : Date`, `id : String`, `weeklyDurationHours : int`, and `hours : int` on the project association. Model 2 includes the same required core attributes plus an explicit `Address` class with `street`, `city`, and `zipCode`, and `ProjectInvolvement : hours : int`, so the model of address and project participation is more complete.
4. Consistencies of Terminology with given context: Model 1 = 3, Model 2 = 5; Evidence: Model 1 consistently uses `ResearchStaff` where the requirement says `Research assistants (RA)`, so the terminology is related but not exact. Model 2 uses `ResearchAssistant` and `Lecturer` exactly in the way the requirement describes, while `AdministrativeStaff`, `Faculty`, `Institute`, `Project`, and `Course` all align cleanly with the prompt.
5. Adherence of UML class diagram standards: Model 1 = 3, Model 2 = 4; Evidence: Model 1 is understandable, but it uses nonstandard multiplicity text like `"many"` on associations, which is weaker UML notation than explicit multiplicities. Model 2 stays closer to standard UML/PlantUML with explicit classes, inheritance, composition, and multiplicities like `0..*` and `1..*`, though `ProjectInvolvement` is modeled as a separate class rather than using formal association-class syntax.
Total: Model 1 = 17, Model 2 = 23
Choice: B
Reason:
1. Conceptual classes: Model 2 represents the domain more faithfully by naming `ResearchAssistant` explicitly and adding `ProjectInvolvement` and `Address`, while Model 1 folds RA concepts into `ResearchStaff`.
2. Associations/multiplicities: Model 2 captures RA assignment to at least one institute and project hours more explicitly through `ProjectInvolvement`; Model 1 has the right broad links but weaker multiplicity notation and a less precise project participation model.
3. Attributes/terminology: Both cover the core attributes, but Model 2 is more context-consistent because it uses `ResearchAssistant` and `Lecturer` in the same terminology as the requirement.
4. Rejected or checked issues: I did not penalize either model for using opposite-direction associations, lowercase primitive aliases, or `abstract Employee`, since those are not valid grounds for deduction under the instructions.
5. Overall judgment: Model 2 is better because it aligns more closely with the stated university domain and expresses the RA/project/institute structure more cleanly, with only minor notation over-modeling.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</si>
  <si>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</si>
  <si>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university/faculty/institute structure: Model 1 = 4, Model 2 = 5; Evidence: Model 1 has `University *-- Faculty` and `Faculty *-- Institute`, which matches the containment chain. Model 2 has the same chain with `University *-- "1..*" Faculty` and `Faculty *-- "1..*" Institute`, which is a tighter fit to “several faculties” and “various institutes”.
2. Dean and university employee modeling: Model 1 = 3, Model 2 = 5; Evidence: Model 1 has `Faculty "1" --&gt; "1" Employee : has dean`, so the dean is an employee, but it does not model faculty head ownership from the employee side or any university membership. Model 2 has `Faculty --&gt; "1" Employee : dean`, `Employee --&gt; "0..1" Faculty : headedFaculty`, and `University --&gt; "*" Employee : employees`, which covers the dean role and employee ownership more completely.
3. Employee attributes and staff distinction: Model 1 = 4, Model 2 = 5; Evidence: Model 1 has `Employee` with `socialSecurityNumber`, `name`, `email`, plus `AdministrativeStaff` and `ResearchStaff`. Model 2 has the same employee attributes and also separates `ResearchStaff`, `AdministrativeStaff`, and `ResearchAssistant`, making the research-vs-administrative distinction more explicit.
4. Research assistant semantics, institute assignment, and lecturer relation: Model 1 = 3, Model 2 = 5; Evidence: Model 1 uses `ResearchStaff` with `fieldOfResearch`, `ResearchStaff "many" --&gt; "1..*" Institute : assigned to`, and `Lecturer &lt;|-- ResearchStaff`, which captures much of the intent but does not explicitly model an RA class. Model 2 has `ResearchAssistant` with `fieldOfResearch`, `ResearchAssistant --&gt; "1..*" Institute : assignedInstitutes`, and `ResearchAssistant &lt;|-- Lecturer`, which directly matches the RA and lecturer requirement.
5. Project involvement modeling: Model 1 = 4, Model 2 = 5; Evidence: Model 1 has `ResearchStaff "many" --&gt; "0..*" Project : involved in (hours : int)` and a `Project` class with `name`, `startDate`, `endDate`, so the project facts are covered and hours are attached to the association. Model 2 introduces `ProjectInvolvement` with `hours : int` and links it to `ResearchAssistant` and `Project`, which represents the “certain number of hours” requirement more explicitly.
6. Course modeling: Model 1 = 4, Model 2 = 4; Evidence: Model 1 has `Course` with `id`, `name`, `weeklyDurationHours` and `Lecturer "many" --&gt; "0..*" Course : teaches`. Model 2 has `Course` with `id`, `name`, `weeklyDurationHours` and `Lecturer --&gt; "0..*" Course : taughtCourses`; both satisfy the course concept and lecturer-teaches-course relation.
Total: Model 1 = 22, Model 2 = 29
Choice: B
Reason:
1. Core structure: both model the university-faculty-institute hierarchy, but Model 2 uses clearer `1..*` multiplicities that better reflect “several” faculties and “various” institutes.
2. Dean/employee ownership: Model 2 explicitly models university employees and the faculty dean relation more completely; Model 1 only attaches the dean to `Employee` from the faculty side.
3. RA semantics: Model 2 is materially better because it introduces `ResearchAssistant` explicitly and makes `Lecturer` a subtype of it, matching the requirement that some RAs teach courses and are called lecturers.
4. Project involvement: Model 2’s `ProjectInvolvement` class captures the hours requirement directly; Model 1 encodes hours on the association, which is acceptable but less explicit.
5. Rejected or checked issues: I did not use primitive type choices (`String` vs `int`/`double`) against either model, and I ignored opposite-direction associations and PlantUML comments as required.
6. Overall judgment: Model 2 covers the required domain concepts more faithfully and with fewer semantic gaps,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</si>
  <si>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</si>
  <si>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collapses the RA/lecturer role into `ResearchStaff`/`Lecturer` and stores project hours on `ResearchStaff --&gt; Project (hours : int)`, while Model 2 separates `ResearchAssistant`, `Lecturer`, and a dedicated `ProjectInvolvement { hours : int }`. Model 2 also cleanly pairs `Faculty --&gt; Employee : dean` with `Employee --&gt; Faculty : headedFaculty`, which is more decoupled than Model 1’s one-way dean relation.
2. Complexity: Model 1 = 3, Model 2 = 4; Evidence: Model 1 is structurally smaller (`University`, `Faculty`, `Institute`, `Employee`, `AdministrativeStaff`, `ResearchStaff`, `Lecturer`, `Project`, `Course`) and has a shallower inheritance chain (`Employee &lt;|-- ResearchStaff &lt;|-- Lecturer`). Model 2 adds `ResearchAssistant`, `ProjectInvolvement`, and a deeper chain (`Employee &lt;|-- ResearchStaff &lt;|-- ResearchAssistant &lt;|-- Lecturer`), but that extra structure directly reflects the requirement’s RA/project-hours semantics.
3. Practicability: Model 1 = 3, Model 2 = 5; Evidence: Model 1 is readable but less implementation-friendly because project hours are only embedded in an association label and there is no explicit employment link to `University`. Model 2 is easier to test and maintain because it models `ProjectInvolvement`, `University &lt;--&gt; Employee`, `Faculty &lt;--&gt; Employee` for dean/headedFaculty, and the RA-to-course teaching path explicitly.
Total: Model 1 = 9, Model 2 = 14
Choice: B
Reason:
1. Cohesion and Decoupling: Model 2 models the RA role and project participation with clearer responsibility boundaries, while Model 1 compresses more behavior into fewer classes/associations.
2. Complexity: Model 1 is smaller, but Model 2’s added classes are justified by the requirement and still remain understandable.
3. Practicability: Model 2 is more usable for implementation and testing because key relationships are explicit rather than hidden in overloaded associations.
4. Rejected issues: I did not count opposite-direction association pairs, lowercase primitive aliases, or equivalent multiplicity spellings as negatives, per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</si>
  <si>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</si>
  <si>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`University`, `Faculty`, `Institute`, `Employee`, `AdministrativeStaff`, `ResearchStaff`, `Lecturer`, `Project`, and `Course`, which covers the domain well but uses `ResearchStaff` where the requirement specifically says `Research assistants (RA)`. Model 2 has the same core set but names the subclass `ResearchAssistant` and keeps `Lecturer` as a specialization of it, which matches the requirement more directly.
2. Associations/Multiplicities between classes for domain reasoning: Model 1 = 4, Model 2 = 5; Evidence: Model 1 captures `University *-- Faculty`, `Faculty *-- Institute`, `Faculty --&gt; Employee : has dean`, `ResearchStaff --&gt; 1..* Institute`, `ResearchStaff --&gt; 0..* Project`, and `Lecturer --&gt; 0..* Course`, but it does not explicitly associate employees with the university. Model 2 adds `University --&gt; Employee`, `Employee --&gt; University`, `Faculty --&gt; Employee : dean`, `ResearchAssistant --&gt; 1..* Institute`, and models project work via `ResearchAssistant --&gt; ProjectInvolvement --&gt; Project`, which is more complete for the stated relationships.
3. Model attributes with appropriate data types: Model 1 = 4, Model 2 = 5; Evidence: Model 1 includes `socialSecurityNumber`, `name`, `email`, `fieldOfResearch`, `Project` dates, and `Course` attributes, but the project-hours information is only embedded on the association label. Model 2 includes the same core attributes plus `ProjectInvolvement { hours : int }`, making the project-effort data explicit and better aligned with the requirement.
4. Consistencies of Terminology with given context: Model 1 = 4, Model 2 = 5; Evidence: Model 1 uses `ResearchStaff` instead of the requirement’s `ResearchAssistant`, though `Lecturer` and `AdministrativeStaff` fit well. Model 2 uses `ResearchAssistant`, `Lecturer`, `AdministrativeStaff`, `Faculty`, `Institute`, and `Course` in terminology that closely matches the prompt.
5. Adherence of UML class diagram standards: Model 1 = 4, Model 2 = 5; Evidence: Both diagrams are valid PlantUML class diagrams with classes, inheritance, and associations. Model 1 uses textual multiplicity wording like `"many"` in `University "1" *-- "many" Faculty` and `Faculty "1" *-- "many" Institute`, while Model 2 uses more standard explicit multiplicities such as `"1..*"` and a separate association class for project involvement.
Total: Model 1 = 20, Model 2 = 25
Choice: B
Reason:
1. Appropriate classes: Model 2 is closer because it explicitly models `ResearchAssistant`, while Model 1 relies on `ResearchStaff` to cover the RA role.
2. Associations: Model 2 is more complete because it explicitly connects employees to the university and models RA project participation with `ProjectInvolvement`; Model 1 omits the university-employee link.
3. Attributes: Model 2 better captures project hours and the RA concept directly; Model 1 leaves the hours detail only on the association label.
4. Terminology: Model 2 follows the prompt’s wording more closely, especially for `ResearchAssistant`.
5. Rejected issue: I did not penalize Model 2 for using opposite-direction associations, since the instructions say they are semantically equivalent to a single bidirectional association.
6. Overall judgment: Model 2 is the better UML fit overall, with the main improvement coming from clearer domain terminology and more explicit relationship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</si>
  <si>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</si>
  <si>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3, Model 2 = 5; Evidence: Model 1 has `University *-- "0..*" Faculty` and `Faculty *-- "0..*" Institute`, which captures the hierarchy but allows zero, weakening “consists of several / made up of various”. Model 2 has `University *-- "1..*" Faculty : faculties` and `Faculty *-- "1..*" Institute : institutes`, which matches the required structure more closely.
2. Names and institute address: Model 1 = 4, Model 2 = 4; Evidence: Model 1 gives `Faculty.name`, `Institute.name`, and an `Address` class with `street`, `city`, `zipCode`. Model 2 gives `Faculty.name`, `Institute.name`, and `Institute.address : String`. Both cover the required names/address, with different but acceptable representations.
3. Employees, dean, and staff distinction: Model 1 = 4, Model 2 = 5; Evidence: Model 1 defines `abstract class Employee` with `socialSecurityNumber`, `name`, `email`, plus `AdministrativeStaff`, `ResearchStaff`, and `Faculty "1" --&gt; "1" Employee : dean`. Model 2 defines `Employee` with the same employee attributes, plus `ResearchStaff`, `AdministrativeStaff`, and `Faculty --&gt; "1" Employee : dean` with `Employee --&gt; "1" University : university`, making the “employee of the university” relationship explicit.
4. Research assistants and institutes: Model 1 = 4, Model 2 = 5; Evidence: Model 1 has `ResearchAssistant : fieldOfResearch` and `ResearchAssistant "1..*" -- "0..*" Institute : assigned to`. Model 2 has `ResearchAssistant : fieldOfResearch` and `ResearchAssistant --&gt; "1..*" Institute : assignedInstitutes` with the reverse `Institute --&gt; "*" ResearchAssistant`, which expresses the assignment more completely.
5. Projects and hours of involvement: Model 1 = 4, Model 2 = 5; Evidence: Model 1 includes `Project : name, startDate, endDate`, `ProjectInvolvement : hours`, and links `ResearchAssistant "0..*" -- "0..*" ProjectInvolvement` plus `Project "1" -- "0..*" ProjectInvolvement`. Model 2 also has `Project : name, startDate, endDate`, `ProjectInvolvement : hours`, and ties `ResearchAssistant --&gt; "0..*" ProjectInvolvement` to `ProjectInvolvement --&gt; "1" Project`, which is clearer about the project linkage.
6. Lecturers and courses, including course attributes: Model 1 = 4, Model 2 = 4; Evidence: Model 1 has `Lecturer &lt;|-- ResearchAssistant` and `Lecturer "0..*" -- "0..*" Course : teaches`, plus `Course : id, name, weeklyDurationHours`. Model 2 has the same lecturer specialization, `Lecturer --&gt; "0..*" Course : taughtCourses`, and `Course : id, name, weeklyDurationHours`. Both satisfy the lecturer-course part and course data.
Total: Model 1 = 23, Model 2 = 28
Choice: B
Reason:
1. University structure: Model 2 matches the “several faculties / various institutes” requirement better by using `1..*` for both containment relations, while Model 1 allows zero.
2. Employee model: Model 2 explicitly connects employees to the university and dean role, which better reflects “employees of the university” and the faculty head requirement.
3. Research assistant/project coverage: Both models cover RAs, projects, and hours, but Model 2 expresses the associations more directly and completely.
4. Rejected or checked issues: I did not penalize Model 2 for using paired one-way associations instead of a single bidirectional line, since those are semantically equivalent under the instructions. I also did not penalize abstract-vs-concrete `Employee`, since that is optional here.
5. Overall judgment: Model 2 is more faithful to the requirement overall because it captures the university hierarchy and employee ownership more explicitly, while still covering the RA, project, lecturer, and course parts adequately.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</si>
  <si>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</si>
  <si>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diagram directly against the requirement, then scoring the three stated criteria one by one with concrete evidence from both models.
```result
Scores:
1. Cohesion and Decoupling: Model 1 = 4, Model 2 = 3; Evidence: Model 1 keeps `Address` as a separate value-like class and uses `ProjectInvolvement` to isolate `hours`, while the core employee hierarchy stays focused (`Employee`, `AdministrativeStaff`, `ResearchStaff`, `ResearchAssistant`, `Lecturer`). Model 2 adds more direct semantic links, including `University --&gt; "*" Employee`, `Employee --&gt; "1" University`, and `Faculty --&gt; "1" Employee : dean`, which makes the object graph more connected; it also collapses institute address into `Institute.address : String` instead of a dedicated concept.
2. Complexity: Model 1 = 3, Model 2 = 4; Evidence: Model 1 has more classes overall (`University`, `Faculty`, `Institute`, `Address`, `Employee`, `AdministrativeStaff`, `ResearchStaff`, `ResearchAssistant`, `Lecturer`, `Project`, `Course`, `ProjectInvolvement`), while Model 2 removes `Address` and has one fewer class overall. Both have the same inheritance depth around `Employee -&gt; ResearchStaff -&gt; ResearchAssistant -&gt; Lecturer`, so Model 2 is slightly simpler by class count.
3. Practicability: Model 1 = 4, Model 2 = 4; Evidence: Model 1 is more modular for testing and reuse because `Address` and `ProjectInvolvement` are explicit domain objects, and `Course.id : String` plus the RA/project link are readable. Model 2 is also practical because it explicitly models university staff ownership and uses clear associations for dean, institutes, projects, and courses, but `Institute.address : String` is less expressive than a structured address object. The tradeoff is balanced.
Total: Model 1 = 11, Model 2 = 11
Choice: C
Reason:
1. Cohesion and Decoupling: Model 1 is a bit leaner and more modular, while Model 2 adds more direct links that improve coverage but also increase connectedness.
2. Complexity: Model 2 is slightly simpler because it has one fewer class and the same inheritance depth.
3. Practicability: Model 1’s structured `Address` helps clarity and testing, while Model 2’s direct staff ownership improves explicitness; neither is decisively better overall.
4. Rejected or checked issues: I did not penalize either model for opposite-direction association pairs, since those are semantically equivalent under the instructions. I also did not use primitive-type spelling differences or abstractness style as negative evidence.
5. Overall judgment: The advantages split across the criteria, and the meaningful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</si>
  <si>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</si>
  <si>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directly against each requirement point and will cite concrete UML elements for each criterion before deciding.
Scores:
1. Appropriate conceptual classes aligned with the domain: Model 1 = 5, Model 2 = 5; Evidence: both include the core domain classes `University`, `Faculty`, `Institute`, `Employee`, `ResearchStaff`, `AdministrativeStaff`, `ResearchAssistant`, `Lecturer`, `Project`, and `Course`. Model 1 also adds `Address` and `ProjectInvolvement`; Model 2 adds `University.name` and `ProjectInvolvement`. Neither misses a required core concept.
2. Associations/Multiplicities between classes for domain reasoning: Model 1 = 4, Model 2 = 5; Evidence: Model 1 has `University *-- "0..*" Faculty` and `Faculty *-- "0..*" Institute`, which is looser than the prompt’s “several faculties” and “various institutes,” and it does not explicitly connect `University` to `Employee`. Model 2 has `University *-- "1..*" Faculty`, `Faculty *-- "1..*" Institute`, explicit `Faculty`-`Employee` dean relations, `University`-`Employee`, `ResearchAssistant`-`Institute`, `ResearchAssistant`-`ProjectInvolvement`, `ProjectInvolvement`-`Project`, and `Lecturer`-`Course`.
3. Model attributes with appropriate data types: Model 1 = 4, Model 2 = 5; Evidence: Model 1 correctly models `socialSecurityNumber`, `name`, `email`, `fieldOfResearch`, `project` dates, and `hours`, but uses `Course.id : String` even though the requirement says a unique number/ID. Model 2 uses `Course.id : int`, keeps `weeklyDurationHours`, and otherwise models the required attributes cleanly, with `Institute.address : String` satisfying “address is known.”
4. Consistencies of Terminology with given context: Model 1 = 4, Model 2 = 5; Evidence: both use the prompt’s main terms like `Faculty`, `Institute`, `Dean`, `ResearchAssistant`, and `Lecturer`, but Model 2 mirrors the wording more directly with roles like `employees`, `faculties`, `institutes`, `headedFaculty`, `assignedInstitutes`, and `taughtCourses`. Model 1 is still understandable, but its separate `Address` class is a less direct fit to the given wording.
5. Adherence of UML class diagram standards: Model 1 = 5, Model 2 = 5; Evidence: both are valid PlantUML-style class diagrams with standard inheritance, association, and multiplicity notation. Model 2’s opposite-direction associations and comments are standard and do not reduce UML validity.
Total: Model 1 = 22, Model 2 = 25
Choice: B
Reason:
1. Associations/multiplicities: Model 2 better captures the required structure with `1..*` faculties and institutes and the explicit `University`-`Employee` relationship; Model 1 is looser and omits the university-employee link.
2. Attributes/data types: Model 2 matches the course ID as a number (`int`) while Model 1 uses `String`, which is a clearer mismatch with “unique number (ID).”
3. Terminology: Model 2 tracks the prompt’s wording more directly for the main relationships and roles.
4. Rejected issues: I did not penalize Model 2 for using opposite-direction associations or comments, since those are semantically acceptable per the instructions.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</si>
  <si>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</si>
  <si>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requirement clause by clause and mapping each diagram against it directly, especially the RA/lecturer hierarchy and the project-involvement modeling.
```result
Scores:
1. University/faculty/institute structure and names/address: Model 1 = 5, Model 2 = 5; Evidence: Model 1 has `University *-- Faculty`, `Faculty *-- Institute`, `Faculty.name`, `Institute.name`, and `Institute *-- Address`; Model 2 has the same containment with `University *-- Faculty`, `Faculty *-- Institute`, `Faculty.name`, `Institute.name`, and `Institute.address : String`.
2. Employee model and staff distinction: Model 1 = 5, Model 2 = 5; Evidence: Model 1 defines `abstract Employee` with `socialSecurityNumber`, `name`, `email`, plus `AdministrativeStaff` and `ResearchStaff` as subclasses; Model 2 defines `Employee` with the same attributes and the same two subclasses.
3. Dean relation: Model 1 = 5, Model 2 = 5; Evidence: both models show `Faculty "1" --&gt; "1" Employee : dean` (Model 2 labels it `has dean`).
4. Research assistant assignment and research field: Model 1 = 5, Model 2 = 2; Evidence: Model 1 has a distinct `ResearchAssistant` with `fieldOfResearch` and `ResearchAssistant "1..*" -- "0..*" Institute : assigned to`; Model 2 puts `fieldOfResearch` on `ResearchStaff` and uses `ResearchStaff "many" --&gt; "1..*" Institute : assigned to`, which captures assignment but collapses the required RA concept into a broader class.
5. Project involvement and project attributes: Model 1 = 5, Model 2 = 2; Evidence: Model 1 has `Project { name, startDate, endDate }` plus a separate `ProjectInvolvement { hours }` linked to `ResearchAssistant` and `Project`; Model 2 has `Project { name, startDate, endDate }` and `ResearchStaff "many" --&gt; "0..*" Project : involved in (hours : int)`, but no explicit involvement class and the relation is again attached to `ResearchStaff` instead of RA.
6. Lecturer/course relation and RA-to-lecturer specialization: Model 1 = 5, Model 2 = 2; Evidence: Model 1 has `ResearchAssistant &lt;|-- Lecturer` and `Lecturer "0..*" -- "0..*" Course : teaches`, matching “some RAs teach courses, whereby they are referred to as lecturers”; Model 2 has `ResearchStaff &lt;|-- Lecturer` and `Lecturer "many" --&gt; "0..*" Course : teaches`, so it models teaching but places lecturers under `ResearchStaff` rather than as a kind of RA.
Total: Model 1 = 30, Model 2 = 21
Choice: A
Reason:
1. University structure: both satisfy the faculty/institute containment and naming/address requirement adequately.
2. Employee/dean basics: both satisfy the employee attributes, staff split, and dean-as-employee requirement.
3. RA-related domain modeling: Model 1 is much closer to the requirement because it keeps `ResearchAssistant` explicit and connects it to institutes, projects, and lecturers correctly.
4. Rejected issue: I did not penalize Model 2 for using `address : String`, `many`, or direct association labels like `(hours : int)` just for notation style, since those are not inherently invalid.
5. Overall judgment: Model 1 better preserves the required domain distinctions and relationships; Model 2 conflates research assistants with research staff and misplaces lecturers under the wrong superclass.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</si>
  <si>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</si>
  <si>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UMLs criterion by criterion against the requirement, then I’ll score each independently and choose based on the total.
```result
Scores:
1. Cohesion and Decoupling: Model 1 = 4, Model 2 = 2; Evidence: Model 1 separates concerns with `Address`, `ProjectInvolvement`, `Faculty`, `Institute`, and a role hierarchy (`Employee -&gt; ResearchStaff -&gt; ResearchAssistant -&gt; Lecturer`), so project hours and institute address are not mixed into unrelated classes. Model 2 collapses `address : String` into `Institute`, folds project hours into the association text `ResearchStaff --&gt; Project : involved in (hours : int)`, and uses `ResearchStaff` where the requirement distinguishes RA as a separate role.
2. Complexity: Model 1 = 4, Model 2 = 3; Evidence: Model 1 has more classes and a deeper inheritance chain (`Employee &lt;|-- ResearchStaff &lt;|-- ResearchAssistant &lt;|-- Lecturer` plus `Address` and `ProjectInvolvement`), while Model 2 is shallower (`Employee &lt;|-- ResearchStaff &lt;|-- Lecturer`) and has fewer classes. Model 1’s extra structure is justified by the separate institute address and RA-project-hours concepts, so the added complexity is still well-motivated.
3. Practicability: Model 1 = 5, Model 2 = 3; Evidence: Model 1 gives a clearer testable structure with explicit `Address`, explicit `ProjectInvolvement(hours)`, and separate `Course`, `Project`, and staff roles. Model 2 is readable, but `Institute.address : String` and the inline `hours` on the project association are less modular for implementation and testing.
Total: Model 1 = 13, Model 2 = 8
Choice: A
Reason:
1. Cohesion and Decoupling: Model 1 is more modular because it isolates address and project-hours concerns into dedicated concepts; Model 2 compresses those into attributes/association text and blurs RA with broader research staff.
2. Complexity: Model 2 is structurally simpler, but Model 1’s extra classes are transparent refinements that match the requirement’s concepts rather than unnecessary noise.
3. Practicability: Model 1 is easier to implement and test because the domain concepts are explicit and separable.
4. Rejected or checked issues: I did not penalize Model 2 for using `many` instead of `0..*`, since that is semantically equivalent, and I did not use association direction alone as a negative factor.
5. Overall judgment: Model 1 is the better UML because it is more cohesive, better modularized, and more practical while still staying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</si>
  <si>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</si>
  <si>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`University`, `Faculty`, `Institute`, `Employee`, `AdministrativeStaff`, `ResearchStaff`, `ResearchAssistant`, `Lecturer`, `Project`, `Course`, and `Address`, which matches the domain terms closely. Model 2 covers the broad university classes but omits a distinct `ResearchAssistant` class and instead uses `ResearchStaff` where the requirement specifically distinguishes RAs.
2. Associations/Multiplicities between classes for domain reasoning: Model 1 = 4, Model 2 = 3; Evidence: Model 1 models `University "1" *-- "0..*" Faculty`, `Faculty "1" *-- "0..*" Institute`, `Faculty "1" --&gt; "1" Employee : dean`, `ResearchAssistant "1..*" -- "0..*" Institute : assigned to`, and `Lecturer "0..*" -- "0..*" Course : teaches`, plus project work through `ProjectInvolvement`. Model 2 has the main containment and dean links, but applies institute/project relations to `ResearchStaff` rather than RA, so the required RA-specific reasoning is weaker.
3. Model attributes with appropriate data types: Model 1 = 5, Model 2 = 3; Evidence: Model 1 includes all stated attributes: `totalEmployees:int`, employee `socialSecurityNumber/name/email`, `fieldOfResearch:String`, `Project(name,startDate,endDate)`, `Course(id,name,weeklyDurationHours)`, and `ProjectInvolvement.hours:int`. Model 2 keeps several core attributes, but puts `fieldOfResearch` on `ResearchStaff` instead of RA and models `Institute.address` only as a plain `String`, so the attribute mapping is less faithful.
4. Consistencies of Terminology with given context: Model 1 = 5, Model 2 = 3; Evidence: Model 1 uses the exact domain terminology, including `ResearchAssistant`, `Lecturer`, `dean`, `Institute`, and `Course`. Model 2 replaces the RA concept with `ResearchStaff`, which is related but not the same term the requirement uses, so the terminology is less consistent.
5. Adherence of UML class diagram standards: Model 1 = 5, Model 2 = 4; Evidence: Both are valid PlantUML class diagrams with classes, inheritance, and associations. Model 1 uses standard multiplicity notation and an explicit abstract superclass, while Model 2 is still readable and valid but uses the less conventional `many` labels and a slightly more ad hoc modeling style.
Total: Model 1 = 24, Model 2 = 16
Choice: A
Reason:
1. Conceptual coverage: Model 1 captures the required RA/lecturer structure explicitly; Model 2 collapses that distinction into `ResearchStaff`.
2. Domain relations: Model 1 better preserves the required institute assignment and project involvement semantics at the right abstraction level.
3. Attribute and terminology fidelity: Model 1 places the required attributes on the intended concepts with closer wording to the requirement.
4. Rejected or checked issues: I did not penalize Model 2 for not marking `Employee` abstract, and I did not use primitive type spelling differences or Model 1’s extra `Address`/`ProjectInvolvement` refinements as negative evidence.
5. Overall judgment: Model 1 is more faithful to the requirement across the key domain concepts and relationships, so it is the better diagram.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</si>
  <si>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</si>
  <si>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</si>
  <si>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</si>
  <si>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workflow fidelity: Model 1 = 4, Model 2 = 5; Evidence: Model 1 covers `TargetProfile`, `LongListEntry`, `ScoutingAssignment`, `ScoutingReport`, `ScoutingState`, and `Offer`, but the short-list decision is only implied through `ScoutingRecord.currentState: ScoutingState`. Model 2 explicitly models `LongListEntry`, `ShortListEntry`, `ScoutingAssignment`, `ScoutingReport`, and `ContractOffer`, plus `HeadCoach` and `HeadScout` both approving `ShortListEntry`, which matches the described flow more directly.
2. Associations, cardinalities, and relationship semantics: Model 1 = 3, Model 2 = 4; Evidence: Model 1 has workable links like `LongListEntry --&gt; "1" Player`, `LongListEntry --&gt; "1" TargetProfile`, and `ScoutingAssignment --&gt; "1" Scout/Player/ScoutingReport`, but several workflow links are routed through `ScoutingRecord` (`HeadCoach --&gt; "*" ScoutingRecord`, `HeadScout --&gt; "*" ScoutingRecord`) rather than the domain objects themselves. Model 2 gives clearer domain cardinalities such as `HeadCoach "1" -- "0..*" TargetProfile`, `TargetProfile "1" -- "1..*" TargetPosition`, `Scout "1" -- "0..*" LongListEntry`, and direct shortlist associations through `ShortListEntry`.
3. Class naming and conceptual clarity: Model 1 = 3, Model 2 = 5; Evidence: Model 1 uses broader names like `Attribute`, `ScoutingRecord`, and `Offer`, and shortened recommendation labels like `FIRST_TEAM` and `RESERVE_TEAM`. Model 2 uses more explicit domain terms like `TargetPosition`, `ProfileAttribute`, `ShortListEntry`, `ContractOffer`, and recommendation names that mirror the requirement (`FIRST_TEAM_PLAYER`, `RESERVE_TEAM_PLAYER`, `NOT_A_GOOD_SIGNING`).
4. Hallucination control and acceptable refinements: Model 1 = 4, Model 2 = 4; Evidence: Model 1 adds `ScoutingRecord` and `ScoutingState`, while Model 2 adds `AssignmentStatus`, `ShortListEntry`, and `ContractOffer`. These are transparent refinements rather than bad hallucinations, so neither model should be strongly penalized here.
Total: Model 1 = 14, Model 2 = 18
Choice: B
Reason:
1. Requirement coverage: Model 2 tracks the long-list to short-list to assignment to report to offer flow more explicitly, while Model 1 compresses the short-list step into `ScoutingRecord` state.
2. Associations/cardinalities: Model 2 expresses the key domain relationships more directly, especially `TargetProfile` to `TargetPosition` and the shared approval of `ShortListEntry` by both `HeadCoach` and `HeadScout`.
3. Naming clarity: Model 2’s class names map more closely to the requirement language.
4. Rejected or checked issues: I did not use Model 1’s opposite-direction report/assignment links as a penalty, because they are semantically equivalent. I also did not penalize either model for using `State`, `Record`, or `Entry` as these are acceptable refinements.
5. Overall judgment: Model 2 is the better fit because it represents the shortlist decision and domain concepts more faithfully, even though Model 1 has a slightly tighter link from offer back to scouting state.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</si>
  <si>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</si>
  <si>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directly against both diagrams and will score them independently before deciding.
result
Scores:
1. Cohesion and Decoupling: Model 1 = 3, Model 2 = 4; Evidence: Model 1 uses `ScoutingRecord` as a broad hub with `currentState`, `initialEntries`, `assignments`, `tracks Player`, and `alignedWith TargetProfile`, so several concerns are concentrated in one class. Model 2 splits that flow across `LongListEntry`, `ShortListEntry`, `ScoutingAssignment`, `ScoutingReport`, and `ContractOffer`, with `TargetProfile`, `TargetPosition`, and `ProfileAttribute` kept separate.
2. Complexity: Model 1 = 3, Model 2 = 4; Evidence: Model 1 has fewer classes overall, but relies on the extra abstraction of `ScoutingRecord` plus `ScoutingState` to cover long list, investigation, shortlist, recommendation, and offer stages. Model 2 has more classes, but they are directly tied to distinct requirement concepts such as `ShortListEntry`, `TargetPosition`, and `ProfileAttribute`, so the complexity is more traceable and balanced.
3. Practicability: Model 1 = 3, Model 2 = 5; Evidence: Model 1 models shortlist progression only indirectly through `ScoutingRecord.currentState` and does not give the short list a dedicated entity. Model 2 mirrors the workflow more clearly with `LongListEntry`, `ScoutingAssignment`, `ScoutingReport`, `ShortListEntry`, and `ContractOffer`, which is easier to read, implement, and test against the requirement.
Total: Model 1 = 9, Model 2 = 13
Choice: B
Reason:
1. Cohesion and Decoupling: Model 2 keeps each concept more focused, while Model 1 centralizes too much behavior in `ScoutingRecord`.
2. Complexity: Model 2 adds explicit domain classes, but they are justified by the requirement and easier to reason about than Model 1's broader state hub.
3. Rejected or checked issues: I did not use association direction, reverse links, primitive type aliases, or multiplicity literal style as negatives.
4. Overall judgment: Model 2 is the better real-world design because it represents the scouting workflow more explicitly and with cleaner class boundaries.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</si>
  <si>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</si>
  <si>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roles and entities (`Employee`, `HeadCoach`, `Director`, `Scout`, `HeadScout`, `Player`, `TargetProfile`, `LongListEntry`, `ScoutingAssignment`, `ScoutingReport`, `Offer`) but models the shortlist through `ScoutingRecord`/`ScoutingState`; Model 2 adds explicit `ShortListEntry`, `TargetPosition`, and `ProfileAttribute` classes that match the prompt more directly.
2. Associations/Multiplicities between classes for domain reasoning: Model 1 = 4, Model 2 = 4; Evidence: Model 1 links `Scout` to `LongListEntry`, `LongListEntry` to `Player` and `TargetProfile`, `ScoutingAssignment` to `Scout`/`Player`, and `Director` to `Offer`, while Model 2 similarly links `LongListEntry`, `ScoutingAssignment`, `ScoutingReport`, `ShortListEntry`, and `ContractOffer` to the relevant entities; both capture the core flow, with different workflow abstractions.
3. Model attributes with appropriate data types: Model 1 = 4, Model 2 = 4; Evidence: Model 1 uses appropriate types such as `int`, `String`, `Date`, `double`, `List&lt;Position&gt;`, and enums for `recommendation`/`currentState`; Model 2 uses `UUID`, `String`, `Date`, `Decimal`, and enums for `Recommendation`/`AssignmentStatus`, which are also appropriate.
4. Consistencies of Terminology with given context: Model 1 = 4, Model 2 = 5; Evidence: Model 1 is mostly aligned but uses more abstract terms like `ScoutingRecord`, `ScoutingState`, and `Offer`; Model 2 mirrors the prompt more closely with `LongListEntry`, `ShortListEntry`, `TargetPosition`, `ProfileAttribute`, `ScoutingReport`, and `ContractOffer`.
5. Adherence of UML class diagram standards: Model 1 = 5, Model 2 = 5; Evidence: both are valid PlantUML class diagrams with standard inheritance, associations, multiplicities, and enums; Model 1’s bidirectional report/assignment relation and inline comment are syntactically acceptable and not penalized.
Total: Model 1 = 21, Model 2 = 23
Choice: C
Reason:
1. Conceptual classes: Model 2 is slightly more explicit about `ShortListEntry` and target-position modeling, while Model 1 uses a valid but more abstract `ScoutingRecord`/`ScoutingState` refinement.
2. Associations/Multiplicities: both cover the main scouting workflow; Model 1 is stronger on lifecycle/state tracking, and Model 2 is stronger on explicit shortlist modeling.
3. Rejected or checked issues: I did not penalize Model 1 for opposite-direction associations or the inline PlantUML comment, and I treated common primitive/type spellings as equivalent.
4. Overall judgment: Model 2 is modestly closer to the prompt’s wording, but Model 1 is still broadly correct and the gap is not large enough to justify a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</si>
  <si>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</si>
  <si>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hierarchy: Model 1 = 5, Model 2 = 2; Evidence: Model 1 has `Employee &lt;|-- HeadCoach`, `Employee &lt;|-- Director`, `Employee &lt;|-- Scout`, and `Scout &lt;|-- HeadScout`, which matches the club employee roles in the requirement. Model 2 shows `Team --&gt; "*" Employee : employs`, but then `Employee --|&gt; HeadCoach`, `Employee --|&gt; Director`, `Employee --|&gt; Scout`, `Employee --|&gt; HeadScout`, which makes the role hierarchy semantically wrong as drawn.
2. Designated player profiles, target positions, and attributes: Model 1 = 5, Model 2 = 3; Evidence: Model 1 has `TargetProfile { name; targetPositions: List&lt;Position&gt; }`, an enum `Position` with role-like values such as `GK`, `LB`, `RB`, and `TargetProfile *-- "*" Attribute: attributes` where `Attribute` is `name/value`. Model 2 has `PlayerProfile { targetPosition : String; playerAttributes : List&lt;Attribute&gt; }` and `Attribute { name; value }`, which covers attributes but uses a single string target position and a less specific profile structure.
3. Long list and short list progression: Model 1 = 4, Model 2 = 2; Evidence: Model 1 includes `LongListEntry` with `Scout --&gt; "*" LongListEntry: logs`, `LongListEntry --&gt; "1" Player`, `LongListEntry --&gt; "1" TargetProfile`, and `ScoutingState` containing `LONG_LIST` and `SHORT_LIST`, so it captures the long-list/short-list lifecycle. Model 2 has `ScoutingAssignment { shortList : List&lt;Player&gt; }` and `HeadScout --&gt; "*" ScoutingAssignment : evaluates`, but no distinct long-list concept or periodic evaluation step.
4. Scouting assignment and report completion: Model 1 = 5, Model 2 = 2; Evidence: Model 1 has `ScoutingAssignment --&gt; "1" Player: assignedPlayer`, `ScoutingAssignment --&gt; "1" Scout: assignedScout`, `Scout --&gt; "*" ScoutingReport: submits`, and `ScoutingReport { pros; cons; recommendation }`, which matches assignment completion and report submission. Model 2 has `ScoutingAssignment { scoutingResults : List&lt;String&gt; }` and `ScoutingReport { pros : List&lt;String&gt;; cons : List&lt;String&gt;; recommendation : String; decision : String; relatedAssignment : ScoutingAssignment }`, but it does not clearly bind assignments to a specific scout/player and shifts the report to a `PlayerProfile`-centric structure.
5. Final recommendation and director offer: Model 1 = 4, Model 2 = 3; Evidence: Model 1 has `Recommendation` with `KEY_PLAYER`, `FIRST_TEAM`, `RESERVE_TEAM`, `PROSPECTIVE`, `NOT_GOOD_SIGNING`, plus `HeadScout --&gt; "*" ScoutingRecord: evaluates` and `Director --&gt; "*" Offer: makes` with `Offer --&gt; "1" Player: offeredPlayer`. Model 2 has `HeadScout --&gt; "*" PlayerProfile : recommends` and `Director --&gt; "*" Player : makesOffer`, which covers the endpoint but ties it less cleanly to the scouting workflow.
6. Relationship clarity and semantic correctness: Model 1 = 4, Model 2 = 1; Evidence: Model 1’s associations are mostly coherent, with explicit links among `LongListEntry`, `ScoutingAssignment`, `ScoutingReport`, `ScoutingRecord`, `TargetProfile`, and `Offer`. Model 2 contains several semantic problems: the reversed-looking inheritance lines, `ScoutingReport --&gt; "1" relatedAssignment : linkedAssignment` pointing to a non-class-like name, and `PlayerProfile --&gt; "*" Player : profiles`, which blurs the requirement’s player/profile distinction.
Total: Model 1 = 27, Model 2 = 13
Choice: A
Reason:
1. Employee roles and hierarchy: Model 1 directly models the required employee roles with correct inheritance; Model 2’s inheritance structure is semantically off as written.
2. Profile definition: Model 1 matches the requirement’s designated target positions and name/value attributes more faithfully with `TargetProfile`, `Position`, and `Attribute`.
3. Long-list to short-list flow: Model 1 captures the required scouting lifecycle better through `LongListEntry` and `ScoutingState`; Model 2 only has an assignment-local `shortList`.
4. Assignment/report workflow: Model 1 cleanly links scout, assignment, player, and report; Model 2 weakens that linkage and misplaces the report around `PlayerProfile`.
5. Rejected or checked issues: I did not penalize Model 1 for using reciprocal associations or common multiplicity shorthand. I also did not penalize Model 2 merely for extra detail like `Team` or `role`; the decisive issues were the incorrect hierarchy and weaker domain semantics.
6. Overall judgment: Model 1 is much closer to the requirement across the core scouting workflow and class relationships,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</si>
  <si>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</si>
  <si>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keeps the domain stages separate with `TargetProfile`, `Attribute`, `LongListEntry`, `ScoutingAssignment`, `ScoutingReport`, `ScoutingRecord`, and `Offer`, while Model 2 mixes concerns inside `Player` (`targetPosition`, `playerStatus`) and `ScoutingAssignment` (`shortList`, `scoutingResults`) and uses `ScoutingReport` fields like `decision` alongside the report itself.
2. Complexity: Model 1 = 4, Model 2 = 3; Evidence: Model 1 uses more explicit classes and enums (`Position`, `Recommendation`, `ScoutingState`) to represent the required scouting flow, with a shallow inheritance tree (`Employee` to `HeadCoach`, `Director`, `Scout`, `HeadScout`), while Model 2 has fewer classes but compresses multiple concepts into fewer buckets such as `PlayerProfile`, `ScoutingAssignment`, and `ScoutingReport`, which makes the model less balanced conceptually.
3. Practicability: Model 1 = 5, Model 2 = 3; Evidence: Model 1 is easier to read and test because key business concepts are explicit and typed (`Recommendation`, `ScoutingState`, `TargetProfile`, `Offer`, `ScoutingRecord`), while Model 2 relies more on free-form strings and list fields such as `role`, `targetPosition`, `playerStatus`, `recommendation`, and `scoutingResults`, which weakens domain clarity and makes validation less robust.
Total: Model 1 = 14, Model 2 = 9
Choice: A
Reason:
1. Cohesion and Decoupling: Model 1 models the workflow with separate concepts for profile, long-list entry, assignment, report, record, and offer; Model 2 merges several of those concerns into `Player`, `ScoutingAssignment`, and `ScoutingReport`.
2. Complexity: Model 1 has more classes, but they correspond to the requirement’s distinct stages and entities; Model 2 is shorter, but mainly by collapsing concepts rather than by achieving a cleaner abstraction.
3. Practicability: Model 1 is more directly testable and understandable because it uses explicit domain types and clearer separations; Model 2 is more string-driven and therefore less precise in practice.
4. Rejected or checked issues: I did not use association direction styling, primitive type aliases, multiplicity shorthand, or comments as negative evidence.
5. Overall judgment: Model 1 better matches the scouting domain with clearer boundaries and more practical domain modeling, so it wins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</si>
  <si>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</si>
  <si>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directly against each criterion and checking each requirement element against the modeled classes, relations, and multiplicities.
```result
Scores:
1. Appropriate conceptual classes aligned with the domain: Model 1 = 4, Model 2 = 3; Evidence: Model 1 includes the core domain concepts `HeadCoach`, `Director`, `Scout`, `HeadScout`, `Player`, `TargetProfile`, `LongListEntry`, `ScoutingAssignment`, `ScoutingReport`, and `Offer`, plus supporting enums `Position`, `Recommendation`, and `ScoutingState`. Model 2 has some core classes too (`PlayerProfile`, `Attribute`, `ScoutingAssignment`, `ScoutingReport`), but it also adds an extraneous `Team` class and models key domain artifacts less directly, e.g. `Director --&gt; "*" Player : makesOffer` instead of an offer entity.
2. Associations/Multiplicities between classes for domain reasoning: Model 1 = 4, Model 2 = 2; Evidence: Model 1 explicitly ties the workflow together with `Scout --&gt; "*" LongListEntry`, `LongListEntry --&gt; "1" Player`, `LongListEntry --&gt; "1" TargetProfile`, `ScoutingAssignment --&gt; "1" Player`, `ScoutingAssignment --&gt; "1" Scout`, `ScoutingAssignment --&gt; "1" ScoutingReport`, and `Director --&gt; "*" Offer`. Model 2 has some plausible links like `HeadCoach --&gt; "*" PlayerProfile`, `Scout --&gt; "*" Player`, `ScoutingAssignment --&gt; "*" PlayerProfile`, and `ScoutingReport --&gt; "1" relatedAssignment`, but the reasoning chain is weaker because the long-list/short-list flow is not modeled explicitly and several associations point to the wrong abstraction level, such as `ScoutingAssignment --&gt; "*" PlayerProfile`.
3. Model attributes with appropriate data types: Model 1 = 4, Model 2 = 3; Evidence: Model 1 uses domain-fitting types such as `targetPositions: List&lt;Position&gt;`, `recommendation: Recommendation`, `currentState: ScoutingState`, `submissionDate: Date`, and `amount: double`. Model 2 uses some usable types like `playerAttributes : List&lt;Attribute&gt;` and `pros : List&lt;String&gt;`, but key values are left as plain strings more often (`recommendation : String`, `decision : String`, `targetPosition : String`, `playerStatus : String`), which is less precise for the stated domain.
4. Consistencies of Terminology with given context: Model 1 = 4, Model 2 = 2; Evidence: Model 1 terminology closely matches the prompt with `TargetProfile`, `LongListEntry`, `ScoutingAssignment`, `ScoutingReport`, and recommendation values like `KEY_PLAYER` and `NOT_GOOD_SIGNING`. Model 2 uses several context-adjacent terms, but also introduces mismatched or vague terminology such as `Team`, `playerStatus`, `scoutingResults`, and `decision`, and it models the offer as `makesOffer` on `Player` rather than a dedicated offer concept.
5. Adherence of UML class diagram standards: Model 1 = 4, Model 2 = 2; Evidence: Model 1 is mostly valid PlantUML/UML class notation with normal inheritance, associations, multiplicities, and enums. Model 2 has a clear UML semantic problem in the inheritance lines `Employee --|&gt; HeadCoach`, `Employee --|&gt; Director`, `Employee --|&gt; Scout`, and `Employee --|&gt; HeadScout`, which reverse the intended superclass/subclass direction, and it also has an association target written as `relatedAssignment` in `ScoutingReport --&gt; "1" relatedAssignment : linkedAssignment`, which is not a proper class reference.
Total: Model 1 = 20, Model 2 = 12
Choice: A
Reason:
1. Appropriate conceptual classes: Model 1 covers the required scouting workflow more faithfully with explicit domain objects like `LongListEntry`, `ScoutingAssignment`, `ScoutingReport`, and `Offer`; Model 2 is closer in some areas but substitutes a generic `Team` and compresses offer handling into a direct action on `Player`.
2. Associations/Multiplicities: Model 1 better represents the operational chain from long list to assignment to report to offer; Model 2’s links are weaker and often attach to the wrong abstraction, especially around `PlayerProfile` versus `Player`.
3. Rejected or checked issues: I did not penalize Model 1 for having both directions between `ScoutingReport` and `ScoutingAssignment`, since opposite-direction associations are semantically equivalent under the rules. I also did not use primitive type spelling differences as negative evidence.
4. Overall judgment: Model 1 is more complete and more domain-faithful overall, while Model 2 has more serious UML-semantic problems and a less precise representation of the scouting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</si>
  <si>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</si>
  <si>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the requirement point by point, focusing on domain semantics and relationship accuracy rather than notation style.
```result
Scores:
1. Employee roles and inheritance: Model 1 = 4, Model 2 = 1; Evidence: Model 1 has `Employee &lt;|-- HeadCoach`, `Employee &lt;|-- Director`, `Employee &lt;|-- Scout`, `Scout &lt;|-- HeadScout`, which matches the club employees described. Model 2 uses `Employee --|&gt; HeadCoach`, `Employee --|&gt; Director`, `Employee --|&gt; Scout`, `Employee --|&gt; HeadScout`, which reverses the hierarchy and contradicts the idea that these are employee roles.
2. Target-profile structure and attributes: Model 1 = 5, Model 2 = 3; Evidence: Model 1 models `TargetProfile` with `TargetPosition` and `ProfileAttribute(name, value)`, directly matching target positions and named player attributes. Model 2 uses `PlayerProfile` with `targetPosition` and `playerAttributes : List&lt;Attribute&gt;`, plus `Attribute(name, value)`, which captures the data but blurs profile vs player and duplicates `targetPosition` on `Player`.
3. Long-list scouting and assignment setup: Model 1 = 4, Model 2 = 1; Evidence: Model 1 has `LongListEntry` linked to `Scout`, `Player`, and `TargetProfile`, plus `HeadScout -- ScoutingAssignment`, `ScoutingAssignment -- Scout`, and `ScoutingAssignment -- Player`, which matches the long-list-to-assignment flow. Model 2 has no long-list class; `Scout --&gt; "*" Player : notes` and `HeadScout --&gt; "*" ScoutingAssignment : evaluates` only loosely approximate the process, and `ScoutingAssignment --&gt; "*" PlayerProfile : investigates` points at profiles instead of specific players.
4. Scouting report content and completion: Model 1 = 5, Model 2 = 3; Evidence: Model 1’s `ScoutingReport` has `pros`, `cons`, and `recommendation : Recommendation` with the listed outcomes, and `Scout -- ScoutingReport : submits` / `ScoutingReport -- ScoutingAssignment : completes` fits completion of an assignment. Model 2’s `ScoutingReport` has `pros`, `cons`, `recommendation : String`, `decision : String`, and `relatedAssignment`, so it covers the basic idea but uses weaker unstructured fields and adds an extra `decision`.
5. Short-listing and official offer: Model 1 = 4, Model 2 = 1; Evidence: Model 1 has `ShortListEntry` approved by both `HeadCoach` and `HeadScout`, linked to `Player` and `TargetProfile`, plus `Director -- ContractOffer -- Player`, which captures shortlist selection and the director’s official offer. Model 2 lacks any short-list concept; instead it uses `HeadCoach --&gt; "*" PlayerProfile : decides`, `HeadScout --&gt; "*" PlayerProfile : recommends`, and `Director --&gt; "*" Player : makesOffer`, so the required shortlist stage is not represented.
Total: Model 1 = 22, Model 2 = 9
Choice: A
Reason:
1. Employee roles and inheritance: Model 1 correctly models the employee roles as subclasses of `Employee`; Model 2 reverses that relationship, which is a direct semantic contradiction.
2. Long-list to report workflow: Model 1 preserves the intended pipeline from long-list entry to assignment to report; Model 2 collapses and misroutes that workflow, especially by attaching investigation to `PlayerProfile` instead of the player.
3. Shortlist and signing: Model 1 includes a distinct shortlist entity and an offer entity; Model 2 omits the shortlist stage entirely and jumps from recommendation to offer.
4. Rejected or checked issues: I did not use association arrow styling, primitive type spelling, or multiplicity literal style as negative evidence. I also did not reward Model 2’s extra `Team` class because it is not required by the prompt.
5. Overall judgment: Model 1 is much closer to the required scouting-domain semantics and relationships, while Model 2 contains several structural contradictions and key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</si>
  <si>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</si>
  <si>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the domain into focused classes such as `TargetProfile`, `TargetPosition`, `ProfileAttribute`, `LongListEntry`, `ScoutingAssignment`, `ScoutingReport`, `ShortListEntry`, and `ContractOffer`, so each class has a narrow role. Model 2 mixes concerns inside broader classes like `Player` (`targetPosition`, `playerStatus`) and `ScoutingAssignment` (`shortList : List&lt;Player&gt;`, `scoutingResults : List&lt;String&gt;`), duplicates profile data in `PlayerProfile`, and uses `Employee` plus `role : String` alongside subclasses, which weakens separation of responsibilities.
2. Complexity: Model 1 = 4, Model 2 = 2; Evidence: Model 1 has more classes, but they are traceable domain/workflow concepts the requirement actually uses: long-list entries, assignments, reports, short-list entries, and offers, plus enums for status and recommendation. Model 2 is shorter, but it compresses multiple concepts into list/string fields, adds an extra `Team` class not present in the requirement, and avoids explicit long-list/short-list entities, so its apparent simplicity comes from under-modeling rather than a well-balanced design.
3. Practicability: Model 1 = 5, Model 2 = 2; Evidence: Model 1 maps cleanly to the business flow from profile definition to long list, assignment, report, short list, and offer, which is easier to implement and test step by step. Model 2 is harder to read and validate because `ScoutingReport` uses `decision : String` instead of a typed recommendation, `ScoutingAssignment` stores lists instead of explicit entities, and the inheritance lines `Employee --|&gt; HeadCoach/Director/Scout/HeadScout` make the role structure semantically awkward.
Total: Model 1 = 14, Model 2 = 6
Choice: A
Reason:
1. Cohesion and Decoupling: Model 1 keeps the scouting workflow split across dedicated entities; Model 2 concentrates too many concerns into `Player`, `ScoutingAssignment`, and `ScoutingReport`.
2. Complexity: Model 1 is larger, but the extra classes correspond to required domain steps; Model 2 is shorter, but only by flattening important concepts into generic fields and lists.
3. Practicability: Model 1 is clearer for implementation and testing because its classes mirror the business process; Model 2 is less practical because key semantics are blurred by strings/lists and an awkward role hierarchy.
4. Rejected or checked issues: I did not penalize either model for association direction style alone, and I did not treat Model 1’s higher class count as a fault by itself.
5. Overall judgment: Model 1 better matches the requirement with clearer domain decomposition and more testable structure, so it wins comfortably.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</si>
  <si>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</si>
  <si>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`HeadCoach`, `Director`, `Scout`, `HeadScout`, `TargetProfile`, `TargetPosition`, `ProfileAttribute`, `LongListEntry`, `ShortListEntry`, `ScoutingAssignment`, `ScoutingReport`, and `ContractOffer`, which map closely to the scouting workflow. Model 2 has `Employee`, `Player`, `PlayerProfile`, `Attribute`, `ScoutingAssignment`, and `ScoutingReport`, but it adds `Team` and blurs the required long-list / short-list concepts by not modeling them explicitly.
2. Associations/Multiplicities between classes for domain reasoning: Model 1 = 4, Model 2 = 2; Evidence: Model 1 connects `HeadCoach` to `TargetProfile`, `Scout` to `LongListEntry`, `HeadScout` to `ScoutingAssignment`, `ScoutingReport` to `ScoutingAssignment`, and `Director` to `ContractOffer`, with explicit multiplicities like `"0..*"` and `"1"`. Model 2 has relations such as `Scout --&gt; "*" Player`, `ScoutingAssignment --&gt; "*" PlayerProfile`, and `ScoutingReport --&gt; "1" PlayerProfile`, but the long-list/short-list flow and the assignment-to-player/report structure are much less faithfully modeled.
3. Model attributes with appropriate data types: Model 1 = 4, Model 2 = 3; Evidence: Model 1 uses structured types such as `UUID`, `Date`, `Decimal`, and enum `Recommendation`, plus `ProfileAttribute` as `name/value` pairs. Model 2 has some useful fields like `Attribute(name, value)` and `ScoutingReport.pros/cons`, but it flattens key concepts to `String` (for example `Player.targetPosition` and `ScoutingReport.recommendation`) and mixes workflow data into collection-valued attributes.
4. Consistencies of Terminology with given context: Model 1 = 4, Model 2 = 2; Evidence: Model 1 stays close to the prompt with `HeadCoach`, `HeadScout`, `LongListEntry`, `ShortListEntry`, `ScoutingAssignment`, and `ScoutingReport`. Model 2 introduces terminology like `Team`, `playerStatus`, `decision`, `scoutingResults`, and `reportsOn`, which are not part of the given domain wording and make the model less consistent.
5. Adherence of UML class diagram standards: Model 1 = 5, Model 2 = 2; Evidence: Model 1 uses standard inheritance and associations such as `Employee &lt;|-- HeadCoach` and `Scout &lt;|-- HeadScout`. Model 2 uses less standard notation, including `Employee --|&gt; HeadCoach`-style inheritance lines and `ScoutingReport --&gt; "1" relatedAssignment`, which reads like a relation to an undeclared class-like identifier instead of a clean UML association.
Total: Model 1 = 22, Model 2 = 12
Choice: A
Reason:
1. Model 1 is stronger on core domain modeling: it captures the required actors, profiles, long-list/short-list workflow, assignments, reports, and offers more directly than Model 2.
2. Model 1 also has better structural reasoning: its associations and multiplicities trace the process from profile identification to assignment, report, shortlist, and offer more clearly.
3. Rejected or checked issues: I did not penalize Model 1 for using `ContractOffer` instead of the exact phrase “official offer,” since it is a direct semantic match; I also did not use mere line-style differences as a penalty when the semantics were equivalent.
4. Overall judgment: Model 1 is materially more faithful to the requirement across classes, relationships, terminology, and UML clarity,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</si>
  <si>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</si>
  <si>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Actor coverage and hierarchy: Model 1 = 5, Model 2 = 5; Evidence: Model 1 has `Employee` generalized into `HeadCoach`, `Director`, `Scout`, and `HeadScout`. Model 2 has the same `Employee &lt;|-- HeadCoach`, `Employee &lt;|-- Director`, `Employee &lt;|-- Scout`, and `Scout &lt;|-- HeadScout`.
2. Target profile structure: Model 1 = 5, Model 2 = 4; Evidence: Model 1 models `TargetProfile` with `TargetPosition` and `ProfileAttribute`, matching designated positions and name/value player attributes directly. Model 2 uses `TargetProfile.targetPositions: List&lt;Position&gt;` plus a separate `Attribute` class, which covers the requirement but is less directly modeled than Model 1’s dedicated target-position association.
3. Long-list capture and evaluation: Model 1 = 5, Model 2 = 4; Evidence: Model 1 has `Scout "1" -- "0..*" LongListEntry`, with `LongListEntry` linked to both `Player` and `TargetProfile`. Model 2 also has `Scout --&gt; "*" LongListEntry` and `LongListEntry --&gt; "1" Player` / `TargetProfile`, but the periodic head-scout evaluation is routed through `ScoutingRecord` (`HeadScout --&gt; "*" ScoutingRecord`), so the long-list step is less directly represented.
4. Scouting assignment and report workflow: Model 1 = 5, Model 2 = 5; Evidence: Model 1 shows `HeadScout -- ScoutingAssignment`, `ScoutingAssignment -- Scout`, `ScoutingAssignment -- Player`, `Scout -- ScoutingReport`, and `ScoutingReport -- ScoutingAssignment`. Model 2 shows `ScoutingAssignment --&gt; "1" Player`, `ScoutingAssignment --&gt; "1" Scout`, `Scout --&gt; "*" ScoutingReport`, and `ScoutingAssignment --&gt; "1" ScoutingReport`, which also captures assignment completion and report submission.
5. Short-list decision and official offer: Model 1 = 5, Model 2 = 3; Evidence: Model 1 explicitly introduces `ShortListEntry`, links it to `Player` and `TargetProfile`, and connects it to both `HeadCoach` and `HeadScout` via approval relations; it also has `Director -- ContractOffer` to `Player`. Model 2 makes short-listing implicit via `ScoutingState.SHORT_LIST` / `RECOMMENDED` inside `ScoutingRecord` and ties `Offer` to `ScoutingRecord`, but it does not explicitly model a short-list entity or the joint head-coach/head-scout decision.
Total: Model 1 = 25, Model 2 = 21
Choice: A
Reason:
1. Actor coverage and hierarchy: both models cover the club roles correctly, so this is a tie.
2. Target profile structure: Model 1 is more faithful because it directly models target positions and name/value attributes, while Model 2 compresses positions into an enum-based list.
3. Long-list capture and evaluation: Model 1 represents the long-list item and its links more explicitly; Model 2’s `ScoutingRecord` is a valid refinement, but it makes the long-list evaluation less direct.
4. Scouting assignment and report workflow: both models satisfy the assignment-to-report pipeline.
5. Short-list decision and official offer: Model 1 is stronger because it explicitly models short-listing and the joint approval step; Model 2 only implies this through state on `ScoutingRecord`.
6. Rejected or checked issues: I did not penalize Model 2 for using `ScoutingRecord` or `Offer` as transparent refinements, for enum name variations like `FIRST_TEAM` vs `FIRST_TEAM_PLAYER`, or for association direction/comment differences.
7. Overall judgment: Model 1 better matches the requirement’s core domain flow with explicit short-listing and cleaner traceability from profile to shortlist to offer.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</si>
  <si>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</si>
  <si>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strictly on the three requested criteria and will score each one independently before choosing.
```result
Scores:
1. Cohesion and Decoupling: Model 1 = 5, Model 2 = 3; Evidence: Model 1 keeps responsibilities separated with `TargetProfile`, `LongListEntry`, `ShortListEntry`, `ScoutingAssignment`, `ScoutingReport`, and `ContractOffer` as distinct concepts. Model 2 centralizes many phases in `ScoutingRecord`, which is linked to `LongListEntry`, `ScoutingAssignment`, `Player`, `TargetProfile`, `HeadCoach`, `HeadScout`, and `Offer`, making it more coupled.
2. Complexity: Model 1 = 3, Model 2 = 4; Evidence: Model 1 has more explicit classes such as `TargetPosition`, `ProfileAttribute`, `ShortListEntry`, and `ContractOffer`, while Model 2 collapses some of that into `Position`, `Attribute`, and `ScoutingState`. Both have the same inheritance shape, but Model 2 is slightly flatter in class count.
3. Practicability: Model 1 = 5, Model 2 = 3; Evidence: Model 1 maps the requirement directly with clear objects for profiles, long-list entries, short-list entries, assignments, reports, and offers. Model 2 is harder to read and test cleanly because `ScoutingRecord` acts as a broad workflow hub and `Offer` depends on it rather than on a more direct signing path.
Total: Model 1 = 13, Model 2 = 10
Choice: A
Reason:
1. Cohesion and Decoupling: Model 1 is better modularized, while Model 2 concentrates too many relationships in `ScoutingRecord`.
2. Complexity: Model 2 is a bit flatter structurally, but not enough to offset its weaker design elsewhere.
3. Practicability: Model 1 is easier to understand and validate against the requirement because the core scouting flow is represented with narrower, clearer classes.
4. Rejected or checked issues: I did not use association style differences, primitive type spellings, multiplicity shorthand, or PlantUML comments as negative evidence.
5. Overall judgment: Model 1 is the better UML design because it is cleaner, more decoupled, and more practical for the stated scouting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</si>
  <si>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</si>
  <si>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`Employee`, `HeadCoach`, `Director`, `Scout`, `HeadScout`, `TargetProfile`, `TargetPosition`, `ProfileAttribute`, `Player`, `LongListEntry`, `ShortListEntry`, `ScoutingAssignment`, `ScoutingReport`, `ContractOffer`. Model 2 covers `Employee`, the four roles, `TargetProfile`, `Attribute`, `Player`, `LongListEntry`, `ScoutingAssignment`, `ScoutingReport`, `ScoutingRecord`, `Offer`, but replaces explicit short-list modeling with a generic `ScoutingRecord`.
2. Associations/Multiplicities between classes for domain reasoning: Model 1 = 5, Model 2 = 3; Evidence: Model 1 directly links `Scout` to `LongListEntry`, `HeadScout` to `ScoutingAssignment`, `ScoutingAssignment` to `Scout` and `Player`, `ScoutingReport` to `ScoutingAssignment`, and both `HeadCoach` and `HeadScout` to `ShortListEntry`. Model 2 has many relations but routes the core workflow through `ScoutingRecord` (`HeadCoach --&gt; ScoutingRecord`, `HeadScout --&gt; ScoutingRecord`, `ScoutingRecord --&gt; ScoutingAssignment`, `ScoutingRecord --&gt; LongListEntry`), which is more indirect than the requirement’s long-list/short-list flow.
3. Model attributes with appropriate data types: Model 1 = 5, Model 2 = 4; Evidence: Model 1 uses coherent attributes and types such as `UUID`, `String`, `Date`, `Decimal`, and enums `AssignmentStatus`/`Recommendation` across `TargetProfile`, `Player`, `ScoutingAssignment`, `ScoutingReport`, and `ContractOffer`. Model 2 also has reasonable types (`int`, `String`, `Date`, `List&lt;Position&gt;`, `ScoutingState`), but includes more generic/extra fields like `Offer.status: String` and `ScoutingRecord.currentState` that are less directly grounded in the requirement.
4. Consistencies of Terminology with given context: Model 1 = 5, Model 2 = 3; Evidence: Model 1 uses the requirement’s vocabulary almost verbatim: `TargetProfile`, `TargetPosition`, `LongListEntry`, `ShortListEntry`, `ScoutingAssignment`, `ScoutingReport`, `Recommendation`, `ContractOffer`. Model 2 keeps the same domain area but renames key concepts into more generic terms like `ScoutingRecord` and `Offer`, and abbreviates recommendation values to `FIRST_TEAM`, `RESERVE_TEAM`, `PROSPECTIVE`, which is only partially aligned.
5. Adherence of UML class diagram standards: Model 1 = 5, Model 2 = 5; Evidence: both are valid PlantUML class diagrams with standard class/enumeration declarations and associations. Model 2’s reverse association lines and end-of-line comment do not violate UML semantics, and both diagrams remain syntactically interpretable.
Total: Model 1 = 25, Model 2 = 19
Choice: A
Reason:
1. Appropriate conceptual classes: Model 1 models the required short-list and offer flow more explicitly, while Model 2 replaces it with a generic `ScoutingRecord`.
2. Associations/Multiplicities: Model 1 connects the key actors and workflow objects directly; Model 2’s `ScoutingRecord` makes the core process more indirect and less faithful to the stated reasoning chain.
3. Rejected or checked issues: I did not penalize Model 2 for using opposite-direction associations or primitive aliases like `double`, and I did not penalize Model 1 for naming `ContractOffer` or `ShortListEntry` slightly differently from the prose.
4. Overall judgment: Model 1 is the better fit because it is closer to the required domain structure and reasoning flow while remaining UML-correct.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</si>
  <si>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</si>
  <si>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faithfulness: Model 1 = 2, Model 2 = 4; Evidence: Model 1 has `HeadCoach --&gt; PlayerProfile`, `Scout --&gt; Player`, `HeadScout --&gt; ScoutingAssignment`, and `Director --&gt; Player`, but it does not model the long-list/short-list pipeline, the periodic evaluation of the long list, or the final recommendation flow linking scouting results to signing decisions. Model 2 includes `LongListEntry`, `ScoutingAssignment`, `ScoutingReport`, `ScoutingRecord`, `Offer`, and states `LONG_LIST`, `UNDER_INVESTIGATION`, `SHORT_LIST`, `RECOMMENDED`, `OFFER_MADE`, which maps much more directly to the described workflow, though it adds extra details like `currentClub`, `deadline`, and `amount`.
2. Conceptual classes and relationships: Model 1 = 2, Model 2 = 4; Evidence: Model 1 centers on `PlayerProfile` and `ScoutingReport` but ties both to `PlayerProfile` rather than clearly to a player workflow, e.g. `ScoutingAssignment --&gt; "*" PlayerProfile` and `ScoutingReport --&gt; "1" PlayerProfile`. Model 2 introduces the main process concepts more explicitly: `TargetProfile`, `LongListEntry`, `ScoutingAssignment`, `ScoutingReport`, `ScoutingRecord`, and `Offer`, with `ScoutingAssignment --&gt; "1" Player` and `Offer --&gt; "1" ScoutingRecord`, which better reflects the scouting lifecycle.
3. Associations, multiplicities, and relationship types: Model 1 = 2, Model 2 = 4; Evidence: Model 1 has basic links like `PlayerProfile --&gt; "*" Attribute` and `Team --&gt; "*" Employee`, but the key business relations are less precise, especially `ScoutingAssignment --&gt; "*" PlayerProfile` and `ScoutingReport --&gt; "1" PlayerProfile`, which do not clearly express the player-centric investigation and reporting flow. Model 2 uses clearer whole-part structure with `TargetProfile *-- "*" Attribute`, plus explicit links from `LongListEntry` to both `Player` and `TargetProfile`, from `ScoutingAssignment` to `Player` and `Scout`, and from `Offer` to `Player` and `ScoutingRecord`, which is closer to the required domain structure.
4. Naming and attribute clarity: Model 1 = 3, Model 2 = 4; Evidence: Model 1 uses recognizable names like `PlayerProfile`, `ScoutingAssignment`, and `ScoutingReport`, but `Player` carries `targetPosition` and `playerStatus`, which blurs the line between player data and profile data. Model 2’s names are more domain-aligned overall, with `TargetProfile`, `LongListEntry`, `ScoutingRecord`, and `Offer`, and its `Position` and `Recommendation` enums match the domain vocabulary, even though some extra attributes are implementation-oriented rather than required.
Total: Model 1 = 9, Model 2 = 16
Choice: B
Reason:
1. Requirement coverage and faithfulness: Model 2 covers the long-list, assignment, report, short-list, recommendation, and offer progression much more directly than Model 1, which stays at a more generic employee/profile/report level.
2. Conceptual model fit: Model 2 introduces the missing workflow concepts (`LongListEntry`, `ScoutingRecord`, `Offer`) and connects them into a coherent process; Model 1 leaves the central scouting lifecycle implicit.
3. Rejected or checked issues: I did not use opposite-direction association arrows or comment annotations as negative evidence, because they are semantically equivalent under the instructions. I also did not penalize primitive-type spelling differences or abstractness style.
4. Overall judgment: Model 2 is better because it represents the required scouting process with more of the essential domain classes and relationships, despite some extra detail not explicitly requested.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</si>
  <si>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</si>
  <si>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each criterion one by one and will score them independently before choosing.
```result
Scores:
1. Cohesion and Decoupling: Model 1 = 3, Model 2 = 4; Evidence: Model 1 mixes workflow state into `ScoutingAssignment` (`shortList`, `scoutingResults`) and `ScoutingReport` (`decision`, `relatedAssignment`), while Model 2 separates concerns into `TargetProfile`, `LongListEntry`, `ScoutingAssignment`, `ScoutingReport`, `ScoutingRecord`, and `Offer`; Model 2 is more modular, though `ScoutingRecord` is a central hub that still adds some coupling.
2. Complexity: Model 1 = 3, Model 2 = 4; Evidence: Model 1 is smaller but compresses multiple concepts into strings/lists (`targetPosition : String`, `recommendation : String`, `scoutingResults : List&lt;String&gt;`), whereas Model 2 uses more explicit domain types (`Position`, `Recommendation`, `ScoutingState`) and separate workflow classes (`LongListEntry`, `ScoutingRecord`, `Offer`) that better match the requirement’s multi-stage process.
3. Practicability: Model 1 = 3, Model 2 = 4; Evidence: Model 1 is readable but less test-friendly because key facts are untyped strings and implicit offer/report behavior (`Director --&gt; "*" Player : makesOffer`, `ScoutingReport --&gt; "1" PlayerProfile`), while Model 2 has clearer executable semantics for implementation and testing via `enum Recommendation`, `enum Position`, `LongListEntry`, `ScoutingAssignment`, and explicit `Offer` linked to a `ScoutingRecord`.
Total: Model 1 = 9, Model 2 = 12
Choice: B
Reason:
1. Cohesion and Decoupling: Model 2 keeps the long-list, assignment, report, record, and offer concepts in distinct classes, which is closer to the described workflow than Model 1’s more mixed `ScoutingAssignment`/`ScoutingReport` design.
2. Complexity: Model 2 uses more classes, but they are mostly justified by distinct domain concepts from the requirement; Model 1 is simpler, yet that simplicity comes from collapsing several concepts into generic strings and lists.
3. Practicability: Model 2 is easier to implement and test because the recommendation and position are constrained by enums and the process is explicitly modeled with `LongListEntry`, `ScoutingAssignment`, `ScoutingReport`, and `Offer`.
4. Rejected or checked issues: I did not use the opposite-direction association on `ScoutingReport`/`ScoutingAssignment` in Model 2 against it, and I ignored the end-of-line PlantUML comment, because those are forbidden penalty factors.
5. Overall judgment: Model 2 is the better fit because it represents the scouting workflow more explicitly and with better domain semantics, even though it is somewhat more elaborate.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</si>
  <si>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</si>
  <si>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core roles/artifacts (`Employee`, `HeadCoach`, `Scout`, `HeadScout`, `PlayerProfile`, `Attribute`, `ScoutingAssignment`, `ScoutingReport`) but omits explicit long-list/short-list/offer concepts and adds a generic `Team`; Model 2 adds `TargetProfile`, `LongListEntry`, `ScoutingRecord`, `Offer`, `Position`, `Recommendation`, and `ScoutingState`, covering more of the required workflow.
2. Associations/Multiplicities between classes for domain reasoning: Model 1 = 2, Model 2 = 4; Evidence: Model 1 links `Scout --&gt; "*" Player : notes`, `HeadScout --&gt; "*" ScoutingAssignment : evaluates`, and `Director --&gt; "*" Player : makesOffer`, but it models `ScoutingAssignment --&gt; "*" PlayerProfile` and `ScoutingReport --&gt; "1" PlayerProfile` instead of the player-centric long/short-list flow; Model 2 models `LongListEntry --&gt; "1" Player`, `ScoutingAssignment --&gt; "1" Player`, `ScoutingAssignment --&gt; "1" Scout`, `Director --&gt; "*" Offer`, and `Offer --&gt; "1" Player`, which fits the narrative much better, though the short-list decision is still only indirect via `ScoutingState`.
3. Model attributes with appropriate data types: Model 1 = 3, Model 2 = 4; Evidence: Model 1 has reasonable types like `name : String`, `playerAttributes : List&lt;Attribute&gt;`, and `pros : List&lt;String&gt; / cons : List&lt;String&gt;`, but it also places non-attribute workflow pieces such as `shortList : List&lt;Player&gt;` and `relatedAssignment : ScoutingAssignment` inside classes; Model 2 uses fitting types like `targetPositions: List&lt;Position&gt;`, `recommendation: Recommendation`, `currentState: ScoutingState`, `entryDate: Date`, and `amount: double`, with only minor looseness such as `pros: String` and `cons: String`.
4. Consistencies of terminology with given context: Model 1 = 3, Model 2 = 4; Evidence: Model 1 uses several context terms (`PlayerProfile`, `ScoutingAssignment`, `ScoutingReport`, `HeadCoach`, `HeadScout`, `Director`) but misses the explicit long-list/short-list language and introduces less precise labels like `playerStatus`; Model 2 keeps the domain wording closer to the requirement with `TargetProfile`, `LongListEntry`, `ScoutingReport`, `ScoutingState.LONG_LIST / SHORT_LIST`, `Recommendation`, and `Offer`, with only minor refinements from the wording in the prompt.
5. Adherence of UML class diagram standards: Model 1 = 2, Model 2 = 4; Evidence: Model 1's generalization arrows are reversed as `Employee --|&gt; HeadCoach`, `Employee --|&gt; Director`, etc., which is a major UML semantic error, while Model 2 uses normal inheritance (`Employee &lt;|-- HeadCoach`, etc.) and otherwise stays syntactically understandable; Model 2 has some redundant relations like `ScoutingAssignment --&gt; "1" ScoutingReport` and `ScoutingReport --&gt; "1" ScoutingAssignment`, but that does not break UML validity.
Total: Model 1 = 13, Model 2 = 20
Choice: B
Reason:
1. Concept coverage: Model 2 captures the required workflow more completely by adding `LongListEntry`, `ScoutingRecord`, `Offer`, and the `Recommendation`/`Position`/`ScoutingState` enums, while Model 1 stops at a more generic `PlayerProfile`/`ScoutingReport` setup and never materializes the long-list/offer flow.
2. Domain relationships: Model 2 better reflects the story with `Scout -&gt; LongListEntry -&gt; Player`, `ScoutingAssignment -&gt; Player/Scout`, and `Director -&gt; Offer -&gt; Player`; Model 1 instead routes key relations through `PlayerProfile`, which weakens the player-centric scouting flow and leaves the short-list process implicit.
3. UML correctness: Model 1 is hurt most by the reversed inheritance direction (`Employee --|&gt; HeadCoach`), whereas Model 2's class hierarchy is directionally correct and its extra associations are still interpretable.
4. Checked but not used as penalties: I did not penalize Model 2 for using transparent refinements like `TargetProfile` or `ScoutingRecord`, and I did not penalize Model 1 for lowercase primitive aliases or quoted multiplicities; the decision is driven by the stronger domain model and cleaner UML semantics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</si>
  <si>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</si>
  <si>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hierarchy: Model 1 = 2, Model 2 = 5; Evidence: Model 1 names `Employee`, `HeadCoach`, `Director`, `Scout`, and `HeadScout`, but uses `Employee --|&gt; HeadCoach/Director/Scout/HeadScout`, which reverses the intended generalization. Model 2 uses `Employee &lt;|-- HeadCoach`, `Employee &lt;|-- Director`, `Employee &lt;|-- Scout`, and `Scout &lt;|-- HeadScout`, which matches the club employee roles in the requirement.
2. Target profiles and player attributes: Model 1 = 4, Model 2 = 5; Evidence: Model 1 has `PlayerProfile` with `targetPosition : String` and `playerAttributes : List&lt;Attribute&gt;`, plus `Attribute { name, value }`, which captures designated positions and custom attributes. Model 2 is more explicit with `TargetProfile`, `TargetPosition { code, name }`, and `ProfileAttribute { name, value }`, directly modeling both positions and attributes.
3. Long-list scouting workflow: Model 1 = 3, Model 2 = 5; Evidence: Model 1 has `Scout --&gt; "*" Player : notes`, `HeadScout --&gt; "*" ScoutingAssignment : evaluates`, and `ScoutingReport --&gt; "1" relatedAssignment`, but no explicit long-list concept. Model 2 adds `LongListEntry`, linked to both `Player` and `TargetProfile`, with `Scout` creating entries and `HeadScout` creating `ScoutingAssignment`, which better matches the “long list” and assignment setup.
4. Short-list selection and repeated scouting: Model 1 = 2, Model 2 = 4; Evidence: Model 1 only stores `shortList : List&lt;Player&gt;` inside `ScoutingAssignment` and has `HeadCoach --&gt; "*" PlayerProfile : decides` / `HeadScout --&gt; "*" PlayerProfile : recommends`, but does not model a short-list decision object or joint approval. Model 2 introduces `ShortListEntry`, approved by both `HeadCoach` and `HeadScout`, and links it to `Player` and `TargetProfile`, which is closer to the described short-listing step, though it still does not explicitly spell out every later scouting round.
5. Recommendation and official offer: Model 1 = 3, Model 2 = 5; Evidence: Model 1 has `ScoutingReport { pros, cons, recommendation : String, decision : String }` and `Director --&gt; "*" Player : makesOffer`, which is broad but not strongly tied to the stated recommendation set. Model 2 uses `Recommendation` as an enum with `KEY_PLAYER`, `FIRST_TEAM_PLAYER`, `RESERVE_TEAM_PLAYER`, `PROSPECTIVE_PLAYER`, and `NOT_A_GOOD_SIGNING`, plus `Director --&gt; "*" ContractOffer : makes` and `ContractOffer --&gt; "1" Player : offered to`, which aligns better with the final offer step.
Total: Model 1 = 14, Model 2 = 24
Choice: B
Reason:
1. Employee roles and hierarchy: Model 2 correctly models the class hierarchy for club staff, while Model 1 reverses the inheritance direction.
2. Target profiles and attributes: Both capture target positions and attributes, but Model 2 separates `TargetProfile`, `TargetPosition`, and `ProfileAttribute` more cleanly.
3. Long-list workflow: Model 2 explicitly represents the long list with `LongListEntry`; Model 1 only notes players directly.
4. Short-list workflow: Model 2 models short-list approval by both head coach and head scout; Model 1 only stores a short-list field without the decision process.
5. Final offer process: Model 2 matches the recommendation choices and offers more directly with `ContractOffer`.
6. Rejected or checked issues: I did not use primitive type spelling, equivalent multiplicity syntax, or association-line style as penalties; those are not valid reasons to lower scores here.
7. Overall judgment: Model 2 is the better UML fit because it tracks the requirement’s roles and scouting flow with more accurate domain concepts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</si>
  <si>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</si>
  <si>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the employee role concept across `Employee.role`, `HeadCoach`, `Director`, `Scout`, and `HeadScout`, and also overlaps player/profile data via `Player.targetPosition`, `PlayerProfile.targetPosition`, and `ScoutingAssignment.shortList`; Model 2 keeps the domain narrower with separate `TargetProfile`, `TargetPosition`, `ProfileAttribute`, `LongListEntry`, `ShortListEntry`, `ScoutingAssignment`, and `ContractOffer`.
2. Complexity: Model 1 = 2, Model 2 = 4; Evidence: Model 1 has fewer classes but compresses required workflow into generic strings and lists such as `playerStatus : String`, `decision : String`, and `scoutingResults : List&lt;String&gt;`; Model 2 adds more classes and enums (`Recommendation`, `AssignmentStatus`) but they correspond directly to the required scouting stages and outcomes, giving a more balanced decomposition for this domain.
3. Practicability: Model 1 = 2, Model 2 = 5; Evidence: Model 1 is harder to implement and test cleanly because key domain facts are opaque strings and overlapping concepts appear in multiple places (`Player`, `PlayerProfile`, `ScoutingReport`); Model 2 is easier to read, test, and extend because it uses explicit entities and enums like `TargetProfile`, `LongListEntry`, `ShortListEntry`, `ScoutingAssignment.status : AssignmentStatus`, `ScoutingReport.recommendation : Recommendation`, and `ContractOffer`.
Total: Model 1 = 6, Model 2 = 13
Choice: B
Reason:
1. Cohesion and Decoupling: Model 2 separates the scouting workflow into more focused concepts, while Model 1 mixes profile, player, and reporting concerns more heavily.
2. Complexity: Model 2 uses more classes, but those classes map to real domain stages from the requirement; Model 1 is simpler only by collapsing several required concepts into generic fields.
3. Rejected or checked issues: I did not use association direction alone, primitive type aliases, equivalent multiplicity spellings, or optional abstractness as negative evidence.
4. Overall judgment: Model 2 better matches the real workflow, is more modular, and is more practical to build and test.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</si>
  <si>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</si>
  <si>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has relevant classes like `Employee`, `Scout`, `HeadCoach`, `HeadScout`, `Director`, `PlayerProfile`, `Attribute`, `ScoutingAssignment`, and `ScoutingReport`, but it omits explicit long-list/short-list concepts and target-position structure, while `Team` is extra; Model 2 explicitly models `TargetProfile`, `TargetPosition`, `ProfileAttribute`, `LongListEntry`, `ShortListEntry`, `ScoutingAssignment`, `ScoutingReport`, `ContractOffer`, and the role hierarchy, which matches the requirement more completely.
2. Associations/Multiplicities between classes for domain reasoning: Model 1 = 3, Model 2 = 4; Evidence: Model 1 includes some domain links such as `Scout --&gt; "*" Player : notes`, `Scout --&gt; "*" ScoutingReport : submits`, `HeadScout --&gt; "*" ScoutingAssignment : evaluates`, and `Director --&gt; "*" Player : makesOffer`, but it does not model the long-list/short-list workflow explicitly; Model 2 captures `Scout -- LongListEntry`, `LongListEntry -- Player`, `LongListEntry -- TargetProfile`, `HeadScout -- ScoutingAssignment`, `ScoutingAssignment -- Scout`, `ScoutingAssignment -- Player`, `HeadCoach`/`HeadScout -- ShortListEntry`, and `Director -- ContractOffer -- Player`, though the long-list evaluation step is still only indirect.
3. Model attributes with appropriate data types: Model 1 = 3, Model 2 = 4; Evidence: Model 1 uses broadly reasonable types like `String`, `Date`, and `List&lt;String&gt;`, with `PlayerProfile.playerAttributes : List&lt;Attribute&gt;` and `ScoutingReport.pros/cons : List&lt;String&gt;`, but also vague fields like `ScoutingAssignment.scoutingResults : List&lt;String&gt;` and `targetPosition : String`; Model 2 improves typing with `UUID`, `AssignmentStatus`, `Recommendation`, `Decimal`, `TargetPosition(code, name)`, and `ProfileAttribute(name, value)`, though `pros : String` and `cons : String` are weaker than the plural report content implied by the prompt.
4. Consistencies of Terminology with given context: Model 1 = 4, Model 2 = 5; Evidence: Model 1 mostly uses context-matching names (`Scout`, `HeadCoach`, `HeadScout`, `Director`, `ScoutingAssignment`, `ScoutingReport`, `PlayerProfile`), but also introduces less contextual terms like `Team` and `decision`; Model 2 stays closer to the prompt with `TargetProfile`, `TargetPosition`, `LongListEntry`, `ShortListEntry`, `ScoutingAssignment`, `ScoutingReport`, and `ContractOffer`, plus recommendation values matching the examples.
5. Adherence of UML class diagram standards: Model 1 = 3, Model 2 = 5; Evidence: Model 1 reverses inheritance direction with `Employee --|&gt; HeadCoach` / `Employee --|&gt; Director` / `Employee --|&gt; Scout` / `Employee --|&gt; HeadScout`, while Model 2 uses standard generalization syntax (`Employee &lt;|-- HeadCoach`, etc.) and otherwise valid class/enum/association notation.
Total: Model 1 = 16, Model 2 = 23
Choice: B
Reason:
1. Conceptual classes: Model 2 covers the domain structure more faithfully by adding explicit target-profile, list-entry, and offer concepts that Model 1 lacks.
2. Associations/multiplicities: Model 2 models the long-list, short-list, assignment, report, and offer flow more completely than Model 1.
3. Attributes: Model 2 uses stronger domain-specific types and enums, despite a couple of weaker text fields.
4. Terminology: Model 2 is more consistent with the wording of the requirement.
5. UML standards: Model 1 has a real generalization-direction problem; Model 2 is cleanly formed.
6. Rejected or checked issues: I did not penalize either model for using `*` vs `0..*`, lowercase primitive aliases, or opposite association styles when semantically equivalent; the main difference came from actual domain coverage and Model 1’s reversed inheritance.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</si>
  <si>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</si>
  <si>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</si>
  <si>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</si>
  <si>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the requirement by requirement, focusing on the semantic links and multiplicities rather than notation style.
result
Scores:
1. Core flight lifecycle and tracking: Model 1 = 4, Model 2 = 3; Evidence: Model 1 models `FlightInstance` with `flightNumber`, `airlineCode`, `departureCity`, `scheduledTime`, and links it to `AircraftStatus`, `CrewMember`, `PassengerManifest`, `EventLog`, `AirportTerminal`, and `FlightLog`, which matches the lifecycle tracking well. Model 2 also has `FlightInstance`, `AircraftStatus`, `PassengerManifest`, `EventLog`, `CrewMember`, `AirportTerminal`, and `FlightLog`, but it adds a free-form `operationalStatus: String` instead of showing the status as derived from the aircraft status record, so the status relationship is weaker.
2. Flight planning, route segments, waypoints, and weather: Model 1 = 5, Model 2 = 4; Evidence: Model 1 has `FlightPlan` with `altitudeLevel`, `clearanceLevel`, `computeAltitudeAdjustment(emergencyStatus)`, `verifyClearanceValidity()`, composition to `RouteSegment`, links to `WeatherReport`, and `RouteSegment --&gt; Waypoint` with exactly two waypoints, plus `Waypoint --&gt; NavigationAid` and `NavigationAid` carrying type, frequency, and coordinates. Model 2 covers the same domain, but `FlightPlan.altitudeLevels: String`, `Waypoint.geographicCoordinates: String`, and `NavigationAid.locationCoordinates: String` are more generic than Model 1’s clearer domain modeling.
3. Airspace, runway, and terminal infrastructure: Model 1 = 5, Model 2 = 4; Evidence: Model 1 includes `AirspaceSector` with altitude floor/ceiling, `SubSector` composition, runway and navigation-aid associations, `Runway` with identifier/dimensions/surface/allocate(requestTime), `ControlTower`, and `AirportTerminal` with gate count and runway access. Model 2 includes the same core pieces and also links `AirspaceSector` to `RadarSystem`, but its terminal/runway access is expressed more generically and the tower/site modeling is slightly less specific.
4. Controller operations, dashboard, radar, and communications: Model 1 = 5, Model 2 = 4; Evidence: Model 1 has `AirTrafficController` with `name`, `dutyStatus`, `clearanceLevel`, `determineAvailability()`, `authorizeManeuver()`, and `generateClearanceMessage(flightPlan)`, plus a dedicated `ControllerDashboard` with display modes, refresh, alerts, `RadarSystem`, `CommunicationChannel`, and traffic display. Model 2 covers the same roles with `AirTrafficController`, `SystemDashboard`, `RadarSystem`, and `CommunicationChannel`, but the dashboard is less explicitly tied to controller use and has fewer domain-specific details.
5. Maintenance records and flight logs: Model 1 = 4, Model 2 = 3; Evidence: Model 1 has `MaintenanceRecord` with `description`, `date`, `criticality`, `targetComponent`, linked to both `AircraftStatus` and `Runway`, and a `FlightLog` linked to `FlightInstance` and `CrewMember`. Model 2 also includes `MaintenanceRecord` and `FlightLog` with the same high-level links, but the log and maintenance modeling is thinner and less precise overall.
Total: Model 1 = 23, Model 2 = 18
Choice: A
Reason:
1. Core flight lifecycle and tracking: Model 1 better reflects the required status linkage by connecting `FlightInstance` to `AircraftStatus` while keeping the flight record structured; Model 2 adds `operationalStatus` but does not show it as derived from the aircraft status record.
2. Flight planning, route segments, waypoints, and weather: Model 1 uses clearer domain concepts for altitude, navigation aids, and waypoint geometry; Model 2 preserves the relationships but relies more on generic strings.
3. Airspace, runway, and terminal infrastructure: both are strong, but Model 1 is more explicit about the sector, runway, and terminal semantics.
4. Controller operations, dashboard, radar, and communications: Model 1’s controller-specific dashboard and alerting/traffic behavior line up more directly with the requirement.
5. Rejected or checked issues: I did not penalize association direction, bidirectional styling, primitive aliases, or enum capitalization. I also did not treat Model 2’s extra `operationalStatus` field as a win because it is not shown as derived from the aircraft status record.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</si>
  <si>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</si>
  <si>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explicit domain classes like `AircraftStatus`, `PassengerManifest`, `FlightLog`, `WeatherReport`, `NavigationAid`, `ControllerDashboard`, and `CommunicationChannel`, with typed links such as `CrewMember.accessTerminal(terminal: AirportTerminal)` and `FlightPlan *-- RouteSegment`. Model 2 keeps some separation, but it also collapses several domain values into generic string fields like `operationalStatus`, `role`, `severityLevel`, `surfaceType`, and uses a self-association for `AirspaceSector` sub-sectors instead of an explicit concept.
2. Complexity: Model 1 = 4, Model 2 = 3; Evidence: Model 1 has more classes and enums, but they map to required concepts such as `SubSector`, `FlightLog`, `ControllerDashboard`, `WeatherReport`, and `MaintenanceRecord` rather than arbitrary bloat. Model 2 is smaller, but it reduces structure by compressing distinct requirements into broad attributes like `FlightPlan.altitudeLevels: String` and `Waypoint.geographicCoordinates: String`.
3. Practicability: Model 1 = 5, Model 2 = 2; Evidence: Model 1 is more implementable and testable because key values are modeled with controlled enums like `ClearanceLevel`, `CrewRole`, `SeverityLevel`, and `SurfaceType`, and methods have explicit collaborators/parameters. Model 2 leaves many core values as strings (`operationalState`, `certificationStatus`, `dutyStatus`, `criticality`) and uses less precise interaction modeling, which makes validation and behavior harder to implement consistently.
Total: Model 1 = 13, Model 2 = 8
Choice: A
Reason:
1. Cohesion and Decoupling: Model 1 keeps responsibilities more cleanly separated into cohesive domain classes, while Model 2 relies more on generic string-valued attributes and a less explicit sub-sector model.
2. Complexity: Model 1 is larger, but its extra classes are traceable to required concepts; Model 2 is smaller mostly by collapsing distinct concepts, which weakens the model rather than improving it.
3. Rejected or checked issues: I did not use association direction/style, `*` vs `0..*`, primitive type aliases, comments, or optional abstractness as negative evidence.
4. Overall judgment: Model 1 better matches the requirement’s domain richness and is more practical to implement and test, so it wins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</si>
  <si>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</si>
  <si>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includes the core domain concepts (`FlightInstance`, `AircraftStatus`, `CrewMember`, `PassengerManifest`, `FlightPlan`, `RouteSegment`, `Waypoint`, `WeatherReport`, `AirspaceSector`, `SubSector`, `Runway`, `ControlTower`, `AirTrafficController`, `ControllerDashboard`, `RadarSystem`, `CommunicationChannel`, `MaintenanceRecord`, `FlightLog`). Model 2 covers most of the same domain, but is a bit less explicit in places such as `SystemDashboard` in place of the prompt’s controller dashboard concept and a self-associated `AirspaceSector` instead of an explicit `SubSector`.
2. Associations/Multiplicities between classes for domain reasoning: Model 1 = 5, Model 2 = 3; Evidence: Model 1 captures the main relationships cleanly: `FlightInstance` linked to `AircraftStatus`, `PassengerManifest`, `EventLog`, `FlightPlan`, `FlightLog`, and `CrewMember`; `FlightPlan *-- RouteSegment`; `RouteSegment --&gt; "2" Waypoint`; `ControlTower --&gt; AirTrafficController`; `ControllerDashboard --&gt; RadarSystem` and `FlightInstance`; `AirportTerminal --&gt; Runway`. Model 2 has the same broad structure, but some relations are weaker or broader, such as `Runway "*" --&gt; "*" AirportTerminal`, `FlightPlan "*" --&gt; "*" AirTrafficController`, and `AirspaceSector "1" --&gt; "0..*" AirspaceSector` instead of an explicit sub-sector class.
3. Model attributes with appropriate data types: Model 1 = 4, Model 2 = 2; Evidence: Model 1 uses appropriate enums and numeric types in many places, e.g. `AircraftStatus.operationalState: OperationalState`, `CrewMember.certificationStatus: boolean`, `EventLog.severity: SeverityLevel`, `FlightPlan.clearanceLevel: ClearanceLevel`, `RadarSystem.scanRange/resolution: double`, and `MaintenanceRecord.criticality: Criticality`. It still omits an explicit `FlightInstance` operational-status attribute. Model 2 keeps many important fields as generic strings or overly broad types, e.g. `FlightInstance.operationalStatus: String`, `AircraftStatus.operationalState: String`, `CrewMember.role: String`, `FlightPlan.altitudeLevels: String`, `Runway.surfaceType: String`, `CommunicationChannel.frequencyBand: String`, and `FlightLog.eventDetails: String`.
4. Consistencies of Terminology with given context: Model 1 = 5, Model 2 = 3; Evidence: Model 1 mostly reuses the prompt’s terminology directly (`PassengerManifest`, `WeatherReport`, `NavigationAid`, `ControlTower`, `CommunicationChannel`, `MaintenanceRecord`, `FlightLog`). Model 2 is understandable but uses more generic or renamed terms like `ConditionType`, `SystemDashboard`, `designatedSite`, and `eventDetails`, which are less consistent with the provided wording.
5. Adherence of UML class diagram standards: Model 1 = 5, Model 2 = 5; Evidence: both are valid PlantUML class diagrams with standard class, enum, attribute, association, and multiplicity syntax. I did not penalize either model for arrow direction/style choices, comments, or primitive-type aliases.
Total: Model 1 = 24, Model 2 = 17
Choice: A
Reason:
1. Conceptual classes: Model 1 is more explicitly aligned to the requested air traffic domain, especially with `SubSector`, `ControllerDashboard`, `FlightLog`, and `WeatherReport`.
2. Associations/multiplicities: Model 1 represents the operational links more precisely, especially terminal-to-runway access, flight-plan composition, and radar-to-sector monitoring.
3. Attributes/data types: Model 1 uses more fitting enums and numeric types; Model 2 replaces many domain values with `String`, weakening the model.
4. Rejected or checked issues: I did not use association style, PlantUML comments, or primitive alias spellings as negative factors.
5. Overall judgment: Both diagrams are valid, but Model 1 is materially more faithful to the stated domain and more precise in its UML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</si>
  <si>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</si>
  <si>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diagram against the requirement domain by domain, with emphasis on relationships, multiplicities, and whether any class names or attributes drift away from the spec.
```result
Scores:
1. Core flight lifecycle data: Model 1 = 5, Model 2 = 3; Evidence: Model 1 has `FlightInstance` with `flightNumber`, `airlineCode`, `departureCity`, `scheduledTime`, plus `FlightInstance --&gt; AircraftStatus` and `FlightInstance --&gt; PassengerManifest`, `EventLog`, `FlightLog`, and `AirportTerminal`. Model 2 has `FlightInstance` with the base fields, but adds `operationalStatus` directly and links `FlightInstance *-- AircraftStatusRecord`; it also links logs only as `FlightLog -- CrewMember`, so the flight-instance-centered lifecycle is weaker.
2. Flight plan, route, waypoint, and weather semantics: Model 1 = 5, Model 2 = 3; Evidence: Model 1’s `FlightPlan` has `altitudeLevel`, `clearanceLevel`, `computeAltitudeAdjustment(emergencyStatus)`, `verifyClearanceValidity()`, `FlightPlan *-- RouteSegment`, `RouteSegment --&gt; "2" Waypoint`, `FlightPlan --&gt; WeatherReport`, `RouteSegment --&gt; WeatherReport`, and `Waypoint --&gt; NavigationAid`. Model 2 has `FlightPlan` with `altitudeLevel` and `clearanceLevel`, `FlightPlan *-- RouteSegment`, and `RouteSegment -- Waypoint`, but no exact-two waypoint cardinality, no route-segment weather influence, and no waypoint-to-navigation-aid linkage.
3. Airspace, runway, and terminal infrastructure: Model 1 = 4, Model 2 = 2; Evidence: Model 1 includes `AirspaceSector` with `altitudeFloor`/`altitudeCeiling`, `AirspaceSector *-- SubSector`, `AirspaceSector --&gt; Runway`, `AirspaceSector --&gt; NavigationAid`, `Runway + allocate(requestTime)`, `Runway --&gt; ControlTower`, and `AirportTerminal --&gt; Runway`. Model 2 has `AirspaceSector *-- Runway`, `Runway -- ControlTower`, and `ControlTower *-- CommunicationChannel`, but no subsector structure, no sector navigation-aid association, no terminal-to-runway access, and the runway allocation method is less specific.
4. Air traffic controller, dashboard, radar, and communication: Model 1 = 5, Model 2 = 2; Evidence: Model 1 has `AirTrafficController` with `determineAvailability()`, `authorizeManeuver(clearanceLevel)`, `generateClearanceMessage(flightPlan)`, plus `ControllerDashboard` with `displayMode`, `refreshData()`, `displayAlert()`, `RadarSystem + processScanData()`, and `CommunicationChannel + establishConnection()`, with links from controller to dashboard/channel and dashboard to radar/flight traffic. Model 2 has a generic `Dashboard` with `refreshData()` and `displayAlerts()`, `AirTrafficController` methods without typed parameters, `RadarSystem` fields only, and no explicit controller-to-dashboard or controller-to-channel linkage.
5. Maintenance records and flight logs: Model 1 = 4, Model 2 = 2; Evidence: Model 1 defines `MaintenanceRecord` with `description`, `date`, `criticality`, `targetComponent`, and links it to both `AircraftStatus` and `Runway`; it also links `FlightInstance --&gt; FlightLog` and `CrewMember --&gt; FlightLog` with `FlightLog` carrying event content fields. Model 2 links `MaintenanceRecord -- AircraftStatusRecord` and `MaintenanceRecord -- Runway`, but `FlightLog` only has `eventDetails` and is linked to `CrewMember` only, so the specific flight-instance history requirement is only partially represented.
Total: Model 1 = 23, Model 2 = 12
Choice: A
Reason:
1. Core flight lifecycle data: Model 1 models the flight-centered lifecycle more directly with explicit links from `FlightInstance` to status, manifest, event logs, terminal, crew, and flight logs; Model 2 introduces `operationalStatus` on `FlightInstance` and leaves `FlightLog` detached from the flight instance itself.
2. Flight plan, route, waypoint, and weather semantics: Model 1 preserves the required structure much better, including exact-two waypoints per route segment and weather influence on both plans and segments; Model 2 keeps the broad concepts but omits key structural constraints and references.
3. Airspace, runway, and terminal infrastructure: Model 1 covers the sector hierarchy and terminal/runway access more completely; Model 2 is missing several required infrastructure relationships.
4. ATC operations, dashboard, radar, and communication: Model 1 is substantially closer to the requirement, especially around controller behavior, dashboard integration, and radar/traffic visibility; Model 2 is too generic in these areas.
5. Rejected or checked issues: I did not score against association direction, PlantUML comments, primitive type aliases, or optional abstractness, since those are explicitly non-penalizing. I also did not penalize Model 1 for being more detailed where the added detail still maps cleanly to the requirement.
6. Overall judgment: Model 1 better matches the required domain structure and relationships across nearly every subsystem, while Model 2 leaves several required links and behaviors underspecified or mis-modeled.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</si>
  <si>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</si>
  <si>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directly against the diagram semantics and the requirement, then I’ll score both models side by side.
```result
Scores:
1. Cohesion and Decoupling: Model 1 = 5, Model 2 = 2; Evidence: Model 1 separates concerns into focused classes like `AircraftStatus`, `FlightPlan`, `RouteSegment`, `WeatherReport`, `ControllerDashboard`, `RadarSystem`, and `CommunicationChannel`, while Model 2 collapses multiple concerns into `FlightInstance.operationalStatus`, `Waypoint.type/frequency/locationCoordinates`, and a generic `Dashboard`.
2. Complexity: Model 1 = 4, Model 2 = 2; Evidence: Model 1 uses more classes and enums, but they match required domain concepts such as `OperationalState`, `CrewRole`, `ClearanceLevel`, `WeatherConditionType`, and `NavAidType`; Model 2 uses fewer classes but omits key concepts like `AirportTerminal`, `NavigationAid`, and `SubSector`, and leaves `FlightLog` disconnected from `FlightInstance`.
3. Practicability: Model 1 = 5, Model 2 = 2; Evidence: Model 1 has explicit, testable operations like `verifyCertification`, `computeAltitudeAdjustment`, `allocate`, `processScanData`, and `refreshData`, with concrete links across flight, airspace, and maintenance areas; Model 2’s operations are vague (`calculateAltitude`, `authorizeManeuvers`, `generateClearanceMessages`) and several required links are missing or underspecified, making implementation and testing harder.
Total: Model 1 = 14, Model 2 = 6
Choice: A
Reason:
1. Cohesion and Decoupling: Model 1 keeps responsibilities separated; Model 2 mixes or compresses several distinct responsibilities into generic or string-based fields.
2. Complexity: Model 1 is more detailed, but the added classes are traceable domain concepts needed by the requirement; Model 2 is simpler mainly because it omits required structure.
3. Practicability: Model 1 is more readable and testable because its classes and methods map cleanly to the system behavior; Model 2 would need substantial redesign to cover the requirement properly.
4. Rejected or checked issues: I did not penalize either model for opposite-direction vs bidirectional associations, primitive type aliases, or comment syntax, per the instructions.
5. Overall judgment: Model 1 is the better UML design because it is more faithful to the domain, better modularized, and more practical to implement and verify.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</si>
  <si>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</si>
  <si>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core domain classes `FlightInstance`, `AircraftStatus`, `CrewMember`, `PassengerManifest`, `EventLog`, `FlightLog`, `FlightPlan`, `RouteSegment`, `Waypoint`, `WeatherReport`, `NavigationAid`, `AirportTerminal`, `AirspaceSector`, `Runway`, `ControlTower`, `AirTrafficController`, `ControllerDashboard`, `RadarSystem`, `CommunicationChannel`, and `MaintenanceRecord`. Model 2 covers several of these but is weaker on domain alignment with `Dashboard` instead of a control-tower dashboard, no `NavigationAid` class, no `SubSector`, and the flight status concept is split into `operationalStatus` on `FlightInstance` plus `AircraftStatusRecord`, which is less aligned with the stated model.
2. Associations/Multiplicities between classes for domain reasoning: Model 1 = 4, Model 2 = 2; Evidence: Model 1 models key links such as `FlightInstance` to `AircraftStatus`, `CrewMember`, `PassengerManifest`, `EventLog`, `AirportTerminal`, `FlightPlan`, and `FlightLog`, plus `FlightPlan *-- RouteSegment`, `RouteSegment --&gt; "2" Waypoint`, `Runway --&gt; "1" ControlTower`, and `RadarSystem --&gt; "1" AirspaceSector`. Model 2 has several core relationships but omits or weakens important ones: no explicit departure terminal, no `FlightPlan`-to-`FlightInstance` governing link, `RouteSegment -- Waypoint` has no exact-two constraint, no `NavigationAid`/`WeatherReport` relationships for route or waypoint reasoning, and `FlightInstance -- RoomMaster` references an undefined class.
3. Model attributes with appropriate data types: Model 1 = 5, Model 2 = 2; Evidence: Model 1 uses domain-appropriate types like `OperationalState`, `CrewRole`, `ClearanceLevel`, `WeatherConditionType`, `NavAidType`, `SurfaceType`, `SeverityLevel`, `Criticality`, `DutyStatus`, `DisplayMode`, plus numeric/date fields such as `systemHealthScore: double`, `totalCount: int`, `timestamp: Date`, `altitudeLevel: double`, and `latitude/longitude: double`. Model 2 uses many generic strings where the diagram asks for structured domain values, e.g. `operationalStatus: String`, `operationalState: String`, `clearanceLevel: String`, `conditionType: String`, `surfaceType: String`, `frequencyBand: String`, and `resolution: String`, and it also models `FlightPlan.altitudeLevel` as `String`.
4. Consistencies of Terminology with given context: Model 1 = 5, Model 2 = 3; Evidence: Model 1 keeps the requested terms recognizable with `AircraftStatus`, `CrewMember`, `PassengerManifest`, `FlightPlan`, `RouteSegment`, `Waypoint`, `WeatherReport`, `NavigationAid`, `ControlTower`, and `CommunicationChannel`. Model 2 is still broadly related but drifts into vaguer wording such as `Dashboard`, `RoomMaster`, `maintainFlightLogs`, `accessAirportTerminals`, and `generateClearanceMessages`, and it represents the navigation aid concept only indirectly through waypoint attributes rather than a named domain class.
5. Adherence of UML class diagram standards: Model 1 = 4, Model 2 = 2; Evidence: Model 1 is a coherent PlantUML class diagram with enums, classes, associations, composition, and multiplicities, and its notation remains readable even with extra directional arrows. Model 2 has a basic class-diagram structure but is weaker on UML conventions because many associations lack multiplicities, it uses a generic `Dashboard` instead of a domain-specific dashboard class, and it includes an undefined `RoomMaster` reference, which is a concrete diagram error.
Total: Model 1 = 23, Model 2 = 12
Choice: A
Reason:
1. Appropriate conceptual classes aligned with the domain: Model 1 covers the full flight, airspace, tower, radar, and maintenance vocabulary more directly than Model 2.
2. Associations/multiplicities between classes for domain reasoning: Model 1 captures more of the required lifecycle and containment links, especially the exact-two waypoint rule and the flight-plan governance relation, while Model 2 leaves several of those absent or underspecified.
3. Rejected or checked issues: I did not penalize either model for using opposite-direction association arrows where the meaning is otherwise equivalent, and I did not use primitive-type aliasing as a negative factor.
4. Overall judgment: Model 1 is materially stronger across domain coverage, relationship modeling, and UML quality,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</si>
  <si>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</si>
  <si>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the requirement one criterion at a time, focusing on semantic coverage, relationship structure, and any mismatches that change the model meaning.
Scores:
1. Requirement coverage: Model 1 = 5, Model 2 = 2; Evidence: Model 1 includes the main required classes and links: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covers several core classes, but misses or renames important required concepts such as `AirportTerminal`, `NavigationAid`, `SystemDashboard` (it uses `Dashboard` instead), and it adds the unrelated `RoomMaster` association.
2. Relationship and multiplicity accuracy: Model 1 = 4, Model 2 = 2; Evidence: Model 1 specifies key relationships like `FlightPlan "1" --&gt; "*" RouteSegment`, `RouteSegment "1" --&gt; "1" Waypoint : startWaypoint` and `endWaypoint`, `AirspaceSector "1" --&gt; "0..*" AirspaceSector`, `Runway "*" --&gt; "1" ControlTower`, and `ControlTower "1" --&gt; "*" CommunicationChannel`. Model 2 has weaker semantics for several required links, such as `RouteSegment -- Waypoint` with no exact two-waypoint structure, `FlightInstance *-- FlightPlan`, and it omits required connections like flight-plan weather influence on route segments and controller dashboard/channel usage.
3. Attribute and type fidelity: Model 1 = 4, Model 2 = 2; Evidence: Model 1 uses domain-specific enums `ClearanceLevel { Ground, Tower }`, `ConditionType { Clear, Cloudy, Storm, Fog }`, and `NavAidType { VOR, ILS }`, plus `SystemDashboard displayMode` and `RadarSystem activeStatus`. Model 2 reduces several required concepts to generic types, such as `clearanceLevel: String`, `conditionType: String`, `type: String`, and `resolution: String`, and its `Dashboard` omits the required display-mode concept.
4. Hallucination and semantic restraint: Model 1 = 5, Model 2 = 1; Evidence: Model 1 stays within the domain vocabulary and required concepts. Model 2 introduces the unrelated `FlightInstance -- RoomMaster` association, which is a clear hallucination, and it also substitutes `Dashboard` for the required `SystemDashboard`.
Total: Model 1 = 18, Model 2 = 7
Choice: A
Reason:
1. Requirement coverage: Model 1 is much closer to the full system described, while Model 2 leaves out several required subsystems and adds an unrelated one.
2. Relationship and multiplicity accuracy: Model 1 captures the key lifecycle and infrastructure relationships explicitly, including the flight-plan, sector, runway, and tower structure; Model 2 leaves major required semantics underspecified.
3. Rejected or checked issues: I did not penalize Model 1 for unidirectional vs bidirectional association style, primitive type aliases, or comments, since those are explicitly non-negative under the instructions.
4. Overall judgment: Model 1 is the better UML match because it is substantially more complete and materially more faithful to the requirement, despite a few minor imprecisions.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</si>
  <si>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</si>
  <si>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separated with `CrewMember` doing certification/log/terminal/maintenance actions, `FlightPlan` handling altitude/clearance, `SystemDashboard` handling refresh/alerts, and `CommunicationChannel` as its own class. Model 2 is less coherent because `Waypoint` mixes coordinates with `type` and `frequency` that fit navigation aids, `Dashboard` is a broad unnamed display class, and `FlightInstance -- RoomMaster` introduces an unrelated/undefined coupling.
2. Complexity: Model 1 = 4, Model 2 = 3; Evidence: Model 1 uses more domain-specific classes and enums (`ClearanceLevel`, `ConditionType`, `NavAidType`, plus `AirportTerminal`, `NavigationAid`, `SystemDashboard`) and a moderate set of methods distributed across the right classes. Model 2 is slightly smaller, but it also collapses or omits required concepts (`AirportTerminal`, `NavigationAid`, enum-backed clearance/weather) and contains the stray `RoomMaster` link, so its simplicity is partly from loss of needed structure.
3. Practicability: Model 1 = 4, Model 2 = 2; Evidence: Model 1 is easier to implement and test because it has clear modules for `FlightInstance`, `AircraftStatus`, `FlightPlan`, `RouteSegment`, `WeatherReport`, `Runway`, `AirTrafficController`, and `MaintenanceRecord`, with explicit links like `FlightLog` to both `FlightInstance` and `CrewMember`. Model 2 is less practical because `FlightPlan.calculateAltitude()` drops the emergency-status input, `clearanceLevel` and `conditionType` are just strings, `Dashboard` replaces the more specific system dashboard concept, and the undefined `RoomMaster` association makes the model hard to use reliably.
Total: Model 1 = 12, Model 2 = 7
Choice: A
Reason:
1. Cohesion and Decoupling: Model 1 keeps concepts more sharply separated and uses clearer domain classes; Model 2 mixes waypoint and nav-aid concerns and adds an unrelated `RoomMaster` coupling.
2. Complexity: Model 1’s extra classes are mostly justified by the requirement’s domain breadth; Model 2 is simpler partly by omitting important concepts, so its complexity is less well balanced.
3. Rejected or checked issues: I did not penalize opposite-direction associations, primitive type spelling differences (`int` vs `Integer`, `Date` vs `DateTime`), or multiplicity style differences, since those are forbidden as negative evidence.
4. Overall judgment: Model 1 is the better UML design because it is more faithful to the required domain, more modular, and more directly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</si>
  <si>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</si>
  <si>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domain set such as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covers many core classes (`FlightInstance`, `AircraftStatusRecord`, `CrewMember`, `PassengerManifest`, `EventLog`, `FlightPlan`, `RouteSegment`, `WeatherReport`, `AirspaceSector`, `Runway`, `ControlTower`, `AirTrafficController`, `RadarSystem`, `CommunicationChannel`, `MaintenanceRecord`, `FlightLog`) but uses a generic `Dashboard`, omits `AirportTerminal` and `NavigationAid`, and introduces the stray `RoomMaster` reference.
2. Associations/Multiplicities between classes for domain reasoning: Model 1 = 5, Model 2 = 2; Evidence: Model 1 models the key relations: `FlightInstance` to `AircraftStatus`, `PassengerManifest`, `EventLog`, `FlightPlan`, `FlightLog`, `CrewMember`, and `AirportTerminal`; `FlightPlan` to `RouteSegment` and `WeatherReport`; `RouteSegment` to two `Waypoint` roles; `AirspaceSector` to sub-sectors, `Runway`, `NavigationAid`, and `RadarSystem`; `ControlTower` to `AirTrafficController` and `CommunicationChannel`; `SystemDashboard` to `RadarSystem` and `FlightInstance`. Model 2 keeps some core links (`FlightInstance` to `AircraftStatusRecord`, `CrewMember`, `PassengerManifest`, `EventLog`, `FlightPlan`; `FlightPlan` to `RouteSegment`; `Runway` to `ControlTower`; `MaintenanceRecord` to `AircraftStatusRecord` and `Runway`) but misses critical reasoning links like `FlightLog` to `FlightInstance`, weather influence on `RouteSegment` and `FlightPlan`, sub-sectors/navigation aids under `AirspaceSector`, and the “exactly two waypoints” structure for `RouteSegment`.
3. Model attributes with appropriate data types: Model 1 = 5, Model 2 = 2; Evidence: Model 1 gives sensible fields such as `scheduledTime: DateTime`, `systemHealthScore: int`, `visibility: float`, `windSpeed: float`, `gateCount: int`, and `altitudeFloor/altitudeCeiling: float`, which match the domain well enough. Model 2 has several weaker or incomplete choices: `clearanceLevel: String` instead of a domain-specific clearance type, `resolution: String` for `RadarSystem`, `FlightLog` only has `eventDetails` and omits the timestamp/severity-style detail seen in the requirement, `Waypoint` carries `type` and `frequency` fields that fit navigation aids more than waypoints, and `Dashboard` lacks the required display-mode/context attributes.
4. Consistencies of Terminology with given context: Model 1 = 5, Model 2 = 2; Evidence: Model 1 stays close to the prompt’s language with `FlightPlan`, `AirspaceSector`, `ControlTower`, `AirTrafficController`, `SystemDashboard`, `CommunicationChannel`, and `MaintenanceRecord`. Model 2 is less consistent: it renames `SystemDashboard` to generic `Dashboard`, uses `AircraftStatusRecord` and `FlightLog` reasonably but also includes the unrelated `RoomMaster` association and omits domain terms like `AirportTerminal` and `NavigationAid`, which weakens alignment with the provided context.
5. Adherence of UML class diagram standards: Model 1 = 5, Model 2 = 2; Evidence: Model 1 is valid PlantUML with declared classes/enums and coherent associations, including repeated `RouteSegment`-to-`Waypoint` links for the two waypoint roles. Model 2 contains a problematic undeclared reference `FlightInstance -- RoomMaster`, which makes the diagram internally inconsistent, and its association set is incomplete enough to reduce interpretability even though the rest of the syntax is mostly PlantUML-like.
Total: Model 1 = 25, Model 2 = 11
Choice: A
Reason:
1. Conceptual classes: Model 1 covers the full flight-operations, airspace, navigation, and infrastructure domain; Model 2 leaves out key entities like `AirportTerminal` and `NavigationAid` and adds an unexplained `RoomMaster` link.
2. Associations/multiplicities: Model 1 captures the required lifecycle and monitoring links, including the two-waypoint route structure and weather influence; Model 2 misses several critical relationships, especially around flight logs, weather, and sector composition.
3. Attributes/terminology/UML: Model 1 is consistently aligned with the prompt and syntactically clean; Model 2 is weaker on domain-specific naming and has a clear UML inconsistency from the undefined `RoomMaster`.
4. Rejected or checked issues: I did not penalize either model for opposite-direction associations or lowercase primitive type spellings, since those are semantically equivalent under the given rules.
5. Overall judgment: Model 1 is substantially more faithful to the requirement across domain modeling, relationships, and UML validity, so it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</si>
  <si>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</si>
  <si>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the requirement facet by facet, focusing on UML semantics and the exact domain relationships, not layout or naming style.
```result
Scores:
1. Flight-instance core and crew/log linkage: Model 1 = 4, Model 2 = 4; Evidence: Model 1 has `FlightInstance` with `flightNumber`, `airlineCode`, `departureCity`, `scheduledTime`, `operationalStatus`, plus `PassengerManifest`, `EventLog`, `FlightLog`, and `CrewMember`; Model 2 has the same core flight identifiers, `PassengerManifest`, `EventLog`, `FlightLog`, and `CrewMember`, but its `FlightInstance` omits the explicit `operationalStatus` field while adding `CrewMember --&gt; AirportTerminal` and `CrewMember --&gt; MaintenanceRecord`.
2. Flight plan, route, waypoint, weather, and navigation modeling: Model 1 = 4, Model 2 = 5; Evidence: Model 1 includes `FlightPlan` with `requiredClearanceLevel`, `calculateAltitude(emergencyStatus)`, `verifyClearanceValidity()`, `FlightPlan --&gt; RouteSegment`, two waypoint links on `RouteSegment`, `WeatherReport`, and `Waypoint --&gt; NavigationAid`; Model 2 models `FlightPlan *-- "1..*" RouteSegment`, `RouteSegment --&gt; "2" Waypoint`, `WeatherReport`, and `NavigationAid` with more explicit multiplicities and composition.
3. Airspace, runway, tower, controller, dashboard, radar, and communication coverage: Model 1 = 4, Model 2 = 5; Evidence: Model 1 has `AirspaceSector` with a self-association for sub-sectors, runway and nav-aid links, `Runway --&gt; ControlTower`, `ControlTower --&gt; AirTrafficController`, `ControlTower --&gt; CommunicationChannel`, and `SystemDashboard` integrating radar and flight traffic; Model 2 makes the sector structure more explicit with `AirspaceSector *-- SubSector`, `RadarSystem --&gt; AirspaceSector`, `ControlTower --&gt; AirTrafficController`, `ControlTower --&gt; CommunicationChannel`, and `ControllerDashboard` with display modes, refresh, alerts, radar integration, and traffic display.
4. Maintenance and operational history: Model 1 = 4, Model 2 = 5; Evidence: Model 1 has `MaintenanceRecord` linked to both `AircraftStatus` and `Runway`, plus `CrewMember --&gt; FlightLog` and `FlightInstance --&gt; FlightLog`; Model 2 keeps those links and also adds `CrewMember --&gt; MaintenanceRecord`, which directly matches the requirement that crew can report maintenance issues.
5. Semantic precision and multiplicity fidelity: Model 1 = 3, Model 2 = 4; Evidence: Model 1 captures many required concepts but uses looser structure in places such as `AirspaceSector --&gt; AirspaceSector` for sub-sectors and separate start/end waypoint links on `RouteSegment`; Model 2 is more explicit about required structure with `FlightPlan *-- RouteSegment`, `RouteSegment --&gt; "2" Waypoint`, `AirspaceSector *-- SubSector`, and `RadarSystem --&gt; "1" AirspaceSector`, though it still misses the explicit `FlightInstance` current operational status field.
Total: Model 1 = 19, Model 2 = 23
Choice: B
Reason:
1. Flight-plan and airspace structure: Model 2 is closer to the requirement because it uses stronger UML semantics for composition and exact cardinality where the requirement is specific, especially for route segments, waypoints, and subsectors.
2. Crew and maintenance coverage: Model 2 better satisfies the crew-side requirements by linking crew members to airport terminals and maintenance records, not just giving them methods.
3. Rejected or checked issues: I did not use bidirectional-vs-opposite association style as negative evidence, and I did not penalize primitive type spellings or Model 2’s extra refining classes (`SubSector`, `ControllerDashboard`, enums) as layout or style noise.
4. Overall judgment: Model 2 covers more of the required operational relationships and does so with more precise UML structure, so it is the better match overall despite Model 1 being slightly stronger on the explicit `FlightInstance.operationalStatus` field.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</si>
  <si>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</si>
  <si>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each criterion independently and weighting the evidence from the actual UML semantics only.
```result
Scores:
1. Cohesion and Decoupling: Model 1 = 3, Model 2 = 4; Evidence: Model 1 keeps core responsibilities separated (`FlightInstance`, `AircraftStatus`, `CrewMember`, `FlightPlan`, `RadarSystem`, `CommunicationChannel`), but it is looser and more generic in places, e.g. `SystemDashboard` directly integrates `RadarSystem` and `FlightInstance`, and `AirspaceSector` is modeled as a self-association for sub-sectors. Model 2 splits domains more cleanly with `ControllerDashboard`, `SubSector`, `OperationalState`, `CrewRole`, and explicit domain links like `FlightPlan *-- RouteSegment`, `RadarSystem --&gt; AirspaceSector`, and `ControlTower --&gt; CommunicationChannel`, which gives better modularity.
2. Complexity: Model 1 = 2, Model 2 = 4; Evidence: Model 1 is smaller and flatter, with about 20 classes and relatively few methods, but it also collapses several domain concepts into strings (`FlightInstance.operationalStatus: String`, `EventLog.severityLevel: String`, `Waypoint.geographicCoordinates: String`) and omits needed domain types like `SubSector`. Model 2 has more classes and enums, but they are mostly traceable to the requirement (`OperationalState`, `CrewRole`, `WeatherConditionType`, `SurfaceType`, `SeverityLevel`, `Criticality`, `DisplayMode`, `SubSector`), and the inheritance depth remains minimal, so the added complexity is better justified.
3. Practicability: Model 1 = 2, Model 2 = 4; Evidence: Model 1 is readable but its interfaces are vague (`verifyCertification()`, `maintainFlightLog()`, `accessTerminal()`, `displayAlerts()`), and several important concepts are weakly typed or underspecified. Model 2 is more practical for implementation and testing because it gives explicit operations and types such as `CrewMember.accessTerminal(terminal: AirportTerminal)`, `AirTrafficController.generateClearanceMessage(flightPlan: FlightPlan): String`, `Runway.allocate(requestTime: Date): boolean`, and `ControllerDashboard.setDisplayMode(mode: DisplayMode)`, while also modeling key structural constraints like `RouteSegment --&gt; "2" Waypoint` and `FlightPlan *-- "1..*" RouteSegment`.
Total: Model 1 = 7, Model 2 = 12
Choice: B
Reason:
1. Cohesion and decoupling: Model 2 better isolates responsibilities into clearer subdomains and dedicated helper classes; Model 1 is acceptable but more generic and slightly less modular.
2. Complexity: Model 2’s extra types are mostly requirement-driven and improve domain fidelity; Model 1 is simpler, but partly by collapsing domain concepts into strings and by omitting some needed structure.
3. Practicability: Model 2 provides more testable, explicit operations and clearer multiplicities, which makes it more viable as an implementable design.
4. Rejected or checked issues: I did not use association direction (`--&gt;` vs `--`), primitive aliases (`int` vs `Integer`, `Date` vs `DateTime`), or multiplicity shorthand (`*` vs `0..*`) as negative evidence.
5. Overall judgment: Model 2 is the stronger UML design because it is more faithful to the requirement while remaining modular and reasonably manageable.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</si>
  <si>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</si>
  <si>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directly against the requirement and checking both diagrams for exact semantic coverage, not just surface similarity.
```result
Scores:
1. Appropriate conceptual classes aligned with the domain: Model 1 = 4, Model 2 = 5; Evidence: Model 1 covers the core domain with `FlightInstance`, `AircraftStatus`, `CrewMember`, `PassengerManifest`, `EventLog`, `FlightPlan`, `RouteSegment`, `Waypoint`, `WeatherReport`, `AirspaceSector`, `Runway`, `ControlTower`, `AirTrafficController`, `SystemDashboard`, `RadarSystem`, `CommunicationChannel`, `MaintenanceRecord`, and `FlightLog`, but it models sub-sectors only as an `AirspaceSector` self-association instead of a distinct class. Model 2 includes the same core concepts plus a separate `SubSector` and `ControllerDashboard`, which aligns more closely with the stated airspace and controller domains.
2. Associations/Multiplicities between classes for domain reasoning: Model 1 = 4, Model 2 = 5; Evidence: Model 1 captures the major links such as `FlightInstance -&gt; AircraftStatus`, `PassengerManifest`, `EventLog`, `CrewMember`, `FlightPlan`, `FlightLog`, `Runway -&gt; ControlTower`, `ControlTower -&gt; AirTrafficController`, and `FlightPlan -&gt; RouteSegment/WeatherReport`, but `RouteSegment` reaches `Waypoint` via two separate links rather than an explicit exactly-two multiplicity. Model 2 states the key relationships more explicitly with `FlightInstance -&gt; 1..* CrewMember`, `FlightPlan *-- 1..* RouteSegment`, `RouteSegment -&gt; 2 Waypoint`, `AirspaceSector *-- 0..* SubSector`, `RadarSystem -&gt; 1 AirspaceSector`, and the controller/tower/channel links.
3. Model attributes with appropriate data types: Model 1 = 3, Model 2 = 4; Evidence: Model 1 uses several generic or weak types for domain values, such as `operationalStatus: String`, `operationalState: String`, `certificationStatus: String`, `severityLevel: String`, and `altitudeLevels: String`. Model 2 improves many of these with `OperationalState`, `CrewRole`, `boolean` certification, `SeverityLevel`, `WeatherConditionType`, `SurfaceType`, and numeric coordinates, though it still omits the explicit derived `operationalStatus` on `FlightInstance` and has a few rough choices like `frequencyBand: double`.
4. Consistencies of Terminology with given context: Model 1 = 4, Model 2 = 5; Evidence: Model 1 mostly uses the required vocabulary, but `SystemDashboard` is a looser term than the requirement’s controller dashboard, and the airspace subdivision is only implied through a self-link on `AirspaceSector`. Model 2 stays closer to the wording with `ControllerDashboard`, `OperationalState`, `WeatherConditionType`, `DutyStatus`, `ClearanceLevel`, and `MaintenanceRecord`, while preserving the main domain terminology.
5. Adherence of UML class diagram standards: Model 1 = 5, Model 2 = 5; Evidence: Both diagrams use standard UML class, enum, association, composition, and multiplicity notation in a way that is readable and valid PlantUML. Model 1’s two `Waypoint` links and Model 2’s inline comments do not break UML semantics.
Total: Model 1 = 21, Model 2 = 24
Choice: B
Reason:
1. Appropriate conceptual classes: Model 2 is more complete because it introduces `SubSector` and `ControllerDashboard` explicitly, while Model 1 leaves those concepts implicit or generalized.
2. Associations/multiplicities: Model 2 is stronger because it encodes key domain constraints more directly, especially `RouteSegment -&gt; 2 Waypoint`, `FlightPlan *-- 1..* RouteSegment`, and `AirspaceSector *-- 0..* SubSector`.
3. Rejected or checked issues: I did not penalize Model 1 for using two opposite associations to the same `Waypoint` class, since that is semantically acceptable here; I also did not count primitive-type aliases or inline comments against either model.
4. Overall judgment: Model 2 better matches the requirement across structure, relationships, and data modeling, so it is the stronger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</si>
  <si>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</si>
  <si>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and status lifecycle: Model 1 = 3, Model 2 = 5; Evidence: Model 1 has `FlightInstance` with `operationalStatus` and a separate `AircraftStatusRecord`, plus `FlightInstance *-- AircraftStatusRecord`, but it does not clearly model status as derived from the associated record. Model 2 removes status from `FlightInstance` and links it to `AircraftStatus` via `FlightInstance --&gt; "1" AircraftStatus`, with `AircraftStatus.operationalState`, which matches the requirement better.
2. Crew, passenger manifest, event logs, terminal, and flight logs: Model 1 = 2, Model 2 = 5; Evidence: Model 1 includes `FlightInstance *-- CrewMember`, `*-- PassengerManifest`, `*-- EventLog`, and `FlightLog -- CrewMember`, but it omits the departure terminal and does not connect flight logs back to the flight instance. Model 2 adds `FlightInstance --&gt; "1" AirportTerminal : departureTerminal`, `FlightInstance --&gt; "0..*" FlightLog`, and `CrewMember --&gt; "0..*" FlightLog`, covering the required lifecycle and logging links.
3. Flight plans, route segments, waypoints, weather, and navigation aids: Model 1 = 1, Model 2 = 5; Evidence: Model 1 has `FlightInstance *-- FlightPlan`, `FlightPlan *-- RouteSegment`, `RouteSegment -- Waypoint`, and `FlightInstance *-- WeatherReport`, but it lacks the `Ground/Tower` clearance distinction, the exactly-two-waypoints rule, navigation aids, and weather influence on plans/segments. Model 2 includes `FlightPlan.clearanceLevel: ClearanceLevel`, `RouteSegment --&gt; "2" Waypoint`, `Waypoint --&gt; "0..*" NavigationAid`, and weather links from both `FlightPlan` and `RouteSegment`, which is much closer to the requirement.
4. Airspace sectors, runways, control towers, and terminals: Model 1 = 2, Model 2 = 5; Evidence: Model 1 has `AirspaceSector *-- Runway`, `Runway -- ControlTower`, and `ControlTower *-- AirTrafficController`, but no sub-sectors, no sector navigation aids, and no terminal-to-runway access. Model 2 adds `AirspaceSector *-- SubSector`, `AirspaceSector --&gt; "0..*" Runway`, `AirspaceSector --&gt; "0..*" NavigationAid`, `Runway --&gt; "1" ControlTower`, and `AirportTerminal --&gt; "0..*" Runway`, covering the infrastructure relationships more fully.
5. Controllers, dashboards, radar, and communication channels: Model 1 = 2, Model 2 = 5; Evidence: Model 1 has `AirTrafficController` with the right general methods and `AirTrafficController *-- Dashboard`, `Dashboard *-- RadarSystem`, and `ControlTower *-- CommunicationChannel`, but the dashboard lacks display modes and the radar is not tied to monitored sectors. Model 2 has `AirTrafficController.dutyStatus`, `AirTrafficController.clearanceLevel`, `ControllerDashboard.displayMode`, `ControllerDashboard --&gt; "0..*" RadarSystem`, `RadarSystem --&gt; "1" AirspaceSector`, and `ControlTower --&gt; "1..*" CommunicationChannel`, which aligns better with the operational workflow.
6. Maintenance records and operational history: Model 1 = 2, Model 2 = 5; Evidence: Model 1 links `MaintenanceRecord -- AircraftStatusRecord` and `-- Runway`, but `FlightLog -- CrewMember` does not connect logs to specific flight instances. Model 2 links `AircraftStatus --&gt; "0..*" MaintenanceRecord`, `Runway --&gt; "0..*" MaintenanceRecord`, `FlightInstance --&gt; "0..*" FlightLog`, and `CrewMember --&gt; "0..*" FlightLog`, which satisfies the maintenance and history requirements more completely.
Total: Model 1 = 12, Model 2 = 30
Choice: B
Reason:
1. Flight instance/status: Model 2 models the operational status as coming from the associated aircraft status record; Model 1 keeps a separate `operationalStatus` on `FlightInstance` and only loosely connects `AircraftStatusRecord`.
2. Required associations: Model 2 covers the missing `departureTerminal` and flight-log links; Model 1 leaves those out.
3. Core flight planning: Model 2 captures clearance levels, exactly-two waypoint routing, and weather/nav-aid relationships; Model 1 does not.
4. Infrastructure and ATC workflow: Model 2 includes sectors, subsectors, runways, towers, terminals, controllers, dashboard, radar, and channels with clearer semantics.
5. Rejected or checked issues: I did not penalize Model 2 for using enums or adding `SubSector`, since those do not contradict the requirement. I also did not use association-style differences as evidence, per instruction.
6. Overall judgment: Model 2 is substantially more faithful to the full system lifecycle and relationship structure, while Model 1 has multiple omissions and at least one clearly invalid hallucinated association (`FlightInstance -- RoomMaster`).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</si>
  <si>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</si>
  <si>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couples `FlightInstance` to `AircraftStatusRecord`, `CrewMember`, `PassengerManifest`, `EventLog`, `FlightPlan`, and `WeatherReport`, but still leaves key concepts weakly modeled or disconnected, such as `FlightLog -- CrewMember` without a flight link and the undefined `FlightInstance -- RoomMaster`; Model 2 separates concerns more cleanly with domain-focused classes like `AircraftStatus`, `FlightPlan`, `ControllerDashboard`, `NavigationAid`, and `AirportTerminal`, and uses targeted links such as `CrewMember --&gt; AirportTerminal`, `FlightPlan --&gt; WeatherReport`, and `Runway --&gt; ControlTower`.
2. Complexity: Model 1 = 2, Model 2 = 4; Evidence: Model 1 has fewer classes and very few methods, but that simplicity comes from under-modeling major required concepts like `AirportTerminal`, `NavigationAid`, `SubSector`, and explicit status enums, so the complexity is not well balanced for the requirement; Model 2 is larger, with additional classes and enums (`OperationalState`, `CrewRole`, `ClearanceLevel`, `WeatherConditionType`, `NavAidType`, `SurfaceType`, `SeverityLevel`, `Criticality`, `DutyStatus`, `DisplayMode`), but that added structure directly matches the domain and keeps responsibilities more explicit.
3. Practicability: Model 1 = 2, Model 2 = 5; Evidence: Model 1 omits or weakly specifies several implementation-critical relations, such as departure terminal, exact waypoint cardinality, navigation aids, sub-sectors, and flight logs tied to flights, and even includes the invalid `RoomMaster` reference; Model 2 is much more testable and implementable because it gives concrete behavior and multiplicities like `RouteSegment --&gt; "2" Waypoint`, `AirTrafficController --&gt; "1" ControllerDashboard`, `RadarSystem --&gt; "1" AirspaceSector`, `FlightPlan *-- "1..*" RouteSegment`, and methods such as `generateClearanceMessage(flightPlan)` and `processScanData()`.
Total: Model 1 = 6, Model 2 = 13
Choice: B
Reason:
1. Cohesion and Decoupling: Model 2 is more coherent because its classes are split by domain and responsibilities are clearer; Model 1 mixes broad flight concerns while leaving important pieces vague or detached.
2. Complexity: Model 2 is more complex, but the extra structure is justified by the breadth of the requirement; Model 1 is simpler mainly because it omits required domain detail.
3. Practicability: Model 2 is much more practical for implementation and testing because it exposes explicit behaviors, enums, and cardinalities, while Model 1 has gaps and an invalid reference.
4. Rejected or checked issues: I did not use association direction alone, primitive type spelling (`int` vs `Integer`, `boolean` vs `Boolean`), `*` vs `0..*`, or optional abstractness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</si>
  <si>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</si>
  <si>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flight-ops classes (`FlightInstance`, `AircraftStatusRecord`, `CrewMember`, `FlightPlan`, `RouteSegment`, `Runway`, `ControlTower`, `AirTrafficController`), but it omits key domain classes like `AirportTerminal`, `NavigationAid`, and `SubSector`, and adds a stray `RoomMaster` relation. Model 2 includes those missing concepts explicitly (`AirportTerminal`, `NavigationAid`, `SubSector`) while still covering the core classes.
2. Associations/Multiplicities between classes for domain reasoning: Model 1 = 3, Model 2 = 5; Evidence: Model 1 has several plausible links such as `FlightInstance *-- CrewMember` and `FlightPlan *-- RouteSegment`, but it omits critical relationships like `FlightInstance` to `AirportTerminal`, does not express the required `RouteSegment` to exactly two waypoints, and leaves weather influence on plans/segments vague. Model 2 states the essential links and cardinalities directly, for example `FlightInstance --&gt; "1" AirportTerminal`, `RouteSegment --&gt; "2" Waypoint`, `FlightPlan *-- "1..*" RouteSegment`, `ControlTower --&gt; "1..*" AirTrafficController`, and `Waypoint --&gt; "0..*" NavigationAid`.
3. Model attributes with appropriate data types: Model 1 = 4, Model 2 = 5; Evidence: Model 1 models many fields sensibly (`scheduledTime: Date`, `systemHealthScore: Integer`, `distance: Double`), but several domain values stay as generic strings like `operationalStatus: String`, `clearanceLevel: String`, and `locationCoordinates: String`. Model 2 uses richer typing and enums such as `operationalState: OperationalState`, `clearanceLevel: ClearanceLevel`, `conditionType: WeatherConditionType`, `surfaceType: SurfaceType`, and `severity: SeverityLevel`, plus explicit coordinates for waypoints and navigation aids.
4. Consistencies of Terminology with given context: Model 1 = 4, Model 2 = 5; Evidence: Model 1 mostly uses the right domain words, but stays generic in places like `Dashboard` and lacks the required `AirportTerminal` and `NavigationAid` terminology. Model 2 tracks the prompt closely with `AirportTerminal`, `NavigationAid`, `ControllerDashboard`, `CommunicationChannel`, `MaintenanceRecord`, `WeatherReport`, and the clearance/condition/role enums aligned to the scenario.
5. Adherence of UML class diagram standards: Model 1 = 3, Model 2 = 4; Evidence: Model 1 is mostly valid PlantUML class syntax, but the relation `FlightInstance -- RoomMaster` introduces an undeclared and irrelevant class reference in the diagram flow. Model 2 defines classes and enums cleanly and remains readable, though its multiplicity notation is placed inline on associations in a noncanonical way such as `FlightInstance --&gt; "1" AircraftStatus`.
Total: Model 1 = 18, Model 2 = 24
Choice: B
Reason:
1. Criterion by criterion, Model 2 is stronger on the domain model itself: it adds missing core concepts like `AirportTerminal`, `NavigationAid`, and `SubSector`, while Model 1 leaves those out.
2. Model 2 also captures the relationships more precisely, especially the required cardinalities like `RouteSegment --&gt; "2" Waypoint` and `FlightInstance --&gt; "1" AirportTerminal`; Model 1 leaves multiplicities largely implicit.
3. I did not penalize either model for primitive-type aliasing or association direction style, since those are not valid negative evidence here.
4. Overall, Model 2 is the better UML representation of the requirement despite minor notation concerns, because it covers more of the required domain semantics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</si>
  <si>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</si>
  <si>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flight instance lifecycle and status linkage: Model 1 = 2, Model 2 = 5; Evidence: Model 1 has `FlightInstance` with `*-- AircraftStatusRecord`, `*-- CrewMember`, `*-- PassengerManifest`, `*-- EventLog`, and `*-- FlightPlan`, but also the unsupported `FlightInstance -- RoomMaster` and no explicit derived-status relationship. Model 2 has `FlightInstance --&gt; AircraftStatus : derives status from`, plus `--&gt; PassengerManifest`, `--&gt; EventLog`, `--&gt; AirportTerminal`, `--&gt; FlightLog`, and `CrewMember --&gt; FlightLog`, which matches the lifecycle much more directly.
2. Flight plan, route segments, waypoints, weather, navigation aids: Model 1 = 2, Model 2 = 5; Evidence: Model 1 has `FlightPlan *-- RouteSegment` and `RouteSegment -- Waypoint`, but weather is attached only to `FlightInstance` and there is no nav-aid reference or explicit two-waypoint structure. Model 2 has `FlightPlan --&gt; WeatherReport`, `RouteSegment --&gt; WeatherReport`, two explicit waypoint links (`startWaypoint`, `endWaypoint`), and `Waypoint --&gt; NavigationAid`, which aligns closely with the requirement.
3. Airspace, runway, terminal, tower, controller, dashboard, radar, communication: Model 1 = 3, Model 2 = 5; Evidence: Model 1 includes `AirspaceSector *-- Runway`, `Runway -- ControlTower`, `ControlTower *-- AirTrafficController`, `AirTrafficController *-- Dashboard`, `Dashboard *-- RadarSystem`, and `ControlTower *-- CommunicationChannel`, but omits sub-sectors, navigation aids in sectors, airport terminals, and the controller/dashboard communication details. Model 2 covers `AirspaceSector --&gt; AirspaceSector : contains sub-sectors`, `--&gt; Runway`, `--&gt; NavigationAid`, `--&gt; RadarSystem`, `Runway --&gt; ControlTower`, `Runway --&gt; AirportTerminal`, `ControlTower --&gt; AirTrafficController`, `ControlTower --&gt; CommunicationChannel`, `AirTrafficController --&gt; SystemDashboard/CommunicationChannel`, and `SystemDashboard --&gt; RadarSystem` and `--&gt; FlightInstance`.
4. Maintenance records and flight logs: Model 1 = 2, Model 2 = 5; Evidence: Model 1 has `MaintenanceRecord -- AircraftStatusRecord` and `-- Runway`, plus a bare `FlightLog -- CrewMember`, but `FlightLog` only contains `eventDetails` and is not tied to a `FlightInstance`. Model 2 has `Runway --&gt; MaintenanceRecord`, `AircraftStatus --&gt; MaintenanceRecord`, `FlightInstance --&gt; FlightLog`, and `CrewMember --&gt; FlightLog`, with `FlightLog` including both `eventDetails` and `timestamp`.
5. Overall semantic precision and constraint fidelity: Model 1 = 2, Model 2 = 4; Evidence: Model 1 has several mismatches or weak links such as `FlightInstance -- RoomMaster`, weather attached at the wrong level, no explicit airport terminal, and no direct model of navigation aids or controller clearance enums. Model 2 adds refinements like `ClearanceLevel`, `ConditionType`, `NavAidType`, and `SystemDashboard`, and these map cleanly to the requirement, with only minor over-specification.
Total: Model 1 = 11, Model 2 = 24
Choice: B
Reason:
1. Core lifecycle: Model 2 directly encodes the required derived aircraft status and the flight/manifest/event/log relationships, while Model 1 is weaker and includes an unsupported `RoomMaster` link.
2. Routing/weather: Model 2 matches the requirement’s weather influence on both plans and segments, plus the two-waypoint segment structure and nav-aid references; Model 1 only gives a single segment-waypoint link and attaches weather at the wrong level.
3. Infrastructure: Model 2 covers terminals, subsectors, navigation aids, radar, tower, communication, and controller-dashboard links more completely than Model 1.
4. Rejected or checked issues: I did not penalize primitive type spelling differences, opposite-direction association styles, or multiplicity shorthand, per instruction.
5. Overall judgment: Model 2 is materially closer to the stated domain model and captures more of the required UML semantics with fewer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</si>
  <si>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</si>
  <si>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bundles navigation data into `Waypoint` (`type`, `frequency`, `locationCoordinates`) and even has an unexplained `FlightInstance -- RoomMaster` association, while Model 2 separates `Waypoint` from `NavigationAid`, adds `AirportTerminal` and `SystemDashboard`, and assigns narrower responsibilities to each class.
2. Complexity: Model 1 = 2, Model 2 = 4; Evidence: Model 1 uses fewer classes but collapses several required concepts and places weather on `FlightInstance *-- WeatherReport`, whereas Model 2 adds domain-specific classes/enums like `NavigationAid`, `AirportTerminal`, `ClearanceLevel`, `ConditionType`, and `NavAidType`, with a clearer overall structure and no inheritance depth in either model.
3. Practicability: Model 1 = 2, Model 2 = 4; Evidence: Model 1 has an unclear `FlightInstance -- RoomMaster` link and a generic `Dashboard`/`FlightLog` setup that is less directly testable, while Model 2 provides more operationally useful behavior and interfaces such as `generateClearanceMessage(flightPlan: FlightPlan)`, `processScanData()`, `establishConnection()`, and `SystemDashboard` tied to `RadarSystem` and `FlightInstance`.
Total: Model 1 = 6, Model 2 = 12
Choice: B
Reason:
1. Cohesion and Decoupling: Model 2 is better partitioned into domain-focused classes (`NavigationAid`, `AirportTerminal`, `SystemDashboard`) instead of overloading `Waypoint` and adding an undefined association in Model 1.
2. Complexity: Model 2 is more detailed, but the added classes are justified by the requirement and preserve clearer structure; Model 1 is simpler mainly because it omits needed concepts.
3. Practicability: Model 2 is easier to implement and test because its responsibilities and associations are more explicit, especially around flight plans, controllers, dashboards, and maintenance.
4. Rejected or checked issues: I did not use opposite-direction association styles, primitive type aliases, optional abstractness, or PlantUML comments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</si>
  <si>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</si>
  <si>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core classes such as `FlightInstance`, `AircraftStatusRecord`, `CrewMember`, `FlightPlan`, `RouteSegment`, `WeatherReport`, `AirspaceSector`, `Runway`, `ControlTower`, and `FlightLog`, but it omits explicit `AirportTerminal` and `NavigationAid` classes and has a stray `RoomMaster` reference. Model 2 covers the full domain set more completely with `FlightInstance`, `AircraftStatus`, `CrewMember`, `PassengerManifest`, `EventLog`, `FlightPlan`, `RouteSegment`, `Waypoint`, `NavigationAid`, `AirspaceSector`, `Runway`, `AirportTerminal`, `ControlTower`, `AirTrafficController`, `SystemDashboard`, `RadarSystem`, `CommunicationChannel`, `MaintenanceRecord`, and `FlightLog`.
2. Associations/Multiplicities between classes for domain reasoning: Model 1 = 2, Model 2 = 4; Evidence: Model 1 has many associations but no multiplicities and several key relationships are vague or incomplete, such as `RouteSegment -- Waypoint` without the required exactly-two-waypoints structure, plus `FlightInstance *-- ...` links that overuse composition. Model 2 explicitly models most required links with multiplicities, including `FlightInstance -&gt; AircraftStatus`, `FlightInstance -&gt; PassengerManifest`, `FlightInstance -&gt; EventLog`, `FlightPlan -&gt; RouteSegment`, `RouteSegment -&gt; startWaypoint/endWaypoint`, `AirspaceSector -&gt; Runway`, and `ControlTower -&gt; AirTrafficController`, though `FlightInstance -&gt; * FlightPlan` is a weaker fit than the requirement.
3. Model attributes with appropriate data types: Model 1 = 3, Model 2 = 4; Evidence: Model 1 captures several fields like `flightNumber`, `airlineCode`, `scheduledTime`, `systemHealthScore`, and `timestamp`, but misses some important structured attributes such as `NavigationAid` details and `FlightLog.timestamp`, and keeps several fields coarse (`clearanceLevel: String`, `locationCoordinates: String`). Model 2 is more complete and structured with `ClearanceLevel`, `ConditionType`, and `NavAidType` enums, plus fields like `scheduledTime: DateTime`, `systemHealthScore: int`, `frequency: float`, `gateCount: int`, and `timestamp: DateTime`, though some fields remain a bit loose (`certificationStatus: String`, `altitudeLevels: String`).
4. Consistencies of Terminology with given context: Model 1 = 4, Model 2 = 5; Evidence: Model 1 mostly uses the exact domain terms (`FlightInstance`, `AircraftStatusRecord`, `CrewMember`, `WeatherReport`, `AirTrafficController`, `MaintenanceRecord`), but it leaves out explicit `AirportTerminal`/`NavigationAid` terminology and includes the invalid `RoomMaster` association. Model 2 stays more consistently aligned with the prompt by explicitly representing `AirportTerminal`, `NavigationAid`, `SystemDashboard`, and the required clearance/condition vocabularies via enums, while its renamings like `AircraftStatus` and `SystemDashboard` remain clearly recognizable.
5. Adherence of UML class diagram standards: Model 1 = 3, Model 2 = 5; Evidence: Model 1 is readable but has a major UML problem with `FlightInstance -- RoomMaster` referencing an undefined class, and it omits multiplicities almost everywhere. Model 2 uses valid PlantUML class, enum, and association syntax throughout, including multiple associations to `Waypoint` for start/end points and clear multiplicities on the main relationships.
Total: Model 1 = 16, Model 2 = 23
Choice: B
Reason:
1. Appropriate conceptual classes: Model 2 covers the full flight-operations, airspace, navigation-aid, terminal, and control-tower domain more completely than Model 1.
2. Associations/Multiplicities: Model 2 explicitly models most required relationships and cardinalities, while Model 1 leaves them largely implicit and misses key domain links.
3. UML standards: Model 2 is structurally valid PlantUML; Model 1 contains an invalid `RoomMaster` link.
4. Rejected or checked issues: I did not penalize Model 2 for using `AircraftStatus` instead of `AircraftStatusRecord`, or `int/boolean`-style primitives, since those are acceptable refinements and semantically equivalent under the instructions.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</si>
  <si>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</si>
  <si>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</si>
  <si>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</si>
  <si>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the requirement piece by piece, focusing on UML semantics only and checking both models for coverage, relationships, and any contradictions.
I’ve finished the comparison and am writing the final scored evaluation now.
```result
Scores:
1. Researchers, institutions, and projects: Model 1 = 5, Model 2 = 4; Evidence: Model 1 has `Institution --&gt; "*" Researcher`, `Researcher --&gt; "*" ResearchProject`, and `ResearchProject *-- "*" LaboratoryExperiment/ClinicalTrial`, matching researchers from institutions leading projects. Model 2 has `Researcher "1" --&gt; "1" Institution`, `Researcher "1" --&gt; "*" ResearchProject`, and `ResearchProject "1" --&gt; "*" LaboratoryExperiment/ClinicalTrial`, which covers the core idea but the institution link is narrower and `ResearchProject` is weaker via `name` only.
2. Laboratory experiments, results, logs, analysis, and validation: Model 1 = 5, Model 2 = 4; Evidence: Model 1 includes `LaboratoryExperiment` with `sampleCount`, `executionDate`, `QuantitativeResult` with `observationDate`, `ExperimentLog` with `notes` and `timestamp`, plus `StatisticalAnalysis` and `DataValidator` linked to experiments/results. Model 2 also has these concepts, but `LaboratoryExperiment "1" --&gt; "1" StatisticalAnalysis` and `LaboratoryExperiment "*" --&gt; "1" DataValidator` are less faithful to the requirement’s broader data-analysis/validation flow than Model 1’s cleaner associations.
3. Compounds, libraries, and compound classes: Model 1 = 5, Model 2 = 3; Evidence: Model 1 has `Compound` with `weight`, `chemicalFormula`, subclasses `SmallMolecule`, `Biologic`, `Peptide`, `SyntheticCompound`, and `Compound --&gt; "1..*" ChemicalLibrary`. Model 2 uses `MolecularCompound` with the same subclass set and `ChemicalLibrary "1" --&gt; "*" MolecularCompound`, but it also adds `MolecularCompound "1" --&gt; "1" DrugCandidate : basis for`, which is an extra structural commitment not stated in the requirement.
4. Drug candidates, dosage, toxicity, adverse events, and safety: Model 1 = 5, Model 2 = 4; Evidence: Model 1 has `DrugCandidate` with `stage`, `isValidated`, `validationDate`, `DosageRegimen`, `ToxicityProfile`, `AdverseEventReport` including `category`, `patientNotes`, `severity`, `isLifeThreatening`, and `SafetyAssessment` linked to profile/regimen/reports. Model 2 covers these ideas too with `DrugCandidate`, `DosageRegimen`, `ToxicityProfile`, `AdverseEvent`, and `SafetyAssessment`, but it is less explicit because `SafetyAssessment` is only loosely connected and the adverse event object is less specifically a report.
5. Target proteins, binding affinities, simulations, and compound interactions: Model 1 = 5, Model 2 = 4; Evidence: Model 1 includes `TargetProtein` with `sequence` and `sequenceIdentifier`, `BindingAffinity` with `constant` and `unit`, `SimulationModel` with active/archived status and compound simulation, plus `DrugCandidate --&gt; "*" TargetProtein` and `DrugCandidate --&gt; "*" BindingAffinity`. Model 2 has the same broad structure with `TargetProtein`, `BindingAffinity`, `SimulationModel`, and `DrugCandidate` interactions, but `TargetProtein "1" --&gt; "*" SimulationModel` and `SimulationModel "*" --&gt; "1" MolecularCompound` are less clearly aligned to the requirement’s “associated with target proteins and used to simulate specific compounds.”
6. Clinical trials, cohorts, protocols, and assay protocols: Model 1 = 5, Model 2 = 4; Evidence: Model 1 includes `ClinicalTrial` with `type`, `StudyCohort` with `size` and `targetFocus`, `Protocol`, `AssayProtocol extends Protocol`, and `StudyCohort --&gt; "1..*" Protocol`, matching trial types, cohorts, and assigned protocols. Model 2 has `ClinicalTrial` with `studyType`, `StudyCohort`, `AssayProtocol`, and `AssayProtocol "*" --&gt; "1" DataValidator`, but `AssayProtocol` is not modeled as a `Protocol` and `StudyCohort "*" --&gt; "1" AssayProtocol : assigned` is narrower than the requirement’s cohort/protocol relationship.
7. Regulatory review, publications, and reports: Model 1 = 5, Model 2 = 3; Evidence: Model 1 has `RegulatoryAgency --&gt; "*" RegulatoryReview`, `DrugCandidate --&gt; "*" RegulatoryReview`, `PublicationRecord`, and `ResearchProject --&gt; "*" PublicationRecord`, plus `CompoundReport` generated by researchers for compounds. Model 2 has `DrugCandidate "*" --&gt; "*" RegulatoryAgency : reviewed by`, `PublicationRecord`, and `CompoundReport`, but it lacks a distinct review entity and only loosely states `ResearchProject "1" --&gt; "*" PublicationRecord : documents`.
8. Overall semantic fidelity and completeness: Model 1 = 5, Model 2 = 4; Evidence: Model 1 covers the full end-to-end chain with clearer entities for experiments, compounds, candidates, targets, trials, regulatory review, publications, and reports. Model 2 is broadly complete but has several weaker or conflated relations, such as `MolecularCompound "1" --&gt; "1" DrugCandidate`, `DrugCandidate "*" --&gt; "*" ClinicalTrial`, and `CompoundReport "*" --&gt; "1" MolecularCompound`, which are less faithful to the requirement’s wording.
Total: Model 1 = 40, Model 2 = 30
Choice: A
Reason:
1. Researchers, institutions, and projects: Model 1 expresses the institutional/researcher/project structure more cleanly with `Institution --&gt; "*" Researcher`, `Researcher --&gt; "*" ResearchProject`, and project containment of experiments/trials; Model 2 has the same domain area but is thinner and less expressive.
2. Laboratory workflow: Model 1 better captures the experiment-to-result-to-log-to-analysis-to-validation chain with explicit classes and links; Model 2 includes the same concepts but with weaker cardinalities and less precise linkage.
3. Chemical and drug domain: Model 1 models compound classification and library storage without introducing an extra, unstated basis relation to drug candidates; Model 2 adds `basis for`, which is a stronger commitment than the requirement supports.
4. Safety and adverse events: Model 1 uses a dedicated `AdverseEventReport` and a more complete `SafetyAssessment` linkage, while Model 2’s `AdverseEvent`/`SafetyAssessment` structure is less specific.
5. Trial and protocol modeling: Model 1 correctly treats `AssayProtocol` as a specialized `Protocol` and ties cohorts to protocols; Model 2 does not make that inheritance explicit and uses a narrower assignment relation.
6. Rejected or checked issues: I did not penalize either model for using opposite-direction associations instead of single bidirectional lines, lowercase primitive aliases, or equivalent multiplicity forms, because those are explicitly forbidden as negative evidence.
7. Overall judgment: Model 1 is better because it aligns more faithfully with the requirement’s end-to-end scientific workflow and preserves the key domain relationships with fewer unsupported structural commitments.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</si>
  <si>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</si>
  <si>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each criterion independently, using only UML semantics and the stated requirement.
I’ve finished the structural comparison. I’m now turning that into criterion scores with concrete evidence from each diagram and keeping the forbidden equivalences out of the judgment.
result
Scores:
1. Cohesion and decoupling: Model 1 = 4, Model 2 = 3; Evidence: Model 1 separates major concerns into distinct classes such as `LaboratoryExperiment`, `QuantitativeResult`, `ExperimentLog`, `StatisticalAnalysis`, `DataValidator`, `ToxicityProfile`, `SafetyAssessment`, and `RegulatoryReview`. Model 2 also separates several concerns, but it flattens some domain structure, for example `ClinicalTrial` links directly to `DrugCandidate`, and it uses `AssayProtocol` where Model 1 keeps a broader `Protocol` abstraction with `AssayProtocol` as a subtype.
2. Complexity: Model 1 = 4, Model 2 = 3; Evidence: Model 1 has a larger but more traceable domain model, including specialized concepts for compounds, candidates, toxicity, safety assessment, simulation, regulatory review, and publications, plus clear inheritance groups like `Compound` to `{SmallMolecule, Biologic, Peptide, SyntheticCompound, DrugCandidate}` and `Protocol` to `AssayProtocol`. Model 2 is smaller, but it compresses several required distinctions and leaves core concepts more generic, such as `DrugCandidate`, `SafetyAssessment`, and `AssayProtocol`.
3. Practicability: Model 1 = 4, Model 2 = 2; Evidence: Model 1 covers the end-to-end workflow more completely with project leadership, experiments, results, logs, validation, compound classification, dosage, toxicity, safety assessment, binding affinity, simulations, trials, regulatory review, publications, and compound reports. Model 2 is easier to read but less operationally complete: it lacks a `RegulatoryReview` class, lacks a general `Protocol` class, and its `SafetyAssessment`/trial structure is flatter and less actionable for implementation and testing.
Total: Model 1 = 11, Model 2 = 8
Choice: A
Reason:
1. Cohesion and decoupling: Model 1 keeps more domain responsibilities isolated into dedicated classes, while Model 2 collapses some of that structure and loses a layer of protocol abstraction.
2. Complexity: Model 1 is more detailed, but the extra detail matches the stated requirement better; Model 2 is simpler mainly because it omits required domain distinctions.
3. Rejected or checked issues: I did not score against opposite-arrow association style, primitive type spellings, equivalent multiplicity literals, or optional abstractness, per the strict instructions.
4. Overall judgment: Model 1 is the better fit because it models the domain more faithfully and supports a more practical end-to-end platform design without relying on forbidden stylistic penalties.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</si>
  <si>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</si>
  <si>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the two diagrams criterion by criterion against the requirement, then I’ll total them and choose the better one based on concrete UML evidence.
Scores:
1. Appropriate conceptual classes aligned with the domain: Model 1 = 5, Model 2 = 4; Evidence: Model 1 includes the core domain set end-to-end (`ResearchProject`, `LaboratoryExperiment`, `ClinicalTrial`, `Compound` with `SmallMolecule/Biologic/Peptide/SyntheticCompound`, `DrugCandidate`, `TargetProtein`, `BindingAffinity`, `SimulationModel`, `RegulatoryAgency`, `PublicationRecord`), while Model 2 covers most of the same space but uses slightly drifted concepts like `MolecularCompound` and `AdverseEvent` instead of the requirement’s compound/report framing.
2. Associations/Multiplicities between classes for domain reasoning: Model 1 = 5, Model 2 = 4; Evidence: Model 1 explicitly links projects to experiments and trials, experiments to results/logs, cohorts to protocols, and candidates to toxicity/safety/regulatory artifacts (`ResearchProject *-- "*" LaboratoryExperiment`, `ClinicalTrial *-- "*" StudyCohort`, `SafetyAssessment --&gt; "*" AdverseEventReport`). Model 2 captures most of these as well (`ResearchProject "1" --&gt; "*" LaboratoryExperiment`, `ClinicalTrial "1" --&gt; "*" StudyCohort`, `SafetyAssessment --&gt; "*" AdverseEvent`), but some links are more restrictive or less directly aligned, such as `MolecularCompound "1" --&gt; "1" DrugCandidate` and `Researcher "1" --&gt; "1" Institution`.
3. Model attributes with appropriate data types: Model 1 = 5, Model 2 = 3; Evidence: Model 1 models key categorical fields with enums and concrete types (`DevelopmentStage`, `TrialType`, `EventCategory`, `SeverityLevel`, `SimulationStatus`, plus `sampleCount:int`, `meanValue:double`, `isValidated:boolean`). Model 2 has some good typed fields (`sampleCount:Integer`, `value:Float`, `validationDate:Date`), but several important domain values are left as free strings (`stage:String`, `developmentStage:String`, `category:String`, `severityLevel:String`) and it omits the richer categorical typing present in Model 1.
4. Consistencies of Terminology with given context: Model 1 = 5, Model 2 = 3; Evidence: Model 1 consistently uses the requirement’s vocabulary (`Compound`, `DrugCandidate`, `TargetProtein`, `AssayProtocol`, `PharmacokineticStudy`, `RegulatoryReview`, `CompoundReport`). Model 2 is still recognizable but uses more terminology drift (`MolecularCompound`, `StudyType`, `ModelStatus`, `AdverseEvent`) where the requirement’s wording is more specific (`Compound`, `TrialType`, `SimulationStatus`, `AdverseEventReport`).
5. Adherence of UML class diagram standards: Model 1 = 3, Model 2 = 4; Evidence: Model 2 uses more standard PlantUML association notation with multiplicities on the class ends (`ResearchProject "1" --&gt; "*" LaboratoryExperiment`, `Researcher "1" --&gt; "*" AssayProtocol`). Model 1 is still understandable, but several associations place quoted multiplicities after the arrow (`Institution --&gt; "*" Researcher`, `ResearchProject *-- "*" LaboratoryExperiment`), which is less standard UML/PlantUML notation.
Total: Model 1 = 23, Model 2 = 18
Choice: A
Reason:
1. Conceptual coverage: Model 1 better matches the full domain vocabulary and includes more of the required core concepts in their expected form.
2. Domain relationships: Both models are strong, but Model 1 expresses the end-to-end chain more explicitly, especially around safety, validation, simulation, and regulatory review.
3. Attributes and terminology: Model 1 is much stronger on typed domain attributes and keeps terminology closer to the prompt.
4. UML notation: Model 2 is cleaner syntactically, but that advantage is not enough to offset Model 1’s better domain fidelity.
5. Rejected or checked issues: I did not penalize either model for opposite-direction association style or trailing comments, and I treated equivalent primitive aliases as acceptable.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</si>
  <si>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</si>
  <si>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5, Model 2 = 2; Evidence: Model 1 includes `ResearchProject`, `LaboratoryExperiment`, `ClinicalTrial`, `Compound`, `DrugCandidate`, `SimulationModel`, `RegulatoryAgency`, `PublicationRecord`, and `CompoundReport`, covering most of the end-to-end platform. Model 2 has `Researcher`, `Project`, `Experiment`, `Result`, `Compound`, `DrugCandidate`, `ClinicalTrial`, `Protocol`, and `Report`, but omits major required areas like assay protocols, safety assessment, pharmacokinetic studies, regulatory review, and publication records as distinct concepts.
2. Core domain concept fidelity: Model 1 = 5, Model 2 = 2; Evidence: Model 1 keeps recognizable domain classes such as `ToxicityProfile`, `BindingAffinity`, `StudyCohort`, `AssayProtocol`, and `TargetProtein`. Model 2 flattens several required concepts into generic attributes, for example `DrugCandidate` uses `dosageRegimen: String` and `toxicityProfile: String`, and `Researcher` uses `institution: String` instead of a modeled institution concept.
3. Relationship and multiplicity modeling: Model 1 = 4, Model 2 = 1; Evidence: Model 1 explicitly links `ResearchProject` to `LaboratoryExperiment` and `ClinicalTrial`, `StudyCohort` to `Protocol`, `AssayProtocol` to `DataValidator`, and `SimulationModel` to both `TargetProtein` and `Compound`. Model 2 has only broad links like `Project o-- Experiment`, `ClinicalTrial o-- DrugCandidate`, and `Protocol o-- ClinicalTrial`, but it misses required relationships such as cohorts focusing on targets, assay protocols requiring validators, and simulation models tied to the compounds they simulate.
4. Analysis, safety, and regulatory workflow: Model 1 = 5, Model 2 = 1; Evidence: Model 1 includes `StatisticalAnalysis`, `SafetyAssessment`, `AdverseEventReport`, `PharmacokineticStudy`, `RegulatoryReview`, and `RegulatoryAgency`, matching the required analysis, safety, PK, and review workflow. Model 2 only has `Validator` and `Result`, with no distinct safety assessment, adverse event reporting, pharmacokinetic study, or regulatory review structure.
5. Naming clarity and semantic specificity: Model 1 = 4, Model 2 = 2; Evidence: Model 1 uses domain-specific names like `ToxicityProfile`, `BindingAffinity`, `StudyCohort`, `AssayProtocol`, and `PublicationRecord`, which map cleanly to the requirement. Model 2 uses generic placeholders such as `Project`, `Experiment`, `Result`, and `Report`, which are less specific and weaken the domain model, even though `Compound` and `TargetProtein` remain clear.
6. Hallucination control and fidelity to the prompt: Model 1 = 4, Model 2 = 2; Evidence: Model 1 adds some extra fields like `budget`, `capacity`, and `address`, but it mostly stays within the requested scientific domain. Model 2 both omits many required classes and distorts structured concepts into strings or generic types, such as `status: String`, `trialType: String`, and `toxicityProfile: String`, which weakens faithfulness to the requirement.
Total: Model 1 = 27, Model 2 = 10
Choice: A
Reason:
1. Requirement coverage: Model 1 covers the requested platform much more completely, while Model 2 leaves out several major required subsystems.
2. Relationship and concept fidelity: Model 1 models the important scientific relationships more directly, especially around cohorts, protocols, simulations, safety, and validation; Model 2 compresses or misplaces several of these.
3. Rejected or checked issues: I did not use association arrow style, comment annotations, primitive type spelling, equivalent multiplicity literals, or optional abstractness as negative evidence.
4. Overall judgment: Model 1 is substantially closer to the requirement as a UML class diagram of the domain,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</si>
  <si>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</si>
  <si>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concerns into dedicated classes like `ToxicityProfile`, `SafetyAssessment`, `AdverseEventReport`, `BindingAffinity`, `StatisticalAnalysis`, `DataValidator`, `DosageRegimen`, and `StudyCohort`, with explicit links between them. Model 2 collapses several domain concepts into attributes such as `DrugCandidate.dosageRegimen: String`, `DrugCandidate.toxicityProfile: String`, `Researcher.institution: String`, and `Result.log: String`, which weakens separation of responsibilities.
2. Complexity: Model 1 = 4, Model 2 = 2; Evidence: Model 1 models the required workflow with many traceable classes and shallow inheritance, including `Compound` subclasses (`SmallMolecule`, `Biologic`, `Peptide`, `SyntheticCompound`, `DrugCandidate`) plus `Protocol`/`AssayProtocol`. Model 2 is much flatter, with fewer classes and several required concepts merged into generic ones, so it under-represents the domain even though it is simpler.
3. Practicability: Model 1 = 4, Model 2 = 2; Evidence: Model 1 is easier to implement and test in a modular way because concepts are explicit, e.g. `LaboratoryExperiment *-- QuantitativeResult`, `QuantitativeResult --&gt; DataValidator`, `ClinicalTrial *-- StudyCohort`, `SafetyAssessment --&gt; AdverseEventReport`, and `ResearchProject --&gt; PublicationRecord`. Model 2 is readable, but practical testing and maintenance are harder because important semantics are encoded as plain strings or generic classes, such as `ClinicalTrial.trialType: String`, `SimulationModel.status: String`, and `Protocol.method: String`.
Total: Model 1 = 12, Model 2 = 6
Choice: A
Reason:
1. Cohesion and Decoupling: Model 1 keeps the scientific subdomains distinct, while Model 2 bundles multiple concerns into a few generic classes and string fields.
2. Complexity: Model 1 has more classes, but they map to the requirement’s distinct concepts; Model 2 is simpler only by flattening required structure away.
3. Practicability: Model 1 is more maintainable and testable because its core entities are explicit; Model 2 is easier to read at first glance but too underspecified for real implementation.
4. Rejected or checked issues: I did not use association arrow direction, opposite unidirectional vs bidirectional presentation, PlantUML comments, or primitive type spelling variants as negative evidence.
5. Overall judgment: Model 1 is the better real-world design because it covers the platform’s workflow with clearer domain boundaries and better support for implementation and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</si>
  <si>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</si>
  <si>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explicitly models the core domain entities (`ResearchProject`, `LaboratoryExperiment`, `ClinicalTrial`, `Compound` with subclasses, `DrugCandidate`, `ToxicityProfile`, `AdverseEventReport`, `TargetProtein`, `BindingAffinity`, `SimulationModel`, `AssayProtocol`, `PharmacokineticStudy`, `RegulatoryAgency`, `PublicationRecord`), while Model 2 collapses many of these into generic classes like `Project`, `Experiment`, `Result`, `Report`, and `Interaction`.
2. Associations/Multiplicities between classes for domain reasoning: Model 1 = 5, Model 2 = 2; Evidence: Model 1 connects projects to experiments and trials, experiments to results/logs/analysis, compounds to libraries, drug candidates to proteins/affinities/toxicity/safety/review, and cohorts to protocols; Model 2 keeps only a few broad links (`Researcher -- Project`, `Project o-- Experiment`, `Experiment o-- Result`, `ClinicalTrial o-- DrugCandidate`, `Protocol o-- ClinicalTrial`, `DrugCandidate -- Interaction`) and misses several required relationships.
3. Model attributes with appropriate data types: Model 1 = 5, Model 2 = 2; Evidence: Model 1 uses structured attributes such as `weight : double`, `sampleCount : int`, `amount : double`, `frequency : int`, `isCarcinogenic : boolean`, `severity : SeverityLevel`, `constant : double`, `status : SimulationStatus`, and `validationDate : Date`; Model 2 often collapses structured concepts into strings (`dosageRegimen : String`, `toxicityProfile : String`, `status : String`) and omits several required fields like toxicity flags, validation timestamps, and detailed protocol/safety data.
4. Consistencies of Terminology with given context: Model 1 = 5, Model 2 = 2; Evidence: Model 1 stays close to the requirement wording with terms like `ChemicalLibrary`, `SafetyAssessment`, `AssayProtocol`, `RegulatoryReview`, and `PublicationRecord`; Model 2 uses much more generic labels (`Project`, `Experiment`, `Result`, `Report`) and loses domain-specific distinctions that the requirement makes explicit.
5. Adherence of UML class diagram standards: Model 1 = 4, Model 2 = 5; Evidence: Model 2 is straightforward PlantUML class/association syntax (`Researcher -- Project`, `Project o-- Experiment`, etc.), while Model 1 is still understandable but includes escaped multiplicity quoting like `\"*\"` / `\"1..*\"`, which is notation noise in the provided text.
Total: Model 1 = 23, Model 2 = 13
Choice: A
Reason:
1. Appropriate classes: Model 1 directly models the requested scientific and regulatory domain; Model 2 overgeneralizes many required concepts.
2. Associations/multiplicities: Model 1 captures the end-to-end workflow much more completely, including projects, experiments, trials, compounds, proteins, safety, and review; Model 2 leaves most of those links out.
3. Attributes: Model 1 gives the needed structured data for dosage, toxicity, validation, affinities, simulations, and trials; Model 2 collapses several of those into plain strings.
4. Terminology: Model 1 matches the domain vocabulary closely; Model 2 loses specificity.
5. Rejected or checked issues: I did not penalize Model 1 for opposite-direction association styling or equivalent primitive aliases, since those are semantically equivalent under the rules.
6. Overall judgment: Response 1 is substantially more faithful to the requirement and is the better UML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</si>
  <si>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</si>
  <si>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strictly against the requirement, with emphasis on missing concepts, relationship structure, and whether any modeled details drift beyond the spec.
```result
Scores:
1. Requirement coverage: Model 1 = 4, Model 2 = 1; Evidence: Model 1 covers most core entities and flows with `ResearchProject`, `LaboratoryExperiment`, `ClinicalTrial`, `MolecularCompound`, `DrugCandidate`, `TargetProtein`, `SimulationModel`, `RegulatoryAgency`, `PublicationRecord`, and `CompoundReport`. Model 2 only sketches `Researcher`, `Project`, `Experiment`, `Compound`, `DrugCandidate`, `ClinicalTrial`, `Protocol`, and `Report`, and omits major required concepts like chemical libraries, toxicity profiles, adverse events, assay protocols with validators, pharmacokinetic studies, and regulatory review.
2. Relationship fidelity and cardinalities: Model 1 = 4, Model 2 = 2; Evidence: Model 1 explicitly models many required links and multiplicities, such as `ResearchProject "1" --&gt; "*" LaboratoryExperiment`, `ResearchProject "1" --&gt; "*" ClinicalTrial`, `ChemicalLibrary "1" --&gt; "*" MolecularCompound`, `ClinicalTrial "1" --&gt; "*" StudyCohort`, and `StudyCohort "*" --&gt; "1" AssayProtocol`. Model 2 has only broad associations like `Project o-- Experiment`, `Experiment o-- Result`, `ClinicalTrial o-- DrugCandidate`, and `Protocol o-- ClinicalTrial`, but no explicit study cohort structure, no assay-validator link, and no clear multiplicities for most required relationships.
3. Domain modeling precision: Model 1 = 5, Model 2 = 2; Evidence: Model 1 models compounds and drug development with `MolecularCompound` plus subclasses `SmallMolecule`, `Biologic`, `Peptide`, `SyntheticCompound`, and separates `DosageRegimen`, `ToxicityProfile`, `AdverseEvent`, `BindingAffinity`, and `TargetProtein(sequence, sequenceId)`. Model 2 collapses these into weaker forms like `CompoundType` and string fields on `DrugCandidate` (`dosageRegimen`, `toxicityProfile`) and uses `Interaction(bindingAffinity, affinityUnit)` instead of dedicated toxicity, regimen, and adverse-event structures.
4. Workflow completeness: Model 1 = 4, Model 2 = 1; Evidence: Model 1 includes the experiment-analysis-validator chain via `LaboratoryExperiment`, `QuantitativeResult`, `ExperimentLog`, `StatisticalAnalysis`, and `DataValidator(schemaVersion)`, plus simulation/trial support via `SimulationModel(status, solventInclusion, forceFieldConfig, score)` and `PharmacokineticStudy`. Model 2 only has `Experiment` and `Result`, a bare `Validator.validate(...)`, and a minimal `SimulationModel(status, score)`; it does not represent the required simulation inputs, pharmacokinetic studies, or the full analysis/validation flow.
5. Regulatory, publication, and reporting support: Model 1 = 4, Model 2 = 1; Evidence: Model 1 includes `RegulatoryAgency` reviewing `DrugCandidate`, `PublicationRecord` linked to `ResearchProject`, and `CompoundReport` generated by `Researcher` for `MolecularCompound`. Model 2 has only `Report` connected to `Researcher`, with no publication record tied to projects, no regulatory-agency review, and no compound-specific reporting model.
Total: Model 1 = 21, Model 2 = 7
Choice: A
Reason:
1. Requirement coverage: Model 1 captures the platform’s major end-to-end concepts; Model 2 omits too many required domain objects and workflows.
2. Relationship fidelity and cardinalities: Model 1 expresses the required structure much more explicitly, while Model 2 leaves several essential links underspecified or folded into generic associations.
3. Rejected or checked issues: I did not use association direction, primitive type spellings, or equivalent multiplicity literals as negatives.
4. Overall judgment: Model 1 is substantially closer to the requirement and more faithful to the intended UML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</si>
  <si>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</si>
  <si>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concerns with `StatisticalAnalysis`, `SafetyAssessment`, `BindingAffinity`, `AssayProtocol`, and `CompoundReport` as distinct classes, while Model 2 collapses multiple concepts into attributes like `DrugCandidate.dosageRegimen: String`, `DrugCandidate.toxicityProfile: String`, `Researcher.institution: String`, and `Result.log: String`.
2. Complexity: Model 1 = 4, Model 2 = 2; Evidence: Model 1 uses a richer but domain-aligned structure with many explicit classes, `MolecularCompound` inheritance into `SmallMolecule`, `Biologic`, `Peptide`, and `SyntheticCompound`, plus enums `StudyType` and `ModelStatus`; Model 2 is much flatter, with fewer classes and no inheritance, but it also merges several required concepts into strings and omits intermediate domain objects like `DosageRegimen` and `ToxicityProfile`.
3. Practicability: Model 1 = 5, Model 2 = 2; Evidence: Model 1 is easier to understand and test because responsibilities are explicit across `LaboratoryExperiment`, `QuantitativeResult`, `ExperimentLog`, `DataValidator`, `SafetyAssessment`, and `SimulationModel`; Model 2 is less practical because key business concepts are underspecified or collapsed, such as `DrugCandidate.toxicityProfile: String`, `ClinicalTrial.trialType: String`, and `SimulationModel.status: String`, which weakens traceability and validation.
Total: Model 1 = 13, Model 2 = 6
Choice: A
Reason:
1. Cohesion and Decoupling: Model 1 has cleaner domain separation; Model 2 mixes multiple responsibilities into plain attributes.
2. Complexity: Model 1 is more complex, but the added classes are justified by the requirement's end-to-end workflow; Model 2 is simpler mainly because it under-models the domain.
3. Practicability: Model 1 is more modular and testable; Model 2 is less readable as a real design because several core concepts are collapsed into strings.
4. Rejected or checked issues: I did not use association direction style, primitive type spelling, or optional abstractness as negatives.
5. Overall judgment: Model 1 better matches the requirement with explicit, testable domain concepts and stronger semantic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</si>
  <si>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</si>
  <si>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names the core domain classes directly, including `ResearchProject`, `LaboratoryExperiment`, `ClinicalTrial`, `MolecularCompound`, `DrugCandidate`, `ToxicityProfile`, `SafetyAssessment`, `BindingAffinity`, `StudyCohort`, `AssayProtocol`, `RegulatoryAgency`, and `CompoundReport`. Model 2 collapses several of these into generic classes like `Project`, `Experiment`, `Result`, `Validator`, `Protocol`, and `Report`, and it does not model separate domain concepts such as `ToxicityProfile`, `SafetyAssessment`, `BindingAffinity`, `StudyCohort`, or `RegulatoryAgency`.
2. Associations/Multiplicities between classes for domain reasoning: Model 1 = 5, Model 2 = 2; Evidence: Model 1 expresses most required links and cardinalities, such as `ResearchProject "1" --&gt; "*" LaboratoryExperiment`, `ResearchProject "1" --&gt; "*" ClinicalTrial`, `LaboratoryExperiment "*" --&gt; "1" DataValidator`, `DrugCandidate "*" --&gt; "*" TargetProtein`, `ClinicalTrial "1" --&gt; "*" StudyCohort`, and `AssayProtocol "*" --&gt; "1" DataValidator`. Model 2 has only broad links like `Project o-- Experiment`, `Validator -- Experiment`, `DrugCandidate -- Interaction`, `ClinicalTrial o-- DrugCandidate`, and `Protocol o-- ClinicalTrial`, leaving many required domain relationships unmodeled or overly merged.
3. Model attributes with appropriate data types: Model 1 = 4, Model 2 = 3; Evidence: Model 1 models many required attributes with suitable types, for example `sampleCount: Integer`, `executionDate: Date`, `observationDate: Date`, `meanValue: Float`, `schemaVersion: String`, `weight: Float`, `chemicalFormula: String`, `amount: Float`, `frequency: String`, `unit: String`, `isCarcinogenic: Boolean`, `isLifeThreatening: Boolean`, and `validationDate: Date`. Model 2 has some correct typing like `numSamples: Integer`, `executionDate: Date`, `meanValue: Double`, and `bindingAffinity: Float`, but it compresses important structured data into strings, such as `dosageRegimen: String` and `toxicityProfile: String`, and it omits several distinct required fields like separate dosage components, validation date, and detailed toxicity flags.
4. Consistencies of Terminology with given context: Model 1 = 5, Model 2 = 3; Evidence: Model 1 stays close to the prompt terminology with `MolecularCompound`, `ChemicalLibrary`, `ToxicityProfile`, `SafetyAssessment`, `PharmacokineticStudy`, `AssayProtocol`, `StudyCohort`, and `RegulatoryAgency`. Model 2 uses more generic replacements like `Project`, `Experiment`, `Result`, `Interaction`, `Protocol`, and `Report`, and its `CompoundType` values are also less aligned with the prompt’s phrasing than Model 1’s terminology.
5. Adherence of UML class diagram standards: Model 1 = 5, Model 2 = 5; Evidence: Both are valid PlantUML-style class diagrams with `@startuml`/`@enduml`, class and enum declarations, and association lines. Model 1 also uses inheritance and multiplicities cleanly, while Model 2 uses valid class/association syntax as well; neither shows a UML syntax problem that would make it hard to interpret.
Total: Model 1 = 24, Model 2 = 15
Choice: A
Reason:
1. Appropriate conceptual classes: Model 1 covers the platform’s main domain entities directly; Model 2 over-generalizes several of them into generic placeholders.
2. Associations/Multiplicities: Model 1 captures the core workflow links and cardinalities, while Model 2 leaves many required domain relationships implicit or merged.
3. Rejected or checked issues: I did not penalize either model for opposite-direction association arrows or primitive type aliases, since those are semantically equivalent under the instructions.
4. Overall judgment: Model 1 is materially closer to the requirement across domain modeling, relationships, and attribute structure,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</si>
  <si>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</si>
  <si>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Research/project scope: Model 1 = 4, Model 2 = 4; Evidence: Model 1 has `Researcher` leading `ResearchProject`, `ResearchProject` encompassing `LaboratoryExperiment`, `ClinicalTrial`, and `PublicationRecord`, and `Researcher` tied to `Institution`. Model 2 covers the same core structure with `Researcher` leading `ResearchProject`, `ResearchProject` linked to `LaboratoryExperiment`, `ClinicalTrial`, and `PublicationRecord`, plus extra project metadata.
2. Experiment pipeline, analysis, and validation: Model 1 = 3, Model 2 = 4; Evidence: Model 1 includes `LaboratoryExperiment` with `stage`, `sampleCount`, `executionDate`, plus `QuantitativeResult`, `ExperimentLog`, `StatisticalAnalysis`, and `DataValidator`, but the analysis/validation chain is looser. Model 2 links `LaboratoryExperiment` to `QuantitativeResult`, `StatisticalAnalysis` to `QuantitativeResult`, and `QuantitativeResult` to `DataValidator`, which is closer to the stated data flow.
3. Compound and drug-candidate modeling: Model 1 = 3, Model 2 = 4; Evidence: Model 1 has `MolecularCompound` with `SmallMolecule`, `Biologic`, `Peptide`, and `SyntheticCompound`, plus `ChemicalLibrary` storing `MolecularCompound` and a `MolecularCompound -&gt; DrugCandidate` basis relation. Model 2 has `Compound` with the same subclasses, `ChemicalLibrary` storing `Compound`, and `DrugCandidate` integrated into the compound hierarchy, which captures the compound-to-candidate transition more directly.
4. Toxicity, adverse events, and safety assessment: Model 1 = 3, Model 2 = 5; Evidence: Model 1 only gives `ToxicityProfile.isCarcinogenic`, a generic `AdverseEvent.category`, and `SafetyAssessment` with `symptoms` and `severity`. Model 2 explicitly models `EventCategory` with allergic reaction, cardiovascular, and neurotoxicity, `SeverityLevel` including life-threatening, and `AdverseEventReport` with `category`, `severity`, and `isLifeThreatening`, matching the requirement much more closely.
5. Proteins, simulation, clinical trials, cohorts, protocols, and PK studies: Model 1 = 4, Model 2 = 5; Evidence: Model 1 includes `TargetProtein`, `BindingAffinity`, `SimulationModel` with status/solvent/force-field/score, `ClinicalTrial`, `StudyCohort`, `AssayProtocol`, and `PharmacokineticStudy`. Model 2 covers the same areas and adds `StudyCohort -&gt; Protocol`, `AssayProtocol.compoundClass`, and `ClinicalTrial.enrollmentSize`, making the trial/protocol side more complete.
6. Regulatory/publication/reporting and validation status: Model 1 = 4, Model 2 = 4; Evidence: Model 1 has `ResearchProject -&gt; PublicationRecord`, `Researcher -&gt; CompoundReport`, `RegulatoryAgency -&gt; DrugCandidate`, and `DrugCandidate.isValidated/validationDate`. Model 2 has the same core coverage via `ResearchProject -&gt; PublicationRecord`, `Researcher -&gt; CompoundReport`, `RegulatoryAgency -&gt; RegulatoryReview`, and `DrugCandidate.isValidated/validationDate`.
Total: Model 1 = 22, Model 2 = 26
Choice: B
Reason:
1. Model 2 is stronger on the hardest domain-specific requirements: it explicitly models adverse-event categories and severity, the analysis-to-result-to-validator chain, and the assay/protocol structure.
2. Model 1 is cleaner, but it leaves more of the required semantics implicit, especially around toxicity taxonomy and the experiment/analysis workflow.
3. Rejected or checked issues: I did not count association direction, PlantUML comments, primitive type aliases, or equivalent multiplicity spellings against either model.
4. Overall judgment: Model 2 better captures the requested end-to-end drug-discovery semantics, even though it adds some extra metadata not required by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</si>
  <si>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</si>
  <si>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workflow in a smaller set of focused classes such as `ResearchProject`, `LaboratoryExperiment`, `DrugCandidate`, `SafetyAssessment`, and `DataValidator`, but it also bundles some concerns into broader types like `AdverseEvent` and uses a direct `AssayProtocol` without a more explicit protocol layer. Model 2 separates more responsibilities with `AdverseEventReport`, `RegulatoryReview`, `Protocol`/`AssayProtocol`, `StatisticalAnalysis` tied to `QuantitativeResult`, and explicit enums for `DevelopmentStage`, `EventCategory`, and `SeverityLevel`, which improves separation of concerns.
2. Complexity: Model 1 = 4, Model 2 = 3; Evidence: Model 1 has fewer classes and enums overall and mostly direct associations, with only shallow inheritance from `MolecularCompound` to `SmallMolecule`, `Biologic`, `Peptide`, and `SyntheticCompound`. Model 2 introduces more structural elements (`Protocol`, `RegulatoryReview`, `AdverseEventReport`, `DevelopmentStage`, `EventCategory`, `SeverityLevel`) and more associations, so it is denser and more complex, even though both models keep inheritance depth shallow and neither adds methods.
3. Practicability: Model 1 = 4, Model 2 = 4; Evidence: Model 1 is easy to read and implement because it uses direct classes and straightforward links such as `ResearchProject` to experiments/trials, `DrugCandidate` to dosage/toxicity, and `SimulationModel` to compounds, making the main flow easy to follow. Model 2 is also practical because it models more of the domain explicitly with `TrialType`, `EventCategory`, `SeverityLevel`, `AdverseEventReport`, `RegulatoryReview`, and `Protocol`, which supports clearer validation and testing.
Total: Model 1 = 11, Model 2 = 11
Choice: C
Reason:
1. Cohesion and Decoupling: Model 2 is more explicitly decomposed, while Model 1 is simpler but a bit broader in places.
2. Complexity: Model 1 is lighter; Model 2 is more detailed and therefore more complex.
3. Rejected or checked issues: I did not use association arrow direction, opposite unidirectional-vs-bidirectional syntax, primitive type aliases, or comments as negative evidence.
4. Overall judgment: Model 2 is somewhat stronger on domain decomposition, Model 1 is somewhat stronger on simplicity, and the practical difference is small enough that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</si>
  <si>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</si>
  <si>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core domain classes (`ResearchProject`, `LaboratoryExperiment`, `ClinicalTrial`, `MolecularCompound`, `DrugCandidate`, `TargetProtein`, `SimulationModel`), but uses weaker stand-ins like `AdverseEvent` instead of an explicit adverse-event report entity and has no general `Protocol` or `RegulatoryReview` class. Model 2 covers the same core set and adds clearer domain classes such as `Compound`, `AdverseEventReport`, `Protocol`, `RegulatoryReview`, `StatisticalAnalysis`, and `SafetyAssessment`.
2. Associations/Multiplicities between classes for domain reasoning: Model 1 = 3, Model 2 = 4; Evidence: Model 1 captures major links like `ResearchProject -&gt; LaboratoryExperiment/ClinicalTrial`, `ClinicalTrial -&gt; StudyCohort`, and `ChemicalLibrary -&gt; MolecularCompound`, but several relationships are too restrictive or indirect, such as `Researcher "1" --&gt; "1" Institution`, `MolecularCompound "1" --&gt; "1" DrugCandidate`, and `StudyCohort "*" --&gt; "1" AssayProtocol` instead of a general protocol. Model 2 better models the workflow with `Institution --&gt; "*" Researcher`, `ResearchProject *-- "*" LaboratoryExperiment/ClinicalTrial`, `LaboratoryExperiment --&gt; "*" StatisticalAnalysis`, `ClinicalTrial *-- "*" StudyCohort`, and `StudyCohort --&gt; "1..*" Protocol`, though it still has some indirect links like `DosageRegimen --&gt; "*" AdverseEventReport`.
3. Model attributes with appropriate data types: Model 1 = 4, Model 2 = 5; Evidence: Model 1 models the required fields, but several are coarse or generic, such as `stage: String`, `developmentStage: String`, and no enum for adverse-event category/severity. Model 2 is more precise with typed domain enums and fields like `stage: DevelopmentStage`, `type: TrialType`, `category: EventCategory`, `severity: SeverityLevel`, `status: SimulationStatus`, plus numeric/date fields such as `weight: double`, `meanValue: double`, and `validationDate: Date`.
4. Consistencies of Terminology with given context: Model 1 = 4, Model 2 = 5; Evidence: Model 1 stays close to the prompt but drifts in places like `MolecularCompound` for compounds and `AdverseEvent` for adverse-event reports. Model 2 uses the prompt's vocabulary more consistently, with `Compound`, `AdverseEventReport`, `StudyCohort`, `AssayProtocol`, `PublicationRecord`, and `RegulatoryReview`.
5. Adherence of UML class diagram standards: Model 1 = 5, Model 2 = 4; Evidence: Model 1 uses standard class/enum declarations and straightforward associations like `Researcher "1" --&gt; "1" Institution` and `MolecularCompound &lt;|-- SmallMolecule`. Model 2 is still understandable, but many associations use a less standard multiplicity placement form such as `Institution --&gt; "*" Researcher` and `Compound --&gt; "1..*" ChemicalLibrary`, which is slightly less conventional.
Total: Model 1 = 20, Model 2 = 23
Choice: B
Reason:
1. Conceptual classes: Model 2 is closer to the domain because it explicitly models `AdverseEventReport`, `Protocol`, `RegulatoryReview`, and `Compound`, while Model 1 uses broader or weaker substitutes like `AdverseEvent` and `AssayProtocol` in places where the requirement calls for more specific entities.
2. Associations/multiplicities: Model 2 better captures the required workflow with `LaboratoryExperiment -&gt; StatisticalAnalysis`, `ClinicalTrial -&gt; StudyCohort`, and `StudyCohort -&gt; Protocol`, whereas Model 1 has several overly tight links such as `Researcher "1" --&gt; "1" Institution` and `MolecularCompound "1" --&gt; "1" DrugCandidate`.
3. Rejected or checked issues: I did not penalize Model 1 for using opposite-direction associations elsewhere or Model 2 for inline `'opposite ...'` comments, because those are semantically equivalent/ignored under the rules. I also did not treat `*` versus `0..*` as different.
4. Overall judgment: Model 2 is stronger overall because it matches more of the required domain vocabulary and relationship structure, and its extra detail is mostly useful refinement rather than noise.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</si>
  <si>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</si>
  <si>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1, Model 2 = 5; Evidence: Model 1 only includes broad classes like `Researcher`, `Project`, `Experiment`, `Result`, `Validator`, `Compound`, `DrugCandidate`, `Interaction`, `TargetProtein`, `SimulationModel`, `ClinicalTrial`, `Protocol`, and `Report`, but it omits key required elements such as `ChemicalLibrary`, `DosageRegimen`, `ToxicityProfile`, `AdverseEventReport`, `StudyCohort`, `AssayProtocol`, `PharmacokineticStudy`, `RegulatoryAgency`, `PublicationRecord`, and `CompoundReport`. Model 2 includes all major required entities, including `Institution`, `ResearchProject`, `LaboratoryExperiment`, `QuantitativeResult`, `ExperimentLog`, `DataValidator`, `ChemicalLibrary`, `DosageRegimen`, `ToxicityProfile`, `AdverseEventReport`, `StudyCohort`, `AssayProtocol`, `PharmacokineticStudy`, `RegulatoryAgency`, `RegulatoryReview`, `PublicationRecord`, and `CompoundReport`.
2. Relationship and cardinality fidelity: Model 1 = 1, Model 2 = 4; Evidence: Model 1 uses very coarse links like `Project o-- Experiment`, `Experiment o-- Result`, `ClinicalTrial o-- DrugCandidate`, and `Protocol o-- ClinicalTrial`, but it does not model required structures like cohorts, protocol assignment, compound-library storage, or binding-affinity linkage. Model 2 explicitly models `ResearchProject *-- LaboratoryExperiment`, `ResearchProject *-- ClinicalTrial`, `ClinicalTrial *-- StudyCohort`, `StudyCohort --&gt; Protocol`, `DrugCandidate --&gt; BindingAffinity`, `DrugCandidate --&gt; TargetProtein`, and `TargetProtein --&gt; SimulationModel`, which is much closer to the described workflow.
3. Validation, safety, regulatory, and publication workflow: Model 1 = 1, Model 2 = 4; Evidence: Model 1 has only `Validator -- Experiment` and `DrugCandidate -- Validator`, plus `Researcher -- Report`, but no statistical analysis, safety assessment, adverse-event reporting, validation status, regulatory review, or project-linked publication records. Model 2 includes `StatisticalAnalysis`, `DataValidator`, `SafetyAssessment`, `AdverseEventReport`, `DrugCandidate` validation fields, `RegulatoryReview`, `RegulatoryAgency`, and `PublicationRecord`, so it covers this part of the requirement substantially better.
4. Semantic precision / hallucination control: Model 1 = 2, Model 2 = 3; Evidence: Model 1 is sparse and collapses several required concepts into weak placeholders, such as `Result` carrying `meanValue`, `timestamp`, and `log`, and `DrugCandidate` using plain strings for `dosageRegimen` and `toxicityProfile`. Model 2 is much more explicit, but it does introduce one notable semantic distortion with `Compound &lt;|-- DrugCandidate`, which is stronger than the requirement’s “compounds serve as the basis for drug candidates”; it also adds several extra attributes like `budget`, `capacity`, and `email` that are not required. Even with that issue, Model 2 remains far closer overall.
Total: Model 1 = 5, Model 2 = 16
Choice: B
Reason:
1. Core requirement coverage: Model 2 covers nearly all required platform areas; Model 1 omits many major domain concepts entirely.
2. Relationship and cardinality fidelity: Model 2 models the project-experiment-trial-cohort-protocol chain and the compound-target-affinity chain much more faithfully than Model 1.
3. Rejected or checked issues: I did not use opposite-direction associations, PlantUML comments, primitive type aliases, or equivalent multiplicity spellings as negative evidence.
4. Overall judgment: Model 2 is clearly better because it captures the required end-to-end drug-discovery workflow and supporting entities, while Model 1 is too incomplete and under-specified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</si>
  <si>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</si>
  <si>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diagrams criterion by criterion against the requirement, focusing on UML semantics and domain fit rather than style or size alone.
```result
Scores:
1. Cohesion and Decoupling: Model 1 = 2, Model 2 = 5; Evidence: Model 1 collapses multiple concerns into single classes, e.g. `Result` mixes `meanValue`, `timestamp`, and `log`, and `DrugCandidate` stores `dosageRegimen` and `toxicityProfile` as strings instead of separate domain objects. Model 2 separates these concerns into `QuantitativeResult`, `ExperimentLog`, `DataValidator`, `DosageRegimen`, `ToxicityProfile`, `SafetyAssessment`, and `AdverseEventReport`, which is much higher cohesion and lower coupling.
2. Complexity: Model 1 = 2, Model 2 = 4; Evidence: Model 1 is structurally small (`Researcher`, `Project`, `Experiment`, `Result`, `Compound`, `DrugCandidate`, etc.) but that simplicity comes from omitting many required concepts. Model 2 has many more classes and a modest inheritance structure (`Compound` specialized into `SmallMolecule`, `Biologic`, `Peptide`, `SyntheticCompound`, `DrugCandidate`, plus `Protocol` -&gt; `AssayProtocol`), which increases complexity but is justified by the richer requirement coverage.
3. Practicability: Model 1 = 2, Model 2 = 5; Evidence: Model 1 leaves major workflow pieces implicit or compressed, such as no separate `ChemicalLibrary`, `DosageRegimen`, `ToxicityProfile`, `SafetyAssessment`, `StudyCohort`, `BindingAffinity`, `RegulatoryAgency`, or `PublicationRecord`, so it is harder to implement and test end-to-end. Model 2 explicitly models the pipeline from institutions and projects through experiments, validation, compound storage, candidate safety, trials, cohorts, protocols, PK studies, regulatory review, and publication records, making it far more usable for development and testing.
Total: Model 1 = 6, Model 2 = 14
Choice: B
Reason:
1. Cohesion and Decoupling: Model 2 is clearly stronger because it decomposes the domain into focused classes like `QuantitativeResult`, `ExperimentLog`, `ToxicityProfile`, and `SafetyAssessment`, while Model 1 mixes unrelated responsibilities inside `Result` and `DrugCandidate`.
2. Complexity: Model 2 is more complex in raw class count, but that complexity tracks the requirement’s breadth and is organized through meaningful specialization; Model 1 is simpler only because it under-models the domain.
3. Practicability: Model 2 is much more practical for real implementation because it supports the full research-to-review workflow with explicit entities and relationships; Model 1 is too compressed to support robust extension or testing.
4. Rejected or checked issues: I did not penalize Model 2 for opposite-direction associations, lowercase primitive types like `int`/`double`, or equivalent multiplicities, since those are semantically acceptable under the rules.
5. Overall judgment: Model 2 better satisfies the domain and design criteria, with stronger modularity and far better coverage of the required scientific and regulatory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</si>
  <si>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</si>
  <si>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separately and checking both diagrams against the requirement’s concrete domain concepts before scoring.
```result
Scores:
1. Appropriate conceptual classes aligned with the domain: Model 1 = 3, Model 2 = 5; Evidence: Model 1 has some correct core classes like `Researcher`, `Project`, `Experiment`, `Compound`, `DrugCandidate`, and `TargetProtein`, but flattens or omits many required concepts such as `Institution`, `ChemicalLibrary`, `DosageRegimen`, `ToxicityProfile`, `StudyCohort`, and `RegulatoryAgency`. Model 2 includes the main domain classes directly: `Institution`, `ResearchProject`, `LaboratoryExperiment`, `QuantitativeResult`, `ChemicalLibrary`, `Compound` with subclasses, `DrugCandidate`, `ToxicityProfile`, `AdverseEventReport`, `StudyCohort`, `AssayProtocol`, `PharmacokineticStudy`, and `RegulatoryAgency`.
2. Associations/Multiplicities between classes for domain reasoning: Model 1 = 2, Model 2 = 4; Evidence: Model 1 only connects a few relationships such as `Project o-- Experiment`, `Experiment o-- Result`, `Compound o-- DrugCandidate`, and `ClinicalTrial o-- DrugCandidate`, while missing key links for libraries, cohorts, targets, safety assessment, publications, and regulatory review. Model 2 models most major relationships, including `ResearchProject *-- LaboratoryExperiment`, `ResearchProject *-- ClinicalTrial`, `ClinicalTrial *-- StudyCohort`, `StudyCohort --&gt; Protocol`, `DrugCandidate --&gt; TargetProtein`, `DrugCandidate --&gt; BindingAffinity`, and `ResearchProject --&gt; PublicationRecord`, though some multiplicities are a bit loose.
3. Model attributes with appropriate data types: Model 1 = 2, Model 2 = 4; Evidence: Model 1 has basic fields like `weight`, `chemicalFormula`, and `executionDate`, but it reduces important structured concepts to strings, such as `dosageRegimen: String` and `toxicityProfile: String`, and does not model detailed dosage or adverse-event structure. Model 2 gives structured attributes such as `DosageRegimen(amount, frequency, unit)`, `AdverseEventReport(category, patientNotes, severity, isLifeThreatening)`, `SimulationModel(solventInclusion, forceFieldConfig, score)`, and `DrugCandidate(isValidated, validationDate)`, with only minor gaps like some required flags being indirect.
4. Consistencies of Terminology with given context: Model 1 = 2, Model 2 = 5; Evidence: Model 1 uses generic labels like `Project`, `Experiment`, `Result`, `Report`, and `Validator` instead of the more domain-specific terms in the prompt such as `ResearchProject`, `LaboratoryExperiment`, `QuantitativeResult`, `CompoundReport`, and `DataValidator`. Model 2 closely tracks the prompt’s terminology with `ResearchProject`, `LaboratoryExperiment`, `QuantitativeResult`, `DataValidator`, `ChemicalLibrary`, `AssayProtocol`, `PharmacokineticStudy`, `RegulatoryAgency`, and `PublicationRecord`.
5. Adherence of UML class diagram standards: Model 1 = 5, Model 2 = 4; Evidence: Model 1 is a straightforward valid PlantUML class diagram with classes, an enum, and standard associations. Model 2 is also readable and structurally valid PlantUML, but it is a bit rougher in notation because it relies on many quoted multiplicities inside arrowed relations such as `ResearchProject *-- "*" LaboratoryExperiment`; still, it remains interpretable and standard-compliant overall.
Total: Model 1 = 14, Model 2 = 22
Choice: B
Reason:
1. Appropriate conceptual classes: Model 2 covers the required domain much more completely, especially around experiments, compounds, toxicity, cohorts, protocols, and regulatory/publication concerns.
2. Associations/multiplicities: Model 2 captures the main end-to-end workflow much better, while Model 1 leaves most of the required domain graph unmodeled.
3. Rejected or checked issues: I did not penalize Model 2 for using primitive aliases like `int`/`double`, and I ignored the end-of-line PlantUML comments and opposite-direction association style per the instructions.
4. Overall judgment: Model 2 is clearly the stronger UML domain model and better matches the requirement across class coverage, relationships, attributes, and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</si>
  <si>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</si>
  <si>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domain coverage: Model 1 = 2, Model 2 = 5; Evidence: Model 1 covers only a subset of the requirement with `Researcher`, `Project`, `Experiment`, `Result`, `Compound`, `DrugCandidate`, `TargetProtein`, `SimulationModel`, `ClinicalTrial`, `Protocol`, and `Report`, but it does not model key required concepts such as `ChemicalLibrary`, `DosageRegimen`, `ToxicityProfile`, `SafetyAssessment`, `AdverseEvent`, `PublicationRecord`, `AssayProtocol`, `PharmacokineticStudy`, `RegulatoryAgency`, `StudyCohort`, or `Institution`. Model 2 explicitly includes those missing domain concepts through `Institution`, `ResearchProject`, `PublicationRecord`, `LaboratoryExperiment`, `QuantitativeResult`, `ExperimentLog`, `StatisticalAnalysis`, `DataValidator`, `ChemicalLibrary`, `DosageRegimen`, `ToxicityProfile`, `AdverseEvent`, `SafetyAssessment`, `StudyCohort`, `AssayProtocol`, `PharmacokineticStudy`, `RegulatoryAgency`, and `CompoundReport`.
2. Relationship and cardinality fidelity: Model 1 = 2, Model 2 = 5; Evidence: Model 1 has only coarse links like `Researcher -- Project`, `Project o-- Experiment`, `Experiment o-- Result`, `Compound o-- DrugCandidate`, `SimulationModel -- TargetProtein`, and `ClinicalTrial o-- DrugCandidate`, but it omits required relationship structure such as projects encompassing clinical trials, cohorts focusing on targets, assays requiring validators, and candidates being reviewed by agencies. Model 2 states most of the required relationships with explicit multiplicities and roles, including `ResearchProject "1" --&gt; "*" LaboratoryExperiment`, `ResearchProject "1" --&gt; "*" ClinicalTrial`, `ResearchProject "1" --&gt; "*" PublicationRecord`, `ClinicalTrial "1" --&gt; "*" StudyCohort`, `StudyCohort "*" --&gt; "1" TargetProtein`, `StudyCohort "*" --&gt; "1" AssayProtocol`, `AssayProtocol "*" --&gt; "1" DataValidator`, and `SimulationModel "*" --&gt; "1" MolecularCompound : simulates`.
3. Constraint fidelity and absence of hallucination: Model 1 = 2, Model 2 = 5; Evidence: Model 1 collapses several required ideas into generic placeholders like `Result` carrying `meanValue`, `timestamp`, and `log`, plus a generic `Protocol` and `Report`, so it only loosely maps to the required analysis/log/report workflow. Model 2 adds refinements that stay close to the requirement, such as `DrugCandidate` with `isValidated` and `validationDate`, `SimulationModel` with `status`, `solventInclusion`, and `forceFieldConfig`, and `AdverseEvent` with `category`, `patientNotes`, `severityLevel`, and `isLifeThreatening`, while also separating `StatisticalAnalysis`, `ExperimentLog`, and `BindingAffinity` into distinct concepts.
4. Naming and attribute alignment: Model 1 = 2, Model 2 = 5; Evidence: Model 1 uses broad names like `Experiment`, `Result`, `Protocol`, `Report`, and `Interaction`, which only partially express the required roles, though `CompoundType` does capture the molecule classifications. Model 2 uses names that closely mirror the requirement, including `MolecularCompound`, `DrugCandidate`, `ToxicityProfile`, `SafetyAssessment`, `BindingAffinity`, `StudyCohort`, `AssayProtocol`, `PharmacokineticStudy`, `RegulatoryAgency`, and `CompoundReport`, along with aligned attributes such as `weight`, `chemicalFormula`, `amount`, `frequency`, `unit`, `sequence`, `sequenceId`, and `validationDate`.
Total: Model 1 = 8, Model 2 = 20
Choice: B
Reason:
1. Model 2 covers substantially more of the required domain model, including libraries, dosage, toxicity, safety assessment, adverse events, binding affinity, study cohorts, assay protocols, pharmacokinetic studies, agencies, and publication records, while Model 1 leaves most of those out.
2. Model 2 also captures the required relationships and workflow structure much more faithfully, especially project-to-experiment/trial/publication links, cohort-to-target/protocol links, and assay-to-validator links.
3. Rejected or checked issues: I did not penalize Model 2 for refinements like `ResearchProject` vs `Project` or `MolecularCompound` vs `Compound`, since those are direct semantic clarifications. I also did not use association style differences or primitive type spellings as negative evidence.
4. Overall judgment: Model 2 is the better UML fit by a wide margin because it is much closer to the requirement's full end-to-end scientific workflow and contains far fewer missing core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</si>
  <si>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</si>
  <si>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each criterion separately and will score them on semantic coverage, structure, and realism rather than on notation style.
```result
Scores:
1. Cohesion and Decoupling: Model 1 = 2, Model 2 = 5; Evidence: Model 1 collapses several domain concepts into generic fields, e.g. `DrugCandidate` has `toxicityProfile: String` and `dosageRegimen: String`, and `Result` mixes `meanValue`, `timestamp`, and `log` in one class. Model 2 separates these into focused classes like `DosageRegimen`, `ToxicityProfile`, `SafetyAssessment`, `AdverseEvent`, `QuantitativeResult`, and `ExperimentLog`, which is much more cohesive and less coupled.
2. Complexity: Model 1 = 2, Model 2 = 4; Evidence: Model 1 has a small set of broad classes (`Researcher`, `Project`, `Experiment`, `DrugCandidate`, `ClinicalTrial`) with many requirements flattened into attributes, which is under-complex for the domain breadth. Model 2 uses many more domain-specific classes and enums (`LaboratoryExperiment`, `ChemicalLibrary`, `BindingAffinity`, `StudyCohort`, `AssayProtocol`, `PharmacokineticStudy`, `RegulatoryAgency`, `StudyType`, `ModelStatus`), giving a more balanced and realistic decomposition for the requirement, though it is somewhat heavier.
3. Practicability: Model 1 = 2, Model 2 = 5; Evidence: Model 1 leaves many behaviors and relationships vague or implicit, such as `Validator -- Experiment`, `Compound o-- DrugCandidate`, and `SimulationModel -- TargetProtein`, with no explicit support for validation status, safety assessment, publication records, or detailed cohort/protocol handling. Model 2 provides clearer operational structure with explicit classes and links for `DataValidator`, `StatisticalAnalysis`, `SafetyAssessment`, `PublicationRecord`, `CompoundReport`, `RegulatoryAgency`, `StudyCohort`, and `AssayProtocol`, making it much more readable and testable in practice.
Total: Model 1 = 6, Model 2 = 14
Choice: B
Reason:
1. Cohesion and Decoupling: Model 2 is better because it models separate responsibilities explicitly (`DosageRegimen`, `ToxicityProfile`, `SafetyAssessment`, `AdverseEvent`, `ExperimentLog`) instead of packing unrelated concerns into string attributes like Model 1 does.
2. Complexity: Model 2 better matches the requirement’s breadth with a richer but still domain-relevant class structure; Model 1 is too flattened for an end-to-end discovery platform.
3. Practicability: Model 2 is more usable for implementation and testing because it exposes the key workflows and entities directly, while Model 1 leaves too much semantic work hidden inside generic fields.
4. Rejected or checked issues: I did not use association arrow direction, `*` vs `0..*`, lowercase primitive aliases, or abstractness as scoring factors, since those are forbidden or semantically equivalent under the instructions.
5. Overall judgment: Model 2 is clearly stronger across all three criteria because it is more modular, more faithful to the domain, and more workable as a real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</si>
  <si>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</si>
  <si>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some core ideas like `Researcher`, `Project`, `Experiment`, `DrugCandidate`, and `TargetProtein`, but it uses generic stand-ins such as `Result`, `Protocol`, and `Report` and omits major domain concepts like `Institution`, `ChemicalLibrary`, `SafetyAssessment`, `AdverseEvent`, `BindingAffinity`, `StudyCohort`, `AssayProtocol`, `PharmacokineticStudy`, and `RegulatoryAgency`. Model 2 covers the domain much more completely with `Institution`, `ResearchProject`, `LaboratoryExperiment`, `QuantitativeResult`, `ExperimentLog`, `StatisticalAnalysis`, `DataValidator`, `MolecularCompound`, `ChemicalLibrary`, `ToxicityProfile`, `AdverseEvent`, `SafetyAssessment`, `BindingAffinity`, `StudyCohort`, `AssayProtocol`, `PharmacokineticStudy`, and `RegulatoryAgency`.
2. Associations/Multiplicities between classes for domain reasoning: Model 1 = 2, Model 2 = 4; Evidence: Model 1 has only a few broad links like `Project o-- Experiment`, `Experiment o-- Result`, `ClinicalTrial o-- DrugCandidate`, and `DrugCandidate -- Interaction`, but it misses many required relationships such as project-to-publication, cohort-to-protocol, safety assessment links, and explicit multiplicities. Model 2 expresses most required relationships explicitly, e.g. `ResearchProject "1" --&gt; "*" LaboratoryExperiment`, `ResearchProject "1" --&gt; "*" ClinicalTrial`, `LaboratoryExperiment "1" --&gt; "*" QuantitativeResult`, `DrugCandidate "*" --&gt; "*" TargetProtein`, `ClinicalTrial "1" --&gt; "*" StudyCohort`, `StudyCohort "*" --&gt; "1" AssayProtocol`, and `AssayProtocol "*" --&gt; "1" DataValidator`.
3. Model attributes with appropriate data types: Model 1 = 2, Model 2 = 4; Evidence: Model 1’s attributes are mostly coarse, such as `DrugCandidate.developmentStage: String`, `dosageRegimen: String`, and `toxicityProfile: String`, while important structured fields like dosage amount/frequency/unit, validation status/date, adverse-event severity, and simulation settings are not modeled. Model 2 has much richer and more appropriate attributes like `DosageRegimen(amount, frequency, unit)`, `DrugCandidate(isValidated, validationDate)`, `ToxicityProfile(isCarcinogenic)`, `AdverseEvent(category, patientNotes, severityLevel, isLifeThreatening)`, `SimulationModel(solventInclusion, forceFieldConfig, score)`, and `BindingAffinity(constant, unit)`.
4. Consistencies of Terminology with given context: Model 1 = 3, Model 2 = 5; Evidence: Model 1 repeatedly uses generic or softened terms such as `Project`, `Experiment`, `Result`, `Protocol`, `Report`, and `Compound`, which only partially match the requirement’s domain language. Model 2 tracks the wording closely with `ResearchProject`, `LaboratoryExperiment`, `QuantitativeResult`, `ExperimentLog`, `DataValidator`, `MolecularCompound`, `ChemicalLibrary`, `AssayProtocol`, `PharmacokineticStudy`, `CompoundReport`, and `RegulatoryAgency`.
5. Adherence of UML class diagram standards: Model 1 = 4, Model 2 = 5; Evidence: Both are valid PlantUML class diagrams with standard class, enum, inheritance, and association syntax. Model 1 is understandable but sparse, using mostly plain associations without multiplicities or inheritance. Model 2 stays within UML/PlantUML conventions while also using inheritance (`MolecularCompound &lt;|-- SmallMolecule`, etc.) and explicit multiplicities, making the diagram more complete and still syntactically sound.
Total: Model 1 = 14, Model 2 = 23
Choice: B
Reason:
1. Appropriate conceptual classes: Model 2 covers the required domain far more completely, while Model 1 leans on generic placeholders like `Result`, `Protocol`, and `Report`.
2. Associations/multiplicities: Model 2 expresses the project, experiment, trial, cohort, protocol, validation, and binding relationships much more fully than Model 1.
3. Attributes: Model 2 models key structured properties such as dosage, validation status, adverse-event details, and simulation parameters; Model 1 leaves many of these as flat strings or omits them.
4. Terminology: Model 2 is consistently aligned with the prompt’s vocabulary; Model 1 is only partially aligned.
5. Rejected or checked issues: I did not penalize either model for association direction style, primitive-type aliases, or optional abstractness. Model 2 is not perfect, but its minor imperfections do not outweigh Model 1’s much larger gaps.
6. Overall judgment: Model 2 is the better UML/domain fit by a clear margin, so the correct choice is B.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</si>
  <si>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</si>
  <si>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</si>
  <si>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</si>
  <si>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batch/specimen/composition/phase modeling: Model 1 = 5, Model 2 = 2; Evidence: Model 1 has `AlloyBatch "1" *-- "1..*" MaterialSpecimen`, `MaterialSpecimen "1" *-- "1..*" ElementComposition`, and `MaterialSpecimen "1" *-- "1..*" PhaseDistribution`, plus `density`, `surfaceFinish`, and phase fraction-related fields. Model 2 has `AlloyBatch { creationDate }`, `MaterialSpecimen { density, surfaceFinish }`, and standalone `ElementComposition` / `PhaseDistribution` classes, but no association tying composition and phase distribution to the specimen.
2. Experiment planning and thermal processing: Model 1 = 5, Model 2 = 3; Evidence: Model 1 explicitly models `ExperimentPlanner --&gt; HeatTreatmentProfile`, `HeatTreatmentProfile *-- ProcessingStep`, `PhaseDiagramCalculator` with `stablePhases` and `equilibriumState`, and `ProcessController` managing `ThermalAnalysisRun` while using `ThermalCycleSimulator` and `SafetyProtocol`, with each run applying a profile. Model 2 has `ExperimentPlanner.generateProfile()`, `HeatTreatmentProfile { processingSteps, isValidated }`, `PhaseDiagramCalculator.identifyStablePhases()/checkEquilibrium()`, and `ThermalAnalysisRun` dependencies to simulator/safety, but it does not surface `ProcessingStep` as a class and the controller-to-simulator/safety links are less direct.
3. Research projects, datasets, spectroscopy, and microstructure analysis: Model 1 = 5, Model 2 = 3; Evidence: Model 1 models `ResearchProject { principalInvestigator, budget }` with `DesignConstraint`, `ExperimentalDataset *-- SpectroscopyData` and `*-- MicrostructureAnalysis`, `SpectroscopyData { wavelength, emissionIntensity, detectedPhase }`, and `MicrostructureAnalysis` correlated to both specimen and spectroscopy while referencing `PhaseDiagramCalculator`. Model 2 includes `ResearchProject { principalInvestigator, budget }`, `ExperimentalDataset`, `SpectroscopyData`, and `MicrostructureAnalysis`, but `ExperimentalDataset` only shows `integrityVerified/filterResults()` and `SpectroscopyData` lacks any phase/composition result, so the analytical chain is thinner.
4. Stress testing and optimization: Model 1 = 5, Model 2 = 2; Evidence: Model 1 has `StressTestRunner --&gt; StressTestRun`, `MaterialSpecimen --&gt; StressTestRun`, `StressTestRun *-- PerformanceMetric`, and `PerformanceMetric --&gt; OptimizationResult`, with `OptimizationResult { convergenceTracked, recommendedComposition }`. Model 2 has `StressTestRunner.performTest()`, `PerformanceMetric { load, incrementStep }`, and `OptimizationResult { convergence }` plus a link to `ElementComposition`, but it omits the explicit specimen-to-test and test-to-metric structure and does not model recommended composition as clearly.
5. Compliance, cost, supplier, QA, and reporting: Model 1 = 5, Model 2 = 3; Evidence: Model 1 includes `DesignConstraint`, `RegulatoryStandard`, `ComplianceArchive *-- BatchRecord`, `BatchRecord` linked to `AlloyBatch` and `RegulatoryStandard`, plus `CostEstimator` with `CostEstimation`, `SupplierNetwork` with `Supplier`, `QualityAssurance` with `QualityAssuranceReview`, and `ReportGenerator` with `SummaryReport`. Model 2 has the same functional areas but mostly as operations/dependencies (`storeRecord()`, `calculateExpenses()`, `findVendors()`, `approveBatch()`, `compileReport()`), so the compliance/reporting workflow is represented more weakly.
Total: Model 1 = 25, Model 2 = 13
Choice: A
Reason:
1. Core structure: Model 1 directly connects batch, specimen, composition, and phase distribution with the right multiplicities; Model 2 leaves composition and phase distribution unlinked from specimens.
2. Process flow: Model 1 models the planner, profile, processing steps, calculator, controller, simulator, and safety protocol as a coherent chain; Model 2 captures the intent but with less explicit structure.
3. Research/analysis: Model 1 provides clearer dataset, spectroscopy, and microstructure relationships, while Model 2 is missing the stronger analytical links.
4. Rejected or checked issues: I did not penalize Model 1 for extra refinement classes like `CostEstimation` or `QualityAssuranceReview`, and I did not use association direction or `*` vs `1..*` differences against either model.
5. Overall judgment: Model 1 is substantially closer to the requirement across the major domain areas and preserves the required class relationships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</si>
  <si>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</si>
  <si>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both diagrams, focusing on the UML semantics and the domain requirements rather than style.
```result
Scores:
1. Cohesion and Decoupling: Model 1 = 4, Model 2 = 3; Evidence: Model 1 splits the domain into focused classes such as `AlloyBatch`, `MaterialSpecimen`, `ElementComposition`, `PhaseDistribution`, `ProcessingStep`, `SafetyProtocol`, `BatchRecord`, and `SummaryReport`, with clear links like `MaterialSpecimen *-- ElementComposition` and `ComplianceArchive *-- BatchRecord`. Model 2 is also modular, but it blurs some responsibilities with generic members like `processingSteps: List`, `chemicalMakeup: Map`, and `format: String`, and several behaviors are collapsed into coarse operations such as `compileReport()` and `approveBatch()`.
2. Complexity: Model 1 = 4, Model 2 = 2; Evidence: Model 1 uses a richer set of classes and intermediate artifacts (`ProcessingStep`, `ThermalAnalysisRun`, `StressTestRun`, `CostEstimation`, `SummaryReport`) that matches the breadth of the requirement. Model 2 is much smaller and omits several of these traceable concepts, so it is simpler but under-models the required system.
3. Practicability: Model 1 = 4, Model 2 = 2; Evidence: Model 1 is easier to implement and test because it exposes concrete entities and ownership/aggregation links like `ResearchProject *-- ExperimentalDataset`, `ProcessController --&gt; ThermalAnalysisRun`, and `ReportGenerator --&gt; SummaryReport`. Model 2 is readable, but less practical for real implementation because key outputs and supporting entities are collapsed into methods or generic attributes instead of explicit UML elements.
Total: Model 1 = 12, Model 2 = 7
Choice: A
Reason:
1. Cohesion and Decoupling: Model 1 keeps most responsibilities in dedicated classes, while Model 2 compresses several domain concepts into generic fields and lists.
2. Complexity: Model 1’s larger graph is warranted by the requirement’s breadth; Model 2 is overly compressed and misses several needed intermediate concepts.
3. Rejected or checked issues: I did not use association-style differences (`--` vs opposite-direction links), primitive-type aliases (`int` vs `Integer`), or `*` vs `0..*` as negatives, per instruction.
4. Overall judgment: Model 1 is the better UML fit because it models the required workflow and artifacts more completely and supports clearer maintenance/testing.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</si>
  <si>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</si>
  <si>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names nearly all required domain concepts directly, including `AlloyBatch`, `MaterialSpecimen`, `ElementComposition`, `PhaseDistribution`, `ExperimentPlanner`, `HeatTreatmentProfile`, `PhaseDiagramCalculator`, `ProcessController`, `ThermalAnalysisRun`, `ResearchProject`, `ExperimentalDataset`, `SpectroscopyData`, `StressTestRunner`, `OptimizationResult`, `ComplianceArchive`, `BatchRecord`, `CostEstimator`, `SupplierNetwork`, `QualityAssurance`, and `ReportGenerator`. Model 2 includes many of the same core classes, but several domain concepts are flattened into generic members or behaviors, such as `ExperimentPlanner { generateProfile() }`, `CostEstimator { calculateExpenses() }`, `ReportGenerator { compileReport() }`, and it omits some clearly useful concept classes present in Model 1 like `ProcessingStep`, `CostEstimation`, `QualityAssuranceReview`, `Supplier`, and `SummaryReport`.
2. Associations/Multiplicities between classes for domain reasoning: Model 1 = 4, Model 2 = 3; Evidence: Model 1 explicitly captures many required structural links with multiplicities, such as `AlloyBatch "1" *-- "1..*" MaterialSpecimen`, `MaterialSpecimen "1" *-- "1..*" PhaseDistribution`, `ResearchProject "1" *-- "1..*" ExperimentalDataset`, `ComplianceArchive "1" *-- "1..*" BatchRecord`, and `ThermalAnalysisRun "*" --&gt; "1" HeatTreatmentProfile`. Model 2 preserves several key links like `AlloyBatch "1" *-- "0..*" MaterialSpecimen`, `ProcessController "1" --&gt; "0..*" ThermalAnalysisRun`, and `ComplianceArchive "1" *-- "0..*" BatchRecord`, but a number of important relationships are represented only as dependencies without structural multiplicity, such as `ExperimentPlanner ..&gt; HeatTreatmentProfile`, `HeatTreatmentProfile ..&gt; PhaseDiagramCalculator`, `MicrostructureAnalysis ..&gt; MaterialSpecimen`, and `ReportGenerator ..&gt; PerformanceMetric`.
3. Model attributes with appropriate data types: Model 1 = 5, Model 2 = 2; Evidence: Model 1 provides concrete typed attributes across the domain, for example `MaterialSpecimen.density: double`, `surfaceFinish: SurfaceFinish`, `ThermalAnalysisRun.peakTemperature: double`, `coolingRate: double`, `ResearchProject.budget: double`, `RegulatoryStandard.effectiveDate: Date`, `BatchRecord.primaryPhase: PhaseType`, and `SummaryReport.format: ReportFormat`. Model 2 has some correct types like `MaterialSpecimen.density: Float`, `HeatTreatmentProfile.quenchingStatus: Boolean`, and `ResearchProject.budget: Decimal`, but many critical attributes are missing or too vague, including no phase-distribution details on `MaterialSpecimen`, only `chemicalMakeup: Map` for `ElementComposition`, `BatchRecord.primaryPhase: String` and `qualityStatus: String`, and several classes such as `ThermalAnalysisRun`, `CostEstimator`, and `SummaryReport` lacking substantive modeled attributes.
4. Consistencies of Terminology with given context: Model 1 = 5, Model 2 = 4; Evidence: Model 1 stays very close to the requirement language with names like `AlloyBatch`, `MaterialSpecimen`, `ElementComposition`, `PhaseDistribution`, `PhaseDiagramCalculator`, `SafetyProtocol`, `DesignConstraint`, `RegulatoryStandard`, and `ComplianceArchive`. Model 2 also uses the right domain vocabulary in the main class names, but it is somewhat less precise in the member-level terminology, using generic forms such as `surfaceFinish: String`, `chemicalMakeup: Map`, `filterResults()`, `correlateData()`, `refinePhases()`, and `format: String` instead of more explicit domain modeling.
5. Adherence of UML class diagram standards: Model 1 = 5, Model 2 = 5; Evidence: Both diagrams use valid PlantUML class-diagram syntax with standard class declarations, enums, attributes, associations, compositions, and dependencies. Model 1 consistently uses class members and association notation such as `*--` and `--&gt;`; Model 2 also uses valid class declarations, associations, and dependencies such as `..&gt;`, and its use of operations and `hide empty members` is syntactically valid UML/PlantUML.
Total: Model 1 = 24, Model 2 = 17
Choice: A
Reason:
1. Appropriate conceptual classes: Model 1 covers the domain more completely and with clearer one-to-one concept mapping, while Model 2 relies more on generic behaviors and flattened structures.
2. Associations/Multiplicities: Model 1 expresses more of the required structural reasoning explicitly as class relationships with multiplicities; Model 2 leaves several important links as weaker dependencies.
3. Attributes/data types: Model 1 is substantially stronger because it models the needed properties with specific types across most classes; Model 2 leaves too many core attributes implicit or vague.
4. Terminology: Both are broadly on-topic, but Model 1 is more faithful to the requirement’s vocabulary and domain concepts.
5. Rejected or checked issues: I did not penalize either model for association arrow direction alone, since equivalent association styles are semantically equivalent under the rules.
6. Overall judgment: Model 1 is the better UML domain model because it captures more of the required classes, attributes, and structural relationships with less loss of domain meaning.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</si>
  <si>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</si>
  <si>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criterion by criterion against the requirement, then I’ll total the scores and pick the better match.
```result
Scores:
1. Core batch/specimen/material model: Model 1 = 5, Model 2 = 3; Evidence: Model 1 has `AlloyBatch` with `creationDate` and `AlloyBatch "1" *-- "1..*" MaterialSpecimen`, while `MaterialSpecimen` includes `density`, `surfaceFinish`, `grainStructure`, `defectAnnotation`, plus `ElementComposition` and `PhaseDistribution` compositions. Model 2 has `AlloyBatch` with `creationDate`, `MaterialSpecimen` with `density` and `surfaceFinish`, and `MaterialSpecimen -- ElementComposition` / `MaterialSpecimen -- PhaseDistribution`, but `ElementComposition` is empty and grain structure / defect annotation are not modeled.
2. Planning and heat-treatment profiles: Model 1 = 5, Model 2 = 2; Evidence: Model 1 includes `ExperimentPlanner` generating `HeatTreatmentProfile`, with `name`, `quenchingStatus`, `isValidated`, plus `HeatTreatmentProfile *-- ProcessingStep` and `PhaseDiagramCalculator` with `stablePhases` and `equilibriumState`. Model 2 only has `ExperimentPlanner -- HeatTreatmentProfile`, and `HeatTreatmentProfile` has `name` and `quenchingStatus`, but there is no validation modeling, no processing-step structure, and `PhaseDiagramCalculator` is only linked to `PhaseDistribution`.
3. Process control, thermal simulation, and safety: Model 1 = 5, Model 2 = 2; Evidence: Model 1 has `ProcessController` managing `ThermalAnalysisRun`, using `ThermalCycleSimulator`, and adhering to `SafetyProtocol` with `emergencyStopEnabled` and temperature limits; `ThermalAnalysisRun` also has `currentState`, `peakTemperature`, and `coolingRate`, and applies a `HeatTreatmentProfile`. Model 2 has `ProcessController -- ThermalAnalysisRun`, `ThermalAnalysisRun -- HeatTreatmentProfile`, and `ThermalAnalysisRun -- SafetyProtocol`, but it lacks the simulator relationship and the run-state / peak-temperature / cooling-rate detail.
4. Research projects, datasets, spectroscopy, and microstructure: Model 1 = 5, Model 2 = 2; Evidence: Model 1 includes `ResearchProject` with `principalInvestigator` and `budget`, `ExperimentalDataset` with integrity/filter fields, `SpectroscopyData` with `wavelength`, `emissionIntensity`, and `detectedPhase`, and `MicrostructureAnalysis` correlating `MaterialSpecimen` and `SpectroscopyData` while referencing `PhaseDiagramCalculator`. Model 2 has `ResearchProject` with `budget`, `ExperimentalDataset -- SpectroscopyData`, and `ExperimentalDataset -- MicrostructureAnalysis`, but it omits principal investigator modeling, dataset integrity/filter behavior, and the explicit correlation/reference structure.
5. Stress testing, performance metrics, and optimization: Model 1 = 5, Model 2 = 1; Evidence: Model 1 has `StressTestRunner` performing `StressTestRun`, `StressTestRun` generating `PerformanceMetric`, and `PerformanceMetric` feeding into `OptimizationResult` with `convergenceTracked` and `recommendedComposition`. Model 2 only has `StressTestRunner -- PerformanceMetric` and `OptimizationResult -- ElementComposition`, with no stress-test run class and no clear flow from test execution to metrics to optimization.
6. Compliance archive, standards, and batch records: Model 1 = 5, Model 2 = 2; Evidence: Model 1 includes `DesignConstraint`, `RegulatoryStandard`, `ComplianceArchive`, and `BatchRecord` with `primaryPhase`, `qualityStatus`, associated `AlloyBatch`, and linked `RegulatoryStandard`. Model 2 has `DesignConstraint -- RegulatoryStandard` and `ComplianceArchive -- AlloyBatch`, but it omits `BatchRecord` entirely and does not model the record-level linkage or quality status.
7. Operational support and reporting: Model 1 = 5, Model 2 = 1; Evidence: Model 1 contains `CostEstimator`, `SupplierNetwork`, `QualityAssurance`, and `ReportGenerator`, with `SummaryReport` compiled from `PerformanceMetric` and `QualityAssuranceReview`. Model 2 includes only an isolated `ReportGenerator` class and omits the cost, supplier, and QA modules plus the report inputs/outputs.
Total: Model 1 = 35, Model 2 = 12
Choice: A
Reason:
1. Core coverage: Model 1 models the batch/specimen/material core much more completely, including composition, phase distribution, and defect/grain details; Model 2 only partially covers these.
2. Planning and execution: Model 1 explicitly captures validation, processing steps, phase-diagram reasoning, simulator use, and safety protocols; Model 2 leaves most of that behavior implicit or missing.
3. End-to-end workflow: Model 1 spans research, testing, compliance, operations, and reporting with connected classes; Model 2 has several named classes but lacks the critical relationships and intermediate workflow entities.
4. Rejected or checked issues: I did not penalize opposite-direction vs bidirectional associations, primitive type spelling differences, or optional abstractness, since those are forbidden grounds and semantically equivalent here.
5. Overall judgment: Model 1 is substantially closer to the requirement across nearly every domain slice, while Model 2 is a sparse partial sketch with several major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</si>
  <si>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</si>
  <si>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strictly against the three stated criteria and the domain requirement, then I’ll score each one criterion-by-criterion with concrete UML evidence.
```result
Scores:
1. Cohesion and Decoupling: Model 1 = 4, Model 2 = 2; Evidence: Model 1 keeps major responsibilities separated into focused classes like `AlloyBatch`, `MaterialSpecimen`, `ElementComposition`, `PhaseDistribution`, `HeatTreatmentProfile`, `ProcessController`, `ResearchProject`, `ComplianceArchive`, and `ReportGenerator`, with role-specific links such as `ThermalAnalysisRun --&gt; HeatTreatmentProfile`, `ProcessController --&gt; ThermalCycleSimulator`, and `QualityAssurance --&gt; QualityAssuranceReview`. Model 2 is more compact, but several responsibilities are collapsed or left vague: `PhaseDiagramCalculator` is only linked to `PhaseDistribution` instead of stable-phase/equilibrium behavior, `ExperimentalDataset` has no integrity/filter/output structure, and there is no counterpart to `ThermalCycleSimulator` or `QualityAssuranceReview`.
2. Complexity: Model 1 = 4, Model 2 = 1; Evidence: Model 1 models the requirement’s multi-module domain with many explicit classes and enums, including `PhaseType`, `RunState`, `QualityStatus`, `ReportFormat`, `ProcessingStep`, `PerformanceMetric`, `OptimizationResult`, `Supplier`, and `BatchRecord`, which matches the stated system complexity. Model 2 is much shallower: it has fewer classes, many are empty shells (`ExperimentPlanner`, `PhaseDiagramCalculator`, `OptimizationResult`, `RegulatoryStandard`, `ReportGenerator`), and it omits several required workflow concepts, so the complexity is under-modeled for this requirement.
3. Practicability: Model 1 = 4, Model 2 = 2; Evidence: Model 1 is more implementable and testable because it traces key flows and outputs, such as `ExperimentalDataset *-- SpectroscopyData`, `StressTestRun *-- PerformanceMetric`, `BatchRecord --&gt; RegulatoryStandard`, and `ReportGenerator --&gt; SummaryReport`. Model 2 is readable but not operationally complete: `ResearchProject` lacks principal investigator and constraints, `ComplianceArchive` lacks batch records, and `ReportGenerator` has no report format/output structure. Model 1 still has some generic fields, but it supports real-world development far better than Model 2.
Total: Model 1 = 12, Model 2 = 5
Choice: A
Reason:
1. Cohesion and Decoupling: Model 1 is better because it separates the main subsystem responsibilities more clearly, while Model 2 leaves important behaviors implicit or omitted.
2. Complexity: Model 1 is better because it reflects the requirement’s breadth with appropriate granularity; Model 2 is overly compressed for a system with planning, execution, research, compliance, and reporting workflows.
3. Practicability: Model 1 is better because it provides a more testable and maintainable structure with explicit domain entities and process links.
4. Rejected or checked issues: I did not use association direction style, PlantUML comments, primitive-type spelling (`int` vs `Integer`, `boolean` vs `Boolean`), `*` vs `0..*`, or abstract-marker differences as negative evidence, per instruction.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</si>
  <si>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</si>
  <si>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mapping each diagram directly against every required domain concept and relation, then I’ll score them criterion by criterion with evidence from both models.
```result
Scores:
1. Appropriate conceptual classes aligned with the domain: Model 1 = 5, Model 2 = 3; Evidence: Model 1 includes the full domain set: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captures several core concepts (`AlloyBatch`, `MaterialSpecimen`, `PhaseDistribution`, `HeatTreatmentProfile`, `ResearchProject`, `SpectroscopyData`, `PerformanceMetric`, `DesignConstraint`), but omits or collapses many required domain classes such as `BatchRecord`, `CostEstimator`, `Supplier`, `QualityAssuranceReview`, `SummaryReport`, and does not model the full research/compliance/reporting chain.
2. Associations/Multiplicities between classes for domain reasoning: Model 1 = 4, Model 2 = 2; Evidence: Model 1 explicitly links major workflows, e.g. `AlloyBatch "1" *-- "1..*" MaterialSpecimen`, `MaterialSpecimen "1" *-- "1..*" ElementComposition`, `ExperimentPlanner "1" --&gt; "1..*" HeatTreatmentProfile`, `ProcessController "1" --&gt; "1..*" ThermalAnalysisRun`, `ThermalAnalysisRun "*" --&gt; "1" HeatTreatmentProfile`, `ComplianceArchive "1" *-- "1..*" BatchRecord`, and `ReportGenerator "*" --&gt; "*" PerformanceMetric` / `QualityAssuranceReview`. Model 2 has some correct links like `AlloyBatch "1" -- "*" MaterialSpecimen`, `ResearchProject "1" -- "*" ExperimentalDataset`, and `ThermalAnalysisRun -- HeatTreatmentProfile`, but many required relationships are missing or oversimplified, such as no explicit links for `MicrostructureAnalysis` to specimen/spectroscopy data, no `BatchRecord`/regulatory traceability chain, and no clear `PerformanceMetric -&gt; OptimizationResult` flow.
3. Model attributes with appropriate data types: Model 1 = 4, Model 2 = 2; Evidence: Model 1 models most required attributes with plausible types, e.g. `AlloyBatch.creationDate: Date`, `MaterialSpecimen.density: double`, `MaterialSpecimen.surfaceFinish: SurfaceFinish`, `HeatTreatmentProfile.name: String`, `quenchingStatus: boolean`, `isValidated: boolean`, `SpectroscopyData.wavelength: double`, `emissionIntensity: double`, `ResearchProject.budget: double`, and `BatchRecord.primaryPhase: PhaseType`, `qualityStatus: QualityStatus`. Model 2 only covers a subset, e.g. `AlloyBatch.creationDate: Date`, `MaterialSpecimen.density: float`, `surfaceFinish: String`, `PhaseDistribution` phase fractions, `HeatTreatmentProfile.name/quenchingStatus`, and `DesignConstraint.limitValue/effectiveDate`, while omitting many required attributes such as specimen defect/grain details, validated profile state, research lead information, and batch record fields.
4. Consistencies of Terminology with given context: Model 1 = 5, Model 2 = 4; Evidence: Model 1 consistently uses the domain language from the prompt, including `AlloyBatch`, `MaterialSpecimen`, `PhaseDiagramCalculator`, `ThermalCycleSimulator`, `SafetyProtocol`, `ExperimentalDataset`, `MicrostructureAnalysis`, `OptimizationResult`, `RegulatoryStandard`, and `QualityAssurance`. Model 2 also stays mostly within the same vocabulary, but is less precise in places by flattening concepts like `surfaceFinish: String`, `SafetyProtocol.temperatureLimits: float`, and `PhaseDiagramCalculator -- PhaseDistribution` instead of reflecting the stated stable-phase/equilibrium role more explicitly.
5. Adherence of UML class diagram standards: Model 1 = 5, Model 2 = 5; Evidence: Both models are valid UML/PlantUML class diagrams with declared classes and associations, and both use standard notation that remains interpretable. Model 1 uses enums, classes, multiplicities, and compositions coherently; Model 2 is also syntactically standard, with straightforward class declarations and associations. Neither contains a UML-breaking notation issue that materially harms interpretability.
Total: Model 1 = 23, Model 2 = 16
Choice: A
Reason:
1. Appropriate classes: Model 1 covers essentially the entire requested domain, while Model 2 leaves out several major concepts central to the requirement.
2. Associations: Model 1 expresses the main workflow and traceability links much more completely, especially around batches, experiments, compliance, and reporting.
3. Attributes: Model 1 models most required properties with suitable types; Model 2 is much sparser and misses many required data points.
4. Terminology: Both are domain-aligned, but Model 1 uses the specification’s terminology more faithfully and consistently.
5. Rejected or checked issues: I did not penalize either model for unidirectional vs bidirectional association style, lowercase primitive aliases like `float`/`boolean`, or other equivalent multiplicity spellings.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</si>
  <si>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</si>
  <si>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mapping the requirement into distinct UML criteria so I can score both diagrams independently and cite concrete elements from each model.
```result
Scores:
1. Core material model: Model 1 = 5, Model 2 = 4; Evidence: Model 1 has `AlloyBatch { creationDate }`, `MaterialSpecimen { density, surfaceFinish }`, `ElementComposition { chemicalMakeup }`, `PhaseDistribution { austenite, ferrite, martensite, pearlite }`, plus `AlloyBatch "1" *-- "0..*" MaterialSpecimen` and `MaterialSpecimen "1" *-- "1" ElementComposition/PhaseDistribution`; Model 2 has the same core classes and links (`AlloyBatch -- MaterialSpecimen`, `MaterialSpecimen -- ElementComposition/PhaseDistribution`), but `ElementComposition` is empty and the composition detail is thinner.
2. Planning and thermal execution: Model 1 = 5, Model 2 = 2; Evidence: Model 1 includes `ExperimentPlanner.generateProfile()`, `HeatTreatmentProfile { name, quenchingStatus, processingSteps, isValidated }`, `PhaseDiagramCalculator.identifyStablePhases()/checkEquilibrium()`, `ProcessController.manageRun()`, `ThermalAnalysisRun` applying a profile, plus simulator and safety protocol dependencies; Model 2 has the class shells and `ThermalAnalysisRun -- HeatTreatmentProfile/SafetyProtocol`, but no processing-step, validation, phase-stability, or equilibrium behavior.
3. Research analytics and optimization: Model 1 = 5, Model 2 = 2; Evidence: Model 1 models `ResearchProject { principalInvestigator, budget }`, `ExperimentalDataset { integrityVerified, filterResults() }`, `SpectroscopyData { wavelength, emissionIntensity }`, `MicrostructureAnalysis ..&gt; PhaseDiagramCalculator`, `StressTestRunner ..&gt; MaterialSpecimen`, `PerformanceMetric { load, incrementStep }`, and `OptimizationResult ..&gt; PerformanceMetric / ElementComposition`; Model 2 keeps the class names and some links, but lacks PI/budget detail, dataset integrity/result handling, phase-diagram reference, and most behaviors.
4. Compliance and operational support: Model 1 = 5, Model 2 = 1; Evidence: Model 1 has `DesignConstraint`, `RegulatoryStandard { limitValue, effectiveDate }`, `ComplianceArchive *-- BatchRecord`, `BatchRecord { primaryPhase, qualityStatus }`, plus `CostEstimator`, `SupplierNetwork`, `QualityAssurance`, and `ReportGenerator` links; Model 2 only shows `DesignConstraint -- RegulatoryStandard` and `ComplianceArchive -- AlloyBatch`, while omitting `BatchRecord`, cost/supplier/QA/reporting relations, and the archive's required record structure.
Total: Model 1 = 20, Model 2 = 9
Choice: A
Reason:
1. Core material model: Model 1 is closer because it fully models the batch/specimen/composition/phase structure with explicit containment and richer composition detail, while Model 2 leaves `ElementComposition` empty.
2. Planning and thermal execution: Model 1 captures the planner-to-profile-to-calculator-to-run flow, including validation and safety behavior; Model 2 mostly names the classes without modeling those required behaviors.
3. Research analytics and optimization: Model 1 covers the project, dataset, spectroscopy, microstructure, stress testing, metrics, and optimization chain; Model 2 only captures a partial skeleton.
4. Rejected or checked issues: I did not penalize Model 2 for `*` vs `0..*` or lowercase primitive types, since those are semantically equivalent; I also did not penalize Model 1 for supportive extra fields like `processingSteps` or `isValidated`, because they directly improve requirement coverage.
5. Overall judgment: Model 1 is substantially more faithful to the required domain relationships and workflow, while Model 2 omits several required intermediary classes and misroutes some relationships, especially in compliance and operational support.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</si>
  <si>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</si>
  <si>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two diagrams against the three required criteria separately, then I’ll score each one with concrete UML evidence and pick A/B/C.
```result
Scores:
1. Cohesion and Decoupling: Model 1 = 4, Model 2 = 2; Evidence: Model 1 separates responsibilities into distinct classes such as `ExperimentPlanner`, `PhaseDiagramCalculator`, `ProcessController`, `ThermalAnalysisRun`, `ThermalCycleSimulator`, `SafetyProtocol`, `QualityAssurance`, and `ReportGenerator`, with explicit links like `generates`, `validated by`, `manages`, `applies`, `utilizes`, `adheres to`, `approves`, and `compiles`. Model 2 keeps several of those roles as empty classes and only shows coarse links like `ProcessController -- ThermalAnalysisRun`, `ThermalAnalysisRun -- HeatTreatmentProfile`, and `ComplianceArchive -- AlloyBatch`, so the modular boundaries and workflow dependencies are less explicit.
2. Complexity: Model 1 = 4, Model 2 = 2; Evidence: Both diagrams have roughly the same class count and no inheritance, but Model 1 adds traceable operations like `generateProfile()`, `identifyStablePhases()`, `checkEquilibrium()`, `runAnalysis()`, `performTest()`, `approveBatch()`, and `compileReport()`, which match the requirement’s workflow. Model 2 makes most of the same classes attribute-only or empty, so it is simpler but also under-models the required behavior.
3. Practicability: Model 1 = 4, Model 2 = 2; Evidence: Model 1 is more implementable and testable because it exposes concrete behaviors for planning, simulation, testing, compliance, and reporting, and includes supporting modules like `ExperimentalDataset`, `MicrostructureAnalysis`, `SafetyProtocol`, and `ReportGenerator`. Model 2 is readable but too skeletal for real use: `ThermalAnalysisRun`, `MicrostructureAnalysis`, `QualityAssurance`, and `ReportGenerator` have no operations, and several required pieces such as `BatchRecord`, `CostEstimator`, and `SupplierNetwork` are absent.
Total: Model 1 = 10, Model 2 = 6
Choice: A
Reason:
1. Cohesion and Decoupling: Model 1 is more modular and makes the dependencies in the planning/execution pipeline explicit; Model 2 is thinner but too underspecified to show the same quality of separation.
2. Complexity: Model 1 uses its extra structure for meaningful domain steps, while Model 2’s lower complexity mostly comes from leaving needed behavior implicit.
3. Practicability: Model 1 is easier to implement and test because it includes the operational hooks the requirement describes; Model 2 is too sparse for the full research, compliance, and reporting workflow.
4. Rejected or checked issues: I did not use association arrow style, lowercase primitive types, comments, or abstract-vs-concrete superclass markings in scoring, per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</si>
  <si>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</si>
  <si>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full domain set, including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most of these but omits `BatchRecord` and leaves `ElementComposition` empty.
2. Associations/Multiplicities between classes for domain reasoning: Model 1 = 4, Model 2 = 2; Evidence: Model 1 covers many required links such as `AlloyBatch *-- MaterialSpecimen`, `MaterialSpecimen *-- ElementComposition/PhaseDistribution`, `ExperimentPlanner ..&gt; HeatTreatmentProfile`, `ThermalAnalysisRun --&gt; HeatTreatmentProfile`, `ThermalAnalysisRun ..&gt; ThermalCycleSimulator/SafetyProtocol`, `ResearchProject *-- ExperimentalDataset`, `ExperimentalDataset *-- SpectroscopyData`, `MicrostructureAnalysis ..&gt; MaterialSpecimen/SpectroscopyData/PhaseDiagramCalculator`, `StressTestRunner ..&gt; MaterialSpecimen/PerformanceMetric`, `OptimizationResult ..&gt; PerformanceMetric`, `ComplianceArchive *-- BatchRecord`, `BatchRecord --&gt; AlloyBatch/RegulatoryStandard`, `CostEstimator ..&gt; ElementComposition`, `SupplierNetwork ..&gt; DesignConstraint`, `QualityAssurance ..&gt; AlloyBatch`, and `ReportGenerator ..&gt; PerformanceMetric/QualityAssurance`; Model 2 only has a smaller subset like `AlloyBatch -- MaterialSpecimen`, `MaterialSpecimen -- ElementComposition/PhaseDistribution`, `ExperimentPlanner -- HeatTreatmentProfile`, `ProcessController -- ThermalAnalysisRun`, `ThermalAnalysisRun -- HeatTreatmentProfile/SafetyProtocol`, `ResearchProject -- ExperimentalDataset`, `ExperimentalDataset -- SpectroscopyData/MicrostructureAnalysis`, `StressTestRunner -- PerformanceMetric`, `OptimizationResult -- ElementComposition`, `ComplianceArchive -- AlloyBatch`, and `DesignConstraint -- RegulatoryStandard`, while omitting several required relationships.
3. Model attributes with appropriate data types: Model 1 = 4, Model 2 = 2; Evidence: Model 1 models most key attributes, including `creationDate`, `density`, `surfaceFinish`, `chemicalMakeup`, phase fractions, `name`, `quenchingStatus`, `processingSteps`, `isValidated`, `coolingRate`, `peakTemperature`, `emergencyStop`, `temperatureLimit`, `principalInvestigator`, `budget`, `integrityVerified`, `wavelength`, `emissionIntensity`, `load`, `incrementStep`, `convergence`, `limitValue`, `effectiveDate`, `primaryPhase`, `qualityStatus`, and `format`; Model 2 keeps some core fields like `creationDate`, `density`, `surfaceFinish`, `austeniteFraction`/`ferriteFraction`/etc., `name`, `quenchingStatus`, `temperatureLimits`, `budget`, `wavelength`, `emissionIntensity`, `load`, `incrementSteps`, `limitValue`, and `effectiveDate`, but it omits many required attributes such as `processingSteps`, `isValidated`, `principalInvestigator`, `convergence`, `format`, and all `BatchRecord` fields because that class is absent.
4. Consistencies of Terminology with given context: Model 1 = 5, Model 2 = 4; Evidence: Model 1 stays very close to the requirement’s vocabulary with `AlloyBatch`, `MaterialSpecimen`, `HeatTreatmentProfile`, `PhaseDiagramCalculator`, `ThermalCycleSimulator`, `ComplianceArchive`, `BatchRecord`, `SupplierNetwork`, `QualityAssurance`, and `ReportGenerator`; Model 2 is still broadly aligned but is less faithful in places, such as omitting the `BatchRecord` term entirely and using slightly shifted labels like `temperatureLimits` and `incrementSteps`, while also linking `ComplianceArchive` directly to `AlloyBatch` instead of representing the record-based terminology from the requirement.
5. Adherence of UML class diagram standards: Model 1 = 5, Model 2 = 5; Evidence: both are valid PlantUML class diagrams with proper class declarations and association syntax, and both use standard UML relationship forms such as composition, dependency, and named multiplicities without syntax-breaking constructs.
Total: Model 1 = 23, Model 2 = 17
Choice: A
Reason:
1. Appropriate classes: Model 1 covers the full domain set more completely, while Model 2 is missing `BatchRecord` and is thinner on domain-specific class content.
2. Associations/multiplicities: Model 1 captures far more of the required workflow and data-flow structure, especially around validation, simulation, compliance, and reporting; Model 2 leaves several major links unmodeled.
3. Attributes: Model 1 provides a substantially richer and more requirement-aligned attribute model; Model 2 omits many required fields and leaves some classes under-specified.
4. Terminology: both are mostly aligned, but Model 1 is tighter to the prompt’s wording overall.
5. Rejected or checked issues: I did not penalize either model for primitive type aliases like `float` vs `Float`, or for association direction/style differences where semantics were equivalent.
6. Overall judgment: Model 1 is clearly stronger on domain coverage and relational reasoning,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</si>
  <si>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</si>
  <si>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slice against both diagrams and then scoring them independently, with extra attention to missing versus invented classes.
```result
Scores:
1. Requirement coverage and strict alignment: Model 1 = 2, Model 2 = 4; Evidence: Model 1 includes core pieces like `AlloyBatch`, `MaterialSpecimen`, `PhaseDiagramCalculator`, `ProcessController`, `ResearchProject`, and `ComplianceArchive`, but it omits required concepts such as `ProcessingStep`, `StressTestRun`, `Supplier`, `QualityAssuranceReview`, `CostEstimation`, and `SummaryReport`. Model 2 includes those missing concepts with `ProcessingStep`, `StressTestRun`, `Supplier`, `QualityAssuranceReview`, `CostEstimation`, and `SummaryReport`, though it also adds extra IDs and enums.
2. Conceptual class naming and domain clarity: Model 1 = 3, Model 2 = 4; Evidence: Model 1 uses direct domain names like `PhaseDistribution` with `austenite/ferrite/martensite/pearlite` attributes and `QualityAssurance` with `approveBatch()`, but several concepts are collapsed or thinly represented, such as `StressTestRunner` without a distinct run entity. Model 2 keeps direct domain names and separates concepts more clearly with `ProcessingStep`, `StressTestRun`, `CostEstimation`, `QualityAssuranceReview`, and `SummaryReport`.
3. Associations, multiplicities, and relationship types: Model 1 = 2, Model 2 = 4; Evidence: Model 1 correctly shows `AlloyBatch *-- MaterialSpecimen`, `MaterialSpecimen *-- ElementComposition`, `ThermalAnalysisRun --&gt; HeatTreatmentProfile`, and `ComplianceArchive *-- BatchRecord`, but many required links are missing or only indirect, such as no explicit `ProcessingStep` under `HeatTreatmentProfile` and no explicit `Supplier` or `QualityAssuranceReview` structure. Model 2 models more of the required network: `AlloyBatch *-- MaterialSpecimen`, `HeatTreatmentProfile *-- ProcessingStep`, `ThermalAnalysisRun --&gt; HeatTreatmentProfile`, `ResearchProject *-- ExperimentalDataset`, `BatchRecord --&gt; AlloyBatch` and `RegulatoryStandard`, `SupplierNetwork --&gt; Supplier`, and `ReportGenerator --&gt; SummaryReport`.
4. Attribute and detail appropriateness: Model 1 = 2, Model 2 = 3; Evidence: Model 1 captures key required attributes like `creationDate`, `density`, `surfaceFinish`, `name`, `quenchingStatus`, `wavelength`, `emissionIntensity`, `limitValue`, and `effectiveDate`, but leaves many required details implicit or missing. Model 2 captures more required attributes such as `grainStructure`, `defectAnnotation`, `ProcessingStep.targetTemperature/durationMinutes`, `SafetyProtocol.maxTemperatureLimit/minTemperatureLimit/emergencyStopEnabled`, `SpectroscopyData.detectedPhase`, `PerformanceMetric.loadValue/incrementValue`, and `SummaryReport.format`, though it also adds several non-required IDs and timestamps.
Total: Model 1 = 9, Model 2 = 15
Choice: B
Reason:
1. Requirement coverage: Model 2 covers more of the named functional pieces, especially `ProcessingStep`, `StressTestRun`, `Supplier`, `QualityAssuranceReview`, `CostEstimation`, and `SummaryReport`, which Model 1 lacks.
2. Class and relationship clarity: Model 2 represents planning, execution, testing, QA, and reporting more explicitly, while Model 1 compresses or omits several of those concepts.
3. Rejected or checked issues: I did not use opposite-direction association arrows, comment text, or primitive type spelling differences as negative evidence.
4. Overall judgment: Model 1 is slightly tighter on a few core attributes, but Model 2 is substantially more complete and structurally faithful to the requirement, so it is better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</si>
  <si>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</si>
  <si>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several concepts bundled into broad classes like `HeatTreatmentProfile { processingSteps: List, isValidated }` and `QualityAssurance { inspector, isCertified, approveBatch() }`, while Model 2 splits these into narrower units such as `ProcessingStep`, `StressTestRun`, `CostEstimation`, `QualityAssuranceReview`, and `SummaryReport`. Model 2 also adds a bit more linkage (`ProcessController -&gt; ThermalCycleSimulator`, `CostEstimator -&gt; CostEstimation`), but overall its responsibilities are more separated.
2. Complexity: Model 1 = 2, Model 2 = 4; Evidence: Model 1 has fewer classes and no inheritance, but it collapses many required concepts into generic attributes like `chemicalMakeup: Map`, `qualityStatus: String`, and `format: String`. Model 2 has more classes and enums (`SurfaceFinish`, `PhaseType`, `TestType`, `RunState`, `ReportFormat`) plus workflow classes like `ProcessingStep` and `StressTestRun`; that is structurally larger, but it is also closer to the requirement’s breadth and still has zero inheritance depth.
3. Practicability: Model 1 = 2, Model 2 = 4; Evidence: Model 1 is readable but underspecified for implementation and testing because it uses vague types such as `Map`, `List`, and `String` for key domain facts, and it lacks explicit objects for steps, reviews, reports, and cost estimates. Model 2 is more practical because it uses explicit domain types and containers like `PhaseType`, `QualityStatus`, `QualityAssuranceReview`, `CostEstimation`, and `SummaryReport`, though a few fields remain loose (`stablePhases: String`, `recommendedComposition: String`).
Total: Model 1 = 7, Model 2 = 12
Choice: B
Reason:
1. Cohesion and Decoupling: Model 2 is better factored into focused domain objects, while Model 1 relies more on generic fields and service-like methods inside broader classes.
2. Complexity: Model 2 is larger, but that added structure mostly reflects the requirement’s many distinct domain concepts; Model 1 is simpler partly because it under-models them.
3. Practicability: Model 2 is clearer for implementation and testing because it uses explicit enums and separate result/review/report classes instead of broad string/list/map placeholders.
4. Rejected or checked issues: I did not use opposite-direction vs bidirectional associations, primitive type aliases, equivalent multiplicity spellings, or optional abstractness as negatives.
5. Overall judgment: Model 2 is the stronger UML design because it covers more of the required workflow and domain structure with better modularity and more concrete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</si>
  <si>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</si>
  <si>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covers the main domain nouns (`AlloyBatch`, `MaterialSpecimen`, `PhaseDiagramCalculator`, `ResearchProject`, `ComplianceArchive`) but stops short of explicit workflow/refinement concepts like `ProcessingStep`, `StressTestRun`, `Supplier`, `QualityAssuranceReview`, and `SummaryReport`. Model 2 includes those additional domain classes and also models key domain variants with `SurfaceFinish`, `PhaseType`, `TestType`, `QualityStatus`, and `ReportFormat`.
2. Associations/Multiplicities between classes for domain reasoning: Model 1 = 4, Model 2 = 5; Evidence: Model 1 has the core links (`AlloyBatch *-- MaterialSpecimen`, `MaterialSpecimen *-- ElementComposition`, `ExperimentalDataset *-- SpectroscopyData`, `BatchRecord --&gt; AlloyBatch`, `BatchRecord --&gt; RegulatoryStandard`), but several process relationships are only loose dependencies and the test/report pipeline is less explicit. Model 2 preserves those core links and adds the missing process chain with `HeatTreatmentProfile *-- ProcessingStep`, `StressTestRunner --&gt; StressTestRun`, `StressTestRun *-- PerformanceMetric`, `ReportGenerator --&gt; SummaryReport`, and clearer dataset/analysis links.
3. Model attributes with appropriate data types: Model 1 = 4, Model 2 = 5; Evidence: Model 1 uses reasonable types like `creationDate: Date`, `density: Float`, `budget: Decimal`, and phase fractions in `PhaseDistribution`, but also has vaguer typing such as `chemicalMakeup: Map`, `processingSteps: List`, and several plain `String` fields for domain concepts. Model 2 uses more domain-specific types and enums such as `surfaceFinish: SurfaceFinish`, `phaseType: PhaseType`, `testType: TestType`, `qualityStatus: QualityStatus`, `format: ReportFormat`, and typed numeric/date fields across the diagram.
4. Consistencies of Terminology with given context: Model 1 = 4, Model 2 = 5; Evidence: Model 1 mostly matches the prompt terms directly (`ExperimentPlanner`, `HeatTreatmentProfile`, `PhaseDiagramCalculator`, `DesignConstraint`, `RegulatoryStandard`) but uses broader placeholders like `format: String` and `chemicalMakeup: Map`. Model 2 stays closer to the provided wording with `currentState`, `emergencyStopEnabled`, `principalInvestigator`, `dataIntegrityVerified`, `recommendedComposition`, `QualityAssuranceReview`, and `SummaryReport`, all of which map cleanly to the requirement.
5. Adherence of UML class diagram standards: Model 1 = 5, Model 2 = 5; Evidence: Both are valid PlantUML class diagrams with proper class/enum declarations and legal association/composition/dependency syntax, e.g. Model 1 `AlloyBatch *-- MaterialSpecimen` and `BatchRecord --&gt; RegulatoryStandard`, Model 2 `HeatTreatmentProfile *-- ProcessingStep` and `ReportGenerator --&gt; SummaryReport`.
Total: Model 1 = 21, Model 2 = 25
Choice: B
Reason:
1. Appropriate conceptual classes aligned with the domain: Model 2 captures more of the requirement’s distinct concepts, especially the process and output classes (`ProcessingStep`, `StressTestRun`, `CostEstimation`, `Supplier`, `QualityAssuranceReview`, `SummaryReport`), while Model 1 stays closer to the core nouns and leaves those refinements implicit.
2. Associations/Multiplicities: Model 2 lays out more of the end-to-end workflow, from planning through execution, analysis, compliance, and reporting; Model 1 has the main structural links but a less complete process graph.
3. Rejected or checked issues: I did not penalize Model 2 for reverse-direction associations like `ThermalCycleSimulator --&gt; ThermalAnalysisRun` or for transparent refinements such as `QualityAssuranceReview`, since those are semantically acceptable. I also did not penalize Model 1 for equivalent multiplicity literals or primitive aliases.
4. Overall judgment: Model 2 is better because it more completely and consistently models the domain, with stronger class coverage, richer associations, and more precise typing, while both diagrams remain UML-valid.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</si>
  <si>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</si>
  <si>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mapping the requirement into a set of UML-semantic criteria and comparing both models on each one, then I’ll score them independently and choose the better fit.
```result
Scores:
1. Alloy batch and specimen structure: Model 1 = 2, Model 2 = 4; Evidence: Model 1 has `AlloyBatch { creationDate }`, `AlloyBatch "1" -- "*" MaterialSpecimen`, `MaterialSpecimen { density, surfaceFinish }`, `ElementComposition`, and `PhaseDistribution` with four phase fractions. Model 2 adds `batchId`, `grainsStructure`, `defectAnnotation`, `ElementComposition { elementName, percentage }`, and `PhaseDistribution { phaseType, fraction }`, which better matches the specimen-analysis requirements.
2. Experiment planning and heat treatment profiles: Model 1 = 2, Model 2 = 5; Evidence: Model 1 has `ExperimentPlanner -- HeatTreatmentProfile`, `HeatTreatmentProfile { name, quenchingStatus }`, and `PhaseDiagramCalculator -- PhaseDistribution`, but no validation, processing steps, stable phases, or equilibrium state. Model 2 adds `isValidated`, `ProcessingStep`, `PhaseDiagramCalculator { equilibriumState, stablePhases }`, and the planner/profile associations needed by the requirement.
3. Process control and thermal analysis: Model 1 = 2, Model 2 = 5; Evidence: Model 1 has `ProcessController "1" -- "*" ThermalAnalysisRun`, `ThermalAnalysisRun -- HeatTreatmentProfile`, and `ThermalAnalysisRun -- SafetyProtocol` with `emergencyStop` and `temperatureLimits`, but no simulator, cooling rate, or peak temperature. Model 2 includes `ThermalCycleSimulator`, `ThermalAnalysisRun { peakTemperature, coolingRate, currentState }`, and `SafetyProtocol { maxTemperatureLimit, minTemperatureLimit, emergencyStopEnabled }`, which covers the execution flow much more completely.
4. Research projects, datasets, spectroscopy, microstructure, stress testing, optimization: Model 1 = 2, Model 2 = 5; Evidence: Model 1 has `ResearchProject { budget }`, `ExperimentalDataset`, `SpectroscopyData { wavelength, emissionIntensity }`, `MicrostructureAnalysis`, `StressTestRunner`, `PerformanceMetric { load, incrementSteps }`, and `OptimizationResult -- ElementComposition`, but no principal investigator, design constraints, data integrity/filtering, specimen correlation, detected phases, or run types. Model 2 adds `principalInvestigator`, `DesignConstraint`, `ExperimentalDataset { dataIntegrityVerified, filterCriteria, resultsFiltered }`, `SpectroscopyData { detectedPhase }`, `MicrostructureAnalysis` linked to specimen and spectroscopy, `StressTestRun { testType, maxLoad, incrementStep }`, and `OptimizationResult { convergenceTracked, recommendedComposition }`.
5. Compliance archive and standards: Model 1 = 1, Model 2 = 5; Evidence: Model 1 has `DesignConstraint { limitValue, effectiveDate }` and `DesignConstraint -- RegulatoryStandard`, but `ComplianceArchive -- AlloyBatch` does not model batch records, primary phase, or quality status. Model 2 has `ComplianceArchive *-- BatchRecord`, `BatchRecord { primaryPhase, qualityStatus }`, links to `AlloyBatch` and `RegulatoryStandard`, and both standards classes carry `limitValue` and `effectiveDate`.
6. Cost estimation, supplier network, and quality assurance: Model 1 = 1, Model 2 = 5; Evidence: Model 1 only declares `CostEstimator`, `SupplierNetwork`, and `QualityAssurance` with no semantic links. Model 2 links `CostEstimator` to `AlloyBatch`, `ElementComposition`, and `CostEstimation`, links `SupplierNetwork` to `Supplier` and `DesignConstraint`, and models QA approvals with `QualityAssuranceReview { inspectorCertified, isApproved }` tied to batches.
7. Report generation: Model 1 = 1, Model 2 = 5; Evidence: Model 1 has only a bare `ReportGenerator`. Model 2 adds `SummaryReport { format }` and connects `ReportGenerator` to `SummaryReport`, `PerformanceMetric`, and `QualityAssuranceReview`, matching the requirement that reports compile performance and QA sources in various formats.
Total: Model 1 = 11, Model 2 = 34
Choice: B
Reason:
1. Core domain coverage: Model 2 models the required batch/specimen, planning, execution, research, compliance, support, and reporting workflow much more completely than Model 1.
2. Required relationships and constraints: Model 2 includes the missing associations and multiplicities that Model 1 lacks, especially for batch records, datasets, runs, and QA/reporting links.
3. Rejected or checked issues: I did not use association arrow style, primitive type spellings, or optional abstractness as negative evidence.
4. Overall judgment: Model 1 is mostly a skeleton with a few required nouns, while Model 2 captures the system’s intended end-to-end semantics far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</si>
  <si>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</si>
  <si>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leaves several classes as disconnected shells, such as `CostEstimator`, `SupplierNetwork`, `QualityAssurance`, and `ReportGenerator`, and its links like `PhaseDiagramCalculator -- PhaseDistribution` and `OptimizationResult -- ElementComposition` do not form a clear workflow. Model 2 ties the domain together with focused modules like `ExperimentPlanner -&gt; HeatTreatmentProfile -&gt; ProcessingStep`, `ProcessController -&gt; ThermalAnalysisRun -&gt; ThermalCycleSimulator / SafetyProtocol`, and `ReportGenerator -&gt; SummaryReport / PerformanceMetric / QualityAssuranceReview`.
2. Complexity: Model 1 = 2, Model 2 = 4; Evidence: Model 1 is smaller, but it under-models the requirement by flattening `PhaseDistribution` into four scalar fields and omitting distinct concepts such as `BatchRecord`, `StressTestRun`, `Supplier`, `CostEstimation`, and `QualityAssuranceReview`. Model 2 has more classes and enums, but most are traceable domain concepts or intermediate artifacts rather than arbitrary extras.
3. Practicability: Model 1 = 2, Model 2 = 4; Evidence: Model 1 lacks clear support for validation, dataset integrity checks, compliance archiving, reporting formats, and test execution flow. Model 2 explicitly models `isValidated`, `dataIntegrityVerified`, `currentState`, `BatchRecord`, `QualityAssuranceReview`, `SummaryReport`, and `ReportFormat`, which makes the design much easier to implement and test.
Total: Model 1 = 6, Model 2 = 12
Choice: B
Reason:
1. Cohesion and Decoupling: Model 2 organizes the system into clearer collaborating subsystems, while Model 1 leaves many required concerns isolated or only weakly connected.
2. Complexity: Model 2 uses more classes, but they mostly correspond to real requirement concepts and intermediate workflow artifacts; Model 1 is too compressed for the stated domain.
3. Rejected or checked issues: I did not penalize either model for opposite-direction association styling, primitive type aliases, or comment usage, since those are explicitly forbidden factors.
4. Overall judgment: Model 2 is substantially closer to the requirement and more viable as a real UML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</si>
  <si>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</si>
  <si>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core classes like `AlloyBatch`, `MaterialSpecimen`, `HeatTreatmentProfile`, `ResearchProject`, `SpectroscopyData`, and `ReportGenerator`, but omits several required domain concepts such as `ProcessingStep`, `StressTestRun`, `BatchRecord`, `Supplier`, `QualityAssuranceReview`, and `SummaryReport`. Model 2 includes the full required domain set plus supporting refinements like `ProcessingStep`, `StressTestRun`, `BatchRecord`, `CostEstimation`, `Supplier`, `QualityAssuranceReview`, and `SummaryReport`, all aligned with the problem statement.
2. Associations/Multiplicities between classes for domain reasoning: Model 1 = 2, Model 2 = 5; Evidence: Model 1 captures only a few essential links, such as `AlloyBatch "1" -- "*" MaterialSpecimen`, `ExperimentPlanner "1" -- "*" HeatTreatmentProfile`, and `ResearchProject "1" -- "*" ExperimentalDataset`, but leaves many required relationships vague or missing, including specimen-to-composition/phase distribution detail, microstructure correlation, stress-test flow, batch records, supplier network, and quality/reporting links. Model 2 models the required structure closely with compositions and multiplicities such as `AlloyBatch "1" *-- "1..*" MaterialSpecimen`, `MaterialSpecimen "1" *-- "1..*" ElementComposition`, `ThermalAnalysisRun "*" --&gt; "1" HeatTreatmentProfile`, `ComplianceArchive "1" *-- "1..*" BatchRecord`, and `ReportGenerator "*"` links to both `PerformanceMetric` and `QualityAssuranceReview`.
3. Model attributes with appropriate data types: Model 1 = 3, Model 2 = 5; Evidence: Model 1 correctly types several key attributes like `creationDate: Date`, `density: float`, `surfaceFinish: String`, `name: String`, `quenchingStatus: Boolean`, `wavelength: float`, `emissionIntensity: float`, and `effectiveDate: Date`, but omits many required attributes such as principal investigator, batch record fields, validation status, report format, and detailed project/dataset metadata. Model 2 covers the required attributes much more completely with fields like `creationDate: Date`, `surfaceFinish: SurfaceFinish`, `grainStructure: String`, `defectAnnotation: String`, `quenchingStatus: boolean`, `isValidated: boolean`, `principalInvestigator: String`, `budget: double`, `primaryPhase: PhaseType`, `qualityStatus: QualityStatus`, `limitValue: double`, and `effectiveDate: Date`.
4. Consistencies of Terminology with given context: Model 1 = 4, Model 2 = 5; Evidence: Model 1 uses mostly correct domain terms such as `AlloyBatch`, `MaterialSpecimen`, `PhaseDistribution`, `HeatTreatmentProfile`, `PhaseDiagramCalculator`, `SafetyProtocol`, and `OptimizationResult`, but is more generic in places like `surfaceFinish: String` and lacks several explicit domain terms present in the requirement. Model 2 is terminology-consistent throughout, using the exact domain vocabulary and close refinements such as `PhaseDiagramCalculator`, `ThermalCycleSimulator`, `ExperimentalDataset`, `MicrostructureAnalysis`, `DesignConstraint`, `RegulatoryStandard`, `ComplianceArchive`, and `SummaryReport`, plus enumerations like `PhaseType` and `QualityStatus` that match the described domain.
5. Adherence of UML class diagram standards: Model 1 = 4, Model 2 = 5; Evidence: Model 1 is a readable PlantUML class diagram with valid class declarations and associations, but it stays relatively minimal and leaves several structural relations implicit. Model 2 follows UML/PlantUML conventions more fully with explicit enums, class members, compositions, associations, and multiplicities, and the diagram remains syntactically coherent and semantically clear.
Total: Model 1 = 16, Model 2 = 25
Choice: B
Reason:
1. Domain coverage: Model 2 includes the required core classes and the important supporting workflow entities (`ProcessingStep`, `StressTestRun`, `BatchRecord`, `Supplier`, `QualityAssuranceReview`, `SummaryReport`) that Model 1 omits.
2. Relationship fidelity: Model 2 captures the main process and data flows with explicit multiplicities and compositions, while Model 1 leaves several required links underspecified or missing.
3. Attribute completeness: Model 2 models the requested operational and analytical fields much more completely, including project metadata, validation, phase classification, and reporting fields.
4. Rejected or checked issues: I did not penalize Model 2 for extra helper classes like `ProcessingStep` or `CostEstimation`, since they refine the required domain rather than contradict it; I also did not penalize Model 1 for using common type aliases like `float` or `String`.
5. Overall judgment: Model 2 is materially closer to the requirement across all five criteria,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</si>
  <si>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</si>
  <si>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both diagrams against the requirement in a few separate dimensions: coverage, relationship semantics, and whether either model invents or misses domain concepts.
```result
Scores:
1. Core requirement coverage: Model 1 = 2, Model 2 = 4; Evidence: Model 1 includes many core nouns like `AlloyBatch`, `MaterialSpecimen`, `ExperimentPlanner`, and `ResearchProject`, but omits key required concepts such as `BatchRecord`, explicit compliance record structure, and report inputs. Model 2 covers the same core set and additionally adds `BatchRecord`, `QualityAssurance ..&gt; AlloyBatch`, and `ReportGenerator ..&gt; PerformanceMetric` / `QualityAssurance`.
2. Domain class semantics: Model 1 = 2, Model 2 = 4; Evidence: Model 1’s classes are mostly empty shells (`ExperimentPlanner`, `ProcessController`, `QualityAssurance`, `ReportGenerator`), while Model 2 gives domain-aligned members such as `HeatTreatmentProfile.name`, `quenchingStatus`, `processingSteps`, `isValidated`, `PhaseDiagramCalculator.identifyStablePhases()/checkEquilibrium()`, and `ThermalCycleSimulator.coolingRate/peakTemperature`.
3. Association and multiplicity fidelity: Model 1 = 2, Model 2 = 4; Evidence: Model 1 has broad links like `AlloyBatch "1" -- "*" MaterialSpecimen`, `ResearchProject "1" -- "*" ExperimentalDataset`, but many required links are implicit or missing. Model 2 specifies more exact structures such as `AlloyBatch "1" *-- "0..*" MaterialSpecimen`, `ThermalAnalysisRun "1" --&gt; "1" HeatTreatmentProfile`, `ComplianceArchive "1" *-- "0..*" BatchRecord`, and `BatchRecord "0..*" --&gt; "1" AlloyBatch` / `RegulatoryStandard`.
4. Hallucination control / overreach: Model 1 = 4, Model 2 = 3; Evidence: Model 1 stays sparse, with fewer invented operation-level details. Model 2 adds plausible but extra implementation-like members such as `generateProfile()`, `manageRun()`, `calculateExpenses()`, `inspector`, and `format`, which are not explicitly stated in the requirement, though they generally support it.
5. Clarity and recognizability of model terms: Model 1 = 3, Model 2 = 4; Evidence: Both use recognizable names like `PhaseDistribution`, `SafetyProtocol`, `SupplierNetwork`, but Model 2 is more explicit with `BatchRecord`, `OptimizationResult.convergence`, `StressTestRunner.testType`, and `QualityAssurance.approveBatch()` tied to the stated workflow.
Total: Model 1 = 13, Model 2 = 19
Choice: B
Reason:
1. Core requirement coverage: Model 2 captures more of the required system, especially compliance and reporting, while Model 1 leaves major pieces as unconnected placeholders.
2. Association and multiplicity fidelity: Model 2 encodes the main ownership and flow relations much more concretely, including batch records and run-to-profile linkage.
3. Rejected or checked issues: I did not use association arrow direction style, primitive type aliases, or the presence/absence of PlantUML comments as negative evidence.
4. Overall judgment: Model 2 is closer to the requirement overall, despite some extra detail beyond the prompt; Model 1 is too skeletal and misses several required structural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</si>
  <si>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</si>
  <si>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against both UMLs directly and will score them independently before deciding.
```result
Scores:
1. Cohesion and Decoupling: Model 1 = 2, Model 2 = 4; Evidence: Model 1 has mostly isolated shells like `PhaseDiagramCalculator -- PhaseDistribution`, `ComplianceArchive -- AlloyBatch`, and `ExperimentalDataset -- MicrostructureAnalysis`, with little role separation or behavior around the core workflow. Model 2 separates responsibilities more clearly with `ExperimentPlanner -&gt; HeatTreatmentProfile`, `PhaseDiagramCalculator.identifyStablePhases()/checkEquilibrium()`, `ProcessController.manageRun()`, and `ComplianceArchive *-- BatchRecord`, though it is somewhat more connected.
2. Complexity: Model 1 = 2, Model 2 = 4; Evidence: Model 1 is structurally shallow, with many classes lacking operations and no inheritance, and it omits key workflow concepts such as `BatchRecord` and explicit validation/execution behaviors. Model 2 is larger and also has no inheritance, but its extra classes and methods like `generateProfile()`, `runAnalysis()`, `filterResults()`, and `compileReport()` match the rich domain requirements rather than adding arbitrary complexity.
3. Practicability: Model 1 = 2, Model 2 = 5; Evidence: Model 1 leaves major required behaviors implicit, e.g. `HeatTreatmentProfile` only stores `name` and `quenchingStatus`, while `PhaseDiagramCalculator`, `ProcessController`, `QualityAssurance`, and `ReportGenerator` are empty. Model 2 is much more usable for implementation and testing: it includes `ExperimentPlanner.generateProfile()`, `PhaseDiagramCalculator.identifyStablePhases()/checkEquilibrium()`, `ThermalAnalysisRun.runAnalysis()`, `QualityAssurance.approveBatch()`, `ReportGenerator.compileReport()`, plus `BatchRecord` under `ComplianceArchive`.
Total: Model 1 = 6, Model 2 = 13
Choice: B
Reason:
1. Cohesion and Decoupling: Model 2 gives each major workflow stage its own responsibility and explicitly connects related concepts, while Model 1 leaves several core areas as empty placeholders or overly loose links.
2. Complexity: Model 2’s higher class count is justified by the requirement’s breadth and the need for intermediate process concepts; Model 1 is simpler but under-models the domain.
3. Rejected or checked issues: I did not use association direction style, `*` vs `0..*`, primitive type aliases, comments, or optional abstractness as scoring factors.
4. Overall judgment: Model 2 is better because it is more faithful to the required research, execution, compliance, and reporting workflow while still remaining organized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</si>
  <si>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</si>
  <si>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`AlloyBatch`, `MaterialSpecimen`, `ElementComposition`, `PhaseDiagramCalculator`, `ResearchProject`, `QualityAssurance`, and `ReportGenerator`, but it omits the required `BatchRecord`. Model 2 includes that missing class and also covers the same core domain set, including `MicrostructureAnalysis`, `OptimizationResult`, and `ComplianceArchive`.
2. Associations/Multiplicities between classes for domain reasoning: Model 1 = 3, Model 2 = 5; Evidence: Model 1 correctly links `AlloyBatch "1" -- "*" MaterialSpecimen`, `ResearchProject "1" -- "*" ExperimentalDataset`, and `ProcessController "1" -- "*" ThermalAnalysisRun`, but leaves important requirements under-modeled, such as `ComplianceArchive -- AlloyBatch` instead of archive records, and `StressTestRunner -- PerformanceMetric` without the specimen/test flow. Model 2 captures the key relationships and multiplicities more completely with `AlloyBatch "1" *-- "0..*" MaterialSpecimen`, `ComplianceArchive "1" *-- "0..*" BatchRecord`, `BatchRecord "0..*" --&gt; "1" AlloyBatch`, `BatchRecord "0..*" --&gt; "1" RegulatoryStandard`, `StressTestRunner ..&gt; MaterialSpecimen`, and `OptimizationResult ..&gt; PerformanceMetric`.
3. Model attributes with appropriate data types: Model 1 = 3, Model 2 = 4; Evidence: Model 1 models some required attributes well, such as `creationDate: Date`, `density: float`, `surfaceFinish: String`, `austeniteFraction: float`, `quenchingStatus: Boolean`, and `effectiveDate: Date`, but many required classes remain bare, including `ElementComposition`, `RegulatoryStandard`, `ExperimentalDataset`, and `OptimizationResult`. Model 2 adds much more of the required attribute detail, including `chemicalMakeup: Map`, `processingSteps: List`, `principalInvestigator: String`, `budget: Decimal`, `primaryPhase: String`, `qualityStatus: String`, `wavelength: Float`, and `emissionIntensity: Float`, though `DesignConstraint` still omits `effectiveDate`.
4. Consistencies of Terminology with given context: Model 1 = 4, Model 2 = 5; Evidence: Model 1 mostly uses the right domain vocabulary (`PhaseDistribution`, `ThermalCycleSimulator`, `SpectroscopyData`, `SupplierNetwork`, `QualityAssurance`), but the compliance area is weakened by the missing `BatchRecord` concept. Model 2 stays tightly aligned with the prompt’s terminology and adds direct context terms like `BatchRecord`, `principalInvestigator`, `qualityStatus`, `convergence`, and `ReportGenerator`.
5. Adherence of UML class diagram standards: Model 1 = 2, Model 2 = 5; Evidence: Model 1 presents multiplicities as `\"1\"` and `\"*\"`, which is malformed as written in PlantUML, even though the underlying relationships are understandable. Model 2 uses standard PlantUML class-diagram syntax, valid compositions/dependencies, and readable member declarations such as `AlloyBatch "1" *-- "0..*" MaterialSpecimen` and `ResearchProject "1" *-- "0..*" ExperimentalDataset`.
Total: Model 1 = 16, Model 2 = 24
Choice: B
Reason:
1. Conceptual classes: Model 2 is more complete because it includes `BatchRecord` in addition to the full core set; Model 1 misses that required class.
2. Associations/multiplicities: Model 2 models the compliance, testing, and optimization flows more faithfully, especially `ComplianceArchive -&gt; BatchRecord -&gt; AlloyBatch/RegulatoryStandard`, which Model 1 does not capture.
3. Rejected or checked issues: I did not penalize Model 2 for using dependency arrows like `..&gt;` or for adding operations such as `generateProfile()` and `compileReport()`, since those are valid UML members and semantically fit the prompt. I also did not treat `*` vs `0..*` style differences as negative.
4. Overall judgment: Model 2 is clearly stronger across domain coverage, relationship structure, and UML correctness, while Model 1 has a major notation problem and leaves several required domain links under-modeled.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</si>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</sst>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4">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5"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B</v>
      </c>
      <c r="L2" t="s">
        <v>23</v>
      </c>
      <c r="M2">
        <f t="shared" ref="M2:M65" si="1">IF(OR(K2="",L2=""),"",--(K2=L2))</f>
        <v>0</v>
      </c>
    </row>
    <row r="3" ht="18" customHeight="1" spans="1:13">
      <c r="A3" t="s">
        <v>13</v>
      </c>
      <c r="B3" s="13" t="s">
        <v>14</v>
      </c>
      <c r="C3" t="s">
        <v>15</v>
      </c>
      <c r="D3" t="s">
        <v>24</v>
      </c>
      <c r="E3" t="s">
        <v>17</v>
      </c>
      <c r="F3" s="13" t="s">
        <v>25</v>
      </c>
      <c r="G3" t="s">
        <v>19</v>
      </c>
      <c r="H3" t="s">
        <v>20</v>
      </c>
      <c r="I3" t="s">
        <v>26</v>
      </c>
      <c r="J3" t="s">
        <v>27</v>
      </c>
      <c r="K3" t="str">
        <f t="shared" si="0"/>
        <v>D(平局)</v>
      </c>
      <c r="L3" t="s">
        <v>23</v>
      </c>
      <c r="M3">
        <f t="shared" si="1"/>
        <v>1</v>
      </c>
    </row>
    <row r="4" ht="18" customHeight="1" spans="1:13">
      <c r="A4" t="s">
        <v>13</v>
      </c>
      <c r="B4" s="13" t="s">
        <v>14</v>
      </c>
      <c r="C4" t="s">
        <v>15</v>
      </c>
      <c r="D4" t="s">
        <v>28</v>
      </c>
      <c r="E4" t="s">
        <v>17</v>
      </c>
      <c r="F4" s="13" t="s">
        <v>29</v>
      </c>
      <c r="G4" t="s">
        <v>19</v>
      </c>
      <c r="H4" t="s">
        <v>20</v>
      </c>
      <c r="I4" t="s">
        <v>30</v>
      </c>
      <c r="J4" t="s">
        <v>22</v>
      </c>
      <c r="K4" t="str">
        <f t="shared" si="0"/>
        <v>B</v>
      </c>
      <c r="L4" t="s">
        <v>23</v>
      </c>
      <c r="M4">
        <f t="shared" si="1"/>
        <v>0</v>
      </c>
    </row>
    <row r="5" ht="18" customHeight="1" spans="1:13">
      <c r="A5" t="s">
        <v>13</v>
      </c>
      <c r="B5" s="13" t="s">
        <v>14</v>
      </c>
      <c r="C5" t="s">
        <v>31</v>
      </c>
      <c r="D5" t="s">
        <v>16</v>
      </c>
      <c r="E5" t="s">
        <v>17</v>
      </c>
      <c r="F5" s="13" t="s">
        <v>32</v>
      </c>
      <c r="G5" t="s">
        <v>19</v>
      </c>
      <c r="H5" t="s">
        <v>20</v>
      </c>
      <c r="I5" t="s">
        <v>33</v>
      </c>
      <c r="J5" t="s">
        <v>34</v>
      </c>
      <c r="K5" t="str">
        <f t="shared" si="0"/>
        <v>A</v>
      </c>
      <c r="L5" t="s">
        <v>34</v>
      </c>
      <c r="M5">
        <f t="shared" si="1"/>
        <v>1</v>
      </c>
    </row>
    <row r="6" ht="18" customHeight="1" spans="1:13">
      <c r="A6" t="s">
        <v>13</v>
      </c>
      <c r="B6" s="13" t="s">
        <v>14</v>
      </c>
      <c r="C6" t="s">
        <v>31</v>
      </c>
      <c r="D6" t="s">
        <v>24</v>
      </c>
      <c r="E6" t="s">
        <v>17</v>
      </c>
      <c r="F6" s="13" t="s">
        <v>35</v>
      </c>
      <c r="G6" t="s">
        <v>19</v>
      </c>
      <c r="H6" t="s">
        <v>20</v>
      </c>
      <c r="I6" t="s">
        <v>36</v>
      </c>
      <c r="J6" t="s">
        <v>34</v>
      </c>
      <c r="K6" t="str">
        <f t="shared" si="0"/>
        <v>A</v>
      </c>
      <c r="L6" t="s">
        <v>34</v>
      </c>
      <c r="M6">
        <f t="shared" si="1"/>
        <v>1</v>
      </c>
    </row>
    <row r="7" ht="18" customHeight="1" spans="1:13">
      <c r="A7" t="s">
        <v>13</v>
      </c>
      <c r="B7" s="13" t="s">
        <v>14</v>
      </c>
      <c r="C7" t="s">
        <v>31</v>
      </c>
      <c r="D7" t="s">
        <v>28</v>
      </c>
      <c r="E7" t="s">
        <v>17</v>
      </c>
      <c r="F7" s="13" t="s">
        <v>37</v>
      </c>
      <c r="G7" t="s">
        <v>19</v>
      </c>
      <c r="H7" t="s">
        <v>20</v>
      </c>
      <c r="I7" t="s">
        <v>38</v>
      </c>
      <c r="J7" t="s">
        <v>34</v>
      </c>
      <c r="K7" t="str">
        <f t="shared" si="0"/>
        <v>A</v>
      </c>
      <c r="L7" t="s">
        <v>34</v>
      </c>
      <c r="M7">
        <f t="shared" si="1"/>
        <v>1</v>
      </c>
    </row>
    <row r="8" ht="18" customHeight="1" spans="1:13">
      <c r="A8" t="s">
        <v>13</v>
      </c>
      <c r="B8" s="13" t="s">
        <v>14</v>
      </c>
      <c r="C8" t="s">
        <v>39</v>
      </c>
      <c r="D8" t="s">
        <v>16</v>
      </c>
      <c r="E8" t="s">
        <v>17</v>
      </c>
      <c r="F8" s="13" t="s">
        <v>40</v>
      </c>
      <c r="G8" t="s">
        <v>19</v>
      </c>
      <c r="H8" t="s">
        <v>20</v>
      </c>
      <c r="I8" t="s">
        <v>41</v>
      </c>
      <c r="J8" t="s">
        <v>27</v>
      </c>
      <c r="K8" t="str">
        <f t="shared" si="0"/>
        <v>D(平局)</v>
      </c>
      <c r="L8" t="s">
        <v>22</v>
      </c>
      <c r="M8">
        <f t="shared" si="1"/>
        <v>0</v>
      </c>
    </row>
    <row r="9" ht="18" customHeight="1" spans="1:13">
      <c r="A9" t="s">
        <v>13</v>
      </c>
      <c r="B9" s="13" t="s">
        <v>14</v>
      </c>
      <c r="C9" t="s">
        <v>39</v>
      </c>
      <c r="D9" t="s">
        <v>24</v>
      </c>
      <c r="E9" t="s">
        <v>17</v>
      </c>
      <c r="F9" s="13" t="s">
        <v>42</v>
      </c>
      <c r="G9" t="s">
        <v>19</v>
      </c>
      <c r="H9" t="s">
        <v>20</v>
      </c>
      <c r="I9" t="s">
        <v>43</v>
      </c>
      <c r="J9" t="s">
        <v>34</v>
      </c>
      <c r="K9" t="str">
        <f t="shared" si="0"/>
        <v>B</v>
      </c>
      <c r="L9" t="s">
        <v>22</v>
      </c>
      <c r="M9">
        <f t="shared" si="1"/>
        <v>1</v>
      </c>
    </row>
    <row r="10" ht="18" customHeight="1" spans="1:13">
      <c r="A10" t="s">
        <v>13</v>
      </c>
      <c r="B10" s="13" t="s">
        <v>14</v>
      </c>
      <c r="C10" t="s">
        <v>39</v>
      </c>
      <c r="D10" t="s">
        <v>28</v>
      </c>
      <c r="E10" t="s">
        <v>17</v>
      </c>
      <c r="F10" s="13" t="s">
        <v>44</v>
      </c>
      <c r="G10" t="s">
        <v>19</v>
      </c>
      <c r="H10" t="s">
        <v>20</v>
      </c>
      <c r="I10" t="s">
        <v>45</v>
      </c>
      <c r="J10" t="s">
        <v>34</v>
      </c>
      <c r="K10" t="str">
        <f t="shared" si="0"/>
        <v>B</v>
      </c>
      <c r="L10" t="s">
        <v>22</v>
      </c>
      <c r="M10">
        <f t="shared" si="1"/>
        <v>1</v>
      </c>
    </row>
    <row r="11" ht="18" customHeight="1" spans="1:13">
      <c r="A11" t="s">
        <v>13</v>
      </c>
      <c r="B11" s="13" t="s">
        <v>14</v>
      </c>
      <c r="C11" t="s">
        <v>15</v>
      </c>
      <c r="D11" t="s">
        <v>16</v>
      </c>
      <c r="E11" t="s">
        <v>46</v>
      </c>
      <c r="F11" s="13" t="s">
        <v>47</v>
      </c>
      <c r="G11" t="s">
        <v>19</v>
      </c>
      <c r="H11" t="s">
        <v>20</v>
      </c>
      <c r="I11" t="s">
        <v>48</v>
      </c>
      <c r="J11" t="s">
        <v>34</v>
      </c>
      <c r="K11" t="str">
        <f t="shared" si="0"/>
        <v>B</v>
      </c>
      <c r="L11" t="s">
        <v>23</v>
      </c>
      <c r="M11">
        <f t="shared" si="1"/>
        <v>0</v>
      </c>
    </row>
    <row r="12" ht="18" customHeight="1" spans="1:13">
      <c r="A12" t="s">
        <v>13</v>
      </c>
      <c r="B12" s="13" t="s">
        <v>14</v>
      </c>
      <c r="C12" t="s">
        <v>15</v>
      </c>
      <c r="D12" t="s">
        <v>24</v>
      </c>
      <c r="E12" t="s">
        <v>46</v>
      </c>
      <c r="F12" s="13" t="s">
        <v>49</v>
      </c>
      <c r="G12" t="s">
        <v>19</v>
      </c>
      <c r="H12" t="s">
        <v>20</v>
      </c>
      <c r="I12" t="s">
        <v>50</v>
      </c>
      <c r="J12" t="s">
        <v>34</v>
      </c>
      <c r="K12" t="str">
        <f t="shared" si="0"/>
        <v>B</v>
      </c>
      <c r="L12" t="s">
        <v>23</v>
      </c>
      <c r="M12">
        <f t="shared" si="1"/>
        <v>0</v>
      </c>
    </row>
    <row r="13" ht="18" customHeight="1" spans="1:13">
      <c r="A13" t="s">
        <v>13</v>
      </c>
      <c r="B13" s="13" t="s">
        <v>14</v>
      </c>
      <c r="C13" t="s">
        <v>15</v>
      </c>
      <c r="D13" t="s">
        <v>28</v>
      </c>
      <c r="E13" t="s">
        <v>46</v>
      </c>
      <c r="F13" s="13" t="s">
        <v>51</v>
      </c>
      <c r="G13" t="s">
        <v>19</v>
      </c>
      <c r="H13" t="s">
        <v>20</v>
      </c>
      <c r="I13" t="s">
        <v>52</v>
      </c>
      <c r="J13" t="s">
        <v>34</v>
      </c>
      <c r="K13" t="str">
        <f t="shared" si="0"/>
        <v>B</v>
      </c>
      <c r="L13" t="s">
        <v>23</v>
      </c>
      <c r="M13">
        <f t="shared" si="1"/>
        <v>0</v>
      </c>
    </row>
    <row r="14" ht="18" customHeight="1" spans="1:13">
      <c r="A14" t="s">
        <v>13</v>
      </c>
      <c r="B14" s="13" t="s">
        <v>14</v>
      </c>
      <c r="C14" t="s">
        <v>31</v>
      </c>
      <c r="D14" t="s">
        <v>16</v>
      </c>
      <c r="E14" t="s">
        <v>46</v>
      </c>
      <c r="F14" s="13" t="s">
        <v>53</v>
      </c>
      <c r="G14" t="s">
        <v>19</v>
      </c>
      <c r="H14" t="s">
        <v>20</v>
      </c>
      <c r="I14" t="s">
        <v>54</v>
      </c>
      <c r="J14" t="s">
        <v>22</v>
      </c>
      <c r="K14" t="str">
        <f t="shared" si="0"/>
        <v>A</v>
      </c>
      <c r="L14" t="s">
        <v>34</v>
      </c>
      <c r="M14">
        <f t="shared" si="1"/>
        <v>1</v>
      </c>
    </row>
    <row r="15" ht="18" customHeight="1" spans="1:13">
      <c r="A15" t="s">
        <v>13</v>
      </c>
      <c r="B15" s="13" t="s">
        <v>14</v>
      </c>
      <c r="C15" t="s">
        <v>31</v>
      </c>
      <c r="D15" t="s">
        <v>24</v>
      </c>
      <c r="E15" t="s">
        <v>46</v>
      </c>
      <c r="F15" s="13" t="s">
        <v>55</v>
      </c>
      <c r="G15" t="s">
        <v>19</v>
      </c>
      <c r="H15" t="s">
        <v>20</v>
      </c>
      <c r="I15" t="s">
        <v>56</v>
      </c>
      <c r="J15" t="s">
        <v>34</v>
      </c>
      <c r="K15" t="str">
        <f t="shared" si="0"/>
        <v>C</v>
      </c>
      <c r="L15" t="s">
        <v>34</v>
      </c>
      <c r="M15">
        <f t="shared" si="1"/>
        <v>0</v>
      </c>
    </row>
    <row r="16" ht="18" customHeight="1" spans="1:13">
      <c r="A16" t="s">
        <v>13</v>
      </c>
      <c r="B16" s="13" t="s">
        <v>14</v>
      </c>
      <c r="C16" t="s">
        <v>31</v>
      </c>
      <c r="D16" t="s">
        <v>28</v>
      </c>
      <c r="E16" t="s">
        <v>46</v>
      </c>
      <c r="F16" s="13" t="s">
        <v>57</v>
      </c>
      <c r="G16" t="s">
        <v>19</v>
      </c>
      <c r="H16" t="s">
        <v>20</v>
      </c>
      <c r="I16" t="s">
        <v>58</v>
      </c>
      <c r="J16" t="s">
        <v>22</v>
      </c>
      <c r="K16" t="str">
        <f t="shared" si="0"/>
        <v>A</v>
      </c>
      <c r="L16" t="s">
        <v>34</v>
      </c>
      <c r="M16">
        <f t="shared" si="1"/>
        <v>1</v>
      </c>
    </row>
    <row r="17" ht="18" customHeight="1" spans="1:13">
      <c r="A17" t="s">
        <v>13</v>
      </c>
      <c r="B17" s="13" t="s">
        <v>14</v>
      </c>
      <c r="C17" t="s">
        <v>39</v>
      </c>
      <c r="D17" t="s">
        <v>16</v>
      </c>
      <c r="E17" t="s">
        <v>46</v>
      </c>
      <c r="F17" s="13" t="s">
        <v>59</v>
      </c>
      <c r="G17" t="s">
        <v>19</v>
      </c>
      <c r="H17" t="s">
        <v>20</v>
      </c>
      <c r="I17" t="s">
        <v>60</v>
      </c>
      <c r="J17" t="s">
        <v>22</v>
      </c>
      <c r="K17" t="str">
        <f t="shared" si="0"/>
        <v>B</v>
      </c>
      <c r="L17" t="s">
        <v>22</v>
      </c>
      <c r="M17">
        <f t="shared" si="1"/>
        <v>1</v>
      </c>
    </row>
    <row r="18" ht="18" customHeight="1" spans="1:13">
      <c r="A18" t="s">
        <v>13</v>
      </c>
      <c r="B18" s="13" t="s">
        <v>14</v>
      </c>
      <c r="C18" t="s">
        <v>39</v>
      </c>
      <c r="D18" t="s">
        <v>24</v>
      </c>
      <c r="E18" t="s">
        <v>46</v>
      </c>
      <c r="F18" s="13" t="s">
        <v>61</v>
      </c>
      <c r="G18" t="s">
        <v>19</v>
      </c>
      <c r="H18" t="s">
        <v>20</v>
      </c>
      <c r="I18" t="s">
        <v>62</v>
      </c>
      <c r="J18" t="s">
        <v>27</v>
      </c>
      <c r="K18" t="str">
        <f t="shared" si="0"/>
        <v>D(平局)</v>
      </c>
      <c r="L18" t="s">
        <v>22</v>
      </c>
      <c r="M18">
        <f t="shared" si="1"/>
        <v>0</v>
      </c>
    </row>
    <row r="19" ht="18" customHeight="1" spans="1:13">
      <c r="A19" t="s">
        <v>13</v>
      </c>
      <c r="B19" s="13" t="s">
        <v>14</v>
      </c>
      <c r="C19" t="s">
        <v>39</v>
      </c>
      <c r="D19" t="s">
        <v>28</v>
      </c>
      <c r="E19" t="s">
        <v>46</v>
      </c>
      <c r="F19" s="13" t="s">
        <v>63</v>
      </c>
      <c r="G19" t="s">
        <v>19</v>
      </c>
      <c r="H19" t="s">
        <v>20</v>
      </c>
      <c r="I19" t="s">
        <v>64</v>
      </c>
      <c r="J19" t="s">
        <v>22</v>
      </c>
      <c r="K19" t="str">
        <f t="shared" si="0"/>
        <v>B</v>
      </c>
      <c r="L19" t="s">
        <v>22</v>
      </c>
      <c r="M19">
        <f t="shared" si="1"/>
        <v>1</v>
      </c>
    </row>
    <row r="20" ht="18" customHeight="1" spans="1:13">
      <c r="A20" t="s">
        <v>65</v>
      </c>
      <c r="B20" s="13" t="s">
        <v>66</v>
      </c>
      <c r="C20" t="s">
        <v>15</v>
      </c>
      <c r="D20" t="s">
        <v>16</v>
      </c>
      <c r="E20" t="s">
        <v>17</v>
      </c>
      <c r="F20" s="13" t="s">
        <v>67</v>
      </c>
      <c r="G20" t="s">
        <v>19</v>
      </c>
      <c r="H20" t="s">
        <v>20</v>
      </c>
      <c r="I20" t="s">
        <v>68</v>
      </c>
      <c r="J20" t="s">
        <v>34</v>
      </c>
      <c r="K20" t="str">
        <f t="shared" si="0"/>
        <v>A</v>
      </c>
      <c r="L20" t="s">
        <v>34</v>
      </c>
      <c r="M20">
        <f t="shared" si="1"/>
        <v>1</v>
      </c>
    </row>
    <row r="21" ht="18" customHeight="1" spans="1:13">
      <c r="A21" t="s">
        <v>65</v>
      </c>
      <c r="B21" s="13" t="s">
        <v>66</v>
      </c>
      <c r="C21" t="s">
        <v>15</v>
      </c>
      <c r="D21" t="s">
        <v>24</v>
      </c>
      <c r="E21" t="s">
        <v>17</v>
      </c>
      <c r="F21" s="13" t="s">
        <v>69</v>
      </c>
      <c r="G21" t="s">
        <v>19</v>
      </c>
      <c r="H21" t="s">
        <v>20</v>
      </c>
      <c r="I21" t="s">
        <v>70</v>
      </c>
      <c r="J21" t="s">
        <v>34</v>
      </c>
      <c r="K21" t="str">
        <f t="shared" si="0"/>
        <v>A</v>
      </c>
      <c r="L21" t="s">
        <v>34</v>
      </c>
      <c r="M21">
        <f t="shared" si="1"/>
        <v>1</v>
      </c>
    </row>
    <row r="22" ht="18" customHeight="1" spans="1:13">
      <c r="A22" t="s">
        <v>65</v>
      </c>
      <c r="B22" s="13" t="s">
        <v>66</v>
      </c>
      <c r="C22" t="s">
        <v>15</v>
      </c>
      <c r="D22" t="s">
        <v>28</v>
      </c>
      <c r="E22" t="s">
        <v>17</v>
      </c>
      <c r="F22" s="13" t="s">
        <v>71</v>
      </c>
      <c r="G22" t="s">
        <v>19</v>
      </c>
      <c r="H22" t="s">
        <v>20</v>
      </c>
      <c r="I22" t="s">
        <v>72</v>
      </c>
      <c r="J22" t="s">
        <v>34</v>
      </c>
      <c r="K22" t="str">
        <f t="shared" si="0"/>
        <v>A</v>
      </c>
      <c r="L22" t="s">
        <v>34</v>
      </c>
      <c r="M22">
        <f t="shared" si="1"/>
        <v>1</v>
      </c>
    </row>
    <row r="23" ht="18" customHeight="1" spans="1:13">
      <c r="A23" t="s">
        <v>65</v>
      </c>
      <c r="B23" s="13" t="s">
        <v>66</v>
      </c>
      <c r="C23" t="s">
        <v>31</v>
      </c>
      <c r="D23" t="s">
        <v>16</v>
      </c>
      <c r="E23" t="s">
        <v>17</v>
      </c>
      <c r="F23" s="13" t="s">
        <v>73</v>
      </c>
      <c r="G23" t="s">
        <v>19</v>
      </c>
      <c r="H23" t="s">
        <v>20</v>
      </c>
      <c r="I23" t="s">
        <v>74</v>
      </c>
      <c r="J23" t="s">
        <v>34</v>
      </c>
      <c r="K23" t="str">
        <f t="shared" si="0"/>
        <v>A</v>
      </c>
      <c r="L23" t="s">
        <v>34</v>
      </c>
      <c r="M23">
        <f t="shared" si="1"/>
        <v>1</v>
      </c>
    </row>
    <row r="24" ht="18" customHeight="1" spans="1:13">
      <c r="A24" t="s">
        <v>65</v>
      </c>
      <c r="B24" s="13" t="s">
        <v>66</v>
      </c>
      <c r="C24" t="s">
        <v>31</v>
      </c>
      <c r="D24" t="s">
        <v>24</v>
      </c>
      <c r="E24" t="s">
        <v>17</v>
      </c>
      <c r="F24" s="13" t="s">
        <v>75</v>
      </c>
      <c r="G24" t="s">
        <v>19</v>
      </c>
      <c r="H24" t="s">
        <v>20</v>
      </c>
      <c r="I24" t="s">
        <v>76</v>
      </c>
      <c r="J24" t="s">
        <v>34</v>
      </c>
      <c r="K24" t="str">
        <f t="shared" si="0"/>
        <v>A</v>
      </c>
      <c r="L24" t="s">
        <v>34</v>
      </c>
      <c r="M24">
        <f t="shared" si="1"/>
        <v>1</v>
      </c>
    </row>
    <row r="25" ht="18" customHeight="1" spans="1:13">
      <c r="A25" t="s">
        <v>65</v>
      </c>
      <c r="B25" s="13" t="s">
        <v>66</v>
      </c>
      <c r="C25" t="s">
        <v>31</v>
      </c>
      <c r="D25" t="s">
        <v>28</v>
      </c>
      <c r="E25" t="s">
        <v>17</v>
      </c>
      <c r="F25" s="13" t="s">
        <v>77</v>
      </c>
      <c r="G25" t="s">
        <v>19</v>
      </c>
      <c r="H25" t="s">
        <v>20</v>
      </c>
      <c r="I25" t="s">
        <v>78</v>
      </c>
      <c r="J25" t="s">
        <v>34</v>
      </c>
      <c r="K25" t="str">
        <f t="shared" si="0"/>
        <v>A</v>
      </c>
      <c r="L25" t="s">
        <v>34</v>
      </c>
      <c r="M25">
        <f t="shared" si="1"/>
        <v>1</v>
      </c>
    </row>
    <row r="26" ht="18" customHeight="1" spans="1:13">
      <c r="A26" t="s">
        <v>65</v>
      </c>
      <c r="B26" s="13" t="s">
        <v>66</v>
      </c>
      <c r="C26" t="s">
        <v>39</v>
      </c>
      <c r="D26" t="s">
        <v>16</v>
      </c>
      <c r="E26" t="s">
        <v>17</v>
      </c>
      <c r="F26" s="13" t="s">
        <v>79</v>
      </c>
      <c r="G26" t="s">
        <v>19</v>
      </c>
      <c r="H26" t="s">
        <v>20</v>
      </c>
      <c r="I26" t="s">
        <v>80</v>
      </c>
      <c r="J26" t="s">
        <v>22</v>
      </c>
      <c r="K26" t="str">
        <f t="shared" si="0"/>
        <v>C</v>
      </c>
      <c r="L26" t="s">
        <v>27</v>
      </c>
      <c r="M26">
        <f t="shared" si="1"/>
        <v>1</v>
      </c>
    </row>
    <row r="27" ht="18" customHeight="1" spans="1:13">
      <c r="A27" t="s">
        <v>65</v>
      </c>
      <c r="B27" s="13" t="s">
        <v>66</v>
      </c>
      <c r="C27" t="s">
        <v>39</v>
      </c>
      <c r="D27" t="s">
        <v>24</v>
      </c>
      <c r="E27" t="s">
        <v>17</v>
      </c>
      <c r="F27" s="13" t="s">
        <v>81</v>
      </c>
      <c r="G27" t="s">
        <v>19</v>
      </c>
      <c r="H27" t="s">
        <v>20</v>
      </c>
      <c r="I27" t="s">
        <v>82</v>
      </c>
      <c r="J27" t="s">
        <v>22</v>
      </c>
      <c r="K27" t="str">
        <f t="shared" si="0"/>
        <v>C</v>
      </c>
      <c r="L27" t="s">
        <v>27</v>
      </c>
      <c r="M27">
        <f t="shared" si="1"/>
        <v>1</v>
      </c>
    </row>
    <row r="28" ht="18" customHeight="1" spans="1:13">
      <c r="A28" t="s">
        <v>65</v>
      </c>
      <c r="B28" s="13" t="s">
        <v>66</v>
      </c>
      <c r="C28" t="s">
        <v>39</v>
      </c>
      <c r="D28" t="s">
        <v>28</v>
      </c>
      <c r="E28" t="s">
        <v>17</v>
      </c>
      <c r="F28" s="13" t="s">
        <v>83</v>
      </c>
      <c r="G28" t="s">
        <v>19</v>
      </c>
      <c r="H28" t="s">
        <v>20</v>
      </c>
      <c r="I28" t="s">
        <v>84</v>
      </c>
      <c r="J28" t="s">
        <v>22</v>
      </c>
      <c r="K28" t="str">
        <f t="shared" si="0"/>
        <v>C</v>
      </c>
      <c r="L28" t="s">
        <v>27</v>
      </c>
      <c r="M28">
        <f t="shared" si="1"/>
        <v>1</v>
      </c>
    </row>
    <row r="29" ht="18" customHeight="1" spans="1:13">
      <c r="A29" t="s">
        <v>65</v>
      </c>
      <c r="B29" s="13" t="s">
        <v>66</v>
      </c>
      <c r="C29" t="s">
        <v>15</v>
      </c>
      <c r="D29" t="s">
        <v>16</v>
      </c>
      <c r="E29" t="s">
        <v>46</v>
      </c>
      <c r="F29" s="13" t="s">
        <v>85</v>
      </c>
      <c r="G29" t="s">
        <v>19</v>
      </c>
      <c r="H29" t="s">
        <v>20</v>
      </c>
      <c r="I29" t="s">
        <v>86</v>
      </c>
      <c r="J29" t="s">
        <v>22</v>
      </c>
      <c r="K29" t="str">
        <f t="shared" si="0"/>
        <v>A</v>
      </c>
      <c r="L29" t="s">
        <v>34</v>
      </c>
      <c r="M29">
        <f t="shared" si="1"/>
        <v>1</v>
      </c>
    </row>
    <row r="30" ht="18" customHeight="1" spans="1:13">
      <c r="A30" t="s">
        <v>65</v>
      </c>
      <c r="B30" s="13" t="s">
        <v>66</v>
      </c>
      <c r="C30" t="s">
        <v>15</v>
      </c>
      <c r="D30" t="s">
        <v>24</v>
      </c>
      <c r="E30" t="s">
        <v>46</v>
      </c>
      <c r="F30" s="13" t="s">
        <v>87</v>
      </c>
      <c r="G30" t="s">
        <v>19</v>
      </c>
      <c r="H30" t="s">
        <v>20</v>
      </c>
      <c r="I30" t="s">
        <v>88</v>
      </c>
      <c r="J30" t="s">
        <v>22</v>
      </c>
      <c r="K30" t="str">
        <f t="shared" si="0"/>
        <v>A</v>
      </c>
      <c r="L30" t="s">
        <v>34</v>
      </c>
      <c r="M30">
        <f t="shared" si="1"/>
        <v>1</v>
      </c>
    </row>
    <row r="31" ht="18" customHeight="1" spans="1:13">
      <c r="A31" t="s">
        <v>65</v>
      </c>
      <c r="B31" s="13" t="s">
        <v>66</v>
      </c>
      <c r="C31" t="s">
        <v>15</v>
      </c>
      <c r="D31" t="s">
        <v>28</v>
      </c>
      <c r="E31" t="s">
        <v>46</v>
      </c>
      <c r="F31" s="13" t="s">
        <v>89</v>
      </c>
      <c r="G31" t="s">
        <v>19</v>
      </c>
      <c r="H31" t="s">
        <v>20</v>
      </c>
      <c r="I31" t="s">
        <v>90</v>
      </c>
      <c r="J31" t="s">
        <v>22</v>
      </c>
      <c r="K31" t="str">
        <f t="shared" si="0"/>
        <v>A</v>
      </c>
      <c r="L31" t="s">
        <v>34</v>
      </c>
      <c r="M31">
        <f t="shared" si="1"/>
        <v>1</v>
      </c>
    </row>
    <row r="32" ht="18" customHeight="1" spans="1:13">
      <c r="A32" t="s">
        <v>65</v>
      </c>
      <c r="B32" s="13" t="s">
        <v>66</v>
      </c>
      <c r="C32" t="s">
        <v>31</v>
      </c>
      <c r="D32" t="s">
        <v>16</v>
      </c>
      <c r="E32" t="s">
        <v>46</v>
      </c>
      <c r="F32" s="13" t="s">
        <v>91</v>
      </c>
      <c r="G32" t="s">
        <v>19</v>
      </c>
      <c r="H32" t="s">
        <v>20</v>
      </c>
      <c r="I32" t="s">
        <v>92</v>
      </c>
      <c r="J32" t="s">
        <v>22</v>
      </c>
      <c r="K32" t="str">
        <f t="shared" si="0"/>
        <v>A</v>
      </c>
      <c r="L32" t="s">
        <v>34</v>
      </c>
      <c r="M32">
        <f t="shared" si="1"/>
        <v>1</v>
      </c>
    </row>
    <row r="33" ht="18" customHeight="1" spans="1:13">
      <c r="A33" t="s">
        <v>65</v>
      </c>
      <c r="B33" s="13" t="s">
        <v>66</v>
      </c>
      <c r="C33" t="s">
        <v>31</v>
      </c>
      <c r="D33" t="s">
        <v>24</v>
      </c>
      <c r="E33" t="s">
        <v>46</v>
      </c>
      <c r="F33" s="13" t="s">
        <v>93</v>
      </c>
      <c r="G33" t="s">
        <v>19</v>
      </c>
      <c r="H33" t="s">
        <v>20</v>
      </c>
      <c r="I33" t="s">
        <v>94</v>
      </c>
      <c r="J33" t="s">
        <v>22</v>
      </c>
      <c r="K33" t="str">
        <f t="shared" si="0"/>
        <v>A</v>
      </c>
      <c r="L33" t="s">
        <v>34</v>
      </c>
      <c r="M33">
        <f t="shared" si="1"/>
        <v>1</v>
      </c>
    </row>
    <row r="34" ht="18" customHeight="1" spans="1:13">
      <c r="A34" t="s">
        <v>65</v>
      </c>
      <c r="B34" s="13" t="s">
        <v>66</v>
      </c>
      <c r="C34" t="s">
        <v>31</v>
      </c>
      <c r="D34" t="s">
        <v>28</v>
      </c>
      <c r="E34" t="s">
        <v>46</v>
      </c>
      <c r="F34" s="13" t="s">
        <v>95</v>
      </c>
      <c r="G34" t="s">
        <v>19</v>
      </c>
      <c r="H34" t="s">
        <v>20</v>
      </c>
      <c r="I34" t="s">
        <v>96</v>
      </c>
      <c r="J34" t="s">
        <v>22</v>
      </c>
      <c r="K34" t="str">
        <f t="shared" si="0"/>
        <v>A</v>
      </c>
      <c r="L34" t="s">
        <v>34</v>
      </c>
      <c r="M34">
        <f t="shared" si="1"/>
        <v>1</v>
      </c>
    </row>
    <row r="35" ht="18" customHeight="1" spans="1:13">
      <c r="A35" t="s">
        <v>65</v>
      </c>
      <c r="B35" s="13" t="s">
        <v>66</v>
      </c>
      <c r="C35" t="s">
        <v>39</v>
      </c>
      <c r="D35" t="s">
        <v>16</v>
      </c>
      <c r="E35" t="s">
        <v>46</v>
      </c>
      <c r="F35" s="13" t="s">
        <v>97</v>
      </c>
      <c r="G35" t="s">
        <v>19</v>
      </c>
      <c r="H35" t="s">
        <v>20</v>
      </c>
      <c r="I35" t="s">
        <v>98</v>
      </c>
      <c r="J35" t="s">
        <v>34</v>
      </c>
      <c r="K35" t="str">
        <f t="shared" si="0"/>
        <v>C</v>
      </c>
      <c r="L35" t="s">
        <v>27</v>
      </c>
      <c r="M35">
        <f t="shared" si="1"/>
        <v>1</v>
      </c>
    </row>
    <row r="36" ht="18" customHeight="1" spans="1:13">
      <c r="A36" t="s">
        <v>65</v>
      </c>
      <c r="B36" s="13" t="s">
        <v>66</v>
      </c>
      <c r="C36" t="s">
        <v>39</v>
      </c>
      <c r="D36" t="s">
        <v>24</v>
      </c>
      <c r="E36" t="s">
        <v>46</v>
      </c>
      <c r="F36" s="13" t="s">
        <v>99</v>
      </c>
      <c r="G36" t="s">
        <v>19</v>
      </c>
      <c r="H36" t="s">
        <v>20</v>
      </c>
      <c r="I36" t="s">
        <v>100</v>
      </c>
      <c r="J36" t="s">
        <v>34</v>
      </c>
      <c r="K36" t="str">
        <f t="shared" si="0"/>
        <v>C</v>
      </c>
      <c r="L36" t="s">
        <v>27</v>
      </c>
      <c r="M36">
        <f t="shared" si="1"/>
        <v>1</v>
      </c>
    </row>
    <row r="37" ht="18" customHeight="1" spans="1:13">
      <c r="A37" t="s">
        <v>65</v>
      </c>
      <c r="B37" s="13" t="s">
        <v>66</v>
      </c>
      <c r="C37" t="s">
        <v>39</v>
      </c>
      <c r="D37" t="s">
        <v>28</v>
      </c>
      <c r="E37" t="s">
        <v>46</v>
      </c>
      <c r="F37" s="13" t="s">
        <v>101</v>
      </c>
      <c r="G37" t="s">
        <v>19</v>
      </c>
      <c r="H37" t="s">
        <v>20</v>
      </c>
      <c r="I37" t="s">
        <v>102</v>
      </c>
      <c r="J37" t="s">
        <v>34</v>
      </c>
      <c r="K37" t="str">
        <f t="shared" si="0"/>
        <v>C</v>
      </c>
      <c r="L37" t="s">
        <v>27</v>
      </c>
      <c r="M37">
        <f t="shared" si="1"/>
        <v>1</v>
      </c>
    </row>
    <row r="38" ht="18" customHeight="1" spans="1:13">
      <c r="A38" t="s">
        <v>103</v>
      </c>
      <c r="B38" s="13" t="s">
        <v>104</v>
      </c>
      <c r="C38" t="s">
        <v>15</v>
      </c>
      <c r="D38" t="s">
        <v>16</v>
      </c>
      <c r="E38" t="s">
        <v>17</v>
      </c>
      <c r="F38" s="13" t="s">
        <v>105</v>
      </c>
      <c r="G38" t="s">
        <v>19</v>
      </c>
      <c r="H38" t="s">
        <v>20</v>
      </c>
      <c r="I38" t="s">
        <v>106</v>
      </c>
      <c r="J38" t="s">
        <v>34</v>
      </c>
      <c r="K38" t="str">
        <f t="shared" si="0"/>
        <v>A</v>
      </c>
      <c r="L38" t="s">
        <v>34</v>
      </c>
      <c r="M38">
        <f t="shared" si="1"/>
        <v>1</v>
      </c>
    </row>
    <row r="39" ht="18" customHeight="1" spans="1:13">
      <c r="A39" t="s">
        <v>103</v>
      </c>
      <c r="B39" s="13" t="s">
        <v>104</v>
      </c>
      <c r="C39" t="s">
        <v>15</v>
      </c>
      <c r="D39" t="s">
        <v>24</v>
      </c>
      <c r="E39" t="s">
        <v>17</v>
      </c>
      <c r="F39" s="13" t="s">
        <v>107</v>
      </c>
      <c r="G39" t="s">
        <v>19</v>
      </c>
      <c r="H39" t="s">
        <v>20</v>
      </c>
      <c r="I39" t="s">
        <v>108</v>
      </c>
      <c r="J39" t="s">
        <v>34</v>
      </c>
      <c r="K39" t="str">
        <f t="shared" si="0"/>
        <v>A</v>
      </c>
      <c r="L39" t="s">
        <v>34</v>
      </c>
      <c r="M39">
        <f t="shared" si="1"/>
        <v>1</v>
      </c>
    </row>
    <row r="40" ht="18" customHeight="1" spans="1:13">
      <c r="A40" t="s">
        <v>103</v>
      </c>
      <c r="B40" s="13" t="s">
        <v>104</v>
      </c>
      <c r="C40" t="s">
        <v>15</v>
      </c>
      <c r="D40" t="s">
        <v>28</v>
      </c>
      <c r="E40" t="s">
        <v>17</v>
      </c>
      <c r="F40" s="13" t="s">
        <v>109</v>
      </c>
      <c r="G40" t="s">
        <v>19</v>
      </c>
      <c r="H40" t="s">
        <v>20</v>
      </c>
      <c r="I40" t="s">
        <v>110</v>
      </c>
      <c r="J40" t="s">
        <v>27</v>
      </c>
      <c r="K40" t="str">
        <f t="shared" si="0"/>
        <v>D(平局)</v>
      </c>
      <c r="L40" t="s">
        <v>34</v>
      </c>
      <c r="M40">
        <f t="shared" si="1"/>
        <v>0</v>
      </c>
    </row>
    <row r="41" ht="18" customHeight="1" spans="1:13">
      <c r="A41" t="s">
        <v>103</v>
      </c>
      <c r="B41" s="13" t="s">
        <v>104</v>
      </c>
      <c r="C41" t="s">
        <v>31</v>
      </c>
      <c r="D41" t="s">
        <v>16</v>
      </c>
      <c r="E41" t="s">
        <v>17</v>
      </c>
      <c r="F41" s="13" t="s">
        <v>111</v>
      </c>
      <c r="G41" t="s">
        <v>19</v>
      </c>
      <c r="H41" t="s">
        <v>20</v>
      </c>
      <c r="I41" t="s">
        <v>112</v>
      </c>
      <c r="J41" t="s">
        <v>34</v>
      </c>
      <c r="K41" t="str">
        <f t="shared" si="0"/>
        <v>A</v>
      </c>
      <c r="L41" t="s">
        <v>34</v>
      </c>
      <c r="M41">
        <f t="shared" si="1"/>
        <v>1</v>
      </c>
    </row>
    <row r="42" ht="18" customHeight="1" spans="1:13">
      <c r="A42" t="s">
        <v>103</v>
      </c>
      <c r="B42" s="13" t="s">
        <v>104</v>
      </c>
      <c r="C42" t="s">
        <v>31</v>
      </c>
      <c r="D42" t="s">
        <v>24</v>
      </c>
      <c r="E42" t="s">
        <v>17</v>
      </c>
      <c r="F42" s="13" t="s">
        <v>113</v>
      </c>
      <c r="G42" t="s">
        <v>19</v>
      </c>
      <c r="H42" t="s">
        <v>20</v>
      </c>
      <c r="I42" t="s">
        <v>114</v>
      </c>
      <c r="J42" t="s">
        <v>34</v>
      </c>
      <c r="K42" t="str">
        <f t="shared" si="0"/>
        <v>A</v>
      </c>
      <c r="L42" t="s">
        <v>34</v>
      </c>
      <c r="M42">
        <f t="shared" si="1"/>
        <v>1</v>
      </c>
    </row>
    <row r="43" ht="18" customHeight="1" spans="1:13">
      <c r="A43" t="s">
        <v>103</v>
      </c>
      <c r="B43" s="13" t="s">
        <v>104</v>
      </c>
      <c r="C43" t="s">
        <v>31</v>
      </c>
      <c r="D43" t="s">
        <v>28</v>
      </c>
      <c r="E43" t="s">
        <v>17</v>
      </c>
      <c r="F43" s="13" t="s">
        <v>115</v>
      </c>
      <c r="G43" t="s">
        <v>19</v>
      </c>
      <c r="H43" t="s">
        <v>20</v>
      </c>
      <c r="I43" t="s">
        <v>116</v>
      </c>
      <c r="J43" t="s">
        <v>34</v>
      </c>
      <c r="K43" t="str">
        <f t="shared" si="0"/>
        <v>A</v>
      </c>
      <c r="L43" t="s">
        <v>34</v>
      </c>
      <c r="M43">
        <f t="shared" si="1"/>
        <v>1</v>
      </c>
    </row>
    <row r="44" ht="18" customHeight="1" spans="1:13">
      <c r="A44" t="s">
        <v>103</v>
      </c>
      <c r="B44" s="13" t="s">
        <v>104</v>
      </c>
      <c r="C44" t="s">
        <v>39</v>
      </c>
      <c r="D44" t="s">
        <v>16</v>
      </c>
      <c r="E44" t="s">
        <v>17</v>
      </c>
      <c r="F44" s="13" t="s">
        <v>117</v>
      </c>
      <c r="G44" t="s">
        <v>19</v>
      </c>
      <c r="H44" t="s">
        <v>20</v>
      </c>
      <c r="I44" t="s">
        <v>118</v>
      </c>
      <c r="J44" t="s">
        <v>34</v>
      </c>
      <c r="K44" t="str">
        <f t="shared" si="0"/>
        <v>B</v>
      </c>
      <c r="L44" t="s">
        <v>22</v>
      </c>
      <c r="M44">
        <f t="shared" si="1"/>
        <v>1</v>
      </c>
    </row>
    <row r="45" ht="18" customHeight="1" spans="1:13">
      <c r="A45" t="s">
        <v>103</v>
      </c>
      <c r="B45" s="13" t="s">
        <v>104</v>
      </c>
      <c r="C45" t="s">
        <v>39</v>
      </c>
      <c r="D45" t="s">
        <v>24</v>
      </c>
      <c r="E45" t="s">
        <v>17</v>
      </c>
      <c r="F45" s="13" t="s">
        <v>119</v>
      </c>
      <c r="G45" t="s">
        <v>19</v>
      </c>
      <c r="H45" t="s">
        <v>20</v>
      </c>
      <c r="I45" t="s">
        <v>120</v>
      </c>
      <c r="J45" t="s">
        <v>34</v>
      </c>
      <c r="K45" t="str">
        <f t="shared" si="0"/>
        <v>B</v>
      </c>
      <c r="L45" t="s">
        <v>22</v>
      </c>
      <c r="M45">
        <f t="shared" si="1"/>
        <v>1</v>
      </c>
    </row>
    <row r="46" ht="18" customHeight="1" spans="1:13">
      <c r="A46" t="s">
        <v>103</v>
      </c>
      <c r="B46" s="13" t="s">
        <v>104</v>
      </c>
      <c r="C46" t="s">
        <v>39</v>
      </c>
      <c r="D46" t="s">
        <v>28</v>
      </c>
      <c r="E46" t="s">
        <v>17</v>
      </c>
      <c r="F46" s="13" t="s">
        <v>121</v>
      </c>
      <c r="G46" t="s">
        <v>19</v>
      </c>
      <c r="H46" t="s">
        <v>20</v>
      </c>
      <c r="I46" t="s">
        <v>122</v>
      </c>
      <c r="J46" t="s">
        <v>34</v>
      </c>
      <c r="K46" t="str">
        <f t="shared" si="0"/>
        <v>B</v>
      </c>
      <c r="L46" t="s">
        <v>22</v>
      </c>
      <c r="M46">
        <f t="shared" si="1"/>
        <v>1</v>
      </c>
    </row>
    <row r="47" ht="18" customHeight="1" spans="1:13">
      <c r="A47" t="s">
        <v>103</v>
      </c>
      <c r="B47" s="13" t="s">
        <v>104</v>
      </c>
      <c r="C47" t="s">
        <v>15</v>
      </c>
      <c r="D47" t="s">
        <v>16</v>
      </c>
      <c r="E47" t="s">
        <v>46</v>
      </c>
      <c r="F47" s="13" t="s">
        <v>123</v>
      </c>
      <c r="G47" t="s">
        <v>19</v>
      </c>
      <c r="H47" t="s">
        <v>20</v>
      </c>
      <c r="I47" t="s">
        <v>124</v>
      </c>
      <c r="J47" t="s">
        <v>22</v>
      </c>
      <c r="K47" t="str">
        <f t="shared" si="0"/>
        <v>A</v>
      </c>
      <c r="L47" t="s">
        <v>34</v>
      </c>
      <c r="M47">
        <f t="shared" si="1"/>
        <v>1</v>
      </c>
    </row>
    <row r="48" ht="18" customHeight="1" spans="1:13">
      <c r="A48" t="s">
        <v>103</v>
      </c>
      <c r="B48" s="13" t="s">
        <v>104</v>
      </c>
      <c r="C48" t="s">
        <v>15</v>
      </c>
      <c r="D48" t="s">
        <v>24</v>
      </c>
      <c r="E48" t="s">
        <v>46</v>
      </c>
      <c r="F48" s="13" t="s">
        <v>125</v>
      </c>
      <c r="G48" t="s">
        <v>19</v>
      </c>
      <c r="H48" t="s">
        <v>20</v>
      </c>
      <c r="I48" t="s">
        <v>126</v>
      </c>
      <c r="J48" t="s">
        <v>22</v>
      </c>
      <c r="K48" t="str">
        <f t="shared" si="0"/>
        <v>A</v>
      </c>
      <c r="L48" t="s">
        <v>34</v>
      </c>
      <c r="M48">
        <f t="shared" si="1"/>
        <v>1</v>
      </c>
    </row>
    <row r="49" ht="18" customHeight="1" spans="1:13">
      <c r="A49" t="s">
        <v>103</v>
      </c>
      <c r="B49" s="13" t="s">
        <v>104</v>
      </c>
      <c r="C49" t="s">
        <v>15</v>
      </c>
      <c r="D49" t="s">
        <v>28</v>
      </c>
      <c r="E49" t="s">
        <v>46</v>
      </c>
      <c r="F49" s="13" t="s">
        <v>127</v>
      </c>
      <c r="G49" t="s">
        <v>19</v>
      </c>
      <c r="H49" t="s">
        <v>20</v>
      </c>
      <c r="I49" t="s">
        <v>128</v>
      </c>
      <c r="J49" t="s">
        <v>34</v>
      </c>
      <c r="K49" t="str">
        <f t="shared" si="0"/>
        <v>B</v>
      </c>
      <c r="L49" t="s">
        <v>34</v>
      </c>
      <c r="M49">
        <f t="shared" si="1"/>
        <v>0</v>
      </c>
    </row>
    <row r="50" ht="18" customHeight="1" spans="1:13">
      <c r="A50" t="s">
        <v>103</v>
      </c>
      <c r="B50" s="13" t="s">
        <v>104</v>
      </c>
      <c r="C50" t="s">
        <v>31</v>
      </c>
      <c r="D50" t="s">
        <v>16</v>
      </c>
      <c r="E50" t="s">
        <v>46</v>
      </c>
      <c r="F50" s="13" t="s">
        <v>129</v>
      </c>
      <c r="G50" t="s">
        <v>19</v>
      </c>
      <c r="H50" t="s">
        <v>20</v>
      </c>
      <c r="I50" t="s">
        <v>130</v>
      </c>
      <c r="J50" t="s">
        <v>22</v>
      </c>
      <c r="K50" t="str">
        <f t="shared" si="0"/>
        <v>A</v>
      </c>
      <c r="L50" t="s">
        <v>34</v>
      </c>
      <c r="M50">
        <f t="shared" si="1"/>
        <v>1</v>
      </c>
    </row>
    <row r="51" ht="18" customHeight="1" spans="1:13">
      <c r="A51" t="s">
        <v>103</v>
      </c>
      <c r="B51" s="13" t="s">
        <v>104</v>
      </c>
      <c r="C51" t="s">
        <v>31</v>
      </c>
      <c r="D51" t="s">
        <v>24</v>
      </c>
      <c r="E51" t="s">
        <v>46</v>
      </c>
      <c r="F51" s="13" t="s">
        <v>131</v>
      </c>
      <c r="G51" t="s">
        <v>19</v>
      </c>
      <c r="H51" t="s">
        <v>20</v>
      </c>
      <c r="I51" t="s">
        <v>132</v>
      </c>
      <c r="J51" t="s">
        <v>22</v>
      </c>
      <c r="K51" t="str">
        <f t="shared" si="0"/>
        <v>A</v>
      </c>
      <c r="L51" t="s">
        <v>34</v>
      </c>
      <c r="M51">
        <f t="shared" si="1"/>
        <v>1</v>
      </c>
    </row>
    <row r="52" ht="18" customHeight="1" spans="1:13">
      <c r="A52" t="s">
        <v>103</v>
      </c>
      <c r="B52" s="13" t="s">
        <v>104</v>
      </c>
      <c r="C52" t="s">
        <v>31</v>
      </c>
      <c r="D52" t="s">
        <v>28</v>
      </c>
      <c r="E52" t="s">
        <v>46</v>
      </c>
      <c r="F52" s="13" t="s">
        <v>133</v>
      </c>
      <c r="G52" t="s">
        <v>19</v>
      </c>
      <c r="H52" t="s">
        <v>20</v>
      </c>
      <c r="I52" t="s">
        <v>134</v>
      </c>
      <c r="J52" t="s">
        <v>22</v>
      </c>
      <c r="K52" t="str">
        <f t="shared" si="0"/>
        <v>A</v>
      </c>
      <c r="L52" t="s">
        <v>34</v>
      </c>
      <c r="M52">
        <f t="shared" si="1"/>
        <v>1</v>
      </c>
    </row>
    <row r="53" ht="18" customHeight="1" spans="1:13">
      <c r="A53" t="s">
        <v>103</v>
      </c>
      <c r="B53" s="13" t="s">
        <v>104</v>
      </c>
      <c r="C53" t="s">
        <v>39</v>
      </c>
      <c r="D53" t="s">
        <v>16</v>
      </c>
      <c r="E53" t="s">
        <v>46</v>
      </c>
      <c r="F53" s="13" t="s">
        <v>135</v>
      </c>
      <c r="G53" t="s">
        <v>19</v>
      </c>
      <c r="H53" t="s">
        <v>20</v>
      </c>
      <c r="I53" t="s">
        <v>136</v>
      </c>
      <c r="J53" t="s">
        <v>22</v>
      </c>
      <c r="K53" t="str">
        <f t="shared" si="0"/>
        <v>B</v>
      </c>
      <c r="L53" t="s">
        <v>22</v>
      </c>
      <c r="M53">
        <f t="shared" si="1"/>
        <v>1</v>
      </c>
    </row>
    <row r="54" ht="18" customHeight="1" spans="1:13">
      <c r="A54" t="s">
        <v>103</v>
      </c>
      <c r="B54" s="13" t="s">
        <v>104</v>
      </c>
      <c r="C54" t="s">
        <v>39</v>
      </c>
      <c r="D54" t="s">
        <v>24</v>
      </c>
      <c r="E54" t="s">
        <v>46</v>
      </c>
      <c r="F54" s="13" t="s">
        <v>137</v>
      </c>
      <c r="G54" t="s">
        <v>19</v>
      </c>
      <c r="H54" t="s">
        <v>20</v>
      </c>
      <c r="I54" t="s">
        <v>138</v>
      </c>
      <c r="J54" t="s">
        <v>22</v>
      </c>
      <c r="K54" t="str">
        <f t="shared" si="0"/>
        <v>B</v>
      </c>
      <c r="L54" t="s">
        <v>22</v>
      </c>
      <c r="M54">
        <f t="shared" si="1"/>
        <v>1</v>
      </c>
    </row>
    <row r="55" ht="18" customHeight="1" spans="1:13">
      <c r="A55" t="s">
        <v>103</v>
      </c>
      <c r="B55" s="13" t="s">
        <v>104</v>
      </c>
      <c r="C55" t="s">
        <v>39</v>
      </c>
      <c r="D55" t="s">
        <v>28</v>
      </c>
      <c r="E55" t="s">
        <v>46</v>
      </c>
      <c r="F55" s="13" t="s">
        <v>139</v>
      </c>
      <c r="G55" t="s">
        <v>19</v>
      </c>
      <c r="H55" t="s">
        <v>20</v>
      </c>
      <c r="I55" t="s">
        <v>140</v>
      </c>
      <c r="J55" t="s">
        <v>22</v>
      </c>
      <c r="K55" t="str">
        <f t="shared" si="0"/>
        <v>B</v>
      </c>
      <c r="L55" t="s">
        <v>22</v>
      </c>
      <c r="M55">
        <f t="shared" si="1"/>
        <v>1</v>
      </c>
    </row>
    <row r="56" ht="18" customHeight="1" spans="1:13">
      <c r="A56" t="s">
        <v>141</v>
      </c>
      <c r="B56" s="13" t="s">
        <v>142</v>
      </c>
      <c r="C56" t="s">
        <v>15</v>
      </c>
      <c r="D56" t="s">
        <v>16</v>
      </c>
      <c r="E56" t="s">
        <v>17</v>
      </c>
      <c r="F56" s="13" t="s">
        <v>143</v>
      </c>
      <c r="G56" t="s">
        <v>19</v>
      </c>
      <c r="H56" t="s">
        <v>20</v>
      </c>
      <c r="I56" t="s">
        <v>144</v>
      </c>
      <c r="J56" t="s">
        <v>34</v>
      </c>
      <c r="K56" t="str">
        <f t="shared" si="0"/>
        <v>A</v>
      </c>
      <c r="L56" t="s">
        <v>34</v>
      </c>
      <c r="M56">
        <f t="shared" si="1"/>
        <v>1</v>
      </c>
    </row>
    <row r="57" ht="18" customHeight="1" spans="1:13">
      <c r="A57" t="s">
        <v>141</v>
      </c>
      <c r="B57" s="13" t="s">
        <v>142</v>
      </c>
      <c r="C57" t="s">
        <v>15</v>
      </c>
      <c r="D57" t="s">
        <v>24</v>
      </c>
      <c r="E57" t="s">
        <v>17</v>
      </c>
      <c r="F57" s="13" t="s">
        <v>145</v>
      </c>
      <c r="G57" t="s">
        <v>19</v>
      </c>
      <c r="H57" t="s">
        <v>20</v>
      </c>
      <c r="I57" t="s">
        <v>146</v>
      </c>
      <c r="J57" t="s">
        <v>22</v>
      </c>
      <c r="K57" t="str">
        <f t="shared" si="0"/>
        <v>B</v>
      </c>
      <c r="L57" t="s">
        <v>34</v>
      </c>
      <c r="M57">
        <f t="shared" si="1"/>
        <v>0</v>
      </c>
    </row>
    <row r="58" ht="18" customHeight="1" spans="1:13">
      <c r="A58" t="s">
        <v>141</v>
      </c>
      <c r="B58" s="13" t="s">
        <v>142</v>
      </c>
      <c r="C58" t="s">
        <v>15</v>
      </c>
      <c r="D58" t="s">
        <v>28</v>
      </c>
      <c r="E58" t="s">
        <v>17</v>
      </c>
      <c r="F58" s="13" t="s">
        <v>147</v>
      </c>
      <c r="G58" t="s">
        <v>19</v>
      </c>
      <c r="H58" t="s">
        <v>20</v>
      </c>
      <c r="I58" t="s">
        <v>148</v>
      </c>
      <c r="J58" t="s">
        <v>22</v>
      </c>
      <c r="K58" t="str">
        <f t="shared" si="0"/>
        <v>B</v>
      </c>
      <c r="L58" t="s">
        <v>34</v>
      </c>
      <c r="M58">
        <f t="shared" si="1"/>
        <v>0</v>
      </c>
    </row>
    <row r="59" ht="18" customHeight="1" spans="1:13">
      <c r="A59" t="s">
        <v>141</v>
      </c>
      <c r="B59" s="13" t="s">
        <v>142</v>
      </c>
      <c r="C59" t="s">
        <v>31</v>
      </c>
      <c r="D59" t="s">
        <v>16</v>
      </c>
      <c r="E59" t="s">
        <v>17</v>
      </c>
      <c r="F59" s="13" t="s">
        <v>149</v>
      </c>
      <c r="G59" t="s">
        <v>19</v>
      </c>
      <c r="H59" t="s">
        <v>20</v>
      </c>
      <c r="I59" t="s">
        <v>150</v>
      </c>
      <c r="J59" t="s">
        <v>34</v>
      </c>
      <c r="K59" t="str">
        <f t="shared" si="0"/>
        <v>A</v>
      </c>
      <c r="L59" t="s">
        <v>34</v>
      </c>
      <c r="M59">
        <f t="shared" si="1"/>
        <v>1</v>
      </c>
    </row>
    <row r="60" ht="18" customHeight="1" spans="1:13">
      <c r="A60" t="s">
        <v>141</v>
      </c>
      <c r="B60" s="13" t="s">
        <v>142</v>
      </c>
      <c r="C60" t="s">
        <v>31</v>
      </c>
      <c r="D60" t="s">
        <v>24</v>
      </c>
      <c r="E60" t="s">
        <v>17</v>
      </c>
      <c r="F60" s="13" t="s">
        <v>151</v>
      </c>
      <c r="G60" t="s">
        <v>19</v>
      </c>
      <c r="H60" t="s">
        <v>20</v>
      </c>
      <c r="I60" t="s">
        <v>152</v>
      </c>
      <c r="J60" t="s">
        <v>34</v>
      </c>
      <c r="K60" t="str">
        <f t="shared" si="0"/>
        <v>A</v>
      </c>
      <c r="L60" t="s">
        <v>34</v>
      </c>
      <c r="M60">
        <f t="shared" si="1"/>
        <v>1</v>
      </c>
    </row>
    <row r="61" ht="18" customHeight="1" spans="1:13">
      <c r="A61" t="s">
        <v>141</v>
      </c>
      <c r="B61" s="13" t="s">
        <v>142</v>
      </c>
      <c r="C61" t="s">
        <v>31</v>
      </c>
      <c r="D61" t="s">
        <v>28</v>
      </c>
      <c r="E61" t="s">
        <v>17</v>
      </c>
      <c r="F61" s="13" t="s">
        <v>153</v>
      </c>
      <c r="G61" t="s">
        <v>19</v>
      </c>
      <c r="H61" t="s">
        <v>20</v>
      </c>
      <c r="I61" t="s">
        <v>154</v>
      </c>
      <c r="J61" t="s">
        <v>34</v>
      </c>
      <c r="K61" t="str">
        <f t="shared" si="0"/>
        <v>A</v>
      </c>
      <c r="L61" t="s">
        <v>34</v>
      </c>
      <c r="M61">
        <f t="shared" si="1"/>
        <v>1</v>
      </c>
    </row>
    <row r="62" ht="18" customHeight="1" spans="1:13">
      <c r="A62" t="s">
        <v>141</v>
      </c>
      <c r="B62" s="13" t="s">
        <v>142</v>
      </c>
      <c r="C62" t="s">
        <v>39</v>
      </c>
      <c r="D62" t="s">
        <v>16</v>
      </c>
      <c r="E62" t="s">
        <v>17</v>
      </c>
      <c r="F62" s="13" t="s">
        <v>155</v>
      </c>
      <c r="G62" t="s">
        <v>19</v>
      </c>
      <c r="H62" t="s">
        <v>20</v>
      </c>
      <c r="I62" t="s">
        <v>156</v>
      </c>
      <c r="J62" t="s">
        <v>34</v>
      </c>
      <c r="K62" t="str">
        <f t="shared" si="0"/>
        <v>B</v>
      </c>
      <c r="L62" t="s">
        <v>22</v>
      </c>
      <c r="M62">
        <f t="shared" si="1"/>
        <v>1</v>
      </c>
    </row>
    <row r="63" ht="18" customHeight="1" spans="1:13">
      <c r="A63" t="s">
        <v>141</v>
      </c>
      <c r="B63" s="13" t="s">
        <v>142</v>
      </c>
      <c r="C63" t="s">
        <v>39</v>
      </c>
      <c r="D63" t="s">
        <v>24</v>
      </c>
      <c r="E63" t="s">
        <v>17</v>
      </c>
      <c r="F63" s="13" t="s">
        <v>157</v>
      </c>
      <c r="G63" t="s">
        <v>19</v>
      </c>
      <c r="H63" t="s">
        <v>20</v>
      </c>
      <c r="I63" t="s">
        <v>158</v>
      </c>
      <c r="J63" t="s">
        <v>34</v>
      </c>
      <c r="K63" t="str">
        <f t="shared" si="0"/>
        <v>B</v>
      </c>
      <c r="L63" t="s">
        <v>22</v>
      </c>
      <c r="M63">
        <f t="shared" si="1"/>
        <v>1</v>
      </c>
    </row>
    <row r="64" ht="18" customHeight="1" spans="1:13">
      <c r="A64" t="s">
        <v>141</v>
      </c>
      <c r="B64" s="13" t="s">
        <v>142</v>
      </c>
      <c r="C64" t="s">
        <v>39</v>
      </c>
      <c r="D64" t="s">
        <v>28</v>
      </c>
      <c r="E64" t="s">
        <v>17</v>
      </c>
      <c r="F64" s="13" t="s">
        <v>159</v>
      </c>
      <c r="G64" t="s">
        <v>19</v>
      </c>
      <c r="H64" t="s">
        <v>20</v>
      </c>
      <c r="I64" t="s">
        <v>160</v>
      </c>
      <c r="J64" t="s">
        <v>34</v>
      </c>
      <c r="K64" t="str">
        <f t="shared" si="0"/>
        <v>B</v>
      </c>
      <c r="L64" t="s">
        <v>22</v>
      </c>
      <c r="M64">
        <f t="shared" si="1"/>
        <v>1</v>
      </c>
    </row>
    <row r="65" ht="18" customHeight="1" spans="1:13">
      <c r="A65" t="s">
        <v>141</v>
      </c>
      <c r="B65" s="13" t="s">
        <v>142</v>
      </c>
      <c r="C65" t="s">
        <v>15</v>
      </c>
      <c r="D65" t="s">
        <v>16</v>
      </c>
      <c r="E65" t="s">
        <v>46</v>
      </c>
      <c r="F65" s="13" t="s">
        <v>161</v>
      </c>
      <c r="G65" t="s">
        <v>19</v>
      </c>
      <c r="H65" t="s">
        <v>20</v>
      </c>
      <c r="I65" t="s">
        <v>162</v>
      </c>
      <c r="J65" t="s">
        <v>22</v>
      </c>
      <c r="K65" t="str">
        <f t="shared" si="0"/>
        <v>A</v>
      </c>
      <c r="L65" t="s">
        <v>34</v>
      </c>
      <c r="M65">
        <f t="shared" si="1"/>
        <v>1</v>
      </c>
    </row>
    <row r="66" ht="18" customHeight="1" spans="1:13">
      <c r="A66" t="s">
        <v>141</v>
      </c>
      <c r="B66" s="13" t="s">
        <v>142</v>
      </c>
      <c r="C66" t="s">
        <v>15</v>
      </c>
      <c r="D66" t="s">
        <v>24</v>
      </c>
      <c r="E66" t="s">
        <v>46</v>
      </c>
      <c r="F66" s="13" t="s">
        <v>163</v>
      </c>
      <c r="G66" t="s">
        <v>19</v>
      </c>
      <c r="H66" t="s">
        <v>20</v>
      </c>
      <c r="I66" t="s">
        <v>164</v>
      </c>
      <c r="J66" t="s">
        <v>34</v>
      </c>
      <c r="K66" t="str">
        <f t="shared" ref="K66:K129" si="2">IF(OR(J66="",C66="",E66=""),"",IF(J66="C","D(平局)",IF(J66=IF(E66="l2r","A","B"),LEFT(C66,1),RIGHT(C66,1))))</f>
        <v>B</v>
      </c>
      <c r="L66" t="s">
        <v>34</v>
      </c>
      <c r="M66">
        <f t="shared" ref="M66:M129" si="3">IF(OR(K66="",L66=""),"",--(K66=L66))</f>
        <v>0</v>
      </c>
    </row>
    <row r="67" ht="18" customHeight="1" spans="1:13">
      <c r="A67" t="s">
        <v>141</v>
      </c>
      <c r="B67" s="13" t="s">
        <v>142</v>
      </c>
      <c r="C67" t="s">
        <v>15</v>
      </c>
      <c r="D67" t="s">
        <v>28</v>
      </c>
      <c r="E67" t="s">
        <v>46</v>
      </c>
      <c r="F67" s="13" t="s">
        <v>165</v>
      </c>
      <c r="G67" t="s">
        <v>19</v>
      </c>
      <c r="H67" t="s">
        <v>20</v>
      </c>
      <c r="I67" t="s">
        <v>166</v>
      </c>
      <c r="J67" t="s">
        <v>34</v>
      </c>
      <c r="K67" t="str">
        <f t="shared" si="2"/>
        <v>B</v>
      </c>
      <c r="L67" t="s">
        <v>34</v>
      </c>
      <c r="M67">
        <f t="shared" si="3"/>
        <v>0</v>
      </c>
    </row>
    <row r="68" ht="18" customHeight="1" spans="1:13">
      <c r="A68" t="s">
        <v>141</v>
      </c>
      <c r="B68" s="13" t="s">
        <v>142</v>
      </c>
      <c r="C68" t="s">
        <v>31</v>
      </c>
      <c r="D68" t="s">
        <v>16</v>
      </c>
      <c r="E68" t="s">
        <v>46</v>
      </c>
      <c r="F68" s="13" t="s">
        <v>167</v>
      </c>
      <c r="G68" t="s">
        <v>19</v>
      </c>
      <c r="H68" t="s">
        <v>20</v>
      </c>
      <c r="I68" t="s">
        <v>168</v>
      </c>
      <c r="J68" t="s">
        <v>22</v>
      </c>
      <c r="K68" t="str">
        <f t="shared" si="2"/>
        <v>A</v>
      </c>
      <c r="L68" t="s">
        <v>34</v>
      </c>
      <c r="M68">
        <f t="shared" si="3"/>
        <v>1</v>
      </c>
    </row>
    <row r="69" ht="18" customHeight="1" spans="1:13">
      <c r="A69" t="s">
        <v>141</v>
      </c>
      <c r="B69" s="13" t="s">
        <v>142</v>
      </c>
      <c r="C69" t="s">
        <v>31</v>
      </c>
      <c r="D69" t="s">
        <v>24</v>
      </c>
      <c r="E69" t="s">
        <v>46</v>
      </c>
      <c r="F69" s="13" t="s">
        <v>169</v>
      </c>
      <c r="G69" t="s">
        <v>19</v>
      </c>
      <c r="H69" t="s">
        <v>20</v>
      </c>
      <c r="I69" t="s">
        <v>170</v>
      </c>
      <c r="J69" t="s">
        <v>22</v>
      </c>
      <c r="K69" t="str">
        <f t="shared" si="2"/>
        <v>A</v>
      </c>
      <c r="L69" t="s">
        <v>34</v>
      </c>
      <c r="M69">
        <f t="shared" si="3"/>
        <v>1</v>
      </c>
    </row>
    <row r="70" ht="18" customHeight="1" spans="1:13">
      <c r="A70" t="s">
        <v>141</v>
      </c>
      <c r="B70" s="13" t="s">
        <v>142</v>
      </c>
      <c r="C70" t="s">
        <v>31</v>
      </c>
      <c r="D70" t="s">
        <v>28</v>
      </c>
      <c r="E70" t="s">
        <v>46</v>
      </c>
      <c r="F70" s="13" t="s">
        <v>171</v>
      </c>
      <c r="G70" t="s">
        <v>19</v>
      </c>
      <c r="H70" t="s">
        <v>20</v>
      </c>
      <c r="I70" t="s">
        <v>172</v>
      </c>
      <c r="J70" t="s">
        <v>22</v>
      </c>
      <c r="K70" t="str">
        <f t="shared" si="2"/>
        <v>A</v>
      </c>
      <c r="L70" t="s">
        <v>34</v>
      </c>
      <c r="M70">
        <f t="shared" si="3"/>
        <v>1</v>
      </c>
    </row>
    <row r="71" ht="18" customHeight="1" spans="1:13">
      <c r="A71" t="s">
        <v>141</v>
      </c>
      <c r="B71" s="13" t="s">
        <v>142</v>
      </c>
      <c r="C71" t="s">
        <v>39</v>
      </c>
      <c r="D71" t="s">
        <v>16</v>
      </c>
      <c r="E71" t="s">
        <v>46</v>
      </c>
      <c r="F71" s="13" t="s">
        <v>173</v>
      </c>
      <c r="G71" t="s">
        <v>19</v>
      </c>
      <c r="H71" t="s">
        <v>20</v>
      </c>
      <c r="I71" t="s">
        <v>174</v>
      </c>
      <c r="J71" t="s">
        <v>22</v>
      </c>
      <c r="K71" t="str">
        <f t="shared" si="2"/>
        <v>B</v>
      </c>
      <c r="L71" t="s">
        <v>22</v>
      </c>
      <c r="M71">
        <f t="shared" si="3"/>
        <v>1</v>
      </c>
    </row>
    <row r="72" ht="18" customHeight="1" spans="1:13">
      <c r="A72" t="s">
        <v>141</v>
      </c>
      <c r="B72" s="13" t="s">
        <v>142</v>
      </c>
      <c r="C72" t="s">
        <v>39</v>
      </c>
      <c r="D72" t="s">
        <v>24</v>
      </c>
      <c r="E72" t="s">
        <v>46</v>
      </c>
      <c r="F72" s="13" t="s">
        <v>175</v>
      </c>
      <c r="G72" t="s">
        <v>19</v>
      </c>
      <c r="H72" t="s">
        <v>20</v>
      </c>
      <c r="I72" t="s">
        <v>176</v>
      </c>
      <c r="J72" t="s">
        <v>22</v>
      </c>
      <c r="K72" t="str">
        <f t="shared" si="2"/>
        <v>B</v>
      </c>
      <c r="L72" t="s">
        <v>22</v>
      </c>
      <c r="M72">
        <f t="shared" si="3"/>
        <v>1</v>
      </c>
    </row>
    <row r="73" ht="18" customHeight="1" spans="1:13">
      <c r="A73" t="s">
        <v>141</v>
      </c>
      <c r="B73" s="13" t="s">
        <v>142</v>
      </c>
      <c r="C73" t="s">
        <v>39</v>
      </c>
      <c r="D73" t="s">
        <v>28</v>
      </c>
      <c r="E73" t="s">
        <v>46</v>
      </c>
      <c r="F73" s="13" t="s">
        <v>177</v>
      </c>
      <c r="G73" t="s">
        <v>19</v>
      </c>
      <c r="H73" t="s">
        <v>20</v>
      </c>
      <c r="I73" t="s">
        <v>178</v>
      </c>
      <c r="J73" t="s">
        <v>22</v>
      </c>
      <c r="K73" t="str">
        <f t="shared" si="2"/>
        <v>B</v>
      </c>
      <c r="L73" t="s">
        <v>22</v>
      </c>
      <c r="M73">
        <f t="shared" si="3"/>
        <v>1</v>
      </c>
    </row>
    <row r="74" ht="18" customHeight="1" spans="1:13">
      <c r="A74" t="s">
        <v>179</v>
      </c>
      <c r="B74" s="13" t="s">
        <v>180</v>
      </c>
      <c r="C74" t="s">
        <v>15</v>
      </c>
      <c r="D74" t="s">
        <v>16</v>
      </c>
      <c r="E74" t="s">
        <v>17</v>
      </c>
      <c r="F74" s="13" t="s">
        <v>181</v>
      </c>
      <c r="G74" t="s">
        <v>19</v>
      </c>
      <c r="H74" t="s">
        <v>20</v>
      </c>
      <c r="I74" t="s">
        <v>182</v>
      </c>
      <c r="J74" t="s">
        <v>22</v>
      </c>
      <c r="K74" t="str">
        <f t="shared" si="2"/>
        <v>B</v>
      </c>
      <c r="L74" t="s">
        <v>22</v>
      </c>
      <c r="M74">
        <f t="shared" si="3"/>
        <v>1</v>
      </c>
    </row>
    <row r="75" ht="18" customHeight="1" spans="1:13">
      <c r="A75" t="s">
        <v>179</v>
      </c>
      <c r="B75" s="13" t="s">
        <v>180</v>
      </c>
      <c r="C75" t="s">
        <v>15</v>
      </c>
      <c r="D75" t="s">
        <v>24</v>
      </c>
      <c r="E75" t="s">
        <v>17</v>
      </c>
      <c r="F75" s="13" t="s">
        <v>183</v>
      </c>
      <c r="G75" t="s">
        <v>19</v>
      </c>
      <c r="H75" t="s">
        <v>20</v>
      </c>
      <c r="I75" t="s">
        <v>184</v>
      </c>
      <c r="J75" t="s">
        <v>22</v>
      </c>
      <c r="K75" t="str">
        <f t="shared" si="2"/>
        <v>B</v>
      </c>
      <c r="L75" t="s">
        <v>22</v>
      </c>
      <c r="M75">
        <f t="shared" si="3"/>
        <v>1</v>
      </c>
    </row>
    <row r="76" ht="18" customHeight="1" spans="1:13">
      <c r="A76" t="s">
        <v>179</v>
      </c>
      <c r="B76" s="13" t="s">
        <v>180</v>
      </c>
      <c r="C76" t="s">
        <v>15</v>
      </c>
      <c r="D76" t="s">
        <v>28</v>
      </c>
      <c r="E76" t="s">
        <v>17</v>
      </c>
      <c r="F76" s="13" t="s">
        <v>185</v>
      </c>
      <c r="G76" t="s">
        <v>19</v>
      </c>
      <c r="H76" t="s">
        <v>20</v>
      </c>
      <c r="I76" t="s">
        <v>186</v>
      </c>
      <c r="J76" t="s">
        <v>22</v>
      </c>
      <c r="K76" t="str">
        <f t="shared" si="2"/>
        <v>B</v>
      </c>
      <c r="L76" t="s">
        <v>22</v>
      </c>
      <c r="M76">
        <f t="shared" si="3"/>
        <v>1</v>
      </c>
    </row>
    <row r="77" ht="18" customHeight="1" spans="1:13">
      <c r="A77" t="s">
        <v>179</v>
      </c>
      <c r="B77" s="13" t="s">
        <v>180</v>
      </c>
      <c r="C77" t="s">
        <v>31</v>
      </c>
      <c r="D77" t="s">
        <v>16</v>
      </c>
      <c r="E77" t="s">
        <v>17</v>
      </c>
      <c r="F77" s="13" t="s">
        <v>187</v>
      </c>
      <c r="G77" t="s">
        <v>19</v>
      </c>
      <c r="H77" t="s">
        <v>20</v>
      </c>
      <c r="I77" t="s">
        <v>188</v>
      </c>
      <c r="J77" t="s">
        <v>22</v>
      </c>
      <c r="K77" t="str">
        <f t="shared" si="2"/>
        <v>C</v>
      </c>
      <c r="L77" t="s">
        <v>34</v>
      </c>
      <c r="M77">
        <f t="shared" si="3"/>
        <v>0</v>
      </c>
    </row>
    <row r="78" ht="18" customHeight="1" spans="1:13">
      <c r="A78" t="s">
        <v>179</v>
      </c>
      <c r="B78" s="13" t="s">
        <v>180</v>
      </c>
      <c r="C78" t="s">
        <v>31</v>
      </c>
      <c r="D78" t="s">
        <v>24</v>
      </c>
      <c r="E78" t="s">
        <v>17</v>
      </c>
      <c r="F78" s="13" t="s">
        <v>189</v>
      </c>
      <c r="G78" t="s">
        <v>19</v>
      </c>
      <c r="H78" t="s">
        <v>20</v>
      </c>
      <c r="I78" t="s">
        <v>190</v>
      </c>
      <c r="J78" t="s">
        <v>22</v>
      </c>
      <c r="K78" t="str">
        <f t="shared" si="2"/>
        <v>C</v>
      </c>
      <c r="L78" t="s">
        <v>34</v>
      </c>
      <c r="M78">
        <f t="shared" si="3"/>
        <v>0</v>
      </c>
    </row>
    <row r="79" ht="18" customHeight="1" spans="1:13">
      <c r="A79" t="s">
        <v>179</v>
      </c>
      <c r="B79" s="13" t="s">
        <v>180</v>
      </c>
      <c r="C79" t="s">
        <v>31</v>
      </c>
      <c r="D79" t="s">
        <v>28</v>
      </c>
      <c r="E79" t="s">
        <v>17</v>
      </c>
      <c r="F79" s="13" t="s">
        <v>191</v>
      </c>
      <c r="G79" t="s">
        <v>19</v>
      </c>
      <c r="H79" t="s">
        <v>20</v>
      </c>
      <c r="I79" t="s">
        <v>192</v>
      </c>
      <c r="J79" t="s">
        <v>27</v>
      </c>
      <c r="K79" t="str">
        <f t="shared" si="2"/>
        <v>D(平局)</v>
      </c>
      <c r="L79" t="s">
        <v>34</v>
      </c>
      <c r="M79">
        <f t="shared" si="3"/>
        <v>0</v>
      </c>
    </row>
    <row r="80" ht="18" customHeight="1" spans="1:13">
      <c r="A80" t="s">
        <v>179</v>
      </c>
      <c r="B80" s="13" t="s">
        <v>180</v>
      </c>
      <c r="C80" t="s">
        <v>39</v>
      </c>
      <c r="D80" t="s">
        <v>16</v>
      </c>
      <c r="E80" t="s">
        <v>17</v>
      </c>
      <c r="F80" s="13" t="s">
        <v>193</v>
      </c>
      <c r="G80" t="s">
        <v>19</v>
      </c>
      <c r="H80" t="s">
        <v>20</v>
      </c>
      <c r="I80" t="s">
        <v>194</v>
      </c>
      <c r="J80" t="s">
        <v>34</v>
      </c>
      <c r="K80" t="str">
        <f t="shared" si="2"/>
        <v>B</v>
      </c>
      <c r="L80" t="s">
        <v>22</v>
      </c>
      <c r="M80">
        <f t="shared" si="3"/>
        <v>1</v>
      </c>
    </row>
    <row r="81" ht="18" customHeight="1" spans="1:13">
      <c r="A81" t="s">
        <v>179</v>
      </c>
      <c r="B81" s="13" t="s">
        <v>180</v>
      </c>
      <c r="C81" t="s">
        <v>39</v>
      </c>
      <c r="D81" t="s">
        <v>24</v>
      </c>
      <c r="E81" t="s">
        <v>17</v>
      </c>
      <c r="F81" s="13" t="s">
        <v>195</v>
      </c>
      <c r="G81" t="s">
        <v>19</v>
      </c>
      <c r="H81" t="s">
        <v>20</v>
      </c>
      <c r="I81" t="s">
        <v>196</v>
      </c>
      <c r="J81" t="s">
        <v>22</v>
      </c>
      <c r="K81" t="str">
        <f t="shared" si="2"/>
        <v>C</v>
      </c>
      <c r="L81" t="s">
        <v>22</v>
      </c>
      <c r="M81">
        <f t="shared" si="3"/>
        <v>0</v>
      </c>
    </row>
    <row r="82" ht="18" customHeight="1" spans="1:13">
      <c r="A82" t="s">
        <v>179</v>
      </c>
      <c r="B82" s="13" t="s">
        <v>180</v>
      </c>
      <c r="C82" t="s">
        <v>39</v>
      </c>
      <c r="D82" t="s">
        <v>28</v>
      </c>
      <c r="E82" t="s">
        <v>17</v>
      </c>
      <c r="F82" s="13" t="s">
        <v>197</v>
      </c>
      <c r="G82" t="s">
        <v>19</v>
      </c>
      <c r="H82" t="s">
        <v>20</v>
      </c>
      <c r="I82" t="s">
        <v>198</v>
      </c>
      <c r="J82" t="s">
        <v>34</v>
      </c>
      <c r="K82" t="str">
        <f t="shared" si="2"/>
        <v>B</v>
      </c>
      <c r="L82" t="s">
        <v>22</v>
      </c>
      <c r="M82">
        <f t="shared" si="3"/>
        <v>1</v>
      </c>
    </row>
    <row r="83" ht="18" customHeight="1" spans="1:13">
      <c r="A83" t="s">
        <v>179</v>
      </c>
      <c r="B83" s="13" t="s">
        <v>180</v>
      </c>
      <c r="C83" t="s">
        <v>15</v>
      </c>
      <c r="D83" t="s">
        <v>16</v>
      </c>
      <c r="E83" t="s">
        <v>46</v>
      </c>
      <c r="F83" s="13" t="s">
        <v>199</v>
      </c>
      <c r="G83" t="s">
        <v>19</v>
      </c>
      <c r="H83" t="s">
        <v>20</v>
      </c>
      <c r="I83" t="s">
        <v>200</v>
      </c>
      <c r="J83" t="s">
        <v>34</v>
      </c>
      <c r="K83" t="str">
        <f t="shared" si="2"/>
        <v>B</v>
      </c>
      <c r="L83" t="s">
        <v>22</v>
      </c>
      <c r="M83">
        <f t="shared" si="3"/>
        <v>1</v>
      </c>
    </row>
    <row r="84" ht="18" customHeight="1" spans="1:13">
      <c r="A84" t="s">
        <v>179</v>
      </c>
      <c r="B84" s="13" t="s">
        <v>180</v>
      </c>
      <c r="C84" t="s">
        <v>15</v>
      </c>
      <c r="D84" t="s">
        <v>24</v>
      </c>
      <c r="E84" t="s">
        <v>46</v>
      </c>
      <c r="F84" s="13" t="s">
        <v>201</v>
      </c>
      <c r="G84" t="s">
        <v>19</v>
      </c>
      <c r="H84" t="s">
        <v>20</v>
      </c>
      <c r="I84" t="s">
        <v>202</v>
      </c>
      <c r="J84" t="s">
        <v>27</v>
      </c>
      <c r="K84" t="str">
        <f t="shared" si="2"/>
        <v>D(平局)</v>
      </c>
      <c r="L84" t="s">
        <v>22</v>
      </c>
      <c r="M84">
        <f t="shared" si="3"/>
        <v>0</v>
      </c>
    </row>
    <row r="85" ht="18" customHeight="1" spans="1:13">
      <c r="A85" t="s">
        <v>179</v>
      </c>
      <c r="B85" s="13" t="s">
        <v>180</v>
      </c>
      <c r="C85" t="s">
        <v>15</v>
      </c>
      <c r="D85" t="s">
        <v>28</v>
      </c>
      <c r="E85" t="s">
        <v>46</v>
      </c>
      <c r="F85" s="13" t="s">
        <v>203</v>
      </c>
      <c r="G85" t="s">
        <v>19</v>
      </c>
      <c r="H85" t="s">
        <v>20</v>
      </c>
      <c r="I85" t="s">
        <v>204</v>
      </c>
      <c r="J85" t="s">
        <v>34</v>
      </c>
      <c r="K85" t="str">
        <f t="shared" si="2"/>
        <v>B</v>
      </c>
      <c r="L85" t="s">
        <v>22</v>
      </c>
      <c r="M85">
        <f t="shared" si="3"/>
        <v>1</v>
      </c>
    </row>
    <row r="86" ht="18" customHeight="1" spans="1:13">
      <c r="A86" t="s">
        <v>179</v>
      </c>
      <c r="B86" s="13" t="s">
        <v>180</v>
      </c>
      <c r="C86" t="s">
        <v>31</v>
      </c>
      <c r="D86" t="s">
        <v>16</v>
      </c>
      <c r="E86" t="s">
        <v>46</v>
      </c>
      <c r="F86" s="13" t="s">
        <v>205</v>
      </c>
      <c r="G86" t="s">
        <v>19</v>
      </c>
      <c r="H86" t="s">
        <v>20</v>
      </c>
      <c r="I86" t="s">
        <v>206</v>
      </c>
      <c r="J86" t="s">
        <v>22</v>
      </c>
      <c r="K86" t="str">
        <f t="shared" si="2"/>
        <v>A</v>
      </c>
      <c r="L86" t="s">
        <v>34</v>
      </c>
      <c r="M86">
        <f t="shared" si="3"/>
        <v>1</v>
      </c>
    </row>
    <row r="87" ht="18" customHeight="1" spans="1:13">
      <c r="A87" t="s">
        <v>179</v>
      </c>
      <c r="B87" s="13" t="s">
        <v>180</v>
      </c>
      <c r="C87" t="s">
        <v>31</v>
      </c>
      <c r="D87" t="s">
        <v>24</v>
      </c>
      <c r="E87" t="s">
        <v>46</v>
      </c>
      <c r="F87" s="13" t="s">
        <v>207</v>
      </c>
      <c r="G87" t="s">
        <v>19</v>
      </c>
      <c r="H87" t="s">
        <v>20</v>
      </c>
      <c r="I87" t="s">
        <v>208</v>
      </c>
      <c r="J87" t="s">
        <v>27</v>
      </c>
      <c r="K87" t="str">
        <f t="shared" si="2"/>
        <v>D(平局)</v>
      </c>
      <c r="L87" t="s">
        <v>34</v>
      </c>
      <c r="M87">
        <f t="shared" si="3"/>
        <v>0</v>
      </c>
    </row>
    <row r="88" ht="18" customHeight="1" spans="1:13">
      <c r="A88" t="s">
        <v>179</v>
      </c>
      <c r="B88" s="13" t="s">
        <v>180</v>
      </c>
      <c r="C88" t="s">
        <v>31</v>
      </c>
      <c r="D88" t="s">
        <v>28</v>
      </c>
      <c r="E88" t="s">
        <v>46</v>
      </c>
      <c r="F88" s="13" t="s">
        <v>209</v>
      </c>
      <c r="G88" t="s">
        <v>19</v>
      </c>
      <c r="H88" t="s">
        <v>20</v>
      </c>
      <c r="I88" t="s">
        <v>210</v>
      </c>
      <c r="J88" t="s">
        <v>34</v>
      </c>
      <c r="K88" t="str">
        <f t="shared" si="2"/>
        <v>C</v>
      </c>
      <c r="L88" t="s">
        <v>34</v>
      </c>
      <c r="M88">
        <f t="shared" si="3"/>
        <v>0</v>
      </c>
    </row>
    <row r="89" ht="18" customHeight="1" spans="1:13">
      <c r="A89" t="s">
        <v>179</v>
      </c>
      <c r="B89" s="13" t="s">
        <v>180</v>
      </c>
      <c r="C89" t="s">
        <v>39</v>
      </c>
      <c r="D89" t="s">
        <v>16</v>
      </c>
      <c r="E89" t="s">
        <v>46</v>
      </c>
      <c r="F89" s="13" t="s">
        <v>211</v>
      </c>
      <c r="G89" t="s">
        <v>19</v>
      </c>
      <c r="H89" t="s">
        <v>20</v>
      </c>
      <c r="I89" t="s">
        <v>212</v>
      </c>
      <c r="J89" t="s">
        <v>34</v>
      </c>
      <c r="K89" t="str">
        <f t="shared" si="2"/>
        <v>C</v>
      </c>
      <c r="L89" t="s">
        <v>22</v>
      </c>
      <c r="M89">
        <f t="shared" si="3"/>
        <v>0</v>
      </c>
    </row>
    <row r="90" ht="18" customHeight="1" spans="1:13">
      <c r="A90" t="s">
        <v>179</v>
      </c>
      <c r="B90" s="13" t="s">
        <v>180</v>
      </c>
      <c r="C90" t="s">
        <v>39</v>
      </c>
      <c r="D90" t="s">
        <v>24</v>
      </c>
      <c r="E90" t="s">
        <v>46</v>
      </c>
      <c r="F90" s="13" t="s">
        <v>213</v>
      </c>
      <c r="G90" t="s">
        <v>19</v>
      </c>
      <c r="H90" t="s">
        <v>20</v>
      </c>
      <c r="I90" t="s">
        <v>214</v>
      </c>
      <c r="J90" t="s">
        <v>22</v>
      </c>
      <c r="K90" t="str">
        <f t="shared" si="2"/>
        <v>B</v>
      </c>
      <c r="L90" t="s">
        <v>22</v>
      </c>
      <c r="M90">
        <f t="shared" si="3"/>
        <v>1</v>
      </c>
    </row>
    <row r="91" ht="18" customHeight="1" spans="1:13">
      <c r="A91" t="s">
        <v>179</v>
      </c>
      <c r="B91" s="13" t="s">
        <v>180</v>
      </c>
      <c r="C91" t="s">
        <v>39</v>
      </c>
      <c r="D91" t="s">
        <v>28</v>
      </c>
      <c r="E91" t="s">
        <v>46</v>
      </c>
      <c r="F91" s="13" t="s">
        <v>215</v>
      </c>
      <c r="G91" t="s">
        <v>19</v>
      </c>
      <c r="H91" t="s">
        <v>20</v>
      </c>
      <c r="I91" t="s">
        <v>216</v>
      </c>
      <c r="J91" t="s">
        <v>22</v>
      </c>
      <c r="K91" t="str">
        <f t="shared" si="2"/>
        <v>B</v>
      </c>
      <c r="L91" t="s">
        <v>22</v>
      </c>
      <c r="M91">
        <f t="shared" si="3"/>
        <v>1</v>
      </c>
    </row>
    <row r="92" ht="18" customHeight="1" spans="1:13">
      <c r="A92" t="s">
        <v>217</v>
      </c>
      <c r="B92" s="13" t="s">
        <v>218</v>
      </c>
      <c r="C92" t="s">
        <v>15</v>
      </c>
      <c r="D92" t="s">
        <v>16</v>
      </c>
      <c r="E92" t="s">
        <v>17</v>
      </c>
      <c r="F92" s="13" t="s">
        <v>219</v>
      </c>
      <c r="G92" t="s">
        <v>19</v>
      </c>
      <c r="H92" t="s">
        <v>20</v>
      </c>
      <c r="I92" t="s">
        <v>220</v>
      </c>
      <c r="J92" t="s">
        <v>22</v>
      </c>
      <c r="K92" t="str">
        <f t="shared" si="2"/>
        <v>B</v>
      </c>
      <c r="L92" t="s">
        <v>34</v>
      </c>
      <c r="M92">
        <f t="shared" si="3"/>
        <v>0</v>
      </c>
    </row>
    <row r="93" ht="18" customHeight="1" spans="1:13">
      <c r="A93" t="s">
        <v>217</v>
      </c>
      <c r="B93" s="13" t="s">
        <v>218</v>
      </c>
      <c r="C93" t="s">
        <v>15</v>
      </c>
      <c r="D93" t="s">
        <v>24</v>
      </c>
      <c r="E93" t="s">
        <v>17</v>
      </c>
      <c r="F93" s="13" t="s">
        <v>221</v>
      </c>
      <c r="G93" t="s">
        <v>19</v>
      </c>
      <c r="H93" t="s">
        <v>20</v>
      </c>
      <c r="I93" t="s">
        <v>222</v>
      </c>
      <c r="J93" t="s">
        <v>22</v>
      </c>
      <c r="K93" t="str">
        <f t="shared" si="2"/>
        <v>B</v>
      </c>
      <c r="L93" t="s">
        <v>34</v>
      </c>
      <c r="M93">
        <f t="shared" si="3"/>
        <v>0</v>
      </c>
    </row>
    <row r="94" ht="18" customHeight="1" spans="1:13">
      <c r="A94" t="s">
        <v>217</v>
      </c>
      <c r="B94" s="13" t="s">
        <v>218</v>
      </c>
      <c r="C94" t="s">
        <v>15</v>
      </c>
      <c r="D94" t="s">
        <v>28</v>
      </c>
      <c r="E94" t="s">
        <v>17</v>
      </c>
      <c r="F94" s="13" t="s">
        <v>223</v>
      </c>
      <c r="G94" t="s">
        <v>19</v>
      </c>
      <c r="H94" t="s">
        <v>20</v>
      </c>
      <c r="I94" t="s">
        <v>224</v>
      </c>
      <c r="J94" t="s">
        <v>22</v>
      </c>
      <c r="K94" t="str">
        <f t="shared" si="2"/>
        <v>B</v>
      </c>
      <c r="L94" t="s">
        <v>34</v>
      </c>
      <c r="M94">
        <f t="shared" si="3"/>
        <v>0</v>
      </c>
    </row>
    <row r="95" ht="18" customHeight="1" spans="1:13">
      <c r="A95" t="s">
        <v>217</v>
      </c>
      <c r="B95" s="13" t="s">
        <v>218</v>
      </c>
      <c r="C95" t="s">
        <v>31</v>
      </c>
      <c r="D95" t="s">
        <v>16</v>
      </c>
      <c r="E95" t="s">
        <v>17</v>
      </c>
      <c r="F95" s="13" t="s">
        <v>225</v>
      </c>
      <c r="G95" t="s">
        <v>19</v>
      </c>
      <c r="H95" t="s">
        <v>20</v>
      </c>
      <c r="I95" t="s">
        <v>226</v>
      </c>
      <c r="J95" t="s">
        <v>22</v>
      </c>
      <c r="K95" t="str">
        <f t="shared" si="2"/>
        <v>C</v>
      </c>
      <c r="L95" t="s">
        <v>27</v>
      </c>
      <c r="M95">
        <f t="shared" si="3"/>
        <v>1</v>
      </c>
    </row>
    <row r="96" ht="18" customHeight="1" spans="1:13">
      <c r="A96" t="s">
        <v>217</v>
      </c>
      <c r="B96" s="13" t="s">
        <v>218</v>
      </c>
      <c r="C96" t="s">
        <v>31</v>
      </c>
      <c r="D96" t="s">
        <v>24</v>
      </c>
      <c r="E96" t="s">
        <v>17</v>
      </c>
      <c r="F96" s="13" t="s">
        <v>227</v>
      </c>
      <c r="G96" t="s">
        <v>19</v>
      </c>
      <c r="H96" t="s">
        <v>20</v>
      </c>
      <c r="I96" t="s">
        <v>228</v>
      </c>
      <c r="J96" t="s">
        <v>22</v>
      </c>
      <c r="K96" t="str">
        <f t="shared" si="2"/>
        <v>C</v>
      </c>
      <c r="L96" t="s">
        <v>27</v>
      </c>
      <c r="M96">
        <f t="shared" si="3"/>
        <v>1</v>
      </c>
    </row>
    <row r="97" ht="18" customHeight="1" spans="1:13">
      <c r="A97" t="s">
        <v>217</v>
      </c>
      <c r="B97" s="13" t="s">
        <v>218</v>
      </c>
      <c r="C97" t="s">
        <v>31</v>
      </c>
      <c r="D97" t="s">
        <v>28</v>
      </c>
      <c r="E97" t="s">
        <v>17</v>
      </c>
      <c r="F97" s="13" t="s">
        <v>229</v>
      </c>
      <c r="G97" t="s">
        <v>19</v>
      </c>
      <c r="H97" t="s">
        <v>20</v>
      </c>
      <c r="I97" t="s">
        <v>230</v>
      </c>
      <c r="J97" t="s">
        <v>22</v>
      </c>
      <c r="K97" t="str">
        <f t="shared" si="2"/>
        <v>C</v>
      </c>
      <c r="L97" t="s">
        <v>27</v>
      </c>
      <c r="M97">
        <f t="shared" si="3"/>
        <v>1</v>
      </c>
    </row>
    <row r="98" ht="18" customHeight="1" spans="1:13">
      <c r="A98" t="s">
        <v>217</v>
      </c>
      <c r="B98" s="13" t="s">
        <v>218</v>
      </c>
      <c r="C98" t="s">
        <v>39</v>
      </c>
      <c r="D98" t="s">
        <v>16</v>
      </c>
      <c r="E98" t="s">
        <v>17</v>
      </c>
      <c r="F98" s="13" t="s">
        <v>231</v>
      </c>
      <c r="G98" t="s">
        <v>19</v>
      </c>
      <c r="H98" t="s">
        <v>20</v>
      </c>
      <c r="I98" t="s">
        <v>232</v>
      </c>
      <c r="J98" t="s">
        <v>22</v>
      </c>
      <c r="K98" t="str">
        <f t="shared" si="2"/>
        <v>C</v>
      </c>
      <c r="L98" t="s">
        <v>27</v>
      </c>
      <c r="M98">
        <f t="shared" si="3"/>
        <v>1</v>
      </c>
    </row>
    <row r="99" ht="18" customHeight="1" spans="1:13">
      <c r="A99" t="s">
        <v>217</v>
      </c>
      <c r="B99" s="13" t="s">
        <v>218</v>
      </c>
      <c r="C99" t="s">
        <v>39</v>
      </c>
      <c r="D99" t="s">
        <v>24</v>
      </c>
      <c r="E99" t="s">
        <v>17</v>
      </c>
      <c r="F99" s="13" t="s">
        <v>233</v>
      </c>
      <c r="G99" t="s">
        <v>19</v>
      </c>
      <c r="H99" t="s">
        <v>20</v>
      </c>
      <c r="I99" t="s">
        <v>234</v>
      </c>
      <c r="J99" t="s">
        <v>34</v>
      </c>
      <c r="K99" t="str">
        <f t="shared" si="2"/>
        <v>B</v>
      </c>
      <c r="L99" t="s">
        <v>27</v>
      </c>
      <c r="M99">
        <f t="shared" si="3"/>
        <v>0</v>
      </c>
    </row>
    <row r="100" ht="18" customHeight="1" spans="1:13">
      <c r="A100" t="s">
        <v>217</v>
      </c>
      <c r="B100" s="13" t="s">
        <v>218</v>
      </c>
      <c r="C100" t="s">
        <v>39</v>
      </c>
      <c r="D100" t="s">
        <v>28</v>
      </c>
      <c r="E100" t="s">
        <v>17</v>
      </c>
      <c r="F100" s="13" t="s">
        <v>235</v>
      </c>
      <c r="G100" t="s">
        <v>19</v>
      </c>
      <c r="H100" t="s">
        <v>20</v>
      </c>
      <c r="I100" t="s">
        <v>236</v>
      </c>
      <c r="J100" t="s">
        <v>22</v>
      </c>
      <c r="K100" t="str">
        <f t="shared" si="2"/>
        <v>C</v>
      </c>
      <c r="L100" t="s">
        <v>27</v>
      </c>
      <c r="M100">
        <f t="shared" si="3"/>
        <v>1</v>
      </c>
    </row>
    <row r="101" ht="18" customHeight="1" spans="1:13">
      <c r="A101" t="s">
        <v>217</v>
      </c>
      <c r="B101" s="13" t="s">
        <v>218</v>
      </c>
      <c r="C101" t="s">
        <v>15</v>
      </c>
      <c r="D101" t="s">
        <v>16</v>
      </c>
      <c r="E101" t="s">
        <v>46</v>
      </c>
      <c r="F101" s="13" t="s">
        <v>237</v>
      </c>
      <c r="G101" t="s">
        <v>19</v>
      </c>
      <c r="H101" t="s">
        <v>20</v>
      </c>
      <c r="I101" t="s">
        <v>238</v>
      </c>
      <c r="J101" t="s">
        <v>27</v>
      </c>
      <c r="K101" t="str">
        <f t="shared" si="2"/>
        <v>D(平局)</v>
      </c>
      <c r="L101" t="s">
        <v>34</v>
      </c>
      <c r="M101">
        <f t="shared" si="3"/>
        <v>0</v>
      </c>
    </row>
    <row r="102" ht="18" customHeight="1" spans="1:13">
      <c r="A102" t="s">
        <v>217</v>
      </c>
      <c r="B102" s="13" t="s">
        <v>218</v>
      </c>
      <c r="C102" t="s">
        <v>15</v>
      </c>
      <c r="D102" t="s">
        <v>24</v>
      </c>
      <c r="E102" t="s">
        <v>46</v>
      </c>
      <c r="F102" s="13" t="s">
        <v>239</v>
      </c>
      <c r="G102" t="s">
        <v>19</v>
      </c>
      <c r="H102" t="s">
        <v>20</v>
      </c>
      <c r="I102" t="s">
        <v>240</v>
      </c>
      <c r="J102" t="s">
        <v>34</v>
      </c>
      <c r="K102" t="str">
        <f t="shared" si="2"/>
        <v>B</v>
      </c>
      <c r="L102" t="s">
        <v>34</v>
      </c>
      <c r="M102">
        <f t="shared" si="3"/>
        <v>0</v>
      </c>
    </row>
    <row r="103" ht="18" customHeight="1" spans="1:13">
      <c r="A103" t="s">
        <v>217</v>
      </c>
      <c r="B103" s="13" t="s">
        <v>218</v>
      </c>
      <c r="C103" t="s">
        <v>15</v>
      </c>
      <c r="D103" t="s">
        <v>28</v>
      </c>
      <c r="E103" t="s">
        <v>46</v>
      </c>
      <c r="F103" s="13" t="s">
        <v>241</v>
      </c>
      <c r="G103" t="s">
        <v>19</v>
      </c>
      <c r="H103" t="s">
        <v>20</v>
      </c>
      <c r="I103" t="s">
        <v>242</v>
      </c>
      <c r="J103" t="s">
        <v>34</v>
      </c>
      <c r="K103" t="str">
        <f t="shared" si="2"/>
        <v>B</v>
      </c>
      <c r="L103" t="s">
        <v>34</v>
      </c>
      <c r="M103">
        <f t="shared" si="3"/>
        <v>0</v>
      </c>
    </row>
    <row r="104" ht="18" customHeight="1" spans="1:13">
      <c r="A104" t="s">
        <v>217</v>
      </c>
      <c r="B104" s="13" t="s">
        <v>218</v>
      </c>
      <c r="C104" t="s">
        <v>31</v>
      </c>
      <c r="D104" t="s">
        <v>16</v>
      </c>
      <c r="E104" t="s">
        <v>46</v>
      </c>
      <c r="F104" s="13" t="s">
        <v>243</v>
      </c>
      <c r="G104" t="s">
        <v>19</v>
      </c>
      <c r="H104" t="s">
        <v>20</v>
      </c>
      <c r="I104" t="s">
        <v>244</v>
      </c>
      <c r="J104" t="s">
        <v>34</v>
      </c>
      <c r="K104" t="str">
        <f t="shared" si="2"/>
        <v>C</v>
      </c>
      <c r="L104" t="s">
        <v>27</v>
      </c>
      <c r="M104">
        <f t="shared" si="3"/>
        <v>1</v>
      </c>
    </row>
    <row r="105" ht="18" customHeight="1" spans="1:13">
      <c r="A105" t="s">
        <v>217</v>
      </c>
      <c r="B105" s="13" t="s">
        <v>218</v>
      </c>
      <c r="C105" t="s">
        <v>31</v>
      </c>
      <c r="D105" t="s">
        <v>24</v>
      </c>
      <c r="E105" t="s">
        <v>46</v>
      </c>
      <c r="F105" s="13" t="s">
        <v>245</v>
      </c>
      <c r="G105" t="s">
        <v>19</v>
      </c>
      <c r="H105" t="s">
        <v>20</v>
      </c>
      <c r="I105" t="s">
        <v>246</v>
      </c>
      <c r="J105" t="s">
        <v>34</v>
      </c>
      <c r="K105" t="str">
        <f t="shared" si="2"/>
        <v>C</v>
      </c>
      <c r="L105" t="s">
        <v>27</v>
      </c>
      <c r="M105">
        <f t="shared" si="3"/>
        <v>1</v>
      </c>
    </row>
    <row r="106" ht="18" customHeight="1" spans="1:13">
      <c r="A106" t="s">
        <v>217</v>
      </c>
      <c r="B106" s="13" t="s">
        <v>218</v>
      </c>
      <c r="C106" t="s">
        <v>31</v>
      </c>
      <c r="D106" t="s">
        <v>28</v>
      </c>
      <c r="E106" t="s">
        <v>46</v>
      </c>
      <c r="F106" s="13" t="s">
        <v>247</v>
      </c>
      <c r="G106" t="s">
        <v>19</v>
      </c>
      <c r="H106" t="s">
        <v>20</v>
      </c>
      <c r="I106" t="s">
        <v>248</v>
      </c>
      <c r="J106" t="s">
        <v>34</v>
      </c>
      <c r="K106" t="str">
        <f t="shared" si="2"/>
        <v>C</v>
      </c>
      <c r="L106" t="s">
        <v>27</v>
      </c>
      <c r="M106">
        <f t="shared" si="3"/>
        <v>1</v>
      </c>
    </row>
    <row r="107" ht="18" customHeight="1" spans="1:13">
      <c r="A107" t="s">
        <v>217</v>
      </c>
      <c r="B107" s="13" t="s">
        <v>218</v>
      </c>
      <c r="C107" t="s">
        <v>39</v>
      </c>
      <c r="D107" t="s">
        <v>16</v>
      </c>
      <c r="E107" t="s">
        <v>46</v>
      </c>
      <c r="F107" s="13" t="s">
        <v>249</v>
      </c>
      <c r="G107" t="s">
        <v>19</v>
      </c>
      <c r="H107" t="s">
        <v>20</v>
      </c>
      <c r="I107" t="s">
        <v>250</v>
      </c>
      <c r="J107" t="s">
        <v>34</v>
      </c>
      <c r="K107" t="str">
        <f t="shared" si="2"/>
        <v>C</v>
      </c>
      <c r="L107" t="s">
        <v>27</v>
      </c>
      <c r="M107">
        <f t="shared" si="3"/>
        <v>1</v>
      </c>
    </row>
    <row r="108" ht="18" customHeight="1" spans="1:13">
      <c r="A108" t="s">
        <v>217</v>
      </c>
      <c r="B108" s="13" t="s">
        <v>218</v>
      </c>
      <c r="C108" t="s">
        <v>39</v>
      </c>
      <c r="D108" t="s">
        <v>24</v>
      </c>
      <c r="E108" t="s">
        <v>46</v>
      </c>
      <c r="F108" s="13" t="s">
        <v>251</v>
      </c>
      <c r="G108" t="s">
        <v>19</v>
      </c>
      <c r="H108" t="s">
        <v>20</v>
      </c>
      <c r="I108" t="s">
        <v>252</v>
      </c>
      <c r="J108" t="s">
        <v>22</v>
      </c>
      <c r="K108" t="str">
        <f t="shared" si="2"/>
        <v>B</v>
      </c>
      <c r="L108" t="s">
        <v>27</v>
      </c>
      <c r="M108">
        <f t="shared" si="3"/>
        <v>0</v>
      </c>
    </row>
    <row r="109" ht="18" customHeight="1" spans="1:13">
      <c r="A109" t="s">
        <v>217</v>
      </c>
      <c r="B109" s="13" t="s">
        <v>218</v>
      </c>
      <c r="C109" t="s">
        <v>39</v>
      </c>
      <c r="D109" t="s">
        <v>28</v>
      </c>
      <c r="E109" t="s">
        <v>46</v>
      </c>
      <c r="F109" s="13" t="s">
        <v>253</v>
      </c>
      <c r="G109" t="s">
        <v>19</v>
      </c>
      <c r="H109" t="s">
        <v>20</v>
      </c>
      <c r="I109" t="s">
        <v>254</v>
      </c>
      <c r="J109" t="s">
        <v>34</v>
      </c>
      <c r="K109" t="str">
        <f t="shared" si="2"/>
        <v>C</v>
      </c>
      <c r="L109" t="s">
        <v>27</v>
      </c>
      <c r="M109">
        <f t="shared" si="3"/>
        <v>1</v>
      </c>
    </row>
    <row r="110" ht="18" customHeight="1" spans="1:13">
      <c r="A110" t="s">
        <v>255</v>
      </c>
      <c r="B110" s="13" t="s">
        <v>256</v>
      </c>
      <c r="C110" t="s">
        <v>15</v>
      </c>
      <c r="D110" t="s">
        <v>16</v>
      </c>
      <c r="E110" t="s">
        <v>17</v>
      </c>
      <c r="F110" s="13" t="s">
        <v>257</v>
      </c>
      <c r="G110" t="s">
        <v>19</v>
      </c>
      <c r="H110" t="s">
        <v>20</v>
      </c>
      <c r="I110" t="s">
        <v>258</v>
      </c>
      <c r="J110" t="s">
        <v>22</v>
      </c>
      <c r="K110" t="str">
        <f t="shared" si="2"/>
        <v>B</v>
      </c>
      <c r="L110" t="s">
        <v>23</v>
      </c>
      <c r="M110">
        <f t="shared" si="3"/>
        <v>0</v>
      </c>
    </row>
    <row r="111" ht="18" customHeight="1" spans="1:13">
      <c r="A111" t="s">
        <v>255</v>
      </c>
      <c r="B111" s="13" t="s">
        <v>256</v>
      </c>
      <c r="C111" t="s">
        <v>15</v>
      </c>
      <c r="D111" t="s">
        <v>24</v>
      </c>
      <c r="E111" t="s">
        <v>17</v>
      </c>
      <c r="F111" s="13" t="s">
        <v>259</v>
      </c>
      <c r="G111" t="s">
        <v>19</v>
      </c>
      <c r="H111" t="s">
        <v>20</v>
      </c>
      <c r="I111" t="s">
        <v>260</v>
      </c>
      <c r="J111" t="s">
        <v>22</v>
      </c>
      <c r="K111" t="str">
        <f t="shared" si="2"/>
        <v>B</v>
      </c>
      <c r="L111" t="s">
        <v>23</v>
      </c>
      <c r="M111">
        <f t="shared" si="3"/>
        <v>0</v>
      </c>
    </row>
    <row r="112" ht="18" customHeight="1" spans="1:13">
      <c r="A112" t="s">
        <v>255</v>
      </c>
      <c r="B112" s="13" t="s">
        <v>256</v>
      </c>
      <c r="C112" t="s">
        <v>15</v>
      </c>
      <c r="D112" t="s">
        <v>28</v>
      </c>
      <c r="E112" t="s">
        <v>17</v>
      </c>
      <c r="F112" s="13" t="s">
        <v>261</v>
      </c>
      <c r="G112" t="s">
        <v>19</v>
      </c>
      <c r="H112" t="s">
        <v>20</v>
      </c>
      <c r="I112" t="s">
        <v>262</v>
      </c>
      <c r="J112" t="s">
        <v>27</v>
      </c>
      <c r="K112" t="str">
        <f t="shared" si="2"/>
        <v>D(平局)</v>
      </c>
      <c r="L112" t="s">
        <v>23</v>
      </c>
      <c r="M112">
        <f t="shared" si="3"/>
        <v>1</v>
      </c>
    </row>
    <row r="113" ht="18" customHeight="1" spans="1:13">
      <c r="A113" t="s">
        <v>255</v>
      </c>
      <c r="B113" s="13" t="s">
        <v>256</v>
      </c>
      <c r="C113" t="s">
        <v>31</v>
      </c>
      <c r="D113" t="s">
        <v>16</v>
      </c>
      <c r="E113" t="s">
        <v>17</v>
      </c>
      <c r="F113" s="13" t="s">
        <v>263</v>
      </c>
      <c r="G113" t="s">
        <v>19</v>
      </c>
      <c r="H113" t="s">
        <v>20</v>
      </c>
      <c r="I113" t="s">
        <v>264</v>
      </c>
      <c r="J113" t="s">
        <v>22</v>
      </c>
      <c r="K113" t="str">
        <f t="shared" si="2"/>
        <v>C</v>
      </c>
      <c r="L113" t="s">
        <v>34</v>
      </c>
      <c r="M113">
        <f t="shared" si="3"/>
        <v>0</v>
      </c>
    </row>
    <row r="114" ht="18" customHeight="1" spans="1:13">
      <c r="A114" t="s">
        <v>255</v>
      </c>
      <c r="B114" s="13" t="s">
        <v>256</v>
      </c>
      <c r="C114" t="s">
        <v>31</v>
      </c>
      <c r="D114" t="s">
        <v>24</v>
      </c>
      <c r="E114" t="s">
        <v>17</v>
      </c>
      <c r="F114" s="13" t="s">
        <v>265</v>
      </c>
      <c r="G114" t="s">
        <v>19</v>
      </c>
      <c r="H114" t="s">
        <v>20</v>
      </c>
      <c r="I114" t="s">
        <v>266</v>
      </c>
      <c r="J114" t="s">
        <v>34</v>
      </c>
      <c r="K114" t="str">
        <f t="shared" si="2"/>
        <v>A</v>
      </c>
      <c r="L114" t="s">
        <v>34</v>
      </c>
      <c r="M114">
        <f t="shared" si="3"/>
        <v>1</v>
      </c>
    </row>
    <row r="115" ht="18" customHeight="1" spans="1:13">
      <c r="A115" t="s">
        <v>255</v>
      </c>
      <c r="B115" s="13" t="s">
        <v>256</v>
      </c>
      <c r="C115" t="s">
        <v>31</v>
      </c>
      <c r="D115" t="s">
        <v>28</v>
      </c>
      <c r="E115" t="s">
        <v>17</v>
      </c>
      <c r="F115" s="13" t="s">
        <v>267</v>
      </c>
      <c r="G115" t="s">
        <v>19</v>
      </c>
      <c r="H115" t="s">
        <v>20</v>
      </c>
      <c r="I115" t="s">
        <v>268</v>
      </c>
      <c r="J115" t="s">
        <v>34</v>
      </c>
      <c r="K115" t="str">
        <f t="shared" si="2"/>
        <v>A</v>
      </c>
      <c r="L115" t="s">
        <v>34</v>
      </c>
      <c r="M115">
        <f t="shared" si="3"/>
        <v>1</v>
      </c>
    </row>
    <row r="116" ht="18" customHeight="1" spans="1:13">
      <c r="A116" t="s">
        <v>255</v>
      </c>
      <c r="B116" s="13" t="s">
        <v>256</v>
      </c>
      <c r="C116" t="s">
        <v>39</v>
      </c>
      <c r="D116" t="s">
        <v>16</v>
      </c>
      <c r="E116" t="s">
        <v>17</v>
      </c>
      <c r="F116" s="13" t="s">
        <v>269</v>
      </c>
      <c r="G116" t="s">
        <v>19</v>
      </c>
      <c r="H116" t="s">
        <v>20</v>
      </c>
      <c r="I116" t="s">
        <v>270</v>
      </c>
      <c r="J116" t="s">
        <v>34</v>
      </c>
      <c r="K116" t="str">
        <f t="shared" si="2"/>
        <v>B</v>
      </c>
      <c r="L116" t="s">
        <v>22</v>
      </c>
      <c r="M116">
        <f t="shared" si="3"/>
        <v>1</v>
      </c>
    </row>
    <row r="117" ht="18" customHeight="1" spans="1:13">
      <c r="A117" t="s">
        <v>255</v>
      </c>
      <c r="B117" s="13" t="s">
        <v>256</v>
      </c>
      <c r="C117" t="s">
        <v>39</v>
      </c>
      <c r="D117" t="s">
        <v>24</v>
      </c>
      <c r="E117" t="s">
        <v>17</v>
      </c>
      <c r="F117" s="13" t="s">
        <v>271</v>
      </c>
      <c r="G117" t="s">
        <v>19</v>
      </c>
      <c r="H117" t="s">
        <v>20</v>
      </c>
      <c r="I117" t="s">
        <v>272</v>
      </c>
      <c r="J117" t="s">
        <v>34</v>
      </c>
      <c r="K117" t="str">
        <f t="shared" si="2"/>
        <v>B</v>
      </c>
      <c r="L117" t="s">
        <v>22</v>
      </c>
      <c r="M117">
        <f t="shared" si="3"/>
        <v>1</v>
      </c>
    </row>
    <row r="118" ht="18" customHeight="1" spans="1:13">
      <c r="A118" t="s">
        <v>255</v>
      </c>
      <c r="B118" s="13" t="s">
        <v>256</v>
      </c>
      <c r="C118" t="s">
        <v>39</v>
      </c>
      <c r="D118" t="s">
        <v>28</v>
      </c>
      <c r="E118" t="s">
        <v>17</v>
      </c>
      <c r="F118" s="13" t="s">
        <v>273</v>
      </c>
      <c r="G118" t="s">
        <v>19</v>
      </c>
      <c r="H118" t="s">
        <v>20</v>
      </c>
      <c r="I118" t="s">
        <v>274</v>
      </c>
      <c r="J118" t="s">
        <v>34</v>
      </c>
      <c r="K118" t="str">
        <f t="shared" si="2"/>
        <v>B</v>
      </c>
      <c r="L118" t="s">
        <v>22</v>
      </c>
      <c r="M118">
        <f t="shared" si="3"/>
        <v>1</v>
      </c>
    </row>
    <row r="119" ht="18" customHeight="1" spans="1:13">
      <c r="A119" t="s">
        <v>255</v>
      </c>
      <c r="B119" s="13" t="s">
        <v>256</v>
      </c>
      <c r="C119" t="s">
        <v>15</v>
      </c>
      <c r="D119" t="s">
        <v>16</v>
      </c>
      <c r="E119" t="s">
        <v>46</v>
      </c>
      <c r="F119" s="13" t="s">
        <v>275</v>
      </c>
      <c r="G119" t="s">
        <v>19</v>
      </c>
      <c r="H119" t="s">
        <v>20</v>
      </c>
      <c r="I119" t="s">
        <v>276</v>
      </c>
      <c r="J119" t="s">
        <v>34</v>
      </c>
      <c r="K119" t="str">
        <f t="shared" si="2"/>
        <v>B</v>
      </c>
      <c r="L119" t="s">
        <v>23</v>
      </c>
      <c r="M119">
        <f t="shared" si="3"/>
        <v>0</v>
      </c>
    </row>
    <row r="120" ht="18" customHeight="1" spans="1:13">
      <c r="A120" t="s">
        <v>255</v>
      </c>
      <c r="B120" s="13" t="s">
        <v>256</v>
      </c>
      <c r="C120" t="s">
        <v>15</v>
      </c>
      <c r="D120" t="s">
        <v>24</v>
      </c>
      <c r="E120" t="s">
        <v>46</v>
      </c>
      <c r="F120" s="13" t="s">
        <v>277</v>
      </c>
      <c r="G120" t="s">
        <v>19</v>
      </c>
      <c r="H120" t="s">
        <v>20</v>
      </c>
      <c r="I120" t="s">
        <v>278</v>
      </c>
      <c r="J120" t="s">
        <v>22</v>
      </c>
      <c r="K120" t="str">
        <f t="shared" si="2"/>
        <v>A</v>
      </c>
      <c r="L120" t="s">
        <v>23</v>
      </c>
      <c r="M120">
        <f t="shared" si="3"/>
        <v>0</v>
      </c>
    </row>
    <row r="121" ht="18" customHeight="1" spans="1:13">
      <c r="A121" t="s">
        <v>255</v>
      </c>
      <c r="B121" s="13" t="s">
        <v>256</v>
      </c>
      <c r="C121" t="s">
        <v>15</v>
      </c>
      <c r="D121" t="s">
        <v>28</v>
      </c>
      <c r="E121" t="s">
        <v>46</v>
      </c>
      <c r="F121" s="13" t="s">
        <v>279</v>
      </c>
      <c r="G121" t="s">
        <v>19</v>
      </c>
      <c r="H121" t="s">
        <v>20</v>
      </c>
      <c r="I121" t="s">
        <v>280</v>
      </c>
      <c r="J121" t="s">
        <v>34</v>
      </c>
      <c r="K121" t="str">
        <f t="shared" si="2"/>
        <v>B</v>
      </c>
      <c r="L121" t="s">
        <v>23</v>
      </c>
      <c r="M121">
        <f t="shared" si="3"/>
        <v>0</v>
      </c>
    </row>
    <row r="122" ht="18" customHeight="1" spans="1:13">
      <c r="A122" t="s">
        <v>255</v>
      </c>
      <c r="B122" s="13" t="s">
        <v>256</v>
      </c>
      <c r="C122" t="s">
        <v>31</v>
      </c>
      <c r="D122" t="s">
        <v>16</v>
      </c>
      <c r="E122" t="s">
        <v>46</v>
      </c>
      <c r="F122" s="13" t="s">
        <v>281</v>
      </c>
      <c r="G122" t="s">
        <v>19</v>
      </c>
      <c r="H122" t="s">
        <v>20</v>
      </c>
      <c r="I122" t="s">
        <v>282</v>
      </c>
      <c r="J122" t="s">
        <v>22</v>
      </c>
      <c r="K122" t="str">
        <f t="shared" si="2"/>
        <v>A</v>
      </c>
      <c r="L122" t="s">
        <v>34</v>
      </c>
      <c r="M122">
        <f t="shared" si="3"/>
        <v>1</v>
      </c>
    </row>
    <row r="123" ht="18" customHeight="1" spans="1:13">
      <c r="A123" t="s">
        <v>255</v>
      </c>
      <c r="B123" s="13" t="s">
        <v>256</v>
      </c>
      <c r="C123" t="s">
        <v>31</v>
      </c>
      <c r="D123" t="s">
        <v>24</v>
      </c>
      <c r="E123" t="s">
        <v>46</v>
      </c>
      <c r="F123" s="13" t="s">
        <v>283</v>
      </c>
      <c r="G123" t="s">
        <v>19</v>
      </c>
      <c r="H123" t="s">
        <v>20</v>
      </c>
      <c r="I123" t="s">
        <v>284</v>
      </c>
      <c r="J123" t="s">
        <v>22</v>
      </c>
      <c r="K123" t="str">
        <f t="shared" si="2"/>
        <v>A</v>
      </c>
      <c r="L123" t="s">
        <v>34</v>
      </c>
      <c r="M123">
        <f t="shared" si="3"/>
        <v>1</v>
      </c>
    </row>
    <row r="124" ht="18" customHeight="1" spans="1:13">
      <c r="A124" t="s">
        <v>255</v>
      </c>
      <c r="B124" s="13" t="s">
        <v>256</v>
      </c>
      <c r="C124" t="s">
        <v>31</v>
      </c>
      <c r="D124" t="s">
        <v>28</v>
      </c>
      <c r="E124" t="s">
        <v>46</v>
      </c>
      <c r="F124" s="13" t="s">
        <v>285</v>
      </c>
      <c r="G124" t="s">
        <v>19</v>
      </c>
      <c r="H124" t="s">
        <v>20</v>
      </c>
      <c r="I124" t="s">
        <v>286</v>
      </c>
      <c r="J124" t="s">
        <v>22</v>
      </c>
      <c r="K124" t="str">
        <f t="shared" si="2"/>
        <v>A</v>
      </c>
      <c r="L124" t="s">
        <v>34</v>
      </c>
      <c r="M124">
        <f t="shared" si="3"/>
        <v>1</v>
      </c>
    </row>
    <row r="125" ht="18" customHeight="1" spans="1:13">
      <c r="A125" t="s">
        <v>255</v>
      </c>
      <c r="B125" s="13" t="s">
        <v>256</v>
      </c>
      <c r="C125" t="s">
        <v>39</v>
      </c>
      <c r="D125" t="s">
        <v>16</v>
      </c>
      <c r="E125" t="s">
        <v>46</v>
      </c>
      <c r="F125" s="13" t="s">
        <v>287</v>
      </c>
      <c r="G125" t="s">
        <v>19</v>
      </c>
      <c r="H125" t="s">
        <v>20</v>
      </c>
      <c r="I125" t="s">
        <v>288</v>
      </c>
      <c r="J125" t="s">
        <v>22</v>
      </c>
      <c r="K125" t="str">
        <f t="shared" si="2"/>
        <v>B</v>
      </c>
      <c r="L125" t="s">
        <v>22</v>
      </c>
      <c r="M125">
        <f t="shared" si="3"/>
        <v>1</v>
      </c>
    </row>
    <row r="126" ht="18" customHeight="1" spans="1:13">
      <c r="A126" t="s">
        <v>255</v>
      </c>
      <c r="B126" s="13" t="s">
        <v>256</v>
      </c>
      <c r="C126" t="s">
        <v>39</v>
      </c>
      <c r="D126" t="s">
        <v>24</v>
      </c>
      <c r="E126" t="s">
        <v>46</v>
      </c>
      <c r="F126" s="13" t="s">
        <v>289</v>
      </c>
      <c r="G126" t="s">
        <v>19</v>
      </c>
      <c r="H126" t="s">
        <v>20</v>
      </c>
      <c r="I126" t="s">
        <v>290</v>
      </c>
      <c r="J126" t="s">
        <v>22</v>
      </c>
      <c r="K126" t="str">
        <f t="shared" si="2"/>
        <v>B</v>
      </c>
      <c r="L126" t="s">
        <v>22</v>
      </c>
      <c r="M126">
        <f t="shared" si="3"/>
        <v>1</v>
      </c>
    </row>
    <row r="127" ht="18" customHeight="1" spans="1:13">
      <c r="A127" t="s">
        <v>255</v>
      </c>
      <c r="B127" s="13" t="s">
        <v>256</v>
      </c>
      <c r="C127" t="s">
        <v>39</v>
      </c>
      <c r="D127" t="s">
        <v>28</v>
      </c>
      <c r="E127" t="s">
        <v>46</v>
      </c>
      <c r="F127" s="13" t="s">
        <v>291</v>
      </c>
      <c r="G127" t="s">
        <v>19</v>
      </c>
      <c r="H127" t="s">
        <v>20</v>
      </c>
      <c r="I127" t="s">
        <v>292</v>
      </c>
      <c r="J127" t="s">
        <v>22</v>
      </c>
      <c r="K127" t="str">
        <f t="shared" si="2"/>
        <v>B</v>
      </c>
      <c r="L127" t="s">
        <v>22</v>
      </c>
      <c r="M127">
        <f t="shared" si="3"/>
        <v>1</v>
      </c>
    </row>
    <row r="128" ht="18" customHeight="1" spans="1:13">
      <c r="A128" t="s">
        <v>293</v>
      </c>
      <c r="B128" s="13" t="s">
        <v>294</v>
      </c>
      <c r="C128" t="s">
        <v>15</v>
      </c>
      <c r="D128" t="s">
        <v>16</v>
      </c>
      <c r="E128" t="s">
        <v>17</v>
      </c>
      <c r="F128" s="13" t="s">
        <v>295</v>
      </c>
      <c r="G128" t="s">
        <v>19</v>
      </c>
      <c r="H128" t="s">
        <v>20</v>
      </c>
      <c r="I128" t="s">
        <v>296</v>
      </c>
      <c r="J128" t="s">
        <v>34</v>
      </c>
      <c r="K128" t="str">
        <f t="shared" si="2"/>
        <v>A</v>
      </c>
      <c r="L128" t="s">
        <v>34</v>
      </c>
      <c r="M128">
        <f t="shared" si="3"/>
        <v>1</v>
      </c>
    </row>
    <row r="129" ht="18" customHeight="1" spans="1:13">
      <c r="A129" t="s">
        <v>293</v>
      </c>
      <c r="B129" s="13" t="s">
        <v>294</v>
      </c>
      <c r="C129" t="s">
        <v>15</v>
      </c>
      <c r="D129" t="s">
        <v>24</v>
      </c>
      <c r="E129" t="s">
        <v>17</v>
      </c>
      <c r="F129" s="13" t="s">
        <v>297</v>
      </c>
      <c r="G129" t="s">
        <v>19</v>
      </c>
      <c r="H129" t="s">
        <v>20</v>
      </c>
      <c r="I129" t="s">
        <v>298</v>
      </c>
      <c r="J129" t="s">
        <v>34</v>
      </c>
      <c r="K129" t="str">
        <f t="shared" si="2"/>
        <v>A</v>
      </c>
      <c r="L129" t="s">
        <v>34</v>
      </c>
      <c r="M129">
        <f t="shared" si="3"/>
        <v>1</v>
      </c>
    </row>
    <row r="130" ht="18" customHeight="1" spans="1:13">
      <c r="A130" t="s">
        <v>293</v>
      </c>
      <c r="B130" s="13" t="s">
        <v>294</v>
      </c>
      <c r="C130" t="s">
        <v>15</v>
      </c>
      <c r="D130" t="s">
        <v>28</v>
      </c>
      <c r="E130" t="s">
        <v>17</v>
      </c>
      <c r="F130" s="13" t="s">
        <v>299</v>
      </c>
      <c r="G130" t="s">
        <v>19</v>
      </c>
      <c r="H130" t="s">
        <v>20</v>
      </c>
      <c r="I130" t="s">
        <v>300</v>
      </c>
      <c r="J130" t="s">
        <v>34</v>
      </c>
      <c r="K130" t="str">
        <f t="shared" ref="K130:K193" si="4">IF(OR(J130="",C130="",E130=""),"",IF(J130="C","D(平局)",IF(J130=IF(E130="l2r","A","B"),LEFT(C130,1),RIGHT(C130,1))))</f>
        <v>A</v>
      </c>
      <c r="L130" t="s">
        <v>34</v>
      </c>
      <c r="M130">
        <f t="shared" ref="M130:M193" si="5">IF(OR(K130="",L130=""),"",--(K130=L130))</f>
        <v>1</v>
      </c>
    </row>
    <row r="131" ht="18" customHeight="1" spans="1:13">
      <c r="A131" t="s">
        <v>293</v>
      </c>
      <c r="B131" s="13" t="s">
        <v>294</v>
      </c>
      <c r="C131" t="s">
        <v>31</v>
      </c>
      <c r="D131" t="s">
        <v>16</v>
      </c>
      <c r="E131" t="s">
        <v>17</v>
      </c>
      <c r="F131" s="13" t="s">
        <v>301</v>
      </c>
      <c r="G131" t="s">
        <v>19</v>
      </c>
      <c r="H131" t="s">
        <v>20</v>
      </c>
      <c r="I131" t="s">
        <v>302</v>
      </c>
      <c r="J131" t="s">
        <v>34</v>
      </c>
      <c r="K131" t="str">
        <f t="shared" si="4"/>
        <v>A</v>
      </c>
      <c r="L131" t="s">
        <v>23</v>
      </c>
      <c r="M131">
        <f t="shared" si="5"/>
        <v>0</v>
      </c>
    </row>
    <row r="132" ht="18" customHeight="1" spans="1:13">
      <c r="A132" t="s">
        <v>293</v>
      </c>
      <c r="B132" s="13" t="s">
        <v>294</v>
      </c>
      <c r="C132" t="s">
        <v>31</v>
      </c>
      <c r="D132" t="s">
        <v>24</v>
      </c>
      <c r="E132" t="s">
        <v>17</v>
      </c>
      <c r="F132" s="13" t="s">
        <v>303</v>
      </c>
      <c r="G132" t="s">
        <v>19</v>
      </c>
      <c r="H132" t="s">
        <v>20</v>
      </c>
      <c r="I132" t="s">
        <v>304</v>
      </c>
      <c r="J132" t="s">
        <v>34</v>
      </c>
      <c r="K132" t="str">
        <f t="shared" si="4"/>
        <v>A</v>
      </c>
      <c r="L132" t="s">
        <v>23</v>
      </c>
      <c r="M132">
        <f t="shared" si="5"/>
        <v>0</v>
      </c>
    </row>
    <row r="133" ht="18" customHeight="1" spans="1:13">
      <c r="A133" t="s">
        <v>293</v>
      </c>
      <c r="B133" s="13" t="s">
        <v>294</v>
      </c>
      <c r="C133" t="s">
        <v>31</v>
      </c>
      <c r="D133" t="s">
        <v>28</v>
      </c>
      <c r="E133" t="s">
        <v>17</v>
      </c>
      <c r="F133" s="13" t="s">
        <v>305</v>
      </c>
      <c r="G133" t="s">
        <v>19</v>
      </c>
      <c r="H133" t="s">
        <v>20</v>
      </c>
      <c r="I133" t="s">
        <v>306</v>
      </c>
      <c r="J133" t="s">
        <v>34</v>
      </c>
      <c r="K133" t="str">
        <f t="shared" si="4"/>
        <v>A</v>
      </c>
      <c r="L133" t="s">
        <v>23</v>
      </c>
      <c r="M133">
        <f t="shared" si="5"/>
        <v>0</v>
      </c>
    </row>
    <row r="134" ht="18" customHeight="1" spans="1:13">
      <c r="A134" t="s">
        <v>293</v>
      </c>
      <c r="B134" s="13" t="s">
        <v>294</v>
      </c>
      <c r="C134" t="s">
        <v>39</v>
      </c>
      <c r="D134" t="s">
        <v>16</v>
      </c>
      <c r="E134" t="s">
        <v>17</v>
      </c>
      <c r="F134" s="13" t="s">
        <v>307</v>
      </c>
      <c r="G134" t="s">
        <v>19</v>
      </c>
      <c r="H134" t="s">
        <v>20</v>
      </c>
      <c r="I134" t="s">
        <v>308</v>
      </c>
      <c r="J134" t="s">
        <v>22</v>
      </c>
      <c r="K134" t="str">
        <f t="shared" si="4"/>
        <v>C</v>
      </c>
      <c r="L134" t="s">
        <v>27</v>
      </c>
      <c r="M134">
        <f t="shared" si="5"/>
        <v>1</v>
      </c>
    </row>
    <row r="135" ht="18" customHeight="1" spans="1:13">
      <c r="A135" t="s">
        <v>293</v>
      </c>
      <c r="B135" s="13" t="s">
        <v>294</v>
      </c>
      <c r="C135" t="s">
        <v>39</v>
      </c>
      <c r="D135" t="s">
        <v>24</v>
      </c>
      <c r="E135" t="s">
        <v>17</v>
      </c>
      <c r="F135" s="13" t="s">
        <v>309</v>
      </c>
      <c r="G135" t="s">
        <v>19</v>
      </c>
      <c r="H135" t="s">
        <v>20</v>
      </c>
      <c r="I135" t="s">
        <v>310</v>
      </c>
      <c r="J135" t="s">
        <v>22</v>
      </c>
      <c r="K135" t="str">
        <f t="shared" si="4"/>
        <v>C</v>
      </c>
      <c r="L135" t="s">
        <v>27</v>
      </c>
      <c r="M135">
        <f t="shared" si="5"/>
        <v>1</v>
      </c>
    </row>
    <row r="136" ht="18" customHeight="1" spans="1:13">
      <c r="A136" t="s">
        <v>293</v>
      </c>
      <c r="B136" s="13" t="s">
        <v>294</v>
      </c>
      <c r="C136" t="s">
        <v>39</v>
      </c>
      <c r="D136" t="s">
        <v>28</v>
      </c>
      <c r="E136" t="s">
        <v>17</v>
      </c>
      <c r="F136" s="13" t="s">
        <v>311</v>
      </c>
      <c r="G136" t="s">
        <v>19</v>
      </c>
      <c r="H136" t="s">
        <v>20</v>
      </c>
      <c r="I136" t="s">
        <v>312</v>
      </c>
      <c r="J136" t="s">
        <v>22</v>
      </c>
      <c r="K136" t="str">
        <f t="shared" si="4"/>
        <v>C</v>
      </c>
      <c r="L136" t="s">
        <v>27</v>
      </c>
      <c r="M136">
        <f t="shared" si="5"/>
        <v>1</v>
      </c>
    </row>
    <row r="137" ht="18" customHeight="1" spans="1:13">
      <c r="A137" t="s">
        <v>293</v>
      </c>
      <c r="B137" s="13" t="s">
        <v>294</v>
      </c>
      <c r="C137" t="s">
        <v>15</v>
      </c>
      <c r="D137" t="s">
        <v>16</v>
      </c>
      <c r="E137" t="s">
        <v>46</v>
      </c>
      <c r="F137" s="13" t="s">
        <v>313</v>
      </c>
      <c r="G137" t="s">
        <v>19</v>
      </c>
      <c r="H137" t="s">
        <v>20</v>
      </c>
      <c r="I137" t="s">
        <v>314</v>
      </c>
      <c r="J137" t="s">
        <v>22</v>
      </c>
      <c r="K137" t="str">
        <f t="shared" si="4"/>
        <v>A</v>
      </c>
      <c r="L137" t="s">
        <v>34</v>
      </c>
      <c r="M137">
        <f t="shared" si="5"/>
        <v>1</v>
      </c>
    </row>
    <row r="138" ht="18" customHeight="1" spans="1:13">
      <c r="A138" t="s">
        <v>293</v>
      </c>
      <c r="B138" s="13" t="s">
        <v>294</v>
      </c>
      <c r="C138" t="s">
        <v>15</v>
      </c>
      <c r="D138" t="s">
        <v>24</v>
      </c>
      <c r="E138" t="s">
        <v>46</v>
      </c>
      <c r="F138" s="13" t="s">
        <v>315</v>
      </c>
      <c r="G138" t="s">
        <v>19</v>
      </c>
      <c r="H138" t="s">
        <v>20</v>
      </c>
      <c r="I138" t="s">
        <v>316</v>
      </c>
      <c r="J138" t="s">
        <v>22</v>
      </c>
      <c r="K138" t="str">
        <f t="shared" si="4"/>
        <v>A</v>
      </c>
      <c r="L138" t="s">
        <v>34</v>
      </c>
      <c r="M138">
        <f t="shared" si="5"/>
        <v>1</v>
      </c>
    </row>
    <row r="139" ht="18" customHeight="1" spans="1:13">
      <c r="A139" t="s">
        <v>293</v>
      </c>
      <c r="B139" s="13" t="s">
        <v>294</v>
      </c>
      <c r="C139" t="s">
        <v>15</v>
      </c>
      <c r="D139" t="s">
        <v>28</v>
      </c>
      <c r="E139" t="s">
        <v>46</v>
      </c>
      <c r="F139" s="13" t="s">
        <v>317</v>
      </c>
      <c r="G139" t="s">
        <v>19</v>
      </c>
      <c r="H139" t="s">
        <v>20</v>
      </c>
      <c r="I139" t="s">
        <v>318</v>
      </c>
      <c r="J139" t="s">
        <v>22</v>
      </c>
      <c r="K139" t="str">
        <f t="shared" si="4"/>
        <v>A</v>
      </c>
      <c r="L139" t="s">
        <v>34</v>
      </c>
      <c r="M139">
        <f t="shared" si="5"/>
        <v>1</v>
      </c>
    </row>
    <row r="140" ht="18" customHeight="1" spans="1:13">
      <c r="A140" t="s">
        <v>293</v>
      </c>
      <c r="B140" s="13" t="s">
        <v>294</v>
      </c>
      <c r="C140" t="s">
        <v>31</v>
      </c>
      <c r="D140" t="s">
        <v>16</v>
      </c>
      <c r="E140" t="s">
        <v>46</v>
      </c>
      <c r="F140" s="13" t="s">
        <v>319</v>
      </c>
      <c r="G140" t="s">
        <v>19</v>
      </c>
      <c r="H140" t="s">
        <v>20</v>
      </c>
      <c r="I140" t="s">
        <v>320</v>
      </c>
      <c r="J140" t="s">
        <v>22</v>
      </c>
      <c r="K140" t="str">
        <f t="shared" si="4"/>
        <v>A</v>
      </c>
      <c r="L140" t="s">
        <v>23</v>
      </c>
      <c r="M140">
        <f t="shared" si="5"/>
        <v>0</v>
      </c>
    </row>
    <row r="141" ht="18" customHeight="1" spans="1:13">
      <c r="A141" t="s">
        <v>293</v>
      </c>
      <c r="B141" s="13" t="s">
        <v>294</v>
      </c>
      <c r="C141" t="s">
        <v>31</v>
      </c>
      <c r="D141" t="s">
        <v>24</v>
      </c>
      <c r="E141" t="s">
        <v>46</v>
      </c>
      <c r="F141" s="13" t="s">
        <v>321</v>
      </c>
      <c r="G141" t="s">
        <v>19</v>
      </c>
      <c r="H141" t="s">
        <v>20</v>
      </c>
      <c r="I141" t="s">
        <v>322</v>
      </c>
      <c r="J141" t="s">
        <v>27</v>
      </c>
      <c r="K141" t="str">
        <f t="shared" si="4"/>
        <v>D(平局)</v>
      </c>
      <c r="L141" t="s">
        <v>23</v>
      </c>
      <c r="M141">
        <f t="shared" si="5"/>
        <v>1</v>
      </c>
    </row>
    <row r="142" ht="18" customHeight="1" spans="1:13">
      <c r="A142" t="s">
        <v>293</v>
      </c>
      <c r="B142" s="13" t="s">
        <v>294</v>
      </c>
      <c r="C142" t="s">
        <v>31</v>
      </c>
      <c r="D142" t="s">
        <v>28</v>
      </c>
      <c r="E142" t="s">
        <v>46</v>
      </c>
      <c r="F142" s="13" t="s">
        <v>323</v>
      </c>
      <c r="G142" t="s">
        <v>19</v>
      </c>
      <c r="H142" t="s">
        <v>20</v>
      </c>
      <c r="I142" t="s">
        <v>324</v>
      </c>
      <c r="J142" t="s">
        <v>22</v>
      </c>
      <c r="K142" t="str">
        <f t="shared" si="4"/>
        <v>A</v>
      </c>
      <c r="L142" t="s">
        <v>23</v>
      </c>
      <c r="M142">
        <f t="shared" si="5"/>
        <v>0</v>
      </c>
    </row>
    <row r="143" ht="18" customHeight="1" spans="1:13">
      <c r="A143" t="s">
        <v>293</v>
      </c>
      <c r="B143" s="13" t="s">
        <v>294</v>
      </c>
      <c r="C143" t="s">
        <v>39</v>
      </c>
      <c r="D143" t="s">
        <v>16</v>
      </c>
      <c r="E143" t="s">
        <v>46</v>
      </c>
      <c r="F143" s="13" t="s">
        <v>325</v>
      </c>
      <c r="G143" t="s">
        <v>19</v>
      </c>
      <c r="H143" t="s">
        <v>20</v>
      </c>
      <c r="I143" t="s">
        <v>326</v>
      </c>
      <c r="J143" t="s">
        <v>34</v>
      </c>
      <c r="K143" t="str">
        <f t="shared" si="4"/>
        <v>C</v>
      </c>
      <c r="L143" t="s">
        <v>27</v>
      </c>
      <c r="M143">
        <f t="shared" si="5"/>
        <v>1</v>
      </c>
    </row>
    <row r="144" ht="18" customHeight="1" spans="1:13">
      <c r="A144" t="s">
        <v>293</v>
      </c>
      <c r="B144" s="13" t="s">
        <v>294</v>
      </c>
      <c r="C144" t="s">
        <v>39</v>
      </c>
      <c r="D144" t="s">
        <v>24</v>
      </c>
      <c r="E144" t="s">
        <v>46</v>
      </c>
      <c r="F144" s="13" t="s">
        <v>327</v>
      </c>
      <c r="G144" t="s">
        <v>19</v>
      </c>
      <c r="H144" t="s">
        <v>20</v>
      </c>
      <c r="I144" t="s">
        <v>328</v>
      </c>
      <c r="J144" t="s">
        <v>34</v>
      </c>
      <c r="K144" t="str">
        <f t="shared" si="4"/>
        <v>C</v>
      </c>
      <c r="L144" t="s">
        <v>27</v>
      </c>
      <c r="M144">
        <f t="shared" si="5"/>
        <v>1</v>
      </c>
    </row>
    <row r="145" ht="18" customHeight="1" spans="1:13">
      <c r="A145" t="s">
        <v>293</v>
      </c>
      <c r="B145" s="13" t="s">
        <v>294</v>
      </c>
      <c r="C145" t="s">
        <v>39</v>
      </c>
      <c r="D145" t="s">
        <v>28</v>
      </c>
      <c r="E145" t="s">
        <v>46</v>
      </c>
      <c r="F145" s="13" t="s">
        <v>329</v>
      </c>
      <c r="G145" t="s">
        <v>19</v>
      </c>
      <c r="H145" t="s">
        <v>20</v>
      </c>
      <c r="I145" t="s">
        <v>330</v>
      </c>
      <c r="J145" t="s">
        <v>34</v>
      </c>
      <c r="K145" t="str">
        <f t="shared" si="4"/>
        <v>C</v>
      </c>
      <c r="L145" t="s">
        <v>27</v>
      </c>
      <c r="M145">
        <f t="shared" si="5"/>
        <v>1</v>
      </c>
    </row>
    <row r="146" ht="18" customHeight="1" spans="1:13">
      <c r="A146" t="s">
        <v>331</v>
      </c>
      <c r="B146" s="13" t="s">
        <v>332</v>
      </c>
      <c r="C146" t="s">
        <v>15</v>
      </c>
      <c r="D146" t="s">
        <v>16</v>
      </c>
      <c r="E146" t="s">
        <v>17</v>
      </c>
      <c r="F146" s="13" t="s">
        <v>333</v>
      </c>
      <c r="G146" t="s">
        <v>19</v>
      </c>
      <c r="H146" t="s">
        <v>20</v>
      </c>
      <c r="I146" t="s">
        <v>334</v>
      </c>
      <c r="J146" t="s">
        <v>22</v>
      </c>
      <c r="K146" t="str">
        <f t="shared" si="4"/>
        <v>B</v>
      </c>
      <c r="L146" t="s">
        <v>22</v>
      </c>
      <c r="M146">
        <f t="shared" si="5"/>
        <v>1</v>
      </c>
    </row>
    <row r="147" ht="18" customHeight="1" spans="1:13">
      <c r="A147" t="s">
        <v>331</v>
      </c>
      <c r="B147" s="13" t="s">
        <v>332</v>
      </c>
      <c r="C147" t="s">
        <v>15</v>
      </c>
      <c r="D147" t="s">
        <v>24</v>
      </c>
      <c r="E147" t="s">
        <v>17</v>
      </c>
      <c r="F147" s="13" t="s">
        <v>335</v>
      </c>
      <c r="G147" t="s">
        <v>19</v>
      </c>
      <c r="H147" t="s">
        <v>20</v>
      </c>
      <c r="I147" t="s">
        <v>336</v>
      </c>
      <c r="J147" t="s">
        <v>22</v>
      </c>
      <c r="K147" t="str">
        <f t="shared" si="4"/>
        <v>B</v>
      </c>
      <c r="L147" t="s">
        <v>22</v>
      </c>
      <c r="M147">
        <f t="shared" si="5"/>
        <v>1</v>
      </c>
    </row>
    <row r="148" ht="18" customHeight="1" spans="1:13">
      <c r="A148" t="s">
        <v>331</v>
      </c>
      <c r="B148" s="13" t="s">
        <v>332</v>
      </c>
      <c r="C148" t="s">
        <v>15</v>
      </c>
      <c r="D148" t="s">
        <v>28</v>
      </c>
      <c r="E148" t="s">
        <v>17</v>
      </c>
      <c r="F148" s="13" t="s">
        <v>337</v>
      </c>
      <c r="G148" t="s">
        <v>19</v>
      </c>
      <c r="H148" t="s">
        <v>20</v>
      </c>
      <c r="I148" t="s">
        <v>338</v>
      </c>
      <c r="J148" t="s">
        <v>27</v>
      </c>
      <c r="K148" t="str">
        <f t="shared" si="4"/>
        <v>D(平局)</v>
      </c>
      <c r="L148" t="s">
        <v>22</v>
      </c>
      <c r="M148">
        <f t="shared" si="5"/>
        <v>0</v>
      </c>
    </row>
    <row r="149" ht="18" customHeight="1" spans="1:13">
      <c r="A149" t="s">
        <v>331</v>
      </c>
      <c r="B149" s="13" t="s">
        <v>332</v>
      </c>
      <c r="C149" t="s">
        <v>31</v>
      </c>
      <c r="D149" t="s">
        <v>16</v>
      </c>
      <c r="E149" t="s">
        <v>17</v>
      </c>
      <c r="F149" s="13" t="s">
        <v>339</v>
      </c>
      <c r="G149" t="s">
        <v>19</v>
      </c>
      <c r="H149" t="s">
        <v>20</v>
      </c>
      <c r="I149" t="s">
        <v>340</v>
      </c>
      <c r="J149" t="s">
        <v>34</v>
      </c>
      <c r="K149" t="str">
        <f t="shared" si="4"/>
        <v>A</v>
      </c>
      <c r="L149" t="s">
        <v>34</v>
      </c>
      <c r="M149">
        <f t="shared" si="5"/>
        <v>1</v>
      </c>
    </row>
    <row r="150" ht="18" customHeight="1" spans="1:13">
      <c r="A150" t="s">
        <v>331</v>
      </c>
      <c r="B150" s="13" t="s">
        <v>332</v>
      </c>
      <c r="C150" t="s">
        <v>31</v>
      </c>
      <c r="D150" t="s">
        <v>24</v>
      </c>
      <c r="E150" t="s">
        <v>17</v>
      </c>
      <c r="F150" s="13" t="s">
        <v>341</v>
      </c>
      <c r="G150" t="s">
        <v>19</v>
      </c>
      <c r="H150" t="s">
        <v>20</v>
      </c>
      <c r="I150" t="s">
        <v>342</v>
      </c>
      <c r="J150" t="s">
        <v>34</v>
      </c>
      <c r="K150" t="str">
        <f t="shared" si="4"/>
        <v>A</v>
      </c>
      <c r="L150" t="s">
        <v>34</v>
      </c>
      <c r="M150">
        <f t="shared" si="5"/>
        <v>1</v>
      </c>
    </row>
    <row r="151" ht="18" customHeight="1" spans="1:13">
      <c r="A151" t="s">
        <v>331</v>
      </c>
      <c r="B151" s="13" t="s">
        <v>332</v>
      </c>
      <c r="C151" t="s">
        <v>31</v>
      </c>
      <c r="D151" t="s">
        <v>28</v>
      </c>
      <c r="E151" t="s">
        <v>17</v>
      </c>
      <c r="F151" s="13" t="s">
        <v>343</v>
      </c>
      <c r="G151" t="s">
        <v>19</v>
      </c>
      <c r="H151" t="s">
        <v>20</v>
      </c>
      <c r="I151" t="s">
        <v>344</v>
      </c>
      <c r="J151" t="s">
        <v>34</v>
      </c>
      <c r="K151" t="str">
        <f t="shared" si="4"/>
        <v>A</v>
      </c>
      <c r="L151" t="s">
        <v>34</v>
      </c>
      <c r="M151">
        <f t="shared" si="5"/>
        <v>1</v>
      </c>
    </row>
    <row r="152" ht="18" customHeight="1" spans="1:13">
      <c r="A152" t="s">
        <v>331</v>
      </c>
      <c r="B152" s="13" t="s">
        <v>332</v>
      </c>
      <c r="C152" t="s">
        <v>39</v>
      </c>
      <c r="D152" t="s">
        <v>16</v>
      </c>
      <c r="E152" t="s">
        <v>17</v>
      </c>
      <c r="F152" s="13" t="s">
        <v>345</v>
      </c>
      <c r="G152" t="s">
        <v>19</v>
      </c>
      <c r="H152" t="s">
        <v>20</v>
      </c>
      <c r="I152" t="s">
        <v>346</v>
      </c>
      <c r="J152" t="s">
        <v>34</v>
      </c>
      <c r="K152" t="str">
        <f t="shared" si="4"/>
        <v>B</v>
      </c>
      <c r="L152" t="s">
        <v>22</v>
      </c>
      <c r="M152">
        <f t="shared" si="5"/>
        <v>1</v>
      </c>
    </row>
    <row r="153" ht="18" customHeight="1" spans="1:13">
      <c r="A153" t="s">
        <v>331</v>
      </c>
      <c r="B153" s="13" t="s">
        <v>332</v>
      </c>
      <c r="C153" t="s">
        <v>39</v>
      </c>
      <c r="D153" t="s">
        <v>24</v>
      </c>
      <c r="E153" t="s">
        <v>17</v>
      </c>
      <c r="F153" s="13" t="s">
        <v>347</v>
      </c>
      <c r="G153" t="s">
        <v>19</v>
      </c>
      <c r="H153" t="s">
        <v>20</v>
      </c>
      <c r="I153" t="s">
        <v>348</v>
      </c>
      <c r="J153" t="s">
        <v>34</v>
      </c>
      <c r="K153" t="str">
        <f t="shared" si="4"/>
        <v>B</v>
      </c>
      <c r="L153" t="s">
        <v>22</v>
      </c>
      <c r="M153">
        <f t="shared" si="5"/>
        <v>1</v>
      </c>
    </row>
    <row r="154" ht="18" customHeight="1" spans="1:13">
      <c r="A154" t="s">
        <v>331</v>
      </c>
      <c r="B154" s="13" t="s">
        <v>332</v>
      </c>
      <c r="C154" t="s">
        <v>39</v>
      </c>
      <c r="D154" t="s">
        <v>28</v>
      </c>
      <c r="E154" t="s">
        <v>17</v>
      </c>
      <c r="F154" s="13" t="s">
        <v>349</v>
      </c>
      <c r="G154" t="s">
        <v>19</v>
      </c>
      <c r="H154" t="s">
        <v>20</v>
      </c>
      <c r="I154" t="s">
        <v>350</v>
      </c>
      <c r="J154" t="s">
        <v>34</v>
      </c>
      <c r="K154" t="str">
        <f t="shared" si="4"/>
        <v>B</v>
      </c>
      <c r="L154" t="s">
        <v>22</v>
      </c>
      <c r="M154">
        <f t="shared" si="5"/>
        <v>1</v>
      </c>
    </row>
    <row r="155" ht="18" customHeight="1" spans="1:13">
      <c r="A155" t="s">
        <v>331</v>
      </c>
      <c r="B155" s="13" t="s">
        <v>332</v>
      </c>
      <c r="C155" t="s">
        <v>15</v>
      </c>
      <c r="D155" t="s">
        <v>16</v>
      </c>
      <c r="E155" t="s">
        <v>46</v>
      </c>
      <c r="F155" s="13" t="s">
        <v>351</v>
      </c>
      <c r="G155" t="s">
        <v>19</v>
      </c>
      <c r="H155" t="s">
        <v>20</v>
      </c>
      <c r="I155" t="s">
        <v>352</v>
      </c>
      <c r="J155" t="s">
        <v>34</v>
      </c>
      <c r="K155" t="str">
        <f t="shared" si="4"/>
        <v>B</v>
      </c>
      <c r="L155" t="s">
        <v>22</v>
      </c>
      <c r="M155">
        <f t="shared" si="5"/>
        <v>1</v>
      </c>
    </row>
    <row r="156" ht="18" customHeight="1" spans="1:13">
      <c r="A156" t="s">
        <v>331</v>
      </c>
      <c r="B156" s="13" t="s">
        <v>332</v>
      </c>
      <c r="C156" t="s">
        <v>15</v>
      </c>
      <c r="D156" t="s">
        <v>24</v>
      </c>
      <c r="E156" t="s">
        <v>46</v>
      </c>
      <c r="F156" s="13" t="s">
        <v>353</v>
      </c>
      <c r="G156" t="s">
        <v>19</v>
      </c>
      <c r="H156" t="s">
        <v>20</v>
      </c>
      <c r="I156" t="s">
        <v>354</v>
      </c>
      <c r="J156" t="s">
        <v>34</v>
      </c>
      <c r="K156" t="str">
        <f t="shared" si="4"/>
        <v>B</v>
      </c>
      <c r="L156" t="s">
        <v>22</v>
      </c>
      <c r="M156">
        <f t="shared" si="5"/>
        <v>1</v>
      </c>
    </row>
    <row r="157" ht="18" customHeight="1" spans="1:13">
      <c r="A157" t="s">
        <v>331</v>
      </c>
      <c r="B157" s="13" t="s">
        <v>332</v>
      </c>
      <c r="C157" t="s">
        <v>15</v>
      </c>
      <c r="D157" t="s">
        <v>28</v>
      </c>
      <c r="E157" t="s">
        <v>46</v>
      </c>
      <c r="F157" s="13" t="s">
        <v>355</v>
      </c>
      <c r="G157" t="s">
        <v>19</v>
      </c>
      <c r="H157" t="s">
        <v>20</v>
      </c>
      <c r="I157" t="s">
        <v>356</v>
      </c>
      <c r="J157" t="s">
        <v>34</v>
      </c>
      <c r="K157" t="str">
        <f t="shared" si="4"/>
        <v>B</v>
      </c>
      <c r="L157" t="s">
        <v>22</v>
      </c>
      <c r="M157">
        <f t="shared" si="5"/>
        <v>1</v>
      </c>
    </row>
    <row r="158" ht="18" customHeight="1" spans="1:13">
      <c r="A158" t="s">
        <v>331</v>
      </c>
      <c r="B158" s="13" t="s">
        <v>332</v>
      </c>
      <c r="C158" t="s">
        <v>31</v>
      </c>
      <c r="D158" t="s">
        <v>16</v>
      </c>
      <c r="E158" t="s">
        <v>46</v>
      </c>
      <c r="F158" s="13" t="s">
        <v>357</v>
      </c>
      <c r="G158" t="s">
        <v>19</v>
      </c>
      <c r="H158" t="s">
        <v>20</v>
      </c>
      <c r="I158" t="s">
        <v>358</v>
      </c>
      <c r="J158" t="s">
        <v>22</v>
      </c>
      <c r="K158" t="str">
        <f t="shared" si="4"/>
        <v>A</v>
      </c>
      <c r="L158" t="s">
        <v>34</v>
      </c>
      <c r="M158">
        <f t="shared" si="5"/>
        <v>1</v>
      </c>
    </row>
    <row r="159" ht="18" customHeight="1" spans="1:13">
      <c r="A159" t="s">
        <v>331</v>
      </c>
      <c r="B159" s="13" t="s">
        <v>332</v>
      </c>
      <c r="C159" t="s">
        <v>31</v>
      </c>
      <c r="D159" t="s">
        <v>24</v>
      </c>
      <c r="E159" t="s">
        <v>46</v>
      </c>
      <c r="F159" s="13" t="s">
        <v>359</v>
      </c>
      <c r="G159" t="s">
        <v>19</v>
      </c>
      <c r="H159" t="s">
        <v>20</v>
      </c>
      <c r="I159" t="s">
        <v>360</v>
      </c>
      <c r="J159" t="s">
        <v>22</v>
      </c>
      <c r="K159" t="str">
        <f t="shared" si="4"/>
        <v>A</v>
      </c>
      <c r="L159" t="s">
        <v>34</v>
      </c>
      <c r="M159">
        <f t="shared" si="5"/>
        <v>1</v>
      </c>
    </row>
    <row r="160" ht="18" customHeight="1" spans="1:13">
      <c r="A160" t="s">
        <v>331</v>
      </c>
      <c r="B160" s="13" t="s">
        <v>332</v>
      </c>
      <c r="C160" t="s">
        <v>31</v>
      </c>
      <c r="D160" t="s">
        <v>28</v>
      </c>
      <c r="E160" t="s">
        <v>46</v>
      </c>
      <c r="F160" s="13" t="s">
        <v>361</v>
      </c>
      <c r="G160" t="s">
        <v>19</v>
      </c>
      <c r="H160" t="s">
        <v>20</v>
      </c>
      <c r="I160" t="s">
        <v>362</v>
      </c>
      <c r="J160" t="s">
        <v>22</v>
      </c>
      <c r="K160" t="str">
        <f t="shared" si="4"/>
        <v>A</v>
      </c>
      <c r="L160" t="s">
        <v>34</v>
      </c>
      <c r="M160">
        <f t="shared" si="5"/>
        <v>1</v>
      </c>
    </row>
    <row r="161" ht="18" customHeight="1" spans="1:13">
      <c r="A161" t="s">
        <v>331</v>
      </c>
      <c r="B161" s="13" t="s">
        <v>332</v>
      </c>
      <c r="C161" t="s">
        <v>39</v>
      </c>
      <c r="D161" t="s">
        <v>16</v>
      </c>
      <c r="E161" t="s">
        <v>46</v>
      </c>
      <c r="F161" s="13" t="s">
        <v>363</v>
      </c>
      <c r="G161" t="s">
        <v>19</v>
      </c>
      <c r="H161" t="s">
        <v>20</v>
      </c>
      <c r="I161" t="s">
        <v>364</v>
      </c>
      <c r="J161" t="s">
        <v>22</v>
      </c>
      <c r="K161" t="str">
        <f t="shared" si="4"/>
        <v>B</v>
      </c>
      <c r="L161" t="s">
        <v>22</v>
      </c>
      <c r="M161">
        <f t="shared" si="5"/>
        <v>1</v>
      </c>
    </row>
    <row r="162" ht="18" customHeight="1" spans="1:13">
      <c r="A162" t="s">
        <v>331</v>
      </c>
      <c r="B162" s="13" t="s">
        <v>332</v>
      </c>
      <c r="C162" t="s">
        <v>39</v>
      </c>
      <c r="D162" t="s">
        <v>24</v>
      </c>
      <c r="E162" t="s">
        <v>46</v>
      </c>
      <c r="F162" s="13" t="s">
        <v>365</v>
      </c>
      <c r="G162" t="s">
        <v>19</v>
      </c>
      <c r="H162" t="s">
        <v>20</v>
      </c>
      <c r="I162" t="s">
        <v>366</v>
      </c>
      <c r="J162" t="s">
        <v>22</v>
      </c>
      <c r="K162" t="str">
        <f t="shared" si="4"/>
        <v>B</v>
      </c>
      <c r="L162" t="s">
        <v>22</v>
      </c>
      <c r="M162">
        <f t="shared" si="5"/>
        <v>1</v>
      </c>
    </row>
    <row r="163" ht="18" customHeight="1" spans="1:13">
      <c r="A163" t="s">
        <v>331</v>
      </c>
      <c r="B163" s="13" t="s">
        <v>332</v>
      </c>
      <c r="C163" t="s">
        <v>39</v>
      </c>
      <c r="D163" t="s">
        <v>28</v>
      </c>
      <c r="E163" t="s">
        <v>46</v>
      </c>
      <c r="F163" s="13" t="s">
        <v>367</v>
      </c>
      <c r="G163" t="s">
        <v>19</v>
      </c>
      <c r="H163" t="s">
        <v>20</v>
      </c>
      <c r="I163" t="s">
        <v>368</v>
      </c>
      <c r="J163" t="s">
        <v>22</v>
      </c>
      <c r="K163" t="str">
        <f t="shared" si="4"/>
        <v>B</v>
      </c>
      <c r="L163" t="s">
        <v>22</v>
      </c>
      <c r="M163">
        <f t="shared" si="5"/>
        <v>1</v>
      </c>
    </row>
    <row r="164" ht="18" customHeight="1" spans="1:13">
      <c r="A164" t="s">
        <v>369</v>
      </c>
      <c r="B164" s="13" t="s">
        <v>370</v>
      </c>
      <c r="C164" t="s">
        <v>15</v>
      </c>
      <c r="D164" t="s">
        <v>16</v>
      </c>
      <c r="E164" t="s">
        <v>17</v>
      </c>
      <c r="F164" s="13" t="s">
        <v>371</v>
      </c>
      <c r="G164" t="s">
        <v>19</v>
      </c>
      <c r="H164" t="s">
        <v>20</v>
      </c>
      <c r="I164" t="s">
        <v>372</v>
      </c>
      <c r="J164" t="s">
        <v>34</v>
      </c>
      <c r="K164" t="str">
        <f t="shared" si="4"/>
        <v>A</v>
      </c>
      <c r="L164" t="s">
        <v>23</v>
      </c>
      <c r="M164">
        <f t="shared" si="5"/>
        <v>0</v>
      </c>
    </row>
    <row r="165" ht="18" customHeight="1" spans="1:13">
      <c r="A165" t="s">
        <v>369</v>
      </c>
      <c r="B165" s="13" t="s">
        <v>370</v>
      </c>
      <c r="C165" t="s">
        <v>15</v>
      </c>
      <c r="D165" t="s">
        <v>24</v>
      </c>
      <c r="E165" t="s">
        <v>17</v>
      </c>
      <c r="F165" s="13" t="s">
        <v>373</v>
      </c>
      <c r="G165" t="s">
        <v>19</v>
      </c>
      <c r="H165" t="s">
        <v>20</v>
      </c>
      <c r="I165" t="s">
        <v>374</v>
      </c>
      <c r="J165" t="s">
        <v>34</v>
      </c>
      <c r="K165" t="str">
        <f t="shared" si="4"/>
        <v>A</v>
      </c>
      <c r="L165" t="s">
        <v>23</v>
      </c>
      <c r="M165">
        <f t="shared" si="5"/>
        <v>0</v>
      </c>
    </row>
    <row r="166" ht="18" customHeight="1" spans="1:13">
      <c r="A166" t="s">
        <v>369</v>
      </c>
      <c r="B166" s="13" t="s">
        <v>370</v>
      </c>
      <c r="C166" t="s">
        <v>15</v>
      </c>
      <c r="D166" t="s">
        <v>28</v>
      </c>
      <c r="E166" t="s">
        <v>17</v>
      </c>
      <c r="F166" s="13" t="s">
        <v>375</v>
      </c>
      <c r="G166" t="s">
        <v>19</v>
      </c>
      <c r="H166" t="s">
        <v>20</v>
      </c>
      <c r="I166" t="s">
        <v>376</v>
      </c>
      <c r="J166" t="s">
        <v>34</v>
      </c>
      <c r="K166" t="str">
        <f t="shared" si="4"/>
        <v>A</v>
      </c>
      <c r="L166" t="s">
        <v>23</v>
      </c>
      <c r="M166">
        <f t="shared" si="5"/>
        <v>0</v>
      </c>
    </row>
    <row r="167" ht="18" customHeight="1" spans="1:13">
      <c r="A167" t="s">
        <v>369</v>
      </c>
      <c r="B167" s="13" t="s">
        <v>370</v>
      </c>
      <c r="C167" t="s">
        <v>31</v>
      </c>
      <c r="D167" t="s">
        <v>16</v>
      </c>
      <c r="E167" t="s">
        <v>17</v>
      </c>
      <c r="F167" s="13" t="s">
        <v>377</v>
      </c>
      <c r="G167" t="s">
        <v>19</v>
      </c>
      <c r="H167" t="s">
        <v>20</v>
      </c>
      <c r="I167" t="s">
        <v>378</v>
      </c>
      <c r="J167" t="s">
        <v>34</v>
      </c>
      <c r="K167" t="str">
        <f t="shared" si="4"/>
        <v>A</v>
      </c>
      <c r="L167" t="s">
        <v>34</v>
      </c>
      <c r="M167">
        <f t="shared" si="5"/>
        <v>1</v>
      </c>
    </row>
    <row r="168" ht="18" customHeight="1" spans="1:13">
      <c r="A168" t="s">
        <v>369</v>
      </c>
      <c r="B168" s="13" t="s">
        <v>370</v>
      </c>
      <c r="C168" t="s">
        <v>31</v>
      </c>
      <c r="D168" t="s">
        <v>24</v>
      </c>
      <c r="E168" t="s">
        <v>17</v>
      </c>
      <c r="F168" s="13" t="s">
        <v>379</v>
      </c>
      <c r="G168" t="s">
        <v>19</v>
      </c>
      <c r="H168" t="s">
        <v>20</v>
      </c>
      <c r="I168" t="s">
        <v>380</v>
      </c>
      <c r="J168" t="s">
        <v>34</v>
      </c>
      <c r="K168" t="str">
        <f t="shared" si="4"/>
        <v>A</v>
      </c>
      <c r="L168" t="s">
        <v>34</v>
      </c>
      <c r="M168">
        <f t="shared" si="5"/>
        <v>1</v>
      </c>
    </row>
    <row r="169" ht="18" customHeight="1" spans="1:13">
      <c r="A169" t="s">
        <v>369</v>
      </c>
      <c r="B169" s="13" t="s">
        <v>370</v>
      </c>
      <c r="C169" t="s">
        <v>31</v>
      </c>
      <c r="D169" t="s">
        <v>28</v>
      </c>
      <c r="E169" t="s">
        <v>17</v>
      </c>
      <c r="F169" s="13" t="s">
        <v>381</v>
      </c>
      <c r="G169" t="s">
        <v>19</v>
      </c>
      <c r="H169" t="s">
        <v>20</v>
      </c>
      <c r="I169" t="s">
        <v>382</v>
      </c>
      <c r="J169" t="s">
        <v>34</v>
      </c>
      <c r="K169" t="str">
        <f t="shared" si="4"/>
        <v>A</v>
      </c>
      <c r="L169" t="s">
        <v>34</v>
      </c>
      <c r="M169">
        <f t="shared" si="5"/>
        <v>1</v>
      </c>
    </row>
    <row r="170" ht="18" customHeight="1" spans="1:13">
      <c r="A170" t="s">
        <v>369</v>
      </c>
      <c r="B170" s="13" t="s">
        <v>370</v>
      </c>
      <c r="C170" t="s">
        <v>39</v>
      </c>
      <c r="D170" t="s">
        <v>16</v>
      </c>
      <c r="E170" t="s">
        <v>17</v>
      </c>
      <c r="F170" s="13" t="s">
        <v>383</v>
      </c>
      <c r="G170" t="s">
        <v>19</v>
      </c>
      <c r="H170" t="s">
        <v>20</v>
      </c>
      <c r="I170" t="s">
        <v>384</v>
      </c>
      <c r="J170" t="s">
        <v>34</v>
      </c>
      <c r="K170" t="str">
        <f t="shared" si="4"/>
        <v>B</v>
      </c>
      <c r="L170" t="s">
        <v>22</v>
      </c>
      <c r="M170">
        <f t="shared" si="5"/>
        <v>1</v>
      </c>
    </row>
    <row r="171" ht="18" customHeight="1" spans="1:13">
      <c r="A171" t="s">
        <v>369</v>
      </c>
      <c r="B171" s="13" t="s">
        <v>370</v>
      </c>
      <c r="C171" t="s">
        <v>39</v>
      </c>
      <c r="D171" t="s">
        <v>24</v>
      </c>
      <c r="E171" t="s">
        <v>17</v>
      </c>
      <c r="F171" s="13" t="s">
        <v>385</v>
      </c>
      <c r="G171" t="s">
        <v>19</v>
      </c>
      <c r="H171" t="s">
        <v>20</v>
      </c>
      <c r="I171" t="s">
        <v>386</v>
      </c>
      <c r="J171" t="s">
        <v>34</v>
      </c>
      <c r="K171" t="str">
        <f t="shared" si="4"/>
        <v>B</v>
      </c>
      <c r="L171" t="s">
        <v>22</v>
      </c>
      <c r="M171">
        <f t="shared" si="5"/>
        <v>1</v>
      </c>
    </row>
    <row r="172" ht="18" customHeight="1" spans="1:13">
      <c r="A172" t="s">
        <v>369</v>
      </c>
      <c r="B172" s="13" t="s">
        <v>370</v>
      </c>
      <c r="C172" t="s">
        <v>39</v>
      </c>
      <c r="D172" t="s">
        <v>28</v>
      </c>
      <c r="E172" t="s">
        <v>17</v>
      </c>
      <c r="F172" s="13" t="s">
        <v>387</v>
      </c>
      <c r="G172" t="s">
        <v>19</v>
      </c>
      <c r="H172" t="s">
        <v>20</v>
      </c>
      <c r="I172" t="s">
        <v>388</v>
      </c>
      <c r="J172" t="s">
        <v>34</v>
      </c>
      <c r="K172" t="str">
        <f t="shared" si="4"/>
        <v>B</v>
      </c>
      <c r="L172" t="s">
        <v>22</v>
      </c>
      <c r="M172">
        <f t="shared" si="5"/>
        <v>1</v>
      </c>
    </row>
    <row r="173" ht="18" customHeight="1" spans="1:13">
      <c r="A173" t="s">
        <v>369</v>
      </c>
      <c r="B173" s="13" t="s">
        <v>370</v>
      </c>
      <c r="C173" t="s">
        <v>15</v>
      </c>
      <c r="D173" t="s">
        <v>16</v>
      </c>
      <c r="E173" t="s">
        <v>46</v>
      </c>
      <c r="F173" s="13" t="s">
        <v>389</v>
      </c>
      <c r="G173" t="s">
        <v>19</v>
      </c>
      <c r="H173" t="s">
        <v>20</v>
      </c>
      <c r="I173" t="s">
        <v>390</v>
      </c>
      <c r="J173" t="s">
        <v>22</v>
      </c>
      <c r="K173" t="str">
        <f t="shared" si="4"/>
        <v>A</v>
      </c>
      <c r="L173" t="s">
        <v>23</v>
      </c>
      <c r="M173">
        <f t="shared" si="5"/>
        <v>0</v>
      </c>
    </row>
    <row r="174" ht="18" customHeight="1" spans="1:13">
      <c r="A174" t="s">
        <v>369</v>
      </c>
      <c r="B174" s="13" t="s">
        <v>370</v>
      </c>
      <c r="C174" t="s">
        <v>15</v>
      </c>
      <c r="D174" t="s">
        <v>24</v>
      </c>
      <c r="E174" t="s">
        <v>46</v>
      </c>
      <c r="F174" s="13" t="s">
        <v>391</v>
      </c>
      <c r="G174" t="s">
        <v>19</v>
      </c>
      <c r="H174" t="s">
        <v>20</v>
      </c>
      <c r="I174" t="s">
        <v>392</v>
      </c>
      <c r="J174" t="s">
        <v>22</v>
      </c>
      <c r="K174" t="str">
        <f t="shared" si="4"/>
        <v>A</v>
      </c>
      <c r="L174" t="s">
        <v>23</v>
      </c>
      <c r="M174">
        <f t="shared" si="5"/>
        <v>0</v>
      </c>
    </row>
    <row r="175" ht="18" customHeight="1" spans="1:13">
      <c r="A175" t="s">
        <v>369</v>
      </c>
      <c r="B175" s="13" t="s">
        <v>370</v>
      </c>
      <c r="C175" t="s">
        <v>15</v>
      </c>
      <c r="D175" t="s">
        <v>28</v>
      </c>
      <c r="E175" t="s">
        <v>46</v>
      </c>
      <c r="F175" s="13" t="s">
        <v>393</v>
      </c>
      <c r="G175" t="s">
        <v>19</v>
      </c>
      <c r="H175" t="s">
        <v>20</v>
      </c>
      <c r="I175" t="s">
        <v>394</v>
      </c>
      <c r="J175" t="s">
        <v>22</v>
      </c>
      <c r="K175" t="str">
        <f t="shared" si="4"/>
        <v>A</v>
      </c>
      <c r="L175" t="s">
        <v>23</v>
      </c>
      <c r="M175">
        <f t="shared" si="5"/>
        <v>0</v>
      </c>
    </row>
    <row r="176" ht="18" customHeight="1" spans="1:13">
      <c r="A176" t="s">
        <v>369</v>
      </c>
      <c r="B176" s="13" t="s">
        <v>370</v>
      </c>
      <c r="C176" t="s">
        <v>31</v>
      </c>
      <c r="D176" t="s">
        <v>16</v>
      </c>
      <c r="E176" t="s">
        <v>46</v>
      </c>
      <c r="F176" s="13" t="s">
        <v>395</v>
      </c>
      <c r="G176" t="s">
        <v>19</v>
      </c>
      <c r="H176" t="s">
        <v>20</v>
      </c>
      <c r="I176" t="s">
        <v>396</v>
      </c>
      <c r="J176" t="s">
        <v>22</v>
      </c>
      <c r="K176" t="str">
        <f t="shared" si="4"/>
        <v>A</v>
      </c>
      <c r="L176" t="s">
        <v>34</v>
      </c>
      <c r="M176">
        <f t="shared" si="5"/>
        <v>1</v>
      </c>
    </row>
    <row r="177" ht="18" customHeight="1" spans="1:13">
      <c r="A177" t="s">
        <v>369</v>
      </c>
      <c r="B177" s="13" t="s">
        <v>370</v>
      </c>
      <c r="C177" t="s">
        <v>31</v>
      </c>
      <c r="D177" t="s">
        <v>24</v>
      </c>
      <c r="E177" t="s">
        <v>46</v>
      </c>
      <c r="F177" s="13" t="s">
        <v>397</v>
      </c>
      <c r="G177" t="s">
        <v>19</v>
      </c>
      <c r="H177" t="s">
        <v>20</v>
      </c>
      <c r="I177" t="s">
        <v>398</v>
      </c>
      <c r="J177" t="s">
        <v>22</v>
      </c>
      <c r="K177" t="str">
        <f t="shared" si="4"/>
        <v>A</v>
      </c>
      <c r="L177" t="s">
        <v>34</v>
      </c>
      <c r="M177">
        <f t="shared" si="5"/>
        <v>1</v>
      </c>
    </row>
    <row r="178" ht="18" customHeight="1" spans="1:13">
      <c r="A178" t="s">
        <v>369</v>
      </c>
      <c r="B178" s="13" t="s">
        <v>370</v>
      </c>
      <c r="C178" t="s">
        <v>31</v>
      </c>
      <c r="D178" t="s">
        <v>28</v>
      </c>
      <c r="E178" t="s">
        <v>46</v>
      </c>
      <c r="F178" s="13" t="s">
        <v>399</v>
      </c>
      <c r="G178" t="s">
        <v>19</v>
      </c>
      <c r="H178" t="s">
        <v>20</v>
      </c>
      <c r="I178" t="s">
        <v>400</v>
      </c>
      <c r="J178" t="s">
        <v>22</v>
      </c>
      <c r="K178" t="str">
        <f t="shared" si="4"/>
        <v>A</v>
      </c>
      <c r="L178" t="s">
        <v>34</v>
      </c>
      <c r="M178">
        <f t="shared" si="5"/>
        <v>1</v>
      </c>
    </row>
    <row r="179" ht="18" customHeight="1" spans="1:13">
      <c r="A179" t="s">
        <v>369</v>
      </c>
      <c r="B179" s="13" t="s">
        <v>370</v>
      </c>
      <c r="C179" t="s">
        <v>39</v>
      </c>
      <c r="D179" t="s">
        <v>16</v>
      </c>
      <c r="E179" t="s">
        <v>46</v>
      </c>
      <c r="F179" s="13" t="s">
        <v>401</v>
      </c>
      <c r="G179" t="s">
        <v>19</v>
      </c>
      <c r="H179" t="s">
        <v>20</v>
      </c>
      <c r="I179" t="s">
        <v>402</v>
      </c>
      <c r="J179" t="s">
        <v>22</v>
      </c>
      <c r="K179" t="str">
        <f t="shared" si="4"/>
        <v>B</v>
      </c>
      <c r="L179" t="s">
        <v>22</v>
      </c>
      <c r="M179">
        <f t="shared" si="5"/>
        <v>1</v>
      </c>
    </row>
    <row r="180" ht="18" customHeight="1" spans="1:13">
      <c r="A180" t="s">
        <v>369</v>
      </c>
      <c r="B180" s="13" t="s">
        <v>370</v>
      </c>
      <c r="C180" t="s">
        <v>39</v>
      </c>
      <c r="D180" t="s">
        <v>24</v>
      </c>
      <c r="E180" t="s">
        <v>46</v>
      </c>
      <c r="F180" s="13" t="s">
        <v>403</v>
      </c>
      <c r="G180" t="s">
        <v>19</v>
      </c>
      <c r="H180" t="s">
        <v>20</v>
      </c>
      <c r="I180" t="s">
        <v>404</v>
      </c>
      <c r="J180" t="s">
        <v>22</v>
      </c>
      <c r="K180" t="str">
        <f t="shared" si="4"/>
        <v>B</v>
      </c>
      <c r="L180" t="s">
        <v>22</v>
      </c>
      <c r="M180">
        <f t="shared" si="5"/>
        <v>1</v>
      </c>
    </row>
    <row r="181" ht="18" customHeight="1" spans="1:13">
      <c r="A181" t="s">
        <v>369</v>
      </c>
      <c r="B181" s="13" t="s">
        <v>370</v>
      </c>
      <c r="C181" t="s">
        <v>39</v>
      </c>
      <c r="D181" t="s">
        <v>28</v>
      </c>
      <c r="E181" t="s">
        <v>46</v>
      </c>
      <c r="F181" s="13" t="s">
        <v>405</v>
      </c>
      <c r="G181" t="s">
        <v>19</v>
      </c>
      <c r="H181" t="s">
        <v>20</v>
      </c>
      <c r="I181" t="s">
        <v>406</v>
      </c>
      <c r="J181" t="s">
        <v>22</v>
      </c>
      <c r="K181" t="str">
        <f t="shared" si="4"/>
        <v>B</v>
      </c>
      <c r="L181" t="s">
        <v>22</v>
      </c>
      <c r="M181">
        <f t="shared" si="5"/>
        <v>1</v>
      </c>
    </row>
    <row r="182" ht="18" customHeight="1" spans="1:13">
      <c r="A182" t="s">
        <v>407</v>
      </c>
      <c r="B182" s="13" t="s">
        <v>408</v>
      </c>
      <c r="C182" t="s">
        <v>15</v>
      </c>
      <c r="D182" t="s">
        <v>16</v>
      </c>
      <c r="E182" t="s">
        <v>17</v>
      </c>
      <c r="F182" s="13" t="s">
        <v>409</v>
      </c>
      <c r="G182" t="s">
        <v>19</v>
      </c>
      <c r="H182" t="s">
        <v>20</v>
      </c>
      <c r="I182" t="s">
        <v>410</v>
      </c>
      <c r="J182" t="s">
        <v>34</v>
      </c>
      <c r="K182" t="str">
        <f t="shared" si="4"/>
        <v>A</v>
      </c>
      <c r="L182" t="s">
        <v>34</v>
      </c>
      <c r="M182">
        <f t="shared" si="5"/>
        <v>1</v>
      </c>
    </row>
    <row r="183" ht="18" customHeight="1" spans="1:13">
      <c r="A183" t="s">
        <v>407</v>
      </c>
      <c r="B183" s="13" t="s">
        <v>408</v>
      </c>
      <c r="C183" t="s">
        <v>15</v>
      </c>
      <c r="D183" t="s">
        <v>24</v>
      </c>
      <c r="E183" t="s">
        <v>17</v>
      </c>
      <c r="F183" s="13" t="s">
        <v>411</v>
      </c>
      <c r="G183" t="s">
        <v>19</v>
      </c>
      <c r="H183" t="s">
        <v>20</v>
      </c>
      <c r="I183" t="s">
        <v>412</v>
      </c>
      <c r="J183" t="s">
        <v>34</v>
      </c>
      <c r="K183" t="str">
        <f t="shared" si="4"/>
        <v>A</v>
      </c>
      <c r="L183" t="s">
        <v>34</v>
      </c>
      <c r="M183">
        <f t="shared" si="5"/>
        <v>1</v>
      </c>
    </row>
    <row r="184" ht="18" customHeight="1" spans="1:13">
      <c r="A184" t="s">
        <v>407</v>
      </c>
      <c r="B184" s="13" t="s">
        <v>408</v>
      </c>
      <c r="C184" t="s">
        <v>15</v>
      </c>
      <c r="D184" t="s">
        <v>28</v>
      </c>
      <c r="E184" t="s">
        <v>17</v>
      </c>
      <c r="F184" s="13" t="s">
        <v>413</v>
      </c>
      <c r="G184" t="s">
        <v>19</v>
      </c>
      <c r="H184" t="s">
        <v>20</v>
      </c>
      <c r="I184" t="s">
        <v>414</v>
      </c>
      <c r="J184" t="s">
        <v>34</v>
      </c>
      <c r="K184" t="str">
        <f t="shared" si="4"/>
        <v>A</v>
      </c>
      <c r="L184" t="s">
        <v>34</v>
      </c>
      <c r="M184">
        <f t="shared" si="5"/>
        <v>1</v>
      </c>
    </row>
    <row r="185" ht="18" customHeight="1" spans="1:13">
      <c r="A185" t="s">
        <v>407</v>
      </c>
      <c r="B185" s="13" t="s">
        <v>408</v>
      </c>
      <c r="C185" t="s">
        <v>31</v>
      </c>
      <c r="D185" t="s">
        <v>16</v>
      </c>
      <c r="E185" t="s">
        <v>17</v>
      </c>
      <c r="F185" s="13" t="s">
        <v>415</v>
      </c>
      <c r="G185" t="s">
        <v>19</v>
      </c>
      <c r="H185" t="s">
        <v>20</v>
      </c>
      <c r="I185" t="s">
        <v>416</v>
      </c>
      <c r="J185" t="s">
        <v>34</v>
      </c>
      <c r="K185" t="str">
        <f t="shared" si="4"/>
        <v>A</v>
      </c>
      <c r="L185" t="s">
        <v>34</v>
      </c>
      <c r="M185">
        <f t="shared" si="5"/>
        <v>1</v>
      </c>
    </row>
    <row r="186" ht="18" customHeight="1" spans="1:13">
      <c r="A186" t="s">
        <v>407</v>
      </c>
      <c r="B186" s="13" t="s">
        <v>408</v>
      </c>
      <c r="C186" t="s">
        <v>31</v>
      </c>
      <c r="D186" t="s">
        <v>24</v>
      </c>
      <c r="E186" t="s">
        <v>17</v>
      </c>
      <c r="F186" s="13" t="s">
        <v>417</v>
      </c>
      <c r="G186" t="s">
        <v>19</v>
      </c>
      <c r="H186" t="s">
        <v>20</v>
      </c>
      <c r="I186" t="s">
        <v>418</v>
      </c>
      <c r="J186" t="s">
        <v>34</v>
      </c>
      <c r="K186" t="str">
        <f t="shared" si="4"/>
        <v>A</v>
      </c>
      <c r="L186" t="s">
        <v>34</v>
      </c>
      <c r="M186">
        <f t="shared" si="5"/>
        <v>1</v>
      </c>
    </row>
    <row r="187" ht="18" customHeight="1" spans="1:13">
      <c r="A187" t="s">
        <v>407</v>
      </c>
      <c r="B187" s="13" t="s">
        <v>408</v>
      </c>
      <c r="C187" t="s">
        <v>31</v>
      </c>
      <c r="D187" t="s">
        <v>28</v>
      </c>
      <c r="E187" t="s">
        <v>17</v>
      </c>
      <c r="F187" s="13" t="s">
        <v>419</v>
      </c>
      <c r="G187" t="s">
        <v>19</v>
      </c>
      <c r="H187" t="s">
        <v>20</v>
      </c>
      <c r="I187" t="s">
        <v>420</v>
      </c>
      <c r="J187" t="s">
        <v>34</v>
      </c>
      <c r="K187" t="str">
        <f t="shared" si="4"/>
        <v>A</v>
      </c>
      <c r="L187" t="s">
        <v>34</v>
      </c>
      <c r="M187">
        <f t="shared" si="5"/>
        <v>1</v>
      </c>
    </row>
    <row r="188" ht="18" customHeight="1" spans="1:13">
      <c r="A188" t="s">
        <v>407</v>
      </c>
      <c r="B188" s="13" t="s">
        <v>408</v>
      </c>
      <c r="C188" t="s">
        <v>39</v>
      </c>
      <c r="D188" t="s">
        <v>16</v>
      </c>
      <c r="E188" t="s">
        <v>17</v>
      </c>
      <c r="F188" s="13" t="s">
        <v>421</v>
      </c>
      <c r="G188" t="s">
        <v>19</v>
      </c>
      <c r="H188" t="s">
        <v>20</v>
      </c>
      <c r="I188" t="s">
        <v>422</v>
      </c>
      <c r="J188" t="s">
        <v>34</v>
      </c>
      <c r="K188" t="str">
        <f t="shared" si="4"/>
        <v>B</v>
      </c>
      <c r="L188" t="s">
        <v>22</v>
      </c>
      <c r="M188">
        <f t="shared" si="5"/>
        <v>1</v>
      </c>
    </row>
    <row r="189" ht="18" customHeight="1" spans="1:13">
      <c r="A189" t="s">
        <v>407</v>
      </c>
      <c r="B189" s="13" t="s">
        <v>408</v>
      </c>
      <c r="C189" t="s">
        <v>39</v>
      </c>
      <c r="D189" t="s">
        <v>24</v>
      </c>
      <c r="E189" t="s">
        <v>17</v>
      </c>
      <c r="F189" s="13" t="s">
        <v>423</v>
      </c>
      <c r="G189" t="s">
        <v>19</v>
      </c>
      <c r="H189" t="s">
        <v>20</v>
      </c>
      <c r="I189" t="s">
        <v>424</v>
      </c>
      <c r="J189" t="s">
        <v>34</v>
      </c>
      <c r="K189" t="str">
        <f t="shared" si="4"/>
        <v>B</v>
      </c>
      <c r="L189" t="s">
        <v>22</v>
      </c>
      <c r="M189">
        <f t="shared" si="5"/>
        <v>1</v>
      </c>
    </row>
    <row r="190" ht="18" customHeight="1" spans="1:13">
      <c r="A190" t="s">
        <v>407</v>
      </c>
      <c r="B190" s="13" t="s">
        <v>408</v>
      </c>
      <c r="C190" t="s">
        <v>39</v>
      </c>
      <c r="D190" t="s">
        <v>28</v>
      </c>
      <c r="E190" t="s">
        <v>17</v>
      </c>
      <c r="F190" s="13" t="s">
        <v>425</v>
      </c>
      <c r="G190" t="s">
        <v>19</v>
      </c>
      <c r="H190" t="s">
        <v>20</v>
      </c>
      <c r="I190" t="s">
        <v>426</v>
      </c>
      <c r="J190" t="s">
        <v>34</v>
      </c>
      <c r="K190" t="str">
        <f t="shared" si="4"/>
        <v>B</v>
      </c>
      <c r="L190" t="s">
        <v>22</v>
      </c>
      <c r="M190">
        <f t="shared" si="5"/>
        <v>1</v>
      </c>
    </row>
    <row r="191" ht="18" customHeight="1" spans="1:13">
      <c r="A191" t="s">
        <v>407</v>
      </c>
      <c r="B191" s="13" t="s">
        <v>408</v>
      </c>
      <c r="C191" t="s">
        <v>15</v>
      </c>
      <c r="D191" t="s">
        <v>16</v>
      </c>
      <c r="E191" t="s">
        <v>46</v>
      </c>
      <c r="F191" s="13" t="s">
        <v>427</v>
      </c>
      <c r="G191" t="s">
        <v>19</v>
      </c>
      <c r="H191" t="s">
        <v>20</v>
      </c>
      <c r="I191" t="s">
        <v>428</v>
      </c>
      <c r="J191" t="s">
        <v>22</v>
      </c>
      <c r="K191" t="str">
        <f t="shared" si="4"/>
        <v>A</v>
      </c>
      <c r="L191" t="s">
        <v>34</v>
      </c>
      <c r="M191">
        <f t="shared" si="5"/>
        <v>1</v>
      </c>
    </row>
    <row r="192" ht="18" customHeight="1" spans="1:13">
      <c r="A192" t="s">
        <v>407</v>
      </c>
      <c r="B192" s="13" t="s">
        <v>408</v>
      </c>
      <c r="C192" t="s">
        <v>15</v>
      </c>
      <c r="D192" t="s">
        <v>24</v>
      </c>
      <c r="E192" t="s">
        <v>46</v>
      </c>
      <c r="F192" s="13" t="s">
        <v>429</v>
      </c>
      <c r="G192" t="s">
        <v>19</v>
      </c>
      <c r="H192" t="s">
        <v>20</v>
      </c>
      <c r="I192" t="s">
        <v>430</v>
      </c>
      <c r="J192" t="s">
        <v>27</v>
      </c>
      <c r="K192" t="str">
        <f t="shared" si="4"/>
        <v>D(平局)</v>
      </c>
      <c r="L192" t="s">
        <v>34</v>
      </c>
      <c r="M192">
        <f t="shared" si="5"/>
        <v>0</v>
      </c>
    </row>
    <row r="193" ht="18" customHeight="1" spans="1:13">
      <c r="A193" t="s">
        <v>407</v>
      </c>
      <c r="B193" s="13" t="s">
        <v>408</v>
      </c>
      <c r="C193" t="s">
        <v>15</v>
      </c>
      <c r="D193" t="s">
        <v>28</v>
      </c>
      <c r="E193" t="s">
        <v>46</v>
      </c>
      <c r="F193" s="13" t="s">
        <v>431</v>
      </c>
      <c r="G193" t="s">
        <v>19</v>
      </c>
      <c r="H193" t="s">
        <v>20</v>
      </c>
      <c r="I193" t="s">
        <v>432</v>
      </c>
      <c r="J193" t="s">
        <v>22</v>
      </c>
      <c r="K193" t="str">
        <f t="shared" si="4"/>
        <v>A</v>
      </c>
      <c r="L193" t="s">
        <v>34</v>
      </c>
      <c r="M193">
        <f t="shared" si="5"/>
        <v>1</v>
      </c>
    </row>
    <row r="194" ht="18" customHeight="1" spans="1:13">
      <c r="A194" t="s">
        <v>407</v>
      </c>
      <c r="B194" s="13" t="s">
        <v>408</v>
      </c>
      <c r="C194" t="s">
        <v>31</v>
      </c>
      <c r="D194" t="s">
        <v>16</v>
      </c>
      <c r="E194" t="s">
        <v>46</v>
      </c>
      <c r="F194" s="13" t="s">
        <v>433</v>
      </c>
      <c r="G194" t="s">
        <v>19</v>
      </c>
      <c r="H194" t="s">
        <v>20</v>
      </c>
      <c r="I194" t="s">
        <v>434</v>
      </c>
      <c r="J194" t="s">
        <v>22</v>
      </c>
      <c r="K194" t="str">
        <f t="shared" ref="K194:K217" si="6">IF(OR(J194="",C194="",E194=""),"",IF(J194="C","D(平局)",IF(J194=IF(E194="l2r","A","B"),LEFT(C194,1),RIGHT(C194,1))))</f>
        <v>A</v>
      </c>
      <c r="L194" t="s">
        <v>34</v>
      </c>
      <c r="M194">
        <f t="shared" ref="M194:M217" si="7">IF(OR(K194="",L194=""),"",--(K194=L194))</f>
        <v>1</v>
      </c>
    </row>
    <row r="195" ht="18" customHeight="1" spans="1:13">
      <c r="A195" t="s">
        <v>407</v>
      </c>
      <c r="B195" s="13" t="s">
        <v>408</v>
      </c>
      <c r="C195" t="s">
        <v>31</v>
      </c>
      <c r="D195" t="s">
        <v>24</v>
      </c>
      <c r="E195" t="s">
        <v>46</v>
      </c>
      <c r="F195" s="13" t="s">
        <v>435</v>
      </c>
      <c r="G195" t="s">
        <v>19</v>
      </c>
      <c r="H195" t="s">
        <v>20</v>
      </c>
      <c r="I195" t="s">
        <v>436</v>
      </c>
      <c r="J195" t="s">
        <v>22</v>
      </c>
      <c r="K195" t="str">
        <f t="shared" si="6"/>
        <v>A</v>
      </c>
      <c r="L195" t="s">
        <v>34</v>
      </c>
      <c r="M195">
        <f t="shared" si="7"/>
        <v>1</v>
      </c>
    </row>
    <row r="196" ht="18" customHeight="1" spans="1:13">
      <c r="A196" t="s">
        <v>407</v>
      </c>
      <c r="B196" s="13" t="s">
        <v>408</v>
      </c>
      <c r="C196" t="s">
        <v>31</v>
      </c>
      <c r="D196" t="s">
        <v>28</v>
      </c>
      <c r="E196" t="s">
        <v>46</v>
      </c>
      <c r="F196" s="13" t="s">
        <v>437</v>
      </c>
      <c r="G196" t="s">
        <v>19</v>
      </c>
      <c r="H196" t="s">
        <v>20</v>
      </c>
      <c r="I196" t="s">
        <v>438</v>
      </c>
      <c r="J196" t="s">
        <v>22</v>
      </c>
      <c r="K196" t="str">
        <f t="shared" si="6"/>
        <v>A</v>
      </c>
      <c r="L196" t="s">
        <v>34</v>
      </c>
      <c r="M196">
        <f t="shared" si="7"/>
        <v>1</v>
      </c>
    </row>
    <row r="197" ht="18" customHeight="1" spans="1:13">
      <c r="A197" t="s">
        <v>407</v>
      </c>
      <c r="B197" s="13" t="s">
        <v>408</v>
      </c>
      <c r="C197" t="s">
        <v>39</v>
      </c>
      <c r="D197" t="s">
        <v>16</v>
      </c>
      <c r="E197" t="s">
        <v>46</v>
      </c>
      <c r="F197" s="13" t="s">
        <v>439</v>
      </c>
      <c r="G197" t="s">
        <v>19</v>
      </c>
      <c r="H197" t="s">
        <v>20</v>
      </c>
      <c r="I197" t="s">
        <v>440</v>
      </c>
      <c r="J197" t="s">
        <v>22</v>
      </c>
      <c r="K197" t="str">
        <f t="shared" si="6"/>
        <v>B</v>
      </c>
      <c r="L197" t="s">
        <v>22</v>
      </c>
      <c r="M197">
        <f t="shared" si="7"/>
        <v>1</v>
      </c>
    </row>
    <row r="198" ht="18" customHeight="1" spans="1:13">
      <c r="A198" t="s">
        <v>407</v>
      </c>
      <c r="B198" s="13" t="s">
        <v>408</v>
      </c>
      <c r="C198" t="s">
        <v>39</v>
      </c>
      <c r="D198" t="s">
        <v>24</v>
      </c>
      <c r="E198" t="s">
        <v>46</v>
      </c>
      <c r="F198" s="13" t="s">
        <v>441</v>
      </c>
      <c r="G198" t="s">
        <v>19</v>
      </c>
      <c r="H198" t="s">
        <v>20</v>
      </c>
      <c r="I198" t="s">
        <v>442</v>
      </c>
      <c r="J198" t="s">
        <v>22</v>
      </c>
      <c r="K198" t="str">
        <f t="shared" si="6"/>
        <v>B</v>
      </c>
      <c r="L198" t="s">
        <v>22</v>
      </c>
      <c r="M198">
        <f t="shared" si="7"/>
        <v>1</v>
      </c>
    </row>
    <row r="199" ht="18" customHeight="1" spans="1:13">
      <c r="A199" t="s">
        <v>407</v>
      </c>
      <c r="B199" s="13" t="s">
        <v>408</v>
      </c>
      <c r="C199" t="s">
        <v>39</v>
      </c>
      <c r="D199" t="s">
        <v>28</v>
      </c>
      <c r="E199" t="s">
        <v>46</v>
      </c>
      <c r="F199" s="13" t="s">
        <v>443</v>
      </c>
      <c r="G199" t="s">
        <v>19</v>
      </c>
      <c r="H199" t="s">
        <v>20</v>
      </c>
      <c r="I199" t="s">
        <v>444</v>
      </c>
      <c r="J199" t="s">
        <v>22</v>
      </c>
      <c r="K199" t="str">
        <f t="shared" si="6"/>
        <v>B</v>
      </c>
      <c r="L199" t="s">
        <v>22</v>
      </c>
      <c r="M199">
        <f t="shared" si="7"/>
        <v>1</v>
      </c>
    </row>
    <row r="200" ht="18" customHeight="1" spans="1:13">
      <c r="A200" t="s">
        <v>445</v>
      </c>
      <c r="B200" s="13" t="s">
        <v>446</v>
      </c>
      <c r="C200" t="s">
        <v>15</v>
      </c>
      <c r="D200" t="s">
        <v>16</v>
      </c>
      <c r="E200" t="s">
        <v>17</v>
      </c>
      <c r="F200" s="13" t="s">
        <v>447</v>
      </c>
      <c r="G200" t="s">
        <v>19</v>
      </c>
      <c r="H200" t="s">
        <v>20</v>
      </c>
      <c r="I200" t="s">
        <v>448</v>
      </c>
      <c r="J200" t="s">
        <v>34</v>
      </c>
      <c r="K200" t="str">
        <f t="shared" si="6"/>
        <v>A</v>
      </c>
      <c r="L200" t="s">
        <v>34</v>
      </c>
      <c r="M200">
        <f t="shared" si="7"/>
        <v>1</v>
      </c>
    </row>
    <row r="201" ht="18" customHeight="1" spans="1:13">
      <c r="A201" t="s">
        <v>445</v>
      </c>
      <c r="B201" s="13" t="s">
        <v>446</v>
      </c>
      <c r="C201" t="s">
        <v>15</v>
      </c>
      <c r="D201" t="s">
        <v>24</v>
      </c>
      <c r="E201" t="s">
        <v>17</v>
      </c>
      <c r="F201" s="13" t="s">
        <v>449</v>
      </c>
      <c r="G201" t="s">
        <v>19</v>
      </c>
      <c r="H201" t="s">
        <v>20</v>
      </c>
      <c r="I201" t="s">
        <v>450</v>
      </c>
      <c r="J201" t="s">
        <v>34</v>
      </c>
      <c r="K201" t="str">
        <f t="shared" si="6"/>
        <v>A</v>
      </c>
      <c r="L201" t="s">
        <v>34</v>
      </c>
      <c r="M201">
        <f t="shared" si="7"/>
        <v>1</v>
      </c>
    </row>
    <row r="202" ht="18" customHeight="1" spans="1:13">
      <c r="A202" t="s">
        <v>445</v>
      </c>
      <c r="B202" s="13" t="s">
        <v>446</v>
      </c>
      <c r="C202" t="s">
        <v>15</v>
      </c>
      <c r="D202" t="s">
        <v>28</v>
      </c>
      <c r="E202" t="s">
        <v>17</v>
      </c>
      <c r="F202" s="13" t="s">
        <v>451</v>
      </c>
      <c r="G202" t="s">
        <v>19</v>
      </c>
      <c r="H202" t="s">
        <v>20</v>
      </c>
      <c r="I202" t="s">
        <v>452</v>
      </c>
      <c r="J202" t="s">
        <v>34</v>
      </c>
      <c r="K202" t="str">
        <f t="shared" si="6"/>
        <v>A</v>
      </c>
      <c r="L202" t="s">
        <v>34</v>
      </c>
      <c r="M202">
        <f t="shared" si="7"/>
        <v>1</v>
      </c>
    </row>
    <row r="203" ht="18" customHeight="1" spans="1:13">
      <c r="A203" t="s">
        <v>445</v>
      </c>
      <c r="B203" s="13" t="s">
        <v>446</v>
      </c>
      <c r="C203" t="s">
        <v>31</v>
      </c>
      <c r="D203" t="s">
        <v>16</v>
      </c>
      <c r="E203" t="s">
        <v>17</v>
      </c>
      <c r="F203" s="13" t="s">
        <v>453</v>
      </c>
      <c r="G203" t="s">
        <v>19</v>
      </c>
      <c r="H203" t="s">
        <v>20</v>
      </c>
      <c r="I203" t="s">
        <v>454</v>
      </c>
      <c r="J203" t="s">
        <v>34</v>
      </c>
      <c r="K203" t="str">
        <f t="shared" si="6"/>
        <v>A</v>
      </c>
      <c r="L203" t="s">
        <v>34</v>
      </c>
      <c r="M203">
        <f t="shared" si="7"/>
        <v>1</v>
      </c>
    </row>
    <row r="204" ht="18" customHeight="1" spans="1:13">
      <c r="A204" t="s">
        <v>445</v>
      </c>
      <c r="B204" s="13" t="s">
        <v>446</v>
      </c>
      <c r="C204" t="s">
        <v>31</v>
      </c>
      <c r="D204" t="s">
        <v>24</v>
      </c>
      <c r="E204" t="s">
        <v>17</v>
      </c>
      <c r="F204" s="13" t="s">
        <v>455</v>
      </c>
      <c r="G204" t="s">
        <v>19</v>
      </c>
      <c r="H204" t="s">
        <v>20</v>
      </c>
      <c r="I204" t="s">
        <v>456</v>
      </c>
      <c r="J204" t="s">
        <v>34</v>
      </c>
      <c r="K204" t="str">
        <f t="shared" si="6"/>
        <v>A</v>
      </c>
      <c r="L204" t="s">
        <v>34</v>
      </c>
      <c r="M204">
        <f t="shared" si="7"/>
        <v>1</v>
      </c>
    </row>
    <row r="205" ht="18" customHeight="1" spans="1:13">
      <c r="A205" t="s">
        <v>445</v>
      </c>
      <c r="B205" s="13" t="s">
        <v>446</v>
      </c>
      <c r="C205" t="s">
        <v>31</v>
      </c>
      <c r="D205" t="s">
        <v>28</v>
      </c>
      <c r="E205" t="s">
        <v>17</v>
      </c>
      <c r="F205" s="13" t="s">
        <v>457</v>
      </c>
      <c r="G205" t="s">
        <v>19</v>
      </c>
      <c r="H205" t="s">
        <v>20</v>
      </c>
      <c r="I205" t="s">
        <v>458</v>
      </c>
      <c r="J205" t="s">
        <v>34</v>
      </c>
      <c r="K205" t="str">
        <f t="shared" si="6"/>
        <v>A</v>
      </c>
      <c r="L205" t="s">
        <v>34</v>
      </c>
      <c r="M205">
        <f t="shared" si="7"/>
        <v>1</v>
      </c>
    </row>
    <row r="206" ht="18" customHeight="1" spans="1:13">
      <c r="A206" t="s">
        <v>445</v>
      </c>
      <c r="B206" s="13" t="s">
        <v>446</v>
      </c>
      <c r="C206" t="s">
        <v>39</v>
      </c>
      <c r="D206" t="s">
        <v>16</v>
      </c>
      <c r="E206" t="s">
        <v>17</v>
      </c>
      <c r="F206" s="13" t="s">
        <v>459</v>
      </c>
      <c r="G206" t="s">
        <v>19</v>
      </c>
      <c r="H206" t="s">
        <v>20</v>
      </c>
      <c r="I206" t="s">
        <v>460</v>
      </c>
      <c r="J206" t="s">
        <v>34</v>
      </c>
      <c r="K206" t="str">
        <f t="shared" si="6"/>
        <v>B</v>
      </c>
      <c r="L206" t="s">
        <v>22</v>
      </c>
      <c r="M206">
        <f t="shared" si="7"/>
        <v>1</v>
      </c>
    </row>
    <row r="207" ht="18" customHeight="1" spans="1:13">
      <c r="A207" t="s">
        <v>445</v>
      </c>
      <c r="B207" s="13" t="s">
        <v>446</v>
      </c>
      <c r="C207" t="s">
        <v>39</v>
      </c>
      <c r="D207" t="s">
        <v>24</v>
      </c>
      <c r="E207" t="s">
        <v>17</v>
      </c>
      <c r="F207" s="13" t="s">
        <v>461</v>
      </c>
      <c r="G207" t="s">
        <v>19</v>
      </c>
      <c r="H207" t="s">
        <v>20</v>
      </c>
      <c r="I207" t="s">
        <v>462</v>
      </c>
      <c r="J207" t="s">
        <v>34</v>
      </c>
      <c r="K207" t="str">
        <f t="shared" si="6"/>
        <v>B</v>
      </c>
      <c r="L207" t="s">
        <v>22</v>
      </c>
      <c r="M207">
        <f t="shared" si="7"/>
        <v>1</v>
      </c>
    </row>
    <row r="208" ht="18" customHeight="1" spans="1:13">
      <c r="A208" t="s">
        <v>445</v>
      </c>
      <c r="B208" s="13" t="s">
        <v>446</v>
      </c>
      <c r="C208" t="s">
        <v>39</v>
      </c>
      <c r="D208" t="s">
        <v>28</v>
      </c>
      <c r="E208" t="s">
        <v>17</v>
      </c>
      <c r="F208" s="13" t="s">
        <v>463</v>
      </c>
      <c r="G208" t="s">
        <v>19</v>
      </c>
      <c r="H208" t="s">
        <v>20</v>
      </c>
      <c r="I208" t="s">
        <v>464</v>
      </c>
      <c r="J208" t="s">
        <v>34</v>
      </c>
      <c r="K208" t="str">
        <f t="shared" si="6"/>
        <v>B</v>
      </c>
      <c r="L208" t="s">
        <v>22</v>
      </c>
      <c r="M208">
        <f t="shared" si="7"/>
        <v>1</v>
      </c>
    </row>
    <row r="209" ht="18" customHeight="1" spans="1:13">
      <c r="A209" t="s">
        <v>445</v>
      </c>
      <c r="B209" s="13" t="s">
        <v>446</v>
      </c>
      <c r="C209" t="s">
        <v>15</v>
      </c>
      <c r="D209" t="s">
        <v>16</v>
      </c>
      <c r="E209" t="s">
        <v>46</v>
      </c>
      <c r="F209" s="13" t="s">
        <v>465</v>
      </c>
      <c r="G209" t="s">
        <v>19</v>
      </c>
      <c r="H209" t="s">
        <v>20</v>
      </c>
      <c r="I209" t="s">
        <v>466</v>
      </c>
      <c r="J209" t="s">
        <v>22</v>
      </c>
      <c r="K209" t="str">
        <f t="shared" si="6"/>
        <v>A</v>
      </c>
      <c r="L209" t="s">
        <v>34</v>
      </c>
      <c r="M209">
        <f t="shared" si="7"/>
        <v>1</v>
      </c>
    </row>
    <row r="210" ht="18" customHeight="1" spans="1:13">
      <c r="A210" t="s">
        <v>445</v>
      </c>
      <c r="B210" s="13" t="s">
        <v>446</v>
      </c>
      <c r="C210" t="s">
        <v>15</v>
      </c>
      <c r="D210" t="s">
        <v>24</v>
      </c>
      <c r="E210" t="s">
        <v>46</v>
      </c>
      <c r="F210" s="13" t="s">
        <v>467</v>
      </c>
      <c r="G210" t="s">
        <v>19</v>
      </c>
      <c r="H210" t="s">
        <v>20</v>
      </c>
      <c r="I210" t="s">
        <v>468</v>
      </c>
      <c r="J210" t="s">
        <v>22</v>
      </c>
      <c r="K210" t="str">
        <f t="shared" si="6"/>
        <v>A</v>
      </c>
      <c r="L210" t="s">
        <v>34</v>
      </c>
      <c r="M210">
        <f t="shared" si="7"/>
        <v>1</v>
      </c>
    </row>
    <row r="211" ht="18" customHeight="1" spans="1:13">
      <c r="A211" t="s">
        <v>445</v>
      </c>
      <c r="B211" s="13" t="s">
        <v>446</v>
      </c>
      <c r="C211" t="s">
        <v>15</v>
      </c>
      <c r="D211" t="s">
        <v>28</v>
      </c>
      <c r="E211" t="s">
        <v>46</v>
      </c>
      <c r="F211" s="13" t="s">
        <v>469</v>
      </c>
      <c r="G211" t="s">
        <v>19</v>
      </c>
      <c r="H211" t="s">
        <v>20</v>
      </c>
      <c r="I211" t="s">
        <v>470</v>
      </c>
      <c r="J211" t="s">
        <v>22</v>
      </c>
      <c r="K211" t="str">
        <f t="shared" si="6"/>
        <v>A</v>
      </c>
      <c r="L211" t="s">
        <v>34</v>
      </c>
      <c r="M211">
        <f t="shared" si="7"/>
        <v>1</v>
      </c>
    </row>
    <row r="212" ht="18" customHeight="1" spans="1:13">
      <c r="A212" t="s">
        <v>445</v>
      </c>
      <c r="B212" s="13" t="s">
        <v>446</v>
      </c>
      <c r="C212" t="s">
        <v>31</v>
      </c>
      <c r="D212" t="s">
        <v>16</v>
      </c>
      <c r="E212" t="s">
        <v>46</v>
      </c>
      <c r="F212" s="13" t="s">
        <v>471</v>
      </c>
      <c r="G212" t="s">
        <v>19</v>
      </c>
      <c r="H212" t="s">
        <v>20</v>
      </c>
      <c r="I212" t="s">
        <v>472</v>
      </c>
      <c r="J212" t="s">
        <v>22</v>
      </c>
      <c r="K212" t="str">
        <f t="shared" si="6"/>
        <v>A</v>
      </c>
      <c r="L212" t="s">
        <v>34</v>
      </c>
      <c r="M212">
        <f t="shared" si="7"/>
        <v>1</v>
      </c>
    </row>
    <row r="213" ht="18" customHeight="1" spans="1:13">
      <c r="A213" t="s">
        <v>445</v>
      </c>
      <c r="B213" s="13" t="s">
        <v>446</v>
      </c>
      <c r="C213" t="s">
        <v>31</v>
      </c>
      <c r="D213" t="s">
        <v>24</v>
      </c>
      <c r="E213" t="s">
        <v>46</v>
      </c>
      <c r="F213" s="13" t="s">
        <v>473</v>
      </c>
      <c r="G213" t="s">
        <v>19</v>
      </c>
      <c r="H213" t="s">
        <v>20</v>
      </c>
      <c r="I213" t="s">
        <v>474</v>
      </c>
      <c r="J213" t="s">
        <v>22</v>
      </c>
      <c r="K213" t="str">
        <f t="shared" si="6"/>
        <v>A</v>
      </c>
      <c r="L213" t="s">
        <v>34</v>
      </c>
      <c r="M213">
        <f t="shared" si="7"/>
        <v>1</v>
      </c>
    </row>
    <row r="214" ht="18" customHeight="1" spans="1:13">
      <c r="A214" t="s">
        <v>445</v>
      </c>
      <c r="B214" s="13" t="s">
        <v>446</v>
      </c>
      <c r="C214" t="s">
        <v>31</v>
      </c>
      <c r="D214" t="s">
        <v>28</v>
      </c>
      <c r="E214" t="s">
        <v>46</v>
      </c>
      <c r="F214" s="13" t="s">
        <v>475</v>
      </c>
      <c r="G214" t="s">
        <v>19</v>
      </c>
      <c r="H214" t="s">
        <v>20</v>
      </c>
      <c r="I214" t="s">
        <v>476</v>
      </c>
      <c r="J214" t="s">
        <v>22</v>
      </c>
      <c r="K214" t="str">
        <f t="shared" si="6"/>
        <v>A</v>
      </c>
      <c r="L214" t="s">
        <v>34</v>
      </c>
      <c r="M214">
        <f t="shared" si="7"/>
        <v>1</v>
      </c>
    </row>
    <row r="215" ht="18" customHeight="1" spans="1:13">
      <c r="A215" t="s">
        <v>445</v>
      </c>
      <c r="B215" s="13" t="s">
        <v>446</v>
      </c>
      <c r="C215" t="s">
        <v>39</v>
      </c>
      <c r="D215" t="s">
        <v>16</v>
      </c>
      <c r="E215" t="s">
        <v>46</v>
      </c>
      <c r="F215" s="13" t="s">
        <v>477</v>
      </c>
      <c r="G215" t="s">
        <v>19</v>
      </c>
      <c r="H215" t="s">
        <v>20</v>
      </c>
      <c r="I215" t="s">
        <v>478</v>
      </c>
      <c r="J215" t="s">
        <v>22</v>
      </c>
      <c r="K215" t="str">
        <f t="shared" si="6"/>
        <v>B</v>
      </c>
      <c r="L215" t="s">
        <v>22</v>
      </c>
      <c r="M215">
        <f t="shared" si="7"/>
        <v>1</v>
      </c>
    </row>
    <row r="216" ht="18" customHeight="1" spans="1:13">
      <c r="A216" t="s">
        <v>445</v>
      </c>
      <c r="B216" s="13" t="s">
        <v>446</v>
      </c>
      <c r="C216" t="s">
        <v>39</v>
      </c>
      <c r="D216" t="s">
        <v>24</v>
      </c>
      <c r="E216" t="s">
        <v>46</v>
      </c>
      <c r="F216" s="13" t="s">
        <v>479</v>
      </c>
      <c r="G216" t="s">
        <v>19</v>
      </c>
      <c r="H216" t="s">
        <v>20</v>
      </c>
      <c r="I216" t="s">
        <v>480</v>
      </c>
      <c r="J216" t="s">
        <v>22</v>
      </c>
      <c r="K216" t="str">
        <f t="shared" si="6"/>
        <v>B</v>
      </c>
      <c r="L216" t="s">
        <v>22</v>
      </c>
      <c r="M216">
        <f t="shared" si="7"/>
        <v>1</v>
      </c>
    </row>
    <row r="217" ht="18" customHeight="1" spans="1:13">
      <c r="A217" t="s">
        <v>445</v>
      </c>
      <c r="B217" s="13" t="s">
        <v>446</v>
      </c>
      <c r="C217" t="s">
        <v>39</v>
      </c>
      <c r="D217" t="s">
        <v>28</v>
      </c>
      <c r="E217" t="s">
        <v>46</v>
      </c>
      <c r="F217" s="13" t="s">
        <v>481</v>
      </c>
      <c r="G217" t="s">
        <v>19</v>
      </c>
      <c r="H217" t="s">
        <v>20</v>
      </c>
      <c r="I217" t="s">
        <v>482</v>
      </c>
      <c r="J217" t="s">
        <v>22</v>
      </c>
      <c r="K217" t="str">
        <f t="shared" si="6"/>
        <v>B</v>
      </c>
      <c r="L217" t="s">
        <v>22</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445</v>
      </c>
      <c r="B2" s="2" t="s">
        <v>15</v>
      </c>
      <c r="C2" s="2" t="s">
        <v>17</v>
      </c>
      <c r="D2" s="2">
        <v>1</v>
      </c>
      <c r="E2" s="6" t="s">
        <v>497</v>
      </c>
      <c r="F2" s="2" t="str">
        <f t="shared" ref="F2:F65" si="0">IF(C2="l2r",LEFT(B2,1),RIGHT(B2,1))</f>
        <v>A</v>
      </c>
      <c r="G2" s="2">
        <v>5</v>
      </c>
      <c r="H2" s="2" t="str">
        <f t="shared" ref="H2:H65" si="1">IF(C2="l2r",RIGHT(B2,1),LEFT(B2,1))</f>
        <v>B</v>
      </c>
      <c r="I2" s="2">
        <v>3</v>
      </c>
      <c r="J2" s="2">
        <f t="shared" ref="J2:J65" si="2">G2-I2</f>
        <v>2</v>
      </c>
      <c r="K2" s="2" t="str">
        <f t="shared" ref="K2:K65" si="3">IF(J2=0,"C",IF(J2&gt;0,"A","B"))</f>
        <v>A</v>
      </c>
      <c r="L2" s="2" t="str">
        <f t="shared" ref="L2:L65" si="4">IF(J2=0,"D(平局)",IF(J2&gt;0,F2,H2))</f>
        <v>A</v>
      </c>
      <c r="M2" s="2" t="s">
        <v>34</v>
      </c>
      <c r="N2" s="2">
        <f t="shared" ref="N2:N65" si="5">--(L2=M2)</f>
        <v>1</v>
      </c>
      <c r="O2" s="2" t="s">
        <v>34</v>
      </c>
      <c r="P2" s="2">
        <v>202</v>
      </c>
    </row>
    <row r="3" ht="23" customHeight="1" spans="1:16">
      <c r="A3" s="6" t="s">
        <v>445</v>
      </c>
      <c r="B3" s="2" t="s">
        <v>15</v>
      </c>
      <c r="C3" s="2" t="s">
        <v>46</v>
      </c>
      <c r="D3" s="2">
        <v>1</v>
      </c>
      <c r="E3" s="6" t="s">
        <v>497</v>
      </c>
      <c r="F3" s="2" t="str">
        <f t="shared" si="0"/>
        <v>B</v>
      </c>
      <c r="G3" s="2">
        <v>4</v>
      </c>
      <c r="H3" s="2" t="str">
        <f t="shared" si="1"/>
        <v>A</v>
      </c>
      <c r="I3" s="2">
        <v>5</v>
      </c>
      <c r="J3" s="2">
        <f t="shared" si="2"/>
        <v>-1</v>
      </c>
      <c r="K3" s="2" t="str">
        <f t="shared" si="3"/>
        <v>B</v>
      </c>
      <c r="L3" s="2" t="str">
        <f t="shared" si="4"/>
        <v>A</v>
      </c>
      <c r="M3" s="2" t="s">
        <v>34</v>
      </c>
      <c r="N3" s="2">
        <f t="shared" si="5"/>
        <v>1</v>
      </c>
      <c r="O3" s="2" t="s">
        <v>22</v>
      </c>
      <c r="P3" s="2">
        <v>211</v>
      </c>
    </row>
    <row r="4" ht="23" customHeight="1" spans="1:16">
      <c r="A4" s="6" t="s">
        <v>445</v>
      </c>
      <c r="B4" s="2" t="s">
        <v>15</v>
      </c>
      <c r="C4" s="2" t="s">
        <v>17</v>
      </c>
      <c r="D4" s="2">
        <v>2</v>
      </c>
      <c r="E4" s="6" t="s">
        <v>498</v>
      </c>
      <c r="F4" s="2" t="str">
        <f t="shared" si="0"/>
        <v>A</v>
      </c>
      <c r="G4" s="2">
        <v>4</v>
      </c>
      <c r="H4" s="2" t="str">
        <f t="shared" si="1"/>
        <v>B</v>
      </c>
      <c r="I4" s="2">
        <v>3</v>
      </c>
      <c r="J4" s="2">
        <f t="shared" si="2"/>
        <v>1</v>
      </c>
      <c r="K4" s="2" t="str">
        <f t="shared" si="3"/>
        <v>A</v>
      </c>
      <c r="L4" s="2" t="str">
        <f t="shared" si="4"/>
        <v>A</v>
      </c>
      <c r="M4" s="2" t="s">
        <v>34</v>
      </c>
      <c r="N4" s="2">
        <f t="shared" si="5"/>
        <v>1</v>
      </c>
      <c r="O4" s="2" t="s">
        <v>34</v>
      </c>
      <c r="P4" s="2">
        <v>202</v>
      </c>
    </row>
    <row r="5" ht="23" customHeight="1" spans="1:16">
      <c r="A5" s="6" t="s">
        <v>445</v>
      </c>
      <c r="B5" s="2" t="s">
        <v>15</v>
      </c>
      <c r="C5" s="2" t="s">
        <v>46</v>
      </c>
      <c r="D5" s="2">
        <v>2</v>
      </c>
      <c r="E5" s="6" t="s">
        <v>498</v>
      </c>
      <c r="F5" s="2" t="str">
        <f t="shared" si="0"/>
        <v>B</v>
      </c>
      <c r="G5" s="2">
        <v>4</v>
      </c>
      <c r="H5" s="2" t="str">
        <f t="shared" si="1"/>
        <v>A</v>
      </c>
      <c r="I5" s="2">
        <v>5</v>
      </c>
      <c r="J5" s="2">
        <f t="shared" si="2"/>
        <v>-1</v>
      </c>
      <c r="K5" s="2" t="str">
        <f t="shared" si="3"/>
        <v>B</v>
      </c>
      <c r="L5" s="2" t="str">
        <f t="shared" si="4"/>
        <v>A</v>
      </c>
      <c r="M5" s="2" t="s">
        <v>34</v>
      </c>
      <c r="N5" s="2">
        <f t="shared" si="5"/>
        <v>1</v>
      </c>
      <c r="O5" s="2" t="s">
        <v>22</v>
      </c>
      <c r="P5" s="2">
        <v>211</v>
      </c>
    </row>
    <row r="6" ht="23" customHeight="1" spans="1:16">
      <c r="A6" s="6" t="s">
        <v>445</v>
      </c>
      <c r="B6" s="2" t="s">
        <v>15</v>
      </c>
      <c r="C6" s="2" t="s">
        <v>17</v>
      </c>
      <c r="D6" s="2">
        <v>3</v>
      </c>
      <c r="E6" s="6" t="s">
        <v>499</v>
      </c>
      <c r="F6" s="2" t="str">
        <f t="shared" si="0"/>
        <v>A</v>
      </c>
      <c r="G6" s="2">
        <v>5</v>
      </c>
      <c r="H6" s="2" t="str">
        <f t="shared" si="1"/>
        <v>B</v>
      </c>
      <c r="I6" s="2">
        <v>2</v>
      </c>
      <c r="J6" s="2">
        <f t="shared" si="2"/>
        <v>3</v>
      </c>
      <c r="K6" s="2" t="str">
        <f t="shared" si="3"/>
        <v>A</v>
      </c>
      <c r="L6" s="2" t="str">
        <f t="shared" si="4"/>
        <v>A</v>
      </c>
      <c r="M6" s="2" t="s">
        <v>34</v>
      </c>
      <c r="N6" s="2">
        <f t="shared" si="5"/>
        <v>1</v>
      </c>
      <c r="O6" s="2" t="s">
        <v>34</v>
      </c>
      <c r="P6" s="2">
        <v>202</v>
      </c>
    </row>
    <row r="7" ht="23" customHeight="1" spans="1:16">
      <c r="A7" s="6" t="s">
        <v>445</v>
      </c>
      <c r="B7" s="2" t="s">
        <v>15</v>
      </c>
      <c r="C7" s="2" t="s">
        <v>46</v>
      </c>
      <c r="D7" s="2">
        <v>3</v>
      </c>
      <c r="E7" s="6" t="s">
        <v>499</v>
      </c>
      <c r="F7" s="2" t="str">
        <f t="shared" si="0"/>
        <v>B</v>
      </c>
      <c r="G7" s="2">
        <v>4</v>
      </c>
      <c r="H7" s="2" t="str">
        <f t="shared" si="1"/>
        <v>A</v>
      </c>
      <c r="I7" s="2">
        <v>5</v>
      </c>
      <c r="J7" s="2">
        <f t="shared" si="2"/>
        <v>-1</v>
      </c>
      <c r="K7" s="2" t="str">
        <f t="shared" si="3"/>
        <v>B</v>
      </c>
      <c r="L7" s="2" t="str">
        <f t="shared" si="4"/>
        <v>A</v>
      </c>
      <c r="M7" s="2" t="s">
        <v>34</v>
      </c>
      <c r="N7" s="2">
        <f t="shared" si="5"/>
        <v>1</v>
      </c>
      <c r="O7" s="2" t="s">
        <v>22</v>
      </c>
      <c r="P7" s="2">
        <v>211</v>
      </c>
    </row>
    <row r="8" ht="23" customHeight="1" spans="1:16">
      <c r="A8" s="6" t="s">
        <v>445</v>
      </c>
      <c r="B8" s="2" t="s">
        <v>15</v>
      </c>
      <c r="C8" s="2" t="s">
        <v>17</v>
      </c>
      <c r="D8" s="2">
        <v>4</v>
      </c>
      <c r="E8" s="6" t="s">
        <v>500</v>
      </c>
      <c r="F8" s="2" t="str">
        <f t="shared" si="0"/>
        <v>A</v>
      </c>
      <c r="G8" s="2">
        <v>5</v>
      </c>
      <c r="H8" s="2" t="str">
        <f t="shared" si="1"/>
        <v>B</v>
      </c>
      <c r="I8" s="2">
        <v>4</v>
      </c>
      <c r="J8" s="2">
        <f t="shared" si="2"/>
        <v>1</v>
      </c>
      <c r="K8" s="2" t="str">
        <f t="shared" si="3"/>
        <v>A</v>
      </c>
      <c r="L8" s="2" t="str">
        <f t="shared" si="4"/>
        <v>A</v>
      </c>
      <c r="M8" s="2" t="s">
        <v>34</v>
      </c>
      <c r="N8" s="2">
        <f t="shared" si="5"/>
        <v>1</v>
      </c>
      <c r="O8" s="2" t="s">
        <v>34</v>
      </c>
      <c r="P8" s="2">
        <v>202</v>
      </c>
    </row>
    <row r="9" ht="23" customHeight="1" spans="1:16">
      <c r="A9" s="6" t="s">
        <v>445</v>
      </c>
      <c r="B9" s="2" t="s">
        <v>15</v>
      </c>
      <c r="C9" s="2" t="s">
        <v>46</v>
      </c>
      <c r="D9" s="2">
        <v>4</v>
      </c>
      <c r="E9" s="6" t="s">
        <v>500</v>
      </c>
      <c r="F9" s="2" t="str">
        <f t="shared" si="0"/>
        <v>B</v>
      </c>
      <c r="G9" s="2">
        <v>4</v>
      </c>
      <c r="H9" s="2" t="str">
        <f t="shared" si="1"/>
        <v>A</v>
      </c>
      <c r="I9" s="2">
        <v>5</v>
      </c>
      <c r="J9" s="2">
        <f t="shared" si="2"/>
        <v>-1</v>
      </c>
      <c r="K9" s="2" t="str">
        <f t="shared" si="3"/>
        <v>B</v>
      </c>
      <c r="L9" s="2" t="str">
        <f t="shared" si="4"/>
        <v>A</v>
      </c>
      <c r="M9" s="2" t="s">
        <v>34</v>
      </c>
      <c r="N9" s="2">
        <f t="shared" si="5"/>
        <v>1</v>
      </c>
      <c r="O9" s="2" t="s">
        <v>22</v>
      </c>
      <c r="P9" s="2">
        <v>211</v>
      </c>
    </row>
    <row r="10" ht="23" customHeight="1" spans="1:16">
      <c r="A10" s="6" t="s">
        <v>445</v>
      </c>
      <c r="B10" s="2" t="s">
        <v>15</v>
      </c>
      <c r="C10" s="2" t="s">
        <v>17</v>
      </c>
      <c r="D10" s="2">
        <v>5</v>
      </c>
      <c r="E10" s="6" t="s">
        <v>501</v>
      </c>
      <c r="F10" s="2" t="str">
        <f t="shared" si="0"/>
        <v>A</v>
      </c>
      <c r="G10" s="2">
        <v>5</v>
      </c>
      <c r="H10" s="2" t="str">
        <f t="shared" si="1"/>
        <v>B</v>
      </c>
      <c r="I10" s="2">
        <v>5</v>
      </c>
      <c r="J10" s="2">
        <f t="shared" si="2"/>
        <v>0</v>
      </c>
      <c r="K10" s="2" t="str">
        <f t="shared" si="3"/>
        <v>C</v>
      </c>
      <c r="L10" s="2" t="str">
        <f t="shared" si="4"/>
        <v>D(平局)</v>
      </c>
      <c r="M10" s="2" t="s">
        <v>34</v>
      </c>
      <c r="N10" s="2">
        <f t="shared" si="5"/>
        <v>0</v>
      </c>
      <c r="O10" s="2" t="s">
        <v>34</v>
      </c>
      <c r="P10" s="2">
        <v>202</v>
      </c>
    </row>
    <row r="11" ht="23" customHeight="1" spans="1:16">
      <c r="A11" s="6" t="s">
        <v>445</v>
      </c>
      <c r="B11" s="2" t="s">
        <v>15</v>
      </c>
      <c r="C11" s="2" t="s">
        <v>46</v>
      </c>
      <c r="D11" s="2">
        <v>5</v>
      </c>
      <c r="E11" s="6" t="s">
        <v>501</v>
      </c>
      <c r="F11" s="2" t="str">
        <f t="shared" si="0"/>
        <v>B</v>
      </c>
      <c r="G11" s="2">
        <v>5</v>
      </c>
      <c r="H11" s="2" t="str">
        <f t="shared" si="1"/>
        <v>A</v>
      </c>
      <c r="I11" s="2">
        <v>5</v>
      </c>
      <c r="J11" s="2">
        <f t="shared" si="2"/>
        <v>0</v>
      </c>
      <c r="K11" s="2" t="str">
        <f t="shared" si="3"/>
        <v>C</v>
      </c>
      <c r="L11" s="2" t="str">
        <f t="shared" si="4"/>
        <v>D(平局)</v>
      </c>
      <c r="M11" s="2" t="s">
        <v>34</v>
      </c>
      <c r="N11" s="2">
        <f t="shared" si="5"/>
        <v>0</v>
      </c>
      <c r="O11" s="2" t="s">
        <v>22</v>
      </c>
      <c r="P11" s="2">
        <v>211</v>
      </c>
    </row>
    <row r="12" ht="23" customHeight="1" spans="1:16">
      <c r="A12" s="6" t="s">
        <v>445</v>
      </c>
      <c r="B12" s="2" t="s">
        <v>31</v>
      </c>
      <c r="C12" s="2" t="s">
        <v>17</v>
      </c>
      <c r="D12" s="2">
        <v>1</v>
      </c>
      <c r="E12" s="6" t="s">
        <v>497</v>
      </c>
      <c r="F12" s="2" t="str">
        <f t="shared" si="0"/>
        <v>A</v>
      </c>
      <c r="G12" s="2">
        <v>5</v>
      </c>
      <c r="H12" s="2" t="str">
        <f t="shared" si="1"/>
        <v>C</v>
      </c>
      <c r="I12" s="2">
        <v>3</v>
      </c>
      <c r="J12" s="2">
        <f t="shared" si="2"/>
        <v>2</v>
      </c>
      <c r="K12" s="2" t="str">
        <f t="shared" si="3"/>
        <v>A</v>
      </c>
      <c r="L12" s="2" t="str">
        <f t="shared" si="4"/>
        <v>A</v>
      </c>
      <c r="M12" s="2" t="s">
        <v>34</v>
      </c>
      <c r="N12" s="2">
        <f t="shared" si="5"/>
        <v>1</v>
      </c>
      <c r="O12" s="2" t="s">
        <v>34</v>
      </c>
      <c r="P12" s="2">
        <v>205</v>
      </c>
    </row>
    <row r="13" ht="23" customHeight="1" spans="1:16">
      <c r="A13" s="6" t="s">
        <v>445</v>
      </c>
      <c r="B13" s="2" t="s">
        <v>31</v>
      </c>
      <c r="C13" s="2" t="s">
        <v>46</v>
      </c>
      <c r="D13" s="2">
        <v>1</v>
      </c>
      <c r="E13" s="6" t="s">
        <v>497</v>
      </c>
      <c r="F13" s="2" t="str">
        <f t="shared" si="0"/>
        <v>C</v>
      </c>
      <c r="G13" s="2">
        <v>3</v>
      </c>
      <c r="H13" s="2" t="str">
        <f t="shared" si="1"/>
        <v>A</v>
      </c>
      <c r="I13" s="2">
        <v>5</v>
      </c>
      <c r="J13" s="2">
        <f t="shared" si="2"/>
        <v>-2</v>
      </c>
      <c r="K13" s="2" t="str">
        <f t="shared" si="3"/>
        <v>B</v>
      </c>
      <c r="L13" s="2" t="str">
        <f t="shared" si="4"/>
        <v>A</v>
      </c>
      <c r="M13" s="2" t="s">
        <v>34</v>
      </c>
      <c r="N13" s="2">
        <f t="shared" si="5"/>
        <v>1</v>
      </c>
      <c r="O13" s="2" t="s">
        <v>22</v>
      </c>
      <c r="P13" s="2">
        <v>214</v>
      </c>
    </row>
    <row r="14" ht="23" customHeight="1" spans="1:16">
      <c r="A14" s="6" t="s">
        <v>445</v>
      </c>
      <c r="B14" s="2" t="s">
        <v>31</v>
      </c>
      <c r="C14" s="2" t="s">
        <v>17</v>
      </c>
      <c r="D14" s="2">
        <v>2</v>
      </c>
      <c r="E14" s="6" t="s">
        <v>498</v>
      </c>
      <c r="F14" s="2" t="str">
        <f t="shared" si="0"/>
        <v>A</v>
      </c>
      <c r="G14" s="2">
        <v>4</v>
      </c>
      <c r="H14" s="2" t="str">
        <f t="shared" si="1"/>
        <v>C</v>
      </c>
      <c r="I14" s="2">
        <v>2</v>
      </c>
      <c r="J14" s="2">
        <f t="shared" si="2"/>
        <v>2</v>
      </c>
      <c r="K14" s="2" t="str">
        <f t="shared" si="3"/>
        <v>A</v>
      </c>
      <c r="L14" s="2" t="str">
        <f t="shared" si="4"/>
        <v>A</v>
      </c>
      <c r="M14" s="2" t="s">
        <v>34</v>
      </c>
      <c r="N14" s="2">
        <f t="shared" si="5"/>
        <v>1</v>
      </c>
      <c r="O14" s="2" t="s">
        <v>34</v>
      </c>
      <c r="P14" s="2">
        <v>205</v>
      </c>
    </row>
    <row r="15" ht="23" customHeight="1" spans="1:16">
      <c r="A15" s="6" t="s">
        <v>445</v>
      </c>
      <c r="B15" s="2" t="s">
        <v>31</v>
      </c>
      <c r="C15" s="2" t="s">
        <v>46</v>
      </c>
      <c r="D15" s="2">
        <v>2</v>
      </c>
      <c r="E15" s="6" t="s">
        <v>498</v>
      </c>
      <c r="F15" s="2" t="str">
        <f t="shared" si="0"/>
        <v>C</v>
      </c>
      <c r="G15" s="2">
        <v>2</v>
      </c>
      <c r="H15" s="2" t="str">
        <f t="shared" si="1"/>
        <v>A</v>
      </c>
      <c r="I15" s="2">
        <v>5</v>
      </c>
      <c r="J15" s="2">
        <f t="shared" si="2"/>
        <v>-3</v>
      </c>
      <c r="K15" s="2" t="str">
        <f t="shared" si="3"/>
        <v>B</v>
      </c>
      <c r="L15" s="2" t="str">
        <f t="shared" si="4"/>
        <v>A</v>
      </c>
      <c r="M15" s="2" t="s">
        <v>34</v>
      </c>
      <c r="N15" s="2">
        <f t="shared" si="5"/>
        <v>1</v>
      </c>
      <c r="O15" s="2" t="s">
        <v>22</v>
      </c>
      <c r="P15" s="2">
        <v>214</v>
      </c>
    </row>
    <row r="16" ht="23" customHeight="1" spans="1:16">
      <c r="A16" s="6" t="s">
        <v>445</v>
      </c>
      <c r="B16" s="2" t="s">
        <v>31</v>
      </c>
      <c r="C16" s="2" t="s">
        <v>17</v>
      </c>
      <c r="D16" s="2">
        <v>3</v>
      </c>
      <c r="E16" s="6" t="s">
        <v>499</v>
      </c>
      <c r="F16" s="2" t="str">
        <f t="shared" si="0"/>
        <v>A</v>
      </c>
      <c r="G16" s="2">
        <v>4</v>
      </c>
      <c r="H16" s="2" t="str">
        <f t="shared" si="1"/>
        <v>C</v>
      </c>
      <c r="I16" s="2">
        <v>2</v>
      </c>
      <c r="J16" s="2">
        <f t="shared" si="2"/>
        <v>2</v>
      </c>
      <c r="K16" s="2" t="str">
        <f t="shared" si="3"/>
        <v>A</v>
      </c>
      <c r="L16" s="2" t="str">
        <f t="shared" si="4"/>
        <v>A</v>
      </c>
      <c r="M16" s="2" t="s">
        <v>34</v>
      </c>
      <c r="N16" s="2">
        <f t="shared" si="5"/>
        <v>1</v>
      </c>
      <c r="O16" s="2" t="s">
        <v>34</v>
      </c>
      <c r="P16" s="2">
        <v>205</v>
      </c>
    </row>
    <row r="17" ht="23" customHeight="1" spans="1:16">
      <c r="A17" s="6" t="s">
        <v>445</v>
      </c>
      <c r="B17" s="2" t="s">
        <v>31</v>
      </c>
      <c r="C17" s="2" t="s">
        <v>46</v>
      </c>
      <c r="D17" s="2">
        <v>3</v>
      </c>
      <c r="E17" s="6" t="s">
        <v>499</v>
      </c>
      <c r="F17" s="2" t="str">
        <f t="shared" si="0"/>
        <v>C</v>
      </c>
      <c r="G17" s="2">
        <v>3</v>
      </c>
      <c r="H17" s="2" t="str">
        <f t="shared" si="1"/>
        <v>A</v>
      </c>
      <c r="I17" s="2">
        <v>5</v>
      </c>
      <c r="J17" s="2">
        <f t="shared" si="2"/>
        <v>-2</v>
      </c>
      <c r="K17" s="2" t="str">
        <f t="shared" si="3"/>
        <v>B</v>
      </c>
      <c r="L17" s="2" t="str">
        <f t="shared" si="4"/>
        <v>A</v>
      </c>
      <c r="M17" s="2" t="s">
        <v>34</v>
      </c>
      <c r="N17" s="2">
        <f t="shared" si="5"/>
        <v>1</v>
      </c>
      <c r="O17" s="2" t="s">
        <v>22</v>
      </c>
      <c r="P17" s="2">
        <v>214</v>
      </c>
    </row>
    <row r="18" ht="23" customHeight="1" spans="1:16">
      <c r="A18" s="6" t="s">
        <v>445</v>
      </c>
      <c r="B18" s="2" t="s">
        <v>31</v>
      </c>
      <c r="C18" s="2" t="s">
        <v>17</v>
      </c>
      <c r="D18" s="2">
        <v>4</v>
      </c>
      <c r="E18" s="6" t="s">
        <v>500</v>
      </c>
      <c r="F18" s="2" t="str">
        <f t="shared" si="0"/>
        <v>A</v>
      </c>
      <c r="G18" s="2">
        <v>5</v>
      </c>
      <c r="H18" s="2" t="str">
        <f t="shared" si="1"/>
        <v>C</v>
      </c>
      <c r="I18" s="2">
        <v>4</v>
      </c>
      <c r="J18" s="2">
        <f t="shared" si="2"/>
        <v>1</v>
      </c>
      <c r="K18" s="2" t="str">
        <f t="shared" si="3"/>
        <v>A</v>
      </c>
      <c r="L18" s="2" t="str">
        <f t="shared" si="4"/>
        <v>A</v>
      </c>
      <c r="M18" s="2" t="s">
        <v>34</v>
      </c>
      <c r="N18" s="2">
        <f t="shared" si="5"/>
        <v>1</v>
      </c>
      <c r="O18" s="2" t="s">
        <v>34</v>
      </c>
      <c r="P18" s="2">
        <v>205</v>
      </c>
    </row>
    <row r="19" ht="23" customHeight="1" spans="1:16">
      <c r="A19" s="6" t="s">
        <v>445</v>
      </c>
      <c r="B19" s="2" t="s">
        <v>31</v>
      </c>
      <c r="C19" s="2" t="s">
        <v>46</v>
      </c>
      <c r="D19" s="2">
        <v>4</v>
      </c>
      <c r="E19" s="6" t="s">
        <v>500</v>
      </c>
      <c r="F19" s="2" t="str">
        <f t="shared" si="0"/>
        <v>C</v>
      </c>
      <c r="G19" s="2">
        <v>4</v>
      </c>
      <c r="H19" s="2" t="str">
        <f t="shared" si="1"/>
        <v>A</v>
      </c>
      <c r="I19" s="2">
        <v>5</v>
      </c>
      <c r="J19" s="2">
        <f t="shared" si="2"/>
        <v>-1</v>
      </c>
      <c r="K19" s="2" t="str">
        <f t="shared" si="3"/>
        <v>B</v>
      </c>
      <c r="L19" s="2" t="str">
        <f t="shared" si="4"/>
        <v>A</v>
      </c>
      <c r="M19" s="2" t="s">
        <v>34</v>
      </c>
      <c r="N19" s="2">
        <f t="shared" si="5"/>
        <v>1</v>
      </c>
      <c r="O19" s="2" t="s">
        <v>22</v>
      </c>
      <c r="P19" s="2">
        <v>214</v>
      </c>
    </row>
    <row r="20" ht="23" customHeight="1" spans="1:16">
      <c r="A20" s="6" t="s">
        <v>445</v>
      </c>
      <c r="B20" s="2" t="s">
        <v>31</v>
      </c>
      <c r="C20" s="2" t="s">
        <v>17</v>
      </c>
      <c r="D20" s="2">
        <v>5</v>
      </c>
      <c r="E20" s="6" t="s">
        <v>501</v>
      </c>
      <c r="F20" s="2" t="str">
        <f t="shared" si="0"/>
        <v>A</v>
      </c>
      <c r="G20" s="2">
        <v>5</v>
      </c>
      <c r="H20" s="2" t="str">
        <f t="shared" si="1"/>
        <v>C</v>
      </c>
      <c r="I20" s="2">
        <v>5</v>
      </c>
      <c r="J20" s="2">
        <f t="shared" si="2"/>
        <v>0</v>
      </c>
      <c r="K20" s="2" t="str">
        <f t="shared" si="3"/>
        <v>C</v>
      </c>
      <c r="L20" s="2" t="str">
        <f t="shared" si="4"/>
        <v>D(平局)</v>
      </c>
      <c r="M20" s="2" t="s">
        <v>34</v>
      </c>
      <c r="N20" s="2">
        <f t="shared" si="5"/>
        <v>0</v>
      </c>
      <c r="O20" s="2" t="s">
        <v>34</v>
      </c>
      <c r="P20" s="2">
        <v>205</v>
      </c>
    </row>
    <row r="21" ht="23" customHeight="1" spans="1:16">
      <c r="A21" s="6" t="s">
        <v>445</v>
      </c>
      <c r="B21" s="2" t="s">
        <v>31</v>
      </c>
      <c r="C21" s="2" t="s">
        <v>46</v>
      </c>
      <c r="D21" s="2">
        <v>5</v>
      </c>
      <c r="E21" s="6" t="s">
        <v>501</v>
      </c>
      <c r="F21" s="2" t="str">
        <f t="shared" si="0"/>
        <v>C</v>
      </c>
      <c r="G21" s="2">
        <v>4</v>
      </c>
      <c r="H21" s="2" t="str">
        <f t="shared" si="1"/>
        <v>A</v>
      </c>
      <c r="I21" s="2">
        <v>5</v>
      </c>
      <c r="J21" s="2">
        <f t="shared" si="2"/>
        <v>-1</v>
      </c>
      <c r="K21" s="2" t="str">
        <f t="shared" si="3"/>
        <v>B</v>
      </c>
      <c r="L21" s="2" t="str">
        <f t="shared" si="4"/>
        <v>A</v>
      </c>
      <c r="M21" s="2" t="s">
        <v>34</v>
      </c>
      <c r="N21" s="2">
        <f t="shared" si="5"/>
        <v>1</v>
      </c>
      <c r="O21" s="2" t="s">
        <v>22</v>
      </c>
      <c r="P21" s="2">
        <v>214</v>
      </c>
    </row>
    <row r="22" ht="23" customHeight="1" spans="1:16">
      <c r="A22" s="6" t="s">
        <v>445</v>
      </c>
      <c r="B22" s="2" t="s">
        <v>39</v>
      </c>
      <c r="C22" s="2" t="s">
        <v>17</v>
      </c>
      <c r="D22" s="2">
        <v>1</v>
      </c>
      <c r="E22" s="6" t="s">
        <v>497</v>
      </c>
      <c r="F22" s="2" t="str">
        <f t="shared" si="0"/>
        <v>B</v>
      </c>
      <c r="G22" s="2">
        <v>5</v>
      </c>
      <c r="H22" s="2" t="str">
        <f t="shared" si="1"/>
        <v>C</v>
      </c>
      <c r="I22" s="2">
        <v>4</v>
      </c>
      <c r="J22" s="2">
        <f t="shared" si="2"/>
        <v>1</v>
      </c>
      <c r="K22" s="2" t="str">
        <f t="shared" si="3"/>
        <v>A</v>
      </c>
      <c r="L22" s="2" t="str">
        <f t="shared" si="4"/>
        <v>B</v>
      </c>
      <c r="M22" s="2" t="s">
        <v>22</v>
      </c>
      <c r="N22" s="2">
        <f t="shared" si="5"/>
        <v>1</v>
      </c>
      <c r="O22" s="2" t="s">
        <v>34</v>
      </c>
      <c r="P22" s="2">
        <v>208</v>
      </c>
    </row>
    <row r="23" ht="23" customHeight="1" spans="1:16">
      <c r="A23" s="6" t="s">
        <v>445</v>
      </c>
      <c r="B23" s="2" t="s">
        <v>39</v>
      </c>
      <c r="C23" s="2" t="s">
        <v>46</v>
      </c>
      <c r="D23" s="2">
        <v>1</v>
      </c>
      <c r="E23" s="6" t="s">
        <v>497</v>
      </c>
      <c r="F23" s="2" t="str">
        <f t="shared" si="0"/>
        <v>C</v>
      </c>
      <c r="G23" s="2">
        <v>4</v>
      </c>
      <c r="H23" s="2" t="str">
        <f t="shared" si="1"/>
        <v>B</v>
      </c>
      <c r="I23" s="2">
        <v>5</v>
      </c>
      <c r="J23" s="2">
        <f t="shared" si="2"/>
        <v>-1</v>
      </c>
      <c r="K23" s="2" t="str">
        <f t="shared" si="3"/>
        <v>B</v>
      </c>
      <c r="L23" s="2" t="str">
        <f t="shared" si="4"/>
        <v>B</v>
      </c>
      <c r="M23" s="2" t="s">
        <v>22</v>
      </c>
      <c r="N23" s="2">
        <f t="shared" si="5"/>
        <v>1</v>
      </c>
      <c r="O23" s="2" t="s">
        <v>22</v>
      </c>
      <c r="P23" s="2">
        <v>217</v>
      </c>
    </row>
    <row r="24" ht="23" customHeight="1" spans="1:16">
      <c r="A24" s="6" t="s">
        <v>445</v>
      </c>
      <c r="B24" s="2" t="s">
        <v>39</v>
      </c>
      <c r="C24" s="2" t="s">
        <v>17</v>
      </c>
      <c r="D24" s="2">
        <v>2</v>
      </c>
      <c r="E24" s="6" t="s">
        <v>498</v>
      </c>
      <c r="F24" s="2" t="str">
        <f t="shared" si="0"/>
        <v>B</v>
      </c>
      <c r="G24" s="2">
        <v>4</v>
      </c>
      <c r="H24" s="2" t="str">
        <f t="shared" si="1"/>
        <v>C</v>
      </c>
      <c r="I24" s="2">
        <v>2</v>
      </c>
      <c r="J24" s="2">
        <f t="shared" si="2"/>
        <v>2</v>
      </c>
      <c r="K24" s="2" t="str">
        <f t="shared" si="3"/>
        <v>A</v>
      </c>
      <c r="L24" s="2" t="str">
        <f t="shared" si="4"/>
        <v>B</v>
      </c>
      <c r="M24" s="2" t="s">
        <v>22</v>
      </c>
      <c r="N24" s="2">
        <f t="shared" si="5"/>
        <v>1</v>
      </c>
      <c r="O24" s="2" t="s">
        <v>34</v>
      </c>
      <c r="P24" s="2">
        <v>208</v>
      </c>
    </row>
    <row r="25" ht="23" customHeight="1" spans="1:16">
      <c r="A25" s="6" t="s">
        <v>445</v>
      </c>
      <c r="B25" s="2" t="s">
        <v>39</v>
      </c>
      <c r="C25" s="2" t="s">
        <v>46</v>
      </c>
      <c r="D25" s="2">
        <v>2</v>
      </c>
      <c r="E25" s="6" t="s">
        <v>498</v>
      </c>
      <c r="F25" s="2" t="str">
        <f t="shared" si="0"/>
        <v>C</v>
      </c>
      <c r="G25" s="2">
        <v>3</v>
      </c>
      <c r="H25" s="2" t="str">
        <f t="shared" si="1"/>
        <v>B</v>
      </c>
      <c r="I25" s="2">
        <v>5</v>
      </c>
      <c r="J25" s="2">
        <f t="shared" si="2"/>
        <v>-2</v>
      </c>
      <c r="K25" s="2" t="str">
        <f t="shared" si="3"/>
        <v>B</v>
      </c>
      <c r="L25" s="2" t="str">
        <f t="shared" si="4"/>
        <v>B</v>
      </c>
      <c r="M25" s="2" t="s">
        <v>22</v>
      </c>
      <c r="N25" s="2">
        <f t="shared" si="5"/>
        <v>1</v>
      </c>
      <c r="O25" s="2" t="s">
        <v>22</v>
      </c>
      <c r="P25" s="2">
        <v>217</v>
      </c>
    </row>
    <row r="26" ht="23" customHeight="1" spans="1:16">
      <c r="A26" s="6" t="s">
        <v>445</v>
      </c>
      <c r="B26" s="2" t="s">
        <v>39</v>
      </c>
      <c r="C26" s="2" t="s">
        <v>17</v>
      </c>
      <c r="D26" s="2">
        <v>3</v>
      </c>
      <c r="E26" s="6" t="s">
        <v>499</v>
      </c>
      <c r="F26" s="2" t="str">
        <f t="shared" si="0"/>
        <v>B</v>
      </c>
      <c r="G26" s="2">
        <v>4</v>
      </c>
      <c r="H26" s="2" t="str">
        <f t="shared" si="1"/>
        <v>C</v>
      </c>
      <c r="I26" s="2">
        <v>2</v>
      </c>
      <c r="J26" s="2">
        <f t="shared" si="2"/>
        <v>2</v>
      </c>
      <c r="K26" s="2" t="str">
        <f t="shared" si="3"/>
        <v>A</v>
      </c>
      <c r="L26" s="2" t="str">
        <f t="shared" si="4"/>
        <v>B</v>
      </c>
      <c r="M26" s="2" t="s">
        <v>22</v>
      </c>
      <c r="N26" s="2">
        <f t="shared" si="5"/>
        <v>1</v>
      </c>
      <c r="O26" s="2" t="s">
        <v>34</v>
      </c>
      <c r="P26" s="2">
        <v>208</v>
      </c>
    </row>
    <row r="27" ht="23" customHeight="1" spans="1:16">
      <c r="A27" s="6" t="s">
        <v>445</v>
      </c>
      <c r="B27" s="2" t="s">
        <v>39</v>
      </c>
      <c r="C27" s="2" t="s">
        <v>46</v>
      </c>
      <c r="D27" s="2">
        <v>3</v>
      </c>
      <c r="E27" s="6" t="s">
        <v>499</v>
      </c>
      <c r="F27" s="2" t="str">
        <f t="shared" si="0"/>
        <v>C</v>
      </c>
      <c r="G27" s="2">
        <v>3</v>
      </c>
      <c r="H27" s="2" t="str">
        <f t="shared" si="1"/>
        <v>B</v>
      </c>
      <c r="I27" s="2">
        <v>4</v>
      </c>
      <c r="J27" s="2">
        <f t="shared" si="2"/>
        <v>-1</v>
      </c>
      <c r="K27" s="2" t="str">
        <f t="shared" si="3"/>
        <v>B</v>
      </c>
      <c r="L27" s="2" t="str">
        <f t="shared" si="4"/>
        <v>B</v>
      </c>
      <c r="M27" s="2" t="s">
        <v>22</v>
      </c>
      <c r="N27" s="2">
        <f t="shared" si="5"/>
        <v>1</v>
      </c>
      <c r="O27" s="2" t="s">
        <v>22</v>
      </c>
      <c r="P27" s="2">
        <v>217</v>
      </c>
    </row>
    <row r="28" ht="23" customHeight="1" spans="1:16">
      <c r="A28" s="6" t="s">
        <v>445</v>
      </c>
      <c r="B28" s="2" t="s">
        <v>39</v>
      </c>
      <c r="C28" s="2" t="s">
        <v>17</v>
      </c>
      <c r="D28" s="2">
        <v>4</v>
      </c>
      <c r="E28" s="6" t="s">
        <v>500</v>
      </c>
      <c r="F28" s="2" t="str">
        <f t="shared" si="0"/>
        <v>B</v>
      </c>
      <c r="G28" s="2">
        <v>5</v>
      </c>
      <c r="H28" s="2" t="str">
        <f t="shared" si="1"/>
        <v>C</v>
      </c>
      <c r="I28" s="2">
        <v>4</v>
      </c>
      <c r="J28" s="2">
        <f t="shared" si="2"/>
        <v>1</v>
      </c>
      <c r="K28" s="2" t="str">
        <f t="shared" si="3"/>
        <v>A</v>
      </c>
      <c r="L28" s="2" t="str">
        <f t="shared" si="4"/>
        <v>B</v>
      </c>
      <c r="M28" s="2" t="s">
        <v>22</v>
      </c>
      <c r="N28" s="2">
        <f t="shared" si="5"/>
        <v>1</v>
      </c>
      <c r="O28" s="2" t="s">
        <v>34</v>
      </c>
      <c r="P28" s="2">
        <v>208</v>
      </c>
    </row>
    <row r="29" ht="23" customHeight="1" spans="1:16">
      <c r="A29" s="6" t="s">
        <v>445</v>
      </c>
      <c r="B29" s="2" t="s">
        <v>39</v>
      </c>
      <c r="C29" s="2" t="s">
        <v>46</v>
      </c>
      <c r="D29" s="2">
        <v>4</v>
      </c>
      <c r="E29" s="6" t="s">
        <v>500</v>
      </c>
      <c r="F29" s="2" t="str">
        <f t="shared" si="0"/>
        <v>C</v>
      </c>
      <c r="G29" s="2">
        <v>4</v>
      </c>
      <c r="H29" s="2" t="str">
        <f t="shared" si="1"/>
        <v>B</v>
      </c>
      <c r="I29" s="2">
        <v>5</v>
      </c>
      <c r="J29" s="2">
        <f t="shared" si="2"/>
        <v>-1</v>
      </c>
      <c r="K29" s="2" t="str">
        <f t="shared" si="3"/>
        <v>B</v>
      </c>
      <c r="L29" s="2" t="str">
        <f t="shared" si="4"/>
        <v>B</v>
      </c>
      <c r="M29" s="2" t="s">
        <v>22</v>
      </c>
      <c r="N29" s="2">
        <f t="shared" si="5"/>
        <v>1</v>
      </c>
      <c r="O29" s="2" t="s">
        <v>22</v>
      </c>
      <c r="P29" s="2">
        <v>217</v>
      </c>
    </row>
    <row r="30" ht="23" customHeight="1" spans="1:16">
      <c r="A30" s="6" t="s">
        <v>445</v>
      </c>
      <c r="B30" s="2" t="s">
        <v>39</v>
      </c>
      <c r="C30" s="2" t="s">
        <v>17</v>
      </c>
      <c r="D30" s="2">
        <v>5</v>
      </c>
      <c r="E30" s="6" t="s">
        <v>501</v>
      </c>
      <c r="F30" s="2" t="str">
        <f t="shared" si="0"/>
        <v>B</v>
      </c>
      <c r="G30" s="2">
        <v>5</v>
      </c>
      <c r="H30" s="2" t="str">
        <f t="shared" si="1"/>
        <v>C</v>
      </c>
      <c r="I30" s="2">
        <v>5</v>
      </c>
      <c r="J30" s="2">
        <f t="shared" si="2"/>
        <v>0</v>
      </c>
      <c r="K30" s="2" t="str">
        <f t="shared" si="3"/>
        <v>C</v>
      </c>
      <c r="L30" s="2" t="str">
        <f t="shared" si="4"/>
        <v>D(平局)</v>
      </c>
      <c r="M30" s="2" t="s">
        <v>22</v>
      </c>
      <c r="N30" s="2">
        <f t="shared" si="5"/>
        <v>0</v>
      </c>
      <c r="O30" s="2" t="s">
        <v>34</v>
      </c>
      <c r="P30" s="2">
        <v>208</v>
      </c>
    </row>
    <row r="31" ht="23" customHeight="1" spans="1:16">
      <c r="A31" s="6" t="s">
        <v>445</v>
      </c>
      <c r="B31" s="2" t="s">
        <v>39</v>
      </c>
      <c r="C31" s="2" t="s">
        <v>46</v>
      </c>
      <c r="D31" s="2">
        <v>5</v>
      </c>
      <c r="E31" s="6" t="s">
        <v>501</v>
      </c>
      <c r="F31" s="2" t="str">
        <f t="shared" si="0"/>
        <v>C</v>
      </c>
      <c r="G31" s="2">
        <v>2</v>
      </c>
      <c r="H31" s="2" t="str">
        <f t="shared" si="1"/>
        <v>B</v>
      </c>
      <c r="I31" s="2">
        <v>5</v>
      </c>
      <c r="J31" s="2">
        <f t="shared" si="2"/>
        <v>-3</v>
      </c>
      <c r="K31" s="2" t="str">
        <f t="shared" si="3"/>
        <v>B</v>
      </c>
      <c r="L31" s="2" t="str">
        <f t="shared" si="4"/>
        <v>B</v>
      </c>
      <c r="M31" s="2" t="s">
        <v>22</v>
      </c>
      <c r="N31" s="2">
        <f t="shared" si="5"/>
        <v>1</v>
      </c>
      <c r="O31" s="2" t="s">
        <v>22</v>
      </c>
      <c r="P31" s="2">
        <v>217</v>
      </c>
    </row>
    <row r="32" ht="23" customHeight="1" spans="1:16">
      <c r="A32" s="6" t="s">
        <v>407</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34</v>
      </c>
      <c r="N32" s="2">
        <f t="shared" si="5"/>
        <v>1</v>
      </c>
      <c r="O32" s="2" t="s">
        <v>34</v>
      </c>
      <c r="P32" s="2">
        <v>184</v>
      </c>
    </row>
    <row r="33" ht="23" customHeight="1" spans="1:16">
      <c r="A33" s="6" t="s">
        <v>407</v>
      </c>
      <c r="B33" s="2" t="s">
        <v>15</v>
      </c>
      <c r="C33" s="2" t="s">
        <v>46</v>
      </c>
      <c r="D33" s="2">
        <v>1</v>
      </c>
      <c r="E33" s="6" t="s">
        <v>497</v>
      </c>
      <c r="F33" s="2" t="str">
        <f t="shared" si="0"/>
        <v>B</v>
      </c>
      <c r="G33" s="2">
        <v>4</v>
      </c>
      <c r="H33" s="2" t="str">
        <f t="shared" si="1"/>
        <v>A</v>
      </c>
      <c r="I33" s="2">
        <v>5</v>
      </c>
      <c r="J33" s="2">
        <f t="shared" si="2"/>
        <v>-1</v>
      </c>
      <c r="K33" s="2" t="str">
        <f t="shared" si="3"/>
        <v>B</v>
      </c>
      <c r="L33" s="2" t="str">
        <f t="shared" si="4"/>
        <v>A</v>
      </c>
      <c r="M33" s="2" t="s">
        <v>34</v>
      </c>
      <c r="N33" s="2">
        <f t="shared" si="5"/>
        <v>1</v>
      </c>
      <c r="O33" s="2" t="s">
        <v>22</v>
      </c>
      <c r="P33" s="2">
        <v>193</v>
      </c>
    </row>
    <row r="34" ht="23" customHeight="1" spans="1:16">
      <c r="A34" s="6" t="s">
        <v>407</v>
      </c>
      <c r="B34" s="2" t="s">
        <v>15</v>
      </c>
      <c r="C34" s="2" t="s">
        <v>17</v>
      </c>
      <c r="D34" s="2">
        <v>2</v>
      </c>
      <c r="E34" s="6" t="s">
        <v>498</v>
      </c>
      <c r="F34" s="2" t="str">
        <f t="shared" si="0"/>
        <v>A</v>
      </c>
      <c r="G34" s="2">
        <v>5</v>
      </c>
      <c r="H34" s="2" t="str">
        <f t="shared" si="1"/>
        <v>B</v>
      </c>
      <c r="I34" s="2">
        <v>4</v>
      </c>
      <c r="J34" s="2">
        <f t="shared" si="2"/>
        <v>1</v>
      </c>
      <c r="K34" s="2" t="str">
        <f t="shared" si="3"/>
        <v>A</v>
      </c>
      <c r="L34" s="2" t="str">
        <f t="shared" si="4"/>
        <v>A</v>
      </c>
      <c r="M34" s="2" t="s">
        <v>34</v>
      </c>
      <c r="N34" s="2">
        <f t="shared" si="5"/>
        <v>1</v>
      </c>
      <c r="O34" s="2" t="s">
        <v>34</v>
      </c>
      <c r="P34" s="2">
        <v>184</v>
      </c>
    </row>
    <row r="35" ht="23" customHeight="1" spans="1:16">
      <c r="A35" s="6" t="s">
        <v>407</v>
      </c>
      <c r="B35" s="2" t="s">
        <v>15</v>
      </c>
      <c r="C35" s="2" t="s">
        <v>46</v>
      </c>
      <c r="D35" s="2">
        <v>2</v>
      </c>
      <c r="E35" s="6" t="s">
        <v>498</v>
      </c>
      <c r="F35" s="2" t="str">
        <f t="shared" si="0"/>
        <v>B</v>
      </c>
      <c r="G35" s="2">
        <v>3</v>
      </c>
      <c r="H35" s="2" t="str">
        <f t="shared" si="1"/>
        <v>A</v>
      </c>
      <c r="I35" s="2">
        <v>4</v>
      </c>
      <c r="J35" s="2">
        <f t="shared" si="2"/>
        <v>-1</v>
      </c>
      <c r="K35" s="2" t="str">
        <f t="shared" si="3"/>
        <v>B</v>
      </c>
      <c r="L35" s="2" t="str">
        <f t="shared" si="4"/>
        <v>A</v>
      </c>
      <c r="M35" s="2" t="s">
        <v>34</v>
      </c>
      <c r="N35" s="2">
        <f t="shared" si="5"/>
        <v>1</v>
      </c>
      <c r="O35" s="2" t="s">
        <v>22</v>
      </c>
      <c r="P35" s="2">
        <v>193</v>
      </c>
    </row>
    <row r="36" ht="23" customHeight="1" spans="1:16">
      <c r="A36" s="6" t="s">
        <v>407</v>
      </c>
      <c r="B36" s="2" t="s">
        <v>15</v>
      </c>
      <c r="C36" s="2" t="s">
        <v>17</v>
      </c>
      <c r="D36" s="2">
        <v>3</v>
      </c>
      <c r="E36" s="6" t="s">
        <v>499</v>
      </c>
      <c r="F36" s="2" t="str">
        <f t="shared" si="0"/>
        <v>A</v>
      </c>
      <c r="G36" s="2">
        <v>5</v>
      </c>
      <c r="H36" s="2" t="str">
        <f t="shared" si="1"/>
        <v>B</v>
      </c>
      <c r="I36" s="2">
        <v>3</v>
      </c>
      <c r="J36" s="2">
        <f t="shared" si="2"/>
        <v>2</v>
      </c>
      <c r="K36" s="2" t="str">
        <f t="shared" si="3"/>
        <v>A</v>
      </c>
      <c r="L36" s="2" t="str">
        <f t="shared" si="4"/>
        <v>A</v>
      </c>
      <c r="M36" s="2" t="s">
        <v>34</v>
      </c>
      <c r="N36" s="2">
        <f t="shared" si="5"/>
        <v>1</v>
      </c>
      <c r="O36" s="2" t="s">
        <v>34</v>
      </c>
      <c r="P36" s="2">
        <v>184</v>
      </c>
    </row>
    <row r="37" ht="23" customHeight="1" spans="1:16">
      <c r="A37" s="6" t="s">
        <v>407</v>
      </c>
      <c r="B37" s="2" t="s">
        <v>15</v>
      </c>
      <c r="C37" s="2" t="s">
        <v>46</v>
      </c>
      <c r="D37" s="2">
        <v>3</v>
      </c>
      <c r="E37" s="6" t="s">
        <v>499</v>
      </c>
      <c r="F37" s="2" t="str">
        <f t="shared" si="0"/>
        <v>B</v>
      </c>
      <c r="G37" s="2">
        <v>4</v>
      </c>
      <c r="H37" s="2" t="str">
        <f t="shared" si="1"/>
        <v>A</v>
      </c>
      <c r="I37" s="2">
        <v>5</v>
      </c>
      <c r="J37" s="2">
        <f t="shared" si="2"/>
        <v>-1</v>
      </c>
      <c r="K37" s="2" t="str">
        <f t="shared" si="3"/>
        <v>B</v>
      </c>
      <c r="L37" s="2" t="str">
        <f t="shared" si="4"/>
        <v>A</v>
      </c>
      <c r="M37" s="2" t="s">
        <v>34</v>
      </c>
      <c r="N37" s="2">
        <f t="shared" si="5"/>
        <v>1</v>
      </c>
      <c r="O37" s="2" t="s">
        <v>22</v>
      </c>
      <c r="P37" s="2">
        <v>193</v>
      </c>
    </row>
    <row r="38" ht="23" customHeight="1" spans="1:16">
      <c r="A38" s="6" t="s">
        <v>407</v>
      </c>
      <c r="B38" s="2" t="s">
        <v>15</v>
      </c>
      <c r="C38" s="2" t="s">
        <v>17</v>
      </c>
      <c r="D38" s="2">
        <v>4</v>
      </c>
      <c r="E38" s="6" t="s">
        <v>500</v>
      </c>
      <c r="F38" s="2" t="str">
        <f t="shared" si="0"/>
        <v>A</v>
      </c>
      <c r="G38" s="2">
        <v>5</v>
      </c>
      <c r="H38" s="2" t="str">
        <f t="shared" si="1"/>
        <v>B</v>
      </c>
      <c r="I38" s="2">
        <v>3</v>
      </c>
      <c r="J38" s="2">
        <f t="shared" si="2"/>
        <v>2</v>
      </c>
      <c r="K38" s="2" t="str">
        <f t="shared" si="3"/>
        <v>A</v>
      </c>
      <c r="L38" s="2" t="str">
        <f t="shared" si="4"/>
        <v>A</v>
      </c>
      <c r="M38" s="2" t="s">
        <v>34</v>
      </c>
      <c r="N38" s="2">
        <f t="shared" si="5"/>
        <v>1</v>
      </c>
      <c r="O38" s="2" t="s">
        <v>34</v>
      </c>
      <c r="P38" s="2">
        <v>184</v>
      </c>
    </row>
    <row r="39" ht="23" customHeight="1" spans="1:16">
      <c r="A39" s="6" t="s">
        <v>407</v>
      </c>
      <c r="B39" s="2" t="s">
        <v>15</v>
      </c>
      <c r="C39" s="2" t="s">
        <v>46</v>
      </c>
      <c r="D39" s="2">
        <v>4</v>
      </c>
      <c r="E39" s="6" t="s">
        <v>500</v>
      </c>
      <c r="F39" s="2" t="str">
        <f t="shared" si="0"/>
        <v>B</v>
      </c>
      <c r="G39" s="2">
        <v>4</v>
      </c>
      <c r="H39" s="2" t="str">
        <f t="shared" si="1"/>
        <v>A</v>
      </c>
      <c r="I39" s="2">
        <v>5</v>
      </c>
      <c r="J39" s="2">
        <f t="shared" si="2"/>
        <v>-1</v>
      </c>
      <c r="K39" s="2" t="str">
        <f t="shared" si="3"/>
        <v>B</v>
      </c>
      <c r="L39" s="2" t="str">
        <f t="shared" si="4"/>
        <v>A</v>
      </c>
      <c r="M39" s="2" t="s">
        <v>34</v>
      </c>
      <c r="N39" s="2">
        <f t="shared" si="5"/>
        <v>1</v>
      </c>
      <c r="O39" s="2" t="s">
        <v>22</v>
      </c>
      <c r="P39" s="2">
        <v>193</v>
      </c>
    </row>
    <row r="40" ht="23" customHeight="1" spans="1:16">
      <c r="A40" s="6" t="s">
        <v>407</v>
      </c>
      <c r="B40" s="2" t="s">
        <v>15</v>
      </c>
      <c r="C40" s="2" t="s">
        <v>17</v>
      </c>
      <c r="D40" s="2">
        <v>5</v>
      </c>
      <c r="E40" s="6" t="s">
        <v>501</v>
      </c>
      <c r="F40" s="2" t="str">
        <f t="shared" si="0"/>
        <v>A</v>
      </c>
      <c r="G40" s="2">
        <v>3</v>
      </c>
      <c r="H40" s="2" t="str">
        <f t="shared" si="1"/>
        <v>B</v>
      </c>
      <c r="I40" s="2">
        <v>4</v>
      </c>
      <c r="J40" s="2">
        <f t="shared" si="2"/>
        <v>-1</v>
      </c>
      <c r="K40" s="2" t="str">
        <f t="shared" si="3"/>
        <v>B</v>
      </c>
      <c r="L40" s="2" t="str">
        <f t="shared" si="4"/>
        <v>B</v>
      </c>
      <c r="M40" s="2" t="s">
        <v>34</v>
      </c>
      <c r="N40" s="2">
        <f t="shared" si="5"/>
        <v>0</v>
      </c>
      <c r="O40" s="2" t="s">
        <v>34</v>
      </c>
      <c r="P40" s="2">
        <v>184</v>
      </c>
    </row>
    <row r="41" ht="23" customHeight="1" spans="1:16">
      <c r="A41" s="6" t="s">
        <v>407</v>
      </c>
      <c r="B41" s="2" t="s">
        <v>15</v>
      </c>
      <c r="C41" s="2" t="s">
        <v>46</v>
      </c>
      <c r="D41" s="2">
        <v>5</v>
      </c>
      <c r="E41" s="6" t="s">
        <v>501</v>
      </c>
      <c r="F41" s="2" t="str">
        <f t="shared" si="0"/>
        <v>B</v>
      </c>
      <c r="G41" s="2">
        <v>5</v>
      </c>
      <c r="H41" s="2" t="str">
        <f t="shared" si="1"/>
        <v>A</v>
      </c>
      <c r="I41" s="2">
        <v>4</v>
      </c>
      <c r="J41" s="2">
        <f t="shared" si="2"/>
        <v>1</v>
      </c>
      <c r="K41" s="2" t="str">
        <f t="shared" si="3"/>
        <v>A</v>
      </c>
      <c r="L41" s="2" t="str">
        <f t="shared" si="4"/>
        <v>B</v>
      </c>
      <c r="M41" s="2" t="s">
        <v>34</v>
      </c>
      <c r="N41" s="2">
        <f t="shared" si="5"/>
        <v>0</v>
      </c>
      <c r="O41" s="2" t="s">
        <v>22</v>
      </c>
      <c r="P41" s="2">
        <v>193</v>
      </c>
    </row>
    <row r="42" ht="23" customHeight="1" spans="1:16">
      <c r="A42" s="6" t="s">
        <v>407</v>
      </c>
      <c r="B42" s="2" t="s">
        <v>31</v>
      </c>
      <c r="C42" s="2" t="s">
        <v>17</v>
      </c>
      <c r="D42" s="2">
        <v>1</v>
      </c>
      <c r="E42" s="6" t="s">
        <v>497</v>
      </c>
      <c r="F42" s="2" t="str">
        <f t="shared" si="0"/>
        <v>A</v>
      </c>
      <c r="G42" s="2">
        <v>5</v>
      </c>
      <c r="H42" s="2" t="str">
        <f t="shared" si="1"/>
        <v>C</v>
      </c>
      <c r="I42" s="2">
        <v>2</v>
      </c>
      <c r="J42" s="2">
        <f t="shared" si="2"/>
        <v>3</v>
      </c>
      <c r="K42" s="2" t="str">
        <f t="shared" si="3"/>
        <v>A</v>
      </c>
      <c r="L42" s="2" t="str">
        <f t="shared" si="4"/>
        <v>A</v>
      </c>
      <c r="M42" s="2" t="s">
        <v>34</v>
      </c>
      <c r="N42" s="2">
        <f t="shared" si="5"/>
        <v>1</v>
      </c>
      <c r="O42" s="2" t="s">
        <v>34</v>
      </c>
      <c r="P42" s="2">
        <v>187</v>
      </c>
    </row>
    <row r="43" ht="23" customHeight="1" spans="1:16">
      <c r="A43" s="6" t="s">
        <v>407</v>
      </c>
      <c r="B43" s="2" t="s">
        <v>31</v>
      </c>
      <c r="C43" s="2" t="s">
        <v>46</v>
      </c>
      <c r="D43" s="2">
        <v>1</v>
      </c>
      <c r="E43" s="6" t="s">
        <v>497</v>
      </c>
      <c r="F43" s="2" t="str">
        <f t="shared" si="0"/>
        <v>C</v>
      </c>
      <c r="G43" s="2">
        <v>3</v>
      </c>
      <c r="H43" s="2" t="str">
        <f t="shared" si="1"/>
        <v>A</v>
      </c>
      <c r="I43" s="2">
        <v>5</v>
      </c>
      <c r="J43" s="2">
        <f t="shared" si="2"/>
        <v>-2</v>
      </c>
      <c r="K43" s="2" t="str">
        <f t="shared" si="3"/>
        <v>B</v>
      </c>
      <c r="L43" s="2" t="str">
        <f t="shared" si="4"/>
        <v>A</v>
      </c>
      <c r="M43" s="2" t="s">
        <v>34</v>
      </c>
      <c r="N43" s="2">
        <f t="shared" si="5"/>
        <v>1</v>
      </c>
      <c r="O43" s="2" t="s">
        <v>22</v>
      </c>
      <c r="P43" s="2">
        <v>196</v>
      </c>
    </row>
    <row r="44" ht="23" customHeight="1" spans="1:16">
      <c r="A44" s="6" t="s">
        <v>407</v>
      </c>
      <c r="B44" s="2" t="s">
        <v>31</v>
      </c>
      <c r="C44" s="2" t="s">
        <v>17</v>
      </c>
      <c r="D44" s="2">
        <v>2</v>
      </c>
      <c r="E44" s="6" t="s">
        <v>498</v>
      </c>
      <c r="F44" s="2" t="str">
        <f t="shared" si="0"/>
        <v>A</v>
      </c>
      <c r="G44" s="2">
        <v>5</v>
      </c>
      <c r="H44" s="2" t="str">
        <f t="shared" si="1"/>
        <v>C</v>
      </c>
      <c r="I44" s="2">
        <v>2</v>
      </c>
      <c r="J44" s="2">
        <f t="shared" si="2"/>
        <v>3</v>
      </c>
      <c r="K44" s="2" t="str">
        <f t="shared" si="3"/>
        <v>A</v>
      </c>
      <c r="L44" s="2" t="str">
        <f t="shared" si="4"/>
        <v>A</v>
      </c>
      <c r="M44" s="2" t="s">
        <v>34</v>
      </c>
      <c r="N44" s="2">
        <f t="shared" si="5"/>
        <v>1</v>
      </c>
      <c r="O44" s="2" t="s">
        <v>34</v>
      </c>
      <c r="P44" s="2">
        <v>187</v>
      </c>
    </row>
    <row r="45" ht="23" customHeight="1" spans="1:16">
      <c r="A45" s="6" t="s">
        <v>407</v>
      </c>
      <c r="B45" s="2" t="s">
        <v>31</v>
      </c>
      <c r="C45" s="2" t="s">
        <v>46</v>
      </c>
      <c r="D45" s="2">
        <v>2</v>
      </c>
      <c r="E45" s="6" t="s">
        <v>498</v>
      </c>
      <c r="F45" s="2" t="str">
        <f t="shared" si="0"/>
        <v>C</v>
      </c>
      <c r="G45" s="2">
        <v>2</v>
      </c>
      <c r="H45" s="2" t="str">
        <f t="shared" si="1"/>
        <v>A</v>
      </c>
      <c r="I45" s="2">
        <v>4</v>
      </c>
      <c r="J45" s="2">
        <f t="shared" si="2"/>
        <v>-2</v>
      </c>
      <c r="K45" s="2" t="str">
        <f t="shared" si="3"/>
        <v>B</v>
      </c>
      <c r="L45" s="2" t="str">
        <f t="shared" si="4"/>
        <v>A</v>
      </c>
      <c r="M45" s="2" t="s">
        <v>34</v>
      </c>
      <c r="N45" s="2">
        <f t="shared" si="5"/>
        <v>1</v>
      </c>
      <c r="O45" s="2" t="s">
        <v>22</v>
      </c>
      <c r="P45" s="2">
        <v>196</v>
      </c>
    </row>
    <row r="46" ht="23" customHeight="1" spans="1:16">
      <c r="A46" s="6" t="s">
        <v>407</v>
      </c>
      <c r="B46" s="2" t="s">
        <v>31</v>
      </c>
      <c r="C46" s="2" t="s">
        <v>17</v>
      </c>
      <c r="D46" s="2">
        <v>3</v>
      </c>
      <c r="E46" s="6" t="s">
        <v>499</v>
      </c>
      <c r="F46" s="2" t="str">
        <f t="shared" si="0"/>
        <v>A</v>
      </c>
      <c r="G46" s="2">
        <v>5</v>
      </c>
      <c r="H46" s="2" t="str">
        <f t="shared" si="1"/>
        <v>C</v>
      </c>
      <c r="I46" s="2">
        <v>2</v>
      </c>
      <c r="J46" s="2">
        <f t="shared" si="2"/>
        <v>3</v>
      </c>
      <c r="K46" s="2" t="str">
        <f t="shared" si="3"/>
        <v>A</v>
      </c>
      <c r="L46" s="2" t="str">
        <f t="shared" si="4"/>
        <v>A</v>
      </c>
      <c r="M46" s="2" t="s">
        <v>34</v>
      </c>
      <c r="N46" s="2">
        <f t="shared" si="5"/>
        <v>1</v>
      </c>
      <c r="O46" s="2" t="s">
        <v>34</v>
      </c>
      <c r="P46" s="2">
        <v>187</v>
      </c>
    </row>
    <row r="47" ht="23" customHeight="1" spans="1:16">
      <c r="A47" s="6" t="s">
        <v>407</v>
      </c>
      <c r="B47" s="2" t="s">
        <v>31</v>
      </c>
      <c r="C47" s="2" t="s">
        <v>46</v>
      </c>
      <c r="D47" s="2">
        <v>3</v>
      </c>
      <c r="E47" s="6" t="s">
        <v>499</v>
      </c>
      <c r="F47" s="2" t="str">
        <f t="shared" si="0"/>
        <v>C</v>
      </c>
      <c r="G47" s="2">
        <v>2</v>
      </c>
      <c r="H47" s="2" t="str">
        <f t="shared" si="1"/>
        <v>A</v>
      </c>
      <c r="I47" s="2">
        <v>4</v>
      </c>
      <c r="J47" s="2">
        <f t="shared" si="2"/>
        <v>-2</v>
      </c>
      <c r="K47" s="2" t="str">
        <f t="shared" si="3"/>
        <v>B</v>
      </c>
      <c r="L47" s="2" t="str">
        <f t="shared" si="4"/>
        <v>A</v>
      </c>
      <c r="M47" s="2" t="s">
        <v>34</v>
      </c>
      <c r="N47" s="2">
        <f t="shared" si="5"/>
        <v>1</v>
      </c>
      <c r="O47" s="2" t="s">
        <v>22</v>
      </c>
      <c r="P47" s="2">
        <v>196</v>
      </c>
    </row>
    <row r="48" ht="23" customHeight="1" spans="1:16">
      <c r="A48" s="6" t="s">
        <v>407</v>
      </c>
      <c r="B48" s="2" t="s">
        <v>31</v>
      </c>
      <c r="C48" s="2" t="s">
        <v>17</v>
      </c>
      <c r="D48" s="2">
        <v>4</v>
      </c>
      <c r="E48" s="6" t="s">
        <v>500</v>
      </c>
      <c r="F48" s="2" t="str">
        <f t="shared" si="0"/>
        <v>A</v>
      </c>
      <c r="G48" s="2">
        <v>5</v>
      </c>
      <c r="H48" s="2" t="str">
        <f t="shared" si="1"/>
        <v>C</v>
      </c>
      <c r="I48" s="2">
        <v>2</v>
      </c>
      <c r="J48" s="2">
        <f t="shared" si="2"/>
        <v>3</v>
      </c>
      <c r="K48" s="2" t="str">
        <f t="shared" si="3"/>
        <v>A</v>
      </c>
      <c r="L48" s="2" t="str">
        <f t="shared" si="4"/>
        <v>A</v>
      </c>
      <c r="M48" s="2" t="s">
        <v>34</v>
      </c>
      <c r="N48" s="2">
        <f t="shared" si="5"/>
        <v>1</v>
      </c>
      <c r="O48" s="2" t="s">
        <v>34</v>
      </c>
      <c r="P48" s="2">
        <v>187</v>
      </c>
    </row>
    <row r="49" ht="23" customHeight="1" spans="1:16">
      <c r="A49" s="6" t="s">
        <v>407</v>
      </c>
      <c r="B49" s="2" t="s">
        <v>31</v>
      </c>
      <c r="C49" s="2" t="s">
        <v>46</v>
      </c>
      <c r="D49" s="2">
        <v>4</v>
      </c>
      <c r="E49" s="6" t="s">
        <v>500</v>
      </c>
      <c r="F49" s="2" t="str">
        <f t="shared" si="0"/>
        <v>C</v>
      </c>
      <c r="G49" s="2">
        <v>2</v>
      </c>
      <c r="H49" s="2" t="str">
        <f t="shared" si="1"/>
        <v>A</v>
      </c>
      <c r="I49" s="2">
        <v>5</v>
      </c>
      <c r="J49" s="2">
        <f t="shared" si="2"/>
        <v>-3</v>
      </c>
      <c r="K49" s="2" t="str">
        <f t="shared" si="3"/>
        <v>B</v>
      </c>
      <c r="L49" s="2" t="str">
        <f t="shared" si="4"/>
        <v>A</v>
      </c>
      <c r="M49" s="2" t="s">
        <v>34</v>
      </c>
      <c r="N49" s="2">
        <f t="shared" si="5"/>
        <v>1</v>
      </c>
      <c r="O49" s="2" t="s">
        <v>22</v>
      </c>
      <c r="P49" s="2">
        <v>196</v>
      </c>
    </row>
    <row r="50" ht="23" customHeight="1" spans="1:16">
      <c r="A50" s="6" t="s">
        <v>407</v>
      </c>
      <c r="B50" s="2" t="s">
        <v>31</v>
      </c>
      <c r="C50" s="2" t="s">
        <v>17</v>
      </c>
      <c r="D50" s="2">
        <v>5</v>
      </c>
      <c r="E50" s="6" t="s">
        <v>501</v>
      </c>
      <c r="F50" s="2" t="str">
        <f t="shared" si="0"/>
        <v>A</v>
      </c>
      <c r="G50" s="2">
        <v>4</v>
      </c>
      <c r="H50" s="2" t="str">
        <f t="shared" si="1"/>
        <v>C</v>
      </c>
      <c r="I50" s="2">
        <v>5</v>
      </c>
      <c r="J50" s="2">
        <f t="shared" si="2"/>
        <v>-1</v>
      </c>
      <c r="K50" s="2" t="str">
        <f t="shared" si="3"/>
        <v>B</v>
      </c>
      <c r="L50" s="2" t="str">
        <f t="shared" si="4"/>
        <v>C</v>
      </c>
      <c r="M50" s="2" t="s">
        <v>34</v>
      </c>
      <c r="N50" s="2">
        <f t="shared" si="5"/>
        <v>0</v>
      </c>
      <c r="O50" s="2" t="s">
        <v>34</v>
      </c>
      <c r="P50" s="2">
        <v>187</v>
      </c>
    </row>
    <row r="51" ht="23" customHeight="1" spans="1:16">
      <c r="A51" s="6" t="s">
        <v>407</v>
      </c>
      <c r="B51" s="2" t="s">
        <v>31</v>
      </c>
      <c r="C51" s="2" t="s">
        <v>46</v>
      </c>
      <c r="D51" s="2">
        <v>5</v>
      </c>
      <c r="E51" s="6" t="s">
        <v>501</v>
      </c>
      <c r="F51" s="2" t="str">
        <f t="shared" si="0"/>
        <v>C</v>
      </c>
      <c r="G51" s="2">
        <v>5</v>
      </c>
      <c r="H51" s="2" t="str">
        <f t="shared" si="1"/>
        <v>A</v>
      </c>
      <c r="I51" s="2">
        <v>4</v>
      </c>
      <c r="J51" s="2">
        <f t="shared" si="2"/>
        <v>1</v>
      </c>
      <c r="K51" s="2" t="str">
        <f t="shared" si="3"/>
        <v>A</v>
      </c>
      <c r="L51" s="2" t="str">
        <f t="shared" si="4"/>
        <v>C</v>
      </c>
      <c r="M51" s="2" t="s">
        <v>34</v>
      </c>
      <c r="N51" s="2">
        <f t="shared" si="5"/>
        <v>0</v>
      </c>
      <c r="O51" s="2" t="s">
        <v>22</v>
      </c>
      <c r="P51" s="2">
        <v>196</v>
      </c>
    </row>
    <row r="52" ht="23" customHeight="1" spans="1:16">
      <c r="A52" s="6" t="s">
        <v>407</v>
      </c>
      <c r="B52" s="2" t="s">
        <v>39</v>
      </c>
      <c r="C52" s="2" t="s">
        <v>17</v>
      </c>
      <c r="D52" s="2">
        <v>1</v>
      </c>
      <c r="E52" s="6" t="s">
        <v>497</v>
      </c>
      <c r="F52" s="2" t="str">
        <f t="shared" si="0"/>
        <v>B</v>
      </c>
      <c r="G52" s="2">
        <v>5</v>
      </c>
      <c r="H52" s="2" t="str">
        <f t="shared" si="1"/>
        <v>C</v>
      </c>
      <c r="I52" s="2">
        <v>2</v>
      </c>
      <c r="J52" s="2">
        <f t="shared" si="2"/>
        <v>3</v>
      </c>
      <c r="K52" s="2" t="str">
        <f t="shared" si="3"/>
        <v>A</v>
      </c>
      <c r="L52" s="2" t="str">
        <f t="shared" si="4"/>
        <v>B</v>
      </c>
      <c r="M52" s="2" t="s">
        <v>22</v>
      </c>
      <c r="N52" s="2">
        <f t="shared" si="5"/>
        <v>1</v>
      </c>
      <c r="O52" s="2" t="s">
        <v>34</v>
      </c>
      <c r="P52" s="2">
        <v>190</v>
      </c>
    </row>
    <row r="53" ht="23" customHeight="1" spans="1:16">
      <c r="A53" s="6" t="s">
        <v>407</v>
      </c>
      <c r="B53" s="2" t="s">
        <v>39</v>
      </c>
      <c r="C53" s="2" t="s">
        <v>46</v>
      </c>
      <c r="D53" s="2">
        <v>1</v>
      </c>
      <c r="E53" s="6" t="s">
        <v>497</v>
      </c>
      <c r="F53" s="2" t="str">
        <f t="shared" si="0"/>
        <v>C</v>
      </c>
      <c r="G53" s="2">
        <v>3</v>
      </c>
      <c r="H53" s="2" t="str">
        <f t="shared" si="1"/>
        <v>B</v>
      </c>
      <c r="I53" s="2">
        <v>5</v>
      </c>
      <c r="J53" s="2">
        <f t="shared" si="2"/>
        <v>-2</v>
      </c>
      <c r="K53" s="2" t="str">
        <f t="shared" si="3"/>
        <v>B</v>
      </c>
      <c r="L53" s="2" t="str">
        <f t="shared" si="4"/>
        <v>B</v>
      </c>
      <c r="M53" s="2" t="s">
        <v>22</v>
      </c>
      <c r="N53" s="2">
        <f t="shared" si="5"/>
        <v>1</v>
      </c>
      <c r="O53" s="2" t="s">
        <v>22</v>
      </c>
      <c r="P53" s="2">
        <v>199</v>
      </c>
    </row>
    <row r="54" ht="23" customHeight="1" spans="1:16">
      <c r="A54" s="6" t="s">
        <v>407</v>
      </c>
      <c r="B54" s="2" t="s">
        <v>39</v>
      </c>
      <c r="C54" s="2" t="s">
        <v>17</v>
      </c>
      <c r="D54" s="2">
        <v>2</v>
      </c>
      <c r="E54" s="6" t="s">
        <v>498</v>
      </c>
      <c r="F54" s="2" t="str">
        <f t="shared" si="0"/>
        <v>B</v>
      </c>
      <c r="G54" s="2">
        <v>5</v>
      </c>
      <c r="H54" s="2" t="str">
        <f t="shared" si="1"/>
        <v>C</v>
      </c>
      <c r="I54" s="2">
        <v>2</v>
      </c>
      <c r="J54" s="2">
        <f t="shared" si="2"/>
        <v>3</v>
      </c>
      <c r="K54" s="2" t="str">
        <f t="shared" si="3"/>
        <v>A</v>
      </c>
      <c r="L54" s="2" t="str">
        <f t="shared" si="4"/>
        <v>B</v>
      </c>
      <c r="M54" s="2" t="s">
        <v>22</v>
      </c>
      <c r="N54" s="2">
        <f t="shared" si="5"/>
        <v>1</v>
      </c>
      <c r="O54" s="2" t="s">
        <v>34</v>
      </c>
      <c r="P54" s="2">
        <v>190</v>
      </c>
    </row>
    <row r="55" ht="23" customHeight="1" spans="1:16">
      <c r="A55" s="6" t="s">
        <v>407</v>
      </c>
      <c r="B55" s="2" t="s">
        <v>39</v>
      </c>
      <c r="C55" s="2" t="s">
        <v>46</v>
      </c>
      <c r="D55" s="2">
        <v>2</v>
      </c>
      <c r="E55" s="6" t="s">
        <v>498</v>
      </c>
      <c r="F55" s="2" t="str">
        <f t="shared" si="0"/>
        <v>C</v>
      </c>
      <c r="G55" s="2">
        <v>2</v>
      </c>
      <c r="H55" s="2" t="str">
        <f t="shared" si="1"/>
        <v>B</v>
      </c>
      <c r="I55" s="2">
        <v>4</v>
      </c>
      <c r="J55" s="2">
        <f t="shared" si="2"/>
        <v>-2</v>
      </c>
      <c r="K55" s="2" t="str">
        <f t="shared" si="3"/>
        <v>B</v>
      </c>
      <c r="L55" s="2" t="str">
        <f t="shared" si="4"/>
        <v>B</v>
      </c>
      <c r="M55" s="2" t="s">
        <v>22</v>
      </c>
      <c r="N55" s="2">
        <f t="shared" si="5"/>
        <v>1</v>
      </c>
      <c r="O55" s="2" t="s">
        <v>22</v>
      </c>
      <c r="P55" s="2">
        <v>199</v>
      </c>
    </row>
    <row r="56" ht="23" customHeight="1" spans="1:16">
      <c r="A56" s="6" t="s">
        <v>407</v>
      </c>
      <c r="B56" s="2" t="s">
        <v>39</v>
      </c>
      <c r="C56" s="2" t="s">
        <v>17</v>
      </c>
      <c r="D56" s="2">
        <v>3</v>
      </c>
      <c r="E56" s="6" t="s">
        <v>499</v>
      </c>
      <c r="F56" s="2" t="str">
        <f t="shared" si="0"/>
        <v>B</v>
      </c>
      <c r="G56" s="2">
        <v>4</v>
      </c>
      <c r="H56" s="2" t="str">
        <f t="shared" si="1"/>
        <v>C</v>
      </c>
      <c r="I56" s="2">
        <v>3</v>
      </c>
      <c r="J56" s="2">
        <f t="shared" si="2"/>
        <v>1</v>
      </c>
      <c r="K56" s="2" t="str">
        <f t="shared" si="3"/>
        <v>A</v>
      </c>
      <c r="L56" s="2" t="str">
        <f t="shared" si="4"/>
        <v>B</v>
      </c>
      <c r="M56" s="2" t="s">
        <v>22</v>
      </c>
      <c r="N56" s="2">
        <f t="shared" si="5"/>
        <v>1</v>
      </c>
      <c r="O56" s="2" t="s">
        <v>34</v>
      </c>
      <c r="P56" s="2">
        <v>190</v>
      </c>
    </row>
    <row r="57" ht="23" customHeight="1" spans="1:16">
      <c r="A57" s="6" t="s">
        <v>407</v>
      </c>
      <c r="B57" s="2" t="s">
        <v>39</v>
      </c>
      <c r="C57" s="2" t="s">
        <v>46</v>
      </c>
      <c r="D57" s="2">
        <v>3</v>
      </c>
      <c r="E57" s="6" t="s">
        <v>499</v>
      </c>
      <c r="F57" s="2" t="str">
        <f t="shared" si="0"/>
        <v>C</v>
      </c>
      <c r="G57" s="2">
        <v>2</v>
      </c>
      <c r="H57" s="2" t="str">
        <f t="shared" si="1"/>
        <v>B</v>
      </c>
      <c r="I57" s="2">
        <v>4</v>
      </c>
      <c r="J57" s="2">
        <f t="shared" si="2"/>
        <v>-2</v>
      </c>
      <c r="K57" s="2" t="str">
        <f t="shared" si="3"/>
        <v>B</v>
      </c>
      <c r="L57" s="2" t="str">
        <f t="shared" si="4"/>
        <v>B</v>
      </c>
      <c r="M57" s="2" t="s">
        <v>22</v>
      </c>
      <c r="N57" s="2">
        <f t="shared" si="5"/>
        <v>1</v>
      </c>
      <c r="O57" s="2" t="s">
        <v>22</v>
      </c>
      <c r="P57" s="2">
        <v>199</v>
      </c>
    </row>
    <row r="58" ht="23" customHeight="1" spans="1:16">
      <c r="A58" s="6" t="s">
        <v>407</v>
      </c>
      <c r="B58" s="2" t="s">
        <v>39</v>
      </c>
      <c r="C58" s="2" t="s">
        <v>17</v>
      </c>
      <c r="D58" s="2">
        <v>4</v>
      </c>
      <c r="E58" s="6" t="s">
        <v>500</v>
      </c>
      <c r="F58" s="2" t="str">
        <f t="shared" si="0"/>
        <v>B</v>
      </c>
      <c r="G58" s="2">
        <v>5</v>
      </c>
      <c r="H58" s="2" t="str">
        <f t="shared" si="1"/>
        <v>C</v>
      </c>
      <c r="I58" s="2">
        <v>3</v>
      </c>
      <c r="J58" s="2">
        <f t="shared" si="2"/>
        <v>2</v>
      </c>
      <c r="K58" s="2" t="str">
        <f t="shared" si="3"/>
        <v>A</v>
      </c>
      <c r="L58" s="2" t="str">
        <f t="shared" si="4"/>
        <v>B</v>
      </c>
      <c r="M58" s="2" t="s">
        <v>22</v>
      </c>
      <c r="N58" s="2">
        <f t="shared" si="5"/>
        <v>1</v>
      </c>
      <c r="O58" s="2" t="s">
        <v>34</v>
      </c>
      <c r="P58" s="2">
        <v>190</v>
      </c>
    </row>
    <row r="59" ht="23" customHeight="1" spans="1:16">
      <c r="A59" s="6" t="s">
        <v>407</v>
      </c>
      <c r="B59" s="2" t="s">
        <v>39</v>
      </c>
      <c r="C59" s="2" t="s">
        <v>46</v>
      </c>
      <c r="D59" s="2">
        <v>4</v>
      </c>
      <c r="E59" s="6" t="s">
        <v>500</v>
      </c>
      <c r="F59" s="2" t="str">
        <f t="shared" si="0"/>
        <v>C</v>
      </c>
      <c r="G59" s="2">
        <v>3</v>
      </c>
      <c r="H59" s="2" t="str">
        <f t="shared" si="1"/>
        <v>B</v>
      </c>
      <c r="I59" s="2">
        <v>5</v>
      </c>
      <c r="J59" s="2">
        <f t="shared" si="2"/>
        <v>-2</v>
      </c>
      <c r="K59" s="2" t="str">
        <f t="shared" si="3"/>
        <v>B</v>
      </c>
      <c r="L59" s="2" t="str">
        <f t="shared" si="4"/>
        <v>B</v>
      </c>
      <c r="M59" s="2" t="s">
        <v>22</v>
      </c>
      <c r="N59" s="2">
        <f t="shared" si="5"/>
        <v>1</v>
      </c>
      <c r="O59" s="2" t="s">
        <v>22</v>
      </c>
      <c r="P59" s="2">
        <v>199</v>
      </c>
    </row>
    <row r="60" ht="23" customHeight="1" spans="1:16">
      <c r="A60" s="6" t="s">
        <v>407</v>
      </c>
      <c r="B60" s="2" t="s">
        <v>39</v>
      </c>
      <c r="C60" s="2" t="s">
        <v>17</v>
      </c>
      <c r="D60" s="2">
        <v>5</v>
      </c>
      <c r="E60" s="6" t="s">
        <v>501</v>
      </c>
      <c r="F60" s="2" t="str">
        <f t="shared" si="0"/>
        <v>B</v>
      </c>
      <c r="G60" s="2">
        <v>5</v>
      </c>
      <c r="H60" s="2" t="str">
        <f t="shared" si="1"/>
        <v>C</v>
      </c>
      <c r="I60" s="2">
        <v>5</v>
      </c>
      <c r="J60" s="2">
        <f t="shared" si="2"/>
        <v>0</v>
      </c>
      <c r="K60" s="2" t="str">
        <f t="shared" si="3"/>
        <v>C</v>
      </c>
      <c r="L60" s="2" t="str">
        <f t="shared" si="4"/>
        <v>D(平局)</v>
      </c>
      <c r="M60" s="2" t="s">
        <v>22</v>
      </c>
      <c r="N60" s="2">
        <f t="shared" si="5"/>
        <v>0</v>
      </c>
      <c r="O60" s="2" t="s">
        <v>34</v>
      </c>
      <c r="P60" s="2">
        <v>190</v>
      </c>
    </row>
    <row r="61" ht="23" customHeight="1" spans="1:16">
      <c r="A61" s="6" t="s">
        <v>407</v>
      </c>
      <c r="B61" s="2" t="s">
        <v>39</v>
      </c>
      <c r="C61" s="2" t="s">
        <v>46</v>
      </c>
      <c r="D61" s="2">
        <v>5</v>
      </c>
      <c r="E61" s="6" t="s">
        <v>501</v>
      </c>
      <c r="F61" s="2" t="str">
        <f t="shared" si="0"/>
        <v>C</v>
      </c>
      <c r="G61" s="2">
        <v>4</v>
      </c>
      <c r="H61" s="2" t="str">
        <f t="shared" si="1"/>
        <v>B</v>
      </c>
      <c r="I61" s="2">
        <v>5</v>
      </c>
      <c r="J61" s="2">
        <f t="shared" si="2"/>
        <v>-1</v>
      </c>
      <c r="K61" s="2" t="str">
        <f t="shared" si="3"/>
        <v>B</v>
      </c>
      <c r="L61" s="2" t="str">
        <f t="shared" si="4"/>
        <v>B</v>
      </c>
      <c r="M61" s="2" t="s">
        <v>22</v>
      </c>
      <c r="N61" s="2">
        <f t="shared" si="5"/>
        <v>1</v>
      </c>
      <c r="O61" s="2" t="s">
        <v>22</v>
      </c>
      <c r="P61" s="2">
        <v>199</v>
      </c>
    </row>
    <row r="62" ht="23" customHeight="1" spans="1:16">
      <c r="A62" s="6" t="s">
        <v>369</v>
      </c>
      <c r="B62" s="2" t="s">
        <v>15</v>
      </c>
      <c r="C62" s="2" t="s">
        <v>17</v>
      </c>
      <c r="D62" s="2">
        <v>1</v>
      </c>
      <c r="E62" s="6" t="s">
        <v>497</v>
      </c>
      <c r="F62" s="2" t="str">
        <f t="shared" si="0"/>
        <v>A</v>
      </c>
      <c r="G62" s="2">
        <v>5</v>
      </c>
      <c r="H62" s="2" t="str">
        <f t="shared" si="1"/>
        <v>B</v>
      </c>
      <c r="I62" s="2">
        <v>4</v>
      </c>
      <c r="J62" s="2">
        <f t="shared" si="2"/>
        <v>1</v>
      </c>
      <c r="K62" s="2" t="str">
        <f t="shared" si="3"/>
        <v>A</v>
      </c>
      <c r="L62" s="2" t="str">
        <f t="shared" si="4"/>
        <v>A</v>
      </c>
      <c r="M62" s="2" t="s">
        <v>23</v>
      </c>
      <c r="N62" s="2">
        <f t="shared" si="5"/>
        <v>0</v>
      </c>
      <c r="O62" s="2" t="s">
        <v>34</v>
      </c>
      <c r="P62" s="2">
        <v>166</v>
      </c>
    </row>
    <row r="63" ht="23" customHeight="1" spans="1:16">
      <c r="A63" s="6" t="s">
        <v>369</v>
      </c>
      <c r="B63" s="2" t="s">
        <v>15</v>
      </c>
      <c r="C63" s="2" t="s">
        <v>46</v>
      </c>
      <c r="D63" s="2">
        <v>1</v>
      </c>
      <c r="E63" s="6" t="s">
        <v>497</v>
      </c>
      <c r="F63" s="2" t="str">
        <f t="shared" si="0"/>
        <v>B</v>
      </c>
      <c r="G63" s="2">
        <v>4</v>
      </c>
      <c r="H63" s="2" t="str">
        <f t="shared" si="1"/>
        <v>A</v>
      </c>
      <c r="I63" s="2">
        <v>5</v>
      </c>
      <c r="J63" s="2">
        <f t="shared" si="2"/>
        <v>-1</v>
      </c>
      <c r="K63" s="2" t="str">
        <f t="shared" si="3"/>
        <v>B</v>
      </c>
      <c r="L63" s="2" t="str">
        <f t="shared" si="4"/>
        <v>A</v>
      </c>
      <c r="M63" s="2" t="s">
        <v>23</v>
      </c>
      <c r="N63" s="2">
        <f t="shared" si="5"/>
        <v>0</v>
      </c>
      <c r="O63" s="2" t="s">
        <v>22</v>
      </c>
      <c r="P63" s="2">
        <v>175</v>
      </c>
    </row>
    <row r="64" ht="23" customHeight="1" spans="1:16">
      <c r="A64" s="6" t="s">
        <v>369</v>
      </c>
      <c r="B64" s="2" t="s">
        <v>15</v>
      </c>
      <c r="C64" s="2" t="s">
        <v>17</v>
      </c>
      <c r="D64" s="2">
        <v>2</v>
      </c>
      <c r="E64" s="6" t="s">
        <v>498</v>
      </c>
      <c r="F64" s="2" t="str">
        <f t="shared" si="0"/>
        <v>A</v>
      </c>
      <c r="G64" s="2">
        <v>5</v>
      </c>
      <c r="H64" s="2" t="str">
        <f t="shared" si="1"/>
        <v>B</v>
      </c>
      <c r="I64" s="2">
        <v>3</v>
      </c>
      <c r="J64" s="2">
        <f t="shared" si="2"/>
        <v>2</v>
      </c>
      <c r="K64" s="2" t="str">
        <f t="shared" si="3"/>
        <v>A</v>
      </c>
      <c r="L64" s="2" t="str">
        <f t="shared" si="4"/>
        <v>A</v>
      </c>
      <c r="M64" s="2" t="s">
        <v>23</v>
      </c>
      <c r="N64" s="2">
        <f t="shared" si="5"/>
        <v>0</v>
      </c>
      <c r="O64" s="2" t="s">
        <v>34</v>
      </c>
      <c r="P64" s="2">
        <v>166</v>
      </c>
    </row>
    <row r="65" ht="23" customHeight="1" spans="1:16">
      <c r="A65" s="6" t="s">
        <v>369</v>
      </c>
      <c r="B65" s="2" t="s">
        <v>15</v>
      </c>
      <c r="C65" s="2" t="s">
        <v>46</v>
      </c>
      <c r="D65" s="2">
        <v>2</v>
      </c>
      <c r="E65" s="6" t="s">
        <v>498</v>
      </c>
      <c r="F65" s="2" t="str">
        <f t="shared" si="0"/>
        <v>B</v>
      </c>
      <c r="G65" s="2">
        <v>4</v>
      </c>
      <c r="H65" s="2" t="str">
        <f t="shared" si="1"/>
        <v>A</v>
      </c>
      <c r="I65" s="2">
        <v>5</v>
      </c>
      <c r="J65" s="2">
        <f t="shared" si="2"/>
        <v>-1</v>
      </c>
      <c r="K65" s="2" t="str">
        <f t="shared" si="3"/>
        <v>B</v>
      </c>
      <c r="L65" s="2" t="str">
        <f t="shared" si="4"/>
        <v>A</v>
      </c>
      <c r="M65" s="2" t="s">
        <v>23</v>
      </c>
      <c r="N65" s="2">
        <f t="shared" si="5"/>
        <v>0</v>
      </c>
      <c r="O65" s="2" t="s">
        <v>22</v>
      </c>
      <c r="P65" s="2">
        <v>175</v>
      </c>
    </row>
    <row r="66" ht="23" customHeight="1" spans="1:16">
      <c r="A66" s="6" t="s">
        <v>369</v>
      </c>
      <c r="B66" s="2" t="s">
        <v>15</v>
      </c>
      <c r="C66" s="2" t="s">
        <v>17</v>
      </c>
      <c r="D66" s="2">
        <v>3</v>
      </c>
      <c r="E66" s="6" t="s">
        <v>499</v>
      </c>
      <c r="F66" s="2" t="str">
        <f t="shared" ref="F66:F129" si="6">IF(C66="l2r",LEFT(B66,1),RIGHT(B66,1))</f>
        <v>A</v>
      </c>
      <c r="G66" s="2">
        <v>4</v>
      </c>
      <c r="H66" s="2" t="str">
        <f t="shared" ref="H66:H129" si="7">IF(C66="l2r",RIGHT(B66,1),LEFT(B66,1))</f>
        <v>B</v>
      </c>
      <c r="I66" s="2">
        <v>2</v>
      </c>
      <c r="J66" s="2">
        <f t="shared" ref="J66:J129" si="8">G66-I66</f>
        <v>2</v>
      </c>
      <c r="K66" s="2" t="str">
        <f t="shared" ref="K66:K129" si="9">IF(J66=0,"C",IF(J66&gt;0,"A","B"))</f>
        <v>A</v>
      </c>
      <c r="L66" s="2" t="str">
        <f t="shared" ref="L66:L129" si="10">IF(J66=0,"D(平局)",IF(J66&gt;0,F66,H66))</f>
        <v>A</v>
      </c>
      <c r="M66" s="2" t="s">
        <v>23</v>
      </c>
      <c r="N66" s="2">
        <f t="shared" ref="N66:N129" si="11">--(L66=M66)</f>
        <v>0</v>
      </c>
      <c r="O66" s="2" t="s">
        <v>34</v>
      </c>
      <c r="P66" s="2">
        <v>166</v>
      </c>
    </row>
    <row r="67" ht="23" customHeight="1" spans="1:16">
      <c r="A67" s="6" t="s">
        <v>369</v>
      </c>
      <c r="B67" s="2" t="s">
        <v>15</v>
      </c>
      <c r="C67" s="2" t="s">
        <v>46</v>
      </c>
      <c r="D67" s="2">
        <v>3</v>
      </c>
      <c r="E67" s="6" t="s">
        <v>499</v>
      </c>
      <c r="F67" s="2" t="str">
        <f t="shared" si="6"/>
        <v>B</v>
      </c>
      <c r="G67" s="2">
        <v>3</v>
      </c>
      <c r="H67" s="2" t="str">
        <f t="shared" si="7"/>
        <v>A</v>
      </c>
      <c r="I67" s="2">
        <v>4</v>
      </c>
      <c r="J67" s="2">
        <f t="shared" si="8"/>
        <v>-1</v>
      </c>
      <c r="K67" s="2" t="str">
        <f t="shared" si="9"/>
        <v>B</v>
      </c>
      <c r="L67" s="2" t="str">
        <f t="shared" si="10"/>
        <v>A</v>
      </c>
      <c r="M67" s="2" t="s">
        <v>23</v>
      </c>
      <c r="N67" s="2">
        <f t="shared" si="11"/>
        <v>0</v>
      </c>
      <c r="O67" s="2" t="s">
        <v>22</v>
      </c>
      <c r="P67" s="2">
        <v>175</v>
      </c>
    </row>
    <row r="68" ht="23" customHeight="1" spans="1:16">
      <c r="A68" s="6" t="s">
        <v>369</v>
      </c>
      <c r="B68" s="2" t="s">
        <v>15</v>
      </c>
      <c r="C68" s="2" t="s">
        <v>17</v>
      </c>
      <c r="D68" s="2">
        <v>4</v>
      </c>
      <c r="E68" s="6" t="s">
        <v>500</v>
      </c>
      <c r="F68" s="2" t="str">
        <f t="shared" si="6"/>
        <v>A</v>
      </c>
      <c r="G68" s="2">
        <v>5</v>
      </c>
      <c r="H68" s="2" t="str">
        <f t="shared" si="7"/>
        <v>B</v>
      </c>
      <c r="I68" s="2">
        <v>3</v>
      </c>
      <c r="J68" s="2">
        <f t="shared" si="8"/>
        <v>2</v>
      </c>
      <c r="K68" s="2" t="str">
        <f t="shared" si="9"/>
        <v>A</v>
      </c>
      <c r="L68" s="2" t="str">
        <f t="shared" si="10"/>
        <v>A</v>
      </c>
      <c r="M68" s="2" t="s">
        <v>23</v>
      </c>
      <c r="N68" s="2">
        <f t="shared" si="11"/>
        <v>0</v>
      </c>
      <c r="O68" s="2" t="s">
        <v>34</v>
      </c>
      <c r="P68" s="2">
        <v>166</v>
      </c>
    </row>
    <row r="69" ht="23" customHeight="1" spans="1:16">
      <c r="A69" s="6" t="s">
        <v>369</v>
      </c>
      <c r="B69" s="2" t="s">
        <v>15</v>
      </c>
      <c r="C69" s="2" t="s">
        <v>46</v>
      </c>
      <c r="D69" s="2">
        <v>4</v>
      </c>
      <c r="E69" s="6" t="s">
        <v>500</v>
      </c>
      <c r="F69" s="2" t="str">
        <f t="shared" si="6"/>
        <v>B</v>
      </c>
      <c r="G69" s="2">
        <v>4</v>
      </c>
      <c r="H69" s="2" t="str">
        <f t="shared" si="7"/>
        <v>A</v>
      </c>
      <c r="I69" s="2">
        <v>5</v>
      </c>
      <c r="J69" s="2">
        <f t="shared" si="8"/>
        <v>-1</v>
      </c>
      <c r="K69" s="2" t="str">
        <f t="shared" si="9"/>
        <v>B</v>
      </c>
      <c r="L69" s="2" t="str">
        <f t="shared" si="10"/>
        <v>A</v>
      </c>
      <c r="M69" s="2" t="s">
        <v>23</v>
      </c>
      <c r="N69" s="2">
        <f t="shared" si="11"/>
        <v>0</v>
      </c>
      <c r="O69" s="2" t="s">
        <v>22</v>
      </c>
      <c r="P69" s="2">
        <v>175</v>
      </c>
    </row>
    <row r="70" ht="23" customHeight="1" spans="1:16">
      <c r="A70" s="6" t="s">
        <v>369</v>
      </c>
      <c r="B70" s="2" t="s">
        <v>15</v>
      </c>
      <c r="C70" s="2" t="s">
        <v>17</v>
      </c>
      <c r="D70" s="2">
        <v>5</v>
      </c>
      <c r="E70" s="6" t="s">
        <v>501</v>
      </c>
      <c r="F70" s="2" t="str">
        <f t="shared" si="6"/>
        <v>A</v>
      </c>
      <c r="G70" s="2">
        <v>5</v>
      </c>
      <c r="H70" s="2" t="str">
        <f t="shared" si="7"/>
        <v>B</v>
      </c>
      <c r="I70" s="2">
        <v>5</v>
      </c>
      <c r="J70" s="2">
        <f t="shared" si="8"/>
        <v>0</v>
      </c>
      <c r="K70" s="2" t="str">
        <f t="shared" si="9"/>
        <v>C</v>
      </c>
      <c r="L70" s="2" t="str">
        <f t="shared" si="10"/>
        <v>D(平局)</v>
      </c>
      <c r="M70" s="2" t="s">
        <v>23</v>
      </c>
      <c r="N70" s="2">
        <f t="shared" si="11"/>
        <v>1</v>
      </c>
      <c r="O70" s="2" t="s">
        <v>34</v>
      </c>
      <c r="P70" s="2">
        <v>166</v>
      </c>
    </row>
    <row r="71" ht="23" customHeight="1" spans="1:16">
      <c r="A71" s="6" t="s">
        <v>369</v>
      </c>
      <c r="B71" s="2" t="s">
        <v>15</v>
      </c>
      <c r="C71" s="2" t="s">
        <v>46</v>
      </c>
      <c r="D71" s="2">
        <v>5</v>
      </c>
      <c r="E71" s="6" t="s">
        <v>501</v>
      </c>
      <c r="F71" s="2" t="str">
        <f t="shared" si="6"/>
        <v>B</v>
      </c>
      <c r="G71" s="2">
        <v>5</v>
      </c>
      <c r="H71" s="2" t="str">
        <f t="shared" si="7"/>
        <v>A</v>
      </c>
      <c r="I71" s="2">
        <v>5</v>
      </c>
      <c r="J71" s="2">
        <f t="shared" si="8"/>
        <v>0</v>
      </c>
      <c r="K71" s="2" t="str">
        <f t="shared" si="9"/>
        <v>C</v>
      </c>
      <c r="L71" s="2" t="str">
        <f t="shared" si="10"/>
        <v>D(平局)</v>
      </c>
      <c r="M71" s="2" t="s">
        <v>23</v>
      </c>
      <c r="N71" s="2">
        <f t="shared" si="11"/>
        <v>1</v>
      </c>
      <c r="O71" s="2" t="s">
        <v>22</v>
      </c>
      <c r="P71" s="2">
        <v>175</v>
      </c>
    </row>
    <row r="72" ht="23" customHeight="1" spans="1:16">
      <c r="A72" s="6" t="s">
        <v>369</v>
      </c>
      <c r="B72" s="2" t="s">
        <v>31</v>
      </c>
      <c r="C72" s="2" t="s">
        <v>17</v>
      </c>
      <c r="D72" s="2">
        <v>1</v>
      </c>
      <c r="E72" s="6" t="s">
        <v>497</v>
      </c>
      <c r="F72" s="2" t="str">
        <f t="shared" si="6"/>
        <v>A</v>
      </c>
      <c r="G72" s="2">
        <v>5</v>
      </c>
      <c r="H72" s="2" t="str">
        <f t="shared" si="7"/>
        <v>C</v>
      </c>
      <c r="I72" s="2">
        <v>3</v>
      </c>
      <c r="J72" s="2">
        <f t="shared" si="8"/>
        <v>2</v>
      </c>
      <c r="K72" s="2" t="str">
        <f t="shared" si="9"/>
        <v>A</v>
      </c>
      <c r="L72" s="2" t="str">
        <f t="shared" si="10"/>
        <v>A</v>
      </c>
      <c r="M72" s="2" t="s">
        <v>34</v>
      </c>
      <c r="N72" s="2">
        <f t="shared" si="11"/>
        <v>1</v>
      </c>
      <c r="O72" s="2" t="s">
        <v>34</v>
      </c>
      <c r="P72" s="2">
        <v>169</v>
      </c>
    </row>
    <row r="73" ht="23" customHeight="1" spans="1:16">
      <c r="A73" s="6" t="s">
        <v>369</v>
      </c>
      <c r="B73" s="2" t="s">
        <v>31</v>
      </c>
      <c r="C73" s="2" t="s">
        <v>46</v>
      </c>
      <c r="D73" s="2">
        <v>1</v>
      </c>
      <c r="E73" s="6" t="s">
        <v>497</v>
      </c>
      <c r="F73" s="2" t="str">
        <f t="shared" si="6"/>
        <v>C</v>
      </c>
      <c r="G73" s="2">
        <v>4</v>
      </c>
      <c r="H73" s="2" t="str">
        <f t="shared" si="7"/>
        <v>A</v>
      </c>
      <c r="I73" s="2">
        <v>5</v>
      </c>
      <c r="J73" s="2">
        <f t="shared" si="8"/>
        <v>-1</v>
      </c>
      <c r="K73" s="2" t="str">
        <f t="shared" si="9"/>
        <v>B</v>
      </c>
      <c r="L73" s="2" t="str">
        <f t="shared" si="10"/>
        <v>A</v>
      </c>
      <c r="M73" s="2" t="s">
        <v>34</v>
      </c>
      <c r="N73" s="2">
        <f t="shared" si="11"/>
        <v>1</v>
      </c>
      <c r="O73" s="2" t="s">
        <v>22</v>
      </c>
      <c r="P73" s="2">
        <v>178</v>
      </c>
    </row>
    <row r="74" ht="23" customHeight="1" spans="1:16">
      <c r="A74" s="6" t="s">
        <v>369</v>
      </c>
      <c r="B74" s="2" t="s">
        <v>31</v>
      </c>
      <c r="C74" s="2" t="s">
        <v>17</v>
      </c>
      <c r="D74" s="2">
        <v>2</v>
      </c>
      <c r="E74" s="6" t="s">
        <v>498</v>
      </c>
      <c r="F74" s="2" t="str">
        <f t="shared" si="6"/>
        <v>A</v>
      </c>
      <c r="G74" s="2">
        <v>4</v>
      </c>
      <c r="H74" s="2" t="str">
        <f t="shared" si="7"/>
        <v>C</v>
      </c>
      <c r="I74" s="2">
        <v>2</v>
      </c>
      <c r="J74" s="2">
        <f t="shared" si="8"/>
        <v>2</v>
      </c>
      <c r="K74" s="2" t="str">
        <f t="shared" si="9"/>
        <v>A</v>
      </c>
      <c r="L74" s="2" t="str">
        <f t="shared" si="10"/>
        <v>A</v>
      </c>
      <c r="M74" s="2" t="s">
        <v>34</v>
      </c>
      <c r="N74" s="2">
        <f t="shared" si="11"/>
        <v>1</v>
      </c>
      <c r="O74" s="2" t="s">
        <v>34</v>
      </c>
      <c r="P74" s="2">
        <v>169</v>
      </c>
    </row>
    <row r="75" ht="23" customHeight="1" spans="1:16">
      <c r="A75" s="6" t="s">
        <v>369</v>
      </c>
      <c r="B75" s="2" t="s">
        <v>31</v>
      </c>
      <c r="C75" s="2" t="s">
        <v>46</v>
      </c>
      <c r="D75" s="2">
        <v>2</v>
      </c>
      <c r="E75" s="6" t="s">
        <v>498</v>
      </c>
      <c r="F75" s="2" t="str">
        <f t="shared" si="6"/>
        <v>C</v>
      </c>
      <c r="G75" s="2">
        <v>3</v>
      </c>
      <c r="H75" s="2" t="str">
        <f t="shared" si="7"/>
        <v>A</v>
      </c>
      <c r="I75" s="2">
        <v>5</v>
      </c>
      <c r="J75" s="2">
        <f t="shared" si="8"/>
        <v>-2</v>
      </c>
      <c r="K75" s="2" t="str">
        <f t="shared" si="9"/>
        <v>B</v>
      </c>
      <c r="L75" s="2" t="str">
        <f t="shared" si="10"/>
        <v>A</v>
      </c>
      <c r="M75" s="2" t="s">
        <v>34</v>
      </c>
      <c r="N75" s="2">
        <f t="shared" si="11"/>
        <v>1</v>
      </c>
      <c r="O75" s="2" t="s">
        <v>22</v>
      </c>
      <c r="P75" s="2">
        <v>178</v>
      </c>
    </row>
    <row r="76" ht="23" customHeight="1" spans="1:16">
      <c r="A76" s="6" t="s">
        <v>369</v>
      </c>
      <c r="B76" s="2" t="s">
        <v>31</v>
      </c>
      <c r="C76" s="2" t="s">
        <v>17</v>
      </c>
      <c r="D76" s="2">
        <v>3</v>
      </c>
      <c r="E76" s="6" t="s">
        <v>499</v>
      </c>
      <c r="F76" s="2" t="str">
        <f t="shared" si="6"/>
        <v>A</v>
      </c>
      <c r="G76" s="2">
        <v>5</v>
      </c>
      <c r="H76" s="2" t="str">
        <f t="shared" si="7"/>
        <v>C</v>
      </c>
      <c r="I76" s="2">
        <v>2</v>
      </c>
      <c r="J76" s="2">
        <f t="shared" si="8"/>
        <v>3</v>
      </c>
      <c r="K76" s="2" t="str">
        <f t="shared" si="9"/>
        <v>A</v>
      </c>
      <c r="L76" s="2" t="str">
        <f t="shared" si="10"/>
        <v>A</v>
      </c>
      <c r="M76" s="2" t="s">
        <v>34</v>
      </c>
      <c r="N76" s="2">
        <f t="shared" si="11"/>
        <v>1</v>
      </c>
      <c r="O76" s="2" t="s">
        <v>34</v>
      </c>
      <c r="P76" s="2">
        <v>169</v>
      </c>
    </row>
    <row r="77" ht="23" customHeight="1" spans="1:16">
      <c r="A77" s="6" t="s">
        <v>369</v>
      </c>
      <c r="B77" s="2" t="s">
        <v>31</v>
      </c>
      <c r="C77" s="2" t="s">
        <v>46</v>
      </c>
      <c r="D77" s="2">
        <v>3</v>
      </c>
      <c r="E77" s="6" t="s">
        <v>499</v>
      </c>
      <c r="F77" s="2" t="str">
        <f t="shared" si="6"/>
        <v>C</v>
      </c>
      <c r="G77" s="2">
        <v>4</v>
      </c>
      <c r="H77" s="2" t="str">
        <f t="shared" si="7"/>
        <v>A</v>
      </c>
      <c r="I77" s="2">
        <v>5</v>
      </c>
      <c r="J77" s="2">
        <f t="shared" si="8"/>
        <v>-1</v>
      </c>
      <c r="K77" s="2" t="str">
        <f t="shared" si="9"/>
        <v>B</v>
      </c>
      <c r="L77" s="2" t="str">
        <f t="shared" si="10"/>
        <v>A</v>
      </c>
      <c r="M77" s="2" t="s">
        <v>34</v>
      </c>
      <c r="N77" s="2">
        <f t="shared" si="11"/>
        <v>1</v>
      </c>
      <c r="O77" s="2" t="s">
        <v>22</v>
      </c>
      <c r="P77" s="2">
        <v>178</v>
      </c>
    </row>
    <row r="78" ht="23" customHeight="1" spans="1:16">
      <c r="A78" s="6" t="s">
        <v>369</v>
      </c>
      <c r="B78" s="2" t="s">
        <v>31</v>
      </c>
      <c r="C78" s="2" t="s">
        <v>17</v>
      </c>
      <c r="D78" s="2">
        <v>4</v>
      </c>
      <c r="E78" s="6" t="s">
        <v>500</v>
      </c>
      <c r="F78" s="2" t="str">
        <f t="shared" si="6"/>
        <v>A</v>
      </c>
      <c r="G78" s="2">
        <v>5</v>
      </c>
      <c r="H78" s="2" t="str">
        <f t="shared" si="7"/>
        <v>C</v>
      </c>
      <c r="I78" s="2">
        <v>3</v>
      </c>
      <c r="J78" s="2">
        <f t="shared" si="8"/>
        <v>2</v>
      </c>
      <c r="K78" s="2" t="str">
        <f t="shared" si="9"/>
        <v>A</v>
      </c>
      <c r="L78" s="2" t="str">
        <f t="shared" si="10"/>
        <v>A</v>
      </c>
      <c r="M78" s="2" t="s">
        <v>34</v>
      </c>
      <c r="N78" s="2">
        <f t="shared" si="11"/>
        <v>1</v>
      </c>
      <c r="O78" s="2" t="s">
        <v>34</v>
      </c>
      <c r="P78" s="2">
        <v>169</v>
      </c>
    </row>
    <row r="79" ht="23" customHeight="1" spans="1:16">
      <c r="A79" s="6" t="s">
        <v>369</v>
      </c>
      <c r="B79" s="2" t="s">
        <v>31</v>
      </c>
      <c r="C79" s="2" t="s">
        <v>46</v>
      </c>
      <c r="D79" s="2">
        <v>4</v>
      </c>
      <c r="E79" s="6" t="s">
        <v>500</v>
      </c>
      <c r="F79" s="2" t="str">
        <f t="shared" si="6"/>
        <v>C</v>
      </c>
      <c r="G79" s="2">
        <v>4</v>
      </c>
      <c r="H79" s="2" t="str">
        <f t="shared" si="7"/>
        <v>A</v>
      </c>
      <c r="I79" s="2">
        <v>5</v>
      </c>
      <c r="J79" s="2">
        <f t="shared" si="8"/>
        <v>-1</v>
      </c>
      <c r="K79" s="2" t="str">
        <f t="shared" si="9"/>
        <v>B</v>
      </c>
      <c r="L79" s="2" t="str">
        <f t="shared" si="10"/>
        <v>A</v>
      </c>
      <c r="M79" s="2" t="s">
        <v>34</v>
      </c>
      <c r="N79" s="2">
        <f t="shared" si="11"/>
        <v>1</v>
      </c>
      <c r="O79" s="2" t="s">
        <v>22</v>
      </c>
      <c r="P79" s="2">
        <v>178</v>
      </c>
    </row>
    <row r="80" ht="23" customHeight="1" spans="1:16">
      <c r="A80" s="6" t="s">
        <v>369</v>
      </c>
      <c r="B80" s="2" t="s">
        <v>31</v>
      </c>
      <c r="C80" s="2" t="s">
        <v>17</v>
      </c>
      <c r="D80" s="2">
        <v>5</v>
      </c>
      <c r="E80" s="6" t="s">
        <v>501</v>
      </c>
      <c r="F80" s="2" t="str">
        <f t="shared" si="6"/>
        <v>A</v>
      </c>
      <c r="G80" s="2">
        <v>4</v>
      </c>
      <c r="H80" s="2" t="str">
        <f t="shared" si="7"/>
        <v>C</v>
      </c>
      <c r="I80" s="2">
        <v>2</v>
      </c>
      <c r="J80" s="2">
        <f t="shared" si="8"/>
        <v>2</v>
      </c>
      <c r="K80" s="2" t="str">
        <f t="shared" si="9"/>
        <v>A</v>
      </c>
      <c r="L80" s="2" t="str">
        <f t="shared" si="10"/>
        <v>A</v>
      </c>
      <c r="M80" s="2" t="s">
        <v>34</v>
      </c>
      <c r="N80" s="2">
        <f t="shared" si="11"/>
        <v>1</v>
      </c>
      <c r="O80" s="2" t="s">
        <v>34</v>
      </c>
      <c r="P80" s="2">
        <v>169</v>
      </c>
    </row>
    <row r="81" ht="23" customHeight="1" spans="1:16">
      <c r="A81" s="6" t="s">
        <v>369</v>
      </c>
      <c r="B81" s="2" t="s">
        <v>31</v>
      </c>
      <c r="C81" s="2" t="s">
        <v>46</v>
      </c>
      <c r="D81" s="2">
        <v>5</v>
      </c>
      <c r="E81" s="6" t="s">
        <v>501</v>
      </c>
      <c r="F81" s="2" t="str">
        <f t="shared" si="6"/>
        <v>C</v>
      </c>
      <c r="G81" s="2">
        <v>3</v>
      </c>
      <c r="H81" s="2" t="str">
        <f t="shared" si="7"/>
        <v>A</v>
      </c>
      <c r="I81" s="2">
        <v>4</v>
      </c>
      <c r="J81" s="2">
        <f t="shared" si="8"/>
        <v>-1</v>
      </c>
      <c r="K81" s="2" t="str">
        <f t="shared" si="9"/>
        <v>B</v>
      </c>
      <c r="L81" s="2" t="str">
        <f t="shared" si="10"/>
        <v>A</v>
      </c>
      <c r="M81" s="2" t="s">
        <v>34</v>
      </c>
      <c r="N81" s="2">
        <f t="shared" si="11"/>
        <v>1</v>
      </c>
      <c r="O81" s="2" t="s">
        <v>22</v>
      </c>
      <c r="P81" s="2">
        <v>178</v>
      </c>
    </row>
    <row r="82" ht="23" customHeight="1" spans="1:16">
      <c r="A82" s="6" t="s">
        <v>369</v>
      </c>
      <c r="B82" s="2" t="s">
        <v>39</v>
      </c>
      <c r="C82" s="2" t="s">
        <v>17</v>
      </c>
      <c r="D82" s="2">
        <v>1</v>
      </c>
      <c r="E82" s="6" t="s">
        <v>497</v>
      </c>
      <c r="F82" s="2" t="str">
        <f t="shared" si="6"/>
        <v>B</v>
      </c>
      <c r="G82" s="2">
        <v>5</v>
      </c>
      <c r="H82" s="2" t="str">
        <f t="shared" si="7"/>
        <v>C</v>
      </c>
      <c r="I82" s="2">
        <v>3</v>
      </c>
      <c r="J82" s="2">
        <f t="shared" si="8"/>
        <v>2</v>
      </c>
      <c r="K82" s="2" t="str">
        <f t="shared" si="9"/>
        <v>A</v>
      </c>
      <c r="L82" s="2" t="str">
        <f t="shared" si="10"/>
        <v>B</v>
      </c>
      <c r="M82" s="2" t="s">
        <v>22</v>
      </c>
      <c r="N82" s="2">
        <f t="shared" si="11"/>
        <v>1</v>
      </c>
      <c r="O82" s="2" t="s">
        <v>34</v>
      </c>
      <c r="P82" s="2">
        <v>172</v>
      </c>
    </row>
    <row r="83" ht="23" customHeight="1" spans="1:16">
      <c r="A83" s="6" t="s">
        <v>369</v>
      </c>
      <c r="B83" s="2" t="s">
        <v>39</v>
      </c>
      <c r="C83" s="2" t="s">
        <v>46</v>
      </c>
      <c r="D83" s="2">
        <v>1</v>
      </c>
      <c r="E83" s="6" t="s">
        <v>497</v>
      </c>
      <c r="F83" s="2" t="str">
        <f t="shared" si="6"/>
        <v>C</v>
      </c>
      <c r="G83" s="2">
        <v>4</v>
      </c>
      <c r="H83" s="2" t="str">
        <f t="shared" si="7"/>
        <v>B</v>
      </c>
      <c r="I83" s="2">
        <v>5</v>
      </c>
      <c r="J83" s="2">
        <f t="shared" si="8"/>
        <v>-1</v>
      </c>
      <c r="K83" s="2" t="str">
        <f t="shared" si="9"/>
        <v>B</v>
      </c>
      <c r="L83" s="2" t="str">
        <f t="shared" si="10"/>
        <v>B</v>
      </c>
      <c r="M83" s="2" t="s">
        <v>22</v>
      </c>
      <c r="N83" s="2">
        <f t="shared" si="11"/>
        <v>1</v>
      </c>
      <c r="O83" s="2" t="s">
        <v>22</v>
      </c>
      <c r="P83" s="2">
        <v>181</v>
      </c>
    </row>
    <row r="84" ht="23" customHeight="1" spans="1:16">
      <c r="A84" s="6" t="s">
        <v>369</v>
      </c>
      <c r="B84" s="2" t="s">
        <v>39</v>
      </c>
      <c r="C84" s="2" t="s">
        <v>17</v>
      </c>
      <c r="D84" s="2">
        <v>2</v>
      </c>
      <c r="E84" s="6" t="s">
        <v>498</v>
      </c>
      <c r="F84" s="2" t="str">
        <f t="shared" si="6"/>
        <v>B</v>
      </c>
      <c r="G84" s="2">
        <v>5</v>
      </c>
      <c r="H84" s="2" t="str">
        <f t="shared" si="7"/>
        <v>C</v>
      </c>
      <c r="I84" s="2">
        <v>2</v>
      </c>
      <c r="J84" s="2">
        <f t="shared" si="8"/>
        <v>3</v>
      </c>
      <c r="K84" s="2" t="str">
        <f t="shared" si="9"/>
        <v>A</v>
      </c>
      <c r="L84" s="2" t="str">
        <f t="shared" si="10"/>
        <v>B</v>
      </c>
      <c r="M84" s="2" t="s">
        <v>22</v>
      </c>
      <c r="N84" s="2">
        <f t="shared" si="11"/>
        <v>1</v>
      </c>
      <c r="O84" s="2" t="s">
        <v>34</v>
      </c>
      <c r="P84" s="2">
        <v>172</v>
      </c>
    </row>
    <row r="85" ht="23" customHeight="1" spans="1:16">
      <c r="A85" s="6" t="s">
        <v>369</v>
      </c>
      <c r="B85" s="2" t="s">
        <v>39</v>
      </c>
      <c r="C85" s="2" t="s">
        <v>46</v>
      </c>
      <c r="D85" s="2">
        <v>2</v>
      </c>
      <c r="E85" s="6" t="s">
        <v>498</v>
      </c>
      <c r="F85" s="2" t="str">
        <f t="shared" si="6"/>
        <v>C</v>
      </c>
      <c r="G85" s="2">
        <v>2</v>
      </c>
      <c r="H85" s="2" t="str">
        <f t="shared" si="7"/>
        <v>B</v>
      </c>
      <c r="I85" s="2">
        <v>4</v>
      </c>
      <c r="J85" s="2">
        <f t="shared" si="8"/>
        <v>-2</v>
      </c>
      <c r="K85" s="2" t="str">
        <f t="shared" si="9"/>
        <v>B</v>
      </c>
      <c r="L85" s="2" t="str">
        <f t="shared" si="10"/>
        <v>B</v>
      </c>
      <c r="M85" s="2" t="s">
        <v>22</v>
      </c>
      <c r="N85" s="2">
        <f t="shared" si="11"/>
        <v>1</v>
      </c>
      <c r="O85" s="2" t="s">
        <v>22</v>
      </c>
      <c r="P85" s="2">
        <v>181</v>
      </c>
    </row>
    <row r="86" ht="23" customHeight="1" spans="1:16">
      <c r="A86" s="6" t="s">
        <v>369</v>
      </c>
      <c r="B86" s="2" t="s">
        <v>39</v>
      </c>
      <c r="C86" s="2" t="s">
        <v>17</v>
      </c>
      <c r="D86" s="2">
        <v>3</v>
      </c>
      <c r="E86" s="6" t="s">
        <v>499</v>
      </c>
      <c r="F86" s="2" t="str">
        <f t="shared" si="6"/>
        <v>B</v>
      </c>
      <c r="G86" s="2">
        <v>5</v>
      </c>
      <c r="H86" s="2" t="str">
        <f t="shared" si="7"/>
        <v>C</v>
      </c>
      <c r="I86" s="2">
        <v>2</v>
      </c>
      <c r="J86" s="2">
        <f t="shared" si="8"/>
        <v>3</v>
      </c>
      <c r="K86" s="2" t="str">
        <f t="shared" si="9"/>
        <v>A</v>
      </c>
      <c r="L86" s="2" t="str">
        <f t="shared" si="10"/>
        <v>B</v>
      </c>
      <c r="M86" s="2" t="s">
        <v>22</v>
      </c>
      <c r="N86" s="2">
        <f t="shared" si="11"/>
        <v>1</v>
      </c>
      <c r="O86" s="2" t="s">
        <v>34</v>
      </c>
      <c r="P86" s="2">
        <v>172</v>
      </c>
    </row>
    <row r="87" ht="23" customHeight="1" spans="1:16">
      <c r="A87" s="6" t="s">
        <v>369</v>
      </c>
      <c r="B87" s="2" t="s">
        <v>39</v>
      </c>
      <c r="C87" s="2" t="s">
        <v>46</v>
      </c>
      <c r="D87" s="2">
        <v>3</v>
      </c>
      <c r="E87" s="6" t="s">
        <v>499</v>
      </c>
      <c r="F87" s="2" t="str">
        <f t="shared" si="6"/>
        <v>C</v>
      </c>
      <c r="G87" s="2">
        <v>3</v>
      </c>
      <c r="H87" s="2" t="str">
        <f t="shared" si="7"/>
        <v>B</v>
      </c>
      <c r="I87" s="2">
        <v>4</v>
      </c>
      <c r="J87" s="2">
        <f t="shared" si="8"/>
        <v>-1</v>
      </c>
      <c r="K87" s="2" t="str">
        <f t="shared" si="9"/>
        <v>B</v>
      </c>
      <c r="L87" s="2" t="str">
        <f t="shared" si="10"/>
        <v>B</v>
      </c>
      <c r="M87" s="2" t="s">
        <v>22</v>
      </c>
      <c r="N87" s="2">
        <f t="shared" si="11"/>
        <v>1</v>
      </c>
      <c r="O87" s="2" t="s">
        <v>22</v>
      </c>
      <c r="P87" s="2">
        <v>181</v>
      </c>
    </row>
    <row r="88" ht="23" customHeight="1" spans="1:16">
      <c r="A88" s="6" t="s">
        <v>369</v>
      </c>
      <c r="B88" s="2" t="s">
        <v>39</v>
      </c>
      <c r="C88" s="2" t="s">
        <v>17</v>
      </c>
      <c r="D88" s="2">
        <v>4</v>
      </c>
      <c r="E88" s="6" t="s">
        <v>500</v>
      </c>
      <c r="F88" s="2" t="str">
        <f t="shared" si="6"/>
        <v>B</v>
      </c>
      <c r="G88" s="2">
        <v>5</v>
      </c>
      <c r="H88" s="2" t="str">
        <f t="shared" si="7"/>
        <v>C</v>
      </c>
      <c r="I88" s="2">
        <v>2</v>
      </c>
      <c r="J88" s="2">
        <f t="shared" si="8"/>
        <v>3</v>
      </c>
      <c r="K88" s="2" t="str">
        <f t="shared" si="9"/>
        <v>A</v>
      </c>
      <c r="L88" s="2" t="str">
        <f t="shared" si="10"/>
        <v>B</v>
      </c>
      <c r="M88" s="2" t="s">
        <v>22</v>
      </c>
      <c r="N88" s="2">
        <f t="shared" si="11"/>
        <v>1</v>
      </c>
      <c r="O88" s="2" t="s">
        <v>34</v>
      </c>
      <c r="P88" s="2">
        <v>172</v>
      </c>
    </row>
    <row r="89" ht="23" customHeight="1" spans="1:16">
      <c r="A89" s="6" t="s">
        <v>369</v>
      </c>
      <c r="B89" s="2" t="s">
        <v>39</v>
      </c>
      <c r="C89" s="2" t="s">
        <v>46</v>
      </c>
      <c r="D89" s="2">
        <v>4</v>
      </c>
      <c r="E89" s="6" t="s">
        <v>500</v>
      </c>
      <c r="F89" s="2" t="str">
        <f t="shared" si="6"/>
        <v>C</v>
      </c>
      <c r="G89" s="2">
        <v>4</v>
      </c>
      <c r="H89" s="2" t="str">
        <f t="shared" si="7"/>
        <v>B</v>
      </c>
      <c r="I89" s="2">
        <v>5</v>
      </c>
      <c r="J89" s="2">
        <f t="shared" si="8"/>
        <v>-1</v>
      </c>
      <c r="K89" s="2" t="str">
        <f t="shared" si="9"/>
        <v>B</v>
      </c>
      <c r="L89" s="2" t="str">
        <f t="shared" si="10"/>
        <v>B</v>
      </c>
      <c r="M89" s="2" t="s">
        <v>22</v>
      </c>
      <c r="N89" s="2">
        <f t="shared" si="11"/>
        <v>1</v>
      </c>
      <c r="O89" s="2" t="s">
        <v>22</v>
      </c>
      <c r="P89" s="2">
        <v>181</v>
      </c>
    </row>
    <row r="90" ht="23" customHeight="1" spans="1:16">
      <c r="A90" s="6" t="s">
        <v>369</v>
      </c>
      <c r="B90" s="2" t="s">
        <v>39</v>
      </c>
      <c r="C90" s="2" t="s">
        <v>17</v>
      </c>
      <c r="D90" s="2">
        <v>5</v>
      </c>
      <c r="E90" s="6" t="s">
        <v>501</v>
      </c>
      <c r="F90" s="2" t="str">
        <f t="shared" si="6"/>
        <v>B</v>
      </c>
      <c r="G90" s="2">
        <v>5</v>
      </c>
      <c r="H90" s="2" t="str">
        <f t="shared" si="7"/>
        <v>C</v>
      </c>
      <c r="I90" s="2">
        <v>2</v>
      </c>
      <c r="J90" s="2">
        <f t="shared" si="8"/>
        <v>3</v>
      </c>
      <c r="K90" s="2" t="str">
        <f t="shared" si="9"/>
        <v>A</v>
      </c>
      <c r="L90" s="2" t="str">
        <f t="shared" si="10"/>
        <v>B</v>
      </c>
      <c r="M90" s="2" t="s">
        <v>22</v>
      </c>
      <c r="N90" s="2">
        <f t="shared" si="11"/>
        <v>1</v>
      </c>
      <c r="O90" s="2" t="s">
        <v>34</v>
      </c>
      <c r="P90" s="2">
        <v>172</v>
      </c>
    </row>
    <row r="91" ht="23" customHeight="1" spans="1:16">
      <c r="A91" s="6" t="s">
        <v>369</v>
      </c>
      <c r="B91" s="2" t="s">
        <v>39</v>
      </c>
      <c r="C91" s="2" t="s">
        <v>46</v>
      </c>
      <c r="D91" s="2">
        <v>5</v>
      </c>
      <c r="E91" s="6" t="s">
        <v>501</v>
      </c>
      <c r="F91" s="2" t="str">
        <f t="shared" si="6"/>
        <v>C</v>
      </c>
      <c r="G91" s="2">
        <v>3</v>
      </c>
      <c r="H91" s="2" t="str">
        <f t="shared" si="7"/>
        <v>B</v>
      </c>
      <c r="I91" s="2">
        <v>5</v>
      </c>
      <c r="J91" s="2">
        <f t="shared" si="8"/>
        <v>-2</v>
      </c>
      <c r="K91" s="2" t="str">
        <f t="shared" si="9"/>
        <v>B</v>
      </c>
      <c r="L91" s="2" t="str">
        <f t="shared" si="10"/>
        <v>B</v>
      </c>
      <c r="M91" s="2" t="s">
        <v>22</v>
      </c>
      <c r="N91" s="2">
        <f t="shared" si="11"/>
        <v>1</v>
      </c>
      <c r="O91" s="2" t="s">
        <v>22</v>
      </c>
      <c r="P91" s="2">
        <v>181</v>
      </c>
    </row>
    <row r="92" ht="23" customHeight="1" spans="1:16">
      <c r="A92" s="6" t="s">
        <v>13</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23</v>
      </c>
      <c r="N92" s="2">
        <f t="shared" si="11"/>
        <v>1</v>
      </c>
      <c r="O92" s="2" t="s">
        <v>22</v>
      </c>
      <c r="P92" s="2">
        <v>4</v>
      </c>
    </row>
    <row r="93" ht="23" customHeight="1" spans="1:16">
      <c r="A93" s="6" t="s">
        <v>13</v>
      </c>
      <c r="B93" s="2" t="s">
        <v>15</v>
      </c>
      <c r="C93" s="2" t="s">
        <v>46</v>
      </c>
      <c r="D93" s="2">
        <v>1</v>
      </c>
      <c r="E93" s="6" t="s">
        <v>497</v>
      </c>
      <c r="F93" s="2" t="str">
        <f t="shared" si="6"/>
        <v>B</v>
      </c>
      <c r="G93" s="2">
        <v>5</v>
      </c>
      <c r="H93" s="2" t="str">
        <f t="shared" si="7"/>
        <v>A</v>
      </c>
      <c r="I93" s="2">
        <v>5</v>
      </c>
      <c r="J93" s="2">
        <f t="shared" si="8"/>
        <v>0</v>
      </c>
      <c r="K93" s="2" t="str">
        <f t="shared" si="9"/>
        <v>C</v>
      </c>
      <c r="L93" s="2" t="str">
        <f t="shared" si="10"/>
        <v>D(平局)</v>
      </c>
      <c r="M93" s="2" t="s">
        <v>23</v>
      </c>
      <c r="N93" s="2">
        <f t="shared" si="11"/>
        <v>1</v>
      </c>
      <c r="O93" s="2" t="s">
        <v>34</v>
      </c>
      <c r="P93" s="2">
        <v>13</v>
      </c>
    </row>
    <row r="94" ht="23" customHeight="1" spans="1:16">
      <c r="A94" s="6" t="s">
        <v>13</v>
      </c>
      <c r="B94" s="2" t="s">
        <v>15</v>
      </c>
      <c r="C94" s="2" t="s">
        <v>17</v>
      </c>
      <c r="D94" s="2">
        <v>2</v>
      </c>
      <c r="E94" s="6" t="s">
        <v>498</v>
      </c>
      <c r="F94" s="2" t="str">
        <f t="shared" si="6"/>
        <v>A</v>
      </c>
      <c r="G94" s="2">
        <v>5</v>
      </c>
      <c r="H94" s="2" t="str">
        <f t="shared" si="7"/>
        <v>B</v>
      </c>
      <c r="I94" s="2">
        <v>5</v>
      </c>
      <c r="J94" s="2">
        <f t="shared" si="8"/>
        <v>0</v>
      </c>
      <c r="K94" s="2" t="str">
        <f t="shared" si="9"/>
        <v>C</v>
      </c>
      <c r="L94" s="2" t="str">
        <f t="shared" si="10"/>
        <v>D(平局)</v>
      </c>
      <c r="M94" s="2" t="s">
        <v>23</v>
      </c>
      <c r="N94" s="2">
        <f t="shared" si="11"/>
        <v>1</v>
      </c>
      <c r="O94" s="2" t="s">
        <v>22</v>
      </c>
      <c r="P94" s="2">
        <v>4</v>
      </c>
    </row>
    <row r="95" ht="23" customHeight="1" spans="1:16">
      <c r="A95" s="6" t="s">
        <v>13</v>
      </c>
      <c r="B95" s="2" t="s">
        <v>15</v>
      </c>
      <c r="C95" s="2" t="s">
        <v>46</v>
      </c>
      <c r="D95" s="2">
        <v>2</v>
      </c>
      <c r="E95" s="6" t="s">
        <v>498</v>
      </c>
      <c r="F95" s="2" t="str">
        <f t="shared" si="6"/>
        <v>B</v>
      </c>
      <c r="G95" s="2">
        <v>5</v>
      </c>
      <c r="H95" s="2" t="str">
        <f t="shared" si="7"/>
        <v>A</v>
      </c>
      <c r="I95" s="2">
        <v>5</v>
      </c>
      <c r="J95" s="2">
        <f t="shared" si="8"/>
        <v>0</v>
      </c>
      <c r="K95" s="2" t="str">
        <f t="shared" si="9"/>
        <v>C</v>
      </c>
      <c r="L95" s="2" t="str">
        <f t="shared" si="10"/>
        <v>D(平局)</v>
      </c>
      <c r="M95" s="2" t="s">
        <v>23</v>
      </c>
      <c r="N95" s="2">
        <f t="shared" si="11"/>
        <v>1</v>
      </c>
      <c r="O95" s="2" t="s">
        <v>34</v>
      </c>
      <c r="P95" s="2">
        <v>13</v>
      </c>
    </row>
    <row r="96" ht="23" customHeight="1" spans="1:16">
      <c r="A96" s="6" t="s">
        <v>13</v>
      </c>
      <c r="B96" s="2" t="s">
        <v>15</v>
      </c>
      <c r="C96" s="2" t="s">
        <v>17</v>
      </c>
      <c r="D96" s="2">
        <v>3</v>
      </c>
      <c r="E96" s="6" t="s">
        <v>499</v>
      </c>
      <c r="F96" s="2" t="str">
        <f t="shared" si="6"/>
        <v>A</v>
      </c>
      <c r="G96" s="2">
        <v>4</v>
      </c>
      <c r="H96" s="2" t="str">
        <f t="shared" si="7"/>
        <v>B</v>
      </c>
      <c r="I96" s="2">
        <v>5</v>
      </c>
      <c r="J96" s="2">
        <f t="shared" si="8"/>
        <v>-1</v>
      </c>
      <c r="K96" s="2" t="str">
        <f t="shared" si="9"/>
        <v>B</v>
      </c>
      <c r="L96" s="2" t="str">
        <f t="shared" si="10"/>
        <v>B</v>
      </c>
      <c r="M96" s="2" t="s">
        <v>23</v>
      </c>
      <c r="N96" s="2">
        <f t="shared" si="11"/>
        <v>0</v>
      </c>
      <c r="O96" s="2" t="s">
        <v>22</v>
      </c>
      <c r="P96" s="2">
        <v>4</v>
      </c>
    </row>
    <row r="97" ht="23" customHeight="1" spans="1:16">
      <c r="A97" s="6" t="s">
        <v>13</v>
      </c>
      <c r="B97" s="2" t="s">
        <v>15</v>
      </c>
      <c r="C97" s="2" t="s">
        <v>46</v>
      </c>
      <c r="D97" s="2">
        <v>3</v>
      </c>
      <c r="E97" s="6" t="s">
        <v>499</v>
      </c>
      <c r="F97" s="2" t="str">
        <f t="shared" si="6"/>
        <v>B</v>
      </c>
      <c r="G97" s="2">
        <v>5</v>
      </c>
      <c r="H97" s="2" t="str">
        <f t="shared" si="7"/>
        <v>A</v>
      </c>
      <c r="I97" s="2">
        <v>4</v>
      </c>
      <c r="J97" s="2">
        <f t="shared" si="8"/>
        <v>1</v>
      </c>
      <c r="K97" s="2" t="str">
        <f t="shared" si="9"/>
        <v>A</v>
      </c>
      <c r="L97" s="2" t="str">
        <f t="shared" si="10"/>
        <v>B</v>
      </c>
      <c r="M97" s="2" t="s">
        <v>23</v>
      </c>
      <c r="N97" s="2">
        <f t="shared" si="11"/>
        <v>0</v>
      </c>
      <c r="O97" s="2" t="s">
        <v>34</v>
      </c>
      <c r="P97" s="2">
        <v>13</v>
      </c>
    </row>
    <row r="98" ht="23" customHeight="1" spans="1:16">
      <c r="A98" s="6" t="s">
        <v>13</v>
      </c>
      <c r="B98" s="2" t="s">
        <v>15</v>
      </c>
      <c r="C98" s="2" t="s">
        <v>17</v>
      </c>
      <c r="D98" s="2">
        <v>4</v>
      </c>
      <c r="E98" s="6" t="s">
        <v>500</v>
      </c>
      <c r="F98" s="2" t="str">
        <f t="shared" si="6"/>
        <v>A</v>
      </c>
      <c r="G98" s="2">
        <v>4</v>
      </c>
      <c r="H98" s="2" t="str">
        <f t="shared" si="7"/>
        <v>B</v>
      </c>
      <c r="I98" s="2">
        <v>5</v>
      </c>
      <c r="J98" s="2">
        <f t="shared" si="8"/>
        <v>-1</v>
      </c>
      <c r="K98" s="2" t="str">
        <f t="shared" si="9"/>
        <v>B</v>
      </c>
      <c r="L98" s="2" t="str">
        <f t="shared" si="10"/>
        <v>B</v>
      </c>
      <c r="M98" s="2" t="s">
        <v>23</v>
      </c>
      <c r="N98" s="2">
        <f t="shared" si="11"/>
        <v>0</v>
      </c>
      <c r="O98" s="2" t="s">
        <v>22</v>
      </c>
      <c r="P98" s="2">
        <v>4</v>
      </c>
    </row>
    <row r="99" ht="23" customHeight="1" spans="1:16">
      <c r="A99" s="6" t="s">
        <v>13</v>
      </c>
      <c r="B99" s="2" t="s">
        <v>15</v>
      </c>
      <c r="C99" s="2" t="s">
        <v>46</v>
      </c>
      <c r="D99" s="2">
        <v>4</v>
      </c>
      <c r="E99" s="6" t="s">
        <v>500</v>
      </c>
      <c r="F99" s="2" t="str">
        <f t="shared" si="6"/>
        <v>B</v>
      </c>
      <c r="G99" s="2">
        <v>5</v>
      </c>
      <c r="H99" s="2" t="str">
        <f t="shared" si="7"/>
        <v>A</v>
      </c>
      <c r="I99" s="2">
        <v>4</v>
      </c>
      <c r="J99" s="2">
        <f t="shared" si="8"/>
        <v>1</v>
      </c>
      <c r="K99" s="2" t="str">
        <f t="shared" si="9"/>
        <v>A</v>
      </c>
      <c r="L99" s="2" t="str">
        <f t="shared" si="10"/>
        <v>B</v>
      </c>
      <c r="M99" s="2" t="s">
        <v>23</v>
      </c>
      <c r="N99" s="2">
        <f t="shared" si="11"/>
        <v>0</v>
      </c>
      <c r="O99" s="2" t="s">
        <v>34</v>
      </c>
      <c r="P99" s="2">
        <v>13</v>
      </c>
    </row>
    <row r="100" ht="23" customHeight="1" spans="1:16">
      <c r="A100" s="6" t="s">
        <v>13</v>
      </c>
      <c r="B100" s="2" t="s">
        <v>15</v>
      </c>
      <c r="C100" s="2" t="s">
        <v>17</v>
      </c>
      <c r="D100" s="2">
        <v>5</v>
      </c>
      <c r="E100" s="6" t="s">
        <v>501</v>
      </c>
      <c r="F100" s="2" t="str">
        <f t="shared" si="6"/>
        <v>A</v>
      </c>
      <c r="G100" s="2">
        <v>5</v>
      </c>
      <c r="H100" s="2" t="str">
        <f t="shared" si="7"/>
        <v>B</v>
      </c>
      <c r="I100" s="2">
        <v>5</v>
      </c>
      <c r="J100" s="2">
        <f t="shared" si="8"/>
        <v>0</v>
      </c>
      <c r="K100" s="2" t="str">
        <f t="shared" si="9"/>
        <v>C</v>
      </c>
      <c r="L100" s="2" t="str">
        <f t="shared" si="10"/>
        <v>D(平局)</v>
      </c>
      <c r="M100" s="2" t="s">
        <v>23</v>
      </c>
      <c r="N100" s="2">
        <f t="shared" si="11"/>
        <v>1</v>
      </c>
      <c r="O100" s="2" t="s">
        <v>22</v>
      </c>
      <c r="P100" s="2">
        <v>4</v>
      </c>
    </row>
    <row r="101" ht="23" customHeight="1" spans="1:16">
      <c r="A101" s="6" t="s">
        <v>13</v>
      </c>
      <c r="B101" s="2" t="s">
        <v>15</v>
      </c>
      <c r="C101" s="2" t="s">
        <v>46</v>
      </c>
      <c r="D101" s="2">
        <v>5</v>
      </c>
      <c r="E101" s="6" t="s">
        <v>501</v>
      </c>
      <c r="F101" s="2" t="str">
        <f t="shared" si="6"/>
        <v>B</v>
      </c>
      <c r="G101" s="2">
        <v>5</v>
      </c>
      <c r="H101" s="2" t="str">
        <f t="shared" si="7"/>
        <v>A</v>
      </c>
      <c r="I101" s="2">
        <v>5</v>
      </c>
      <c r="J101" s="2">
        <f t="shared" si="8"/>
        <v>0</v>
      </c>
      <c r="K101" s="2" t="str">
        <f t="shared" si="9"/>
        <v>C</v>
      </c>
      <c r="L101" s="2" t="str">
        <f t="shared" si="10"/>
        <v>D(平局)</v>
      </c>
      <c r="M101" s="2" t="s">
        <v>23</v>
      </c>
      <c r="N101" s="2">
        <f t="shared" si="11"/>
        <v>1</v>
      </c>
      <c r="O101" s="2" t="s">
        <v>34</v>
      </c>
      <c r="P101" s="2">
        <v>13</v>
      </c>
    </row>
    <row r="102" ht="23" customHeight="1" spans="1:16">
      <c r="A102" s="6" t="s">
        <v>13</v>
      </c>
      <c r="B102" s="2" t="s">
        <v>31</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34</v>
      </c>
      <c r="N102" s="2">
        <f t="shared" si="11"/>
        <v>0</v>
      </c>
      <c r="O102" s="2" t="s">
        <v>34</v>
      </c>
      <c r="P102" s="2">
        <v>7</v>
      </c>
    </row>
    <row r="103" ht="23" customHeight="1" spans="1:16">
      <c r="A103" s="6" t="s">
        <v>13</v>
      </c>
      <c r="B103" s="2" t="s">
        <v>31</v>
      </c>
      <c r="C103" s="2" t="s">
        <v>46</v>
      </c>
      <c r="D103" s="2">
        <v>1</v>
      </c>
      <c r="E103" s="6" t="s">
        <v>497</v>
      </c>
      <c r="F103" s="2" t="str">
        <f t="shared" si="6"/>
        <v>C</v>
      </c>
      <c r="G103" s="2">
        <v>5</v>
      </c>
      <c r="H103" s="2" t="str">
        <f t="shared" si="7"/>
        <v>A</v>
      </c>
      <c r="I103" s="2">
        <v>5</v>
      </c>
      <c r="J103" s="2">
        <f t="shared" si="8"/>
        <v>0</v>
      </c>
      <c r="K103" s="2" t="str">
        <f t="shared" si="9"/>
        <v>C</v>
      </c>
      <c r="L103" s="2" t="str">
        <f t="shared" si="10"/>
        <v>D(平局)</v>
      </c>
      <c r="M103" s="2" t="s">
        <v>34</v>
      </c>
      <c r="N103" s="2">
        <f t="shared" si="11"/>
        <v>0</v>
      </c>
      <c r="O103" s="2" t="s">
        <v>22</v>
      </c>
      <c r="P103" s="2">
        <v>16</v>
      </c>
    </row>
    <row r="104" ht="23" customHeight="1" spans="1:16">
      <c r="A104" s="6" t="s">
        <v>13</v>
      </c>
      <c r="B104" s="2" t="s">
        <v>31</v>
      </c>
      <c r="C104" s="2" t="s">
        <v>17</v>
      </c>
      <c r="D104" s="2">
        <v>2</v>
      </c>
      <c r="E104" s="6" t="s">
        <v>498</v>
      </c>
      <c r="F104" s="2" t="str">
        <f t="shared" si="6"/>
        <v>A</v>
      </c>
      <c r="G104" s="2">
        <v>5</v>
      </c>
      <c r="H104" s="2" t="str">
        <f t="shared" si="7"/>
        <v>C</v>
      </c>
      <c r="I104" s="2">
        <v>3</v>
      </c>
      <c r="J104" s="2">
        <f t="shared" si="8"/>
        <v>2</v>
      </c>
      <c r="K104" s="2" t="str">
        <f t="shared" si="9"/>
        <v>A</v>
      </c>
      <c r="L104" s="2" t="str">
        <f t="shared" si="10"/>
        <v>A</v>
      </c>
      <c r="M104" s="2" t="s">
        <v>34</v>
      </c>
      <c r="N104" s="2">
        <f t="shared" si="11"/>
        <v>1</v>
      </c>
      <c r="O104" s="2" t="s">
        <v>34</v>
      </c>
      <c r="P104" s="2">
        <v>7</v>
      </c>
    </row>
    <row r="105" ht="23" customHeight="1" spans="1:16">
      <c r="A105" s="6" t="s">
        <v>13</v>
      </c>
      <c r="B105" s="2" t="s">
        <v>31</v>
      </c>
      <c r="C105" s="2" t="s">
        <v>46</v>
      </c>
      <c r="D105" s="2">
        <v>2</v>
      </c>
      <c r="E105" s="6" t="s">
        <v>498</v>
      </c>
      <c r="F105" s="2" t="str">
        <f t="shared" si="6"/>
        <v>C</v>
      </c>
      <c r="G105" s="2">
        <v>3</v>
      </c>
      <c r="H105" s="2" t="str">
        <f t="shared" si="7"/>
        <v>A</v>
      </c>
      <c r="I105" s="2">
        <v>5</v>
      </c>
      <c r="J105" s="2">
        <f t="shared" si="8"/>
        <v>-2</v>
      </c>
      <c r="K105" s="2" t="str">
        <f t="shared" si="9"/>
        <v>B</v>
      </c>
      <c r="L105" s="2" t="str">
        <f t="shared" si="10"/>
        <v>A</v>
      </c>
      <c r="M105" s="2" t="s">
        <v>34</v>
      </c>
      <c r="N105" s="2">
        <f t="shared" si="11"/>
        <v>1</v>
      </c>
      <c r="O105" s="2" t="s">
        <v>22</v>
      </c>
      <c r="P105" s="2">
        <v>16</v>
      </c>
    </row>
    <row r="106" ht="23" customHeight="1" spans="1:16">
      <c r="A106" s="6" t="s">
        <v>13</v>
      </c>
      <c r="B106" s="2" t="s">
        <v>31</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34</v>
      </c>
      <c r="N106" s="2">
        <f t="shared" si="11"/>
        <v>0</v>
      </c>
      <c r="O106" s="2" t="s">
        <v>34</v>
      </c>
      <c r="P106" s="2">
        <v>7</v>
      </c>
    </row>
    <row r="107" ht="23" customHeight="1" spans="1:16">
      <c r="A107" s="6" t="s">
        <v>13</v>
      </c>
      <c r="B107" s="2" t="s">
        <v>31</v>
      </c>
      <c r="C107" s="2" t="s">
        <v>46</v>
      </c>
      <c r="D107" s="2">
        <v>3</v>
      </c>
      <c r="E107" s="6" t="s">
        <v>499</v>
      </c>
      <c r="F107" s="2" t="str">
        <f t="shared" si="6"/>
        <v>C</v>
      </c>
      <c r="G107" s="2">
        <v>5</v>
      </c>
      <c r="H107" s="2" t="str">
        <f t="shared" si="7"/>
        <v>A</v>
      </c>
      <c r="I107" s="2">
        <v>4</v>
      </c>
      <c r="J107" s="2">
        <f t="shared" si="8"/>
        <v>1</v>
      </c>
      <c r="K107" s="2" t="str">
        <f t="shared" si="9"/>
        <v>A</v>
      </c>
      <c r="L107" s="2" t="str">
        <f t="shared" si="10"/>
        <v>C</v>
      </c>
      <c r="M107" s="2" t="s">
        <v>34</v>
      </c>
      <c r="N107" s="2">
        <f t="shared" si="11"/>
        <v>0</v>
      </c>
      <c r="O107" s="2" t="s">
        <v>22</v>
      </c>
      <c r="P107" s="2">
        <v>16</v>
      </c>
    </row>
    <row r="108" ht="23" customHeight="1" spans="1:16">
      <c r="A108" s="6" t="s">
        <v>13</v>
      </c>
      <c r="B108" s="2" t="s">
        <v>31</v>
      </c>
      <c r="C108" s="2" t="s">
        <v>17</v>
      </c>
      <c r="D108" s="2">
        <v>4</v>
      </c>
      <c r="E108" s="6" t="s">
        <v>500</v>
      </c>
      <c r="F108" s="2" t="str">
        <f t="shared" si="6"/>
        <v>A</v>
      </c>
      <c r="G108" s="2">
        <v>4</v>
      </c>
      <c r="H108" s="2" t="str">
        <f t="shared" si="7"/>
        <v>C</v>
      </c>
      <c r="I108" s="2">
        <v>5</v>
      </c>
      <c r="J108" s="2">
        <f t="shared" si="8"/>
        <v>-1</v>
      </c>
      <c r="K108" s="2" t="str">
        <f t="shared" si="9"/>
        <v>B</v>
      </c>
      <c r="L108" s="2" t="str">
        <f t="shared" si="10"/>
        <v>C</v>
      </c>
      <c r="M108" s="2" t="s">
        <v>34</v>
      </c>
      <c r="N108" s="2">
        <f t="shared" si="11"/>
        <v>0</v>
      </c>
      <c r="O108" s="2" t="s">
        <v>34</v>
      </c>
      <c r="P108" s="2">
        <v>7</v>
      </c>
    </row>
    <row r="109" ht="23" customHeight="1" spans="1:16">
      <c r="A109" s="6" t="s">
        <v>13</v>
      </c>
      <c r="B109" s="2" t="s">
        <v>31</v>
      </c>
      <c r="C109" s="2" t="s">
        <v>46</v>
      </c>
      <c r="D109" s="2">
        <v>4</v>
      </c>
      <c r="E109" s="6" t="s">
        <v>500</v>
      </c>
      <c r="F109" s="2" t="str">
        <f t="shared" si="6"/>
        <v>C</v>
      </c>
      <c r="G109" s="2">
        <v>5</v>
      </c>
      <c r="H109" s="2" t="str">
        <f t="shared" si="7"/>
        <v>A</v>
      </c>
      <c r="I109" s="2">
        <v>5</v>
      </c>
      <c r="J109" s="2">
        <f t="shared" si="8"/>
        <v>0</v>
      </c>
      <c r="K109" s="2" t="str">
        <f t="shared" si="9"/>
        <v>C</v>
      </c>
      <c r="L109" s="2" t="str">
        <f t="shared" si="10"/>
        <v>D(平局)</v>
      </c>
      <c r="M109" s="2" t="s">
        <v>34</v>
      </c>
      <c r="N109" s="2">
        <f t="shared" si="11"/>
        <v>0</v>
      </c>
      <c r="O109" s="2" t="s">
        <v>22</v>
      </c>
      <c r="P109" s="2">
        <v>16</v>
      </c>
    </row>
    <row r="110" ht="23" customHeight="1" spans="1:16">
      <c r="A110" s="6" t="s">
        <v>13</v>
      </c>
      <c r="B110" s="2" t="s">
        <v>31</v>
      </c>
      <c r="C110" s="2" t="s">
        <v>17</v>
      </c>
      <c r="D110" s="2">
        <v>5</v>
      </c>
      <c r="E110" s="6" t="s">
        <v>501</v>
      </c>
      <c r="F110" s="2" t="str">
        <f t="shared" si="6"/>
        <v>A</v>
      </c>
      <c r="G110" s="2">
        <v>5</v>
      </c>
      <c r="H110" s="2" t="str">
        <f t="shared" si="7"/>
        <v>C</v>
      </c>
      <c r="I110" s="2">
        <v>5</v>
      </c>
      <c r="J110" s="2">
        <f t="shared" si="8"/>
        <v>0</v>
      </c>
      <c r="K110" s="2" t="str">
        <f t="shared" si="9"/>
        <v>C</v>
      </c>
      <c r="L110" s="2" t="str">
        <f t="shared" si="10"/>
        <v>D(平局)</v>
      </c>
      <c r="M110" s="2" t="s">
        <v>34</v>
      </c>
      <c r="N110" s="2">
        <f t="shared" si="11"/>
        <v>0</v>
      </c>
      <c r="O110" s="2" t="s">
        <v>34</v>
      </c>
      <c r="P110" s="2">
        <v>7</v>
      </c>
    </row>
    <row r="111" ht="23" customHeight="1" spans="1:16">
      <c r="A111" s="6" t="s">
        <v>13</v>
      </c>
      <c r="B111" s="2" t="s">
        <v>31</v>
      </c>
      <c r="C111" s="2" t="s">
        <v>46</v>
      </c>
      <c r="D111" s="2">
        <v>5</v>
      </c>
      <c r="E111" s="6" t="s">
        <v>501</v>
      </c>
      <c r="F111" s="2" t="str">
        <f t="shared" si="6"/>
        <v>C</v>
      </c>
      <c r="G111" s="2">
        <v>5</v>
      </c>
      <c r="H111" s="2" t="str">
        <f t="shared" si="7"/>
        <v>A</v>
      </c>
      <c r="I111" s="2">
        <v>5</v>
      </c>
      <c r="J111" s="2">
        <f t="shared" si="8"/>
        <v>0</v>
      </c>
      <c r="K111" s="2" t="str">
        <f t="shared" si="9"/>
        <v>C</v>
      </c>
      <c r="L111" s="2" t="str">
        <f t="shared" si="10"/>
        <v>D(平局)</v>
      </c>
      <c r="M111" s="2" t="s">
        <v>34</v>
      </c>
      <c r="N111" s="2">
        <f t="shared" si="11"/>
        <v>0</v>
      </c>
      <c r="O111" s="2" t="s">
        <v>22</v>
      </c>
      <c r="P111" s="2">
        <v>16</v>
      </c>
    </row>
    <row r="112" ht="23" customHeight="1" spans="1:16">
      <c r="A112" s="6" t="s">
        <v>13</v>
      </c>
      <c r="B112" s="2" t="s">
        <v>39</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22</v>
      </c>
      <c r="N112" s="2">
        <f t="shared" si="11"/>
        <v>0</v>
      </c>
      <c r="O112" s="2" t="s">
        <v>34</v>
      </c>
      <c r="P112" s="2">
        <v>10</v>
      </c>
    </row>
    <row r="113" ht="23" customHeight="1" spans="1:16">
      <c r="A113" s="6" t="s">
        <v>13</v>
      </c>
      <c r="B113" s="2" t="s">
        <v>39</v>
      </c>
      <c r="C113" s="2" t="s">
        <v>46</v>
      </c>
      <c r="D113" s="2">
        <v>1</v>
      </c>
      <c r="E113" s="6" t="s">
        <v>497</v>
      </c>
      <c r="F113" s="2" t="str">
        <f t="shared" si="6"/>
        <v>C</v>
      </c>
      <c r="G113" s="2">
        <v>5</v>
      </c>
      <c r="H113" s="2" t="str">
        <f t="shared" si="7"/>
        <v>B</v>
      </c>
      <c r="I113" s="2">
        <v>5</v>
      </c>
      <c r="J113" s="2">
        <f t="shared" si="8"/>
        <v>0</v>
      </c>
      <c r="K113" s="2" t="str">
        <f t="shared" si="9"/>
        <v>C</v>
      </c>
      <c r="L113" s="2" t="str">
        <f t="shared" si="10"/>
        <v>D(平局)</v>
      </c>
      <c r="M113" s="2" t="s">
        <v>22</v>
      </c>
      <c r="N113" s="2">
        <f t="shared" si="11"/>
        <v>0</v>
      </c>
      <c r="O113" s="2" t="s">
        <v>22</v>
      </c>
      <c r="P113" s="2">
        <v>19</v>
      </c>
    </row>
    <row r="114" ht="23" customHeight="1" spans="1:16">
      <c r="A114" s="6" t="s">
        <v>13</v>
      </c>
      <c r="B114" s="2" t="s">
        <v>39</v>
      </c>
      <c r="C114" s="2" t="s">
        <v>17</v>
      </c>
      <c r="D114" s="2">
        <v>2</v>
      </c>
      <c r="E114" s="6" t="s">
        <v>498</v>
      </c>
      <c r="F114" s="2" t="str">
        <f t="shared" si="6"/>
        <v>B</v>
      </c>
      <c r="G114" s="2">
        <v>5</v>
      </c>
      <c r="H114" s="2" t="str">
        <f t="shared" si="7"/>
        <v>C</v>
      </c>
      <c r="I114" s="2">
        <v>4</v>
      </c>
      <c r="J114" s="2">
        <f t="shared" si="8"/>
        <v>1</v>
      </c>
      <c r="K114" s="2" t="str">
        <f t="shared" si="9"/>
        <v>A</v>
      </c>
      <c r="L114" s="2" t="str">
        <f t="shared" si="10"/>
        <v>B</v>
      </c>
      <c r="M114" s="2" t="s">
        <v>22</v>
      </c>
      <c r="N114" s="2">
        <f t="shared" si="11"/>
        <v>1</v>
      </c>
      <c r="O114" s="2" t="s">
        <v>34</v>
      </c>
      <c r="P114" s="2">
        <v>10</v>
      </c>
    </row>
    <row r="115" ht="23" customHeight="1" spans="1:16">
      <c r="A115" s="6" t="s">
        <v>13</v>
      </c>
      <c r="B115" s="2" t="s">
        <v>39</v>
      </c>
      <c r="C115" s="2" t="s">
        <v>46</v>
      </c>
      <c r="D115" s="2">
        <v>2</v>
      </c>
      <c r="E115" s="6" t="s">
        <v>498</v>
      </c>
      <c r="F115" s="2" t="str">
        <f t="shared" si="6"/>
        <v>C</v>
      </c>
      <c r="G115" s="2">
        <v>4</v>
      </c>
      <c r="H115" s="2" t="str">
        <f t="shared" si="7"/>
        <v>B</v>
      </c>
      <c r="I115" s="2">
        <v>5</v>
      </c>
      <c r="J115" s="2">
        <f t="shared" si="8"/>
        <v>-1</v>
      </c>
      <c r="K115" s="2" t="str">
        <f t="shared" si="9"/>
        <v>B</v>
      </c>
      <c r="L115" s="2" t="str">
        <f t="shared" si="10"/>
        <v>B</v>
      </c>
      <c r="M115" s="2" t="s">
        <v>22</v>
      </c>
      <c r="N115" s="2">
        <f t="shared" si="11"/>
        <v>1</v>
      </c>
      <c r="O115" s="2" t="s">
        <v>22</v>
      </c>
      <c r="P115" s="2">
        <v>19</v>
      </c>
    </row>
    <row r="116" ht="23" customHeight="1" spans="1:16">
      <c r="A116" s="6" t="s">
        <v>13</v>
      </c>
      <c r="B116" s="2" t="s">
        <v>39</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22</v>
      </c>
      <c r="N116" s="2">
        <f t="shared" si="11"/>
        <v>0</v>
      </c>
      <c r="O116" s="2" t="s">
        <v>34</v>
      </c>
      <c r="P116" s="2">
        <v>10</v>
      </c>
    </row>
    <row r="117" ht="23" customHeight="1" spans="1:16">
      <c r="A117" s="6" t="s">
        <v>13</v>
      </c>
      <c r="B117" s="2" t="s">
        <v>39</v>
      </c>
      <c r="C117" s="2" t="s">
        <v>46</v>
      </c>
      <c r="D117" s="2">
        <v>3</v>
      </c>
      <c r="E117" s="6" t="s">
        <v>499</v>
      </c>
      <c r="F117" s="2" t="str">
        <f t="shared" si="6"/>
        <v>C</v>
      </c>
      <c r="G117" s="2">
        <v>5</v>
      </c>
      <c r="H117" s="2" t="str">
        <f t="shared" si="7"/>
        <v>B</v>
      </c>
      <c r="I117" s="2">
        <v>5</v>
      </c>
      <c r="J117" s="2">
        <f t="shared" si="8"/>
        <v>0</v>
      </c>
      <c r="K117" s="2" t="str">
        <f t="shared" si="9"/>
        <v>C</v>
      </c>
      <c r="L117" s="2" t="str">
        <f t="shared" si="10"/>
        <v>D(平局)</v>
      </c>
      <c r="M117" s="2" t="s">
        <v>22</v>
      </c>
      <c r="N117" s="2">
        <f t="shared" si="11"/>
        <v>0</v>
      </c>
      <c r="O117" s="2" t="s">
        <v>22</v>
      </c>
      <c r="P117" s="2">
        <v>19</v>
      </c>
    </row>
    <row r="118" ht="23" customHeight="1" spans="1:16">
      <c r="A118" s="6" t="s">
        <v>13</v>
      </c>
      <c r="B118" s="2" t="s">
        <v>39</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22</v>
      </c>
      <c r="N118" s="2">
        <f t="shared" si="11"/>
        <v>0</v>
      </c>
      <c r="O118" s="2" t="s">
        <v>34</v>
      </c>
      <c r="P118" s="2">
        <v>10</v>
      </c>
    </row>
    <row r="119" ht="23" customHeight="1" spans="1:16">
      <c r="A119" s="6" t="s">
        <v>13</v>
      </c>
      <c r="B119" s="2" t="s">
        <v>39</v>
      </c>
      <c r="C119" s="2" t="s">
        <v>46</v>
      </c>
      <c r="D119" s="2">
        <v>4</v>
      </c>
      <c r="E119" s="6" t="s">
        <v>500</v>
      </c>
      <c r="F119" s="2" t="str">
        <f t="shared" si="6"/>
        <v>C</v>
      </c>
      <c r="G119" s="2">
        <v>5</v>
      </c>
      <c r="H119" s="2" t="str">
        <f t="shared" si="7"/>
        <v>B</v>
      </c>
      <c r="I119" s="2">
        <v>5</v>
      </c>
      <c r="J119" s="2">
        <f t="shared" si="8"/>
        <v>0</v>
      </c>
      <c r="K119" s="2" t="str">
        <f t="shared" si="9"/>
        <v>C</v>
      </c>
      <c r="L119" s="2" t="str">
        <f t="shared" si="10"/>
        <v>D(平局)</v>
      </c>
      <c r="M119" s="2" t="s">
        <v>22</v>
      </c>
      <c r="N119" s="2">
        <f t="shared" si="11"/>
        <v>0</v>
      </c>
      <c r="O119" s="2" t="s">
        <v>22</v>
      </c>
      <c r="P119" s="2">
        <v>19</v>
      </c>
    </row>
    <row r="120" ht="23" customHeight="1" spans="1:16">
      <c r="A120" s="6" t="s">
        <v>13</v>
      </c>
      <c r="B120" s="2" t="s">
        <v>39</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22</v>
      </c>
      <c r="N120" s="2">
        <f t="shared" si="11"/>
        <v>0</v>
      </c>
      <c r="O120" s="2" t="s">
        <v>34</v>
      </c>
      <c r="P120" s="2">
        <v>10</v>
      </c>
    </row>
    <row r="121" ht="23" customHeight="1" spans="1:16">
      <c r="A121" s="6" t="s">
        <v>13</v>
      </c>
      <c r="B121" s="2" t="s">
        <v>39</v>
      </c>
      <c r="C121" s="2" t="s">
        <v>46</v>
      </c>
      <c r="D121" s="2">
        <v>5</v>
      </c>
      <c r="E121" s="6" t="s">
        <v>501</v>
      </c>
      <c r="F121" s="2" t="str">
        <f t="shared" si="6"/>
        <v>C</v>
      </c>
      <c r="G121" s="2">
        <v>5</v>
      </c>
      <c r="H121" s="2" t="str">
        <f t="shared" si="7"/>
        <v>B</v>
      </c>
      <c r="I121" s="2">
        <v>5</v>
      </c>
      <c r="J121" s="2">
        <f t="shared" si="8"/>
        <v>0</v>
      </c>
      <c r="K121" s="2" t="str">
        <f t="shared" si="9"/>
        <v>C</v>
      </c>
      <c r="L121" s="2" t="str">
        <f t="shared" si="10"/>
        <v>D(平局)</v>
      </c>
      <c r="M121" s="2" t="s">
        <v>22</v>
      </c>
      <c r="N121" s="2">
        <f t="shared" si="11"/>
        <v>0</v>
      </c>
      <c r="O121" s="2" t="s">
        <v>22</v>
      </c>
      <c r="P121" s="2">
        <v>19</v>
      </c>
    </row>
    <row r="122" ht="23" customHeight="1" spans="1:16">
      <c r="A122" s="6" t="s">
        <v>179</v>
      </c>
      <c r="B122" s="2" t="s">
        <v>15</v>
      </c>
      <c r="C122" s="2" t="s">
        <v>17</v>
      </c>
      <c r="D122" s="2">
        <v>1</v>
      </c>
      <c r="E122" s="6" t="s">
        <v>497</v>
      </c>
      <c r="F122" s="2" t="str">
        <f t="shared" si="6"/>
        <v>A</v>
      </c>
      <c r="G122" s="2">
        <v>5</v>
      </c>
      <c r="H122" s="2" t="str">
        <f t="shared" si="7"/>
        <v>B</v>
      </c>
      <c r="I122" s="2">
        <v>5</v>
      </c>
      <c r="J122" s="2">
        <f t="shared" si="8"/>
        <v>0</v>
      </c>
      <c r="K122" s="2" t="str">
        <f t="shared" si="9"/>
        <v>C</v>
      </c>
      <c r="L122" s="2" t="str">
        <f t="shared" si="10"/>
        <v>D(平局)</v>
      </c>
      <c r="M122" s="2" t="s">
        <v>22</v>
      </c>
      <c r="N122" s="2">
        <f t="shared" si="11"/>
        <v>0</v>
      </c>
      <c r="O122" s="2" t="s">
        <v>22</v>
      </c>
      <c r="P122" s="2">
        <v>76</v>
      </c>
    </row>
    <row r="123" ht="23" customHeight="1" spans="1:16">
      <c r="A123" s="6" t="s">
        <v>179</v>
      </c>
      <c r="B123" s="2" t="s">
        <v>15</v>
      </c>
      <c r="C123" s="2" t="s">
        <v>46</v>
      </c>
      <c r="D123" s="2">
        <v>1</v>
      </c>
      <c r="E123" s="6" t="s">
        <v>497</v>
      </c>
      <c r="F123" s="2" t="str">
        <f t="shared" si="6"/>
        <v>B</v>
      </c>
      <c r="G123" s="2">
        <v>4</v>
      </c>
      <c r="H123" s="2" t="str">
        <f t="shared" si="7"/>
        <v>A</v>
      </c>
      <c r="I123" s="2">
        <v>4</v>
      </c>
      <c r="J123" s="2">
        <f t="shared" si="8"/>
        <v>0</v>
      </c>
      <c r="K123" s="2" t="str">
        <f t="shared" si="9"/>
        <v>C</v>
      </c>
      <c r="L123" s="2" t="str">
        <f t="shared" si="10"/>
        <v>D(平局)</v>
      </c>
      <c r="M123" s="2" t="s">
        <v>22</v>
      </c>
      <c r="N123" s="2">
        <f t="shared" si="11"/>
        <v>0</v>
      </c>
      <c r="O123" s="2" t="s">
        <v>34</v>
      </c>
      <c r="P123" s="2">
        <v>85</v>
      </c>
    </row>
    <row r="124" ht="23" customHeight="1" spans="1:16">
      <c r="A124" s="6" t="s">
        <v>179</v>
      </c>
      <c r="B124" s="2" t="s">
        <v>15</v>
      </c>
      <c r="C124" s="2" t="s">
        <v>17</v>
      </c>
      <c r="D124" s="2">
        <v>2</v>
      </c>
      <c r="E124" s="6" t="s">
        <v>498</v>
      </c>
      <c r="F124" s="2" t="str">
        <f t="shared" si="6"/>
        <v>A</v>
      </c>
      <c r="G124" s="2">
        <v>3</v>
      </c>
      <c r="H124" s="2" t="str">
        <f t="shared" si="7"/>
        <v>B</v>
      </c>
      <c r="I124" s="2">
        <v>4</v>
      </c>
      <c r="J124" s="2">
        <f t="shared" si="8"/>
        <v>-1</v>
      </c>
      <c r="K124" s="2" t="str">
        <f t="shared" si="9"/>
        <v>B</v>
      </c>
      <c r="L124" s="2" t="str">
        <f t="shared" si="10"/>
        <v>B</v>
      </c>
      <c r="M124" s="2" t="s">
        <v>22</v>
      </c>
      <c r="N124" s="2">
        <f t="shared" si="11"/>
        <v>1</v>
      </c>
      <c r="O124" s="2" t="s">
        <v>22</v>
      </c>
      <c r="P124" s="2">
        <v>76</v>
      </c>
    </row>
    <row r="125" ht="23" customHeight="1" spans="1:16">
      <c r="A125" s="6" t="s">
        <v>179</v>
      </c>
      <c r="B125" s="2" t="s">
        <v>15</v>
      </c>
      <c r="C125" s="2" t="s">
        <v>46</v>
      </c>
      <c r="D125" s="2">
        <v>2</v>
      </c>
      <c r="E125" s="6" t="s">
        <v>498</v>
      </c>
      <c r="F125" s="2" t="str">
        <f t="shared" si="6"/>
        <v>B</v>
      </c>
      <c r="G125" s="2">
        <v>4</v>
      </c>
      <c r="H125" s="2" t="str">
        <f t="shared" si="7"/>
        <v>A</v>
      </c>
      <c r="I125" s="2">
        <v>3</v>
      </c>
      <c r="J125" s="2">
        <f t="shared" si="8"/>
        <v>1</v>
      </c>
      <c r="K125" s="2" t="str">
        <f t="shared" si="9"/>
        <v>A</v>
      </c>
      <c r="L125" s="2" t="str">
        <f t="shared" si="10"/>
        <v>B</v>
      </c>
      <c r="M125" s="2" t="s">
        <v>22</v>
      </c>
      <c r="N125" s="2">
        <f t="shared" si="11"/>
        <v>1</v>
      </c>
      <c r="O125" s="2" t="s">
        <v>34</v>
      </c>
      <c r="P125" s="2">
        <v>85</v>
      </c>
    </row>
    <row r="126" ht="23" customHeight="1" spans="1:16">
      <c r="A126" s="6" t="s">
        <v>179</v>
      </c>
      <c r="B126" s="2" t="s">
        <v>15</v>
      </c>
      <c r="C126" s="2" t="s">
        <v>17</v>
      </c>
      <c r="D126" s="2">
        <v>3</v>
      </c>
      <c r="E126" s="6" t="s">
        <v>499</v>
      </c>
      <c r="F126" s="2" t="str">
        <f t="shared" si="6"/>
        <v>A</v>
      </c>
      <c r="G126" s="2">
        <v>4</v>
      </c>
      <c r="H126" s="2" t="str">
        <f t="shared" si="7"/>
        <v>B</v>
      </c>
      <c r="I126" s="2">
        <v>5</v>
      </c>
      <c r="J126" s="2">
        <f t="shared" si="8"/>
        <v>-1</v>
      </c>
      <c r="K126" s="2" t="str">
        <f t="shared" si="9"/>
        <v>B</v>
      </c>
      <c r="L126" s="2" t="str">
        <f t="shared" si="10"/>
        <v>B</v>
      </c>
      <c r="M126" s="2" t="s">
        <v>22</v>
      </c>
      <c r="N126" s="2">
        <f t="shared" si="11"/>
        <v>1</v>
      </c>
      <c r="O126" s="2" t="s">
        <v>22</v>
      </c>
      <c r="P126" s="2">
        <v>76</v>
      </c>
    </row>
    <row r="127" ht="23" customHeight="1" spans="1:16">
      <c r="A127" s="6" t="s">
        <v>179</v>
      </c>
      <c r="B127" s="2" t="s">
        <v>15</v>
      </c>
      <c r="C127" s="2" t="s">
        <v>46</v>
      </c>
      <c r="D127" s="2">
        <v>3</v>
      </c>
      <c r="E127" s="6" t="s">
        <v>499</v>
      </c>
      <c r="F127" s="2" t="str">
        <f t="shared" si="6"/>
        <v>B</v>
      </c>
      <c r="G127" s="2">
        <v>5</v>
      </c>
      <c r="H127" s="2" t="str">
        <f t="shared" si="7"/>
        <v>A</v>
      </c>
      <c r="I127" s="2">
        <v>4</v>
      </c>
      <c r="J127" s="2">
        <f t="shared" si="8"/>
        <v>1</v>
      </c>
      <c r="K127" s="2" t="str">
        <f t="shared" si="9"/>
        <v>A</v>
      </c>
      <c r="L127" s="2" t="str">
        <f t="shared" si="10"/>
        <v>B</v>
      </c>
      <c r="M127" s="2" t="s">
        <v>22</v>
      </c>
      <c r="N127" s="2">
        <f t="shared" si="11"/>
        <v>1</v>
      </c>
      <c r="O127" s="2" t="s">
        <v>34</v>
      </c>
      <c r="P127" s="2">
        <v>85</v>
      </c>
    </row>
    <row r="128" ht="23" customHeight="1" spans="1:16">
      <c r="A128" s="6" t="s">
        <v>179</v>
      </c>
      <c r="B128" s="2" t="s">
        <v>15</v>
      </c>
      <c r="C128" s="2" t="s">
        <v>17</v>
      </c>
      <c r="D128" s="2">
        <v>4</v>
      </c>
      <c r="E128" s="6" t="s">
        <v>500</v>
      </c>
      <c r="F128" s="2" t="str">
        <f t="shared" si="6"/>
        <v>A</v>
      </c>
      <c r="G128" s="2">
        <v>4</v>
      </c>
      <c r="H128" s="2" t="str">
        <f t="shared" si="7"/>
        <v>B</v>
      </c>
      <c r="I128" s="2">
        <v>5</v>
      </c>
      <c r="J128" s="2">
        <f t="shared" si="8"/>
        <v>-1</v>
      </c>
      <c r="K128" s="2" t="str">
        <f t="shared" si="9"/>
        <v>B</v>
      </c>
      <c r="L128" s="2" t="str">
        <f t="shared" si="10"/>
        <v>B</v>
      </c>
      <c r="M128" s="2" t="s">
        <v>22</v>
      </c>
      <c r="N128" s="2">
        <f t="shared" si="11"/>
        <v>1</v>
      </c>
      <c r="O128" s="2" t="s">
        <v>22</v>
      </c>
      <c r="P128" s="2">
        <v>76</v>
      </c>
    </row>
    <row r="129" ht="23" customHeight="1" spans="1:16">
      <c r="A129" s="6" t="s">
        <v>179</v>
      </c>
      <c r="B129" s="2" t="s">
        <v>15</v>
      </c>
      <c r="C129" s="2" t="s">
        <v>46</v>
      </c>
      <c r="D129" s="2">
        <v>4</v>
      </c>
      <c r="E129" s="6" t="s">
        <v>500</v>
      </c>
      <c r="F129" s="2" t="str">
        <f t="shared" si="6"/>
        <v>B</v>
      </c>
      <c r="G129" s="2">
        <v>4</v>
      </c>
      <c r="H129" s="2" t="str">
        <f t="shared" si="7"/>
        <v>A</v>
      </c>
      <c r="I129" s="2">
        <v>4</v>
      </c>
      <c r="J129" s="2">
        <f t="shared" si="8"/>
        <v>0</v>
      </c>
      <c r="K129" s="2" t="str">
        <f t="shared" si="9"/>
        <v>C</v>
      </c>
      <c r="L129" s="2" t="str">
        <f t="shared" si="10"/>
        <v>D(平局)</v>
      </c>
      <c r="M129" s="2" t="s">
        <v>22</v>
      </c>
      <c r="N129" s="2">
        <f t="shared" si="11"/>
        <v>0</v>
      </c>
      <c r="O129" s="2" t="s">
        <v>34</v>
      </c>
      <c r="P129" s="2">
        <v>85</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22</v>
      </c>
      <c r="N130" s="2">
        <f t="shared" ref="N130:N193" si="17">--(L130=M130)</f>
        <v>0</v>
      </c>
      <c r="O130" s="2" t="s">
        <v>22</v>
      </c>
      <c r="P130" s="2">
        <v>76</v>
      </c>
    </row>
    <row r="131" ht="23" customHeight="1" spans="1:16">
      <c r="A131" s="6" t="s">
        <v>179</v>
      </c>
      <c r="B131" s="2" t="s">
        <v>15</v>
      </c>
      <c r="C131" s="2" t="s">
        <v>46</v>
      </c>
      <c r="D131" s="2">
        <v>5</v>
      </c>
      <c r="E131" s="6" t="s">
        <v>501</v>
      </c>
      <c r="F131" s="2" t="str">
        <f t="shared" si="12"/>
        <v>B</v>
      </c>
      <c r="G131" s="2">
        <v>5</v>
      </c>
      <c r="H131" s="2" t="str">
        <f t="shared" si="13"/>
        <v>A</v>
      </c>
      <c r="I131" s="2">
        <v>5</v>
      </c>
      <c r="J131" s="2">
        <f t="shared" si="14"/>
        <v>0</v>
      </c>
      <c r="K131" s="2" t="str">
        <f t="shared" si="15"/>
        <v>C</v>
      </c>
      <c r="L131" s="2" t="str">
        <f t="shared" si="16"/>
        <v>D(平局)</v>
      </c>
      <c r="M131" s="2" t="s">
        <v>22</v>
      </c>
      <c r="N131" s="2">
        <f t="shared" si="17"/>
        <v>0</v>
      </c>
      <c r="O131" s="2" t="s">
        <v>34</v>
      </c>
      <c r="P131" s="2">
        <v>85</v>
      </c>
    </row>
    <row r="132" ht="23" customHeight="1" spans="1:16">
      <c r="A132" s="6" t="s">
        <v>179</v>
      </c>
      <c r="B132" s="2" t="s">
        <v>31</v>
      </c>
      <c r="C132" s="2" t="s">
        <v>17</v>
      </c>
      <c r="D132" s="2">
        <v>1</v>
      </c>
      <c r="E132" s="6" t="s">
        <v>497</v>
      </c>
      <c r="F132" s="2" t="str">
        <f t="shared" si="12"/>
        <v>A</v>
      </c>
      <c r="G132" s="2">
        <v>4</v>
      </c>
      <c r="H132" s="2" t="str">
        <f t="shared" si="13"/>
        <v>C</v>
      </c>
      <c r="I132" s="2">
        <v>4</v>
      </c>
      <c r="J132" s="2">
        <f t="shared" si="14"/>
        <v>0</v>
      </c>
      <c r="K132" s="2" t="str">
        <f t="shared" si="15"/>
        <v>C</v>
      </c>
      <c r="L132" s="2" t="str">
        <f t="shared" si="16"/>
        <v>D(平局)</v>
      </c>
      <c r="M132" s="2" t="s">
        <v>34</v>
      </c>
      <c r="N132" s="2">
        <f t="shared" si="17"/>
        <v>0</v>
      </c>
      <c r="O132" s="2" t="s">
        <v>27</v>
      </c>
      <c r="P132" s="2">
        <v>79</v>
      </c>
    </row>
    <row r="133" ht="23" customHeight="1" spans="1:16">
      <c r="A133" s="6" t="s">
        <v>179</v>
      </c>
      <c r="B133" s="2" t="s">
        <v>31</v>
      </c>
      <c r="C133" s="2" t="s">
        <v>46</v>
      </c>
      <c r="D133" s="2">
        <v>1</v>
      </c>
      <c r="E133" s="6" t="s">
        <v>497</v>
      </c>
      <c r="F133" s="2" t="str">
        <f t="shared" si="12"/>
        <v>C</v>
      </c>
      <c r="G133" s="2">
        <v>5</v>
      </c>
      <c r="H133" s="2" t="str">
        <f t="shared" si="13"/>
        <v>A</v>
      </c>
      <c r="I133" s="2">
        <v>5</v>
      </c>
      <c r="J133" s="2">
        <f t="shared" si="14"/>
        <v>0</v>
      </c>
      <c r="K133" s="2" t="str">
        <f t="shared" si="15"/>
        <v>C</v>
      </c>
      <c r="L133" s="2" t="str">
        <f t="shared" si="16"/>
        <v>D(平局)</v>
      </c>
      <c r="M133" s="2" t="s">
        <v>34</v>
      </c>
      <c r="N133" s="2">
        <f t="shared" si="17"/>
        <v>0</v>
      </c>
      <c r="O133" s="2" t="s">
        <v>34</v>
      </c>
      <c r="P133" s="2">
        <v>88</v>
      </c>
    </row>
    <row r="134" ht="23" customHeight="1" spans="1:16">
      <c r="A134" s="6" t="s">
        <v>179</v>
      </c>
      <c r="B134" s="2" t="s">
        <v>31</v>
      </c>
      <c r="C134" s="2" t="s">
        <v>17</v>
      </c>
      <c r="D134" s="2">
        <v>2</v>
      </c>
      <c r="E134" s="6" t="s">
        <v>498</v>
      </c>
      <c r="F134" s="2" t="str">
        <f t="shared" si="12"/>
        <v>A</v>
      </c>
      <c r="G134" s="2">
        <v>4</v>
      </c>
      <c r="H134" s="2" t="str">
        <f t="shared" si="13"/>
        <v>C</v>
      </c>
      <c r="I134" s="2">
        <v>3</v>
      </c>
      <c r="J134" s="2">
        <f t="shared" si="14"/>
        <v>1</v>
      </c>
      <c r="K134" s="2" t="str">
        <f t="shared" si="15"/>
        <v>A</v>
      </c>
      <c r="L134" s="2" t="str">
        <f t="shared" si="16"/>
        <v>A</v>
      </c>
      <c r="M134" s="2" t="s">
        <v>34</v>
      </c>
      <c r="N134" s="2">
        <f t="shared" si="17"/>
        <v>1</v>
      </c>
      <c r="O134" s="2" t="s">
        <v>27</v>
      </c>
      <c r="P134" s="2">
        <v>79</v>
      </c>
    </row>
    <row r="135" ht="23" customHeight="1" spans="1:16">
      <c r="A135" s="6" t="s">
        <v>179</v>
      </c>
      <c r="B135" s="2" t="s">
        <v>31</v>
      </c>
      <c r="C135" s="2" t="s">
        <v>46</v>
      </c>
      <c r="D135" s="2">
        <v>2</v>
      </c>
      <c r="E135" s="6" t="s">
        <v>498</v>
      </c>
      <c r="F135" s="2" t="str">
        <f t="shared" si="12"/>
        <v>C</v>
      </c>
      <c r="G135" s="2">
        <v>4</v>
      </c>
      <c r="H135" s="2" t="str">
        <f t="shared" si="13"/>
        <v>A</v>
      </c>
      <c r="I135" s="2">
        <v>3</v>
      </c>
      <c r="J135" s="2">
        <f t="shared" si="14"/>
        <v>1</v>
      </c>
      <c r="K135" s="2" t="str">
        <f t="shared" si="15"/>
        <v>A</v>
      </c>
      <c r="L135" s="2" t="str">
        <f t="shared" si="16"/>
        <v>C</v>
      </c>
      <c r="M135" s="2" t="s">
        <v>34</v>
      </c>
      <c r="N135" s="2">
        <f t="shared" si="17"/>
        <v>0</v>
      </c>
      <c r="O135" s="2" t="s">
        <v>34</v>
      </c>
      <c r="P135" s="2">
        <v>88</v>
      </c>
    </row>
    <row r="136" ht="23" customHeight="1" spans="1:16">
      <c r="A136" s="6" t="s">
        <v>179</v>
      </c>
      <c r="B136" s="2" t="s">
        <v>31</v>
      </c>
      <c r="C136" s="2" t="s">
        <v>17</v>
      </c>
      <c r="D136" s="2">
        <v>3</v>
      </c>
      <c r="E136" s="6" t="s">
        <v>499</v>
      </c>
      <c r="F136" s="2" t="str">
        <f t="shared" si="12"/>
        <v>A</v>
      </c>
      <c r="G136" s="2">
        <v>4</v>
      </c>
      <c r="H136" s="2" t="str">
        <f t="shared" si="13"/>
        <v>C</v>
      </c>
      <c r="I136" s="2">
        <v>5</v>
      </c>
      <c r="J136" s="2">
        <f t="shared" si="14"/>
        <v>-1</v>
      </c>
      <c r="K136" s="2" t="str">
        <f t="shared" si="15"/>
        <v>B</v>
      </c>
      <c r="L136" s="2" t="str">
        <f t="shared" si="16"/>
        <v>C</v>
      </c>
      <c r="M136" s="2" t="s">
        <v>34</v>
      </c>
      <c r="N136" s="2">
        <f t="shared" si="17"/>
        <v>0</v>
      </c>
      <c r="O136" s="2" t="s">
        <v>27</v>
      </c>
      <c r="P136" s="2">
        <v>79</v>
      </c>
    </row>
    <row r="137" ht="23" customHeight="1" spans="1:16">
      <c r="A137" s="6" t="s">
        <v>179</v>
      </c>
      <c r="B137" s="2" t="s">
        <v>31</v>
      </c>
      <c r="C137" s="2" t="s">
        <v>46</v>
      </c>
      <c r="D137" s="2">
        <v>3</v>
      </c>
      <c r="E137" s="6" t="s">
        <v>499</v>
      </c>
      <c r="F137" s="2" t="str">
        <f t="shared" si="12"/>
        <v>C</v>
      </c>
      <c r="G137" s="2">
        <v>5</v>
      </c>
      <c r="H137" s="2" t="str">
        <f t="shared" si="13"/>
        <v>A</v>
      </c>
      <c r="I137" s="2">
        <v>4</v>
      </c>
      <c r="J137" s="2">
        <f t="shared" si="14"/>
        <v>1</v>
      </c>
      <c r="K137" s="2" t="str">
        <f t="shared" si="15"/>
        <v>A</v>
      </c>
      <c r="L137" s="2" t="str">
        <f t="shared" si="16"/>
        <v>C</v>
      </c>
      <c r="M137" s="2" t="s">
        <v>34</v>
      </c>
      <c r="N137" s="2">
        <f t="shared" si="17"/>
        <v>0</v>
      </c>
      <c r="O137" s="2" t="s">
        <v>34</v>
      </c>
      <c r="P137" s="2">
        <v>88</v>
      </c>
    </row>
    <row r="138" ht="23" customHeight="1" spans="1:16">
      <c r="A138" s="6" t="s">
        <v>179</v>
      </c>
      <c r="B138" s="2" t="s">
        <v>31</v>
      </c>
      <c r="C138" s="2" t="s">
        <v>17</v>
      </c>
      <c r="D138" s="2">
        <v>4</v>
      </c>
      <c r="E138" s="6" t="s">
        <v>500</v>
      </c>
      <c r="F138" s="2" t="str">
        <f t="shared" si="12"/>
        <v>A</v>
      </c>
      <c r="G138" s="2">
        <v>4</v>
      </c>
      <c r="H138" s="2" t="str">
        <f t="shared" si="13"/>
        <v>C</v>
      </c>
      <c r="I138" s="2">
        <v>4</v>
      </c>
      <c r="J138" s="2">
        <f t="shared" si="14"/>
        <v>0</v>
      </c>
      <c r="K138" s="2" t="str">
        <f t="shared" si="15"/>
        <v>C</v>
      </c>
      <c r="L138" s="2" t="str">
        <f t="shared" si="16"/>
        <v>D(平局)</v>
      </c>
      <c r="M138" s="2" t="s">
        <v>34</v>
      </c>
      <c r="N138" s="2">
        <f t="shared" si="17"/>
        <v>0</v>
      </c>
      <c r="O138" s="2" t="s">
        <v>27</v>
      </c>
      <c r="P138" s="2">
        <v>79</v>
      </c>
    </row>
    <row r="139" ht="23" customHeight="1" spans="1:16">
      <c r="A139" s="6" t="s">
        <v>179</v>
      </c>
      <c r="B139" s="2" t="s">
        <v>31</v>
      </c>
      <c r="C139" s="2" t="s">
        <v>46</v>
      </c>
      <c r="D139" s="2">
        <v>4</v>
      </c>
      <c r="E139" s="6" t="s">
        <v>500</v>
      </c>
      <c r="F139" s="2" t="str">
        <f t="shared" si="12"/>
        <v>C</v>
      </c>
      <c r="G139" s="2">
        <v>5</v>
      </c>
      <c r="H139" s="2" t="str">
        <f t="shared" si="13"/>
        <v>A</v>
      </c>
      <c r="I139" s="2">
        <v>4</v>
      </c>
      <c r="J139" s="2">
        <f t="shared" si="14"/>
        <v>1</v>
      </c>
      <c r="K139" s="2" t="str">
        <f t="shared" si="15"/>
        <v>A</v>
      </c>
      <c r="L139" s="2" t="str">
        <f t="shared" si="16"/>
        <v>C</v>
      </c>
      <c r="M139" s="2" t="s">
        <v>34</v>
      </c>
      <c r="N139" s="2">
        <f t="shared" si="17"/>
        <v>0</v>
      </c>
      <c r="O139" s="2" t="s">
        <v>34</v>
      </c>
      <c r="P139" s="2">
        <v>88</v>
      </c>
    </row>
    <row r="140" ht="23" customHeight="1" spans="1:16">
      <c r="A140" s="6" t="s">
        <v>179</v>
      </c>
      <c r="B140" s="2" t="s">
        <v>31</v>
      </c>
      <c r="C140" s="2" t="s">
        <v>17</v>
      </c>
      <c r="D140" s="2">
        <v>5</v>
      </c>
      <c r="E140" s="6" t="s">
        <v>501</v>
      </c>
      <c r="F140" s="2" t="str">
        <f t="shared" si="12"/>
        <v>A</v>
      </c>
      <c r="G140" s="2">
        <v>5</v>
      </c>
      <c r="H140" s="2" t="str">
        <f t="shared" si="13"/>
        <v>C</v>
      </c>
      <c r="I140" s="2">
        <v>5</v>
      </c>
      <c r="J140" s="2">
        <f t="shared" si="14"/>
        <v>0</v>
      </c>
      <c r="K140" s="2" t="str">
        <f t="shared" si="15"/>
        <v>C</v>
      </c>
      <c r="L140" s="2" t="str">
        <f t="shared" si="16"/>
        <v>D(平局)</v>
      </c>
      <c r="M140" s="2" t="s">
        <v>34</v>
      </c>
      <c r="N140" s="2">
        <f t="shared" si="17"/>
        <v>0</v>
      </c>
      <c r="O140" s="2" t="s">
        <v>27</v>
      </c>
      <c r="P140" s="2">
        <v>79</v>
      </c>
    </row>
    <row r="141" ht="23" customHeight="1" spans="1:16">
      <c r="A141" s="6" t="s">
        <v>179</v>
      </c>
      <c r="B141" s="2" t="s">
        <v>31</v>
      </c>
      <c r="C141" s="2" t="s">
        <v>46</v>
      </c>
      <c r="D141" s="2">
        <v>5</v>
      </c>
      <c r="E141" s="6" t="s">
        <v>501</v>
      </c>
      <c r="F141" s="2" t="str">
        <f t="shared" si="12"/>
        <v>C</v>
      </c>
      <c r="G141" s="2">
        <v>5</v>
      </c>
      <c r="H141" s="2" t="str">
        <f t="shared" si="13"/>
        <v>A</v>
      </c>
      <c r="I141" s="2">
        <v>5</v>
      </c>
      <c r="J141" s="2">
        <f t="shared" si="14"/>
        <v>0</v>
      </c>
      <c r="K141" s="2" t="str">
        <f t="shared" si="15"/>
        <v>C</v>
      </c>
      <c r="L141" s="2" t="str">
        <f t="shared" si="16"/>
        <v>D(平局)</v>
      </c>
      <c r="M141" s="2" t="s">
        <v>34</v>
      </c>
      <c r="N141" s="2">
        <f t="shared" si="17"/>
        <v>0</v>
      </c>
      <c r="O141" s="2" t="s">
        <v>34</v>
      </c>
      <c r="P141" s="2">
        <v>88</v>
      </c>
    </row>
    <row r="142" ht="23" customHeight="1" spans="1:16">
      <c r="A142" s="6" t="s">
        <v>179</v>
      </c>
      <c r="B142" s="2" t="s">
        <v>39</v>
      </c>
      <c r="C142" s="2" t="s">
        <v>17</v>
      </c>
      <c r="D142" s="2">
        <v>1</v>
      </c>
      <c r="E142" s="6" t="s">
        <v>497</v>
      </c>
      <c r="F142" s="2" t="str">
        <f t="shared" si="12"/>
        <v>B</v>
      </c>
      <c r="G142" s="2">
        <v>4</v>
      </c>
      <c r="H142" s="2" t="str">
        <f t="shared" si="13"/>
        <v>C</v>
      </c>
      <c r="I142" s="2">
        <v>4</v>
      </c>
      <c r="J142" s="2">
        <f t="shared" si="14"/>
        <v>0</v>
      </c>
      <c r="K142" s="2" t="str">
        <f t="shared" si="15"/>
        <v>C</v>
      </c>
      <c r="L142" s="2" t="str">
        <f t="shared" si="16"/>
        <v>D(平局)</v>
      </c>
      <c r="M142" s="2" t="s">
        <v>22</v>
      </c>
      <c r="N142" s="2">
        <f t="shared" si="17"/>
        <v>0</v>
      </c>
      <c r="O142" s="2" t="s">
        <v>34</v>
      </c>
      <c r="P142" s="2">
        <v>82</v>
      </c>
    </row>
    <row r="143" ht="23" customHeight="1" spans="1:16">
      <c r="A143" s="6" t="s">
        <v>179</v>
      </c>
      <c r="B143" s="2" t="s">
        <v>39</v>
      </c>
      <c r="C143" s="2" t="s">
        <v>46</v>
      </c>
      <c r="D143" s="2">
        <v>1</v>
      </c>
      <c r="E143" s="6" t="s">
        <v>497</v>
      </c>
      <c r="F143" s="2" t="str">
        <f t="shared" si="12"/>
        <v>C</v>
      </c>
      <c r="G143" s="2">
        <v>4</v>
      </c>
      <c r="H143" s="2" t="str">
        <f t="shared" si="13"/>
        <v>B</v>
      </c>
      <c r="I143" s="2">
        <v>5</v>
      </c>
      <c r="J143" s="2">
        <f t="shared" si="14"/>
        <v>-1</v>
      </c>
      <c r="K143" s="2" t="str">
        <f t="shared" si="15"/>
        <v>B</v>
      </c>
      <c r="L143" s="2" t="str">
        <f t="shared" si="16"/>
        <v>B</v>
      </c>
      <c r="M143" s="2" t="s">
        <v>22</v>
      </c>
      <c r="N143" s="2">
        <f t="shared" si="17"/>
        <v>1</v>
      </c>
      <c r="O143" s="2" t="s">
        <v>22</v>
      </c>
      <c r="P143" s="2">
        <v>91</v>
      </c>
    </row>
    <row r="144" ht="23" customHeight="1" spans="1:16">
      <c r="A144" s="6" t="s">
        <v>179</v>
      </c>
      <c r="B144" s="2" t="s">
        <v>39</v>
      </c>
      <c r="C144" s="2" t="s">
        <v>17</v>
      </c>
      <c r="D144" s="2">
        <v>2</v>
      </c>
      <c r="E144" s="6" t="s">
        <v>498</v>
      </c>
      <c r="F144" s="2" t="str">
        <f t="shared" si="12"/>
        <v>B</v>
      </c>
      <c r="G144" s="2">
        <v>4</v>
      </c>
      <c r="H144" s="2" t="str">
        <f t="shared" si="13"/>
        <v>C</v>
      </c>
      <c r="I144" s="2">
        <v>4</v>
      </c>
      <c r="J144" s="2">
        <f t="shared" si="14"/>
        <v>0</v>
      </c>
      <c r="K144" s="2" t="str">
        <f t="shared" si="15"/>
        <v>C</v>
      </c>
      <c r="L144" s="2" t="str">
        <f t="shared" si="16"/>
        <v>D(平局)</v>
      </c>
      <c r="M144" s="2" t="s">
        <v>22</v>
      </c>
      <c r="N144" s="2">
        <f t="shared" si="17"/>
        <v>0</v>
      </c>
      <c r="O144" s="2" t="s">
        <v>34</v>
      </c>
      <c r="P144" s="2">
        <v>82</v>
      </c>
    </row>
    <row r="145" ht="23" customHeight="1" spans="1:16">
      <c r="A145" s="6" t="s">
        <v>179</v>
      </c>
      <c r="B145" s="2" t="s">
        <v>39</v>
      </c>
      <c r="C145" s="2" t="s">
        <v>46</v>
      </c>
      <c r="D145" s="2">
        <v>2</v>
      </c>
      <c r="E145" s="6" t="s">
        <v>498</v>
      </c>
      <c r="F145" s="2" t="str">
        <f t="shared" si="12"/>
        <v>C</v>
      </c>
      <c r="G145" s="2">
        <v>3</v>
      </c>
      <c r="H145" s="2" t="str">
        <f t="shared" si="13"/>
        <v>B</v>
      </c>
      <c r="I145" s="2">
        <v>4</v>
      </c>
      <c r="J145" s="2">
        <f t="shared" si="14"/>
        <v>-1</v>
      </c>
      <c r="K145" s="2" t="str">
        <f t="shared" si="15"/>
        <v>B</v>
      </c>
      <c r="L145" s="2" t="str">
        <f t="shared" si="16"/>
        <v>B</v>
      </c>
      <c r="M145" s="2" t="s">
        <v>22</v>
      </c>
      <c r="N145" s="2">
        <f t="shared" si="17"/>
        <v>1</v>
      </c>
      <c r="O145" s="2" t="s">
        <v>22</v>
      </c>
      <c r="P145" s="2">
        <v>91</v>
      </c>
    </row>
    <row r="146" ht="23" customHeight="1" spans="1:16">
      <c r="A146" s="6" t="s">
        <v>179</v>
      </c>
      <c r="B146" s="2" t="s">
        <v>39</v>
      </c>
      <c r="C146" s="2" t="s">
        <v>17</v>
      </c>
      <c r="D146" s="2">
        <v>3</v>
      </c>
      <c r="E146" s="6" t="s">
        <v>499</v>
      </c>
      <c r="F146" s="2" t="str">
        <f t="shared" si="12"/>
        <v>B</v>
      </c>
      <c r="G146" s="2">
        <v>5</v>
      </c>
      <c r="H146" s="2" t="str">
        <f t="shared" si="13"/>
        <v>C</v>
      </c>
      <c r="I146" s="2">
        <v>4</v>
      </c>
      <c r="J146" s="2">
        <f t="shared" si="14"/>
        <v>1</v>
      </c>
      <c r="K146" s="2" t="str">
        <f t="shared" si="15"/>
        <v>A</v>
      </c>
      <c r="L146" s="2" t="str">
        <f t="shared" si="16"/>
        <v>B</v>
      </c>
      <c r="M146" s="2" t="s">
        <v>22</v>
      </c>
      <c r="N146" s="2">
        <f t="shared" si="17"/>
        <v>1</v>
      </c>
      <c r="O146" s="2" t="s">
        <v>34</v>
      </c>
      <c r="P146" s="2">
        <v>82</v>
      </c>
    </row>
    <row r="147" ht="23" customHeight="1" spans="1:16">
      <c r="A147" s="6" t="s">
        <v>179</v>
      </c>
      <c r="B147" s="2" t="s">
        <v>39</v>
      </c>
      <c r="C147" s="2" t="s">
        <v>46</v>
      </c>
      <c r="D147" s="2">
        <v>3</v>
      </c>
      <c r="E147" s="6" t="s">
        <v>499</v>
      </c>
      <c r="F147" s="2" t="str">
        <f t="shared" si="12"/>
        <v>C</v>
      </c>
      <c r="G147" s="2">
        <v>4</v>
      </c>
      <c r="H147" s="2" t="str">
        <f t="shared" si="13"/>
        <v>B</v>
      </c>
      <c r="I147" s="2">
        <v>5</v>
      </c>
      <c r="J147" s="2">
        <f t="shared" si="14"/>
        <v>-1</v>
      </c>
      <c r="K147" s="2" t="str">
        <f t="shared" si="15"/>
        <v>B</v>
      </c>
      <c r="L147" s="2" t="str">
        <f t="shared" si="16"/>
        <v>B</v>
      </c>
      <c r="M147" s="2" t="s">
        <v>22</v>
      </c>
      <c r="N147" s="2">
        <f t="shared" si="17"/>
        <v>1</v>
      </c>
      <c r="O147" s="2" t="s">
        <v>22</v>
      </c>
      <c r="P147" s="2">
        <v>91</v>
      </c>
    </row>
    <row r="148" ht="23" customHeight="1" spans="1:16">
      <c r="A148" s="6" t="s">
        <v>179</v>
      </c>
      <c r="B148" s="2" t="s">
        <v>39</v>
      </c>
      <c r="C148" s="2" t="s">
        <v>17</v>
      </c>
      <c r="D148" s="2">
        <v>4</v>
      </c>
      <c r="E148" s="6" t="s">
        <v>500</v>
      </c>
      <c r="F148" s="2" t="str">
        <f t="shared" si="12"/>
        <v>B</v>
      </c>
      <c r="G148" s="2">
        <v>4</v>
      </c>
      <c r="H148" s="2" t="str">
        <f t="shared" si="13"/>
        <v>C</v>
      </c>
      <c r="I148" s="2">
        <v>4</v>
      </c>
      <c r="J148" s="2">
        <f t="shared" si="14"/>
        <v>0</v>
      </c>
      <c r="K148" s="2" t="str">
        <f t="shared" si="15"/>
        <v>C</v>
      </c>
      <c r="L148" s="2" t="str">
        <f t="shared" si="16"/>
        <v>D(平局)</v>
      </c>
      <c r="M148" s="2" t="s">
        <v>22</v>
      </c>
      <c r="N148" s="2">
        <f t="shared" si="17"/>
        <v>0</v>
      </c>
      <c r="O148" s="2" t="s">
        <v>34</v>
      </c>
      <c r="P148" s="2">
        <v>82</v>
      </c>
    </row>
    <row r="149" ht="23" customHeight="1" spans="1:16">
      <c r="A149" s="6" t="s">
        <v>179</v>
      </c>
      <c r="B149" s="2" t="s">
        <v>39</v>
      </c>
      <c r="C149" s="2" t="s">
        <v>46</v>
      </c>
      <c r="D149" s="2">
        <v>4</v>
      </c>
      <c r="E149" s="6" t="s">
        <v>500</v>
      </c>
      <c r="F149" s="2" t="str">
        <f t="shared" si="12"/>
        <v>C</v>
      </c>
      <c r="G149" s="2">
        <v>5</v>
      </c>
      <c r="H149" s="2" t="str">
        <f t="shared" si="13"/>
        <v>B</v>
      </c>
      <c r="I149" s="2">
        <v>4</v>
      </c>
      <c r="J149" s="2">
        <f t="shared" si="14"/>
        <v>1</v>
      </c>
      <c r="K149" s="2" t="str">
        <f t="shared" si="15"/>
        <v>A</v>
      </c>
      <c r="L149" s="2" t="str">
        <f t="shared" si="16"/>
        <v>C</v>
      </c>
      <c r="M149" s="2" t="s">
        <v>22</v>
      </c>
      <c r="N149" s="2">
        <f t="shared" si="17"/>
        <v>0</v>
      </c>
      <c r="O149" s="2" t="s">
        <v>22</v>
      </c>
      <c r="P149" s="2">
        <v>91</v>
      </c>
    </row>
    <row r="150" ht="23" customHeight="1" spans="1:16">
      <c r="A150" s="6" t="s">
        <v>179</v>
      </c>
      <c r="B150" s="2" t="s">
        <v>39</v>
      </c>
      <c r="C150" s="2" t="s">
        <v>17</v>
      </c>
      <c r="D150" s="2">
        <v>5</v>
      </c>
      <c r="E150" s="6" t="s">
        <v>501</v>
      </c>
      <c r="F150" s="2" t="str">
        <f t="shared" si="12"/>
        <v>B</v>
      </c>
      <c r="G150" s="2">
        <v>4</v>
      </c>
      <c r="H150" s="2" t="str">
        <f t="shared" si="13"/>
        <v>C</v>
      </c>
      <c r="I150" s="2">
        <v>4</v>
      </c>
      <c r="J150" s="2">
        <f t="shared" si="14"/>
        <v>0</v>
      </c>
      <c r="K150" s="2" t="str">
        <f t="shared" si="15"/>
        <v>C</v>
      </c>
      <c r="L150" s="2" t="str">
        <f t="shared" si="16"/>
        <v>D(平局)</v>
      </c>
      <c r="M150" s="2" t="s">
        <v>22</v>
      </c>
      <c r="N150" s="2">
        <f t="shared" si="17"/>
        <v>0</v>
      </c>
      <c r="O150" s="2" t="s">
        <v>34</v>
      </c>
      <c r="P150" s="2">
        <v>82</v>
      </c>
    </row>
    <row r="151" ht="23" customHeight="1" spans="1:16">
      <c r="A151" s="6" t="s">
        <v>179</v>
      </c>
      <c r="B151" s="2" t="s">
        <v>39</v>
      </c>
      <c r="C151" s="2" t="s">
        <v>46</v>
      </c>
      <c r="D151" s="2">
        <v>5</v>
      </c>
      <c r="E151" s="6" t="s">
        <v>501</v>
      </c>
      <c r="F151" s="2" t="str">
        <f t="shared" si="12"/>
        <v>C</v>
      </c>
      <c r="G151" s="2">
        <v>5</v>
      </c>
      <c r="H151" s="2" t="str">
        <f t="shared" si="13"/>
        <v>B</v>
      </c>
      <c r="I151" s="2">
        <v>5</v>
      </c>
      <c r="J151" s="2">
        <f t="shared" si="14"/>
        <v>0</v>
      </c>
      <c r="K151" s="2" t="str">
        <f t="shared" si="15"/>
        <v>C</v>
      </c>
      <c r="L151" s="2" t="str">
        <f t="shared" si="16"/>
        <v>D(平局)</v>
      </c>
      <c r="M151" s="2" t="s">
        <v>22</v>
      </c>
      <c r="N151" s="2">
        <f t="shared" si="17"/>
        <v>0</v>
      </c>
      <c r="O151" s="2" t="s">
        <v>22</v>
      </c>
      <c r="P151" s="2">
        <v>91</v>
      </c>
    </row>
    <row r="152" ht="23" customHeight="1" spans="1:16">
      <c r="A152" s="6" t="s">
        <v>103</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34</v>
      </c>
      <c r="N152" s="2">
        <f t="shared" si="17"/>
        <v>0</v>
      </c>
      <c r="O152" s="2" t="s">
        <v>27</v>
      </c>
      <c r="P152" s="2">
        <v>40</v>
      </c>
    </row>
    <row r="153" ht="23" customHeight="1" spans="1:16">
      <c r="A153" s="6" t="s">
        <v>103</v>
      </c>
      <c r="B153" s="2" t="s">
        <v>15</v>
      </c>
      <c r="C153" s="2" t="s">
        <v>46</v>
      </c>
      <c r="D153" s="2">
        <v>1</v>
      </c>
      <c r="E153" s="6" t="s">
        <v>497</v>
      </c>
      <c r="F153" s="2" t="str">
        <f t="shared" si="12"/>
        <v>B</v>
      </c>
      <c r="G153" s="2">
        <v>5</v>
      </c>
      <c r="H153" s="2" t="str">
        <f t="shared" si="13"/>
        <v>A</v>
      </c>
      <c r="I153" s="2">
        <v>5</v>
      </c>
      <c r="J153" s="2">
        <f t="shared" si="14"/>
        <v>0</v>
      </c>
      <c r="K153" s="2" t="str">
        <f t="shared" si="15"/>
        <v>C</v>
      </c>
      <c r="L153" s="2" t="str">
        <f t="shared" si="16"/>
        <v>D(平局)</v>
      </c>
      <c r="M153" s="2" t="s">
        <v>34</v>
      </c>
      <c r="N153" s="2">
        <f t="shared" si="17"/>
        <v>0</v>
      </c>
      <c r="O153" s="2" t="s">
        <v>34</v>
      </c>
      <c r="P153" s="2">
        <v>49</v>
      </c>
    </row>
    <row r="154" ht="23" customHeight="1" spans="1:16">
      <c r="A154" s="6" t="s">
        <v>103</v>
      </c>
      <c r="B154" s="2" t="s">
        <v>15</v>
      </c>
      <c r="C154" s="2" t="s">
        <v>17</v>
      </c>
      <c r="D154" s="2">
        <v>2</v>
      </c>
      <c r="E154" s="6" t="s">
        <v>498</v>
      </c>
      <c r="F154" s="2" t="str">
        <f t="shared" si="12"/>
        <v>A</v>
      </c>
      <c r="G154" s="2">
        <v>4</v>
      </c>
      <c r="H154" s="2" t="str">
        <f t="shared" si="13"/>
        <v>B</v>
      </c>
      <c r="I154" s="2">
        <v>4</v>
      </c>
      <c r="J154" s="2">
        <f t="shared" si="14"/>
        <v>0</v>
      </c>
      <c r="K154" s="2" t="str">
        <f t="shared" si="15"/>
        <v>C</v>
      </c>
      <c r="L154" s="2" t="str">
        <f t="shared" si="16"/>
        <v>D(平局)</v>
      </c>
      <c r="M154" s="2" t="s">
        <v>34</v>
      </c>
      <c r="N154" s="2">
        <f t="shared" si="17"/>
        <v>0</v>
      </c>
      <c r="O154" s="2" t="s">
        <v>27</v>
      </c>
      <c r="P154" s="2">
        <v>40</v>
      </c>
    </row>
    <row r="155" ht="23" customHeight="1" spans="1:16">
      <c r="A155" s="6" t="s">
        <v>103</v>
      </c>
      <c r="B155" s="2" t="s">
        <v>15</v>
      </c>
      <c r="C155" s="2" t="s">
        <v>46</v>
      </c>
      <c r="D155" s="2">
        <v>2</v>
      </c>
      <c r="E155" s="6" t="s">
        <v>498</v>
      </c>
      <c r="F155" s="2" t="str">
        <f t="shared" si="12"/>
        <v>B</v>
      </c>
      <c r="G155" s="2">
        <v>4</v>
      </c>
      <c r="H155" s="2" t="str">
        <f t="shared" si="13"/>
        <v>A</v>
      </c>
      <c r="I155" s="2">
        <v>4</v>
      </c>
      <c r="J155" s="2">
        <f t="shared" si="14"/>
        <v>0</v>
      </c>
      <c r="K155" s="2" t="str">
        <f t="shared" si="15"/>
        <v>C</v>
      </c>
      <c r="L155" s="2" t="str">
        <f t="shared" si="16"/>
        <v>D(平局)</v>
      </c>
      <c r="M155" s="2" t="s">
        <v>34</v>
      </c>
      <c r="N155" s="2">
        <f t="shared" si="17"/>
        <v>0</v>
      </c>
      <c r="O155" s="2" t="s">
        <v>34</v>
      </c>
      <c r="P155" s="2">
        <v>49</v>
      </c>
    </row>
    <row r="156" ht="23" customHeight="1" spans="1:16">
      <c r="A156" s="6" t="s">
        <v>103</v>
      </c>
      <c r="B156" s="2" t="s">
        <v>15</v>
      </c>
      <c r="C156" s="2" t="s">
        <v>17</v>
      </c>
      <c r="D156" s="2">
        <v>3</v>
      </c>
      <c r="E156" s="6" t="s">
        <v>499</v>
      </c>
      <c r="F156" s="2" t="str">
        <f t="shared" si="12"/>
        <v>A</v>
      </c>
      <c r="G156" s="2">
        <v>4</v>
      </c>
      <c r="H156" s="2" t="str">
        <f t="shared" si="13"/>
        <v>B</v>
      </c>
      <c r="I156" s="2">
        <v>4</v>
      </c>
      <c r="J156" s="2">
        <f t="shared" si="14"/>
        <v>0</v>
      </c>
      <c r="K156" s="2" t="str">
        <f t="shared" si="15"/>
        <v>C</v>
      </c>
      <c r="L156" s="2" t="str">
        <f t="shared" si="16"/>
        <v>D(平局)</v>
      </c>
      <c r="M156" s="2" t="s">
        <v>34</v>
      </c>
      <c r="N156" s="2">
        <f t="shared" si="17"/>
        <v>0</v>
      </c>
      <c r="O156" s="2" t="s">
        <v>27</v>
      </c>
      <c r="P156" s="2">
        <v>40</v>
      </c>
    </row>
    <row r="157" ht="23" customHeight="1" spans="1:16">
      <c r="A157" s="6" t="s">
        <v>103</v>
      </c>
      <c r="B157" s="2" t="s">
        <v>15</v>
      </c>
      <c r="C157" s="2" t="s">
        <v>46</v>
      </c>
      <c r="D157" s="2">
        <v>3</v>
      </c>
      <c r="E157" s="6" t="s">
        <v>499</v>
      </c>
      <c r="F157" s="2" t="str">
        <f t="shared" si="12"/>
        <v>B</v>
      </c>
      <c r="G157" s="2">
        <v>5</v>
      </c>
      <c r="H157" s="2" t="str">
        <f t="shared" si="13"/>
        <v>A</v>
      </c>
      <c r="I157" s="2">
        <v>4</v>
      </c>
      <c r="J157" s="2">
        <f t="shared" si="14"/>
        <v>1</v>
      </c>
      <c r="K157" s="2" t="str">
        <f t="shared" si="15"/>
        <v>A</v>
      </c>
      <c r="L157" s="2" t="str">
        <f t="shared" si="16"/>
        <v>B</v>
      </c>
      <c r="M157" s="2" t="s">
        <v>34</v>
      </c>
      <c r="N157" s="2">
        <f t="shared" si="17"/>
        <v>0</v>
      </c>
      <c r="O157" s="2" t="s">
        <v>34</v>
      </c>
      <c r="P157" s="2">
        <v>49</v>
      </c>
    </row>
    <row r="158" ht="23" customHeight="1" spans="1:16">
      <c r="A158" s="6" t="s">
        <v>103</v>
      </c>
      <c r="B158" s="2" t="s">
        <v>15</v>
      </c>
      <c r="C158" s="2" t="s">
        <v>17</v>
      </c>
      <c r="D158" s="2">
        <v>4</v>
      </c>
      <c r="E158" s="6" t="s">
        <v>500</v>
      </c>
      <c r="F158" s="2" t="str">
        <f t="shared" si="12"/>
        <v>A</v>
      </c>
      <c r="G158" s="2">
        <v>4</v>
      </c>
      <c r="H158" s="2" t="str">
        <f t="shared" si="13"/>
        <v>B</v>
      </c>
      <c r="I158" s="2">
        <v>4</v>
      </c>
      <c r="J158" s="2">
        <f t="shared" si="14"/>
        <v>0</v>
      </c>
      <c r="K158" s="2" t="str">
        <f t="shared" si="15"/>
        <v>C</v>
      </c>
      <c r="L158" s="2" t="str">
        <f t="shared" si="16"/>
        <v>D(平局)</v>
      </c>
      <c r="M158" s="2" t="s">
        <v>34</v>
      </c>
      <c r="N158" s="2">
        <f t="shared" si="17"/>
        <v>0</v>
      </c>
      <c r="O158" s="2" t="s">
        <v>27</v>
      </c>
      <c r="P158" s="2">
        <v>40</v>
      </c>
    </row>
    <row r="159" ht="23" customHeight="1" spans="1:16">
      <c r="A159" s="6" t="s">
        <v>103</v>
      </c>
      <c r="B159" s="2" t="s">
        <v>15</v>
      </c>
      <c r="C159" s="2" t="s">
        <v>46</v>
      </c>
      <c r="D159" s="2">
        <v>4</v>
      </c>
      <c r="E159" s="6" t="s">
        <v>500</v>
      </c>
      <c r="F159" s="2" t="str">
        <f t="shared" si="12"/>
        <v>B</v>
      </c>
      <c r="G159" s="2">
        <v>5</v>
      </c>
      <c r="H159" s="2" t="str">
        <f t="shared" si="13"/>
        <v>A</v>
      </c>
      <c r="I159" s="2">
        <v>4</v>
      </c>
      <c r="J159" s="2">
        <f t="shared" si="14"/>
        <v>1</v>
      </c>
      <c r="K159" s="2" t="str">
        <f t="shared" si="15"/>
        <v>A</v>
      </c>
      <c r="L159" s="2" t="str">
        <f t="shared" si="16"/>
        <v>B</v>
      </c>
      <c r="M159" s="2" t="s">
        <v>34</v>
      </c>
      <c r="N159" s="2">
        <f t="shared" si="17"/>
        <v>0</v>
      </c>
      <c r="O159" s="2" t="s">
        <v>34</v>
      </c>
      <c r="P159" s="2">
        <v>49</v>
      </c>
    </row>
    <row r="160" ht="23" customHeight="1" spans="1:16">
      <c r="A160" s="6" t="s">
        <v>103</v>
      </c>
      <c r="B160" s="2" t="s">
        <v>15</v>
      </c>
      <c r="C160" s="2" t="s">
        <v>17</v>
      </c>
      <c r="D160" s="2">
        <v>5</v>
      </c>
      <c r="E160" s="6" t="s">
        <v>501</v>
      </c>
      <c r="F160" s="2" t="str">
        <f t="shared" si="12"/>
        <v>A</v>
      </c>
      <c r="G160" s="2">
        <v>5</v>
      </c>
      <c r="H160" s="2" t="str">
        <f t="shared" si="13"/>
        <v>B</v>
      </c>
      <c r="I160" s="2">
        <v>5</v>
      </c>
      <c r="J160" s="2">
        <f t="shared" si="14"/>
        <v>0</v>
      </c>
      <c r="K160" s="2" t="str">
        <f t="shared" si="15"/>
        <v>C</v>
      </c>
      <c r="L160" s="2" t="str">
        <f t="shared" si="16"/>
        <v>D(平局)</v>
      </c>
      <c r="M160" s="2" t="s">
        <v>34</v>
      </c>
      <c r="N160" s="2">
        <f t="shared" si="17"/>
        <v>0</v>
      </c>
      <c r="O160" s="2" t="s">
        <v>27</v>
      </c>
      <c r="P160" s="2">
        <v>40</v>
      </c>
    </row>
    <row r="161" ht="23" customHeight="1" spans="1:16">
      <c r="A161" s="6" t="s">
        <v>103</v>
      </c>
      <c r="B161" s="2" t="s">
        <v>15</v>
      </c>
      <c r="C161" s="2" t="s">
        <v>46</v>
      </c>
      <c r="D161" s="2">
        <v>5</v>
      </c>
      <c r="E161" s="6" t="s">
        <v>501</v>
      </c>
      <c r="F161" s="2" t="str">
        <f t="shared" si="12"/>
        <v>B</v>
      </c>
      <c r="G161" s="2">
        <v>5</v>
      </c>
      <c r="H161" s="2" t="str">
        <f t="shared" si="13"/>
        <v>A</v>
      </c>
      <c r="I161" s="2">
        <v>5</v>
      </c>
      <c r="J161" s="2">
        <f t="shared" si="14"/>
        <v>0</v>
      </c>
      <c r="K161" s="2" t="str">
        <f t="shared" si="15"/>
        <v>C</v>
      </c>
      <c r="L161" s="2" t="str">
        <f t="shared" si="16"/>
        <v>D(平局)</v>
      </c>
      <c r="M161" s="2" t="s">
        <v>34</v>
      </c>
      <c r="N161" s="2">
        <f t="shared" si="17"/>
        <v>0</v>
      </c>
      <c r="O161" s="2" t="s">
        <v>34</v>
      </c>
      <c r="P161" s="2">
        <v>49</v>
      </c>
    </row>
    <row r="162" ht="23" customHeight="1" spans="1:16">
      <c r="A162" s="6" t="s">
        <v>103</v>
      </c>
      <c r="B162" s="2" t="s">
        <v>31</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34</v>
      </c>
      <c r="N162" s="2">
        <f t="shared" si="17"/>
        <v>0</v>
      </c>
      <c r="O162" s="2" t="s">
        <v>34</v>
      </c>
      <c r="P162" s="2">
        <v>43</v>
      </c>
    </row>
    <row r="163" ht="23" customHeight="1" spans="1:16">
      <c r="A163" s="6" t="s">
        <v>103</v>
      </c>
      <c r="B163" s="2" t="s">
        <v>31</v>
      </c>
      <c r="C163" s="2" t="s">
        <v>46</v>
      </c>
      <c r="D163" s="2">
        <v>1</v>
      </c>
      <c r="E163" s="6" t="s">
        <v>497</v>
      </c>
      <c r="F163" s="2" t="str">
        <f t="shared" si="12"/>
        <v>C</v>
      </c>
      <c r="G163" s="2">
        <v>5</v>
      </c>
      <c r="H163" s="2" t="str">
        <f t="shared" si="13"/>
        <v>A</v>
      </c>
      <c r="I163" s="2">
        <v>5</v>
      </c>
      <c r="J163" s="2">
        <f t="shared" si="14"/>
        <v>0</v>
      </c>
      <c r="K163" s="2" t="str">
        <f t="shared" si="15"/>
        <v>C</v>
      </c>
      <c r="L163" s="2" t="str">
        <f t="shared" si="16"/>
        <v>D(平局)</v>
      </c>
      <c r="M163" s="2" t="s">
        <v>34</v>
      </c>
      <c r="N163" s="2">
        <f t="shared" si="17"/>
        <v>0</v>
      </c>
      <c r="O163" s="2" t="s">
        <v>22</v>
      </c>
      <c r="P163" s="2">
        <v>52</v>
      </c>
    </row>
    <row r="164" ht="23" customHeight="1" spans="1:16">
      <c r="A164" s="6" t="s">
        <v>103</v>
      </c>
      <c r="B164" s="2" t="s">
        <v>31</v>
      </c>
      <c r="C164" s="2" t="s">
        <v>17</v>
      </c>
      <c r="D164" s="2">
        <v>2</v>
      </c>
      <c r="E164" s="6" t="s">
        <v>498</v>
      </c>
      <c r="F164" s="2" t="str">
        <f t="shared" si="12"/>
        <v>A</v>
      </c>
      <c r="G164" s="2">
        <v>4</v>
      </c>
      <c r="H164" s="2" t="str">
        <f t="shared" si="13"/>
        <v>C</v>
      </c>
      <c r="I164" s="2">
        <v>2</v>
      </c>
      <c r="J164" s="2">
        <f t="shared" si="14"/>
        <v>2</v>
      </c>
      <c r="K164" s="2" t="str">
        <f t="shared" si="15"/>
        <v>A</v>
      </c>
      <c r="L164" s="2" t="str">
        <f t="shared" si="16"/>
        <v>A</v>
      </c>
      <c r="M164" s="2" t="s">
        <v>34</v>
      </c>
      <c r="N164" s="2">
        <f t="shared" si="17"/>
        <v>1</v>
      </c>
      <c r="O164" s="2" t="s">
        <v>34</v>
      </c>
      <c r="P164" s="2">
        <v>43</v>
      </c>
    </row>
    <row r="165" ht="23" customHeight="1" spans="1:16">
      <c r="A165" s="6" t="s">
        <v>103</v>
      </c>
      <c r="B165" s="2" t="s">
        <v>31</v>
      </c>
      <c r="C165" s="2" t="s">
        <v>46</v>
      </c>
      <c r="D165" s="2">
        <v>2</v>
      </c>
      <c r="E165" s="6" t="s">
        <v>498</v>
      </c>
      <c r="F165" s="2" t="str">
        <f t="shared" si="12"/>
        <v>C</v>
      </c>
      <c r="G165" s="2">
        <v>3</v>
      </c>
      <c r="H165" s="2" t="str">
        <f t="shared" si="13"/>
        <v>A</v>
      </c>
      <c r="I165" s="2">
        <v>4</v>
      </c>
      <c r="J165" s="2">
        <f t="shared" si="14"/>
        <v>-1</v>
      </c>
      <c r="K165" s="2" t="str">
        <f t="shared" si="15"/>
        <v>B</v>
      </c>
      <c r="L165" s="2" t="str">
        <f t="shared" si="16"/>
        <v>A</v>
      </c>
      <c r="M165" s="2" t="s">
        <v>34</v>
      </c>
      <c r="N165" s="2">
        <f t="shared" si="17"/>
        <v>1</v>
      </c>
      <c r="O165" s="2" t="s">
        <v>22</v>
      </c>
      <c r="P165" s="2">
        <v>52</v>
      </c>
    </row>
    <row r="166" ht="23" customHeight="1" spans="1:16">
      <c r="A166" s="6" t="s">
        <v>103</v>
      </c>
      <c r="B166" s="2" t="s">
        <v>31</v>
      </c>
      <c r="C166" s="2" t="s">
        <v>17</v>
      </c>
      <c r="D166" s="2">
        <v>3</v>
      </c>
      <c r="E166" s="6" t="s">
        <v>499</v>
      </c>
      <c r="F166" s="2" t="str">
        <f t="shared" si="12"/>
        <v>A</v>
      </c>
      <c r="G166" s="2">
        <v>5</v>
      </c>
      <c r="H166" s="2" t="str">
        <f t="shared" si="13"/>
        <v>C</v>
      </c>
      <c r="I166" s="2">
        <v>4</v>
      </c>
      <c r="J166" s="2">
        <f t="shared" si="14"/>
        <v>1</v>
      </c>
      <c r="K166" s="2" t="str">
        <f t="shared" si="15"/>
        <v>A</v>
      </c>
      <c r="L166" s="2" t="str">
        <f t="shared" si="16"/>
        <v>A</v>
      </c>
      <c r="M166" s="2" t="s">
        <v>34</v>
      </c>
      <c r="N166" s="2">
        <f t="shared" si="17"/>
        <v>1</v>
      </c>
      <c r="O166" s="2" t="s">
        <v>34</v>
      </c>
      <c r="P166" s="2">
        <v>43</v>
      </c>
    </row>
    <row r="167" ht="23" customHeight="1" spans="1:16">
      <c r="A167" s="6" t="s">
        <v>103</v>
      </c>
      <c r="B167" s="2" t="s">
        <v>31</v>
      </c>
      <c r="C167" s="2" t="s">
        <v>46</v>
      </c>
      <c r="D167" s="2">
        <v>3</v>
      </c>
      <c r="E167" s="6" t="s">
        <v>499</v>
      </c>
      <c r="F167" s="2" t="str">
        <f t="shared" si="12"/>
        <v>C</v>
      </c>
      <c r="G167" s="2">
        <v>5</v>
      </c>
      <c r="H167" s="2" t="str">
        <f t="shared" si="13"/>
        <v>A</v>
      </c>
      <c r="I167" s="2">
        <v>5</v>
      </c>
      <c r="J167" s="2">
        <f t="shared" si="14"/>
        <v>0</v>
      </c>
      <c r="K167" s="2" t="str">
        <f t="shared" si="15"/>
        <v>C</v>
      </c>
      <c r="L167" s="2" t="str">
        <f t="shared" si="16"/>
        <v>D(平局)</v>
      </c>
      <c r="M167" s="2" t="s">
        <v>34</v>
      </c>
      <c r="N167" s="2">
        <f t="shared" si="17"/>
        <v>0</v>
      </c>
      <c r="O167" s="2" t="s">
        <v>22</v>
      </c>
      <c r="P167" s="2">
        <v>52</v>
      </c>
    </row>
    <row r="168" ht="23" customHeight="1" spans="1:16">
      <c r="A168" s="6" t="s">
        <v>103</v>
      </c>
      <c r="B168" s="2" t="s">
        <v>31</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34</v>
      </c>
      <c r="N168" s="2">
        <f t="shared" si="17"/>
        <v>0</v>
      </c>
      <c r="O168" s="2" t="s">
        <v>34</v>
      </c>
      <c r="P168" s="2">
        <v>43</v>
      </c>
    </row>
    <row r="169" ht="23" customHeight="1" spans="1:16">
      <c r="A169" s="6" t="s">
        <v>103</v>
      </c>
      <c r="B169" s="2" t="s">
        <v>31</v>
      </c>
      <c r="C169" s="2" t="s">
        <v>46</v>
      </c>
      <c r="D169" s="2">
        <v>4</v>
      </c>
      <c r="E169" s="6" t="s">
        <v>500</v>
      </c>
      <c r="F169" s="2" t="str">
        <f t="shared" si="12"/>
        <v>C</v>
      </c>
      <c r="G169" s="2">
        <v>5</v>
      </c>
      <c r="H169" s="2" t="str">
        <f t="shared" si="13"/>
        <v>A</v>
      </c>
      <c r="I169" s="2">
        <v>5</v>
      </c>
      <c r="J169" s="2">
        <f t="shared" si="14"/>
        <v>0</v>
      </c>
      <c r="K169" s="2" t="str">
        <f t="shared" si="15"/>
        <v>C</v>
      </c>
      <c r="L169" s="2" t="str">
        <f t="shared" si="16"/>
        <v>D(平局)</v>
      </c>
      <c r="M169" s="2" t="s">
        <v>34</v>
      </c>
      <c r="N169" s="2">
        <f t="shared" si="17"/>
        <v>0</v>
      </c>
      <c r="O169" s="2" t="s">
        <v>22</v>
      </c>
      <c r="P169" s="2">
        <v>52</v>
      </c>
    </row>
    <row r="170" ht="23" customHeight="1" spans="1:16">
      <c r="A170" s="6" t="s">
        <v>103</v>
      </c>
      <c r="B170" s="2" t="s">
        <v>31</v>
      </c>
      <c r="C170" s="2" t="s">
        <v>17</v>
      </c>
      <c r="D170" s="2">
        <v>5</v>
      </c>
      <c r="E170" s="6" t="s">
        <v>501</v>
      </c>
      <c r="F170" s="2" t="str">
        <f t="shared" si="12"/>
        <v>A</v>
      </c>
      <c r="G170" s="2">
        <v>5</v>
      </c>
      <c r="H170" s="2" t="str">
        <f t="shared" si="13"/>
        <v>C</v>
      </c>
      <c r="I170" s="2">
        <v>5</v>
      </c>
      <c r="J170" s="2">
        <f t="shared" si="14"/>
        <v>0</v>
      </c>
      <c r="K170" s="2" t="str">
        <f t="shared" si="15"/>
        <v>C</v>
      </c>
      <c r="L170" s="2" t="str">
        <f t="shared" si="16"/>
        <v>D(平局)</v>
      </c>
      <c r="M170" s="2" t="s">
        <v>34</v>
      </c>
      <c r="N170" s="2">
        <f t="shared" si="17"/>
        <v>0</v>
      </c>
      <c r="O170" s="2" t="s">
        <v>34</v>
      </c>
      <c r="P170" s="2">
        <v>43</v>
      </c>
    </row>
    <row r="171" ht="23" customHeight="1" spans="1:16">
      <c r="A171" s="6" t="s">
        <v>103</v>
      </c>
      <c r="B171" s="2" t="s">
        <v>31</v>
      </c>
      <c r="C171" s="2" t="s">
        <v>46</v>
      </c>
      <c r="D171" s="2">
        <v>5</v>
      </c>
      <c r="E171" s="6" t="s">
        <v>501</v>
      </c>
      <c r="F171" s="2" t="str">
        <f t="shared" si="12"/>
        <v>C</v>
      </c>
      <c r="G171" s="2">
        <v>5</v>
      </c>
      <c r="H171" s="2" t="str">
        <f t="shared" si="13"/>
        <v>A</v>
      </c>
      <c r="I171" s="2">
        <v>5</v>
      </c>
      <c r="J171" s="2">
        <f t="shared" si="14"/>
        <v>0</v>
      </c>
      <c r="K171" s="2" t="str">
        <f t="shared" si="15"/>
        <v>C</v>
      </c>
      <c r="L171" s="2" t="str">
        <f t="shared" si="16"/>
        <v>D(平局)</v>
      </c>
      <c r="M171" s="2" t="s">
        <v>34</v>
      </c>
      <c r="N171" s="2">
        <f t="shared" si="17"/>
        <v>0</v>
      </c>
      <c r="O171" s="2" t="s">
        <v>22</v>
      </c>
      <c r="P171" s="2">
        <v>52</v>
      </c>
    </row>
    <row r="172" ht="23" customHeight="1" spans="1:16">
      <c r="A172" s="6" t="s">
        <v>103</v>
      </c>
      <c r="B172" s="2" t="s">
        <v>39</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22</v>
      </c>
      <c r="N172" s="2">
        <f t="shared" si="17"/>
        <v>0</v>
      </c>
      <c r="O172" s="2" t="s">
        <v>34</v>
      </c>
      <c r="P172" s="2">
        <v>46</v>
      </c>
    </row>
    <row r="173" ht="23" customHeight="1" spans="1:16">
      <c r="A173" s="6" t="s">
        <v>103</v>
      </c>
      <c r="B173" s="2" t="s">
        <v>39</v>
      </c>
      <c r="C173" s="2" t="s">
        <v>46</v>
      </c>
      <c r="D173" s="2">
        <v>1</v>
      </c>
      <c r="E173" s="6" t="s">
        <v>497</v>
      </c>
      <c r="F173" s="2" t="str">
        <f t="shared" si="12"/>
        <v>C</v>
      </c>
      <c r="G173" s="2">
        <v>5</v>
      </c>
      <c r="H173" s="2" t="str">
        <f t="shared" si="13"/>
        <v>B</v>
      </c>
      <c r="I173" s="2">
        <v>5</v>
      </c>
      <c r="J173" s="2">
        <f t="shared" si="14"/>
        <v>0</v>
      </c>
      <c r="K173" s="2" t="str">
        <f t="shared" si="15"/>
        <v>C</v>
      </c>
      <c r="L173" s="2" t="str">
        <f t="shared" si="16"/>
        <v>D(平局)</v>
      </c>
      <c r="M173" s="2" t="s">
        <v>22</v>
      </c>
      <c r="N173" s="2">
        <f t="shared" si="17"/>
        <v>0</v>
      </c>
      <c r="O173" s="2" t="s">
        <v>22</v>
      </c>
      <c r="P173" s="2">
        <v>55</v>
      </c>
    </row>
    <row r="174" ht="23" customHeight="1" spans="1:16">
      <c r="A174" s="6" t="s">
        <v>103</v>
      </c>
      <c r="B174" s="2" t="s">
        <v>39</v>
      </c>
      <c r="C174" s="2" t="s">
        <v>17</v>
      </c>
      <c r="D174" s="2">
        <v>2</v>
      </c>
      <c r="E174" s="6" t="s">
        <v>498</v>
      </c>
      <c r="F174" s="2" t="str">
        <f t="shared" si="12"/>
        <v>B</v>
      </c>
      <c r="G174" s="2">
        <v>4</v>
      </c>
      <c r="H174" s="2" t="str">
        <f t="shared" si="13"/>
        <v>C</v>
      </c>
      <c r="I174" s="2">
        <v>3</v>
      </c>
      <c r="J174" s="2">
        <f t="shared" si="14"/>
        <v>1</v>
      </c>
      <c r="K174" s="2" t="str">
        <f t="shared" si="15"/>
        <v>A</v>
      </c>
      <c r="L174" s="2" t="str">
        <f t="shared" si="16"/>
        <v>B</v>
      </c>
      <c r="M174" s="2" t="s">
        <v>22</v>
      </c>
      <c r="N174" s="2">
        <f t="shared" si="17"/>
        <v>1</v>
      </c>
      <c r="O174" s="2" t="s">
        <v>34</v>
      </c>
      <c r="P174" s="2">
        <v>46</v>
      </c>
    </row>
    <row r="175" ht="23" customHeight="1" spans="1:16">
      <c r="A175" s="6" t="s">
        <v>103</v>
      </c>
      <c r="B175" s="2" t="s">
        <v>39</v>
      </c>
      <c r="C175" s="2" t="s">
        <v>46</v>
      </c>
      <c r="D175" s="2">
        <v>2</v>
      </c>
      <c r="E175" s="6" t="s">
        <v>498</v>
      </c>
      <c r="F175" s="2" t="str">
        <f t="shared" si="12"/>
        <v>C</v>
      </c>
      <c r="G175" s="2">
        <v>2</v>
      </c>
      <c r="H175" s="2" t="str">
        <f t="shared" si="13"/>
        <v>B</v>
      </c>
      <c r="I175" s="2">
        <v>4</v>
      </c>
      <c r="J175" s="2">
        <f t="shared" si="14"/>
        <v>-2</v>
      </c>
      <c r="K175" s="2" t="str">
        <f t="shared" si="15"/>
        <v>B</v>
      </c>
      <c r="L175" s="2" t="str">
        <f t="shared" si="16"/>
        <v>B</v>
      </c>
      <c r="M175" s="2" t="s">
        <v>22</v>
      </c>
      <c r="N175" s="2">
        <f t="shared" si="17"/>
        <v>1</v>
      </c>
      <c r="O175" s="2" t="s">
        <v>22</v>
      </c>
      <c r="P175" s="2">
        <v>55</v>
      </c>
    </row>
    <row r="176" ht="23" customHeight="1" spans="1:16">
      <c r="A176" s="6" t="s">
        <v>103</v>
      </c>
      <c r="B176" s="2" t="s">
        <v>39</v>
      </c>
      <c r="C176" s="2" t="s">
        <v>17</v>
      </c>
      <c r="D176" s="2">
        <v>3</v>
      </c>
      <c r="E176" s="6" t="s">
        <v>499</v>
      </c>
      <c r="F176" s="2" t="str">
        <f t="shared" si="12"/>
        <v>B</v>
      </c>
      <c r="G176" s="2">
        <v>5</v>
      </c>
      <c r="H176" s="2" t="str">
        <f t="shared" si="13"/>
        <v>C</v>
      </c>
      <c r="I176" s="2">
        <v>4</v>
      </c>
      <c r="J176" s="2">
        <f t="shared" si="14"/>
        <v>1</v>
      </c>
      <c r="K176" s="2" t="str">
        <f t="shared" si="15"/>
        <v>A</v>
      </c>
      <c r="L176" s="2" t="str">
        <f t="shared" si="16"/>
        <v>B</v>
      </c>
      <c r="M176" s="2" t="s">
        <v>22</v>
      </c>
      <c r="N176" s="2">
        <f t="shared" si="17"/>
        <v>1</v>
      </c>
      <c r="O176" s="2" t="s">
        <v>34</v>
      </c>
      <c r="P176" s="2">
        <v>46</v>
      </c>
    </row>
    <row r="177" ht="23" customHeight="1" spans="1:16">
      <c r="A177" s="6" t="s">
        <v>103</v>
      </c>
      <c r="B177" s="2" t="s">
        <v>39</v>
      </c>
      <c r="C177" s="2" t="s">
        <v>46</v>
      </c>
      <c r="D177" s="2">
        <v>3</v>
      </c>
      <c r="E177" s="6" t="s">
        <v>499</v>
      </c>
      <c r="F177" s="2" t="str">
        <f t="shared" si="12"/>
        <v>C</v>
      </c>
      <c r="G177" s="2">
        <v>4</v>
      </c>
      <c r="H177" s="2" t="str">
        <f t="shared" si="13"/>
        <v>B</v>
      </c>
      <c r="I177" s="2">
        <v>5</v>
      </c>
      <c r="J177" s="2">
        <f t="shared" si="14"/>
        <v>-1</v>
      </c>
      <c r="K177" s="2" t="str">
        <f t="shared" si="15"/>
        <v>B</v>
      </c>
      <c r="L177" s="2" t="str">
        <f t="shared" si="16"/>
        <v>B</v>
      </c>
      <c r="M177" s="2" t="s">
        <v>22</v>
      </c>
      <c r="N177" s="2">
        <f t="shared" si="17"/>
        <v>1</v>
      </c>
      <c r="O177" s="2" t="s">
        <v>22</v>
      </c>
      <c r="P177" s="2">
        <v>55</v>
      </c>
    </row>
    <row r="178" ht="23" customHeight="1" spans="1:16">
      <c r="A178" s="6" t="s">
        <v>103</v>
      </c>
      <c r="B178" s="2" t="s">
        <v>39</v>
      </c>
      <c r="C178" s="2" t="s">
        <v>17</v>
      </c>
      <c r="D178" s="2">
        <v>4</v>
      </c>
      <c r="E178" s="6" t="s">
        <v>500</v>
      </c>
      <c r="F178" s="2" t="str">
        <f t="shared" si="12"/>
        <v>B</v>
      </c>
      <c r="G178" s="2">
        <v>5</v>
      </c>
      <c r="H178" s="2" t="str">
        <f t="shared" si="13"/>
        <v>C</v>
      </c>
      <c r="I178" s="2">
        <v>5</v>
      </c>
      <c r="J178" s="2">
        <f t="shared" si="14"/>
        <v>0</v>
      </c>
      <c r="K178" s="2" t="str">
        <f t="shared" si="15"/>
        <v>C</v>
      </c>
      <c r="L178" s="2" t="str">
        <f t="shared" si="16"/>
        <v>D(平局)</v>
      </c>
      <c r="M178" s="2" t="s">
        <v>22</v>
      </c>
      <c r="N178" s="2">
        <f t="shared" si="17"/>
        <v>0</v>
      </c>
      <c r="O178" s="2" t="s">
        <v>34</v>
      </c>
      <c r="P178" s="2">
        <v>46</v>
      </c>
    </row>
    <row r="179" ht="23" customHeight="1" spans="1:16">
      <c r="A179" s="6" t="s">
        <v>103</v>
      </c>
      <c r="B179" s="2" t="s">
        <v>39</v>
      </c>
      <c r="C179" s="2" t="s">
        <v>46</v>
      </c>
      <c r="D179" s="2">
        <v>4</v>
      </c>
      <c r="E179" s="6" t="s">
        <v>500</v>
      </c>
      <c r="F179" s="2" t="str">
        <f t="shared" si="12"/>
        <v>C</v>
      </c>
      <c r="G179" s="2">
        <v>4</v>
      </c>
      <c r="H179" s="2" t="str">
        <f t="shared" si="13"/>
        <v>B</v>
      </c>
      <c r="I179" s="2">
        <v>4</v>
      </c>
      <c r="J179" s="2">
        <f t="shared" si="14"/>
        <v>0</v>
      </c>
      <c r="K179" s="2" t="str">
        <f t="shared" si="15"/>
        <v>C</v>
      </c>
      <c r="L179" s="2" t="str">
        <f t="shared" si="16"/>
        <v>D(平局)</v>
      </c>
      <c r="M179" s="2" t="s">
        <v>22</v>
      </c>
      <c r="N179" s="2">
        <f t="shared" si="17"/>
        <v>0</v>
      </c>
      <c r="O179" s="2" t="s">
        <v>22</v>
      </c>
      <c r="P179" s="2">
        <v>55</v>
      </c>
    </row>
    <row r="180" ht="23" customHeight="1" spans="1:16">
      <c r="A180" s="6" t="s">
        <v>103</v>
      </c>
      <c r="B180" s="2" t="s">
        <v>39</v>
      </c>
      <c r="C180" s="2" t="s">
        <v>17</v>
      </c>
      <c r="D180" s="2">
        <v>5</v>
      </c>
      <c r="E180" s="6" t="s">
        <v>501</v>
      </c>
      <c r="F180" s="2" t="str">
        <f t="shared" si="12"/>
        <v>B</v>
      </c>
      <c r="G180" s="2">
        <v>5</v>
      </c>
      <c r="H180" s="2" t="str">
        <f t="shared" si="13"/>
        <v>C</v>
      </c>
      <c r="I180" s="2">
        <v>5</v>
      </c>
      <c r="J180" s="2">
        <f t="shared" si="14"/>
        <v>0</v>
      </c>
      <c r="K180" s="2" t="str">
        <f t="shared" si="15"/>
        <v>C</v>
      </c>
      <c r="L180" s="2" t="str">
        <f t="shared" si="16"/>
        <v>D(平局)</v>
      </c>
      <c r="M180" s="2" t="s">
        <v>22</v>
      </c>
      <c r="N180" s="2">
        <f t="shared" si="17"/>
        <v>0</v>
      </c>
      <c r="O180" s="2" t="s">
        <v>34</v>
      </c>
      <c r="P180" s="2">
        <v>46</v>
      </c>
    </row>
    <row r="181" ht="23" customHeight="1" spans="1:16">
      <c r="A181" s="6" t="s">
        <v>103</v>
      </c>
      <c r="B181" s="2" t="s">
        <v>39</v>
      </c>
      <c r="C181" s="2" t="s">
        <v>46</v>
      </c>
      <c r="D181" s="2">
        <v>5</v>
      </c>
      <c r="E181" s="6" t="s">
        <v>501</v>
      </c>
      <c r="F181" s="2" t="str">
        <f t="shared" si="12"/>
        <v>C</v>
      </c>
      <c r="G181" s="2">
        <v>5</v>
      </c>
      <c r="H181" s="2" t="str">
        <f t="shared" si="13"/>
        <v>B</v>
      </c>
      <c r="I181" s="2">
        <v>5</v>
      </c>
      <c r="J181" s="2">
        <f t="shared" si="14"/>
        <v>0</v>
      </c>
      <c r="K181" s="2" t="str">
        <f t="shared" si="15"/>
        <v>C</v>
      </c>
      <c r="L181" s="2" t="str">
        <f t="shared" si="16"/>
        <v>D(平局)</v>
      </c>
      <c r="M181" s="2" t="s">
        <v>22</v>
      </c>
      <c r="N181" s="2">
        <f t="shared" si="17"/>
        <v>0</v>
      </c>
      <c r="O181" s="2" t="s">
        <v>22</v>
      </c>
      <c r="P181" s="2">
        <v>55</v>
      </c>
    </row>
    <row r="182" ht="23" customHeight="1" spans="1:16">
      <c r="A182" s="6" t="s">
        <v>65</v>
      </c>
      <c r="B182" s="2" t="s">
        <v>15</v>
      </c>
      <c r="C182" s="2" t="s">
        <v>17</v>
      </c>
      <c r="D182" s="2">
        <v>1</v>
      </c>
      <c r="E182" s="6" t="s">
        <v>497</v>
      </c>
      <c r="F182" s="2" t="str">
        <f t="shared" si="12"/>
        <v>A</v>
      </c>
      <c r="G182" s="2">
        <v>5</v>
      </c>
      <c r="H182" s="2" t="str">
        <f t="shared" si="13"/>
        <v>B</v>
      </c>
      <c r="I182" s="2">
        <v>4</v>
      </c>
      <c r="J182" s="2">
        <f t="shared" si="14"/>
        <v>1</v>
      </c>
      <c r="K182" s="2" t="str">
        <f t="shared" si="15"/>
        <v>A</v>
      </c>
      <c r="L182" s="2" t="str">
        <f t="shared" si="16"/>
        <v>A</v>
      </c>
      <c r="M182" s="2" t="s">
        <v>34</v>
      </c>
      <c r="N182" s="2">
        <f t="shared" si="17"/>
        <v>1</v>
      </c>
      <c r="O182" s="2" t="s">
        <v>34</v>
      </c>
      <c r="P182" s="2">
        <v>22</v>
      </c>
    </row>
    <row r="183" ht="23" customHeight="1" spans="1:16">
      <c r="A183" s="6" t="s">
        <v>65</v>
      </c>
      <c r="B183" s="2" t="s">
        <v>15</v>
      </c>
      <c r="C183" s="2" t="s">
        <v>46</v>
      </c>
      <c r="D183" s="2">
        <v>1</v>
      </c>
      <c r="E183" s="6" t="s">
        <v>497</v>
      </c>
      <c r="F183" s="2" t="str">
        <f t="shared" si="12"/>
        <v>B</v>
      </c>
      <c r="G183" s="2">
        <v>4</v>
      </c>
      <c r="H183" s="2" t="str">
        <f t="shared" si="13"/>
        <v>A</v>
      </c>
      <c r="I183" s="2">
        <v>5</v>
      </c>
      <c r="J183" s="2">
        <f t="shared" si="14"/>
        <v>-1</v>
      </c>
      <c r="K183" s="2" t="str">
        <f t="shared" si="15"/>
        <v>B</v>
      </c>
      <c r="L183" s="2" t="str">
        <f t="shared" si="16"/>
        <v>A</v>
      </c>
      <c r="M183" s="2" t="s">
        <v>34</v>
      </c>
      <c r="N183" s="2">
        <f t="shared" si="17"/>
        <v>1</v>
      </c>
      <c r="O183" s="2" t="s">
        <v>22</v>
      </c>
      <c r="P183" s="2">
        <v>31</v>
      </c>
    </row>
    <row r="184" ht="23" customHeight="1" spans="1:16">
      <c r="A184" s="6" t="s">
        <v>65</v>
      </c>
      <c r="B184" s="2" t="s">
        <v>15</v>
      </c>
      <c r="C184" s="2" t="s">
        <v>17</v>
      </c>
      <c r="D184" s="2">
        <v>2</v>
      </c>
      <c r="E184" s="6" t="s">
        <v>498</v>
      </c>
      <c r="F184" s="2" t="str">
        <f t="shared" si="12"/>
        <v>A</v>
      </c>
      <c r="G184" s="2">
        <v>4</v>
      </c>
      <c r="H184" s="2" t="str">
        <f t="shared" si="13"/>
        <v>B</v>
      </c>
      <c r="I184" s="2">
        <v>2</v>
      </c>
      <c r="J184" s="2">
        <f t="shared" si="14"/>
        <v>2</v>
      </c>
      <c r="K184" s="2" t="str">
        <f t="shared" si="15"/>
        <v>A</v>
      </c>
      <c r="L184" s="2" t="str">
        <f t="shared" si="16"/>
        <v>A</v>
      </c>
      <c r="M184" s="2" t="s">
        <v>34</v>
      </c>
      <c r="N184" s="2">
        <f t="shared" si="17"/>
        <v>1</v>
      </c>
      <c r="O184" s="2" t="s">
        <v>34</v>
      </c>
      <c r="P184" s="2">
        <v>22</v>
      </c>
    </row>
    <row r="185" ht="23" customHeight="1" spans="1:16">
      <c r="A185" s="6" t="s">
        <v>65</v>
      </c>
      <c r="B185" s="2" t="s">
        <v>15</v>
      </c>
      <c r="C185" s="2" t="s">
        <v>46</v>
      </c>
      <c r="D185" s="2">
        <v>2</v>
      </c>
      <c r="E185" s="6" t="s">
        <v>498</v>
      </c>
      <c r="F185" s="2" t="str">
        <f t="shared" si="12"/>
        <v>B</v>
      </c>
      <c r="G185" s="2">
        <v>3</v>
      </c>
      <c r="H185" s="2" t="str">
        <f t="shared" si="13"/>
        <v>A</v>
      </c>
      <c r="I185" s="2">
        <v>5</v>
      </c>
      <c r="J185" s="2">
        <f t="shared" si="14"/>
        <v>-2</v>
      </c>
      <c r="K185" s="2" t="str">
        <f t="shared" si="15"/>
        <v>B</v>
      </c>
      <c r="L185" s="2" t="str">
        <f t="shared" si="16"/>
        <v>A</v>
      </c>
      <c r="M185" s="2" t="s">
        <v>34</v>
      </c>
      <c r="N185" s="2">
        <f t="shared" si="17"/>
        <v>1</v>
      </c>
      <c r="O185" s="2" t="s">
        <v>22</v>
      </c>
      <c r="P185" s="2">
        <v>31</v>
      </c>
    </row>
    <row r="186" ht="23" customHeight="1" spans="1:16">
      <c r="A186" s="6" t="s">
        <v>65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34</v>
      </c>
      <c r="N186" s="2">
        <f t="shared" si="17"/>
        <v>0</v>
      </c>
      <c r="O186" s="2" t="s">
        <v>34</v>
      </c>
      <c r="P186" s="2">
        <v>22</v>
      </c>
    </row>
    <row r="187" ht="23" customHeight="1" spans="1:16">
      <c r="A187" s="6" t="s">
        <v>65</v>
      </c>
      <c r="B187" s="2" t="s">
        <v>15</v>
      </c>
      <c r="C187" s="2" t="s">
        <v>46</v>
      </c>
      <c r="D187" s="2">
        <v>3</v>
      </c>
      <c r="E187" s="6" t="s">
        <v>499</v>
      </c>
      <c r="F187" s="2" t="str">
        <f t="shared" si="12"/>
        <v>B</v>
      </c>
      <c r="G187" s="2">
        <v>5</v>
      </c>
      <c r="H187" s="2" t="str">
        <f t="shared" si="13"/>
        <v>A</v>
      </c>
      <c r="I187" s="2">
        <v>4</v>
      </c>
      <c r="J187" s="2">
        <f t="shared" si="14"/>
        <v>1</v>
      </c>
      <c r="K187" s="2" t="str">
        <f t="shared" si="15"/>
        <v>A</v>
      </c>
      <c r="L187" s="2" t="str">
        <f t="shared" si="16"/>
        <v>B</v>
      </c>
      <c r="M187" s="2" t="s">
        <v>34</v>
      </c>
      <c r="N187" s="2">
        <f t="shared" si="17"/>
        <v>0</v>
      </c>
      <c r="O187" s="2" t="s">
        <v>22</v>
      </c>
      <c r="P187" s="2">
        <v>31</v>
      </c>
    </row>
    <row r="188" ht="23" customHeight="1" spans="1:16">
      <c r="A188" s="6" t="s">
        <v>65</v>
      </c>
      <c r="B188" s="2" t="s">
        <v>15</v>
      </c>
      <c r="C188" s="2" t="s">
        <v>17</v>
      </c>
      <c r="D188" s="2">
        <v>4</v>
      </c>
      <c r="E188" s="6" t="s">
        <v>500</v>
      </c>
      <c r="F188" s="2" t="str">
        <f t="shared" si="12"/>
        <v>A</v>
      </c>
      <c r="G188" s="2">
        <v>5</v>
      </c>
      <c r="H188" s="2" t="str">
        <f t="shared" si="13"/>
        <v>B</v>
      </c>
      <c r="I188" s="2">
        <v>4</v>
      </c>
      <c r="J188" s="2">
        <f t="shared" si="14"/>
        <v>1</v>
      </c>
      <c r="K188" s="2" t="str">
        <f t="shared" si="15"/>
        <v>A</v>
      </c>
      <c r="L188" s="2" t="str">
        <f t="shared" si="16"/>
        <v>A</v>
      </c>
      <c r="M188" s="2" t="s">
        <v>34</v>
      </c>
      <c r="N188" s="2">
        <f t="shared" si="17"/>
        <v>1</v>
      </c>
      <c r="O188" s="2" t="s">
        <v>34</v>
      </c>
      <c r="P188" s="2">
        <v>22</v>
      </c>
    </row>
    <row r="189" ht="23" customHeight="1" spans="1:16">
      <c r="A189" s="6" t="s">
        <v>65</v>
      </c>
      <c r="B189" s="2" t="s">
        <v>15</v>
      </c>
      <c r="C189" s="2" t="s">
        <v>46</v>
      </c>
      <c r="D189" s="2">
        <v>4</v>
      </c>
      <c r="E189" s="6" t="s">
        <v>500</v>
      </c>
      <c r="F189" s="2" t="str">
        <f t="shared" si="12"/>
        <v>B</v>
      </c>
      <c r="G189" s="2">
        <v>4</v>
      </c>
      <c r="H189" s="2" t="str">
        <f t="shared" si="13"/>
        <v>A</v>
      </c>
      <c r="I189" s="2">
        <v>5</v>
      </c>
      <c r="J189" s="2">
        <f t="shared" si="14"/>
        <v>-1</v>
      </c>
      <c r="K189" s="2" t="str">
        <f t="shared" si="15"/>
        <v>B</v>
      </c>
      <c r="L189" s="2" t="str">
        <f t="shared" si="16"/>
        <v>A</v>
      </c>
      <c r="M189" s="2" t="s">
        <v>34</v>
      </c>
      <c r="N189" s="2">
        <f t="shared" si="17"/>
        <v>1</v>
      </c>
      <c r="O189" s="2" t="s">
        <v>22</v>
      </c>
      <c r="P189" s="2">
        <v>31</v>
      </c>
    </row>
    <row r="190" ht="23" customHeight="1" spans="1:16">
      <c r="A190" s="6" t="s">
        <v>65</v>
      </c>
      <c r="B190" s="2" t="s">
        <v>15</v>
      </c>
      <c r="C190" s="2" t="s">
        <v>17</v>
      </c>
      <c r="D190" s="2">
        <v>5</v>
      </c>
      <c r="E190" s="6" t="s">
        <v>501</v>
      </c>
      <c r="F190" s="2" t="str">
        <f t="shared" si="12"/>
        <v>A</v>
      </c>
      <c r="G190" s="2">
        <v>4</v>
      </c>
      <c r="H190" s="2" t="str">
        <f t="shared" si="13"/>
        <v>B</v>
      </c>
      <c r="I190" s="2">
        <v>4</v>
      </c>
      <c r="J190" s="2">
        <f t="shared" si="14"/>
        <v>0</v>
      </c>
      <c r="K190" s="2" t="str">
        <f t="shared" si="15"/>
        <v>C</v>
      </c>
      <c r="L190" s="2" t="str">
        <f t="shared" si="16"/>
        <v>D(平局)</v>
      </c>
      <c r="M190" s="2" t="s">
        <v>34</v>
      </c>
      <c r="N190" s="2">
        <f t="shared" si="17"/>
        <v>0</v>
      </c>
      <c r="O190" s="2" t="s">
        <v>34</v>
      </c>
      <c r="P190" s="2">
        <v>22</v>
      </c>
    </row>
    <row r="191" ht="23" customHeight="1" spans="1:16">
      <c r="A191" s="6" t="s">
        <v>65</v>
      </c>
      <c r="B191" s="2" t="s">
        <v>15</v>
      </c>
      <c r="C191" s="2" t="s">
        <v>46</v>
      </c>
      <c r="D191" s="2">
        <v>5</v>
      </c>
      <c r="E191" s="6" t="s">
        <v>501</v>
      </c>
      <c r="F191" s="2" t="str">
        <f t="shared" si="12"/>
        <v>B</v>
      </c>
      <c r="G191" s="2">
        <v>4</v>
      </c>
      <c r="H191" s="2" t="str">
        <f t="shared" si="13"/>
        <v>A</v>
      </c>
      <c r="I191" s="2">
        <v>5</v>
      </c>
      <c r="J191" s="2">
        <f t="shared" si="14"/>
        <v>-1</v>
      </c>
      <c r="K191" s="2" t="str">
        <f t="shared" si="15"/>
        <v>B</v>
      </c>
      <c r="L191" s="2" t="str">
        <f t="shared" si="16"/>
        <v>A</v>
      </c>
      <c r="M191" s="2" t="s">
        <v>34</v>
      </c>
      <c r="N191" s="2">
        <f t="shared" si="17"/>
        <v>1</v>
      </c>
      <c r="O191" s="2" t="s">
        <v>22</v>
      </c>
      <c r="P191" s="2">
        <v>31</v>
      </c>
    </row>
    <row r="192" ht="23" customHeight="1" spans="1:16">
      <c r="A192" s="6" t="s">
        <v>65</v>
      </c>
      <c r="B192" s="2" t="s">
        <v>31</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34</v>
      </c>
      <c r="N192" s="2">
        <f t="shared" si="17"/>
        <v>0</v>
      </c>
      <c r="O192" s="2" t="s">
        <v>34</v>
      </c>
      <c r="P192" s="2">
        <v>25</v>
      </c>
    </row>
    <row r="193" ht="23" customHeight="1" spans="1:16">
      <c r="A193" s="6" t="s">
        <v>65</v>
      </c>
      <c r="B193" s="2" t="s">
        <v>31</v>
      </c>
      <c r="C193" s="2" t="s">
        <v>46</v>
      </c>
      <c r="D193" s="2">
        <v>1</v>
      </c>
      <c r="E193" s="6" t="s">
        <v>497</v>
      </c>
      <c r="F193" s="2" t="str">
        <f t="shared" si="12"/>
        <v>C</v>
      </c>
      <c r="G193" s="2">
        <v>5</v>
      </c>
      <c r="H193" s="2" t="str">
        <f t="shared" si="13"/>
        <v>A</v>
      </c>
      <c r="I193" s="2">
        <v>5</v>
      </c>
      <c r="J193" s="2">
        <f t="shared" si="14"/>
        <v>0</v>
      </c>
      <c r="K193" s="2" t="str">
        <f t="shared" si="15"/>
        <v>C</v>
      </c>
      <c r="L193" s="2" t="str">
        <f t="shared" si="16"/>
        <v>D(平局)</v>
      </c>
      <c r="M193" s="2" t="s">
        <v>34</v>
      </c>
      <c r="N193" s="2">
        <f t="shared" si="17"/>
        <v>0</v>
      </c>
      <c r="O193" s="2" t="s">
        <v>22</v>
      </c>
      <c r="P193" s="2">
        <v>34</v>
      </c>
    </row>
    <row r="194" ht="23" customHeight="1" spans="1:16">
      <c r="A194" s="6" t="s">
        <v>65</v>
      </c>
      <c r="B194" s="2" t="s">
        <v>31</v>
      </c>
      <c r="C194" s="2" t="s">
        <v>17</v>
      </c>
      <c r="D194" s="2">
        <v>2</v>
      </c>
      <c r="E194" s="6" t="s">
        <v>498</v>
      </c>
      <c r="F194" s="2" t="str">
        <f t="shared" ref="F194:F257" si="18">IF(C194="l2r",LEFT(B194,1),RIGHT(B194,1))</f>
        <v>A</v>
      </c>
      <c r="G194" s="2">
        <v>5</v>
      </c>
      <c r="H194" s="2" t="str">
        <f t="shared" ref="H194:H257" si="19">IF(C194="l2r",RIGHT(B194,1),LEFT(B194,1))</f>
        <v>C</v>
      </c>
      <c r="I194" s="2">
        <v>3</v>
      </c>
      <c r="J194" s="2">
        <f t="shared" ref="J194:J257" si="20">G194-I194</f>
        <v>2</v>
      </c>
      <c r="K194" s="2" t="str">
        <f t="shared" ref="K194:K257" si="21">IF(J194=0,"C",IF(J194&gt;0,"A","B"))</f>
        <v>A</v>
      </c>
      <c r="L194" s="2" t="str">
        <f t="shared" ref="L194:L257" si="22">IF(J194=0,"D(平局)",IF(J194&gt;0,F194,H194))</f>
        <v>A</v>
      </c>
      <c r="M194" s="2" t="s">
        <v>34</v>
      </c>
      <c r="N194" s="2">
        <f t="shared" ref="N194:N257" si="23">--(L194=M194)</f>
        <v>1</v>
      </c>
      <c r="O194" s="2" t="s">
        <v>34</v>
      </c>
      <c r="P194" s="2">
        <v>25</v>
      </c>
    </row>
    <row r="195" ht="23" customHeight="1" spans="1:16">
      <c r="A195" s="6" t="s">
        <v>65</v>
      </c>
      <c r="B195" s="2" t="s">
        <v>31</v>
      </c>
      <c r="C195" s="2" t="s">
        <v>46</v>
      </c>
      <c r="D195" s="2">
        <v>2</v>
      </c>
      <c r="E195" s="6" t="s">
        <v>498</v>
      </c>
      <c r="F195" s="2" t="str">
        <f t="shared" si="18"/>
        <v>C</v>
      </c>
      <c r="G195" s="2">
        <v>4</v>
      </c>
      <c r="H195" s="2" t="str">
        <f t="shared" si="19"/>
        <v>A</v>
      </c>
      <c r="I195" s="2">
        <v>5</v>
      </c>
      <c r="J195" s="2">
        <f t="shared" si="20"/>
        <v>-1</v>
      </c>
      <c r="K195" s="2" t="str">
        <f t="shared" si="21"/>
        <v>B</v>
      </c>
      <c r="L195" s="2" t="str">
        <f t="shared" si="22"/>
        <v>A</v>
      </c>
      <c r="M195" s="2" t="s">
        <v>34</v>
      </c>
      <c r="N195" s="2">
        <f t="shared" si="23"/>
        <v>1</v>
      </c>
      <c r="O195" s="2" t="s">
        <v>22</v>
      </c>
      <c r="P195" s="2">
        <v>34</v>
      </c>
    </row>
    <row r="196" ht="23" customHeight="1" spans="1:16">
      <c r="A196" s="6" t="s">
        <v>65</v>
      </c>
      <c r="B196" s="2" t="s">
        <v>31</v>
      </c>
      <c r="C196" s="2" t="s">
        <v>17</v>
      </c>
      <c r="D196" s="2">
        <v>3</v>
      </c>
      <c r="E196" s="6" t="s">
        <v>499</v>
      </c>
      <c r="F196" s="2" t="str">
        <f t="shared" si="18"/>
        <v>A</v>
      </c>
      <c r="G196" s="2">
        <v>5</v>
      </c>
      <c r="H196" s="2" t="str">
        <f t="shared" si="19"/>
        <v>C</v>
      </c>
      <c r="I196" s="2">
        <v>4</v>
      </c>
      <c r="J196" s="2">
        <f t="shared" si="20"/>
        <v>1</v>
      </c>
      <c r="K196" s="2" t="str">
        <f t="shared" si="21"/>
        <v>A</v>
      </c>
      <c r="L196" s="2" t="str">
        <f t="shared" si="22"/>
        <v>A</v>
      </c>
      <c r="M196" s="2" t="s">
        <v>34</v>
      </c>
      <c r="N196" s="2">
        <f t="shared" si="23"/>
        <v>1</v>
      </c>
      <c r="O196" s="2" t="s">
        <v>34</v>
      </c>
      <c r="P196" s="2">
        <v>25</v>
      </c>
    </row>
    <row r="197" ht="23" customHeight="1" spans="1:16">
      <c r="A197" s="6" t="s">
        <v>65</v>
      </c>
      <c r="B197" s="2" t="s">
        <v>31</v>
      </c>
      <c r="C197" s="2" t="s">
        <v>46</v>
      </c>
      <c r="D197" s="2">
        <v>3</v>
      </c>
      <c r="E197" s="6" t="s">
        <v>499</v>
      </c>
      <c r="F197" s="2" t="str">
        <f t="shared" si="18"/>
        <v>C</v>
      </c>
      <c r="G197" s="2">
        <v>4</v>
      </c>
      <c r="H197" s="2" t="str">
        <f t="shared" si="19"/>
        <v>A</v>
      </c>
      <c r="I197" s="2">
        <v>5</v>
      </c>
      <c r="J197" s="2">
        <f t="shared" si="20"/>
        <v>-1</v>
      </c>
      <c r="K197" s="2" t="str">
        <f t="shared" si="21"/>
        <v>B</v>
      </c>
      <c r="L197" s="2" t="str">
        <f t="shared" si="22"/>
        <v>A</v>
      </c>
      <c r="M197" s="2" t="s">
        <v>34</v>
      </c>
      <c r="N197" s="2">
        <f t="shared" si="23"/>
        <v>1</v>
      </c>
      <c r="O197" s="2" t="s">
        <v>22</v>
      </c>
      <c r="P197" s="2">
        <v>34</v>
      </c>
    </row>
    <row r="198" ht="23" customHeight="1" spans="1:16">
      <c r="A198" s="6" t="s">
        <v>65</v>
      </c>
      <c r="B198" s="2" t="s">
        <v>31</v>
      </c>
      <c r="C198" s="2" t="s">
        <v>17</v>
      </c>
      <c r="D198" s="2">
        <v>4</v>
      </c>
      <c r="E198" s="6" t="s">
        <v>500</v>
      </c>
      <c r="F198" s="2" t="str">
        <f t="shared" si="18"/>
        <v>A</v>
      </c>
      <c r="G198" s="2">
        <v>5</v>
      </c>
      <c r="H198" s="2" t="str">
        <f t="shared" si="19"/>
        <v>C</v>
      </c>
      <c r="I198" s="2">
        <v>4</v>
      </c>
      <c r="J198" s="2">
        <f t="shared" si="20"/>
        <v>1</v>
      </c>
      <c r="K198" s="2" t="str">
        <f t="shared" si="21"/>
        <v>A</v>
      </c>
      <c r="L198" s="2" t="str">
        <f t="shared" si="22"/>
        <v>A</v>
      </c>
      <c r="M198" s="2" t="s">
        <v>34</v>
      </c>
      <c r="N198" s="2">
        <f t="shared" si="23"/>
        <v>1</v>
      </c>
      <c r="O198" s="2" t="s">
        <v>34</v>
      </c>
      <c r="P198" s="2">
        <v>25</v>
      </c>
    </row>
    <row r="199" ht="23" customHeight="1" spans="1:16">
      <c r="A199" s="6" t="s">
        <v>65</v>
      </c>
      <c r="B199" s="2" t="s">
        <v>31</v>
      </c>
      <c r="C199" s="2" t="s">
        <v>46</v>
      </c>
      <c r="D199" s="2">
        <v>4</v>
      </c>
      <c r="E199" s="6" t="s">
        <v>500</v>
      </c>
      <c r="F199" s="2" t="str">
        <f t="shared" si="18"/>
        <v>C</v>
      </c>
      <c r="G199" s="2">
        <v>5</v>
      </c>
      <c r="H199" s="2" t="str">
        <f t="shared" si="19"/>
        <v>A</v>
      </c>
      <c r="I199" s="2">
        <v>5</v>
      </c>
      <c r="J199" s="2">
        <f t="shared" si="20"/>
        <v>0</v>
      </c>
      <c r="K199" s="2" t="str">
        <f t="shared" si="21"/>
        <v>C</v>
      </c>
      <c r="L199" s="2" t="str">
        <f t="shared" si="22"/>
        <v>D(平局)</v>
      </c>
      <c r="M199" s="2" t="s">
        <v>34</v>
      </c>
      <c r="N199" s="2">
        <f t="shared" si="23"/>
        <v>0</v>
      </c>
      <c r="O199" s="2" t="s">
        <v>22</v>
      </c>
      <c r="P199" s="2">
        <v>34</v>
      </c>
    </row>
    <row r="200" ht="23" customHeight="1" spans="1:16">
      <c r="A200" s="6" t="s">
        <v>65</v>
      </c>
      <c r="B200" s="2" t="s">
        <v>31</v>
      </c>
      <c r="C200" s="2" t="s">
        <v>17</v>
      </c>
      <c r="D200" s="2">
        <v>5</v>
      </c>
      <c r="E200" s="6" t="s">
        <v>501</v>
      </c>
      <c r="F200" s="2" t="str">
        <f t="shared" si="18"/>
        <v>A</v>
      </c>
      <c r="G200" s="2">
        <v>4</v>
      </c>
      <c r="H200" s="2" t="str">
        <f t="shared" si="19"/>
        <v>C</v>
      </c>
      <c r="I200" s="2">
        <v>5</v>
      </c>
      <c r="J200" s="2">
        <f t="shared" si="20"/>
        <v>-1</v>
      </c>
      <c r="K200" s="2" t="str">
        <f t="shared" si="21"/>
        <v>B</v>
      </c>
      <c r="L200" s="2" t="str">
        <f t="shared" si="22"/>
        <v>C</v>
      </c>
      <c r="M200" s="2" t="s">
        <v>34</v>
      </c>
      <c r="N200" s="2">
        <f t="shared" si="23"/>
        <v>0</v>
      </c>
      <c r="O200" s="2" t="s">
        <v>34</v>
      </c>
      <c r="P200" s="2">
        <v>25</v>
      </c>
    </row>
    <row r="201" ht="23" customHeight="1" spans="1:16">
      <c r="A201" s="6" t="s">
        <v>65</v>
      </c>
      <c r="B201" s="2" t="s">
        <v>31</v>
      </c>
      <c r="C201" s="2" t="s">
        <v>46</v>
      </c>
      <c r="D201" s="2">
        <v>5</v>
      </c>
      <c r="E201" s="6" t="s">
        <v>501</v>
      </c>
      <c r="F201" s="2" t="str">
        <f t="shared" si="18"/>
        <v>C</v>
      </c>
      <c r="G201" s="2">
        <v>5</v>
      </c>
      <c r="H201" s="2" t="str">
        <f t="shared" si="19"/>
        <v>A</v>
      </c>
      <c r="I201" s="2">
        <v>5</v>
      </c>
      <c r="J201" s="2">
        <f t="shared" si="20"/>
        <v>0</v>
      </c>
      <c r="K201" s="2" t="str">
        <f t="shared" si="21"/>
        <v>C</v>
      </c>
      <c r="L201" s="2" t="str">
        <f t="shared" si="22"/>
        <v>D(平局)</v>
      </c>
      <c r="M201" s="2" t="s">
        <v>34</v>
      </c>
      <c r="N201" s="2">
        <f t="shared" si="23"/>
        <v>0</v>
      </c>
      <c r="O201" s="2" t="s">
        <v>22</v>
      </c>
      <c r="P201" s="2">
        <v>34</v>
      </c>
    </row>
    <row r="202" ht="23" customHeight="1" spans="1:16">
      <c r="A202" s="6" t="s">
        <v>65</v>
      </c>
      <c r="B202" s="2" t="s">
        <v>39</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27</v>
      </c>
      <c r="N202" s="2">
        <f t="shared" si="23"/>
        <v>0</v>
      </c>
      <c r="O202" s="2" t="s">
        <v>22</v>
      </c>
      <c r="P202" s="2">
        <v>28</v>
      </c>
    </row>
    <row r="203" ht="23" customHeight="1" spans="1:16">
      <c r="A203" s="6" t="s">
        <v>65</v>
      </c>
      <c r="B203" s="2" t="s">
        <v>39</v>
      </c>
      <c r="C203" s="2" t="s">
        <v>46</v>
      </c>
      <c r="D203" s="2">
        <v>1</v>
      </c>
      <c r="E203" s="6" t="s">
        <v>497</v>
      </c>
      <c r="F203" s="2" t="str">
        <f t="shared" si="18"/>
        <v>C</v>
      </c>
      <c r="G203" s="2">
        <v>5</v>
      </c>
      <c r="H203" s="2" t="str">
        <f t="shared" si="19"/>
        <v>B</v>
      </c>
      <c r="I203" s="2">
        <v>5</v>
      </c>
      <c r="J203" s="2">
        <f t="shared" si="20"/>
        <v>0</v>
      </c>
      <c r="K203" s="2" t="str">
        <f t="shared" si="21"/>
        <v>C</v>
      </c>
      <c r="L203" s="2" t="str">
        <f t="shared" si="22"/>
        <v>D(平局)</v>
      </c>
      <c r="M203" s="2" t="s">
        <v>27</v>
      </c>
      <c r="N203" s="2">
        <f t="shared" si="23"/>
        <v>0</v>
      </c>
      <c r="O203" s="2" t="s">
        <v>34</v>
      </c>
      <c r="P203" s="2">
        <v>37</v>
      </c>
    </row>
    <row r="204" ht="23" customHeight="1" spans="1:16">
      <c r="A204" s="6" t="s">
        <v>65</v>
      </c>
      <c r="B204" s="2" t="s">
        <v>39</v>
      </c>
      <c r="C204" s="2" t="s">
        <v>17</v>
      </c>
      <c r="D204" s="2">
        <v>2</v>
      </c>
      <c r="E204" s="6" t="s">
        <v>498</v>
      </c>
      <c r="F204" s="2" t="str">
        <f t="shared" si="18"/>
        <v>B</v>
      </c>
      <c r="G204" s="2">
        <v>3</v>
      </c>
      <c r="H204" s="2" t="str">
        <f t="shared" si="19"/>
        <v>C</v>
      </c>
      <c r="I204" s="2">
        <v>4</v>
      </c>
      <c r="J204" s="2">
        <f t="shared" si="20"/>
        <v>-1</v>
      </c>
      <c r="K204" s="2" t="str">
        <f t="shared" si="21"/>
        <v>B</v>
      </c>
      <c r="L204" s="2" t="str">
        <f t="shared" si="22"/>
        <v>C</v>
      </c>
      <c r="M204" s="2" t="s">
        <v>27</v>
      </c>
      <c r="N204" s="2">
        <f t="shared" si="23"/>
        <v>1</v>
      </c>
      <c r="O204" s="2" t="s">
        <v>22</v>
      </c>
      <c r="P204" s="2">
        <v>28</v>
      </c>
    </row>
    <row r="205" ht="23" customHeight="1" spans="1:16">
      <c r="A205" s="6" t="s">
        <v>65</v>
      </c>
      <c r="B205" s="2" t="s">
        <v>39</v>
      </c>
      <c r="C205" s="2" t="s">
        <v>46</v>
      </c>
      <c r="D205" s="2">
        <v>2</v>
      </c>
      <c r="E205" s="6" t="s">
        <v>498</v>
      </c>
      <c r="F205" s="2" t="str">
        <f t="shared" si="18"/>
        <v>C</v>
      </c>
      <c r="G205" s="2">
        <v>4</v>
      </c>
      <c r="H205" s="2" t="str">
        <f t="shared" si="19"/>
        <v>B</v>
      </c>
      <c r="I205" s="2">
        <v>3</v>
      </c>
      <c r="J205" s="2">
        <f t="shared" si="20"/>
        <v>1</v>
      </c>
      <c r="K205" s="2" t="str">
        <f t="shared" si="21"/>
        <v>A</v>
      </c>
      <c r="L205" s="2" t="str">
        <f t="shared" si="22"/>
        <v>C</v>
      </c>
      <c r="M205" s="2" t="s">
        <v>27</v>
      </c>
      <c r="N205" s="2">
        <f t="shared" si="23"/>
        <v>1</v>
      </c>
      <c r="O205" s="2" t="s">
        <v>34</v>
      </c>
      <c r="P205" s="2">
        <v>37</v>
      </c>
    </row>
    <row r="206" ht="23" customHeight="1" spans="1:16">
      <c r="A206" s="6" t="s">
        <v>65</v>
      </c>
      <c r="B206" s="2" t="s">
        <v>39</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27</v>
      </c>
      <c r="N206" s="2">
        <f t="shared" si="23"/>
        <v>0</v>
      </c>
      <c r="O206" s="2" t="s">
        <v>22</v>
      </c>
      <c r="P206" s="2">
        <v>28</v>
      </c>
    </row>
    <row r="207" ht="23" customHeight="1" spans="1:16">
      <c r="A207" s="6" t="s">
        <v>65</v>
      </c>
      <c r="B207" s="2" t="s">
        <v>39</v>
      </c>
      <c r="C207" s="2" t="s">
        <v>46</v>
      </c>
      <c r="D207" s="2">
        <v>3</v>
      </c>
      <c r="E207" s="6" t="s">
        <v>499</v>
      </c>
      <c r="F207" s="2" t="str">
        <f t="shared" si="18"/>
        <v>C</v>
      </c>
      <c r="G207" s="2">
        <v>4</v>
      </c>
      <c r="H207" s="2" t="str">
        <f t="shared" si="19"/>
        <v>B</v>
      </c>
      <c r="I207" s="2">
        <v>5</v>
      </c>
      <c r="J207" s="2">
        <f t="shared" si="20"/>
        <v>-1</v>
      </c>
      <c r="K207" s="2" t="str">
        <f t="shared" si="21"/>
        <v>B</v>
      </c>
      <c r="L207" s="2" t="str">
        <f t="shared" si="22"/>
        <v>B</v>
      </c>
      <c r="M207" s="2" t="s">
        <v>27</v>
      </c>
      <c r="N207" s="2">
        <f t="shared" si="23"/>
        <v>0</v>
      </c>
      <c r="O207" s="2" t="s">
        <v>34</v>
      </c>
      <c r="P207" s="2">
        <v>37</v>
      </c>
    </row>
    <row r="208" ht="23" customHeight="1" spans="1:16">
      <c r="A208" s="6" t="s">
        <v>65</v>
      </c>
      <c r="B208" s="2" t="s">
        <v>39</v>
      </c>
      <c r="C208" s="2" t="s">
        <v>17</v>
      </c>
      <c r="D208" s="2">
        <v>4</v>
      </c>
      <c r="E208" s="6" t="s">
        <v>500</v>
      </c>
      <c r="F208" s="2" t="str">
        <f t="shared" si="18"/>
        <v>B</v>
      </c>
      <c r="G208" s="2">
        <v>4</v>
      </c>
      <c r="H208" s="2" t="str">
        <f t="shared" si="19"/>
        <v>C</v>
      </c>
      <c r="I208" s="2">
        <v>5</v>
      </c>
      <c r="J208" s="2">
        <f t="shared" si="20"/>
        <v>-1</v>
      </c>
      <c r="K208" s="2" t="str">
        <f t="shared" si="21"/>
        <v>B</v>
      </c>
      <c r="L208" s="2" t="str">
        <f t="shared" si="22"/>
        <v>C</v>
      </c>
      <c r="M208" s="2" t="s">
        <v>27</v>
      </c>
      <c r="N208" s="2">
        <f t="shared" si="23"/>
        <v>1</v>
      </c>
      <c r="O208" s="2" t="s">
        <v>22</v>
      </c>
      <c r="P208" s="2">
        <v>28</v>
      </c>
    </row>
    <row r="209" ht="23" customHeight="1" spans="1:16">
      <c r="A209" s="6" t="s">
        <v>65</v>
      </c>
      <c r="B209" s="2" t="s">
        <v>39</v>
      </c>
      <c r="C209" s="2" t="s">
        <v>46</v>
      </c>
      <c r="D209" s="2">
        <v>4</v>
      </c>
      <c r="E209" s="6" t="s">
        <v>500</v>
      </c>
      <c r="F209" s="2" t="str">
        <f t="shared" si="18"/>
        <v>C</v>
      </c>
      <c r="G209" s="2">
        <v>5</v>
      </c>
      <c r="H209" s="2" t="str">
        <f t="shared" si="19"/>
        <v>B</v>
      </c>
      <c r="I209" s="2">
        <v>4</v>
      </c>
      <c r="J209" s="2">
        <f t="shared" si="20"/>
        <v>1</v>
      </c>
      <c r="K209" s="2" t="str">
        <f t="shared" si="21"/>
        <v>A</v>
      </c>
      <c r="L209" s="2" t="str">
        <f t="shared" si="22"/>
        <v>C</v>
      </c>
      <c r="M209" s="2" t="s">
        <v>27</v>
      </c>
      <c r="N209" s="2">
        <f t="shared" si="23"/>
        <v>1</v>
      </c>
      <c r="O209" s="2" t="s">
        <v>34</v>
      </c>
      <c r="P209" s="2">
        <v>37</v>
      </c>
    </row>
    <row r="210" ht="23" customHeight="1" spans="1:16">
      <c r="A210" s="6" t="s">
        <v>65</v>
      </c>
      <c r="B210" s="2" t="s">
        <v>39</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27</v>
      </c>
      <c r="N210" s="2">
        <f t="shared" si="23"/>
        <v>0</v>
      </c>
      <c r="O210" s="2" t="s">
        <v>22</v>
      </c>
      <c r="P210" s="2">
        <v>28</v>
      </c>
    </row>
    <row r="211" ht="23" customHeight="1" spans="1:16">
      <c r="A211" s="6" t="s">
        <v>65</v>
      </c>
      <c r="B211" s="2" t="s">
        <v>39</v>
      </c>
      <c r="C211" s="2" t="s">
        <v>46</v>
      </c>
      <c r="D211" s="2">
        <v>5</v>
      </c>
      <c r="E211" s="6" t="s">
        <v>501</v>
      </c>
      <c r="F211" s="2" t="str">
        <f t="shared" si="18"/>
        <v>C</v>
      </c>
      <c r="G211" s="2">
        <v>5</v>
      </c>
      <c r="H211" s="2" t="str">
        <f t="shared" si="19"/>
        <v>B</v>
      </c>
      <c r="I211" s="2">
        <v>5</v>
      </c>
      <c r="J211" s="2">
        <f t="shared" si="20"/>
        <v>0</v>
      </c>
      <c r="K211" s="2" t="str">
        <f t="shared" si="21"/>
        <v>C</v>
      </c>
      <c r="L211" s="2" t="str">
        <f t="shared" si="22"/>
        <v>D(平局)</v>
      </c>
      <c r="M211" s="2" t="s">
        <v>27</v>
      </c>
      <c r="N211" s="2">
        <f t="shared" si="23"/>
        <v>0</v>
      </c>
      <c r="O211" s="2" t="s">
        <v>34</v>
      </c>
      <c r="P211" s="2">
        <v>37</v>
      </c>
    </row>
    <row r="212" ht="23" customHeight="1" spans="1:16">
      <c r="A212" s="6" t="s">
        <v>141</v>
      </c>
      <c r="B212" s="2" t="s">
        <v>15</v>
      </c>
      <c r="C212" s="2" t="s">
        <v>17</v>
      </c>
      <c r="D212" s="2">
        <v>1</v>
      </c>
      <c r="E212" s="6" t="s">
        <v>497</v>
      </c>
      <c r="F212" s="2" t="str">
        <f t="shared" si="18"/>
        <v>A</v>
      </c>
      <c r="G212" s="2">
        <v>4</v>
      </c>
      <c r="H212" s="2" t="str">
        <f t="shared" si="19"/>
        <v>B</v>
      </c>
      <c r="I212" s="2">
        <v>5</v>
      </c>
      <c r="J212" s="2">
        <f t="shared" si="20"/>
        <v>-1</v>
      </c>
      <c r="K212" s="2" t="str">
        <f t="shared" si="21"/>
        <v>B</v>
      </c>
      <c r="L212" s="2" t="str">
        <f t="shared" si="22"/>
        <v>B</v>
      </c>
      <c r="M212" s="2" t="s">
        <v>34</v>
      </c>
      <c r="N212" s="2">
        <f t="shared" si="23"/>
        <v>0</v>
      </c>
      <c r="O212" s="2" t="s">
        <v>22</v>
      </c>
      <c r="P212" s="2">
        <v>58</v>
      </c>
    </row>
    <row r="213" ht="23" customHeight="1" spans="1:16">
      <c r="A213" s="6" t="s">
        <v>141</v>
      </c>
      <c r="B213" s="2" t="s">
        <v>15</v>
      </c>
      <c r="C213" s="2" t="s">
        <v>46</v>
      </c>
      <c r="D213" s="2">
        <v>1</v>
      </c>
      <c r="E213" s="6" t="s">
        <v>497</v>
      </c>
      <c r="F213" s="2" t="str">
        <f t="shared" si="18"/>
        <v>B</v>
      </c>
      <c r="G213" s="2">
        <v>5</v>
      </c>
      <c r="H213" s="2" t="str">
        <f t="shared" si="19"/>
        <v>A</v>
      </c>
      <c r="I213" s="2">
        <v>5</v>
      </c>
      <c r="J213" s="2">
        <f t="shared" si="20"/>
        <v>0</v>
      </c>
      <c r="K213" s="2" t="str">
        <f t="shared" si="21"/>
        <v>C</v>
      </c>
      <c r="L213" s="2" t="str">
        <f t="shared" si="22"/>
        <v>D(平局)</v>
      </c>
      <c r="M213" s="2" t="s">
        <v>34</v>
      </c>
      <c r="N213" s="2">
        <f t="shared" si="23"/>
        <v>0</v>
      </c>
      <c r="O213" s="2" t="s">
        <v>34</v>
      </c>
      <c r="P213" s="2">
        <v>67</v>
      </c>
    </row>
    <row r="214" ht="23" customHeight="1" spans="1:16">
      <c r="A214" s="6" t="s">
        <v>141</v>
      </c>
      <c r="B214" s="2" t="s">
        <v>15</v>
      </c>
      <c r="C214" s="2" t="s">
        <v>17</v>
      </c>
      <c r="D214" s="2">
        <v>2</v>
      </c>
      <c r="E214" s="6" t="s">
        <v>498</v>
      </c>
      <c r="F214" s="2" t="str">
        <f t="shared" si="18"/>
        <v>A</v>
      </c>
      <c r="G214" s="2">
        <v>4</v>
      </c>
      <c r="H214" s="2" t="str">
        <f t="shared" si="19"/>
        <v>B</v>
      </c>
      <c r="I214" s="2">
        <v>3</v>
      </c>
      <c r="J214" s="2">
        <f t="shared" si="20"/>
        <v>1</v>
      </c>
      <c r="K214" s="2" t="str">
        <f t="shared" si="21"/>
        <v>A</v>
      </c>
      <c r="L214" s="2" t="str">
        <f t="shared" si="22"/>
        <v>A</v>
      </c>
      <c r="M214" s="2" t="s">
        <v>34</v>
      </c>
      <c r="N214" s="2">
        <f t="shared" si="23"/>
        <v>1</v>
      </c>
      <c r="O214" s="2" t="s">
        <v>22</v>
      </c>
      <c r="P214" s="2">
        <v>58</v>
      </c>
    </row>
    <row r="215" ht="23" customHeight="1" spans="1:16">
      <c r="A215" s="6" t="s">
        <v>141</v>
      </c>
      <c r="B215" s="2" t="s">
        <v>15</v>
      </c>
      <c r="C215" s="2" t="s">
        <v>46</v>
      </c>
      <c r="D215" s="2">
        <v>2</v>
      </c>
      <c r="E215" s="6" t="s">
        <v>498</v>
      </c>
      <c r="F215" s="2" t="str">
        <f t="shared" si="18"/>
        <v>B</v>
      </c>
      <c r="G215" s="2">
        <v>3</v>
      </c>
      <c r="H215" s="2" t="str">
        <f t="shared" si="19"/>
        <v>A</v>
      </c>
      <c r="I215" s="2">
        <v>4</v>
      </c>
      <c r="J215" s="2">
        <f t="shared" si="20"/>
        <v>-1</v>
      </c>
      <c r="K215" s="2" t="str">
        <f t="shared" si="21"/>
        <v>B</v>
      </c>
      <c r="L215" s="2" t="str">
        <f t="shared" si="22"/>
        <v>A</v>
      </c>
      <c r="M215" s="2" t="s">
        <v>34</v>
      </c>
      <c r="N215" s="2">
        <f t="shared" si="23"/>
        <v>1</v>
      </c>
      <c r="O215" s="2" t="s">
        <v>34</v>
      </c>
      <c r="P215" s="2">
        <v>67</v>
      </c>
    </row>
    <row r="216" ht="23" customHeight="1" spans="1:16">
      <c r="A216" s="6" t="s">
        <v>141</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34</v>
      </c>
      <c r="N216" s="2">
        <f t="shared" si="23"/>
        <v>0</v>
      </c>
      <c r="O216" s="2" t="s">
        <v>22</v>
      </c>
      <c r="P216" s="2">
        <v>58</v>
      </c>
    </row>
    <row r="217" ht="23" customHeight="1" spans="1:16">
      <c r="A217" s="6" t="s">
        <v>141</v>
      </c>
      <c r="B217" s="2" t="s">
        <v>15</v>
      </c>
      <c r="C217" s="2" t="s">
        <v>46</v>
      </c>
      <c r="D217" s="2">
        <v>3</v>
      </c>
      <c r="E217" s="6" t="s">
        <v>499</v>
      </c>
      <c r="F217" s="2" t="str">
        <f t="shared" si="18"/>
        <v>B</v>
      </c>
      <c r="G217" s="2">
        <v>5</v>
      </c>
      <c r="H217" s="2" t="str">
        <f t="shared" si="19"/>
        <v>A</v>
      </c>
      <c r="I217" s="2">
        <v>4</v>
      </c>
      <c r="J217" s="2">
        <f t="shared" si="20"/>
        <v>1</v>
      </c>
      <c r="K217" s="2" t="str">
        <f t="shared" si="21"/>
        <v>A</v>
      </c>
      <c r="L217" s="2" t="str">
        <f t="shared" si="22"/>
        <v>B</v>
      </c>
      <c r="M217" s="2" t="s">
        <v>34</v>
      </c>
      <c r="N217" s="2">
        <f t="shared" si="23"/>
        <v>0</v>
      </c>
      <c r="O217" s="2" t="s">
        <v>34</v>
      </c>
      <c r="P217" s="2">
        <v>67</v>
      </c>
    </row>
    <row r="218" ht="23" customHeight="1" spans="1:16">
      <c r="A218" s="6" t="s">
        <v>141</v>
      </c>
      <c r="B218" s="2" t="s">
        <v>15</v>
      </c>
      <c r="C218" s="2" t="s">
        <v>17</v>
      </c>
      <c r="D218" s="2">
        <v>4</v>
      </c>
      <c r="E218" s="6" t="s">
        <v>500</v>
      </c>
      <c r="F218" s="2" t="str">
        <f t="shared" si="18"/>
        <v>A</v>
      </c>
      <c r="G218" s="2">
        <v>4</v>
      </c>
      <c r="H218" s="2" t="str">
        <f t="shared" si="19"/>
        <v>B</v>
      </c>
      <c r="I218" s="2">
        <v>5</v>
      </c>
      <c r="J218" s="2">
        <f t="shared" si="20"/>
        <v>-1</v>
      </c>
      <c r="K218" s="2" t="str">
        <f t="shared" si="21"/>
        <v>B</v>
      </c>
      <c r="L218" s="2" t="str">
        <f t="shared" si="22"/>
        <v>B</v>
      </c>
      <c r="M218" s="2" t="s">
        <v>34</v>
      </c>
      <c r="N218" s="2">
        <f t="shared" si="23"/>
        <v>0</v>
      </c>
      <c r="O218" s="2" t="s">
        <v>22</v>
      </c>
      <c r="P218" s="2">
        <v>58</v>
      </c>
    </row>
    <row r="219" ht="23" customHeight="1" spans="1:16">
      <c r="A219" s="6" t="s">
        <v>141</v>
      </c>
      <c r="B219" s="2" t="s">
        <v>15</v>
      </c>
      <c r="C219" s="2" t="s">
        <v>46</v>
      </c>
      <c r="D219" s="2">
        <v>4</v>
      </c>
      <c r="E219" s="6" t="s">
        <v>500</v>
      </c>
      <c r="F219" s="2" t="str">
        <f t="shared" si="18"/>
        <v>B</v>
      </c>
      <c r="G219" s="2">
        <v>5</v>
      </c>
      <c r="H219" s="2" t="str">
        <f t="shared" si="19"/>
        <v>A</v>
      </c>
      <c r="I219" s="2">
        <v>4</v>
      </c>
      <c r="J219" s="2">
        <f t="shared" si="20"/>
        <v>1</v>
      </c>
      <c r="K219" s="2" t="str">
        <f t="shared" si="21"/>
        <v>A</v>
      </c>
      <c r="L219" s="2" t="str">
        <f t="shared" si="22"/>
        <v>B</v>
      </c>
      <c r="M219" s="2" t="s">
        <v>34</v>
      </c>
      <c r="N219" s="2">
        <f t="shared" si="23"/>
        <v>0</v>
      </c>
      <c r="O219" s="2" t="s">
        <v>34</v>
      </c>
      <c r="P219" s="2">
        <v>67</v>
      </c>
    </row>
    <row r="220" ht="23" customHeight="1" spans="1:16">
      <c r="A220" s="6" t="s">
        <v>141</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34</v>
      </c>
      <c r="N220" s="2">
        <f t="shared" si="23"/>
        <v>0</v>
      </c>
      <c r="O220" s="2" t="s">
        <v>22</v>
      </c>
      <c r="P220" s="2">
        <v>58</v>
      </c>
    </row>
    <row r="221" ht="23" customHeight="1" spans="1:16">
      <c r="A221" s="6" t="s">
        <v>141</v>
      </c>
      <c r="B221" s="2" t="s">
        <v>15</v>
      </c>
      <c r="C221" s="2" t="s">
        <v>46</v>
      </c>
      <c r="D221" s="2">
        <v>5</v>
      </c>
      <c r="E221" s="6" t="s">
        <v>501</v>
      </c>
      <c r="F221" s="2" t="str">
        <f t="shared" si="18"/>
        <v>B</v>
      </c>
      <c r="G221" s="2">
        <v>5</v>
      </c>
      <c r="H221" s="2" t="str">
        <f t="shared" si="19"/>
        <v>A</v>
      </c>
      <c r="I221" s="2">
        <v>5</v>
      </c>
      <c r="J221" s="2">
        <f t="shared" si="20"/>
        <v>0</v>
      </c>
      <c r="K221" s="2" t="str">
        <f t="shared" si="21"/>
        <v>C</v>
      </c>
      <c r="L221" s="2" t="str">
        <f t="shared" si="22"/>
        <v>D(平局)</v>
      </c>
      <c r="M221" s="2" t="s">
        <v>34</v>
      </c>
      <c r="N221" s="2">
        <f t="shared" si="23"/>
        <v>0</v>
      </c>
      <c r="O221" s="2" t="s">
        <v>34</v>
      </c>
      <c r="P221" s="2">
        <v>67</v>
      </c>
    </row>
    <row r="222" ht="23" customHeight="1" spans="1:16">
      <c r="A222" s="6" t="s">
        <v>141</v>
      </c>
      <c r="B222" s="2" t="s">
        <v>31</v>
      </c>
      <c r="C222" s="2" t="s">
        <v>17</v>
      </c>
      <c r="D222" s="2">
        <v>1</v>
      </c>
      <c r="E222" s="6" t="s">
        <v>497</v>
      </c>
      <c r="F222" s="2" t="str">
        <f t="shared" si="18"/>
        <v>A</v>
      </c>
      <c r="G222" s="2">
        <v>4</v>
      </c>
      <c r="H222" s="2" t="str">
        <f t="shared" si="19"/>
        <v>C</v>
      </c>
      <c r="I222" s="2">
        <v>3</v>
      </c>
      <c r="J222" s="2">
        <f t="shared" si="20"/>
        <v>1</v>
      </c>
      <c r="K222" s="2" t="str">
        <f t="shared" si="21"/>
        <v>A</v>
      </c>
      <c r="L222" s="2" t="str">
        <f t="shared" si="22"/>
        <v>A</v>
      </c>
      <c r="M222" s="2" t="s">
        <v>34</v>
      </c>
      <c r="N222" s="2">
        <f t="shared" si="23"/>
        <v>1</v>
      </c>
      <c r="O222" s="2" t="s">
        <v>34</v>
      </c>
      <c r="P222" s="2">
        <v>61</v>
      </c>
    </row>
    <row r="223" ht="23" customHeight="1" spans="1:16">
      <c r="A223" s="6" t="s">
        <v>141</v>
      </c>
      <c r="B223" s="2" t="s">
        <v>31</v>
      </c>
      <c r="C223" s="2" t="s">
        <v>46</v>
      </c>
      <c r="D223" s="2">
        <v>1</v>
      </c>
      <c r="E223" s="6" t="s">
        <v>497</v>
      </c>
      <c r="F223" s="2" t="str">
        <f t="shared" si="18"/>
        <v>C</v>
      </c>
      <c r="G223" s="2">
        <v>4</v>
      </c>
      <c r="H223" s="2" t="str">
        <f t="shared" si="19"/>
        <v>A</v>
      </c>
      <c r="I223" s="2">
        <v>4</v>
      </c>
      <c r="J223" s="2">
        <f t="shared" si="20"/>
        <v>0</v>
      </c>
      <c r="K223" s="2" t="str">
        <f t="shared" si="21"/>
        <v>C</v>
      </c>
      <c r="L223" s="2" t="str">
        <f t="shared" si="22"/>
        <v>D(平局)</v>
      </c>
      <c r="M223" s="2" t="s">
        <v>34</v>
      </c>
      <c r="N223" s="2">
        <f t="shared" si="23"/>
        <v>0</v>
      </c>
      <c r="O223" s="2" t="s">
        <v>22</v>
      </c>
      <c r="P223" s="2">
        <v>70</v>
      </c>
    </row>
    <row r="224" ht="23" customHeight="1" spans="1:16">
      <c r="A224" s="6" t="s">
        <v>141</v>
      </c>
      <c r="B224" s="2" t="s">
        <v>31</v>
      </c>
      <c r="C224" s="2" t="s">
        <v>17</v>
      </c>
      <c r="D224" s="2">
        <v>2</v>
      </c>
      <c r="E224" s="6" t="s">
        <v>498</v>
      </c>
      <c r="F224" s="2" t="str">
        <f t="shared" si="18"/>
        <v>A</v>
      </c>
      <c r="G224" s="2">
        <v>4</v>
      </c>
      <c r="H224" s="2" t="str">
        <f t="shared" si="19"/>
        <v>C</v>
      </c>
      <c r="I224" s="2">
        <v>2</v>
      </c>
      <c r="J224" s="2">
        <f t="shared" si="20"/>
        <v>2</v>
      </c>
      <c r="K224" s="2" t="str">
        <f t="shared" si="21"/>
        <v>A</v>
      </c>
      <c r="L224" s="2" t="str">
        <f t="shared" si="22"/>
        <v>A</v>
      </c>
      <c r="M224" s="2" t="s">
        <v>34</v>
      </c>
      <c r="N224" s="2">
        <f t="shared" si="23"/>
        <v>1</v>
      </c>
      <c r="O224" s="2" t="s">
        <v>34</v>
      </c>
      <c r="P224" s="2">
        <v>61</v>
      </c>
    </row>
    <row r="225" ht="23" customHeight="1" spans="1:16">
      <c r="A225" s="6" t="s">
        <v>141</v>
      </c>
      <c r="B225" s="2" t="s">
        <v>31</v>
      </c>
      <c r="C225" s="2" t="s">
        <v>46</v>
      </c>
      <c r="D225" s="2">
        <v>2</v>
      </c>
      <c r="E225" s="6" t="s">
        <v>498</v>
      </c>
      <c r="F225" s="2" t="str">
        <f t="shared" si="18"/>
        <v>C</v>
      </c>
      <c r="G225" s="2">
        <v>2</v>
      </c>
      <c r="H225" s="2" t="str">
        <f t="shared" si="19"/>
        <v>A</v>
      </c>
      <c r="I225" s="2">
        <v>4</v>
      </c>
      <c r="J225" s="2">
        <f t="shared" si="20"/>
        <v>-2</v>
      </c>
      <c r="K225" s="2" t="str">
        <f t="shared" si="21"/>
        <v>B</v>
      </c>
      <c r="L225" s="2" t="str">
        <f t="shared" si="22"/>
        <v>A</v>
      </c>
      <c r="M225" s="2" t="s">
        <v>34</v>
      </c>
      <c r="N225" s="2">
        <f t="shared" si="23"/>
        <v>1</v>
      </c>
      <c r="O225" s="2" t="s">
        <v>22</v>
      </c>
      <c r="P225" s="2">
        <v>70</v>
      </c>
    </row>
    <row r="226" ht="23" customHeight="1" spans="1:16">
      <c r="A226" s="6" t="s">
        <v>141</v>
      </c>
      <c r="B226" s="2" t="s">
        <v>31</v>
      </c>
      <c r="C226" s="2" t="s">
        <v>17</v>
      </c>
      <c r="D226" s="2">
        <v>3</v>
      </c>
      <c r="E226" s="6" t="s">
        <v>499</v>
      </c>
      <c r="F226" s="2" t="str">
        <f t="shared" si="18"/>
        <v>A</v>
      </c>
      <c r="G226" s="2">
        <v>5</v>
      </c>
      <c r="H226" s="2" t="str">
        <f t="shared" si="19"/>
        <v>C</v>
      </c>
      <c r="I226" s="2">
        <v>3</v>
      </c>
      <c r="J226" s="2">
        <f t="shared" si="20"/>
        <v>2</v>
      </c>
      <c r="K226" s="2" t="str">
        <f t="shared" si="21"/>
        <v>A</v>
      </c>
      <c r="L226" s="2" t="str">
        <f t="shared" si="22"/>
        <v>A</v>
      </c>
      <c r="M226" s="2" t="s">
        <v>34</v>
      </c>
      <c r="N226" s="2">
        <f t="shared" si="23"/>
        <v>1</v>
      </c>
      <c r="O226" s="2" t="s">
        <v>34</v>
      </c>
      <c r="P226" s="2">
        <v>61</v>
      </c>
    </row>
    <row r="227" ht="23" customHeight="1" spans="1:16">
      <c r="A227" s="6" t="s">
        <v>141</v>
      </c>
      <c r="B227" s="2" t="s">
        <v>31</v>
      </c>
      <c r="C227" s="2" t="s">
        <v>46</v>
      </c>
      <c r="D227" s="2">
        <v>3</v>
      </c>
      <c r="E227" s="6" t="s">
        <v>499</v>
      </c>
      <c r="F227" s="2" t="str">
        <f t="shared" si="18"/>
        <v>C</v>
      </c>
      <c r="G227" s="2">
        <v>3</v>
      </c>
      <c r="H227" s="2" t="str">
        <f t="shared" si="19"/>
        <v>A</v>
      </c>
      <c r="I227" s="2">
        <v>4</v>
      </c>
      <c r="J227" s="2">
        <f t="shared" si="20"/>
        <v>-1</v>
      </c>
      <c r="K227" s="2" t="str">
        <f t="shared" si="21"/>
        <v>B</v>
      </c>
      <c r="L227" s="2" t="str">
        <f t="shared" si="22"/>
        <v>A</v>
      </c>
      <c r="M227" s="2" t="s">
        <v>34</v>
      </c>
      <c r="N227" s="2">
        <f t="shared" si="23"/>
        <v>1</v>
      </c>
      <c r="O227" s="2" t="s">
        <v>22</v>
      </c>
      <c r="P227" s="2">
        <v>70</v>
      </c>
    </row>
    <row r="228" ht="23" customHeight="1" spans="1:16">
      <c r="A228" s="6" t="s">
        <v>141</v>
      </c>
      <c r="B228" s="2" t="s">
        <v>31</v>
      </c>
      <c r="C228" s="2" t="s">
        <v>17</v>
      </c>
      <c r="D228" s="2">
        <v>4</v>
      </c>
      <c r="E228" s="6" t="s">
        <v>500</v>
      </c>
      <c r="F228" s="2" t="str">
        <f t="shared" si="18"/>
        <v>A</v>
      </c>
      <c r="G228" s="2">
        <v>4</v>
      </c>
      <c r="H228" s="2" t="str">
        <f t="shared" si="19"/>
        <v>C</v>
      </c>
      <c r="I228" s="2">
        <v>3</v>
      </c>
      <c r="J228" s="2">
        <f t="shared" si="20"/>
        <v>1</v>
      </c>
      <c r="K228" s="2" t="str">
        <f t="shared" si="21"/>
        <v>A</v>
      </c>
      <c r="L228" s="2" t="str">
        <f t="shared" si="22"/>
        <v>A</v>
      </c>
      <c r="M228" s="2" t="s">
        <v>34</v>
      </c>
      <c r="N228" s="2">
        <f t="shared" si="23"/>
        <v>1</v>
      </c>
      <c r="O228" s="2" t="s">
        <v>34</v>
      </c>
      <c r="P228" s="2">
        <v>61</v>
      </c>
    </row>
    <row r="229" ht="23" customHeight="1" spans="1:16">
      <c r="A229" s="6" t="s">
        <v>141</v>
      </c>
      <c r="B229" s="2" t="s">
        <v>31</v>
      </c>
      <c r="C229" s="2" t="s">
        <v>46</v>
      </c>
      <c r="D229" s="2">
        <v>4</v>
      </c>
      <c r="E229" s="6" t="s">
        <v>500</v>
      </c>
      <c r="F229" s="2" t="str">
        <f t="shared" si="18"/>
        <v>C</v>
      </c>
      <c r="G229" s="2">
        <v>5</v>
      </c>
      <c r="H229" s="2" t="str">
        <f t="shared" si="19"/>
        <v>A</v>
      </c>
      <c r="I229" s="2">
        <v>4</v>
      </c>
      <c r="J229" s="2">
        <f t="shared" si="20"/>
        <v>1</v>
      </c>
      <c r="K229" s="2" t="str">
        <f t="shared" si="21"/>
        <v>A</v>
      </c>
      <c r="L229" s="2" t="str">
        <f t="shared" si="22"/>
        <v>C</v>
      </c>
      <c r="M229" s="2" t="s">
        <v>34</v>
      </c>
      <c r="N229" s="2">
        <f t="shared" si="23"/>
        <v>0</v>
      </c>
      <c r="O229" s="2" t="s">
        <v>22</v>
      </c>
      <c r="P229" s="2">
        <v>70</v>
      </c>
    </row>
    <row r="230" ht="23" customHeight="1" spans="1:16">
      <c r="A230" s="6" t="s">
        <v>141</v>
      </c>
      <c r="B230" s="2" t="s">
        <v>31</v>
      </c>
      <c r="C230" s="2" t="s">
        <v>17</v>
      </c>
      <c r="D230" s="2">
        <v>5</v>
      </c>
      <c r="E230" s="6" t="s">
        <v>501</v>
      </c>
      <c r="F230" s="2" t="str">
        <f t="shared" si="18"/>
        <v>A</v>
      </c>
      <c r="G230" s="2">
        <v>5</v>
      </c>
      <c r="H230" s="2" t="str">
        <f t="shared" si="19"/>
        <v>C</v>
      </c>
      <c r="I230" s="2">
        <v>5</v>
      </c>
      <c r="J230" s="2">
        <f t="shared" si="20"/>
        <v>0</v>
      </c>
      <c r="K230" s="2" t="str">
        <f t="shared" si="21"/>
        <v>C</v>
      </c>
      <c r="L230" s="2" t="str">
        <f t="shared" si="22"/>
        <v>D(平局)</v>
      </c>
      <c r="M230" s="2" t="s">
        <v>34</v>
      </c>
      <c r="N230" s="2">
        <f t="shared" si="23"/>
        <v>0</v>
      </c>
      <c r="O230" s="2" t="s">
        <v>34</v>
      </c>
      <c r="P230" s="2">
        <v>61</v>
      </c>
    </row>
    <row r="231" ht="23" customHeight="1" spans="1:16">
      <c r="A231" s="6" t="s">
        <v>141</v>
      </c>
      <c r="B231" s="2" t="s">
        <v>31</v>
      </c>
      <c r="C231" s="2" t="s">
        <v>46</v>
      </c>
      <c r="D231" s="2">
        <v>5</v>
      </c>
      <c r="E231" s="6" t="s">
        <v>501</v>
      </c>
      <c r="F231" s="2" t="str">
        <f t="shared" si="18"/>
        <v>C</v>
      </c>
      <c r="G231" s="2">
        <v>5</v>
      </c>
      <c r="H231" s="2" t="str">
        <f t="shared" si="19"/>
        <v>A</v>
      </c>
      <c r="I231" s="2">
        <v>5</v>
      </c>
      <c r="J231" s="2">
        <f t="shared" si="20"/>
        <v>0</v>
      </c>
      <c r="K231" s="2" t="str">
        <f t="shared" si="21"/>
        <v>C</v>
      </c>
      <c r="L231" s="2" t="str">
        <f t="shared" si="22"/>
        <v>D(平局)</v>
      </c>
      <c r="M231" s="2" t="s">
        <v>34</v>
      </c>
      <c r="N231" s="2">
        <f t="shared" si="23"/>
        <v>0</v>
      </c>
      <c r="O231" s="2" t="s">
        <v>22</v>
      </c>
      <c r="P231" s="2">
        <v>70</v>
      </c>
    </row>
    <row r="232" ht="23" customHeight="1" spans="1:16">
      <c r="A232" s="6" t="s">
        <v>141</v>
      </c>
      <c r="B232" s="2" t="s">
        <v>39</v>
      </c>
      <c r="C232" s="2" t="s">
        <v>17</v>
      </c>
      <c r="D232" s="2">
        <v>1</v>
      </c>
      <c r="E232" s="6" t="s">
        <v>497</v>
      </c>
      <c r="F232" s="2" t="str">
        <f t="shared" si="18"/>
        <v>B</v>
      </c>
      <c r="G232" s="2">
        <v>5</v>
      </c>
      <c r="H232" s="2" t="str">
        <f t="shared" si="19"/>
        <v>C</v>
      </c>
      <c r="I232" s="2">
        <v>5</v>
      </c>
      <c r="J232" s="2">
        <f t="shared" si="20"/>
        <v>0</v>
      </c>
      <c r="K232" s="2" t="str">
        <f t="shared" si="21"/>
        <v>C</v>
      </c>
      <c r="L232" s="2" t="str">
        <f t="shared" si="22"/>
        <v>D(平局)</v>
      </c>
      <c r="M232" s="2" t="s">
        <v>22</v>
      </c>
      <c r="N232" s="2">
        <f t="shared" si="23"/>
        <v>0</v>
      </c>
      <c r="O232" s="2" t="s">
        <v>34</v>
      </c>
      <c r="P232" s="2">
        <v>64</v>
      </c>
    </row>
    <row r="233" ht="23" customHeight="1" spans="1:16">
      <c r="A233" s="6" t="s">
        <v>141</v>
      </c>
      <c r="B233" s="2" t="s">
        <v>39</v>
      </c>
      <c r="C233" s="2" t="s">
        <v>46</v>
      </c>
      <c r="D233" s="2">
        <v>1</v>
      </c>
      <c r="E233" s="6" t="s">
        <v>497</v>
      </c>
      <c r="F233" s="2" t="str">
        <f t="shared" si="18"/>
        <v>C</v>
      </c>
      <c r="G233" s="2">
        <v>5</v>
      </c>
      <c r="H233" s="2" t="str">
        <f t="shared" si="19"/>
        <v>B</v>
      </c>
      <c r="I233" s="2">
        <v>5</v>
      </c>
      <c r="J233" s="2">
        <f t="shared" si="20"/>
        <v>0</v>
      </c>
      <c r="K233" s="2" t="str">
        <f t="shared" si="21"/>
        <v>C</v>
      </c>
      <c r="L233" s="2" t="str">
        <f t="shared" si="22"/>
        <v>D(平局)</v>
      </c>
      <c r="M233" s="2" t="s">
        <v>22</v>
      </c>
      <c r="N233" s="2">
        <f t="shared" si="23"/>
        <v>0</v>
      </c>
      <c r="O233" s="2" t="s">
        <v>22</v>
      </c>
      <c r="P233" s="2">
        <v>73</v>
      </c>
    </row>
    <row r="234" ht="23" customHeight="1" spans="1:16">
      <c r="A234" s="6" t="s">
        <v>141</v>
      </c>
      <c r="B234" s="2" t="s">
        <v>39</v>
      </c>
      <c r="C234" s="2" t="s">
        <v>17</v>
      </c>
      <c r="D234" s="2">
        <v>2</v>
      </c>
      <c r="E234" s="6" t="s">
        <v>498</v>
      </c>
      <c r="F234" s="2" t="str">
        <f t="shared" si="18"/>
        <v>B</v>
      </c>
      <c r="G234" s="2">
        <v>4</v>
      </c>
      <c r="H234" s="2" t="str">
        <f t="shared" si="19"/>
        <v>C</v>
      </c>
      <c r="I234" s="2">
        <v>2</v>
      </c>
      <c r="J234" s="2">
        <f t="shared" si="20"/>
        <v>2</v>
      </c>
      <c r="K234" s="2" t="str">
        <f t="shared" si="21"/>
        <v>A</v>
      </c>
      <c r="L234" s="2" t="str">
        <f t="shared" si="22"/>
        <v>B</v>
      </c>
      <c r="M234" s="2" t="s">
        <v>22</v>
      </c>
      <c r="N234" s="2">
        <f t="shared" si="23"/>
        <v>1</v>
      </c>
      <c r="O234" s="2" t="s">
        <v>34</v>
      </c>
      <c r="P234" s="2">
        <v>64</v>
      </c>
    </row>
    <row r="235" ht="23" customHeight="1" spans="1:16">
      <c r="A235" s="6" t="s">
        <v>141</v>
      </c>
      <c r="B235" s="2" t="s">
        <v>39</v>
      </c>
      <c r="C235" s="2" t="s">
        <v>46</v>
      </c>
      <c r="D235" s="2">
        <v>2</v>
      </c>
      <c r="E235" s="6" t="s">
        <v>498</v>
      </c>
      <c r="F235" s="2" t="str">
        <f t="shared" si="18"/>
        <v>C</v>
      </c>
      <c r="G235" s="2">
        <v>2</v>
      </c>
      <c r="H235" s="2" t="str">
        <f t="shared" si="19"/>
        <v>B</v>
      </c>
      <c r="I235" s="2">
        <v>4</v>
      </c>
      <c r="J235" s="2">
        <f t="shared" si="20"/>
        <v>-2</v>
      </c>
      <c r="K235" s="2" t="str">
        <f t="shared" si="21"/>
        <v>B</v>
      </c>
      <c r="L235" s="2" t="str">
        <f t="shared" si="22"/>
        <v>B</v>
      </c>
      <c r="M235" s="2" t="s">
        <v>22</v>
      </c>
      <c r="N235" s="2">
        <f t="shared" si="23"/>
        <v>1</v>
      </c>
      <c r="O235" s="2" t="s">
        <v>22</v>
      </c>
      <c r="P235" s="2">
        <v>73</v>
      </c>
    </row>
    <row r="236" ht="23" customHeight="1" spans="1:16">
      <c r="A236" s="6" t="s">
        <v>141</v>
      </c>
      <c r="B236" s="2" t="s">
        <v>39</v>
      </c>
      <c r="C236" s="2" t="s">
        <v>17</v>
      </c>
      <c r="D236" s="2">
        <v>3</v>
      </c>
      <c r="E236" s="6" t="s">
        <v>499</v>
      </c>
      <c r="F236" s="2" t="str">
        <f t="shared" si="18"/>
        <v>B</v>
      </c>
      <c r="G236" s="2">
        <v>5</v>
      </c>
      <c r="H236" s="2" t="str">
        <f t="shared" si="19"/>
        <v>C</v>
      </c>
      <c r="I236" s="2">
        <v>4</v>
      </c>
      <c r="J236" s="2">
        <f t="shared" si="20"/>
        <v>1</v>
      </c>
      <c r="K236" s="2" t="str">
        <f t="shared" si="21"/>
        <v>A</v>
      </c>
      <c r="L236" s="2" t="str">
        <f t="shared" si="22"/>
        <v>B</v>
      </c>
      <c r="M236" s="2" t="s">
        <v>22</v>
      </c>
      <c r="N236" s="2">
        <f t="shared" si="23"/>
        <v>1</v>
      </c>
      <c r="O236" s="2" t="s">
        <v>34</v>
      </c>
      <c r="P236" s="2">
        <v>64</v>
      </c>
    </row>
    <row r="237" ht="23" customHeight="1" spans="1:16">
      <c r="A237" s="6" t="s">
        <v>141</v>
      </c>
      <c r="B237" s="2" t="s">
        <v>39</v>
      </c>
      <c r="C237" s="2" t="s">
        <v>46</v>
      </c>
      <c r="D237" s="2">
        <v>3</v>
      </c>
      <c r="E237" s="6" t="s">
        <v>499</v>
      </c>
      <c r="F237" s="2" t="str">
        <f t="shared" si="18"/>
        <v>C</v>
      </c>
      <c r="G237" s="2">
        <v>3</v>
      </c>
      <c r="H237" s="2" t="str">
        <f t="shared" si="19"/>
        <v>B</v>
      </c>
      <c r="I237" s="2">
        <v>5</v>
      </c>
      <c r="J237" s="2">
        <f t="shared" si="20"/>
        <v>-2</v>
      </c>
      <c r="K237" s="2" t="str">
        <f t="shared" si="21"/>
        <v>B</v>
      </c>
      <c r="L237" s="2" t="str">
        <f t="shared" si="22"/>
        <v>B</v>
      </c>
      <c r="M237" s="2" t="s">
        <v>22</v>
      </c>
      <c r="N237" s="2">
        <f t="shared" si="23"/>
        <v>1</v>
      </c>
      <c r="O237" s="2" t="s">
        <v>22</v>
      </c>
      <c r="P237" s="2">
        <v>73</v>
      </c>
    </row>
    <row r="238" ht="23" customHeight="1" spans="1:16">
      <c r="A238" s="6" t="s">
        <v>141</v>
      </c>
      <c r="B238" s="2" t="s">
        <v>39</v>
      </c>
      <c r="C238" s="2" t="s">
        <v>17</v>
      </c>
      <c r="D238" s="2">
        <v>4</v>
      </c>
      <c r="E238" s="6" t="s">
        <v>500</v>
      </c>
      <c r="F238" s="2" t="str">
        <f t="shared" si="18"/>
        <v>B</v>
      </c>
      <c r="G238" s="2">
        <v>5</v>
      </c>
      <c r="H238" s="2" t="str">
        <f t="shared" si="19"/>
        <v>C</v>
      </c>
      <c r="I238" s="2">
        <v>4</v>
      </c>
      <c r="J238" s="2">
        <f t="shared" si="20"/>
        <v>1</v>
      </c>
      <c r="K238" s="2" t="str">
        <f t="shared" si="21"/>
        <v>A</v>
      </c>
      <c r="L238" s="2" t="str">
        <f t="shared" si="22"/>
        <v>B</v>
      </c>
      <c r="M238" s="2" t="s">
        <v>22</v>
      </c>
      <c r="N238" s="2">
        <f t="shared" si="23"/>
        <v>1</v>
      </c>
      <c r="O238" s="2" t="s">
        <v>34</v>
      </c>
      <c r="P238" s="2">
        <v>64</v>
      </c>
    </row>
    <row r="239" ht="23" customHeight="1" spans="1:16">
      <c r="A239" s="6" t="s">
        <v>141</v>
      </c>
      <c r="B239" s="2" t="s">
        <v>39</v>
      </c>
      <c r="C239" s="2" t="s">
        <v>46</v>
      </c>
      <c r="D239" s="2">
        <v>4</v>
      </c>
      <c r="E239" s="6" t="s">
        <v>500</v>
      </c>
      <c r="F239" s="2" t="str">
        <f t="shared" si="18"/>
        <v>C</v>
      </c>
      <c r="G239" s="2">
        <v>4</v>
      </c>
      <c r="H239" s="2" t="str">
        <f t="shared" si="19"/>
        <v>B</v>
      </c>
      <c r="I239" s="2">
        <v>5</v>
      </c>
      <c r="J239" s="2">
        <f t="shared" si="20"/>
        <v>-1</v>
      </c>
      <c r="K239" s="2" t="str">
        <f t="shared" si="21"/>
        <v>B</v>
      </c>
      <c r="L239" s="2" t="str">
        <f t="shared" si="22"/>
        <v>B</v>
      </c>
      <c r="M239" s="2" t="s">
        <v>22</v>
      </c>
      <c r="N239" s="2">
        <f t="shared" si="23"/>
        <v>1</v>
      </c>
      <c r="O239" s="2" t="s">
        <v>22</v>
      </c>
      <c r="P239" s="2">
        <v>73</v>
      </c>
    </row>
    <row r="240" ht="23" customHeight="1" spans="1:16">
      <c r="A240" s="6" t="s">
        <v>141</v>
      </c>
      <c r="B240" s="2" t="s">
        <v>39</v>
      </c>
      <c r="C240" s="2" t="s">
        <v>17</v>
      </c>
      <c r="D240" s="2">
        <v>5</v>
      </c>
      <c r="E240" s="6" t="s">
        <v>501</v>
      </c>
      <c r="F240" s="2" t="str">
        <f t="shared" si="18"/>
        <v>B</v>
      </c>
      <c r="G240" s="2">
        <v>5</v>
      </c>
      <c r="H240" s="2" t="str">
        <f t="shared" si="19"/>
        <v>C</v>
      </c>
      <c r="I240" s="2">
        <v>5</v>
      </c>
      <c r="J240" s="2">
        <f t="shared" si="20"/>
        <v>0</v>
      </c>
      <c r="K240" s="2" t="str">
        <f t="shared" si="21"/>
        <v>C</v>
      </c>
      <c r="L240" s="2" t="str">
        <f t="shared" si="22"/>
        <v>D(平局)</v>
      </c>
      <c r="M240" s="2" t="s">
        <v>22</v>
      </c>
      <c r="N240" s="2">
        <f t="shared" si="23"/>
        <v>0</v>
      </c>
      <c r="O240" s="2" t="s">
        <v>34</v>
      </c>
      <c r="P240" s="2">
        <v>64</v>
      </c>
    </row>
    <row r="241" ht="23" customHeight="1" spans="1:16">
      <c r="A241" s="6" t="s">
        <v>141</v>
      </c>
      <c r="B241" s="2" t="s">
        <v>39</v>
      </c>
      <c r="C241" s="2" t="s">
        <v>46</v>
      </c>
      <c r="D241" s="2">
        <v>5</v>
      </c>
      <c r="E241" s="6" t="s">
        <v>501</v>
      </c>
      <c r="F241" s="2" t="str">
        <f t="shared" si="18"/>
        <v>C</v>
      </c>
      <c r="G241" s="2">
        <v>5</v>
      </c>
      <c r="H241" s="2" t="str">
        <f t="shared" si="19"/>
        <v>B</v>
      </c>
      <c r="I241" s="2">
        <v>5</v>
      </c>
      <c r="J241" s="2">
        <f t="shared" si="20"/>
        <v>0</v>
      </c>
      <c r="K241" s="2" t="str">
        <f t="shared" si="21"/>
        <v>C</v>
      </c>
      <c r="L241" s="2" t="str">
        <f t="shared" si="22"/>
        <v>D(平局)</v>
      </c>
      <c r="M241" s="2" t="s">
        <v>22</v>
      </c>
      <c r="N241" s="2">
        <f t="shared" si="23"/>
        <v>0</v>
      </c>
      <c r="O241" s="2" t="s">
        <v>22</v>
      </c>
      <c r="P241" s="2">
        <v>73</v>
      </c>
    </row>
    <row r="242" ht="23" customHeight="1" spans="1:16">
      <c r="A242" s="6" t="s">
        <v>255</v>
      </c>
      <c r="B242" s="2" t="s">
        <v>15</v>
      </c>
      <c r="C242" s="2" t="s">
        <v>17</v>
      </c>
      <c r="D242" s="2">
        <v>1</v>
      </c>
      <c r="E242" s="6" t="s">
        <v>497</v>
      </c>
      <c r="F242" s="2" t="str">
        <f t="shared" si="18"/>
        <v>A</v>
      </c>
      <c r="G242" s="2">
        <v>4</v>
      </c>
      <c r="H242" s="2" t="str">
        <f t="shared" si="19"/>
        <v>B</v>
      </c>
      <c r="I242" s="2">
        <v>4</v>
      </c>
      <c r="J242" s="2">
        <f t="shared" si="20"/>
        <v>0</v>
      </c>
      <c r="K242" s="2" t="str">
        <f t="shared" si="21"/>
        <v>C</v>
      </c>
      <c r="L242" s="2" t="str">
        <f t="shared" si="22"/>
        <v>D(平局)</v>
      </c>
      <c r="M242" s="2" t="s">
        <v>23</v>
      </c>
      <c r="N242" s="2">
        <f t="shared" si="23"/>
        <v>1</v>
      </c>
      <c r="O242" s="2" t="s">
        <v>27</v>
      </c>
      <c r="P242" s="2">
        <v>112</v>
      </c>
    </row>
    <row r="243" ht="23" customHeight="1" spans="1:16">
      <c r="A243" s="6" t="s">
        <v>255</v>
      </c>
      <c r="B243" s="2" t="s">
        <v>15</v>
      </c>
      <c r="C243" s="2" t="s">
        <v>46</v>
      </c>
      <c r="D243" s="2">
        <v>1</v>
      </c>
      <c r="E243" s="6" t="s">
        <v>497</v>
      </c>
      <c r="F243" s="2" t="str">
        <f t="shared" si="18"/>
        <v>B</v>
      </c>
      <c r="G243" s="2">
        <v>4</v>
      </c>
      <c r="H243" s="2" t="str">
        <f t="shared" si="19"/>
        <v>A</v>
      </c>
      <c r="I243" s="2">
        <v>4</v>
      </c>
      <c r="J243" s="2">
        <f t="shared" si="20"/>
        <v>0</v>
      </c>
      <c r="K243" s="2" t="str">
        <f t="shared" si="21"/>
        <v>C</v>
      </c>
      <c r="L243" s="2" t="str">
        <f t="shared" si="22"/>
        <v>D(平局)</v>
      </c>
      <c r="M243" s="2" t="s">
        <v>23</v>
      </c>
      <c r="N243" s="2">
        <f t="shared" si="23"/>
        <v>1</v>
      </c>
      <c r="O243" s="2" t="s">
        <v>34</v>
      </c>
      <c r="P243" s="2">
        <v>121</v>
      </c>
    </row>
    <row r="244" ht="23" customHeight="1" spans="1:16">
      <c r="A244" s="6" t="s">
        <v>255</v>
      </c>
      <c r="B244" s="2" t="s">
        <v>15</v>
      </c>
      <c r="C244" s="2" t="s">
        <v>17</v>
      </c>
      <c r="D244" s="2">
        <v>2</v>
      </c>
      <c r="E244" s="6" t="s">
        <v>498</v>
      </c>
      <c r="F244" s="2" t="str">
        <f t="shared" si="18"/>
        <v>A</v>
      </c>
      <c r="G244" s="2">
        <v>3</v>
      </c>
      <c r="H244" s="2" t="str">
        <f t="shared" si="19"/>
        <v>B</v>
      </c>
      <c r="I244" s="2">
        <v>4</v>
      </c>
      <c r="J244" s="2">
        <f t="shared" si="20"/>
        <v>-1</v>
      </c>
      <c r="K244" s="2" t="str">
        <f t="shared" si="21"/>
        <v>B</v>
      </c>
      <c r="L244" s="2" t="str">
        <f t="shared" si="22"/>
        <v>B</v>
      </c>
      <c r="M244" s="2" t="s">
        <v>23</v>
      </c>
      <c r="N244" s="2">
        <f t="shared" si="23"/>
        <v>0</v>
      </c>
      <c r="O244" s="2" t="s">
        <v>27</v>
      </c>
      <c r="P244" s="2">
        <v>112</v>
      </c>
    </row>
    <row r="245" ht="23" customHeight="1" spans="1:16">
      <c r="A245" s="6" t="s">
        <v>255</v>
      </c>
      <c r="B245" s="2" t="s">
        <v>15</v>
      </c>
      <c r="C245" s="2" t="s">
        <v>46</v>
      </c>
      <c r="D245" s="2">
        <v>2</v>
      </c>
      <c r="E245" s="6" t="s">
        <v>498</v>
      </c>
      <c r="F245" s="2" t="str">
        <f t="shared" si="18"/>
        <v>B</v>
      </c>
      <c r="G245" s="2">
        <v>4</v>
      </c>
      <c r="H245" s="2" t="str">
        <f t="shared" si="19"/>
        <v>A</v>
      </c>
      <c r="I245" s="2">
        <v>3</v>
      </c>
      <c r="J245" s="2">
        <f t="shared" si="20"/>
        <v>1</v>
      </c>
      <c r="K245" s="2" t="str">
        <f t="shared" si="21"/>
        <v>A</v>
      </c>
      <c r="L245" s="2" t="str">
        <f t="shared" si="22"/>
        <v>B</v>
      </c>
      <c r="M245" s="2" t="s">
        <v>23</v>
      </c>
      <c r="N245" s="2">
        <f t="shared" si="23"/>
        <v>0</v>
      </c>
      <c r="O245" s="2" t="s">
        <v>34</v>
      </c>
      <c r="P245" s="2">
        <v>121</v>
      </c>
    </row>
    <row r="246" ht="23" customHeight="1" spans="1:16">
      <c r="A246" s="6" t="s">
        <v>255</v>
      </c>
      <c r="B246" s="2" t="s">
        <v>15</v>
      </c>
      <c r="C246" s="2" t="s">
        <v>17</v>
      </c>
      <c r="D246" s="2">
        <v>3</v>
      </c>
      <c r="E246" s="6" t="s">
        <v>499</v>
      </c>
      <c r="F246" s="2" t="str">
        <f t="shared" si="18"/>
        <v>A</v>
      </c>
      <c r="G246" s="2">
        <v>4</v>
      </c>
      <c r="H246" s="2" t="str">
        <f t="shared" si="19"/>
        <v>B</v>
      </c>
      <c r="I246" s="2">
        <v>3</v>
      </c>
      <c r="J246" s="2">
        <f t="shared" si="20"/>
        <v>1</v>
      </c>
      <c r="K246" s="2" t="str">
        <f t="shared" si="21"/>
        <v>A</v>
      </c>
      <c r="L246" s="2" t="str">
        <f t="shared" si="22"/>
        <v>A</v>
      </c>
      <c r="M246" s="2" t="s">
        <v>23</v>
      </c>
      <c r="N246" s="2">
        <f t="shared" si="23"/>
        <v>0</v>
      </c>
      <c r="O246" s="2" t="s">
        <v>27</v>
      </c>
      <c r="P246" s="2">
        <v>112</v>
      </c>
    </row>
    <row r="247" ht="23" customHeight="1" spans="1:16">
      <c r="A247" s="6" t="s">
        <v>255</v>
      </c>
      <c r="B247" s="2" t="s">
        <v>15</v>
      </c>
      <c r="C247" s="2" t="s">
        <v>46</v>
      </c>
      <c r="D247" s="2">
        <v>3</v>
      </c>
      <c r="E247" s="6" t="s">
        <v>499</v>
      </c>
      <c r="F247" s="2" t="str">
        <f t="shared" si="18"/>
        <v>B</v>
      </c>
      <c r="G247" s="2">
        <v>4</v>
      </c>
      <c r="H247" s="2" t="str">
        <f t="shared" si="19"/>
        <v>A</v>
      </c>
      <c r="I247" s="2">
        <v>4</v>
      </c>
      <c r="J247" s="2">
        <f t="shared" si="20"/>
        <v>0</v>
      </c>
      <c r="K247" s="2" t="str">
        <f t="shared" si="21"/>
        <v>C</v>
      </c>
      <c r="L247" s="2" t="str">
        <f t="shared" si="22"/>
        <v>D(平局)</v>
      </c>
      <c r="M247" s="2" t="s">
        <v>23</v>
      </c>
      <c r="N247" s="2">
        <f t="shared" si="23"/>
        <v>1</v>
      </c>
      <c r="O247" s="2" t="s">
        <v>34</v>
      </c>
      <c r="P247" s="2">
        <v>121</v>
      </c>
    </row>
    <row r="248" ht="23" customHeight="1" spans="1:16">
      <c r="A248" s="6" t="s">
        <v>255</v>
      </c>
      <c r="B248" s="2" t="s">
        <v>15</v>
      </c>
      <c r="C248" s="2" t="s">
        <v>17</v>
      </c>
      <c r="D248" s="2">
        <v>4</v>
      </c>
      <c r="E248" s="6" t="s">
        <v>500</v>
      </c>
      <c r="F248" s="2" t="str">
        <f t="shared" si="18"/>
        <v>A</v>
      </c>
      <c r="G248" s="2">
        <v>4</v>
      </c>
      <c r="H248" s="2" t="str">
        <f t="shared" si="19"/>
        <v>B</v>
      </c>
      <c r="I248" s="2">
        <v>4</v>
      </c>
      <c r="J248" s="2">
        <f t="shared" si="20"/>
        <v>0</v>
      </c>
      <c r="K248" s="2" t="str">
        <f t="shared" si="21"/>
        <v>C</v>
      </c>
      <c r="L248" s="2" t="str">
        <f t="shared" si="22"/>
        <v>D(平局)</v>
      </c>
      <c r="M248" s="2" t="s">
        <v>23</v>
      </c>
      <c r="N248" s="2">
        <f t="shared" si="23"/>
        <v>1</v>
      </c>
      <c r="O248" s="2" t="s">
        <v>27</v>
      </c>
      <c r="P248" s="2">
        <v>112</v>
      </c>
    </row>
    <row r="249" ht="23" customHeight="1" spans="1:16">
      <c r="A249" s="6" t="s">
        <v>255</v>
      </c>
      <c r="B249" s="2" t="s">
        <v>15</v>
      </c>
      <c r="C249" s="2" t="s">
        <v>46</v>
      </c>
      <c r="D249" s="2">
        <v>4</v>
      </c>
      <c r="E249" s="6" t="s">
        <v>500</v>
      </c>
      <c r="F249" s="2" t="str">
        <f t="shared" si="18"/>
        <v>B</v>
      </c>
      <c r="G249" s="2">
        <v>3</v>
      </c>
      <c r="H249" s="2" t="str">
        <f t="shared" si="19"/>
        <v>A</v>
      </c>
      <c r="I249" s="2">
        <v>3</v>
      </c>
      <c r="J249" s="2">
        <f t="shared" si="20"/>
        <v>0</v>
      </c>
      <c r="K249" s="2" t="str">
        <f t="shared" si="21"/>
        <v>C</v>
      </c>
      <c r="L249" s="2" t="str">
        <f t="shared" si="22"/>
        <v>D(平局)</v>
      </c>
      <c r="M249" s="2" t="s">
        <v>23</v>
      </c>
      <c r="N249" s="2">
        <f t="shared" si="23"/>
        <v>1</v>
      </c>
      <c r="O249" s="2" t="s">
        <v>34</v>
      </c>
      <c r="P249" s="2">
        <v>121</v>
      </c>
    </row>
    <row r="250" ht="23" customHeight="1" spans="1:16">
      <c r="A250" s="6" t="s">
        <v>255</v>
      </c>
      <c r="B250" s="2" t="s">
        <v>15</v>
      </c>
      <c r="C250" s="2" t="s">
        <v>17</v>
      </c>
      <c r="D250" s="2">
        <v>5</v>
      </c>
      <c r="E250" s="6" t="s">
        <v>501</v>
      </c>
      <c r="F250" s="2" t="str">
        <f t="shared" si="18"/>
        <v>A</v>
      </c>
      <c r="G250" s="2">
        <v>5</v>
      </c>
      <c r="H250" s="2" t="str">
        <f t="shared" si="19"/>
        <v>B</v>
      </c>
      <c r="I250" s="2">
        <v>5</v>
      </c>
      <c r="J250" s="2">
        <f t="shared" si="20"/>
        <v>0</v>
      </c>
      <c r="K250" s="2" t="str">
        <f t="shared" si="21"/>
        <v>C</v>
      </c>
      <c r="L250" s="2" t="str">
        <f t="shared" si="22"/>
        <v>D(平局)</v>
      </c>
      <c r="M250" s="2" t="s">
        <v>23</v>
      </c>
      <c r="N250" s="2">
        <f t="shared" si="23"/>
        <v>1</v>
      </c>
      <c r="O250" s="2" t="s">
        <v>27</v>
      </c>
      <c r="P250" s="2">
        <v>112</v>
      </c>
    </row>
    <row r="251" ht="23" customHeight="1" spans="1:16">
      <c r="A251" s="6" t="s">
        <v>255</v>
      </c>
      <c r="B251" s="2" t="s">
        <v>15</v>
      </c>
      <c r="C251" s="2" t="s">
        <v>46</v>
      </c>
      <c r="D251" s="2">
        <v>5</v>
      </c>
      <c r="E251" s="6" t="s">
        <v>501</v>
      </c>
      <c r="F251" s="2" t="str">
        <f t="shared" si="18"/>
        <v>B</v>
      </c>
      <c r="G251" s="2">
        <v>5</v>
      </c>
      <c r="H251" s="2" t="str">
        <f t="shared" si="19"/>
        <v>A</v>
      </c>
      <c r="I251" s="2">
        <v>5</v>
      </c>
      <c r="J251" s="2">
        <f t="shared" si="20"/>
        <v>0</v>
      </c>
      <c r="K251" s="2" t="str">
        <f t="shared" si="21"/>
        <v>C</v>
      </c>
      <c r="L251" s="2" t="str">
        <f t="shared" si="22"/>
        <v>D(平局)</v>
      </c>
      <c r="M251" s="2" t="s">
        <v>23</v>
      </c>
      <c r="N251" s="2">
        <f t="shared" si="23"/>
        <v>1</v>
      </c>
      <c r="O251" s="2" t="s">
        <v>34</v>
      </c>
      <c r="P251" s="2">
        <v>121</v>
      </c>
    </row>
    <row r="252" ht="23" customHeight="1" spans="1:16">
      <c r="A252" s="6" t="s">
        <v>255</v>
      </c>
      <c r="B252" s="2" t="s">
        <v>31</v>
      </c>
      <c r="C252" s="2" t="s">
        <v>17</v>
      </c>
      <c r="D252" s="2">
        <v>1</v>
      </c>
      <c r="E252" s="6" t="s">
        <v>497</v>
      </c>
      <c r="F252" s="2" t="str">
        <f t="shared" si="18"/>
        <v>A</v>
      </c>
      <c r="G252" s="2">
        <v>4</v>
      </c>
      <c r="H252" s="2" t="str">
        <f t="shared" si="19"/>
        <v>C</v>
      </c>
      <c r="I252" s="2">
        <v>3</v>
      </c>
      <c r="J252" s="2">
        <f t="shared" si="20"/>
        <v>1</v>
      </c>
      <c r="K252" s="2" t="str">
        <f t="shared" si="21"/>
        <v>A</v>
      </c>
      <c r="L252" s="2" t="str">
        <f t="shared" si="22"/>
        <v>A</v>
      </c>
      <c r="M252" s="2" t="s">
        <v>34</v>
      </c>
      <c r="N252" s="2">
        <f t="shared" si="23"/>
        <v>1</v>
      </c>
      <c r="O252" s="2" t="s">
        <v>34</v>
      </c>
      <c r="P252" s="2">
        <v>115</v>
      </c>
    </row>
    <row r="253" ht="23" customHeight="1" spans="1:16">
      <c r="A253" s="6" t="s">
        <v>255</v>
      </c>
      <c r="B253" s="2" t="s">
        <v>31</v>
      </c>
      <c r="C253" s="2" t="s">
        <v>46</v>
      </c>
      <c r="D253" s="2">
        <v>1</v>
      </c>
      <c r="E253" s="6" t="s">
        <v>497</v>
      </c>
      <c r="F253" s="2" t="str">
        <f t="shared" si="18"/>
        <v>C</v>
      </c>
      <c r="G253" s="2">
        <v>3</v>
      </c>
      <c r="H253" s="2" t="str">
        <f t="shared" si="19"/>
        <v>A</v>
      </c>
      <c r="I253" s="2">
        <v>4</v>
      </c>
      <c r="J253" s="2">
        <f t="shared" si="20"/>
        <v>-1</v>
      </c>
      <c r="K253" s="2" t="str">
        <f t="shared" si="21"/>
        <v>B</v>
      </c>
      <c r="L253" s="2" t="str">
        <f t="shared" si="22"/>
        <v>A</v>
      </c>
      <c r="M253" s="2" t="s">
        <v>34</v>
      </c>
      <c r="N253" s="2">
        <f t="shared" si="23"/>
        <v>1</v>
      </c>
      <c r="O253" s="2" t="s">
        <v>22</v>
      </c>
      <c r="P253" s="2">
        <v>124</v>
      </c>
    </row>
    <row r="254" ht="23" customHeight="1" spans="1:16">
      <c r="A254" s="6" t="s">
        <v>255</v>
      </c>
      <c r="B254" s="2" t="s">
        <v>31</v>
      </c>
      <c r="C254" s="2" t="s">
        <v>17</v>
      </c>
      <c r="D254" s="2">
        <v>2</v>
      </c>
      <c r="E254" s="6" t="s">
        <v>498</v>
      </c>
      <c r="F254" s="2" t="str">
        <f t="shared" si="18"/>
        <v>A</v>
      </c>
      <c r="G254" s="2">
        <v>4</v>
      </c>
      <c r="H254" s="2" t="str">
        <f t="shared" si="19"/>
        <v>C</v>
      </c>
      <c r="I254" s="2">
        <v>3</v>
      </c>
      <c r="J254" s="2">
        <f t="shared" si="20"/>
        <v>1</v>
      </c>
      <c r="K254" s="2" t="str">
        <f t="shared" si="21"/>
        <v>A</v>
      </c>
      <c r="L254" s="2" t="str">
        <f t="shared" si="22"/>
        <v>A</v>
      </c>
      <c r="M254" s="2" t="s">
        <v>34</v>
      </c>
      <c r="N254" s="2">
        <f t="shared" si="23"/>
        <v>1</v>
      </c>
      <c r="O254" s="2" t="s">
        <v>34</v>
      </c>
      <c r="P254" s="2">
        <v>115</v>
      </c>
    </row>
    <row r="255" ht="23" customHeight="1" spans="1:16">
      <c r="A255" s="6" t="s">
        <v>255</v>
      </c>
      <c r="B255" s="2" t="s">
        <v>31</v>
      </c>
      <c r="C255" s="2" t="s">
        <v>46</v>
      </c>
      <c r="D255" s="2">
        <v>2</v>
      </c>
      <c r="E255" s="6" t="s">
        <v>498</v>
      </c>
      <c r="F255" s="2" t="str">
        <f t="shared" si="18"/>
        <v>C</v>
      </c>
      <c r="G255" s="2">
        <v>2</v>
      </c>
      <c r="H255" s="2" t="str">
        <f t="shared" si="19"/>
        <v>A</v>
      </c>
      <c r="I255" s="2">
        <v>4</v>
      </c>
      <c r="J255" s="2">
        <f t="shared" si="20"/>
        <v>-2</v>
      </c>
      <c r="K255" s="2" t="str">
        <f t="shared" si="21"/>
        <v>B</v>
      </c>
      <c r="L255" s="2" t="str">
        <f t="shared" si="22"/>
        <v>A</v>
      </c>
      <c r="M255" s="2" t="s">
        <v>34</v>
      </c>
      <c r="N255" s="2">
        <f t="shared" si="23"/>
        <v>1</v>
      </c>
      <c r="O255" s="2" t="s">
        <v>22</v>
      </c>
      <c r="P255" s="2">
        <v>124</v>
      </c>
    </row>
    <row r="256" ht="23" customHeight="1" spans="1:16">
      <c r="A256" s="6" t="s">
        <v>255</v>
      </c>
      <c r="B256" s="2" t="s">
        <v>31</v>
      </c>
      <c r="C256" s="2" t="s">
        <v>17</v>
      </c>
      <c r="D256" s="2">
        <v>3</v>
      </c>
      <c r="E256" s="6" t="s">
        <v>499</v>
      </c>
      <c r="F256" s="2" t="str">
        <f t="shared" si="18"/>
        <v>A</v>
      </c>
      <c r="G256" s="2">
        <v>5</v>
      </c>
      <c r="H256" s="2" t="str">
        <f t="shared" si="19"/>
        <v>C</v>
      </c>
      <c r="I256" s="2">
        <v>2</v>
      </c>
      <c r="J256" s="2">
        <f t="shared" si="20"/>
        <v>3</v>
      </c>
      <c r="K256" s="2" t="str">
        <f t="shared" si="21"/>
        <v>A</v>
      </c>
      <c r="L256" s="2" t="str">
        <f t="shared" si="22"/>
        <v>A</v>
      </c>
      <c r="M256" s="2" t="s">
        <v>34</v>
      </c>
      <c r="N256" s="2">
        <f t="shared" si="23"/>
        <v>1</v>
      </c>
      <c r="O256" s="2" t="s">
        <v>34</v>
      </c>
      <c r="P256" s="2">
        <v>115</v>
      </c>
    </row>
    <row r="257" ht="23" customHeight="1" spans="1:16">
      <c r="A257" s="6" t="s">
        <v>255</v>
      </c>
      <c r="B257" s="2" t="s">
        <v>31</v>
      </c>
      <c r="C257" s="2" t="s">
        <v>46</v>
      </c>
      <c r="D257" s="2">
        <v>3</v>
      </c>
      <c r="E257" s="6" t="s">
        <v>499</v>
      </c>
      <c r="F257" s="2" t="str">
        <f t="shared" si="18"/>
        <v>C</v>
      </c>
      <c r="G257" s="2">
        <v>2</v>
      </c>
      <c r="H257" s="2" t="str">
        <f t="shared" si="19"/>
        <v>A</v>
      </c>
      <c r="I257" s="2">
        <v>4</v>
      </c>
      <c r="J257" s="2">
        <f t="shared" si="20"/>
        <v>-2</v>
      </c>
      <c r="K257" s="2" t="str">
        <f t="shared" si="21"/>
        <v>B</v>
      </c>
      <c r="L257" s="2" t="str">
        <f t="shared" si="22"/>
        <v>A</v>
      </c>
      <c r="M257" s="2" t="s">
        <v>34</v>
      </c>
      <c r="N257" s="2">
        <f t="shared" si="23"/>
        <v>1</v>
      </c>
      <c r="O257" s="2" t="s">
        <v>22</v>
      </c>
      <c r="P257" s="2">
        <v>124</v>
      </c>
    </row>
    <row r="258" ht="23" customHeight="1" spans="1:16">
      <c r="A258" s="6" t="s">
        <v>255</v>
      </c>
      <c r="B258" s="2" t="s">
        <v>31</v>
      </c>
      <c r="C258" s="2" t="s">
        <v>17</v>
      </c>
      <c r="D258" s="2">
        <v>4</v>
      </c>
      <c r="E258" s="6" t="s">
        <v>500</v>
      </c>
      <c r="F258" s="2" t="str">
        <f t="shared" ref="F258:F321" si="24">IF(C258="l2r",LEFT(B258,1),RIGHT(B258,1))</f>
        <v>A</v>
      </c>
      <c r="G258" s="2">
        <v>4</v>
      </c>
      <c r="H258" s="2" t="str">
        <f t="shared" ref="H258:H321" si="25">IF(C258="l2r",RIGHT(B258,1),LEFT(B258,1))</f>
        <v>C</v>
      </c>
      <c r="I258" s="2">
        <v>2</v>
      </c>
      <c r="J258" s="2">
        <f t="shared" ref="J258:J321" si="26">G258-I258</f>
        <v>2</v>
      </c>
      <c r="K258" s="2" t="str">
        <f t="shared" ref="K258:K321" si="27">IF(J258=0,"C",IF(J258&gt;0,"A","B"))</f>
        <v>A</v>
      </c>
      <c r="L258" s="2" t="str">
        <f t="shared" ref="L258:L321" si="28">IF(J258=0,"D(平局)",IF(J258&gt;0,F258,H258))</f>
        <v>A</v>
      </c>
      <c r="M258" s="2" t="s">
        <v>34</v>
      </c>
      <c r="N258" s="2">
        <f t="shared" ref="N258:N321" si="29">--(L258=M258)</f>
        <v>1</v>
      </c>
      <c r="O258" s="2" t="s">
        <v>34</v>
      </c>
      <c r="P258" s="2">
        <v>115</v>
      </c>
    </row>
    <row r="259" ht="23" customHeight="1" spans="1:16">
      <c r="A259" s="6" t="s">
        <v>255</v>
      </c>
      <c r="B259" s="2" t="s">
        <v>31</v>
      </c>
      <c r="C259" s="2" t="s">
        <v>46</v>
      </c>
      <c r="D259" s="2">
        <v>4</v>
      </c>
      <c r="E259" s="6" t="s">
        <v>500</v>
      </c>
      <c r="F259" s="2" t="str">
        <f t="shared" si="24"/>
        <v>C</v>
      </c>
      <c r="G259" s="2">
        <v>3</v>
      </c>
      <c r="H259" s="2" t="str">
        <f t="shared" si="25"/>
        <v>A</v>
      </c>
      <c r="I259" s="2">
        <v>4</v>
      </c>
      <c r="J259" s="2">
        <f t="shared" si="26"/>
        <v>-1</v>
      </c>
      <c r="K259" s="2" t="str">
        <f t="shared" si="27"/>
        <v>B</v>
      </c>
      <c r="L259" s="2" t="str">
        <f t="shared" si="28"/>
        <v>A</v>
      </c>
      <c r="M259" s="2" t="s">
        <v>34</v>
      </c>
      <c r="N259" s="2">
        <f t="shared" si="29"/>
        <v>1</v>
      </c>
      <c r="O259" s="2" t="s">
        <v>22</v>
      </c>
      <c r="P259" s="2">
        <v>124</v>
      </c>
    </row>
    <row r="260" ht="23" customHeight="1" spans="1:16">
      <c r="A260" s="6" t="s">
        <v>255</v>
      </c>
      <c r="B260" s="2" t="s">
        <v>31</v>
      </c>
      <c r="C260" s="2" t="s">
        <v>17</v>
      </c>
      <c r="D260" s="2">
        <v>5</v>
      </c>
      <c r="E260" s="6" t="s">
        <v>501</v>
      </c>
      <c r="F260" s="2" t="str">
        <f t="shared" si="24"/>
        <v>A</v>
      </c>
      <c r="G260" s="2">
        <v>5</v>
      </c>
      <c r="H260" s="2" t="str">
        <f t="shared" si="25"/>
        <v>C</v>
      </c>
      <c r="I260" s="2">
        <v>5</v>
      </c>
      <c r="J260" s="2">
        <f t="shared" si="26"/>
        <v>0</v>
      </c>
      <c r="K260" s="2" t="str">
        <f t="shared" si="27"/>
        <v>C</v>
      </c>
      <c r="L260" s="2" t="str">
        <f t="shared" si="28"/>
        <v>D(平局)</v>
      </c>
      <c r="M260" s="2" t="s">
        <v>34</v>
      </c>
      <c r="N260" s="2">
        <f t="shared" si="29"/>
        <v>0</v>
      </c>
      <c r="O260" s="2" t="s">
        <v>34</v>
      </c>
      <c r="P260" s="2">
        <v>115</v>
      </c>
    </row>
    <row r="261" ht="23" customHeight="1" spans="1:16">
      <c r="A261" s="6" t="s">
        <v>255</v>
      </c>
      <c r="B261" s="2" t="s">
        <v>31</v>
      </c>
      <c r="C261" s="2" t="s">
        <v>46</v>
      </c>
      <c r="D261" s="2">
        <v>5</v>
      </c>
      <c r="E261" s="6" t="s">
        <v>501</v>
      </c>
      <c r="F261" s="2" t="str">
        <f t="shared" si="24"/>
        <v>C</v>
      </c>
      <c r="G261" s="2">
        <v>5</v>
      </c>
      <c r="H261" s="2" t="str">
        <f t="shared" si="25"/>
        <v>A</v>
      </c>
      <c r="I261" s="2">
        <v>5</v>
      </c>
      <c r="J261" s="2">
        <f t="shared" si="26"/>
        <v>0</v>
      </c>
      <c r="K261" s="2" t="str">
        <f t="shared" si="27"/>
        <v>C</v>
      </c>
      <c r="L261" s="2" t="str">
        <f t="shared" si="28"/>
        <v>D(平局)</v>
      </c>
      <c r="M261" s="2" t="s">
        <v>34</v>
      </c>
      <c r="N261" s="2">
        <f t="shared" si="29"/>
        <v>0</v>
      </c>
      <c r="O261" s="2" t="s">
        <v>22</v>
      </c>
      <c r="P261" s="2">
        <v>124</v>
      </c>
    </row>
    <row r="262" ht="23" customHeight="1" spans="1:16">
      <c r="A262" s="6" t="s">
        <v>255</v>
      </c>
      <c r="B262" s="2" t="s">
        <v>39</v>
      </c>
      <c r="C262" s="2" t="s">
        <v>17</v>
      </c>
      <c r="D262" s="2">
        <v>1</v>
      </c>
      <c r="E262" s="6" t="s">
        <v>497</v>
      </c>
      <c r="F262" s="2" t="str">
        <f t="shared" si="24"/>
        <v>B</v>
      </c>
      <c r="G262" s="2">
        <v>4</v>
      </c>
      <c r="H262" s="2" t="str">
        <f t="shared" si="25"/>
        <v>C</v>
      </c>
      <c r="I262" s="2">
        <v>3</v>
      </c>
      <c r="J262" s="2">
        <f t="shared" si="26"/>
        <v>1</v>
      </c>
      <c r="K262" s="2" t="str">
        <f t="shared" si="27"/>
        <v>A</v>
      </c>
      <c r="L262" s="2" t="str">
        <f t="shared" si="28"/>
        <v>B</v>
      </c>
      <c r="M262" s="2" t="s">
        <v>22</v>
      </c>
      <c r="N262" s="2">
        <f t="shared" si="29"/>
        <v>1</v>
      </c>
      <c r="O262" s="2" t="s">
        <v>34</v>
      </c>
      <c r="P262" s="2">
        <v>118</v>
      </c>
    </row>
    <row r="263" ht="23" customHeight="1" spans="1:16">
      <c r="A263" s="6" t="s">
        <v>255</v>
      </c>
      <c r="B263" s="2" t="s">
        <v>39</v>
      </c>
      <c r="C263" s="2" t="s">
        <v>46</v>
      </c>
      <c r="D263" s="2">
        <v>1</v>
      </c>
      <c r="E263" s="6" t="s">
        <v>497</v>
      </c>
      <c r="F263" s="2" t="str">
        <f t="shared" si="24"/>
        <v>C</v>
      </c>
      <c r="G263" s="2">
        <v>3</v>
      </c>
      <c r="H263" s="2" t="str">
        <f t="shared" si="25"/>
        <v>B</v>
      </c>
      <c r="I263" s="2">
        <v>4</v>
      </c>
      <c r="J263" s="2">
        <f t="shared" si="26"/>
        <v>-1</v>
      </c>
      <c r="K263" s="2" t="str">
        <f t="shared" si="27"/>
        <v>B</v>
      </c>
      <c r="L263" s="2" t="str">
        <f t="shared" si="28"/>
        <v>B</v>
      </c>
      <c r="M263" s="2" t="s">
        <v>22</v>
      </c>
      <c r="N263" s="2">
        <f t="shared" si="29"/>
        <v>1</v>
      </c>
      <c r="O263" s="2" t="s">
        <v>22</v>
      </c>
      <c r="P263" s="2">
        <v>127</v>
      </c>
    </row>
    <row r="264" ht="23" customHeight="1" spans="1:16">
      <c r="A264" s="6" t="s">
        <v>255</v>
      </c>
      <c r="B264" s="2" t="s">
        <v>39</v>
      </c>
      <c r="C264" s="2" t="s">
        <v>17</v>
      </c>
      <c r="D264" s="2">
        <v>2</v>
      </c>
      <c r="E264" s="6" t="s">
        <v>498</v>
      </c>
      <c r="F264" s="2" t="str">
        <f t="shared" si="24"/>
        <v>B</v>
      </c>
      <c r="G264" s="2">
        <v>4</v>
      </c>
      <c r="H264" s="2" t="str">
        <f t="shared" si="25"/>
        <v>C</v>
      </c>
      <c r="I264" s="2">
        <v>3</v>
      </c>
      <c r="J264" s="2">
        <f t="shared" si="26"/>
        <v>1</v>
      </c>
      <c r="K264" s="2" t="str">
        <f t="shared" si="27"/>
        <v>A</v>
      </c>
      <c r="L264" s="2" t="str">
        <f t="shared" si="28"/>
        <v>B</v>
      </c>
      <c r="M264" s="2" t="s">
        <v>22</v>
      </c>
      <c r="N264" s="2">
        <f t="shared" si="29"/>
        <v>1</v>
      </c>
      <c r="O264" s="2" t="s">
        <v>34</v>
      </c>
      <c r="P264" s="2">
        <v>118</v>
      </c>
    </row>
    <row r="265" ht="23" customHeight="1" spans="1:16">
      <c r="A265" s="6" t="s">
        <v>255</v>
      </c>
      <c r="B265" s="2" t="s">
        <v>39</v>
      </c>
      <c r="C265" s="2" t="s">
        <v>46</v>
      </c>
      <c r="D265" s="2">
        <v>2</v>
      </c>
      <c r="E265" s="6" t="s">
        <v>498</v>
      </c>
      <c r="F265" s="2" t="str">
        <f t="shared" si="24"/>
        <v>C</v>
      </c>
      <c r="G265" s="2">
        <v>3</v>
      </c>
      <c r="H265" s="2" t="str">
        <f t="shared" si="25"/>
        <v>B</v>
      </c>
      <c r="I265" s="2">
        <v>4</v>
      </c>
      <c r="J265" s="2">
        <f t="shared" si="26"/>
        <v>-1</v>
      </c>
      <c r="K265" s="2" t="str">
        <f t="shared" si="27"/>
        <v>B</v>
      </c>
      <c r="L265" s="2" t="str">
        <f t="shared" si="28"/>
        <v>B</v>
      </c>
      <c r="M265" s="2" t="s">
        <v>22</v>
      </c>
      <c r="N265" s="2">
        <f t="shared" si="29"/>
        <v>1</v>
      </c>
      <c r="O265" s="2" t="s">
        <v>22</v>
      </c>
      <c r="P265" s="2">
        <v>127</v>
      </c>
    </row>
    <row r="266" ht="23" customHeight="1" spans="1:16">
      <c r="A266" s="6" t="s">
        <v>255</v>
      </c>
      <c r="B266" s="2" t="s">
        <v>39</v>
      </c>
      <c r="C266" s="2" t="s">
        <v>17</v>
      </c>
      <c r="D266" s="2">
        <v>3</v>
      </c>
      <c r="E266" s="6" t="s">
        <v>499</v>
      </c>
      <c r="F266" s="2" t="str">
        <f t="shared" si="24"/>
        <v>B</v>
      </c>
      <c r="G266" s="2">
        <v>4</v>
      </c>
      <c r="H266" s="2" t="str">
        <f t="shared" si="25"/>
        <v>C</v>
      </c>
      <c r="I266" s="2">
        <v>3</v>
      </c>
      <c r="J266" s="2">
        <f t="shared" si="26"/>
        <v>1</v>
      </c>
      <c r="K266" s="2" t="str">
        <f t="shared" si="27"/>
        <v>A</v>
      </c>
      <c r="L266" s="2" t="str">
        <f t="shared" si="28"/>
        <v>B</v>
      </c>
      <c r="M266" s="2" t="s">
        <v>22</v>
      </c>
      <c r="N266" s="2">
        <f t="shared" si="29"/>
        <v>1</v>
      </c>
      <c r="O266" s="2" t="s">
        <v>34</v>
      </c>
      <c r="P266" s="2">
        <v>118</v>
      </c>
    </row>
    <row r="267" ht="23" customHeight="1" spans="1:16">
      <c r="A267" s="6" t="s">
        <v>255</v>
      </c>
      <c r="B267" s="2" t="s">
        <v>39</v>
      </c>
      <c r="C267" s="2" t="s">
        <v>46</v>
      </c>
      <c r="D267" s="2">
        <v>3</v>
      </c>
      <c r="E267" s="6" t="s">
        <v>499</v>
      </c>
      <c r="F267" s="2" t="str">
        <f t="shared" si="24"/>
        <v>C</v>
      </c>
      <c r="G267" s="2">
        <v>3</v>
      </c>
      <c r="H267" s="2" t="str">
        <f t="shared" si="25"/>
        <v>B</v>
      </c>
      <c r="I267" s="2">
        <v>4</v>
      </c>
      <c r="J267" s="2">
        <f t="shared" si="26"/>
        <v>-1</v>
      </c>
      <c r="K267" s="2" t="str">
        <f t="shared" si="27"/>
        <v>B</v>
      </c>
      <c r="L267" s="2" t="str">
        <f t="shared" si="28"/>
        <v>B</v>
      </c>
      <c r="M267" s="2" t="s">
        <v>22</v>
      </c>
      <c r="N267" s="2">
        <f t="shared" si="29"/>
        <v>1</v>
      </c>
      <c r="O267" s="2" t="s">
        <v>22</v>
      </c>
      <c r="P267" s="2">
        <v>127</v>
      </c>
    </row>
    <row r="268" ht="23" customHeight="1" spans="1:16">
      <c r="A268" s="6" t="s">
        <v>255</v>
      </c>
      <c r="B268" s="2" t="s">
        <v>39</v>
      </c>
      <c r="C268" s="2" t="s">
        <v>17</v>
      </c>
      <c r="D268" s="2">
        <v>4</v>
      </c>
      <c r="E268" s="6" t="s">
        <v>500</v>
      </c>
      <c r="F268" s="2" t="str">
        <f t="shared" si="24"/>
        <v>B</v>
      </c>
      <c r="G268" s="2">
        <v>5</v>
      </c>
      <c r="H268" s="2" t="str">
        <f t="shared" si="25"/>
        <v>C</v>
      </c>
      <c r="I268" s="2">
        <v>3</v>
      </c>
      <c r="J268" s="2">
        <f t="shared" si="26"/>
        <v>2</v>
      </c>
      <c r="K268" s="2" t="str">
        <f t="shared" si="27"/>
        <v>A</v>
      </c>
      <c r="L268" s="2" t="str">
        <f t="shared" si="28"/>
        <v>B</v>
      </c>
      <c r="M268" s="2" t="s">
        <v>22</v>
      </c>
      <c r="N268" s="2">
        <f t="shared" si="29"/>
        <v>1</v>
      </c>
      <c r="O268" s="2" t="s">
        <v>34</v>
      </c>
      <c r="P268" s="2">
        <v>118</v>
      </c>
    </row>
    <row r="269" ht="23" customHeight="1" spans="1:16">
      <c r="A269" s="6" t="s">
        <v>255</v>
      </c>
      <c r="B269" s="2" t="s">
        <v>39</v>
      </c>
      <c r="C269" s="2" t="s">
        <v>46</v>
      </c>
      <c r="D269" s="2">
        <v>4</v>
      </c>
      <c r="E269" s="6" t="s">
        <v>500</v>
      </c>
      <c r="F269" s="2" t="str">
        <f t="shared" si="24"/>
        <v>C</v>
      </c>
      <c r="G269" s="2">
        <v>3</v>
      </c>
      <c r="H269" s="2" t="str">
        <f t="shared" si="25"/>
        <v>B</v>
      </c>
      <c r="I269" s="2">
        <v>4</v>
      </c>
      <c r="J269" s="2">
        <f t="shared" si="26"/>
        <v>-1</v>
      </c>
      <c r="K269" s="2" t="str">
        <f t="shared" si="27"/>
        <v>B</v>
      </c>
      <c r="L269" s="2" t="str">
        <f t="shared" si="28"/>
        <v>B</v>
      </c>
      <c r="M269" s="2" t="s">
        <v>22</v>
      </c>
      <c r="N269" s="2">
        <f t="shared" si="29"/>
        <v>1</v>
      </c>
      <c r="O269" s="2" t="s">
        <v>22</v>
      </c>
      <c r="P269" s="2">
        <v>127</v>
      </c>
    </row>
    <row r="270" ht="23" customHeight="1" spans="1:16">
      <c r="A270" s="6" t="s">
        <v>255</v>
      </c>
      <c r="B270" s="2" t="s">
        <v>39</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22</v>
      </c>
      <c r="N270" s="2">
        <f t="shared" si="29"/>
        <v>0</v>
      </c>
      <c r="O270" s="2" t="s">
        <v>34</v>
      </c>
      <c r="P270" s="2">
        <v>118</v>
      </c>
    </row>
    <row r="271" ht="23" customHeight="1" spans="1:16">
      <c r="A271" s="6" t="s">
        <v>255</v>
      </c>
      <c r="B271" s="2" t="s">
        <v>39</v>
      </c>
      <c r="C271" s="2" t="s">
        <v>46</v>
      </c>
      <c r="D271" s="2">
        <v>5</v>
      </c>
      <c r="E271" s="6" t="s">
        <v>501</v>
      </c>
      <c r="F271" s="2" t="str">
        <f t="shared" si="24"/>
        <v>C</v>
      </c>
      <c r="G271" s="2">
        <v>4</v>
      </c>
      <c r="H271" s="2" t="str">
        <f t="shared" si="25"/>
        <v>B</v>
      </c>
      <c r="I271" s="2">
        <v>5</v>
      </c>
      <c r="J271" s="2">
        <f t="shared" si="26"/>
        <v>-1</v>
      </c>
      <c r="K271" s="2" t="str">
        <f t="shared" si="27"/>
        <v>B</v>
      </c>
      <c r="L271" s="2" t="str">
        <f t="shared" si="28"/>
        <v>B</v>
      </c>
      <c r="M271" s="2" t="s">
        <v>22</v>
      </c>
      <c r="N271" s="2">
        <f t="shared" si="29"/>
        <v>1</v>
      </c>
      <c r="O271" s="2" t="s">
        <v>22</v>
      </c>
      <c r="P271" s="2">
        <v>127</v>
      </c>
    </row>
    <row r="272" ht="23" customHeight="1" spans="1:16">
      <c r="A272" s="6" t="s">
        <v>331</v>
      </c>
      <c r="B272" s="2" t="s">
        <v>15</v>
      </c>
      <c r="C272" s="2" t="s">
        <v>17</v>
      </c>
      <c r="D272" s="2">
        <v>1</v>
      </c>
      <c r="E272" s="6" t="s">
        <v>497</v>
      </c>
      <c r="F272" s="2" t="str">
        <f t="shared" si="24"/>
        <v>A</v>
      </c>
      <c r="G272" s="2">
        <v>4</v>
      </c>
      <c r="H272" s="2" t="str">
        <f t="shared" si="25"/>
        <v>B</v>
      </c>
      <c r="I272" s="2">
        <v>5</v>
      </c>
      <c r="J272" s="2">
        <f t="shared" si="26"/>
        <v>-1</v>
      </c>
      <c r="K272" s="2" t="str">
        <f t="shared" si="27"/>
        <v>B</v>
      </c>
      <c r="L272" s="2" t="str">
        <f t="shared" si="28"/>
        <v>B</v>
      </c>
      <c r="M272" s="2" t="s">
        <v>22</v>
      </c>
      <c r="N272" s="2">
        <f t="shared" si="29"/>
        <v>1</v>
      </c>
      <c r="O272" s="2" t="s">
        <v>27</v>
      </c>
      <c r="P272" s="2">
        <v>148</v>
      </c>
    </row>
    <row r="273" ht="23" customHeight="1" spans="1:16">
      <c r="A273" s="6" t="s">
        <v>331</v>
      </c>
      <c r="B273" s="2" t="s">
        <v>15</v>
      </c>
      <c r="C273" s="2" t="s">
        <v>46</v>
      </c>
      <c r="D273" s="2">
        <v>1</v>
      </c>
      <c r="E273" s="6" t="s">
        <v>497</v>
      </c>
      <c r="F273" s="2" t="str">
        <f t="shared" si="24"/>
        <v>B</v>
      </c>
      <c r="G273" s="2">
        <v>5</v>
      </c>
      <c r="H273" s="2" t="str">
        <f t="shared" si="25"/>
        <v>A</v>
      </c>
      <c r="I273" s="2">
        <v>4</v>
      </c>
      <c r="J273" s="2">
        <f t="shared" si="26"/>
        <v>1</v>
      </c>
      <c r="K273" s="2" t="str">
        <f t="shared" si="27"/>
        <v>A</v>
      </c>
      <c r="L273" s="2" t="str">
        <f t="shared" si="28"/>
        <v>B</v>
      </c>
      <c r="M273" s="2" t="s">
        <v>22</v>
      </c>
      <c r="N273" s="2">
        <f t="shared" si="29"/>
        <v>1</v>
      </c>
      <c r="O273" s="2" t="s">
        <v>34</v>
      </c>
      <c r="P273" s="2">
        <v>157</v>
      </c>
    </row>
    <row r="274" ht="23" customHeight="1" spans="1:16">
      <c r="A274" s="6" t="s">
        <v>331</v>
      </c>
      <c r="B274" s="2" t="s">
        <v>15</v>
      </c>
      <c r="C274" s="2" t="s">
        <v>17</v>
      </c>
      <c r="D274" s="2">
        <v>2</v>
      </c>
      <c r="E274" s="6" t="s">
        <v>498</v>
      </c>
      <c r="F274" s="2" t="str">
        <f t="shared" si="24"/>
        <v>A</v>
      </c>
      <c r="G274" s="2">
        <v>4</v>
      </c>
      <c r="H274" s="2" t="str">
        <f t="shared" si="25"/>
        <v>B</v>
      </c>
      <c r="I274" s="2">
        <v>4</v>
      </c>
      <c r="J274" s="2">
        <f t="shared" si="26"/>
        <v>0</v>
      </c>
      <c r="K274" s="2" t="str">
        <f t="shared" si="27"/>
        <v>C</v>
      </c>
      <c r="L274" s="2" t="str">
        <f t="shared" si="28"/>
        <v>D(平局)</v>
      </c>
      <c r="M274" s="2" t="s">
        <v>22</v>
      </c>
      <c r="N274" s="2">
        <f t="shared" si="29"/>
        <v>0</v>
      </c>
      <c r="O274" s="2" t="s">
        <v>27</v>
      </c>
      <c r="P274" s="2">
        <v>148</v>
      </c>
    </row>
    <row r="275" ht="23" customHeight="1" spans="1:16">
      <c r="A275" s="6" t="s">
        <v>331</v>
      </c>
      <c r="B275" s="2" t="s">
        <v>15</v>
      </c>
      <c r="C275" s="2" t="s">
        <v>46</v>
      </c>
      <c r="D275" s="2">
        <v>2</v>
      </c>
      <c r="E275" s="6" t="s">
        <v>498</v>
      </c>
      <c r="F275" s="2" t="str">
        <f t="shared" si="24"/>
        <v>B</v>
      </c>
      <c r="G275" s="2">
        <v>5</v>
      </c>
      <c r="H275" s="2" t="str">
        <f t="shared" si="25"/>
        <v>A</v>
      </c>
      <c r="I275" s="2">
        <v>3</v>
      </c>
      <c r="J275" s="2">
        <f t="shared" si="26"/>
        <v>2</v>
      </c>
      <c r="K275" s="2" t="str">
        <f t="shared" si="27"/>
        <v>A</v>
      </c>
      <c r="L275" s="2" t="str">
        <f t="shared" si="28"/>
        <v>B</v>
      </c>
      <c r="M275" s="2" t="s">
        <v>22</v>
      </c>
      <c r="N275" s="2">
        <f t="shared" si="29"/>
        <v>1</v>
      </c>
      <c r="O275" s="2" t="s">
        <v>34</v>
      </c>
      <c r="P275" s="2">
        <v>157</v>
      </c>
    </row>
    <row r="276" ht="23" customHeight="1" spans="1:16">
      <c r="A276" s="6" t="s">
        <v>331</v>
      </c>
      <c r="B276" s="2" t="s">
        <v>15</v>
      </c>
      <c r="C276" s="2" t="s">
        <v>17</v>
      </c>
      <c r="D276" s="2">
        <v>3</v>
      </c>
      <c r="E276" s="6" t="s">
        <v>499</v>
      </c>
      <c r="F276" s="2" t="str">
        <f t="shared" si="24"/>
        <v>A</v>
      </c>
      <c r="G276" s="2">
        <v>4</v>
      </c>
      <c r="H276" s="2" t="str">
        <f t="shared" si="25"/>
        <v>B</v>
      </c>
      <c r="I276" s="2">
        <v>4</v>
      </c>
      <c r="J276" s="2">
        <f t="shared" si="26"/>
        <v>0</v>
      </c>
      <c r="K276" s="2" t="str">
        <f t="shared" si="27"/>
        <v>C</v>
      </c>
      <c r="L276" s="2" t="str">
        <f t="shared" si="28"/>
        <v>D(平局)</v>
      </c>
      <c r="M276" s="2" t="s">
        <v>22</v>
      </c>
      <c r="N276" s="2">
        <f t="shared" si="29"/>
        <v>0</v>
      </c>
      <c r="O276" s="2" t="s">
        <v>27</v>
      </c>
      <c r="P276" s="2">
        <v>148</v>
      </c>
    </row>
    <row r="277" ht="23" customHeight="1" spans="1:16">
      <c r="A277" s="6" t="s">
        <v>331</v>
      </c>
      <c r="B277" s="2" t="s">
        <v>15</v>
      </c>
      <c r="C277" s="2" t="s">
        <v>46</v>
      </c>
      <c r="D277" s="2">
        <v>3</v>
      </c>
      <c r="E277" s="6" t="s">
        <v>499</v>
      </c>
      <c r="F277" s="2" t="str">
        <f t="shared" si="24"/>
        <v>B</v>
      </c>
      <c r="G277" s="2">
        <v>5</v>
      </c>
      <c r="H277" s="2" t="str">
        <f t="shared" si="25"/>
        <v>A</v>
      </c>
      <c r="I277" s="2">
        <v>4</v>
      </c>
      <c r="J277" s="2">
        <f t="shared" si="26"/>
        <v>1</v>
      </c>
      <c r="K277" s="2" t="str">
        <f t="shared" si="27"/>
        <v>A</v>
      </c>
      <c r="L277" s="2" t="str">
        <f t="shared" si="28"/>
        <v>B</v>
      </c>
      <c r="M277" s="2" t="s">
        <v>22</v>
      </c>
      <c r="N277" s="2">
        <f t="shared" si="29"/>
        <v>1</v>
      </c>
      <c r="O277" s="2" t="s">
        <v>34</v>
      </c>
      <c r="P277" s="2">
        <v>157</v>
      </c>
    </row>
    <row r="278" ht="23" customHeight="1" spans="1:16">
      <c r="A278" s="6" t="s">
        <v>331</v>
      </c>
      <c r="B278" s="2" t="s">
        <v>15</v>
      </c>
      <c r="C278" s="2" t="s">
        <v>17</v>
      </c>
      <c r="D278" s="2">
        <v>4</v>
      </c>
      <c r="E278" s="6" t="s">
        <v>500</v>
      </c>
      <c r="F278" s="2" t="str">
        <f t="shared" si="24"/>
        <v>A</v>
      </c>
      <c r="G278" s="2">
        <v>4</v>
      </c>
      <c r="H278" s="2" t="str">
        <f t="shared" si="25"/>
        <v>B</v>
      </c>
      <c r="I278" s="2">
        <v>5</v>
      </c>
      <c r="J278" s="2">
        <f t="shared" si="26"/>
        <v>-1</v>
      </c>
      <c r="K278" s="2" t="str">
        <f t="shared" si="27"/>
        <v>B</v>
      </c>
      <c r="L278" s="2" t="str">
        <f t="shared" si="28"/>
        <v>B</v>
      </c>
      <c r="M278" s="2" t="s">
        <v>22</v>
      </c>
      <c r="N278" s="2">
        <f t="shared" si="29"/>
        <v>1</v>
      </c>
      <c r="O278" s="2" t="s">
        <v>27</v>
      </c>
      <c r="P278" s="2">
        <v>148</v>
      </c>
    </row>
    <row r="279" ht="23" customHeight="1" spans="1:16">
      <c r="A279" s="6" t="s">
        <v>331</v>
      </c>
      <c r="B279" s="2" t="s">
        <v>15</v>
      </c>
      <c r="C279" s="2" t="s">
        <v>46</v>
      </c>
      <c r="D279" s="2">
        <v>4</v>
      </c>
      <c r="E279" s="6" t="s">
        <v>500</v>
      </c>
      <c r="F279" s="2" t="str">
        <f t="shared" si="24"/>
        <v>B</v>
      </c>
      <c r="G279" s="2">
        <v>5</v>
      </c>
      <c r="H279" s="2" t="str">
        <f t="shared" si="25"/>
        <v>A</v>
      </c>
      <c r="I279" s="2">
        <v>3</v>
      </c>
      <c r="J279" s="2">
        <f t="shared" si="26"/>
        <v>2</v>
      </c>
      <c r="K279" s="2" t="str">
        <f t="shared" si="27"/>
        <v>A</v>
      </c>
      <c r="L279" s="2" t="str">
        <f t="shared" si="28"/>
        <v>B</v>
      </c>
      <c r="M279" s="2" t="s">
        <v>22</v>
      </c>
      <c r="N279" s="2">
        <f t="shared" si="29"/>
        <v>1</v>
      </c>
      <c r="O279" s="2" t="s">
        <v>34</v>
      </c>
      <c r="P279" s="2">
        <v>157</v>
      </c>
    </row>
    <row r="280" ht="23" customHeight="1" spans="1:16">
      <c r="A280" s="6" t="s">
        <v>331</v>
      </c>
      <c r="B280" s="2" t="s">
        <v>15</v>
      </c>
      <c r="C280" s="2" t="s">
        <v>17</v>
      </c>
      <c r="D280" s="2">
        <v>5</v>
      </c>
      <c r="E280" s="6" t="s">
        <v>501</v>
      </c>
      <c r="F280" s="2" t="str">
        <f t="shared" si="24"/>
        <v>A</v>
      </c>
      <c r="G280" s="2">
        <v>5</v>
      </c>
      <c r="H280" s="2" t="str">
        <f t="shared" si="25"/>
        <v>B</v>
      </c>
      <c r="I280" s="2">
        <v>5</v>
      </c>
      <c r="J280" s="2">
        <f t="shared" si="26"/>
        <v>0</v>
      </c>
      <c r="K280" s="2" t="str">
        <f t="shared" si="27"/>
        <v>C</v>
      </c>
      <c r="L280" s="2" t="str">
        <f t="shared" si="28"/>
        <v>D(平局)</v>
      </c>
      <c r="M280" s="2" t="s">
        <v>22</v>
      </c>
      <c r="N280" s="2">
        <f t="shared" si="29"/>
        <v>0</v>
      </c>
      <c r="O280" s="2" t="s">
        <v>27</v>
      </c>
      <c r="P280" s="2">
        <v>148</v>
      </c>
    </row>
    <row r="281" ht="23" customHeight="1" spans="1:16">
      <c r="A281" s="6" t="s">
        <v>331</v>
      </c>
      <c r="B281" s="2" t="s">
        <v>15</v>
      </c>
      <c r="C281" s="2" t="s">
        <v>46</v>
      </c>
      <c r="D281" s="2">
        <v>5</v>
      </c>
      <c r="E281" s="6" t="s">
        <v>501</v>
      </c>
      <c r="F281" s="2" t="str">
        <f t="shared" si="24"/>
        <v>B</v>
      </c>
      <c r="G281" s="2">
        <v>5</v>
      </c>
      <c r="H281" s="2" t="str">
        <f t="shared" si="25"/>
        <v>A</v>
      </c>
      <c r="I281" s="2">
        <v>5</v>
      </c>
      <c r="J281" s="2">
        <f t="shared" si="26"/>
        <v>0</v>
      </c>
      <c r="K281" s="2" t="str">
        <f t="shared" si="27"/>
        <v>C</v>
      </c>
      <c r="L281" s="2" t="str">
        <f t="shared" si="28"/>
        <v>D(平局)</v>
      </c>
      <c r="M281" s="2" t="s">
        <v>22</v>
      </c>
      <c r="N281" s="2">
        <f t="shared" si="29"/>
        <v>0</v>
      </c>
      <c r="O281" s="2" t="s">
        <v>34</v>
      </c>
      <c r="P281" s="2">
        <v>157</v>
      </c>
    </row>
    <row r="282" ht="23" customHeight="1" spans="1:16">
      <c r="A282" s="6" t="s">
        <v>331</v>
      </c>
      <c r="B282" s="2" t="s">
        <v>31</v>
      </c>
      <c r="C282" s="2" t="s">
        <v>17</v>
      </c>
      <c r="D282" s="2">
        <v>1</v>
      </c>
      <c r="E282" s="6" t="s">
        <v>497</v>
      </c>
      <c r="F282" s="2" t="str">
        <f t="shared" si="24"/>
        <v>A</v>
      </c>
      <c r="G282" s="2">
        <v>4</v>
      </c>
      <c r="H282" s="2" t="str">
        <f t="shared" si="25"/>
        <v>C</v>
      </c>
      <c r="I282" s="2">
        <v>3</v>
      </c>
      <c r="J282" s="2">
        <f t="shared" si="26"/>
        <v>1</v>
      </c>
      <c r="K282" s="2" t="str">
        <f t="shared" si="27"/>
        <v>A</v>
      </c>
      <c r="L282" s="2" t="str">
        <f t="shared" si="28"/>
        <v>A</v>
      </c>
      <c r="M282" s="2" t="s">
        <v>34</v>
      </c>
      <c r="N282" s="2">
        <f t="shared" si="29"/>
        <v>1</v>
      </c>
      <c r="O282" s="2" t="s">
        <v>34</v>
      </c>
      <c r="P282" s="2">
        <v>151</v>
      </c>
    </row>
    <row r="283" ht="23" customHeight="1" spans="1:16">
      <c r="A283" s="6" t="s">
        <v>331</v>
      </c>
      <c r="B283" s="2" t="s">
        <v>31</v>
      </c>
      <c r="C283" s="2" t="s">
        <v>46</v>
      </c>
      <c r="D283" s="2">
        <v>1</v>
      </c>
      <c r="E283" s="6" t="s">
        <v>497</v>
      </c>
      <c r="F283" s="2" t="str">
        <f t="shared" si="24"/>
        <v>C</v>
      </c>
      <c r="G283" s="2">
        <v>3</v>
      </c>
      <c r="H283" s="2" t="str">
        <f t="shared" si="25"/>
        <v>A</v>
      </c>
      <c r="I283" s="2">
        <v>4</v>
      </c>
      <c r="J283" s="2">
        <f t="shared" si="26"/>
        <v>-1</v>
      </c>
      <c r="K283" s="2" t="str">
        <f t="shared" si="27"/>
        <v>B</v>
      </c>
      <c r="L283" s="2" t="str">
        <f t="shared" si="28"/>
        <v>A</v>
      </c>
      <c r="M283" s="2" t="s">
        <v>34</v>
      </c>
      <c r="N283" s="2">
        <f t="shared" si="29"/>
        <v>1</v>
      </c>
      <c r="O283" s="2" t="s">
        <v>22</v>
      </c>
      <c r="P283" s="2">
        <v>160</v>
      </c>
    </row>
    <row r="284" ht="23" customHeight="1" spans="1:16">
      <c r="A284" s="6" t="s">
        <v>331</v>
      </c>
      <c r="B284" s="2" t="s">
        <v>31</v>
      </c>
      <c r="C284" s="2" t="s">
        <v>17</v>
      </c>
      <c r="D284" s="2">
        <v>2</v>
      </c>
      <c r="E284" s="6" t="s">
        <v>498</v>
      </c>
      <c r="F284" s="2" t="str">
        <f t="shared" si="24"/>
        <v>A</v>
      </c>
      <c r="G284" s="2">
        <v>4</v>
      </c>
      <c r="H284" s="2" t="str">
        <f t="shared" si="25"/>
        <v>C</v>
      </c>
      <c r="I284" s="2">
        <v>2</v>
      </c>
      <c r="J284" s="2">
        <f t="shared" si="26"/>
        <v>2</v>
      </c>
      <c r="K284" s="2" t="str">
        <f t="shared" si="27"/>
        <v>A</v>
      </c>
      <c r="L284" s="2" t="str">
        <f t="shared" si="28"/>
        <v>A</v>
      </c>
      <c r="M284" s="2" t="s">
        <v>34</v>
      </c>
      <c r="N284" s="2">
        <f t="shared" si="29"/>
        <v>1</v>
      </c>
      <c r="O284" s="2" t="s">
        <v>34</v>
      </c>
      <c r="P284" s="2">
        <v>151</v>
      </c>
    </row>
    <row r="285" ht="23" customHeight="1" spans="1:16">
      <c r="A285" s="6" t="s">
        <v>331</v>
      </c>
      <c r="B285" s="2" t="s">
        <v>31</v>
      </c>
      <c r="C285" s="2" t="s">
        <v>46</v>
      </c>
      <c r="D285" s="2">
        <v>2</v>
      </c>
      <c r="E285" s="6" t="s">
        <v>498</v>
      </c>
      <c r="F285" s="2" t="str">
        <f t="shared" si="24"/>
        <v>C</v>
      </c>
      <c r="G285" s="2">
        <v>2</v>
      </c>
      <c r="H285" s="2" t="str">
        <f t="shared" si="25"/>
        <v>A</v>
      </c>
      <c r="I285" s="2">
        <v>4</v>
      </c>
      <c r="J285" s="2">
        <f t="shared" si="26"/>
        <v>-2</v>
      </c>
      <c r="K285" s="2" t="str">
        <f t="shared" si="27"/>
        <v>B</v>
      </c>
      <c r="L285" s="2" t="str">
        <f t="shared" si="28"/>
        <v>A</v>
      </c>
      <c r="M285" s="2" t="s">
        <v>34</v>
      </c>
      <c r="N285" s="2">
        <f t="shared" si="29"/>
        <v>1</v>
      </c>
      <c r="O285" s="2" t="s">
        <v>22</v>
      </c>
      <c r="P285" s="2">
        <v>160</v>
      </c>
    </row>
    <row r="286" ht="23" customHeight="1" spans="1:16">
      <c r="A286" s="6" t="s">
        <v>331</v>
      </c>
      <c r="B286" s="2" t="s">
        <v>31</v>
      </c>
      <c r="C286" s="2" t="s">
        <v>17</v>
      </c>
      <c r="D286" s="2">
        <v>3</v>
      </c>
      <c r="E286" s="6" t="s">
        <v>499</v>
      </c>
      <c r="F286" s="2" t="str">
        <f t="shared" si="24"/>
        <v>A</v>
      </c>
      <c r="G286" s="2">
        <v>4</v>
      </c>
      <c r="H286" s="2" t="str">
        <f t="shared" si="25"/>
        <v>C</v>
      </c>
      <c r="I286" s="2">
        <v>3</v>
      </c>
      <c r="J286" s="2">
        <f t="shared" si="26"/>
        <v>1</v>
      </c>
      <c r="K286" s="2" t="str">
        <f t="shared" si="27"/>
        <v>A</v>
      </c>
      <c r="L286" s="2" t="str">
        <f t="shared" si="28"/>
        <v>A</v>
      </c>
      <c r="M286" s="2" t="s">
        <v>34</v>
      </c>
      <c r="N286" s="2">
        <f t="shared" si="29"/>
        <v>1</v>
      </c>
      <c r="O286" s="2" t="s">
        <v>34</v>
      </c>
      <c r="P286" s="2">
        <v>151</v>
      </c>
    </row>
    <row r="287" ht="23" customHeight="1" spans="1:16">
      <c r="A287" s="6" t="s">
        <v>331</v>
      </c>
      <c r="B287" s="2" t="s">
        <v>31</v>
      </c>
      <c r="C287" s="2" t="s">
        <v>46</v>
      </c>
      <c r="D287" s="2">
        <v>3</v>
      </c>
      <c r="E287" s="6" t="s">
        <v>499</v>
      </c>
      <c r="F287" s="2" t="str">
        <f t="shared" si="24"/>
        <v>C</v>
      </c>
      <c r="G287" s="2">
        <v>3</v>
      </c>
      <c r="H287" s="2" t="str">
        <f t="shared" si="25"/>
        <v>A</v>
      </c>
      <c r="I287" s="2">
        <v>4</v>
      </c>
      <c r="J287" s="2">
        <f t="shared" si="26"/>
        <v>-1</v>
      </c>
      <c r="K287" s="2" t="str">
        <f t="shared" si="27"/>
        <v>B</v>
      </c>
      <c r="L287" s="2" t="str">
        <f t="shared" si="28"/>
        <v>A</v>
      </c>
      <c r="M287" s="2" t="s">
        <v>34</v>
      </c>
      <c r="N287" s="2">
        <f t="shared" si="29"/>
        <v>1</v>
      </c>
      <c r="O287" s="2" t="s">
        <v>22</v>
      </c>
      <c r="P287" s="2">
        <v>160</v>
      </c>
    </row>
    <row r="288" ht="23" customHeight="1" spans="1:16">
      <c r="A288" s="6" t="s">
        <v>331</v>
      </c>
      <c r="B288" s="2" t="s">
        <v>31</v>
      </c>
      <c r="C288" s="2" t="s">
        <v>17</v>
      </c>
      <c r="D288" s="2">
        <v>4</v>
      </c>
      <c r="E288" s="6" t="s">
        <v>500</v>
      </c>
      <c r="F288" s="2" t="str">
        <f t="shared" si="24"/>
        <v>A</v>
      </c>
      <c r="G288" s="2">
        <v>4</v>
      </c>
      <c r="H288" s="2" t="str">
        <f t="shared" si="25"/>
        <v>C</v>
      </c>
      <c r="I288" s="2">
        <v>2</v>
      </c>
      <c r="J288" s="2">
        <f t="shared" si="26"/>
        <v>2</v>
      </c>
      <c r="K288" s="2" t="str">
        <f t="shared" si="27"/>
        <v>A</v>
      </c>
      <c r="L288" s="2" t="str">
        <f t="shared" si="28"/>
        <v>A</v>
      </c>
      <c r="M288" s="2" t="s">
        <v>34</v>
      </c>
      <c r="N288" s="2">
        <f t="shared" si="29"/>
        <v>1</v>
      </c>
      <c r="O288" s="2" t="s">
        <v>34</v>
      </c>
      <c r="P288" s="2">
        <v>151</v>
      </c>
    </row>
    <row r="289" ht="23" customHeight="1" spans="1:16">
      <c r="A289" s="6" t="s">
        <v>331</v>
      </c>
      <c r="B289" s="2" t="s">
        <v>31</v>
      </c>
      <c r="C289" s="2" t="s">
        <v>46</v>
      </c>
      <c r="D289" s="2">
        <v>4</v>
      </c>
      <c r="E289" s="6" t="s">
        <v>500</v>
      </c>
      <c r="F289" s="2" t="str">
        <f t="shared" si="24"/>
        <v>C</v>
      </c>
      <c r="G289" s="2">
        <v>3</v>
      </c>
      <c r="H289" s="2" t="str">
        <f t="shared" si="25"/>
        <v>A</v>
      </c>
      <c r="I289" s="2">
        <v>4</v>
      </c>
      <c r="J289" s="2">
        <f t="shared" si="26"/>
        <v>-1</v>
      </c>
      <c r="K289" s="2" t="str">
        <f t="shared" si="27"/>
        <v>B</v>
      </c>
      <c r="L289" s="2" t="str">
        <f t="shared" si="28"/>
        <v>A</v>
      </c>
      <c r="M289" s="2" t="s">
        <v>34</v>
      </c>
      <c r="N289" s="2">
        <f t="shared" si="29"/>
        <v>1</v>
      </c>
      <c r="O289" s="2" t="s">
        <v>22</v>
      </c>
      <c r="P289" s="2">
        <v>160</v>
      </c>
    </row>
    <row r="290" ht="23" customHeight="1" spans="1:16">
      <c r="A290" s="6" t="s">
        <v>331</v>
      </c>
      <c r="B290" s="2" t="s">
        <v>31</v>
      </c>
      <c r="C290" s="2" t="s">
        <v>17</v>
      </c>
      <c r="D290" s="2">
        <v>5</v>
      </c>
      <c r="E290" s="6" t="s">
        <v>501</v>
      </c>
      <c r="F290" s="2" t="str">
        <f t="shared" si="24"/>
        <v>A</v>
      </c>
      <c r="G290" s="2">
        <v>4</v>
      </c>
      <c r="H290" s="2" t="str">
        <f t="shared" si="25"/>
        <v>C</v>
      </c>
      <c r="I290" s="2">
        <v>2</v>
      </c>
      <c r="J290" s="2">
        <f t="shared" si="26"/>
        <v>2</v>
      </c>
      <c r="K290" s="2" t="str">
        <f t="shared" si="27"/>
        <v>A</v>
      </c>
      <c r="L290" s="2" t="str">
        <f t="shared" si="28"/>
        <v>A</v>
      </c>
      <c r="M290" s="2" t="s">
        <v>34</v>
      </c>
      <c r="N290" s="2">
        <f t="shared" si="29"/>
        <v>1</v>
      </c>
      <c r="O290" s="2" t="s">
        <v>34</v>
      </c>
      <c r="P290" s="2">
        <v>151</v>
      </c>
    </row>
    <row r="291" ht="23" customHeight="1" spans="1:16">
      <c r="A291" s="6" t="s">
        <v>331</v>
      </c>
      <c r="B291" s="2" t="s">
        <v>31</v>
      </c>
      <c r="C291" s="2" t="s">
        <v>46</v>
      </c>
      <c r="D291" s="2">
        <v>5</v>
      </c>
      <c r="E291" s="6" t="s">
        <v>501</v>
      </c>
      <c r="F291" s="2" t="str">
        <f t="shared" si="24"/>
        <v>C</v>
      </c>
      <c r="G291" s="2">
        <v>2</v>
      </c>
      <c r="H291" s="2" t="str">
        <f t="shared" si="25"/>
        <v>A</v>
      </c>
      <c r="I291" s="2">
        <v>4</v>
      </c>
      <c r="J291" s="2">
        <f t="shared" si="26"/>
        <v>-2</v>
      </c>
      <c r="K291" s="2" t="str">
        <f t="shared" si="27"/>
        <v>B</v>
      </c>
      <c r="L291" s="2" t="str">
        <f t="shared" si="28"/>
        <v>A</v>
      </c>
      <c r="M291" s="2" t="s">
        <v>34</v>
      </c>
      <c r="N291" s="2">
        <f t="shared" si="29"/>
        <v>1</v>
      </c>
      <c r="O291" s="2" t="s">
        <v>22</v>
      </c>
      <c r="P291" s="2">
        <v>160</v>
      </c>
    </row>
    <row r="292" ht="23" customHeight="1" spans="1:16">
      <c r="A292" s="6" t="s">
        <v>331</v>
      </c>
      <c r="B292" s="2" t="s">
        <v>39</v>
      </c>
      <c r="C292" s="2" t="s">
        <v>17</v>
      </c>
      <c r="D292" s="2">
        <v>1</v>
      </c>
      <c r="E292" s="6" t="s">
        <v>497</v>
      </c>
      <c r="F292" s="2" t="str">
        <f t="shared" si="24"/>
        <v>B</v>
      </c>
      <c r="G292" s="2">
        <v>5</v>
      </c>
      <c r="H292" s="2" t="str">
        <f t="shared" si="25"/>
        <v>C</v>
      </c>
      <c r="I292" s="2">
        <v>3</v>
      </c>
      <c r="J292" s="2">
        <f t="shared" si="26"/>
        <v>2</v>
      </c>
      <c r="K292" s="2" t="str">
        <f t="shared" si="27"/>
        <v>A</v>
      </c>
      <c r="L292" s="2" t="str">
        <f t="shared" si="28"/>
        <v>B</v>
      </c>
      <c r="M292" s="2" t="s">
        <v>22</v>
      </c>
      <c r="N292" s="2">
        <f t="shared" si="29"/>
        <v>1</v>
      </c>
      <c r="O292" s="2" t="s">
        <v>34</v>
      </c>
      <c r="P292" s="2">
        <v>154</v>
      </c>
    </row>
    <row r="293" ht="23" customHeight="1" spans="1:16">
      <c r="A293" s="6" t="s">
        <v>331</v>
      </c>
      <c r="B293" s="2" t="s">
        <v>39</v>
      </c>
      <c r="C293" s="2" t="s">
        <v>46</v>
      </c>
      <c r="D293" s="2">
        <v>1</v>
      </c>
      <c r="E293" s="6" t="s">
        <v>497</v>
      </c>
      <c r="F293" s="2" t="str">
        <f t="shared" si="24"/>
        <v>C</v>
      </c>
      <c r="G293" s="2">
        <v>3</v>
      </c>
      <c r="H293" s="2" t="str">
        <f t="shared" si="25"/>
        <v>B</v>
      </c>
      <c r="I293" s="2">
        <v>5</v>
      </c>
      <c r="J293" s="2">
        <f t="shared" si="26"/>
        <v>-2</v>
      </c>
      <c r="K293" s="2" t="str">
        <f t="shared" si="27"/>
        <v>B</v>
      </c>
      <c r="L293" s="2" t="str">
        <f t="shared" si="28"/>
        <v>B</v>
      </c>
      <c r="M293" s="2" t="s">
        <v>22</v>
      </c>
      <c r="N293" s="2">
        <f t="shared" si="29"/>
        <v>1</v>
      </c>
      <c r="O293" s="2" t="s">
        <v>22</v>
      </c>
      <c r="P293" s="2">
        <v>163</v>
      </c>
    </row>
    <row r="294" ht="23" customHeight="1" spans="1:16">
      <c r="A294" s="6" t="s">
        <v>331</v>
      </c>
      <c r="B294" s="2" t="s">
        <v>39</v>
      </c>
      <c r="C294" s="2" t="s">
        <v>17</v>
      </c>
      <c r="D294" s="2">
        <v>2</v>
      </c>
      <c r="E294" s="6" t="s">
        <v>498</v>
      </c>
      <c r="F294" s="2" t="str">
        <f t="shared" si="24"/>
        <v>B</v>
      </c>
      <c r="G294" s="2">
        <v>4</v>
      </c>
      <c r="H294" s="2" t="str">
        <f t="shared" si="25"/>
        <v>C</v>
      </c>
      <c r="I294" s="2">
        <v>2</v>
      </c>
      <c r="J294" s="2">
        <f t="shared" si="26"/>
        <v>2</v>
      </c>
      <c r="K294" s="2" t="str">
        <f t="shared" si="27"/>
        <v>A</v>
      </c>
      <c r="L294" s="2" t="str">
        <f t="shared" si="28"/>
        <v>B</v>
      </c>
      <c r="M294" s="2" t="s">
        <v>22</v>
      </c>
      <c r="N294" s="2">
        <f t="shared" si="29"/>
        <v>1</v>
      </c>
      <c r="O294" s="2" t="s">
        <v>34</v>
      </c>
      <c r="P294" s="2">
        <v>154</v>
      </c>
    </row>
    <row r="295" ht="23" customHeight="1" spans="1:16">
      <c r="A295" s="6" t="s">
        <v>331</v>
      </c>
      <c r="B295" s="2" t="s">
        <v>39</v>
      </c>
      <c r="C295" s="2" t="s">
        <v>46</v>
      </c>
      <c r="D295" s="2">
        <v>2</v>
      </c>
      <c r="E295" s="6" t="s">
        <v>498</v>
      </c>
      <c r="F295" s="2" t="str">
        <f t="shared" si="24"/>
        <v>C</v>
      </c>
      <c r="G295" s="2">
        <v>3</v>
      </c>
      <c r="H295" s="2" t="str">
        <f t="shared" si="25"/>
        <v>B</v>
      </c>
      <c r="I295" s="2">
        <v>4</v>
      </c>
      <c r="J295" s="2">
        <f t="shared" si="26"/>
        <v>-1</v>
      </c>
      <c r="K295" s="2" t="str">
        <f t="shared" si="27"/>
        <v>B</v>
      </c>
      <c r="L295" s="2" t="str">
        <f t="shared" si="28"/>
        <v>B</v>
      </c>
      <c r="M295" s="2" t="s">
        <v>22</v>
      </c>
      <c r="N295" s="2">
        <f t="shared" si="29"/>
        <v>1</v>
      </c>
      <c r="O295" s="2" t="s">
        <v>22</v>
      </c>
      <c r="P295" s="2">
        <v>163</v>
      </c>
    </row>
    <row r="296" ht="23" customHeight="1" spans="1:16">
      <c r="A296" s="6" t="s">
        <v>331</v>
      </c>
      <c r="B296" s="2" t="s">
        <v>39</v>
      </c>
      <c r="C296" s="2" t="s">
        <v>17</v>
      </c>
      <c r="D296" s="2">
        <v>3</v>
      </c>
      <c r="E296" s="6" t="s">
        <v>499</v>
      </c>
      <c r="F296" s="2" t="str">
        <f t="shared" si="24"/>
        <v>B</v>
      </c>
      <c r="G296" s="2">
        <v>4</v>
      </c>
      <c r="H296" s="2" t="str">
        <f t="shared" si="25"/>
        <v>C</v>
      </c>
      <c r="I296" s="2">
        <v>3</v>
      </c>
      <c r="J296" s="2">
        <f t="shared" si="26"/>
        <v>1</v>
      </c>
      <c r="K296" s="2" t="str">
        <f t="shared" si="27"/>
        <v>A</v>
      </c>
      <c r="L296" s="2" t="str">
        <f t="shared" si="28"/>
        <v>B</v>
      </c>
      <c r="M296" s="2" t="s">
        <v>22</v>
      </c>
      <c r="N296" s="2">
        <f t="shared" si="29"/>
        <v>1</v>
      </c>
      <c r="O296" s="2" t="s">
        <v>34</v>
      </c>
      <c r="P296" s="2">
        <v>154</v>
      </c>
    </row>
    <row r="297" ht="23" customHeight="1" spans="1:16">
      <c r="A297" s="6" t="s">
        <v>331</v>
      </c>
      <c r="B297" s="2" t="s">
        <v>39</v>
      </c>
      <c r="C297" s="2" t="s">
        <v>46</v>
      </c>
      <c r="D297" s="2">
        <v>3</v>
      </c>
      <c r="E297" s="6" t="s">
        <v>499</v>
      </c>
      <c r="F297" s="2" t="str">
        <f t="shared" si="24"/>
        <v>C</v>
      </c>
      <c r="G297" s="2">
        <v>3</v>
      </c>
      <c r="H297" s="2" t="str">
        <f t="shared" si="25"/>
        <v>B</v>
      </c>
      <c r="I297" s="2">
        <v>4</v>
      </c>
      <c r="J297" s="2">
        <f t="shared" si="26"/>
        <v>-1</v>
      </c>
      <c r="K297" s="2" t="str">
        <f t="shared" si="27"/>
        <v>B</v>
      </c>
      <c r="L297" s="2" t="str">
        <f t="shared" si="28"/>
        <v>B</v>
      </c>
      <c r="M297" s="2" t="s">
        <v>22</v>
      </c>
      <c r="N297" s="2">
        <f t="shared" si="29"/>
        <v>1</v>
      </c>
      <c r="O297" s="2" t="s">
        <v>22</v>
      </c>
      <c r="P297" s="2">
        <v>163</v>
      </c>
    </row>
    <row r="298" ht="23" customHeight="1" spans="1:16">
      <c r="A298" s="6" t="s">
        <v>331</v>
      </c>
      <c r="B298" s="2" t="s">
        <v>39</v>
      </c>
      <c r="C298" s="2" t="s">
        <v>17</v>
      </c>
      <c r="D298" s="2">
        <v>4</v>
      </c>
      <c r="E298" s="6" t="s">
        <v>500</v>
      </c>
      <c r="F298" s="2" t="str">
        <f t="shared" si="24"/>
        <v>B</v>
      </c>
      <c r="G298" s="2">
        <v>4</v>
      </c>
      <c r="H298" s="2" t="str">
        <f t="shared" si="25"/>
        <v>C</v>
      </c>
      <c r="I298" s="2">
        <v>2</v>
      </c>
      <c r="J298" s="2">
        <f t="shared" si="26"/>
        <v>2</v>
      </c>
      <c r="K298" s="2" t="str">
        <f t="shared" si="27"/>
        <v>A</v>
      </c>
      <c r="L298" s="2" t="str">
        <f t="shared" si="28"/>
        <v>B</v>
      </c>
      <c r="M298" s="2" t="s">
        <v>22</v>
      </c>
      <c r="N298" s="2">
        <f t="shared" si="29"/>
        <v>1</v>
      </c>
      <c r="O298" s="2" t="s">
        <v>34</v>
      </c>
      <c r="P298" s="2">
        <v>154</v>
      </c>
    </row>
    <row r="299" ht="23" customHeight="1" spans="1:16">
      <c r="A299" s="6" t="s">
        <v>331</v>
      </c>
      <c r="B299" s="2" t="s">
        <v>39</v>
      </c>
      <c r="C299" s="2" t="s">
        <v>46</v>
      </c>
      <c r="D299" s="2">
        <v>4</v>
      </c>
      <c r="E299" s="6" t="s">
        <v>500</v>
      </c>
      <c r="F299" s="2" t="str">
        <f t="shared" si="24"/>
        <v>C</v>
      </c>
      <c r="G299" s="2">
        <v>4</v>
      </c>
      <c r="H299" s="2" t="str">
        <f t="shared" si="25"/>
        <v>B</v>
      </c>
      <c r="I299" s="2">
        <v>5</v>
      </c>
      <c r="J299" s="2">
        <f t="shared" si="26"/>
        <v>-1</v>
      </c>
      <c r="K299" s="2" t="str">
        <f t="shared" si="27"/>
        <v>B</v>
      </c>
      <c r="L299" s="2" t="str">
        <f t="shared" si="28"/>
        <v>B</v>
      </c>
      <c r="M299" s="2" t="s">
        <v>22</v>
      </c>
      <c r="N299" s="2">
        <f t="shared" si="29"/>
        <v>1</v>
      </c>
      <c r="O299" s="2" t="s">
        <v>22</v>
      </c>
      <c r="P299" s="2">
        <v>163</v>
      </c>
    </row>
    <row r="300" ht="23" customHeight="1" spans="1:16">
      <c r="A300" s="6" t="s">
        <v>331</v>
      </c>
      <c r="B300" s="2" t="s">
        <v>39</v>
      </c>
      <c r="C300" s="2" t="s">
        <v>17</v>
      </c>
      <c r="D300" s="2">
        <v>5</v>
      </c>
      <c r="E300" s="6" t="s">
        <v>501</v>
      </c>
      <c r="F300" s="2" t="str">
        <f t="shared" si="24"/>
        <v>B</v>
      </c>
      <c r="G300" s="2">
        <v>5</v>
      </c>
      <c r="H300" s="2" t="str">
        <f t="shared" si="25"/>
        <v>C</v>
      </c>
      <c r="I300" s="2">
        <v>2</v>
      </c>
      <c r="J300" s="2">
        <f t="shared" si="26"/>
        <v>3</v>
      </c>
      <c r="K300" s="2" t="str">
        <f t="shared" si="27"/>
        <v>A</v>
      </c>
      <c r="L300" s="2" t="str">
        <f t="shared" si="28"/>
        <v>B</v>
      </c>
      <c r="M300" s="2" t="s">
        <v>22</v>
      </c>
      <c r="N300" s="2">
        <f t="shared" si="29"/>
        <v>1</v>
      </c>
      <c r="O300" s="2" t="s">
        <v>34</v>
      </c>
      <c r="P300" s="2">
        <v>154</v>
      </c>
    </row>
    <row r="301" ht="23" customHeight="1" spans="1:16">
      <c r="A301" s="6" t="s">
        <v>331</v>
      </c>
      <c r="B301" s="2" t="s">
        <v>39</v>
      </c>
      <c r="C301" s="2" t="s">
        <v>46</v>
      </c>
      <c r="D301" s="2">
        <v>5</v>
      </c>
      <c r="E301" s="6" t="s">
        <v>501</v>
      </c>
      <c r="F301" s="2" t="str">
        <f t="shared" si="24"/>
        <v>C</v>
      </c>
      <c r="G301" s="2">
        <v>3</v>
      </c>
      <c r="H301" s="2" t="str">
        <f t="shared" si="25"/>
        <v>B</v>
      </c>
      <c r="I301" s="2">
        <v>5</v>
      </c>
      <c r="J301" s="2">
        <f t="shared" si="26"/>
        <v>-2</v>
      </c>
      <c r="K301" s="2" t="str">
        <f t="shared" si="27"/>
        <v>B</v>
      </c>
      <c r="L301" s="2" t="str">
        <f t="shared" si="28"/>
        <v>B</v>
      </c>
      <c r="M301" s="2" t="s">
        <v>22</v>
      </c>
      <c r="N301" s="2">
        <f t="shared" si="29"/>
        <v>1</v>
      </c>
      <c r="O301" s="2" t="s">
        <v>22</v>
      </c>
      <c r="P301" s="2">
        <v>163</v>
      </c>
    </row>
    <row r="302" ht="23" customHeight="1" spans="1:16">
      <c r="A302" s="6" t="s">
        <v>217</v>
      </c>
      <c r="B302" s="2" t="s">
        <v>15</v>
      </c>
      <c r="C302" s="2" t="s">
        <v>17</v>
      </c>
      <c r="D302" s="2">
        <v>1</v>
      </c>
      <c r="E302" s="6" t="s">
        <v>497</v>
      </c>
      <c r="F302" s="2" t="str">
        <f t="shared" si="24"/>
        <v>A</v>
      </c>
      <c r="G302" s="2">
        <v>3</v>
      </c>
      <c r="H302" s="2" t="str">
        <f t="shared" si="25"/>
        <v>B</v>
      </c>
      <c r="I302" s="2">
        <v>5</v>
      </c>
      <c r="J302" s="2">
        <f t="shared" si="26"/>
        <v>-2</v>
      </c>
      <c r="K302" s="2" t="str">
        <f t="shared" si="27"/>
        <v>B</v>
      </c>
      <c r="L302" s="2" t="str">
        <f t="shared" si="28"/>
        <v>B</v>
      </c>
      <c r="M302" s="2" t="s">
        <v>34</v>
      </c>
      <c r="N302" s="2">
        <f t="shared" si="29"/>
        <v>0</v>
      </c>
      <c r="O302" s="2" t="s">
        <v>22</v>
      </c>
      <c r="P302" s="2">
        <v>94</v>
      </c>
    </row>
    <row r="303" ht="23" customHeight="1" spans="1:16">
      <c r="A303" s="6" t="s">
        <v>217</v>
      </c>
      <c r="B303" s="2" t="s">
        <v>15</v>
      </c>
      <c r="C303" s="2" t="s">
        <v>46</v>
      </c>
      <c r="D303" s="2">
        <v>1</v>
      </c>
      <c r="E303" s="6" t="s">
        <v>497</v>
      </c>
      <c r="F303" s="2" t="str">
        <f t="shared" si="24"/>
        <v>B</v>
      </c>
      <c r="G303" s="2">
        <v>5</v>
      </c>
      <c r="H303" s="2" t="str">
        <f t="shared" si="25"/>
        <v>A</v>
      </c>
      <c r="I303" s="2">
        <v>3</v>
      </c>
      <c r="J303" s="2">
        <f t="shared" si="26"/>
        <v>2</v>
      </c>
      <c r="K303" s="2" t="str">
        <f t="shared" si="27"/>
        <v>A</v>
      </c>
      <c r="L303" s="2" t="str">
        <f t="shared" si="28"/>
        <v>B</v>
      </c>
      <c r="M303" s="2" t="s">
        <v>34</v>
      </c>
      <c r="N303" s="2">
        <f t="shared" si="29"/>
        <v>0</v>
      </c>
      <c r="O303" s="2" t="s">
        <v>34</v>
      </c>
      <c r="P303" s="2">
        <v>103</v>
      </c>
    </row>
    <row r="304" ht="23" customHeight="1" spans="1:16">
      <c r="A304" s="6" t="s">
        <v>217</v>
      </c>
      <c r="B304" s="2" t="s">
        <v>15</v>
      </c>
      <c r="C304" s="2" t="s">
        <v>17</v>
      </c>
      <c r="D304" s="2">
        <v>2</v>
      </c>
      <c r="E304" s="6" t="s">
        <v>498</v>
      </c>
      <c r="F304" s="2" t="str">
        <f t="shared" si="24"/>
        <v>A</v>
      </c>
      <c r="G304" s="2">
        <v>4</v>
      </c>
      <c r="H304" s="2" t="str">
        <f t="shared" si="25"/>
        <v>B</v>
      </c>
      <c r="I304" s="2">
        <v>4</v>
      </c>
      <c r="J304" s="2">
        <f t="shared" si="26"/>
        <v>0</v>
      </c>
      <c r="K304" s="2" t="str">
        <f t="shared" si="27"/>
        <v>C</v>
      </c>
      <c r="L304" s="2" t="str">
        <f t="shared" si="28"/>
        <v>D(平局)</v>
      </c>
      <c r="M304" s="2" t="s">
        <v>34</v>
      </c>
      <c r="N304" s="2">
        <f t="shared" si="29"/>
        <v>0</v>
      </c>
      <c r="O304" s="2" t="s">
        <v>22</v>
      </c>
      <c r="P304" s="2">
        <v>94</v>
      </c>
    </row>
    <row r="305" ht="23" customHeight="1" spans="1:16">
      <c r="A305" s="6" t="s">
        <v>217</v>
      </c>
      <c r="B305" s="2" t="s">
        <v>15</v>
      </c>
      <c r="C305" s="2" t="s">
        <v>46</v>
      </c>
      <c r="D305" s="2">
        <v>2</v>
      </c>
      <c r="E305" s="6" t="s">
        <v>498</v>
      </c>
      <c r="F305" s="2" t="str">
        <f t="shared" si="24"/>
        <v>B</v>
      </c>
      <c r="G305" s="2">
        <v>3</v>
      </c>
      <c r="H305" s="2" t="str">
        <f t="shared" si="25"/>
        <v>A</v>
      </c>
      <c r="I305" s="2">
        <v>4</v>
      </c>
      <c r="J305" s="2">
        <f t="shared" si="26"/>
        <v>-1</v>
      </c>
      <c r="K305" s="2" t="str">
        <f t="shared" si="27"/>
        <v>B</v>
      </c>
      <c r="L305" s="2" t="str">
        <f t="shared" si="28"/>
        <v>A</v>
      </c>
      <c r="M305" s="2" t="s">
        <v>34</v>
      </c>
      <c r="N305" s="2">
        <f t="shared" si="29"/>
        <v>1</v>
      </c>
      <c r="O305" s="2" t="s">
        <v>34</v>
      </c>
      <c r="P305" s="2">
        <v>103</v>
      </c>
    </row>
    <row r="306" ht="23" customHeight="1" spans="1:16">
      <c r="A306" s="6" t="s">
        <v>217</v>
      </c>
      <c r="B306" s="2" t="s">
        <v>15</v>
      </c>
      <c r="C306" s="2" t="s">
        <v>17</v>
      </c>
      <c r="D306" s="2">
        <v>3</v>
      </c>
      <c r="E306" s="6" t="s">
        <v>499</v>
      </c>
      <c r="F306" s="2" t="str">
        <f t="shared" si="24"/>
        <v>A</v>
      </c>
      <c r="G306" s="2">
        <v>4</v>
      </c>
      <c r="H306" s="2" t="str">
        <f t="shared" si="25"/>
        <v>B</v>
      </c>
      <c r="I306" s="2">
        <v>5</v>
      </c>
      <c r="J306" s="2">
        <f t="shared" si="26"/>
        <v>-1</v>
      </c>
      <c r="K306" s="2" t="str">
        <f t="shared" si="27"/>
        <v>B</v>
      </c>
      <c r="L306" s="2" t="str">
        <f t="shared" si="28"/>
        <v>B</v>
      </c>
      <c r="M306" s="2" t="s">
        <v>34</v>
      </c>
      <c r="N306" s="2">
        <f t="shared" si="29"/>
        <v>0</v>
      </c>
      <c r="O306" s="2" t="s">
        <v>22</v>
      </c>
      <c r="P306" s="2">
        <v>94</v>
      </c>
    </row>
    <row r="307" ht="23" customHeight="1" spans="1:16">
      <c r="A307" s="6" t="s">
        <v>217</v>
      </c>
      <c r="B307" s="2" t="s">
        <v>15</v>
      </c>
      <c r="C307" s="2" t="s">
        <v>46</v>
      </c>
      <c r="D307" s="2">
        <v>3</v>
      </c>
      <c r="E307" s="6" t="s">
        <v>499</v>
      </c>
      <c r="F307" s="2" t="str">
        <f t="shared" si="24"/>
        <v>B</v>
      </c>
      <c r="G307" s="2">
        <v>4</v>
      </c>
      <c r="H307" s="2" t="str">
        <f t="shared" si="25"/>
        <v>A</v>
      </c>
      <c r="I307" s="2">
        <v>3</v>
      </c>
      <c r="J307" s="2">
        <f t="shared" si="26"/>
        <v>1</v>
      </c>
      <c r="K307" s="2" t="str">
        <f t="shared" si="27"/>
        <v>A</v>
      </c>
      <c r="L307" s="2" t="str">
        <f t="shared" si="28"/>
        <v>B</v>
      </c>
      <c r="M307" s="2" t="s">
        <v>34</v>
      </c>
      <c r="N307" s="2">
        <f t="shared" si="29"/>
        <v>0</v>
      </c>
      <c r="O307" s="2" t="s">
        <v>34</v>
      </c>
      <c r="P307" s="2">
        <v>103</v>
      </c>
    </row>
    <row r="308" ht="23" customHeight="1" spans="1:16">
      <c r="A308" s="6" t="s">
        <v>217</v>
      </c>
      <c r="B308" s="2" t="s">
        <v>15</v>
      </c>
      <c r="C308" s="2" t="s">
        <v>17</v>
      </c>
      <c r="D308" s="2">
        <v>4</v>
      </c>
      <c r="E308" s="6" t="s">
        <v>500</v>
      </c>
      <c r="F308" s="2" t="str">
        <f t="shared" si="24"/>
        <v>A</v>
      </c>
      <c r="G308" s="2">
        <v>4</v>
      </c>
      <c r="H308" s="2" t="str">
        <f t="shared" si="25"/>
        <v>B</v>
      </c>
      <c r="I308" s="2">
        <v>5</v>
      </c>
      <c r="J308" s="2">
        <f t="shared" si="26"/>
        <v>-1</v>
      </c>
      <c r="K308" s="2" t="str">
        <f t="shared" si="27"/>
        <v>B</v>
      </c>
      <c r="L308" s="2" t="str">
        <f t="shared" si="28"/>
        <v>B</v>
      </c>
      <c r="M308" s="2" t="s">
        <v>34</v>
      </c>
      <c r="N308" s="2">
        <f t="shared" si="29"/>
        <v>0</v>
      </c>
      <c r="O308" s="2" t="s">
        <v>22</v>
      </c>
      <c r="P308" s="2">
        <v>94</v>
      </c>
    </row>
    <row r="309" ht="23" customHeight="1" spans="1:16">
      <c r="A309" s="6" t="s">
        <v>217</v>
      </c>
      <c r="B309" s="2" t="s">
        <v>15</v>
      </c>
      <c r="C309" s="2" t="s">
        <v>46</v>
      </c>
      <c r="D309" s="2">
        <v>4</v>
      </c>
      <c r="E309" s="6" t="s">
        <v>500</v>
      </c>
      <c r="F309" s="2" t="str">
        <f t="shared" si="24"/>
        <v>B</v>
      </c>
      <c r="G309" s="2">
        <v>5</v>
      </c>
      <c r="H309" s="2" t="str">
        <f t="shared" si="25"/>
        <v>A</v>
      </c>
      <c r="I309" s="2">
        <v>3</v>
      </c>
      <c r="J309" s="2">
        <f t="shared" si="26"/>
        <v>2</v>
      </c>
      <c r="K309" s="2" t="str">
        <f t="shared" si="27"/>
        <v>A</v>
      </c>
      <c r="L309" s="2" t="str">
        <f t="shared" si="28"/>
        <v>B</v>
      </c>
      <c r="M309" s="2" t="s">
        <v>34</v>
      </c>
      <c r="N309" s="2">
        <f t="shared" si="29"/>
        <v>0</v>
      </c>
      <c r="O309" s="2" t="s">
        <v>34</v>
      </c>
      <c r="P309" s="2">
        <v>103</v>
      </c>
    </row>
    <row r="310" ht="23" customHeight="1" spans="1:16">
      <c r="A310" s="6" t="s">
        <v>217</v>
      </c>
      <c r="B310" s="2" t="s">
        <v>15</v>
      </c>
      <c r="C310" s="2" t="s">
        <v>17</v>
      </c>
      <c r="D310" s="2">
        <v>5</v>
      </c>
      <c r="E310" s="6" t="s">
        <v>501</v>
      </c>
      <c r="F310" s="2" t="str">
        <f t="shared" si="24"/>
        <v>A</v>
      </c>
      <c r="G310" s="2">
        <v>5</v>
      </c>
      <c r="H310" s="2" t="str">
        <f t="shared" si="25"/>
        <v>B</v>
      </c>
      <c r="I310" s="2">
        <v>5</v>
      </c>
      <c r="J310" s="2">
        <f t="shared" si="26"/>
        <v>0</v>
      </c>
      <c r="K310" s="2" t="str">
        <f t="shared" si="27"/>
        <v>C</v>
      </c>
      <c r="L310" s="2" t="str">
        <f t="shared" si="28"/>
        <v>D(平局)</v>
      </c>
      <c r="M310" s="2" t="s">
        <v>34</v>
      </c>
      <c r="N310" s="2">
        <f t="shared" si="29"/>
        <v>0</v>
      </c>
      <c r="O310" s="2" t="s">
        <v>22</v>
      </c>
      <c r="P310" s="2">
        <v>94</v>
      </c>
    </row>
    <row r="311" ht="23" customHeight="1" spans="1:16">
      <c r="A311" s="6" t="s">
        <v>217</v>
      </c>
      <c r="B311" s="2" t="s">
        <v>15</v>
      </c>
      <c r="C311" s="2" t="s">
        <v>46</v>
      </c>
      <c r="D311" s="2">
        <v>5</v>
      </c>
      <c r="E311" s="6" t="s">
        <v>501</v>
      </c>
      <c r="F311" s="2" t="str">
        <f t="shared" si="24"/>
        <v>B</v>
      </c>
      <c r="G311" s="2">
        <v>5</v>
      </c>
      <c r="H311" s="2" t="str">
        <f t="shared" si="25"/>
        <v>A</v>
      </c>
      <c r="I311" s="2">
        <v>5</v>
      </c>
      <c r="J311" s="2">
        <f t="shared" si="26"/>
        <v>0</v>
      </c>
      <c r="K311" s="2" t="str">
        <f t="shared" si="27"/>
        <v>C</v>
      </c>
      <c r="L311" s="2" t="str">
        <f t="shared" si="28"/>
        <v>D(平局)</v>
      </c>
      <c r="M311" s="2" t="s">
        <v>34</v>
      </c>
      <c r="N311" s="2">
        <f t="shared" si="29"/>
        <v>0</v>
      </c>
      <c r="O311" s="2" t="s">
        <v>34</v>
      </c>
      <c r="P311" s="2">
        <v>103</v>
      </c>
    </row>
    <row r="312" ht="23" customHeight="1" spans="1:16">
      <c r="A312" s="6" t="s">
        <v>217</v>
      </c>
      <c r="B312" s="2" t="s">
        <v>31</v>
      </c>
      <c r="C312" s="2" t="s">
        <v>17</v>
      </c>
      <c r="D312" s="2">
        <v>1</v>
      </c>
      <c r="E312" s="6" t="s">
        <v>497</v>
      </c>
      <c r="F312" s="2" t="str">
        <f t="shared" si="24"/>
        <v>A</v>
      </c>
      <c r="G312" s="2">
        <v>4</v>
      </c>
      <c r="H312" s="2" t="str">
        <f t="shared" si="25"/>
        <v>C</v>
      </c>
      <c r="I312" s="2">
        <v>5</v>
      </c>
      <c r="J312" s="2">
        <f t="shared" si="26"/>
        <v>-1</v>
      </c>
      <c r="K312" s="2" t="str">
        <f t="shared" si="27"/>
        <v>B</v>
      </c>
      <c r="L312" s="2" t="str">
        <f t="shared" si="28"/>
        <v>C</v>
      </c>
      <c r="M312" s="2" t="s">
        <v>27</v>
      </c>
      <c r="N312" s="2">
        <f t="shared" si="29"/>
        <v>1</v>
      </c>
      <c r="O312" s="2" t="s">
        <v>22</v>
      </c>
      <c r="P312" s="2">
        <v>97</v>
      </c>
    </row>
    <row r="313" ht="23" customHeight="1" spans="1:16">
      <c r="A313" s="6" t="s">
        <v>217</v>
      </c>
      <c r="B313" s="2" t="s">
        <v>31</v>
      </c>
      <c r="C313" s="2" t="s">
        <v>46</v>
      </c>
      <c r="D313" s="2">
        <v>1</v>
      </c>
      <c r="E313" s="6" t="s">
        <v>497</v>
      </c>
      <c r="F313" s="2" t="str">
        <f t="shared" si="24"/>
        <v>C</v>
      </c>
      <c r="G313" s="2">
        <v>5</v>
      </c>
      <c r="H313" s="2" t="str">
        <f t="shared" si="25"/>
        <v>A</v>
      </c>
      <c r="I313" s="2">
        <v>3</v>
      </c>
      <c r="J313" s="2">
        <f t="shared" si="26"/>
        <v>2</v>
      </c>
      <c r="K313" s="2" t="str">
        <f t="shared" si="27"/>
        <v>A</v>
      </c>
      <c r="L313" s="2" t="str">
        <f t="shared" si="28"/>
        <v>C</v>
      </c>
      <c r="M313" s="2" t="s">
        <v>27</v>
      </c>
      <c r="N313" s="2">
        <f t="shared" si="29"/>
        <v>1</v>
      </c>
      <c r="O313" s="2" t="s">
        <v>34</v>
      </c>
      <c r="P313" s="2">
        <v>106</v>
      </c>
    </row>
    <row r="314" ht="23" customHeight="1" spans="1:16">
      <c r="A314" s="6" t="s">
        <v>217</v>
      </c>
      <c r="B314" s="2" t="s">
        <v>31</v>
      </c>
      <c r="C314" s="2" t="s">
        <v>17</v>
      </c>
      <c r="D314" s="2">
        <v>2</v>
      </c>
      <c r="E314" s="6" t="s">
        <v>498</v>
      </c>
      <c r="F314" s="2" t="str">
        <f t="shared" si="24"/>
        <v>A</v>
      </c>
      <c r="G314" s="2">
        <v>3</v>
      </c>
      <c r="H314" s="2" t="str">
        <f t="shared" si="25"/>
        <v>C</v>
      </c>
      <c r="I314" s="2">
        <v>5</v>
      </c>
      <c r="J314" s="2">
        <f t="shared" si="26"/>
        <v>-2</v>
      </c>
      <c r="K314" s="2" t="str">
        <f t="shared" si="27"/>
        <v>B</v>
      </c>
      <c r="L314" s="2" t="str">
        <f t="shared" si="28"/>
        <v>C</v>
      </c>
      <c r="M314" s="2" t="s">
        <v>27</v>
      </c>
      <c r="N314" s="2">
        <f t="shared" si="29"/>
        <v>1</v>
      </c>
      <c r="O314" s="2" t="s">
        <v>22</v>
      </c>
      <c r="P314" s="2">
        <v>97</v>
      </c>
    </row>
    <row r="315" ht="23" customHeight="1" spans="1:16">
      <c r="A315" s="6" t="s">
        <v>217</v>
      </c>
      <c r="B315" s="2" t="s">
        <v>31</v>
      </c>
      <c r="C315" s="2" t="s">
        <v>46</v>
      </c>
      <c r="D315" s="2">
        <v>2</v>
      </c>
      <c r="E315" s="6" t="s">
        <v>498</v>
      </c>
      <c r="F315" s="2" t="str">
        <f t="shared" si="24"/>
        <v>C</v>
      </c>
      <c r="G315" s="2">
        <v>4</v>
      </c>
      <c r="H315" s="2" t="str">
        <f t="shared" si="25"/>
        <v>A</v>
      </c>
      <c r="I315" s="2">
        <v>3</v>
      </c>
      <c r="J315" s="2">
        <f t="shared" si="26"/>
        <v>1</v>
      </c>
      <c r="K315" s="2" t="str">
        <f t="shared" si="27"/>
        <v>A</v>
      </c>
      <c r="L315" s="2" t="str">
        <f t="shared" si="28"/>
        <v>C</v>
      </c>
      <c r="M315" s="2" t="s">
        <v>27</v>
      </c>
      <c r="N315" s="2">
        <f t="shared" si="29"/>
        <v>1</v>
      </c>
      <c r="O315" s="2" t="s">
        <v>34</v>
      </c>
      <c r="P315" s="2">
        <v>106</v>
      </c>
    </row>
    <row r="316" ht="23" customHeight="1" spans="1:16">
      <c r="A316" s="6" t="s">
        <v>217</v>
      </c>
      <c r="B316" s="2" t="s">
        <v>31</v>
      </c>
      <c r="C316" s="2" t="s">
        <v>17</v>
      </c>
      <c r="D316" s="2">
        <v>3</v>
      </c>
      <c r="E316" s="6" t="s">
        <v>499</v>
      </c>
      <c r="F316" s="2" t="str">
        <f t="shared" si="24"/>
        <v>A</v>
      </c>
      <c r="G316" s="2">
        <v>3</v>
      </c>
      <c r="H316" s="2" t="str">
        <f t="shared" si="25"/>
        <v>C</v>
      </c>
      <c r="I316" s="2">
        <v>4</v>
      </c>
      <c r="J316" s="2">
        <f t="shared" si="26"/>
        <v>-1</v>
      </c>
      <c r="K316" s="2" t="str">
        <f t="shared" si="27"/>
        <v>B</v>
      </c>
      <c r="L316" s="2" t="str">
        <f t="shared" si="28"/>
        <v>C</v>
      </c>
      <c r="M316" s="2" t="s">
        <v>27</v>
      </c>
      <c r="N316" s="2">
        <f t="shared" si="29"/>
        <v>1</v>
      </c>
      <c r="O316" s="2" t="s">
        <v>22</v>
      </c>
      <c r="P316" s="2">
        <v>97</v>
      </c>
    </row>
    <row r="317" ht="23" customHeight="1" spans="1:16">
      <c r="A317" s="6" t="s">
        <v>217</v>
      </c>
      <c r="B317" s="2" t="s">
        <v>31</v>
      </c>
      <c r="C317" s="2" t="s">
        <v>46</v>
      </c>
      <c r="D317" s="2">
        <v>3</v>
      </c>
      <c r="E317" s="6" t="s">
        <v>499</v>
      </c>
      <c r="F317" s="2" t="str">
        <f t="shared" si="24"/>
        <v>C</v>
      </c>
      <c r="G317" s="2">
        <v>5</v>
      </c>
      <c r="H317" s="2" t="str">
        <f t="shared" si="25"/>
        <v>A</v>
      </c>
      <c r="I317" s="2">
        <v>4</v>
      </c>
      <c r="J317" s="2">
        <f t="shared" si="26"/>
        <v>1</v>
      </c>
      <c r="K317" s="2" t="str">
        <f t="shared" si="27"/>
        <v>A</v>
      </c>
      <c r="L317" s="2" t="str">
        <f t="shared" si="28"/>
        <v>C</v>
      </c>
      <c r="M317" s="2" t="s">
        <v>27</v>
      </c>
      <c r="N317" s="2">
        <f t="shared" si="29"/>
        <v>1</v>
      </c>
      <c r="O317" s="2" t="s">
        <v>34</v>
      </c>
      <c r="P317" s="2">
        <v>106</v>
      </c>
    </row>
    <row r="318" ht="23" customHeight="1" spans="1:16">
      <c r="A318" s="6" t="s">
        <v>217</v>
      </c>
      <c r="B318" s="2" t="s">
        <v>31</v>
      </c>
      <c r="C318" s="2" t="s">
        <v>17</v>
      </c>
      <c r="D318" s="2">
        <v>4</v>
      </c>
      <c r="E318" s="6" t="s">
        <v>500</v>
      </c>
      <c r="F318" s="2" t="str">
        <f t="shared" si="24"/>
        <v>A</v>
      </c>
      <c r="G318" s="2">
        <v>4</v>
      </c>
      <c r="H318" s="2" t="str">
        <f t="shared" si="25"/>
        <v>C</v>
      </c>
      <c r="I318" s="2">
        <v>5</v>
      </c>
      <c r="J318" s="2">
        <f t="shared" si="26"/>
        <v>-1</v>
      </c>
      <c r="K318" s="2" t="str">
        <f t="shared" si="27"/>
        <v>B</v>
      </c>
      <c r="L318" s="2" t="str">
        <f t="shared" si="28"/>
        <v>C</v>
      </c>
      <c r="M318" s="2" t="s">
        <v>27</v>
      </c>
      <c r="N318" s="2">
        <f t="shared" si="29"/>
        <v>1</v>
      </c>
      <c r="O318" s="2" t="s">
        <v>22</v>
      </c>
      <c r="P318" s="2">
        <v>97</v>
      </c>
    </row>
    <row r="319" ht="23" customHeight="1" spans="1:16">
      <c r="A319" s="6" t="s">
        <v>217</v>
      </c>
      <c r="B319" s="2" t="s">
        <v>31</v>
      </c>
      <c r="C319" s="2" t="s">
        <v>46</v>
      </c>
      <c r="D319" s="2">
        <v>4</v>
      </c>
      <c r="E319" s="6" t="s">
        <v>500</v>
      </c>
      <c r="F319" s="2" t="str">
        <f t="shared" si="24"/>
        <v>C</v>
      </c>
      <c r="G319" s="2">
        <v>5</v>
      </c>
      <c r="H319" s="2" t="str">
        <f t="shared" si="25"/>
        <v>A</v>
      </c>
      <c r="I319" s="2">
        <v>4</v>
      </c>
      <c r="J319" s="2">
        <f t="shared" si="26"/>
        <v>1</v>
      </c>
      <c r="K319" s="2" t="str">
        <f t="shared" si="27"/>
        <v>A</v>
      </c>
      <c r="L319" s="2" t="str">
        <f t="shared" si="28"/>
        <v>C</v>
      </c>
      <c r="M319" s="2" t="s">
        <v>27</v>
      </c>
      <c r="N319" s="2">
        <f t="shared" si="29"/>
        <v>1</v>
      </c>
      <c r="O319" s="2" t="s">
        <v>34</v>
      </c>
      <c r="P319" s="2">
        <v>106</v>
      </c>
    </row>
    <row r="320" ht="23" customHeight="1" spans="1:16">
      <c r="A320" s="6" t="s">
        <v>217</v>
      </c>
      <c r="B320" s="2" t="s">
        <v>31</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27</v>
      </c>
      <c r="N320" s="2">
        <f t="shared" si="29"/>
        <v>0</v>
      </c>
      <c r="O320" s="2" t="s">
        <v>22</v>
      </c>
      <c r="P320" s="2">
        <v>97</v>
      </c>
    </row>
    <row r="321" ht="23" customHeight="1" spans="1:16">
      <c r="A321" s="6" t="s">
        <v>217</v>
      </c>
      <c r="B321" s="2" t="s">
        <v>31</v>
      </c>
      <c r="C321" s="2" t="s">
        <v>46</v>
      </c>
      <c r="D321" s="2">
        <v>5</v>
      </c>
      <c r="E321" s="6" t="s">
        <v>501</v>
      </c>
      <c r="F321" s="2" t="str">
        <f t="shared" si="24"/>
        <v>C</v>
      </c>
      <c r="G321" s="2">
        <v>5</v>
      </c>
      <c r="H321" s="2" t="str">
        <f t="shared" si="25"/>
        <v>A</v>
      </c>
      <c r="I321" s="2">
        <v>5</v>
      </c>
      <c r="J321" s="2">
        <f t="shared" si="26"/>
        <v>0</v>
      </c>
      <c r="K321" s="2" t="str">
        <f t="shared" si="27"/>
        <v>C</v>
      </c>
      <c r="L321" s="2" t="str">
        <f t="shared" si="28"/>
        <v>D(平局)</v>
      </c>
      <c r="M321" s="2" t="s">
        <v>27</v>
      </c>
      <c r="N321" s="2">
        <f t="shared" si="29"/>
        <v>0</v>
      </c>
      <c r="O321" s="2" t="s">
        <v>34</v>
      </c>
      <c r="P321" s="2">
        <v>106</v>
      </c>
    </row>
    <row r="322" ht="23" customHeight="1" spans="1:16">
      <c r="A322" s="6" t="s">
        <v>217</v>
      </c>
      <c r="B322" s="2" t="s">
        <v>39</v>
      </c>
      <c r="C322" s="2" t="s">
        <v>17</v>
      </c>
      <c r="D322" s="2">
        <v>1</v>
      </c>
      <c r="E322" s="6" t="s">
        <v>497</v>
      </c>
      <c r="F322" s="2" t="str">
        <f t="shared" ref="F322:F361" si="30">IF(C322="l2r",LEFT(B322,1),RIGHT(B322,1))</f>
        <v>B</v>
      </c>
      <c r="G322" s="2">
        <v>4</v>
      </c>
      <c r="H322" s="2" t="str">
        <f t="shared" ref="H322:H361" si="31">IF(C322="l2r",RIGHT(B322,1),LEFT(B322,1))</f>
        <v>C</v>
      </c>
      <c r="I322" s="2">
        <v>5</v>
      </c>
      <c r="J322" s="2">
        <f t="shared" ref="J322:J361" si="32">G322-I322</f>
        <v>-1</v>
      </c>
      <c r="K322" s="2" t="str">
        <f t="shared" ref="K322:K361" si="33">IF(J322=0,"C",IF(J322&gt;0,"A","B"))</f>
        <v>B</v>
      </c>
      <c r="L322" s="2" t="str">
        <f t="shared" ref="L322:L361" si="34">IF(J322=0,"D(平局)",IF(J322&gt;0,F322,H322))</f>
        <v>C</v>
      </c>
      <c r="M322" s="2" t="s">
        <v>27</v>
      </c>
      <c r="N322" s="2">
        <f t="shared" ref="N322:N361" si="35">--(L322=M322)</f>
        <v>1</v>
      </c>
      <c r="O322" s="2" t="s">
        <v>22</v>
      </c>
      <c r="P322" s="2">
        <v>100</v>
      </c>
    </row>
    <row r="323" ht="23" customHeight="1" spans="1:16">
      <c r="A323" s="6" t="s">
        <v>217</v>
      </c>
      <c r="B323" s="2" t="s">
        <v>39</v>
      </c>
      <c r="C323" s="2" t="s">
        <v>46</v>
      </c>
      <c r="D323" s="2">
        <v>1</v>
      </c>
      <c r="E323" s="6" t="s">
        <v>497</v>
      </c>
      <c r="F323" s="2" t="str">
        <f t="shared" si="30"/>
        <v>C</v>
      </c>
      <c r="G323" s="2">
        <v>5</v>
      </c>
      <c r="H323" s="2" t="str">
        <f t="shared" si="31"/>
        <v>B</v>
      </c>
      <c r="I323" s="2">
        <v>4</v>
      </c>
      <c r="J323" s="2">
        <f t="shared" si="32"/>
        <v>1</v>
      </c>
      <c r="K323" s="2" t="str">
        <f t="shared" si="33"/>
        <v>A</v>
      </c>
      <c r="L323" s="2" t="str">
        <f t="shared" si="34"/>
        <v>C</v>
      </c>
      <c r="M323" s="2" t="s">
        <v>27</v>
      </c>
      <c r="N323" s="2">
        <f t="shared" si="35"/>
        <v>1</v>
      </c>
      <c r="O323" s="2" t="s">
        <v>34</v>
      </c>
      <c r="P323" s="2">
        <v>109</v>
      </c>
    </row>
    <row r="324" ht="23" customHeight="1" spans="1:16">
      <c r="A324" s="6" t="s">
        <v>217</v>
      </c>
      <c r="B324" s="2" t="s">
        <v>39</v>
      </c>
      <c r="C324" s="2" t="s">
        <v>17</v>
      </c>
      <c r="D324" s="2">
        <v>2</v>
      </c>
      <c r="E324" s="6" t="s">
        <v>498</v>
      </c>
      <c r="F324" s="2" t="str">
        <f t="shared" si="30"/>
        <v>B</v>
      </c>
      <c r="G324" s="2">
        <v>2</v>
      </c>
      <c r="H324" s="2" t="str">
        <f t="shared" si="31"/>
        <v>C</v>
      </c>
      <c r="I324" s="2">
        <v>5</v>
      </c>
      <c r="J324" s="2">
        <f t="shared" si="32"/>
        <v>-3</v>
      </c>
      <c r="K324" s="2" t="str">
        <f t="shared" si="33"/>
        <v>B</v>
      </c>
      <c r="L324" s="2" t="str">
        <f t="shared" si="34"/>
        <v>C</v>
      </c>
      <c r="M324" s="2" t="s">
        <v>27</v>
      </c>
      <c r="N324" s="2">
        <f t="shared" si="35"/>
        <v>1</v>
      </c>
      <c r="O324" s="2" t="s">
        <v>22</v>
      </c>
      <c r="P324" s="2">
        <v>100</v>
      </c>
    </row>
    <row r="325" ht="23" customHeight="1" spans="1:16">
      <c r="A325" s="6" t="s">
        <v>217</v>
      </c>
      <c r="B325" s="2" t="s">
        <v>39</v>
      </c>
      <c r="C325" s="2" t="s">
        <v>46</v>
      </c>
      <c r="D325" s="2">
        <v>2</v>
      </c>
      <c r="E325" s="6" t="s">
        <v>498</v>
      </c>
      <c r="F325" s="2" t="str">
        <f t="shared" si="30"/>
        <v>C</v>
      </c>
      <c r="G325" s="2">
        <v>4</v>
      </c>
      <c r="H325" s="2" t="str">
        <f t="shared" si="31"/>
        <v>B</v>
      </c>
      <c r="I325" s="2">
        <v>3</v>
      </c>
      <c r="J325" s="2">
        <f t="shared" si="32"/>
        <v>1</v>
      </c>
      <c r="K325" s="2" t="str">
        <f t="shared" si="33"/>
        <v>A</v>
      </c>
      <c r="L325" s="2" t="str">
        <f t="shared" si="34"/>
        <v>C</v>
      </c>
      <c r="M325" s="2" t="s">
        <v>27</v>
      </c>
      <c r="N325" s="2">
        <f t="shared" si="35"/>
        <v>1</v>
      </c>
      <c r="O325" s="2" t="s">
        <v>34</v>
      </c>
      <c r="P325" s="2">
        <v>109</v>
      </c>
    </row>
    <row r="326" ht="23" customHeight="1" spans="1:16">
      <c r="A326" s="6" t="s">
        <v>217</v>
      </c>
      <c r="B326" s="2" t="s">
        <v>39</v>
      </c>
      <c r="C326" s="2" t="s">
        <v>17</v>
      </c>
      <c r="D326" s="2">
        <v>3</v>
      </c>
      <c r="E326" s="6" t="s">
        <v>499</v>
      </c>
      <c r="F326" s="2" t="str">
        <f t="shared" si="30"/>
        <v>B</v>
      </c>
      <c r="G326" s="2">
        <v>5</v>
      </c>
      <c r="H326" s="2" t="str">
        <f t="shared" si="31"/>
        <v>C</v>
      </c>
      <c r="I326" s="2">
        <v>4</v>
      </c>
      <c r="J326" s="2">
        <f t="shared" si="32"/>
        <v>1</v>
      </c>
      <c r="K326" s="2" t="str">
        <f t="shared" si="33"/>
        <v>A</v>
      </c>
      <c r="L326" s="2" t="str">
        <f t="shared" si="34"/>
        <v>B</v>
      </c>
      <c r="M326" s="2" t="s">
        <v>27</v>
      </c>
      <c r="N326" s="2">
        <f t="shared" si="35"/>
        <v>0</v>
      </c>
      <c r="O326" s="2" t="s">
        <v>22</v>
      </c>
      <c r="P326" s="2">
        <v>100</v>
      </c>
    </row>
    <row r="327" ht="23" customHeight="1" spans="1:16">
      <c r="A327" s="6" t="s">
        <v>217</v>
      </c>
      <c r="B327" s="2" t="s">
        <v>39</v>
      </c>
      <c r="C327" s="2" t="s">
        <v>46</v>
      </c>
      <c r="D327" s="2">
        <v>3</v>
      </c>
      <c r="E327" s="6" t="s">
        <v>499</v>
      </c>
      <c r="F327" s="2" t="str">
        <f t="shared" si="30"/>
        <v>C</v>
      </c>
      <c r="G327" s="2">
        <v>4</v>
      </c>
      <c r="H327" s="2" t="str">
        <f t="shared" si="31"/>
        <v>B</v>
      </c>
      <c r="I327" s="2">
        <v>5</v>
      </c>
      <c r="J327" s="2">
        <f t="shared" si="32"/>
        <v>-1</v>
      </c>
      <c r="K327" s="2" t="str">
        <f t="shared" si="33"/>
        <v>B</v>
      </c>
      <c r="L327" s="2" t="str">
        <f t="shared" si="34"/>
        <v>B</v>
      </c>
      <c r="M327" s="2" t="s">
        <v>27</v>
      </c>
      <c r="N327" s="2">
        <f t="shared" si="35"/>
        <v>0</v>
      </c>
      <c r="O327" s="2" t="s">
        <v>34</v>
      </c>
      <c r="P327" s="2">
        <v>109</v>
      </c>
    </row>
    <row r="328" ht="23" customHeight="1" spans="1:16">
      <c r="A328" s="6" t="s">
        <v>217</v>
      </c>
      <c r="B328" s="2" t="s">
        <v>39</v>
      </c>
      <c r="C328" s="2" t="s">
        <v>17</v>
      </c>
      <c r="D328" s="2">
        <v>4</v>
      </c>
      <c r="E328" s="6" t="s">
        <v>500</v>
      </c>
      <c r="F328" s="2" t="str">
        <f t="shared" si="30"/>
        <v>B</v>
      </c>
      <c r="G328" s="2">
        <v>4</v>
      </c>
      <c r="H328" s="2" t="str">
        <f t="shared" si="31"/>
        <v>C</v>
      </c>
      <c r="I328" s="2">
        <v>4</v>
      </c>
      <c r="J328" s="2">
        <f t="shared" si="32"/>
        <v>0</v>
      </c>
      <c r="K328" s="2" t="str">
        <f t="shared" si="33"/>
        <v>C</v>
      </c>
      <c r="L328" s="2" t="str">
        <f t="shared" si="34"/>
        <v>D(平局)</v>
      </c>
      <c r="M328" s="2" t="s">
        <v>27</v>
      </c>
      <c r="N328" s="2">
        <f t="shared" si="35"/>
        <v>0</v>
      </c>
      <c r="O328" s="2" t="s">
        <v>22</v>
      </c>
      <c r="P328" s="2">
        <v>100</v>
      </c>
    </row>
    <row r="329" ht="23" customHeight="1" spans="1:16">
      <c r="A329" s="6" t="s">
        <v>217</v>
      </c>
      <c r="B329" s="2" t="s">
        <v>39</v>
      </c>
      <c r="C329" s="2" t="s">
        <v>46</v>
      </c>
      <c r="D329" s="2">
        <v>4</v>
      </c>
      <c r="E329" s="6" t="s">
        <v>500</v>
      </c>
      <c r="F329" s="2" t="str">
        <f t="shared" si="30"/>
        <v>C</v>
      </c>
      <c r="G329" s="2">
        <v>5</v>
      </c>
      <c r="H329" s="2" t="str">
        <f t="shared" si="31"/>
        <v>B</v>
      </c>
      <c r="I329" s="2">
        <v>4</v>
      </c>
      <c r="J329" s="2">
        <f t="shared" si="32"/>
        <v>1</v>
      </c>
      <c r="K329" s="2" t="str">
        <f t="shared" si="33"/>
        <v>A</v>
      </c>
      <c r="L329" s="2" t="str">
        <f t="shared" si="34"/>
        <v>C</v>
      </c>
      <c r="M329" s="2" t="s">
        <v>27</v>
      </c>
      <c r="N329" s="2">
        <f t="shared" si="35"/>
        <v>1</v>
      </c>
      <c r="O329" s="2" t="s">
        <v>34</v>
      </c>
      <c r="P329" s="2">
        <v>109</v>
      </c>
    </row>
    <row r="330" ht="23" customHeight="1" spans="1:16">
      <c r="A330" s="6" t="s">
        <v>217</v>
      </c>
      <c r="B330" s="2" t="s">
        <v>39</v>
      </c>
      <c r="C330" s="2" t="s">
        <v>17</v>
      </c>
      <c r="D330" s="2">
        <v>5</v>
      </c>
      <c r="E330" s="6" t="s">
        <v>501</v>
      </c>
      <c r="F330" s="2" t="str">
        <f t="shared" si="30"/>
        <v>B</v>
      </c>
      <c r="G330" s="2">
        <v>5</v>
      </c>
      <c r="H330" s="2" t="str">
        <f t="shared" si="31"/>
        <v>C</v>
      </c>
      <c r="I330" s="2">
        <v>5</v>
      </c>
      <c r="J330" s="2">
        <f t="shared" si="32"/>
        <v>0</v>
      </c>
      <c r="K330" s="2" t="str">
        <f t="shared" si="33"/>
        <v>C</v>
      </c>
      <c r="L330" s="2" t="str">
        <f t="shared" si="34"/>
        <v>D(平局)</v>
      </c>
      <c r="M330" s="2" t="s">
        <v>27</v>
      </c>
      <c r="N330" s="2">
        <f t="shared" si="35"/>
        <v>0</v>
      </c>
      <c r="O330" s="2" t="s">
        <v>22</v>
      </c>
      <c r="P330" s="2">
        <v>100</v>
      </c>
    </row>
    <row r="331" ht="23" customHeight="1" spans="1:16">
      <c r="A331" s="6" t="s">
        <v>217</v>
      </c>
      <c r="B331" s="2" t="s">
        <v>39</v>
      </c>
      <c r="C331" s="2" t="s">
        <v>46</v>
      </c>
      <c r="D331" s="2">
        <v>5</v>
      </c>
      <c r="E331" s="6" t="s">
        <v>501</v>
      </c>
      <c r="F331" s="2" t="str">
        <f t="shared" si="30"/>
        <v>C</v>
      </c>
      <c r="G331" s="2">
        <v>5</v>
      </c>
      <c r="H331" s="2" t="str">
        <f t="shared" si="31"/>
        <v>B</v>
      </c>
      <c r="I331" s="2">
        <v>5</v>
      </c>
      <c r="J331" s="2">
        <f t="shared" si="32"/>
        <v>0</v>
      </c>
      <c r="K331" s="2" t="str">
        <f t="shared" si="33"/>
        <v>C</v>
      </c>
      <c r="L331" s="2" t="str">
        <f t="shared" si="34"/>
        <v>D(平局)</v>
      </c>
      <c r="M331" s="2" t="s">
        <v>27</v>
      </c>
      <c r="N331" s="2">
        <f t="shared" si="35"/>
        <v>0</v>
      </c>
      <c r="O331" s="2" t="s">
        <v>34</v>
      </c>
      <c r="P331" s="2">
        <v>109</v>
      </c>
    </row>
    <row r="332" ht="23" customHeight="1" spans="1:16">
      <c r="A332" s="6" t="s">
        <v>293</v>
      </c>
      <c r="B332" s="2" t="s">
        <v>15</v>
      </c>
      <c r="C332" s="2" t="s">
        <v>17</v>
      </c>
      <c r="D332" s="2">
        <v>1</v>
      </c>
      <c r="E332" s="6" t="s">
        <v>497</v>
      </c>
      <c r="F332" s="2" t="str">
        <f t="shared" si="30"/>
        <v>A</v>
      </c>
      <c r="G332" s="2">
        <v>5</v>
      </c>
      <c r="H332" s="2" t="str">
        <f t="shared" si="31"/>
        <v>B</v>
      </c>
      <c r="I332" s="2">
        <v>3</v>
      </c>
      <c r="J332" s="2">
        <f t="shared" si="32"/>
        <v>2</v>
      </c>
      <c r="K332" s="2" t="str">
        <f t="shared" si="33"/>
        <v>A</v>
      </c>
      <c r="L332" s="2" t="str">
        <f t="shared" si="34"/>
        <v>A</v>
      </c>
      <c r="M332" s="2" t="s">
        <v>34</v>
      </c>
      <c r="N332" s="2">
        <f t="shared" si="35"/>
        <v>1</v>
      </c>
      <c r="O332" s="2" t="s">
        <v>34</v>
      </c>
      <c r="P332" s="2">
        <v>130</v>
      </c>
    </row>
    <row r="333" ht="23" customHeight="1" spans="1:16">
      <c r="A333" s="6" t="s">
        <v>293</v>
      </c>
      <c r="B333" s="2" t="s">
        <v>15</v>
      </c>
      <c r="C333" s="2" t="s">
        <v>46</v>
      </c>
      <c r="D333" s="2">
        <v>1</v>
      </c>
      <c r="E333" s="6" t="s">
        <v>497</v>
      </c>
      <c r="F333" s="2" t="str">
        <f t="shared" si="30"/>
        <v>B</v>
      </c>
      <c r="G333" s="2">
        <v>4</v>
      </c>
      <c r="H333" s="2" t="str">
        <f t="shared" si="31"/>
        <v>A</v>
      </c>
      <c r="I333" s="2">
        <v>5</v>
      </c>
      <c r="J333" s="2">
        <f t="shared" si="32"/>
        <v>-1</v>
      </c>
      <c r="K333" s="2" t="str">
        <f t="shared" si="33"/>
        <v>B</v>
      </c>
      <c r="L333" s="2" t="str">
        <f t="shared" si="34"/>
        <v>A</v>
      </c>
      <c r="M333" s="2" t="s">
        <v>34</v>
      </c>
      <c r="N333" s="2">
        <f t="shared" si="35"/>
        <v>1</v>
      </c>
      <c r="O333" s="2" t="s">
        <v>22</v>
      </c>
      <c r="P333" s="2">
        <v>139</v>
      </c>
    </row>
    <row r="334" ht="23" customHeight="1" spans="1:16">
      <c r="A334" s="6" t="s">
        <v>293</v>
      </c>
      <c r="B334" s="2" t="s">
        <v>15</v>
      </c>
      <c r="C334" s="2" t="s">
        <v>17</v>
      </c>
      <c r="D334" s="2">
        <v>2</v>
      </c>
      <c r="E334" s="6" t="s">
        <v>498</v>
      </c>
      <c r="F334" s="2" t="str">
        <f t="shared" si="30"/>
        <v>A</v>
      </c>
      <c r="G334" s="2">
        <v>4</v>
      </c>
      <c r="H334" s="2" t="str">
        <f t="shared" si="31"/>
        <v>B</v>
      </c>
      <c r="I334" s="2">
        <v>2</v>
      </c>
      <c r="J334" s="2">
        <f t="shared" si="32"/>
        <v>2</v>
      </c>
      <c r="K334" s="2" t="str">
        <f t="shared" si="33"/>
        <v>A</v>
      </c>
      <c r="L334" s="2" t="str">
        <f t="shared" si="34"/>
        <v>A</v>
      </c>
      <c r="M334" s="2" t="s">
        <v>34</v>
      </c>
      <c r="N334" s="2">
        <f t="shared" si="35"/>
        <v>1</v>
      </c>
      <c r="O334" s="2" t="s">
        <v>34</v>
      </c>
      <c r="P334" s="2">
        <v>130</v>
      </c>
    </row>
    <row r="335" ht="23" customHeight="1" spans="1:16">
      <c r="A335" s="6" t="s">
        <v>293</v>
      </c>
      <c r="B335" s="2" t="s">
        <v>15</v>
      </c>
      <c r="C335" s="2" t="s">
        <v>46</v>
      </c>
      <c r="D335" s="2">
        <v>2</v>
      </c>
      <c r="E335" s="6" t="s">
        <v>498</v>
      </c>
      <c r="F335" s="2" t="str">
        <f t="shared" si="30"/>
        <v>B</v>
      </c>
      <c r="G335" s="2">
        <v>4</v>
      </c>
      <c r="H335" s="2" t="str">
        <f t="shared" si="31"/>
        <v>A</v>
      </c>
      <c r="I335" s="2">
        <v>5</v>
      </c>
      <c r="J335" s="2">
        <f t="shared" si="32"/>
        <v>-1</v>
      </c>
      <c r="K335" s="2" t="str">
        <f t="shared" si="33"/>
        <v>B</v>
      </c>
      <c r="L335" s="2" t="str">
        <f t="shared" si="34"/>
        <v>A</v>
      </c>
      <c r="M335" s="2" t="s">
        <v>34</v>
      </c>
      <c r="N335" s="2">
        <f t="shared" si="35"/>
        <v>1</v>
      </c>
      <c r="O335" s="2" t="s">
        <v>22</v>
      </c>
      <c r="P335" s="2">
        <v>139</v>
      </c>
    </row>
    <row r="336" ht="23" customHeight="1" spans="1:16">
      <c r="A336" s="6" t="s">
        <v>293</v>
      </c>
      <c r="B336" s="2" t="s">
        <v>15</v>
      </c>
      <c r="C336" s="2" t="s">
        <v>17</v>
      </c>
      <c r="D336" s="2">
        <v>3</v>
      </c>
      <c r="E336" s="6" t="s">
        <v>499</v>
      </c>
      <c r="F336" s="2" t="str">
        <f t="shared" si="30"/>
        <v>A</v>
      </c>
      <c r="G336" s="2">
        <v>5</v>
      </c>
      <c r="H336" s="2" t="str">
        <f t="shared" si="31"/>
        <v>B</v>
      </c>
      <c r="I336" s="2">
        <v>4</v>
      </c>
      <c r="J336" s="2">
        <f t="shared" si="32"/>
        <v>1</v>
      </c>
      <c r="K336" s="2" t="str">
        <f t="shared" si="33"/>
        <v>A</v>
      </c>
      <c r="L336" s="2" t="str">
        <f t="shared" si="34"/>
        <v>A</v>
      </c>
      <c r="M336" s="2" t="s">
        <v>34</v>
      </c>
      <c r="N336" s="2">
        <f t="shared" si="35"/>
        <v>1</v>
      </c>
      <c r="O336" s="2" t="s">
        <v>34</v>
      </c>
      <c r="P336" s="2">
        <v>130</v>
      </c>
    </row>
    <row r="337" ht="23" customHeight="1" spans="1:16">
      <c r="A337" s="6" t="s">
        <v>293</v>
      </c>
      <c r="B337" s="2" t="s">
        <v>15</v>
      </c>
      <c r="C337" s="2" t="s">
        <v>46</v>
      </c>
      <c r="D337" s="2">
        <v>3</v>
      </c>
      <c r="E337" s="6" t="s">
        <v>499</v>
      </c>
      <c r="F337" s="2" t="str">
        <f t="shared" si="30"/>
        <v>B</v>
      </c>
      <c r="G337" s="2">
        <v>4</v>
      </c>
      <c r="H337" s="2" t="str">
        <f t="shared" si="31"/>
        <v>A</v>
      </c>
      <c r="I337" s="2">
        <v>5</v>
      </c>
      <c r="J337" s="2">
        <f t="shared" si="32"/>
        <v>-1</v>
      </c>
      <c r="K337" s="2" t="str">
        <f t="shared" si="33"/>
        <v>B</v>
      </c>
      <c r="L337" s="2" t="str">
        <f t="shared" si="34"/>
        <v>A</v>
      </c>
      <c r="M337" s="2" t="s">
        <v>34</v>
      </c>
      <c r="N337" s="2">
        <f t="shared" si="35"/>
        <v>1</v>
      </c>
      <c r="O337" s="2" t="s">
        <v>22</v>
      </c>
      <c r="P337" s="2">
        <v>139</v>
      </c>
    </row>
    <row r="338" ht="23" customHeight="1" spans="1:16">
      <c r="A338" s="6" t="s">
        <v>293</v>
      </c>
      <c r="B338" s="2" t="s">
        <v>15</v>
      </c>
      <c r="C338" s="2" t="s">
        <v>17</v>
      </c>
      <c r="D338" s="2">
        <v>4</v>
      </c>
      <c r="E338" s="6" t="s">
        <v>500</v>
      </c>
      <c r="F338" s="2" t="str">
        <f t="shared" si="30"/>
        <v>A</v>
      </c>
      <c r="G338" s="2">
        <v>5</v>
      </c>
      <c r="H338" s="2" t="str">
        <f t="shared" si="31"/>
        <v>B</v>
      </c>
      <c r="I338" s="2">
        <v>3</v>
      </c>
      <c r="J338" s="2">
        <f t="shared" si="32"/>
        <v>2</v>
      </c>
      <c r="K338" s="2" t="str">
        <f t="shared" si="33"/>
        <v>A</v>
      </c>
      <c r="L338" s="2" t="str">
        <f t="shared" si="34"/>
        <v>A</v>
      </c>
      <c r="M338" s="2" t="s">
        <v>34</v>
      </c>
      <c r="N338" s="2">
        <f t="shared" si="35"/>
        <v>1</v>
      </c>
      <c r="O338" s="2" t="s">
        <v>34</v>
      </c>
      <c r="P338" s="2">
        <v>130</v>
      </c>
    </row>
    <row r="339" ht="23" customHeight="1" spans="1:16">
      <c r="A339" s="6" t="s">
        <v>293</v>
      </c>
      <c r="B339" s="2" t="s">
        <v>15</v>
      </c>
      <c r="C339" s="2" t="s">
        <v>46</v>
      </c>
      <c r="D339" s="2">
        <v>4</v>
      </c>
      <c r="E339" s="6" t="s">
        <v>500</v>
      </c>
      <c r="F339" s="2" t="str">
        <f t="shared" si="30"/>
        <v>B</v>
      </c>
      <c r="G339" s="2">
        <v>4</v>
      </c>
      <c r="H339" s="2" t="str">
        <f t="shared" si="31"/>
        <v>A</v>
      </c>
      <c r="I339" s="2">
        <v>5</v>
      </c>
      <c r="J339" s="2">
        <f t="shared" si="32"/>
        <v>-1</v>
      </c>
      <c r="K339" s="2" t="str">
        <f t="shared" si="33"/>
        <v>B</v>
      </c>
      <c r="L339" s="2" t="str">
        <f t="shared" si="34"/>
        <v>A</v>
      </c>
      <c r="M339" s="2" t="s">
        <v>34</v>
      </c>
      <c r="N339" s="2">
        <f t="shared" si="35"/>
        <v>1</v>
      </c>
      <c r="O339" s="2" t="s">
        <v>22</v>
      </c>
      <c r="P339" s="2">
        <v>139</v>
      </c>
    </row>
    <row r="340" ht="23" customHeight="1" spans="1:16">
      <c r="A340" s="6" t="s">
        <v>293</v>
      </c>
      <c r="B340" s="2" t="s">
        <v>15</v>
      </c>
      <c r="C340" s="2" t="s">
        <v>17</v>
      </c>
      <c r="D340" s="2">
        <v>5</v>
      </c>
      <c r="E340" s="6" t="s">
        <v>501</v>
      </c>
      <c r="F340" s="2" t="str">
        <f t="shared" si="30"/>
        <v>A</v>
      </c>
      <c r="G340" s="2">
        <v>5</v>
      </c>
      <c r="H340" s="2" t="str">
        <f t="shared" si="31"/>
        <v>B</v>
      </c>
      <c r="I340" s="2">
        <v>3</v>
      </c>
      <c r="J340" s="2">
        <f t="shared" si="32"/>
        <v>2</v>
      </c>
      <c r="K340" s="2" t="str">
        <f t="shared" si="33"/>
        <v>A</v>
      </c>
      <c r="L340" s="2" t="str">
        <f t="shared" si="34"/>
        <v>A</v>
      </c>
      <c r="M340" s="2" t="s">
        <v>34</v>
      </c>
      <c r="N340" s="2">
        <f t="shared" si="35"/>
        <v>1</v>
      </c>
      <c r="O340" s="2" t="s">
        <v>34</v>
      </c>
      <c r="P340" s="2">
        <v>130</v>
      </c>
    </row>
    <row r="341" ht="23" customHeight="1" spans="1:16">
      <c r="A341" s="6" t="s">
        <v>293</v>
      </c>
      <c r="B341" s="2" t="s">
        <v>15</v>
      </c>
      <c r="C341" s="2" t="s">
        <v>46</v>
      </c>
      <c r="D341" s="2">
        <v>5</v>
      </c>
      <c r="E341" s="6" t="s">
        <v>501</v>
      </c>
      <c r="F341" s="2" t="str">
        <f t="shared" si="30"/>
        <v>B</v>
      </c>
      <c r="G341" s="2">
        <v>4</v>
      </c>
      <c r="H341" s="2" t="str">
        <f t="shared" si="31"/>
        <v>A</v>
      </c>
      <c r="I341" s="2">
        <v>5</v>
      </c>
      <c r="J341" s="2">
        <f t="shared" si="32"/>
        <v>-1</v>
      </c>
      <c r="K341" s="2" t="str">
        <f t="shared" si="33"/>
        <v>B</v>
      </c>
      <c r="L341" s="2" t="str">
        <f t="shared" si="34"/>
        <v>A</v>
      </c>
      <c r="M341" s="2" t="s">
        <v>34</v>
      </c>
      <c r="N341" s="2">
        <f t="shared" si="35"/>
        <v>1</v>
      </c>
      <c r="O341" s="2" t="s">
        <v>22</v>
      </c>
      <c r="P341" s="2">
        <v>139</v>
      </c>
    </row>
    <row r="342" ht="23" customHeight="1" spans="1:16">
      <c r="A342" s="6" t="s">
        <v>293</v>
      </c>
      <c r="B342" s="2" t="s">
        <v>31</v>
      </c>
      <c r="C342" s="2" t="s">
        <v>17</v>
      </c>
      <c r="D342" s="2">
        <v>1</v>
      </c>
      <c r="E342" s="6" t="s">
        <v>497</v>
      </c>
      <c r="F342" s="2" t="str">
        <f t="shared" si="30"/>
        <v>A</v>
      </c>
      <c r="G342" s="2">
        <v>5</v>
      </c>
      <c r="H342" s="2" t="str">
        <f t="shared" si="31"/>
        <v>C</v>
      </c>
      <c r="I342" s="2">
        <v>5</v>
      </c>
      <c r="J342" s="2">
        <f t="shared" si="32"/>
        <v>0</v>
      </c>
      <c r="K342" s="2" t="str">
        <f t="shared" si="33"/>
        <v>C</v>
      </c>
      <c r="L342" s="2" t="str">
        <f t="shared" si="34"/>
        <v>D(平局)</v>
      </c>
      <c r="M342" s="2" t="s">
        <v>23</v>
      </c>
      <c r="N342" s="2">
        <f t="shared" si="35"/>
        <v>1</v>
      </c>
      <c r="O342" s="2" t="s">
        <v>34</v>
      </c>
      <c r="P342" s="2">
        <v>133</v>
      </c>
    </row>
    <row r="343" ht="23" customHeight="1" spans="1:16">
      <c r="A343" s="6" t="s">
        <v>293</v>
      </c>
      <c r="B343" s="2" t="s">
        <v>31</v>
      </c>
      <c r="C343" s="2" t="s">
        <v>46</v>
      </c>
      <c r="D343" s="2">
        <v>1</v>
      </c>
      <c r="E343" s="6" t="s">
        <v>497</v>
      </c>
      <c r="F343" s="2" t="str">
        <f t="shared" si="30"/>
        <v>C</v>
      </c>
      <c r="G343" s="2">
        <v>5</v>
      </c>
      <c r="H343" s="2" t="str">
        <f t="shared" si="31"/>
        <v>A</v>
      </c>
      <c r="I343" s="2">
        <v>5</v>
      </c>
      <c r="J343" s="2">
        <f t="shared" si="32"/>
        <v>0</v>
      </c>
      <c r="K343" s="2" t="str">
        <f t="shared" si="33"/>
        <v>C</v>
      </c>
      <c r="L343" s="2" t="str">
        <f t="shared" si="34"/>
        <v>D(平局)</v>
      </c>
      <c r="M343" s="2" t="s">
        <v>23</v>
      </c>
      <c r="N343" s="2">
        <f t="shared" si="35"/>
        <v>1</v>
      </c>
      <c r="O343" s="2" t="s">
        <v>22</v>
      </c>
      <c r="P343" s="2">
        <v>142</v>
      </c>
    </row>
    <row r="344" ht="23" customHeight="1" spans="1:16">
      <c r="A344" s="6" t="s">
        <v>293</v>
      </c>
      <c r="B344" s="2" t="s">
        <v>31</v>
      </c>
      <c r="C344" s="2" t="s">
        <v>17</v>
      </c>
      <c r="D344" s="2">
        <v>2</v>
      </c>
      <c r="E344" s="6" t="s">
        <v>498</v>
      </c>
      <c r="F344" s="2" t="str">
        <f t="shared" si="30"/>
        <v>A</v>
      </c>
      <c r="G344" s="2">
        <v>5</v>
      </c>
      <c r="H344" s="2" t="str">
        <f t="shared" si="31"/>
        <v>C</v>
      </c>
      <c r="I344" s="2">
        <v>4</v>
      </c>
      <c r="J344" s="2">
        <f t="shared" si="32"/>
        <v>1</v>
      </c>
      <c r="K344" s="2" t="str">
        <f t="shared" si="33"/>
        <v>A</v>
      </c>
      <c r="L344" s="2" t="str">
        <f t="shared" si="34"/>
        <v>A</v>
      </c>
      <c r="M344" s="2" t="s">
        <v>23</v>
      </c>
      <c r="N344" s="2">
        <f t="shared" si="35"/>
        <v>0</v>
      </c>
      <c r="O344" s="2" t="s">
        <v>34</v>
      </c>
      <c r="P344" s="2">
        <v>133</v>
      </c>
    </row>
    <row r="345" ht="23" customHeight="1" spans="1:16">
      <c r="A345" s="6" t="s">
        <v>293</v>
      </c>
      <c r="B345" s="2" t="s">
        <v>31</v>
      </c>
      <c r="C345" s="2" t="s">
        <v>46</v>
      </c>
      <c r="D345" s="2">
        <v>2</v>
      </c>
      <c r="E345" s="6" t="s">
        <v>498</v>
      </c>
      <c r="F345" s="2" t="str">
        <f t="shared" si="30"/>
        <v>C</v>
      </c>
      <c r="G345" s="2">
        <v>4</v>
      </c>
      <c r="H345" s="2" t="str">
        <f t="shared" si="31"/>
        <v>A</v>
      </c>
      <c r="I345" s="2">
        <v>5</v>
      </c>
      <c r="J345" s="2">
        <f t="shared" si="32"/>
        <v>-1</v>
      </c>
      <c r="K345" s="2" t="str">
        <f t="shared" si="33"/>
        <v>B</v>
      </c>
      <c r="L345" s="2" t="str">
        <f t="shared" si="34"/>
        <v>A</v>
      </c>
      <c r="M345" s="2" t="s">
        <v>23</v>
      </c>
      <c r="N345" s="2">
        <f t="shared" si="35"/>
        <v>0</v>
      </c>
      <c r="O345" s="2" t="s">
        <v>22</v>
      </c>
      <c r="P345" s="2">
        <v>142</v>
      </c>
    </row>
    <row r="346" ht="23" customHeight="1" spans="1:16">
      <c r="A346" s="6" t="s">
        <v>293</v>
      </c>
      <c r="B346" s="2" t="s">
        <v>31</v>
      </c>
      <c r="C346" s="2" t="s">
        <v>17</v>
      </c>
      <c r="D346" s="2">
        <v>3</v>
      </c>
      <c r="E346" s="6" t="s">
        <v>499</v>
      </c>
      <c r="F346" s="2" t="str">
        <f t="shared" si="30"/>
        <v>A</v>
      </c>
      <c r="G346" s="2">
        <v>5</v>
      </c>
      <c r="H346" s="2" t="str">
        <f t="shared" si="31"/>
        <v>C</v>
      </c>
      <c r="I346" s="2">
        <v>4</v>
      </c>
      <c r="J346" s="2">
        <f t="shared" si="32"/>
        <v>1</v>
      </c>
      <c r="K346" s="2" t="str">
        <f t="shared" si="33"/>
        <v>A</v>
      </c>
      <c r="L346" s="2" t="str">
        <f t="shared" si="34"/>
        <v>A</v>
      </c>
      <c r="M346" s="2" t="s">
        <v>23</v>
      </c>
      <c r="N346" s="2">
        <f t="shared" si="35"/>
        <v>0</v>
      </c>
      <c r="O346" s="2" t="s">
        <v>34</v>
      </c>
      <c r="P346" s="2">
        <v>133</v>
      </c>
    </row>
    <row r="347" ht="23" customHeight="1" spans="1:16">
      <c r="A347" s="6" t="s">
        <v>293</v>
      </c>
      <c r="B347" s="2" t="s">
        <v>31</v>
      </c>
      <c r="C347" s="2" t="s">
        <v>46</v>
      </c>
      <c r="D347" s="2">
        <v>3</v>
      </c>
      <c r="E347" s="6" t="s">
        <v>499</v>
      </c>
      <c r="F347" s="2" t="str">
        <f t="shared" si="30"/>
        <v>C</v>
      </c>
      <c r="G347" s="2">
        <v>4</v>
      </c>
      <c r="H347" s="2" t="str">
        <f t="shared" si="31"/>
        <v>A</v>
      </c>
      <c r="I347" s="2">
        <v>5</v>
      </c>
      <c r="J347" s="2">
        <f t="shared" si="32"/>
        <v>-1</v>
      </c>
      <c r="K347" s="2" t="str">
        <f t="shared" si="33"/>
        <v>B</v>
      </c>
      <c r="L347" s="2" t="str">
        <f t="shared" si="34"/>
        <v>A</v>
      </c>
      <c r="M347" s="2" t="s">
        <v>23</v>
      </c>
      <c r="N347" s="2">
        <f t="shared" si="35"/>
        <v>0</v>
      </c>
      <c r="O347" s="2" t="s">
        <v>22</v>
      </c>
      <c r="P347" s="2">
        <v>142</v>
      </c>
    </row>
    <row r="348" ht="23" customHeight="1" spans="1:16">
      <c r="A348" s="6" t="s">
        <v>293</v>
      </c>
      <c r="B348" s="2" t="s">
        <v>31</v>
      </c>
      <c r="C348" s="2" t="s">
        <v>17</v>
      </c>
      <c r="D348" s="2">
        <v>4</v>
      </c>
      <c r="E348" s="6" t="s">
        <v>500</v>
      </c>
      <c r="F348" s="2" t="str">
        <f t="shared" si="30"/>
        <v>A</v>
      </c>
      <c r="G348" s="2">
        <v>5</v>
      </c>
      <c r="H348" s="2" t="str">
        <f t="shared" si="31"/>
        <v>C</v>
      </c>
      <c r="I348" s="2">
        <v>5</v>
      </c>
      <c r="J348" s="2">
        <f t="shared" si="32"/>
        <v>0</v>
      </c>
      <c r="K348" s="2" t="str">
        <f t="shared" si="33"/>
        <v>C</v>
      </c>
      <c r="L348" s="2" t="str">
        <f t="shared" si="34"/>
        <v>D(平局)</v>
      </c>
      <c r="M348" s="2" t="s">
        <v>23</v>
      </c>
      <c r="N348" s="2">
        <f t="shared" si="35"/>
        <v>1</v>
      </c>
      <c r="O348" s="2" t="s">
        <v>34</v>
      </c>
      <c r="P348" s="2">
        <v>133</v>
      </c>
    </row>
    <row r="349" ht="23" customHeight="1" spans="1:16">
      <c r="A349" s="6" t="s">
        <v>293</v>
      </c>
      <c r="B349" s="2" t="s">
        <v>31</v>
      </c>
      <c r="C349" s="2" t="s">
        <v>46</v>
      </c>
      <c r="D349" s="2">
        <v>4</v>
      </c>
      <c r="E349" s="6" t="s">
        <v>500</v>
      </c>
      <c r="F349" s="2" t="str">
        <f t="shared" si="30"/>
        <v>C</v>
      </c>
      <c r="G349" s="2">
        <v>4</v>
      </c>
      <c r="H349" s="2" t="str">
        <f t="shared" si="31"/>
        <v>A</v>
      </c>
      <c r="I349" s="2">
        <v>5</v>
      </c>
      <c r="J349" s="2">
        <f t="shared" si="32"/>
        <v>-1</v>
      </c>
      <c r="K349" s="2" t="str">
        <f t="shared" si="33"/>
        <v>B</v>
      </c>
      <c r="L349" s="2" t="str">
        <f t="shared" si="34"/>
        <v>A</v>
      </c>
      <c r="M349" s="2" t="s">
        <v>23</v>
      </c>
      <c r="N349" s="2">
        <f t="shared" si="35"/>
        <v>0</v>
      </c>
      <c r="O349" s="2" t="s">
        <v>22</v>
      </c>
      <c r="P349" s="2">
        <v>142</v>
      </c>
    </row>
    <row r="350" ht="23" customHeight="1" spans="1:16">
      <c r="A350" s="6" t="s">
        <v>293</v>
      </c>
      <c r="B350" s="2" t="s">
        <v>31</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23</v>
      </c>
      <c r="N350" s="2">
        <f t="shared" si="35"/>
        <v>1</v>
      </c>
      <c r="O350" s="2" t="s">
        <v>34</v>
      </c>
      <c r="P350" s="2">
        <v>133</v>
      </c>
    </row>
    <row r="351" ht="23" customHeight="1" spans="1:16">
      <c r="A351" s="6" t="s">
        <v>293</v>
      </c>
      <c r="B351" s="2" t="s">
        <v>31</v>
      </c>
      <c r="C351" s="2" t="s">
        <v>46</v>
      </c>
      <c r="D351" s="2">
        <v>5</v>
      </c>
      <c r="E351" s="6" t="s">
        <v>501</v>
      </c>
      <c r="F351" s="2" t="str">
        <f t="shared" si="30"/>
        <v>C</v>
      </c>
      <c r="G351" s="2">
        <v>5</v>
      </c>
      <c r="H351" s="2" t="str">
        <f t="shared" si="31"/>
        <v>A</v>
      </c>
      <c r="I351" s="2">
        <v>5</v>
      </c>
      <c r="J351" s="2">
        <f t="shared" si="32"/>
        <v>0</v>
      </c>
      <c r="K351" s="2" t="str">
        <f t="shared" si="33"/>
        <v>C</v>
      </c>
      <c r="L351" s="2" t="str">
        <f t="shared" si="34"/>
        <v>D(平局)</v>
      </c>
      <c r="M351" s="2" t="s">
        <v>23</v>
      </c>
      <c r="N351" s="2">
        <f t="shared" si="35"/>
        <v>1</v>
      </c>
      <c r="O351" s="2" t="s">
        <v>22</v>
      </c>
      <c r="P351" s="2">
        <v>142</v>
      </c>
    </row>
    <row r="352" ht="23" customHeight="1" spans="1:16">
      <c r="A352" s="6" t="s">
        <v>293</v>
      </c>
      <c r="B352" s="2" t="s">
        <v>39</v>
      </c>
      <c r="C352" s="2" t="s">
        <v>17</v>
      </c>
      <c r="D352" s="2">
        <v>1</v>
      </c>
      <c r="E352" s="6" t="s">
        <v>497</v>
      </c>
      <c r="F352" s="2" t="str">
        <f t="shared" si="30"/>
        <v>B</v>
      </c>
      <c r="G352" s="2">
        <v>4</v>
      </c>
      <c r="H352" s="2" t="str">
        <f t="shared" si="31"/>
        <v>C</v>
      </c>
      <c r="I352" s="2">
        <v>5</v>
      </c>
      <c r="J352" s="2">
        <f t="shared" si="32"/>
        <v>-1</v>
      </c>
      <c r="K352" s="2" t="str">
        <f t="shared" si="33"/>
        <v>B</v>
      </c>
      <c r="L352" s="2" t="str">
        <f t="shared" si="34"/>
        <v>C</v>
      </c>
      <c r="M352" s="2" t="s">
        <v>27</v>
      </c>
      <c r="N352" s="2">
        <f t="shared" si="35"/>
        <v>1</v>
      </c>
      <c r="O352" s="2" t="s">
        <v>22</v>
      </c>
      <c r="P352" s="2">
        <v>136</v>
      </c>
    </row>
    <row r="353" ht="23" customHeight="1" spans="1:16">
      <c r="A353" s="6" t="s">
        <v>293</v>
      </c>
      <c r="B353" s="2" t="s">
        <v>39</v>
      </c>
      <c r="C353" s="2" t="s">
        <v>46</v>
      </c>
      <c r="D353" s="2">
        <v>1</v>
      </c>
      <c r="E353" s="6" t="s">
        <v>497</v>
      </c>
      <c r="F353" s="2" t="str">
        <f t="shared" si="30"/>
        <v>C</v>
      </c>
      <c r="G353" s="2">
        <v>5</v>
      </c>
      <c r="H353" s="2" t="str">
        <f t="shared" si="31"/>
        <v>B</v>
      </c>
      <c r="I353" s="2">
        <v>3</v>
      </c>
      <c r="J353" s="2">
        <f t="shared" si="32"/>
        <v>2</v>
      </c>
      <c r="K353" s="2" t="str">
        <f t="shared" si="33"/>
        <v>A</v>
      </c>
      <c r="L353" s="2" t="str">
        <f t="shared" si="34"/>
        <v>C</v>
      </c>
      <c r="M353" s="2" t="s">
        <v>27</v>
      </c>
      <c r="N353" s="2">
        <f t="shared" si="35"/>
        <v>1</v>
      </c>
      <c r="O353" s="2" t="s">
        <v>34</v>
      </c>
      <c r="P353" s="2">
        <v>145</v>
      </c>
    </row>
    <row r="354" ht="23" customHeight="1" spans="1:16">
      <c r="A354" s="6" t="s">
        <v>293</v>
      </c>
      <c r="B354" s="2" t="s">
        <v>39</v>
      </c>
      <c r="C354" s="2" t="s">
        <v>17</v>
      </c>
      <c r="D354" s="2">
        <v>2</v>
      </c>
      <c r="E354" s="6" t="s">
        <v>498</v>
      </c>
      <c r="F354" s="2" t="str">
        <f t="shared" si="30"/>
        <v>B</v>
      </c>
      <c r="G354" s="2">
        <v>3</v>
      </c>
      <c r="H354" s="2" t="str">
        <f t="shared" si="31"/>
        <v>C</v>
      </c>
      <c r="I354" s="2">
        <v>4</v>
      </c>
      <c r="J354" s="2">
        <f t="shared" si="32"/>
        <v>-1</v>
      </c>
      <c r="K354" s="2" t="str">
        <f t="shared" si="33"/>
        <v>B</v>
      </c>
      <c r="L354" s="2" t="str">
        <f t="shared" si="34"/>
        <v>C</v>
      </c>
      <c r="M354" s="2" t="s">
        <v>27</v>
      </c>
      <c r="N354" s="2">
        <f t="shared" si="35"/>
        <v>1</v>
      </c>
      <c r="O354" s="2" t="s">
        <v>22</v>
      </c>
      <c r="P354" s="2">
        <v>136</v>
      </c>
    </row>
    <row r="355" ht="23" customHeight="1" spans="1:16">
      <c r="A355" s="6" t="s">
        <v>293</v>
      </c>
      <c r="B355" s="2" t="s">
        <v>39</v>
      </c>
      <c r="C355" s="2" t="s">
        <v>46</v>
      </c>
      <c r="D355" s="2">
        <v>2</v>
      </c>
      <c r="E355" s="6" t="s">
        <v>498</v>
      </c>
      <c r="F355" s="2" t="str">
        <f t="shared" si="30"/>
        <v>C</v>
      </c>
      <c r="G355" s="2">
        <v>4</v>
      </c>
      <c r="H355" s="2" t="str">
        <f t="shared" si="31"/>
        <v>B</v>
      </c>
      <c r="I355" s="2">
        <v>3</v>
      </c>
      <c r="J355" s="2">
        <f t="shared" si="32"/>
        <v>1</v>
      </c>
      <c r="K355" s="2" t="str">
        <f t="shared" si="33"/>
        <v>A</v>
      </c>
      <c r="L355" s="2" t="str">
        <f t="shared" si="34"/>
        <v>C</v>
      </c>
      <c r="M355" s="2" t="s">
        <v>27</v>
      </c>
      <c r="N355" s="2">
        <f t="shared" si="35"/>
        <v>1</v>
      </c>
      <c r="O355" s="2" t="s">
        <v>34</v>
      </c>
      <c r="P355" s="2">
        <v>145</v>
      </c>
    </row>
    <row r="356" ht="23" customHeight="1" spans="1:16">
      <c r="A356" s="6" t="s">
        <v>293</v>
      </c>
      <c r="B356" s="2" t="s">
        <v>39</v>
      </c>
      <c r="C356" s="2" t="s">
        <v>17</v>
      </c>
      <c r="D356" s="2">
        <v>3</v>
      </c>
      <c r="E356" s="6" t="s">
        <v>499</v>
      </c>
      <c r="F356" s="2" t="str">
        <f t="shared" si="30"/>
        <v>B</v>
      </c>
      <c r="G356" s="2">
        <v>4</v>
      </c>
      <c r="H356" s="2" t="str">
        <f t="shared" si="31"/>
        <v>C</v>
      </c>
      <c r="I356" s="2">
        <v>5</v>
      </c>
      <c r="J356" s="2">
        <f t="shared" si="32"/>
        <v>-1</v>
      </c>
      <c r="K356" s="2" t="str">
        <f t="shared" si="33"/>
        <v>B</v>
      </c>
      <c r="L356" s="2" t="str">
        <f t="shared" si="34"/>
        <v>C</v>
      </c>
      <c r="M356" s="2" t="s">
        <v>27</v>
      </c>
      <c r="N356" s="2">
        <f t="shared" si="35"/>
        <v>1</v>
      </c>
      <c r="O356" s="2" t="s">
        <v>22</v>
      </c>
      <c r="P356" s="2">
        <v>136</v>
      </c>
    </row>
    <row r="357" ht="23" customHeight="1" spans="1:16">
      <c r="A357" s="6" t="s">
        <v>293</v>
      </c>
      <c r="B357" s="2" t="s">
        <v>39</v>
      </c>
      <c r="C357" s="2" t="s">
        <v>46</v>
      </c>
      <c r="D357" s="2">
        <v>3</v>
      </c>
      <c r="E357" s="6" t="s">
        <v>499</v>
      </c>
      <c r="F357" s="2" t="str">
        <f t="shared" si="30"/>
        <v>C</v>
      </c>
      <c r="G357" s="2">
        <v>5</v>
      </c>
      <c r="H357" s="2" t="str">
        <f t="shared" si="31"/>
        <v>B</v>
      </c>
      <c r="I357" s="2">
        <v>3</v>
      </c>
      <c r="J357" s="2">
        <f t="shared" si="32"/>
        <v>2</v>
      </c>
      <c r="K357" s="2" t="str">
        <f t="shared" si="33"/>
        <v>A</v>
      </c>
      <c r="L357" s="2" t="str">
        <f t="shared" si="34"/>
        <v>C</v>
      </c>
      <c r="M357" s="2" t="s">
        <v>27</v>
      </c>
      <c r="N357" s="2">
        <f t="shared" si="35"/>
        <v>1</v>
      </c>
      <c r="O357" s="2" t="s">
        <v>34</v>
      </c>
      <c r="P357" s="2">
        <v>145</v>
      </c>
    </row>
    <row r="358" ht="23" customHeight="1" spans="1:16">
      <c r="A358" s="6" t="s">
        <v>293</v>
      </c>
      <c r="B358" s="2" t="s">
        <v>39</v>
      </c>
      <c r="C358" s="2" t="s">
        <v>17</v>
      </c>
      <c r="D358" s="2">
        <v>4</v>
      </c>
      <c r="E358" s="6" t="s">
        <v>500</v>
      </c>
      <c r="F358" s="2" t="str">
        <f t="shared" si="30"/>
        <v>B</v>
      </c>
      <c r="G358" s="2">
        <v>3</v>
      </c>
      <c r="H358" s="2" t="str">
        <f t="shared" si="31"/>
        <v>C</v>
      </c>
      <c r="I358" s="2">
        <v>5</v>
      </c>
      <c r="J358" s="2">
        <f t="shared" si="32"/>
        <v>-2</v>
      </c>
      <c r="K358" s="2" t="str">
        <f t="shared" si="33"/>
        <v>B</v>
      </c>
      <c r="L358" s="2" t="str">
        <f t="shared" si="34"/>
        <v>C</v>
      </c>
      <c r="M358" s="2" t="s">
        <v>27</v>
      </c>
      <c r="N358" s="2">
        <f t="shared" si="35"/>
        <v>1</v>
      </c>
      <c r="O358" s="2" t="s">
        <v>22</v>
      </c>
      <c r="P358" s="2">
        <v>136</v>
      </c>
    </row>
    <row r="359" ht="23" customHeight="1" spans="1:16">
      <c r="A359" s="6" t="s">
        <v>293</v>
      </c>
      <c r="B359" s="2" t="s">
        <v>39</v>
      </c>
      <c r="C359" s="2" t="s">
        <v>46</v>
      </c>
      <c r="D359" s="2">
        <v>4</v>
      </c>
      <c r="E359" s="6" t="s">
        <v>500</v>
      </c>
      <c r="F359" s="2" t="str">
        <f t="shared" si="30"/>
        <v>C</v>
      </c>
      <c r="G359" s="2">
        <v>5</v>
      </c>
      <c r="H359" s="2" t="str">
        <f t="shared" si="31"/>
        <v>B</v>
      </c>
      <c r="I359" s="2">
        <v>3</v>
      </c>
      <c r="J359" s="2">
        <f t="shared" si="32"/>
        <v>2</v>
      </c>
      <c r="K359" s="2" t="str">
        <f t="shared" si="33"/>
        <v>A</v>
      </c>
      <c r="L359" s="2" t="str">
        <f t="shared" si="34"/>
        <v>C</v>
      </c>
      <c r="M359" s="2" t="s">
        <v>27</v>
      </c>
      <c r="N359" s="2">
        <f t="shared" si="35"/>
        <v>1</v>
      </c>
      <c r="O359" s="2" t="s">
        <v>34</v>
      </c>
      <c r="P359" s="2">
        <v>145</v>
      </c>
    </row>
    <row r="360" ht="23" customHeight="1" spans="1:16">
      <c r="A360" s="6" t="s">
        <v>293</v>
      </c>
      <c r="B360" s="2" t="s">
        <v>39</v>
      </c>
      <c r="C360" s="2" t="s">
        <v>17</v>
      </c>
      <c r="D360" s="2">
        <v>5</v>
      </c>
      <c r="E360" s="6" t="s">
        <v>501</v>
      </c>
      <c r="F360" s="2" t="str">
        <f t="shared" si="30"/>
        <v>B</v>
      </c>
      <c r="G360" s="2">
        <v>3</v>
      </c>
      <c r="H360" s="2" t="str">
        <f t="shared" si="31"/>
        <v>C</v>
      </c>
      <c r="I360" s="2">
        <v>4</v>
      </c>
      <c r="J360" s="2">
        <f t="shared" si="32"/>
        <v>-1</v>
      </c>
      <c r="K360" s="2" t="str">
        <f t="shared" si="33"/>
        <v>B</v>
      </c>
      <c r="L360" s="2" t="str">
        <f t="shared" si="34"/>
        <v>C</v>
      </c>
      <c r="M360" s="2" t="s">
        <v>27</v>
      </c>
      <c r="N360" s="2">
        <f t="shared" si="35"/>
        <v>1</v>
      </c>
      <c r="O360" s="2" t="s">
        <v>22</v>
      </c>
      <c r="P360" s="2">
        <v>136</v>
      </c>
    </row>
    <row r="361" ht="23" customHeight="1" spans="1:16">
      <c r="A361" s="6" t="s">
        <v>293</v>
      </c>
      <c r="B361" s="2" t="s">
        <v>39</v>
      </c>
      <c r="C361" s="2" t="s">
        <v>46</v>
      </c>
      <c r="D361" s="2">
        <v>5</v>
      </c>
      <c r="E361" s="6" t="s">
        <v>501</v>
      </c>
      <c r="F361" s="2" t="str">
        <f t="shared" si="30"/>
        <v>C</v>
      </c>
      <c r="G361" s="2">
        <v>5</v>
      </c>
      <c r="H361" s="2" t="str">
        <f t="shared" si="31"/>
        <v>B</v>
      </c>
      <c r="I361" s="2">
        <v>4</v>
      </c>
      <c r="J361" s="2">
        <f t="shared" si="32"/>
        <v>1</v>
      </c>
      <c r="K361" s="2" t="str">
        <f t="shared" si="33"/>
        <v>A</v>
      </c>
      <c r="L361" s="2" t="str">
        <f t="shared" si="34"/>
        <v>C</v>
      </c>
      <c r="M361" s="2" t="s">
        <v>27</v>
      </c>
      <c r="N361" s="2">
        <f t="shared" si="35"/>
        <v>1</v>
      </c>
      <c r="O361" s="2" t="s">
        <v>34</v>
      </c>
      <c r="P361" s="2">
        <v>145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445</v>
      </c>
      <c r="B2" s="2" t="s">
        <v>15</v>
      </c>
      <c r="C2" s="2">
        <v>1</v>
      </c>
      <c r="D2" s="6" t="s">
        <v>497</v>
      </c>
      <c r="E2" s="2" t="str">
        <f>five子指标方向明细!F2</f>
        <v>A</v>
      </c>
      <c r="F2" s="2">
        <f>five子指标方向明细!G2</f>
        <v>5</v>
      </c>
      <c r="G2" s="2" t="str">
        <f>five子指标方向明细!H2</f>
        <v>B</v>
      </c>
      <c r="H2" s="2">
        <f>five子指标方向明细!I2</f>
        <v>3</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34</v>
      </c>
      <c r="R2" s="2">
        <f t="shared" ref="R2:R65" si="2">--(P2=Q2)</f>
        <v>1</v>
      </c>
      <c r="S2" s="2">
        <v>2</v>
      </c>
      <c r="T2" s="2">
        <v>3</v>
      </c>
      <c r="U2" s="2" t="str">
        <f t="shared" ref="U2:U65" si="3">IF(P2&lt;&gt;"D(平局)","",IF(O2=0,"方向冲突","双向评分平局"))</f>
        <v/>
      </c>
    </row>
    <row r="3" ht="23" customHeight="1" spans="1:21">
      <c r="A3" s="6" t="s">
        <v>445</v>
      </c>
      <c r="B3" s="2" t="s">
        <v>15</v>
      </c>
      <c r="C3" s="2">
        <v>2</v>
      </c>
      <c r="D3" s="6" t="s">
        <v>498</v>
      </c>
      <c r="E3" s="2" t="str">
        <f>five子指标方向明细!F4</f>
        <v>A</v>
      </c>
      <c r="F3" s="2">
        <f>five子指标方向明细!G4</f>
        <v>4</v>
      </c>
      <c r="G3" s="2" t="str">
        <f>five子指标方向明细!H4</f>
        <v>B</v>
      </c>
      <c r="H3" s="2">
        <f>five子指标方向明细!I4</f>
        <v>3</v>
      </c>
      <c r="I3" s="2" t="str">
        <f>five子指标方向明细!L4</f>
        <v>A</v>
      </c>
      <c r="J3" s="2" t="str">
        <f>five子指标方向明细!F5</f>
        <v>B</v>
      </c>
      <c r="K3" s="2">
        <f>five子指标方向明细!G5</f>
        <v>4</v>
      </c>
      <c r="L3" s="2" t="str">
        <f>five子指标方向明细!H5</f>
        <v>A</v>
      </c>
      <c r="M3" s="2">
        <f>five子指标方向明细!I5</f>
        <v>5</v>
      </c>
      <c r="N3" s="2" t="str">
        <f>five子指标方向明细!L5</f>
        <v>A</v>
      </c>
      <c r="O3" s="2">
        <f t="shared" si="0"/>
        <v>1</v>
      </c>
      <c r="P3" s="2" t="str">
        <f t="shared" si="1"/>
        <v>A</v>
      </c>
      <c r="Q3" s="2" t="s">
        <v>34</v>
      </c>
      <c r="R3" s="2">
        <f t="shared" si="2"/>
        <v>1</v>
      </c>
      <c r="S3" s="2">
        <v>4</v>
      </c>
      <c r="T3" s="2">
        <v>5</v>
      </c>
      <c r="U3" s="2" t="str">
        <f t="shared" si="3"/>
        <v/>
      </c>
    </row>
    <row r="4" ht="23" customHeight="1" spans="1:21">
      <c r="A4" s="6" t="s">
        <v>445</v>
      </c>
      <c r="B4" s="2" t="s">
        <v>15</v>
      </c>
      <c r="C4" s="2">
        <v>3</v>
      </c>
      <c r="D4" s="6" t="s">
        <v>499</v>
      </c>
      <c r="E4" s="2" t="str">
        <f>five子指标方向明细!F6</f>
        <v>A</v>
      </c>
      <c r="F4" s="2">
        <f>five子指标方向明细!G6</f>
        <v>5</v>
      </c>
      <c r="G4" s="2" t="str">
        <f>five子指标方向明细!H6</f>
        <v>B</v>
      </c>
      <c r="H4" s="2">
        <f>five子指标方向明细!I6</f>
        <v>2</v>
      </c>
      <c r="I4" s="2" t="str">
        <f>five子指标方向明细!L6</f>
        <v>A</v>
      </c>
      <c r="J4" s="2" t="str">
        <f>five子指标方向明细!F7</f>
        <v>B</v>
      </c>
      <c r="K4" s="2">
        <f>five子指标方向明细!G7</f>
        <v>4</v>
      </c>
      <c r="L4" s="2" t="str">
        <f>five子指标方向明细!H7</f>
        <v>A</v>
      </c>
      <c r="M4" s="2">
        <f>five子指标方向明细!I7</f>
        <v>5</v>
      </c>
      <c r="N4" s="2" t="str">
        <f>five子指标方向明细!L7</f>
        <v>A</v>
      </c>
      <c r="O4" s="2">
        <f t="shared" si="0"/>
        <v>1</v>
      </c>
      <c r="P4" s="2" t="str">
        <f t="shared" si="1"/>
        <v>A</v>
      </c>
      <c r="Q4" s="2" t="s">
        <v>34</v>
      </c>
      <c r="R4" s="2">
        <f t="shared" si="2"/>
        <v>1</v>
      </c>
      <c r="S4" s="2">
        <v>6</v>
      </c>
      <c r="T4" s="2">
        <v>7</v>
      </c>
      <c r="U4" s="2" t="str">
        <f t="shared" si="3"/>
        <v/>
      </c>
    </row>
    <row r="5" ht="23" customHeight="1" spans="1:21">
      <c r="A5" s="6" t="s">
        <v>445</v>
      </c>
      <c r="B5" s="2" t="s">
        <v>15</v>
      </c>
      <c r="C5" s="2">
        <v>4</v>
      </c>
      <c r="D5" s="6" t="s">
        <v>500</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4</v>
      </c>
      <c r="L5" s="2" t="str">
        <f>five子指标方向明细!H9</f>
        <v>A</v>
      </c>
      <c r="M5" s="2">
        <f>five子指标方向明细!I9</f>
        <v>5</v>
      </c>
      <c r="N5" s="2" t="str">
        <f>five子指标方向明细!L9</f>
        <v>A</v>
      </c>
      <c r="O5" s="2">
        <f t="shared" si="0"/>
        <v>1</v>
      </c>
      <c r="P5" s="2" t="str">
        <f t="shared" si="1"/>
        <v>A</v>
      </c>
      <c r="Q5" s="2" t="s">
        <v>34</v>
      </c>
      <c r="R5" s="2">
        <f t="shared" si="2"/>
        <v>1</v>
      </c>
      <c r="S5" s="2">
        <v>8</v>
      </c>
      <c r="T5" s="2">
        <v>9</v>
      </c>
      <c r="U5" s="2" t="str">
        <f t="shared" si="3"/>
        <v/>
      </c>
    </row>
    <row r="6" ht="23" customHeight="1" spans="1:21">
      <c r="A6" s="6" t="s">
        <v>445</v>
      </c>
      <c r="B6" s="2" t="s">
        <v>15</v>
      </c>
      <c r="C6" s="2">
        <v>5</v>
      </c>
      <c r="D6" s="6" t="s">
        <v>501</v>
      </c>
      <c r="E6" s="2" t="str">
        <f>five子指标方向明细!F10</f>
        <v>A</v>
      </c>
      <c r="F6" s="2">
        <f>five子指标方向明细!G10</f>
        <v>5</v>
      </c>
      <c r="G6" s="2" t="str">
        <f>five子指标方向明细!H10</f>
        <v>B</v>
      </c>
      <c r="H6" s="2">
        <f>five子指标方向明细!I10</f>
        <v>5</v>
      </c>
      <c r="I6" s="2" t="str">
        <f>five子指标方向明细!L10</f>
        <v>D(平局)</v>
      </c>
      <c r="J6" s="2" t="str">
        <f>five子指标方向明细!F11</f>
        <v>B</v>
      </c>
      <c r="K6" s="2">
        <f>five子指标方向明细!G11</f>
        <v>5</v>
      </c>
      <c r="L6" s="2" t="str">
        <f>five子指标方向明细!H11</f>
        <v>A</v>
      </c>
      <c r="M6" s="2">
        <f>five子指标方向明细!I11</f>
        <v>5</v>
      </c>
      <c r="N6" s="2" t="str">
        <f>five子指标方向明细!L11</f>
        <v>D(平局)</v>
      </c>
      <c r="O6" s="2">
        <f t="shared" si="0"/>
        <v>1</v>
      </c>
      <c r="P6" s="2" t="str">
        <f t="shared" si="1"/>
        <v>D(平局)</v>
      </c>
      <c r="Q6" s="2" t="s">
        <v>34</v>
      </c>
      <c r="R6" s="2">
        <f t="shared" si="2"/>
        <v>0</v>
      </c>
      <c r="S6" s="2">
        <v>10</v>
      </c>
      <c r="T6" s="2">
        <v>11</v>
      </c>
      <c r="U6" s="2" t="str">
        <f t="shared" si="3"/>
        <v>双向评分平局</v>
      </c>
    </row>
    <row r="7" ht="23" customHeight="1" spans="1:21">
      <c r="A7" s="6" t="s">
        <v>445</v>
      </c>
      <c r="B7" s="2" t="s">
        <v>31</v>
      </c>
      <c r="C7" s="2">
        <v>1</v>
      </c>
      <c r="D7" s="6" t="s">
        <v>497</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34</v>
      </c>
      <c r="R7" s="2">
        <f t="shared" si="2"/>
        <v>1</v>
      </c>
      <c r="S7" s="2">
        <v>12</v>
      </c>
      <c r="T7" s="2">
        <v>13</v>
      </c>
      <c r="U7" s="2" t="str">
        <f t="shared" si="3"/>
        <v/>
      </c>
    </row>
    <row r="8" ht="23" customHeight="1" spans="1:21">
      <c r="A8" s="6" t="s">
        <v>445</v>
      </c>
      <c r="B8" s="2" t="s">
        <v>31</v>
      </c>
      <c r="C8" s="2">
        <v>2</v>
      </c>
      <c r="D8" s="6" t="s">
        <v>498</v>
      </c>
      <c r="E8" s="2" t="str">
        <f>five子指标方向明细!F14</f>
        <v>A</v>
      </c>
      <c r="F8" s="2">
        <f>five子指标方向明细!G14</f>
        <v>4</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5</v>
      </c>
      <c r="N8" s="2" t="str">
        <f>five子指标方向明细!L15</f>
        <v>A</v>
      </c>
      <c r="O8" s="2">
        <f t="shared" si="0"/>
        <v>1</v>
      </c>
      <c r="P8" s="2" t="str">
        <f t="shared" si="1"/>
        <v>A</v>
      </c>
      <c r="Q8" s="2" t="s">
        <v>34</v>
      </c>
      <c r="R8" s="2">
        <f t="shared" si="2"/>
        <v>1</v>
      </c>
      <c r="S8" s="2">
        <v>14</v>
      </c>
      <c r="T8" s="2">
        <v>15</v>
      </c>
      <c r="U8" s="2" t="str">
        <f t="shared" si="3"/>
        <v/>
      </c>
    </row>
    <row r="9" ht="23" customHeight="1" spans="1:21">
      <c r="A9" s="6" t="s">
        <v>445</v>
      </c>
      <c r="B9" s="2" t="s">
        <v>31</v>
      </c>
      <c r="C9" s="2">
        <v>3</v>
      </c>
      <c r="D9" s="6" t="s">
        <v>499</v>
      </c>
      <c r="E9" s="2" t="str">
        <f>five子指标方向明细!F16</f>
        <v>A</v>
      </c>
      <c r="F9" s="2">
        <f>five子指标方向明细!G16</f>
        <v>4</v>
      </c>
      <c r="G9" s="2" t="str">
        <f>five子指标方向明细!H16</f>
        <v>C</v>
      </c>
      <c r="H9" s="2">
        <f>five子指标方向明细!I16</f>
        <v>2</v>
      </c>
      <c r="I9" s="2" t="str">
        <f>five子指标方向明细!L16</f>
        <v>A</v>
      </c>
      <c r="J9" s="2" t="str">
        <f>five子指标方向明细!F17</f>
        <v>C</v>
      </c>
      <c r="K9" s="2">
        <f>five子指标方向明细!G17</f>
        <v>3</v>
      </c>
      <c r="L9" s="2" t="str">
        <f>five子指标方向明细!H17</f>
        <v>A</v>
      </c>
      <c r="M9" s="2">
        <f>five子指标方向明细!I17</f>
        <v>5</v>
      </c>
      <c r="N9" s="2" t="str">
        <f>five子指标方向明细!L17</f>
        <v>A</v>
      </c>
      <c r="O9" s="2">
        <f t="shared" si="0"/>
        <v>1</v>
      </c>
      <c r="P9" s="2" t="str">
        <f t="shared" si="1"/>
        <v>A</v>
      </c>
      <c r="Q9" s="2" t="s">
        <v>34</v>
      </c>
      <c r="R9" s="2">
        <f t="shared" si="2"/>
        <v>1</v>
      </c>
      <c r="S9" s="2">
        <v>16</v>
      </c>
      <c r="T9" s="2">
        <v>17</v>
      </c>
      <c r="U9" s="2" t="str">
        <f t="shared" si="3"/>
        <v/>
      </c>
    </row>
    <row r="10" ht="23" customHeight="1" spans="1:21">
      <c r="A10" s="6" t="s">
        <v>445</v>
      </c>
      <c r="B10" s="2" t="s">
        <v>31</v>
      </c>
      <c r="C10" s="2">
        <v>4</v>
      </c>
      <c r="D10" s="6" t="s">
        <v>500</v>
      </c>
      <c r="E10" s="2" t="str">
        <f>five子指标方向明细!F18</f>
        <v>A</v>
      </c>
      <c r="F10" s="2">
        <f>five子指标方向明细!G18</f>
        <v>5</v>
      </c>
      <c r="G10" s="2" t="str">
        <f>five子指标方向明细!H18</f>
        <v>C</v>
      </c>
      <c r="H10" s="2">
        <f>five子指标方向明细!I18</f>
        <v>4</v>
      </c>
      <c r="I10" s="2" t="str">
        <f>five子指标方向明细!L18</f>
        <v>A</v>
      </c>
      <c r="J10" s="2" t="str">
        <f>five子指标方向明细!F19</f>
        <v>C</v>
      </c>
      <c r="K10" s="2">
        <f>five子指标方向明细!G19</f>
        <v>4</v>
      </c>
      <c r="L10" s="2" t="str">
        <f>five子指标方向明细!H19</f>
        <v>A</v>
      </c>
      <c r="M10" s="2">
        <f>five子指标方向明细!I19</f>
        <v>5</v>
      </c>
      <c r="N10" s="2" t="str">
        <f>five子指标方向明细!L19</f>
        <v>A</v>
      </c>
      <c r="O10" s="2">
        <f t="shared" si="0"/>
        <v>1</v>
      </c>
      <c r="P10" s="2" t="str">
        <f t="shared" si="1"/>
        <v>A</v>
      </c>
      <c r="Q10" s="2" t="s">
        <v>34</v>
      </c>
      <c r="R10" s="2">
        <f t="shared" si="2"/>
        <v>1</v>
      </c>
      <c r="S10" s="2">
        <v>18</v>
      </c>
      <c r="T10" s="2">
        <v>19</v>
      </c>
      <c r="U10" s="2" t="str">
        <f t="shared" si="3"/>
        <v/>
      </c>
    </row>
    <row r="11" ht="23" customHeight="1" spans="1:21">
      <c r="A11" s="6" t="s">
        <v>445</v>
      </c>
      <c r="B11" s="2" t="s">
        <v>31</v>
      </c>
      <c r="C11" s="2">
        <v>5</v>
      </c>
      <c r="D11" s="6" t="s">
        <v>501</v>
      </c>
      <c r="E11" s="2" t="str">
        <f>five子指标方向明细!F20</f>
        <v>A</v>
      </c>
      <c r="F11" s="2">
        <f>five子指标方向明细!G20</f>
        <v>5</v>
      </c>
      <c r="G11" s="2" t="str">
        <f>five子指标方向明细!H20</f>
        <v>C</v>
      </c>
      <c r="H11" s="2">
        <f>five子指标方向明细!I20</f>
        <v>5</v>
      </c>
      <c r="I11" s="2" t="str">
        <f>five子指标方向明细!L20</f>
        <v>D(平局)</v>
      </c>
      <c r="J11" s="2" t="str">
        <f>five子指标方向明细!F21</f>
        <v>C</v>
      </c>
      <c r="K11" s="2">
        <f>five子指标方向明细!G21</f>
        <v>4</v>
      </c>
      <c r="L11" s="2" t="str">
        <f>five子指标方向明细!H21</f>
        <v>A</v>
      </c>
      <c r="M11" s="2">
        <f>five子指标方向明细!I21</f>
        <v>5</v>
      </c>
      <c r="N11" s="2" t="str">
        <f>five子指标方向明细!L21</f>
        <v>A</v>
      </c>
      <c r="O11" s="2">
        <f t="shared" si="0"/>
        <v>0</v>
      </c>
      <c r="P11" s="2" t="str">
        <f t="shared" si="1"/>
        <v>D(平局)</v>
      </c>
      <c r="Q11" s="2" t="s">
        <v>34</v>
      </c>
      <c r="R11" s="2">
        <f t="shared" si="2"/>
        <v>0</v>
      </c>
      <c r="S11" s="2">
        <v>20</v>
      </c>
      <c r="T11" s="2">
        <v>21</v>
      </c>
      <c r="U11" s="2" t="str">
        <f t="shared" si="3"/>
        <v>方向冲突</v>
      </c>
    </row>
    <row r="12" ht="23" customHeight="1" spans="1:21">
      <c r="A12" s="6" t="s">
        <v>445</v>
      </c>
      <c r="B12" s="2" t="s">
        <v>39</v>
      </c>
      <c r="C12" s="2">
        <v>1</v>
      </c>
      <c r="D12" s="6" t="s">
        <v>497</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22</v>
      </c>
      <c r="R12" s="2">
        <f t="shared" si="2"/>
        <v>1</v>
      </c>
      <c r="S12" s="2">
        <v>22</v>
      </c>
      <c r="T12" s="2">
        <v>23</v>
      </c>
      <c r="U12" s="2" t="str">
        <f t="shared" si="3"/>
        <v/>
      </c>
    </row>
    <row r="13" ht="23" customHeight="1" spans="1:21">
      <c r="A13" s="6" t="s">
        <v>445</v>
      </c>
      <c r="B13" s="2" t="s">
        <v>39</v>
      </c>
      <c r="C13" s="2">
        <v>2</v>
      </c>
      <c r="D13" s="6" t="s">
        <v>498</v>
      </c>
      <c r="E13" s="2" t="str">
        <f>five子指标方向明细!F24</f>
        <v>B</v>
      </c>
      <c r="F13" s="2">
        <f>five子指标方向明细!G24</f>
        <v>4</v>
      </c>
      <c r="G13" s="2" t="str">
        <f>five子指标方向明细!H24</f>
        <v>C</v>
      </c>
      <c r="H13" s="2">
        <f>five子指标方向明细!I24</f>
        <v>2</v>
      </c>
      <c r="I13" s="2" t="str">
        <f>five子指标方向明细!L24</f>
        <v>B</v>
      </c>
      <c r="J13" s="2" t="str">
        <f>five子指标方向明细!F25</f>
        <v>C</v>
      </c>
      <c r="K13" s="2">
        <f>five子指标方向明细!G25</f>
        <v>3</v>
      </c>
      <c r="L13" s="2" t="str">
        <f>five子指标方向明细!H25</f>
        <v>B</v>
      </c>
      <c r="M13" s="2">
        <f>five子指标方向明细!I25</f>
        <v>5</v>
      </c>
      <c r="N13" s="2" t="str">
        <f>five子指标方向明细!L25</f>
        <v>B</v>
      </c>
      <c r="O13" s="2">
        <f t="shared" si="0"/>
        <v>1</v>
      </c>
      <c r="P13" s="2" t="str">
        <f t="shared" si="1"/>
        <v>B</v>
      </c>
      <c r="Q13" s="2" t="s">
        <v>22</v>
      </c>
      <c r="R13" s="2">
        <f t="shared" si="2"/>
        <v>1</v>
      </c>
      <c r="S13" s="2">
        <v>24</v>
      </c>
      <c r="T13" s="2">
        <v>25</v>
      </c>
      <c r="U13" s="2" t="str">
        <f t="shared" si="3"/>
        <v/>
      </c>
    </row>
    <row r="14" ht="23" customHeight="1" spans="1:21">
      <c r="A14" s="6" t="s">
        <v>445</v>
      </c>
      <c r="B14" s="2" t="s">
        <v>39</v>
      </c>
      <c r="C14" s="2">
        <v>3</v>
      </c>
      <c r="D14" s="6" t="s">
        <v>499</v>
      </c>
      <c r="E14" s="2" t="str">
        <f>five子指标方向明细!F26</f>
        <v>B</v>
      </c>
      <c r="F14" s="2">
        <f>five子指标方向明细!G26</f>
        <v>4</v>
      </c>
      <c r="G14" s="2" t="str">
        <f>five子指标方向明细!H26</f>
        <v>C</v>
      </c>
      <c r="H14" s="2">
        <f>five子指标方向明细!I26</f>
        <v>2</v>
      </c>
      <c r="I14" s="2" t="str">
        <f>five子指标方向明细!L26</f>
        <v>B</v>
      </c>
      <c r="J14" s="2" t="str">
        <f>five子指标方向明细!F27</f>
        <v>C</v>
      </c>
      <c r="K14" s="2">
        <f>five子指标方向明细!G27</f>
        <v>3</v>
      </c>
      <c r="L14" s="2" t="str">
        <f>five子指标方向明细!H27</f>
        <v>B</v>
      </c>
      <c r="M14" s="2">
        <f>five子指标方向明细!I27</f>
        <v>4</v>
      </c>
      <c r="N14" s="2" t="str">
        <f>five子指标方向明细!L27</f>
        <v>B</v>
      </c>
      <c r="O14" s="2">
        <f t="shared" si="0"/>
        <v>1</v>
      </c>
      <c r="P14" s="2" t="str">
        <f t="shared" si="1"/>
        <v>B</v>
      </c>
      <c r="Q14" s="2" t="s">
        <v>22</v>
      </c>
      <c r="R14" s="2">
        <f t="shared" si="2"/>
        <v>1</v>
      </c>
      <c r="S14" s="2">
        <v>26</v>
      </c>
      <c r="T14" s="2">
        <v>27</v>
      </c>
      <c r="U14" s="2" t="str">
        <f t="shared" si="3"/>
        <v/>
      </c>
    </row>
    <row r="15" ht="23" customHeight="1" spans="1:21">
      <c r="A15" s="6" t="s">
        <v>445</v>
      </c>
      <c r="B15" s="2" t="s">
        <v>39</v>
      </c>
      <c r="C15" s="2">
        <v>4</v>
      </c>
      <c r="D15" s="6" t="s">
        <v>500</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22</v>
      </c>
      <c r="R15" s="2">
        <f t="shared" si="2"/>
        <v>1</v>
      </c>
      <c r="S15" s="2">
        <v>28</v>
      </c>
      <c r="T15" s="2">
        <v>29</v>
      </c>
      <c r="U15" s="2" t="str">
        <f t="shared" si="3"/>
        <v/>
      </c>
    </row>
    <row r="16" ht="23" customHeight="1" spans="1:21">
      <c r="A16" s="6" t="s">
        <v>445</v>
      </c>
      <c r="B16" s="2" t="s">
        <v>39</v>
      </c>
      <c r="C16" s="2">
        <v>5</v>
      </c>
      <c r="D16" s="6" t="s">
        <v>501</v>
      </c>
      <c r="E16" s="2" t="str">
        <f>five子指标方向明细!F30</f>
        <v>B</v>
      </c>
      <c r="F16" s="2">
        <f>five子指标方向明细!G30</f>
        <v>5</v>
      </c>
      <c r="G16" s="2" t="str">
        <f>five子指标方向明细!H30</f>
        <v>C</v>
      </c>
      <c r="H16" s="2">
        <f>five子指标方向明细!I30</f>
        <v>5</v>
      </c>
      <c r="I16" s="2" t="str">
        <f>five子指标方向明细!L30</f>
        <v>D(平局)</v>
      </c>
      <c r="J16" s="2" t="str">
        <f>five子指标方向明细!F31</f>
        <v>C</v>
      </c>
      <c r="K16" s="2">
        <f>five子指标方向明细!G31</f>
        <v>2</v>
      </c>
      <c r="L16" s="2" t="str">
        <f>five子指标方向明细!H31</f>
        <v>B</v>
      </c>
      <c r="M16" s="2">
        <f>five子指标方向明细!I31</f>
        <v>5</v>
      </c>
      <c r="N16" s="2" t="str">
        <f>five子指标方向明细!L31</f>
        <v>B</v>
      </c>
      <c r="O16" s="2">
        <f t="shared" si="0"/>
        <v>0</v>
      </c>
      <c r="P16" s="2" t="str">
        <f t="shared" si="1"/>
        <v>D(平局)</v>
      </c>
      <c r="Q16" s="2" t="s">
        <v>22</v>
      </c>
      <c r="R16" s="2">
        <f t="shared" si="2"/>
        <v>0</v>
      </c>
      <c r="S16" s="2">
        <v>30</v>
      </c>
      <c r="T16" s="2">
        <v>31</v>
      </c>
      <c r="U16" s="2" t="str">
        <f t="shared" si="3"/>
        <v>方向冲突</v>
      </c>
    </row>
    <row r="17" ht="23" customHeight="1" spans="1:21">
      <c r="A17" s="6" t="s">
        <v>407</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34</v>
      </c>
      <c r="R17" s="2">
        <f t="shared" si="2"/>
        <v>1</v>
      </c>
      <c r="S17" s="2">
        <v>32</v>
      </c>
      <c r="T17" s="2">
        <v>33</v>
      </c>
      <c r="U17" s="2" t="str">
        <f t="shared" si="3"/>
        <v/>
      </c>
    </row>
    <row r="18" ht="23" customHeight="1" spans="1:21">
      <c r="A18" s="6" t="s">
        <v>407</v>
      </c>
      <c r="B18" s="2" t="s">
        <v>15</v>
      </c>
      <c r="C18" s="2">
        <v>2</v>
      </c>
      <c r="D18" s="6" t="s">
        <v>498</v>
      </c>
      <c r="E18" s="2" t="str">
        <f>five子指标方向明细!F34</f>
        <v>A</v>
      </c>
      <c r="F18" s="2">
        <f>five子指标方向明细!G34</f>
        <v>5</v>
      </c>
      <c r="G18" s="2" t="str">
        <f>five子指标方向明细!H34</f>
        <v>B</v>
      </c>
      <c r="H18" s="2">
        <f>five子指标方向明细!I34</f>
        <v>4</v>
      </c>
      <c r="I18" s="2" t="str">
        <f>five子指标方向明细!L34</f>
        <v>A</v>
      </c>
      <c r="J18" s="2" t="str">
        <f>five子指标方向明细!F35</f>
        <v>B</v>
      </c>
      <c r="K18" s="2">
        <f>five子指标方向明细!G35</f>
        <v>3</v>
      </c>
      <c r="L18" s="2" t="str">
        <f>five子指标方向明细!H35</f>
        <v>A</v>
      </c>
      <c r="M18" s="2">
        <f>five子指标方向明细!I35</f>
        <v>4</v>
      </c>
      <c r="N18" s="2" t="str">
        <f>five子指标方向明细!L35</f>
        <v>A</v>
      </c>
      <c r="O18" s="2">
        <f t="shared" si="0"/>
        <v>1</v>
      </c>
      <c r="P18" s="2" t="str">
        <f t="shared" si="1"/>
        <v>A</v>
      </c>
      <c r="Q18" s="2" t="s">
        <v>34</v>
      </c>
      <c r="R18" s="2">
        <f t="shared" si="2"/>
        <v>1</v>
      </c>
      <c r="S18" s="2">
        <v>34</v>
      </c>
      <c r="T18" s="2">
        <v>35</v>
      </c>
      <c r="U18" s="2" t="str">
        <f t="shared" si="3"/>
        <v/>
      </c>
    </row>
    <row r="19" ht="23" customHeight="1" spans="1:21">
      <c r="A19" s="6" t="s">
        <v>407</v>
      </c>
      <c r="B19" s="2" t="s">
        <v>15</v>
      </c>
      <c r="C19" s="2">
        <v>3</v>
      </c>
      <c r="D19" s="6" t="s">
        <v>499</v>
      </c>
      <c r="E19" s="2" t="str">
        <f>five子指标方向明细!F36</f>
        <v>A</v>
      </c>
      <c r="F19" s="2">
        <f>five子指标方向明细!G36</f>
        <v>5</v>
      </c>
      <c r="G19" s="2" t="str">
        <f>five子指标方向明细!H36</f>
        <v>B</v>
      </c>
      <c r="H19" s="2">
        <f>five子指标方向明细!I36</f>
        <v>3</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34</v>
      </c>
      <c r="R19" s="2">
        <f t="shared" si="2"/>
        <v>1</v>
      </c>
      <c r="S19" s="2">
        <v>36</v>
      </c>
      <c r="T19" s="2">
        <v>37</v>
      </c>
      <c r="U19" s="2" t="str">
        <f t="shared" si="3"/>
        <v/>
      </c>
    </row>
    <row r="20" ht="23" customHeight="1" spans="1:21">
      <c r="A20" s="6" t="s">
        <v>407</v>
      </c>
      <c r="B20" s="2" t="s">
        <v>15</v>
      </c>
      <c r="C20" s="2">
        <v>4</v>
      </c>
      <c r="D20" s="6" t="s">
        <v>500</v>
      </c>
      <c r="E20" s="2" t="str">
        <f>five子指标方向明细!F38</f>
        <v>A</v>
      </c>
      <c r="F20" s="2">
        <f>five子指标方向明细!G38</f>
        <v>5</v>
      </c>
      <c r="G20" s="2" t="str">
        <f>five子指标方向明细!H38</f>
        <v>B</v>
      </c>
      <c r="H20" s="2">
        <f>five子指标方向明细!I38</f>
        <v>3</v>
      </c>
      <c r="I20" s="2" t="str">
        <f>five子指标方向明细!L38</f>
        <v>A</v>
      </c>
      <c r="J20" s="2" t="str">
        <f>five子指标方向明细!F39</f>
        <v>B</v>
      </c>
      <c r="K20" s="2">
        <f>five子指标方向明细!G39</f>
        <v>4</v>
      </c>
      <c r="L20" s="2" t="str">
        <f>five子指标方向明细!H39</f>
        <v>A</v>
      </c>
      <c r="M20" s="2">
        <f>five子指标方向明细!I39</f>
        <v>5</v>
      </c>
      <c r="N20" s="2" t="str">
        <f>five子指标方向明细!L39</f>
        <v>A</v>
      </c>
      <c r="O20" s="2">
        <f t="shared" si="0"/>
        <v>1</v>
      </c>
      <c r="P20" s="2" t="str">
        <f t="shared" si="1"/>
        <v>A</v>
      </c>
      <c r="Q20" s="2" t="s">
        <v>34</v>
      </c>
      <c r="R20" s="2">
        <f t="shared" si="2"/>
        <v>1</v>
      </c>
      <c r="S20" s="2">
        <v>38</v>
      </c>
      <c r="T20" s="2">
        <v>39</v>
      </c>
      <c r="U20" s="2" t="str">
        <f t="shared" si="3"/>
        <v/>
      </c>
    </row>
    <row r="21" ht="23" customHeight="1" spans="1:21">
      <c r="A21" s="6" t="s">
        <v>407</v>
      </c>
      <c r="B21" s="2" t="s">
        <v>15</v>
      </c>
      <c r="C21" s="2">
        <v>5</v>
      </c>
      <c r="D21" s="6" t="s">
        <v>501</v>
      </c>
      <c r="E21" s="2" t="str">
        <f>five子指标方向明细!F40</f>
        <v>A</v>
      </c>
      <c r="F21" s="2">
        <f>five子指标方向明细!G40</f>
        <v>3</v>
      </c>
      <c r="G21" s="2" t="str">
        <f>five子指标方向明细!H40</f>
        <v>B</v>
      </c>
      <c r="H21" s="2">
        <f>five子指标方向明细!I40</f>
        <v>4</v>
      </c>
      <c r="I21" s="2" t="str">
        <f>five子指标方向明细!L40</f>
        <v>B</v>
      </c>
      <c r="J21" s="2" t="str">
        <f>five子指标方向明细!F41</f>
        <v>B</v>
      </c>
      <c r="K21" s="2">
        <f>five子指标方向明细!G41</f>
        <v>5</v>
      </c>
      <c r="L21" s="2" t="str">
        <f>five子指标方向明细!H41</f>
        <v>A</v>
      </c>
      <c r="M21" s="2">
        <f>five子指标方向明细!I41</f>
        <v>4</v>
      </c>
      <c r="N21" s="2" t="str">
        <f>five子指标方向明细!L41</f>
        <v>B</v>
      </c>
      <c r="O21" s="2">
        <f t="shared" si="0"/>
        <v>1</v>
      </c>
      <c r="P21" s="2" t="str">
        <f t="shared" si="1"/>
        <v>B</v>
      </c>
      <c r="Q21" s="2" t="s">
        <v>34</v>
      </c>
      <c r="R21" s="2">
        <f t="shared" si="2"/>
        <v>0</v>
      </c>
      <c r="S21" s="2">
        <v>40</v>
      </c>
      <c r="T21" s="2">
        <v>41</v>
      </c>
      <c r="U21" s="2" t="str">
        <f t="shared" si="3"/>
        <v/>
      </c>
    </row>
    <row r="22" ht="23" customHeight="1" spans="1:21">
      <c r="A22" s="6" t="s">
        <v>407</v>
      </c>
      <c r="B22" s="2" t="s">
        <v>31</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3</v>
      </c>
      <c r="L22" s="2" t="str">
        <f>five子指标方向明细!H43</f>
        <v>A</v>
      </c>
      <c r="M22" s="2">
        <f>five子指标方向明细!I43</f>
        <v>5</v>
      </c>
      <c r="N22" s="2" t="str">
        <f>five子指标方向明细!L43</f>
        <v>A</v>
      </c>
      <c r="O22" s="2">
        <f t="shared" si="0"/>
        <v>1</v>
      </c>
      <c r="P22" s="2" t="str">
        <f t="shared" si="1"/>
        <v>A</v>
      </c>
      <c r="Q22" s="2" t="s">
        <v>34</v>
      </c>
      <c r="R22" s="2">
        <f t="shared" si="2"/>
        <v>1</v>
      </c>
      <c r="S22" s="2">
        <v>42</v>
      </c>
      <c r="T22" s="2">
        <v>43</v>
      </c>
      <c r="U22" s="2" t="str">
        <f t="shared" si="3"/>
        <v/>
      </c>
    </row>
    <row r="23" ht="23" customHeight="1" spans="1:21">
      <c r="A23" s="6" t="s">
        <v>407</v>
      </c>
      <c r="B23" s="2" t="s">
        <v>31</v>
      </c>
      <c r="C23" s="2">
        <v>2</v>
      </c>
      <c r="D23" s="6" t="s">
        <v>498</v>
      </c>
      <c r="E23" s="2" t="str">
        <f>five子指标方向明细!F44</f>
        <v>A</v>
      </c>
      <c r="F23" s="2">
        <f>five子指标方向明细!G44</f>
        <v>5</v>
      </c>
      <c r="G23" s="2" t="str">
        <f>five子指标方向明细!H44</f>
        <v>C</v>
      </c>
      <c r="H23" s="2">
        <f>five子指标方向明细!I44</f>
        <v>2</v>
      </c>
      <c r="I23" s="2" t="str">
        <f>five子指标方向明细!L44</f>
        <v>A</v>
      </c>
      <c r="J23" s="2" t="str">
        <f>five子指标方向明细!F45</f>
        <v>C</v>
      </c>
      <c r="K23" s="2">
        <f>five子指标方向明细!G45</f>
        <v>2</v>
      </c>
      <c r="L23" s="2" t="str">
        <f>five子指标方向明细!H45</f>
        <v>A</v>
      </c>
      <c r="M23" s="2">
        <f>five子指标方向明细!I45</f>
        <v>4</v>
      </c>
      <c r="N23" s="2" t="str">
        <f>five子指标方向明细!L45</f>
        <v>A</v>
      </c>
      <c r="O23" s="2">
        <f t="shared" si="0"/>
        <v>1</v>
      </c>
      <c r="P23" s="2" t="str">
        <f t="shared" si="1"/>
        <v>A</v>
      </c>
      <c r="Q23" s="2" t="s">
        <v>34</v>
      </c>
      <c r="R23" s="2">
        <f t="shared" si="2"/>
        <v>1</v>
      </c>
      <c r="S23" s="2">
        <v>44</v>
      </c>
      <c r="T23" s="2">
        <v>45</v>
      </c>
      <c r="U23" s="2" t="str">
        <f t="shared" si="3"/>
        <v/>
      </c>
    </row>
    <row r="24" ht="23" customHeight="1" spans="1:21">
      <c r="A24" s="6" t="s">
        <v>407</v>
      </c>
      <c r="B24" s="2" t="s">
        <v>31</v>
      </c>
      <c r="C24" s="2">
        <v>3</v>
      </c>
      <c r="D24" s="6" t="s">
        <v>499</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4</v>
      </c>
      <c r="N24" s="2" t="str">
        <f>five子指标方向明细!L47</f>
        <v>A</v>
      </c>
      <c r="O24" s="2">
        <f t="shared" si="0"/>
        <v>1</v>
      </c>
      <c r="P24" s="2" t="str">
        <f t="shared" si="1"/>
        <v>A</v>
      </c>
      <c r="Q24" s="2" t="s">
        <v>34</v>
      </c>
      <c r="R24" s="2">
        <f t="shared" si="2"/>
        <v>1</v>
      </c>
      <c r="S24" s="2">
        <v>46</v>
      </c>
      <c r="T24" s="2">
        <v>47</v>
      </c>
      <c r="U24" s="2" t="str">
        <f t="shared" si="3"/>
        <v/>
      </c>
    </row>
    <row r="25" ht="23" customHeight="1" spans="1:21">
      <c r="A25" s="6" t="s">
        <v>407</v>
      </c>
      <c r="B25" s="2" t="s">
        <v>31</v>
      </c>
      <c r="C25" s="2">
        <v>4</v>
      </c>
      <c r="D25" s="6" t="s">
        <v>500</v>
      </c>
      <c r="E25" s="2" t="str">
        <f>five子指标方向明细!F48</f>
        <v>A</v>
      </c>
      <c r="F25" s="2">
        <f>five子指标方向明细!G48</f>
        <v>5</v>
      </c>
      <c r="G25" s="2" t="str">
        <f>five子指标方向明细!H48</f>
        <v>C</v>
      </c>
      <c r="H25" s="2">
        <f>five子指标方向明细!I48</f>
        <v>2</v>
      </c>
      <c r="I25" s="2" t="str">
        <f>five子指标方向明细!L48</f>
        <v>A</v>
      </c>
      <c r="J25" s="2" t="str">
        <f>five子指标方向明细!F49</f>
        <v>C</v>
      </c>
      <c r="K25" s="2">
        <f>five子指标方向明细!G49</f>
        <v>2</v>
      </c>
      <c r="L25" s="2" t="str">
        <f>five子指标方向明细!H49</f>
        <v>A</v>
      </c>
      <c r="M25" s="2">
        <f>five子指标方向明细!I49</f>
        <v>5</v>
      </c>
      <c r="N25" s="2" t="str">
        <f>five子指标方向明细!L49</f>
        <v>A</v>
      </c>
      <c r="O25" s="2">
        <f t="shared" si="0"/>
        <v>1</v>
      </c>
      <c r="P25" s="2" t="str">
        <f t="shared" si="1"/>
        <v>A</v>
      </c>
      <c r="Q25" s="2" t="s">
        <v>34</v>
      </c>
      <c r="R25" s="2">
        <f t="shared" si="2"/>
        <v>1</v>
      </c>
      <c r="S25" s="2">
        <v>48</v>
      </c>
      <c r="T25" s="2">
        <v>49</v>
      </c>
      <c r="U25" s="2" t="str">
        <f t="shared" si="3"/>
        <v/>
      </c>
    </row>
    <row r="26" ht="23" customHeight="1" spans="1:21">
      <c r="A26" s="6" t="s">
        <v>407</v>
      </c>
      <c r="B26" s="2" t="s">
        <v>31</v>
      </c>
      <c r="C26" s="2">
        <v>5</v>
      </c>
      <c r="D26" s="6" t="s">
        <v>501</v>
      </c>
      <c r="E26" s="2" t="str">
        <f>five子指标方向明细!F50</f>
        <v>A</v>
      </c>
      <c r="F26" s="2">
        <f>five子指标方向明细!G50</f>
        <v>4</v>
      </c>
      <c r="G26" s="2" t="str">
        <f>five子指标方向明细!H50</f>
        <v>C</v>
      </c>
      <c r="H26" s="2">
        <f>five子指标方向明细!I50</f>
        <v>5</v>
      </c>
      <c r="I26" s="2" t="str">
        <f>five子指标方向明细!L50</f>
        <v>C</v>
      </c>
      <c r="J26" s="2" t="str">
        <f>five子指标方向明细!F51</f>
        <v>C</v>
      </c>
      <c r="K26" s="2">
        <f>five子指标方向明细!G51</f>
        <v>5</v>
      </c>
      <c r="L26" s="2" t="str">
        <f>five子指标方向明细!H51</f>
        <v>A</v>
      </c>
      <c r="M26" s="2">
        <f>five子指标方向明细!I51</f>
        <v>4</v>
      </c>
      <c r="N26" s="2" t="str">
        <f>five子指标方向明细!L51</f>
        <v>C</v>
      </c>
      <c r="O26" s="2">
        <f t="shared" si="0"/>
        <v>1</v>
      </c>
      <c r="P26" s="2" t="str">
        <f t="shared" si="1"/>
        <v>C</v>
      </c>
      <c r="Q26" s="2" t="s">
        <v>34</v>
      </c>
      <c r="R26" s="2">
        <f t="shared" si="2"/>
        <v>0</v>
      </c>
      <c r="S26" s="2">
        <v>50</v>
      </c>
      <c r="T26" s="2">
        <v>51</v>
      </c>
      <c r="U26" s="2" t="str">
        <f t="shared" si="3"/>
        <v/>
      </c>
    </row>
    <row r="27" ht="23" customHeight="1" spans="1:21">
      <c r="A27" s="6" t="s">
        <v>407</v>
      </c>
      <c r="B27" s="2" t="s">
        <v>39</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3</v>
      </c>
      <c r="L27" s="2" t="str">
        <f>five子指标方向明细!H53</f>
        <v>B</v>
      </c>
      <c r="M27" s="2">
        <f>five子指标方向明细!I53</f>
        <v>5</v>
      </c>
      <c r="N27" s="2" t="str">
        <f>five子指标方向明细!L53</f>
        <v>B</v>
      </c>
      <c r="O27" s="2">
        <f t="shared" si="0"/>
        <v>1</v>
      </c>
      <c r="P27" s="2" t="str">
        <f t="shared" si="1"/>
        <v>B</v>
      </c>
      <c r="Q27" s="2" t="s">
        <v>22</v>
      </c>
      <c r="R27" s="2">
        <f t="shared" si="2"/>
        <v>1</v>
      </c>
      <c r="S27" s="2">
        <v>52</v>
      </c>
      <c r="T27" s="2">
        <v>53</v>
      </c>
      <c r="U27" s="2" t="str">
        <f t="shared" si="3"/>
        <v/>
      </c>
    </row>
    <row r="28" ht="23" customHeight="1" spans="1:21">
      <c r="A28" s="6" t="s">
        <v>407</v>
      </c>
      <c r="B28" s="2" t="s">
        <v>39</v>
      </c>
      <c r="C28" s="2">
        <v>2</v>
      </c>
      <c r="D28" s="6" t="s">
        <v>498</v>
      </c>
      <c r="E28" s="2" t="str">
        <f>five子指标方向明细!F54</f>
        <v>B</v>
      </c>
      <c r="F28" s="2">
        <f>five子指标方向明细!G54</f>
        <v>5</v>
      </c>
      <c r="G28" s="2" t="str">
        <f>five子指标方向明细!H54</f>
        <v>C</v>
      </c>
      <c r="H28" s="2">
        <f>five子指标方向明细!I54</f>
        <v>2</v>
      </c>
      <c r="I28" s="2" t="str">
        <f>five子指标方向明细!L54</f>
        <v>B</v>
      </c>
      <c r="J28" s="2" t="str">
        <f>five子指标方向明细!F55</f>
        <v>C</v>
      </c>
      <c r="K28" s="2">
        <f>five子指标方向明细!G55</f>
        <v>2</v>
      </c>
      <c r="L28" s="2" t="str">
        <f>five子指标方向明细!H55</f>
        <v>B</v>
      </c>
      <c r="M28" s="2">
        <f>five子指标方向明细!I55</f>
        <v>4</v>
      </c>
      <c r="N28" s="2" t="str">
        <f>five子指标方向明细!L55</f>
        <v>B</v>
      </c>
      <c r="O28" s="2">
        <f t="shared" si="0"/>
        <v>1</v>
      </c>
      <c r="P28" s="2" t="str">
        <f t="shared" si="1"/>
        <v>B</v>
      </c>
      <c r="Q28" s="2" t="s">
        <v>22</v>
      </c>
      <c r="R28" s="2">
        <f t="shared" si="2"/>
        <v>1</v>
      </c>
      <c r="S28" s="2">
        <v>54</v>
      </c>
      <c r="T28" s="2">
        <v>55</v>
      </c>
      <c r="U28" s="2" t="str">
        <f t="shared" si="3"/>
        <v/>
      </c>
    </row>
    <row r="29" ht="23" customHeight="1" spans="1:21">
      <c r="A29" s="6" t="s">
        <v>407</v>
      </c>
      <c r="B29" s="2" t="s">
        <v>39</v>
      </c>
      <c r="C29" s="2">
        <v>3</v>
      </c>
      <c r="D29" s="6" t="s">
        <v>499</v>
      </c>
      <c r="E29" s="2" t="str">
        <f>five子指标方向明细!F56</f>
        <v>B</v>
      </c>
      <c r="F29" s="2">
        <f>five子指标方向明细!G56</f>
        <v>4</v>
      </c>
      <c r="G29" s="2" t="str">
        <f>five子指标方向明细!H56</f>
        <v>C</v>
      </c>
      <c r="H29" s="2">
        <f>five子指标方向明细!I56</f>
        <v>3</v>
      </c>
      <c r="I29" s="2" t="str">
        <f>five子指标方向明细!L56</f>
        <v>B</v>
      </c>
      <c r="J29" s="2" t="str">
        <f>five子指标方向明细!F57</f>
        <v>C</v>
      </c>
      <c r="K29" s="2">
        <f>five子指标方向明细!G57</f>
        <v>2</v>
      </c>
      <c r="L29" s="2" t="str">
        <f>five子指标方向明细!H57</f>
        <v>B</v>
      </c>
      <c r="M29" s="2">
        <f>five子指标方向明细!I57</f>
        <v>4</v>
      </c>
      <c r="N29" s="2" t="str">
        <f>five子指标方向明细!L57</f>
        <v>B</v>
      </c>
      <c r="O29" s="2">
        <f t="shared" si="0"/>
        <v>1</v>
      </c>
      <c r="P29" s="2" t="str">
        <f t="shared" si="1"/>
        <v>B</v>
      </c>
      <c r="Q29" s="2" t="s">
        <v>22</v>
      </c>
      <c r="R29" s="2">
        <f t="shared" si="2"/>
        <v>1</v>
      </c>
      <c r="S29" s="2">
        <v>56</v>
      </c>
      <c r="T29" s="2">
        <v>57</v>
      </c>
      <c r="U29" s="2" t="str">
        <f t="shared" si="3"/>
        <v/>
      </c>
    </row>
    <row r="30" ht="23" customHeight="1" spans="1:21">
      <c r="A30" s="6" t="s">
        <v>407</v>
      </c>
      <c r="B30" s="2" t="s">
        <v>39</v>
      </c>
      <c r="C30" s="2">
        <v>4</v>
      </c>
      <c r="D30" s="6" t="s">
        <v>500</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3</v>
      </c>
      <c r="L30" s="2" t="str">
        <f>five子指标方向明细!H59</f>
        <v>B</v>
      </c>
      <c r="M30" s="2">
        <f>five子指标方向明细!I59</f>
        <v>5</v>
      </c>
      <c r="N30" s="2" t="str">
        <f>five子指标方向明细!L59</f>
        <v>B</v>
      </c>
      <c r="O30" s="2">
        <f t="shared" si="0"/>
        <v>1</v>
      </c>
      <c r="P30" s="2" t="str">
        <f t="shared" si="1"/>
        <v>B</v>
      </c>
      <c r="Q30" s="2" t="s">
        <v>22</v>
      </c>
      <c r="R30" s="2">
        <f t="shared" si="2"/>
        <v>1</v>
      </c>
      <c r="S30" s="2">
        <v>58</v>
      </c>
      <c r="T30" s="2">
        <v>59</v>
      </c>
      <c r="U30" s="2" t="str">
        <f t="shared" si="3"/>
        <v/>
      </c>
    </row>
    <row r="31" ht="23" customHeight="1" spans="1:21">
      <c r="A31" s="6" t="s">
        <v>407</v>
      </c>
      <c r="B31" s="2" t="s">
        <v>39</v>
      </c>
      <c r="C31" s="2">
        <v>5</v>
      </c>
      <c r="D31" s="6" t="s">
        <v>501</v>
      </c>
      <c r="E31" s="2" t="str">
        <f>five子指标方向明细!F60</f>
        <v>B</v>
      </c>
      <c r="F31" s="2">
        <f>five子指标方向明细!G60</f>
        <v>5</v>
      </c>
      <c r="G31" s="2" t="str">
        <f>five子指标方向明细!H60</f>
        <v>C</v>
      </c>
      <c r="H31" s="2">
        <f>five子指标方向明细!I60</f>
        <v>5</v>
      </c>
      <c r="I31" s="2" t="str">
        <f>five子指标方向明细!L60</f>
        <v>D(平局)</v>
      </c>
      <c r="J31" s="2" t="str">
        <f>five子指标方向明细!F61</f>
        <v>C</v>
      </c>
      <c r="K31" s="2">
        <f>five子指标方向明细!G61</f>
        <v>4</v>
      </c>
      <c r="L31" s="2" t="str">
        <f>five子指标方向明细!H61</f>
        <v>B</v>
      </c>
      <c r="M31" s="2">
        <f>five子指标方向明细!I61</f>
        <v>5</v>
      </c>
      <c r="N31" s="2" t="str">
        <f>five子指标方向明细!L61</f>
        <v>B</v>
      </c>
      <c r="O31" s="2">
        <f t="shared" si="0"/>
        <v>0</v>
      </c>
      <c r="P31" s="2" t="str">
        <f t="shared" si="1"/>
        <v>D(平局)</v>
      </c>
      <c r="Q31" s="2" t="s">
        <v>22</v>
      </c>
      <c r="R31" s="2">
        <f t="shared" si="2"/>
        <v>0</v>
      </c>
      <c r="S31" s="2">
        <v>60</v>
      </c>
      <c r="T31" s="2">
        <v>61</v>
      </c>
      <c r="U31" s="2" t="str">
        <f t="shared" si="3"/>
        <v>方向冲突</v>
      </c>
    </row>
    <row r="32" ht="23" customHeight="1" spans="1:21">
      <c r="A32" s="6" t="s">
        <v>369</v>
      </c>
      <c r="B32" s="2" t="s">
        <v>15</v>
      </c>
      <c r="C32" s="2">
        <v>1</v>
      </c>
      <c r="D32" s="6" t="s">
        <v>497</v>
      </c>
      <c r="E32" s="2" t="str">
        <f>five子指标方向明细!F62</f>
        <v>A</v>
      </c>
      <c r="F32" s="2">
        <f>five子指标方向明细!G62</f>
        <v>5</v>
      </c>
      <c r="G32" s="2" t="str">
        <f>five子指标方向明细!H62</f>
        <v>B</v>
      </c>
      <c r="H32" s="2">
        <f>five子指标方向明细!I62</f>
        <v>4</v>
      </c>
      <c r="I32" s="2" t="str">
        <f>five子指标方向明细!L62</f>
        <v>A</v>
      </c>
      <c r="J32" s="2" t="str">
        <f>five子指标方向明细!F63</f>
        <v>B</v>
      </c>
      <c r="K32" s="2">
        <f>five子指标方向明细!G63</f>
        <v>4</v>
      </c>
      <c r="L32" s="2" t="str">
        <f>five子指标方向明细!H63</f>
        <v>A</v>
      </c>
      <c r="M32" s="2">
        <f>five子指标方向明细!I63</f>
        <v>5</v>
      </c>
      <c r="N32" s="2" t="str">
        <f>five子指标方向明细!L63</f>
        <v>A</v>
      </c>
      <c r="O32" s="2">
        <f t="shared" si="0"/>
        <v>1</v>
      </c>
      <c r="P32" s="2" t="str">
        <f t="shared" si="1"/>
        <v>A</v>
      </c>
      <c r="Q32" s="2" t="s">
        <v>23</v>
      </c>
      <c r="R32" s="2">
        <f t="shared" si="2"/>
        <v>0</v>
      </c>
      <c r="S32" s="2">
        <v>62</v>
      </c>
      <c r="T32" s="2">
        <v>63</v>
      </c>
      <c r="U32" s="2" t="str">
        <f t="shared" si="3"/>
        <v/>
      </c>
    </row>
    <row r="33" ht="23" customHeight="1" spans="1:21">
      <c r="A33" s="6" t="s">
        <v>369</v>
      </c>
      <c r="B33" s="2" t="s">
        <v>15</v>
      </c>
      <c r="C33" s="2">
        <v>2</v>
      </c>
      <c r="D33" s="6" t="s">
        <v>498</v>
      </c>
      <c r="E33" s="2" t="str">
        <f>five子指标方向明细!F64</f>
        <v>A</v>
      </c>
      <c r="F33" s="2">
        <f>five子指标方向明细!G64</f>
        <v>5</v>
      </c>
      <c r="G33" s="2" t="str">
        <f>five子指标方向明细!H64</f>
        <v>B</v>
      </c>
      <c r="H33" s="2">
        <f>five子指标方向明细!I64</f>
        <v>3</v>
      </c>
      <c r="I33" s="2" t="str">
        <f>five子指标方向明细!L64</f>
        <v>A</v>
      </c>
      <c r="J33" s="2" t="str">
        <f>five子指标方向明细!F65</f>
        <v>B</v>
      </c>
      <c r="K33" s="2">
        <f>five子指标方向明细!G65</f>
        <v>4</v>
      </c>
      <c r="L33" s="2" t="str">
        <f>five子指标方向明细!H65</f>
        <v>A</v>
      </c>
      <c r="M33" s="2">
        <f>five子指标方向明细!I65</f>
        <v>5</v>
      </c>
      <c r="N33" s="2" t="str">
        <f>five子指标方向明细!L65</f>
        <v>A</v>
      </c>
      <c r="O33" s="2">
        <f t="shared" si="0"/>
        <v>1</v>
      </c>
      <c r="P33" s="2" t="str">
        <f t="shared" si="1"/>
        <v>A</v>
      </c>
      <c r="Q33" s="2" t="s">
        <v>23</v>
      </c>
      <c r="R33" s="2">
        <f t="shared" si="2"/>
        <v>0</v>
      </c>
      <c r="S33" s="2">
        <v>64</v>
      </c>
      <c r="T33" s="2">
        <v>65</v>
      </c>
      <c r="U33" s="2" t="str">
        <f t="shared" si="3"/>
        <v/>
      </c>
    </row>
    <row r="34" ht="23" customHeight="1" spans="1:21">
      <c r="A34" s="6" t="s">
        <v>369</v>
      </c>
      <c r="B34" s="2" t="s">
        <v>15</v>
      </c>
      <c r="C34" s="2">
        <v>3</v>
      </c>
      <c r="D34" s="6" t="s">
        <v>499</v>
      </c>
      <c r="E34" s="2" t="str">
        <f>five子指标方向明细!F66</f>
        <v>A</v>
      </c>
      <c r="F34" s="2">
        <f>five子指标方向明细!G66</f>
        <v>4</v>
      </c>
      <c r="G34" s="2" t="str">
        <f>five子指标方向明细!H66</f>
        <v>B</v>
      </c>
      <c r="H34" s="2">
        <f>five子指标方向明细!I66</f>
        <v>2</v>
      </c>
      <c r="I34" s="2" t="str">
        <f>five子指标方向明细!L66</f>
        <v>A</v>
      </c>
      <c r="J34" s="2" t="str">
        <f>five子指标方向明细!F67</f>
        <v>B</v>
      </c>
      <c r="K34" s="2">
        <f>five子指标方向明细!G67</f>
        <v>3</v>
      </c>
      <c r="L34" s="2" t="str">
        <f>five子指标方向明细!H67</f>
        <v>A</v>
      </c>
      <c r="M34" s="2">
        <f>five子指标方向明细!I67</f>
        <v>4</v>
      </c>
      <c r="N34" s="2" t="str">
        <f>five子指标方向明细!L67</f>
        <v>A</v>
      </c>
      <c r="O34" s="2">
        <f t="shared" si="0"/>
        <v>1</v>
      </c>
      <c r="P34" s="2" t="str">
        <f t="shared" si="1"/>
        <v>A</v>
      </c>
      <c r="Q34" s="2" t="s">
        <v>23</v>
      </c>
      <c r="R34" s="2">
        <f t="shared" si="2"/>
        <v>0</v>
      </c>
      <c r="S34" s="2">
        <v>66</v>
      </c>
      <c r="T34" s="2">
        <v>67</v>
      </c>
      <c r="U34" s="2" t="str">
        <f t="shared" si="3"/>
        <v/>
      </c>
    </row>
    <row r="35" ht="23" customHeight="1" spans="1:21">
      <c r="A35" s="6" t="s">
        <v>369</v>
      </c>
      <c r="B35" s="2" t="s">
        <v>15</v>
      </c>
      <c r="C35" s="2">
        <v>4</v>
      </c>
      <c r="D35" s="6" t="s">
        <v>500</v>
      </c>
      <c r="E35" s="2" t="str">
        <f>five子指标方向明细!F68</f>
        <v>A</v>
      </c>
      <c r="F35" s="2">
        <f>five子指标方向明细!G68</f>
        <v>5</v>
      </c>
      <c r="G35" s="2" t="str">
        <f>five子指标方向明细!H68</f>
        <v>B</v>
      </c>
      <c r="H35" s="2">
        <f>five子指标方向明细!I68</f>
        <v>3</v>
      </c>
      <c r="I35" s="2" t="str">
        <f>five子指标方向明细!L68</f>
        <v>A</v>
      </c>
      <c r="J35" s="2" t="str">
        <f>five子指标方向明细!F69</f>
        <v>B</v>
      </c>
      <c r="K35" s="2">
        <f>five子指标方向明细!G69</f>
        <v>4</v>
      </c>
      <c r="L35" s="2" t="str">
        <f>five子指标方向明细!H69</f>
        <v>A</v>
      </c>
      <c r="M35" s="2">
        <f>five子指标方向明细!I69</f>
        <v>5</v>
      </c>
      <c r="N35" s="2" t="str">
        <f>five子指标方向明细!L69</f>
        <v>A</v>
      </c>
      <c r="O35" s="2">
        <f t="shared" si="0"/>
        <v>1</v>
      </c>
      <c r="P35" s="2" t="str">
        <f t="shared" si="1"/>
        <v>A</v>
      </c>
      <c r="Q35" s="2" t="s">
        <v>23</v>
      </c>
      <c r="R35" s="2">
        <f t="shared" si="2"/>
        <v>0</v>
      </c>
      <c r="S35" s="2">
        <v>68</v>
      </c>
      <c r="T35" s="2">
        <v>69</v>
      </c>
      <c r="U35" s="2" t="str">
        <f t="shared" si="3"/>
        <v/>
      </c>
    </row>
    <row r="36" ht="23" customHeight="1" spans="1:21">
      <c r="A36" s="6" t="s">
        <v>369</v>
      </c>
      <c r="B36" s="2" t="s">
        <v>15</v>
      </c>
      <c r="C36" s="2">
        <v>5</v>
      </c>
      <c r="D36" s="6" t="s">
        <v>501</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1</v>
      </c>
      <c r="P36" s="2" t="str">
        <f t="shared" si="1"/>
        <v>D(平局)</v>
      </c>
      <c r="Q36" s="2" t="s">
        <v>23</v>
      </c>
      <c r="R36" s="2">
        <f t="shared" si="2"/>
        <v>1</v>
      </c>
      <c r="S36" s="2">
        <v>70</v>
      </c>
      <c r="T36" s="2">
        <v>71</v>
      </c>
      <c r="U36" s="2" t="str">
        <f t="shared" si="3"/>
        <v>双向评分平局</v>
      </c>
    </row>
    <row r="37" ht="23" customHeight="1" spans="1:21">
      <c r="A37" s="6" t="s">
        <v>369</v>
      </c>
      <c r="B37" s="2" t="s">
        <v>31</v>
      </c>
      <c r="C37" s="2">
        <v>1</v>
      </c>
      <c r="D37" s="6" t="s">
        <v>497</v>
      </c>
      <c r="E37" s="2" t="str">
        <f>five子指标方向明细!F72</f>
        <v>A</v>
      </c>
      <c r="F37" s="2">
        <f>five子指标方向明细!G72</f>
        <v>5</v>
      </c>
      <c r="G37" s="2" t="str">
        <f>five子指标方向明细!H72</f>
        <v>C</v>
      </c>
      <c r="H37" s="2">
        <f>five子指标方向明细!I72</f>
        <v>3</v>
      </c>
      <c r="I37" s="2" t="str">
        <f>five子指标方向明细!L72</f>
        <v>A</v>
      </c>
      <c r="J37" s="2" t="str">
        <f>five子指标方向明细!F73</f>
        <v>C</v>
      </c>
      <c r="K37" s="2">
        <f>five子指标方向明细!G73</f>
        <v>4</v>
      </c>
      <c r="L37" s="2" t="str">
        <f>five子指标方向明细!H73</f>
        <v>A</v>
      </c>
      <c r="M37" s="2">
        <f>five子指标方向明细!I73</f>
        <v>5</v>
      </c>
      <c r="N37" s="2" t="str">
        <f>five子指标方向明细!L73</f>
        <v>A</v>
      </c>
      <c r="O37" s="2">
        <f t="shared" si="0"/>
        <v>1</v>
      </c>
      <c r="P37" s="2" t="str">
        <f t="shared" si="1"/>
        <v>A</v>
      </c>
      <c r="Q37" s="2" t="s">
        <v>34</v>
      </c>
      <c r="R37" s="2">
        <f t="shared" si="2"/>
        <v>1</v>
      </c>
      <c r="S37" s="2">
        <v>72</v>
      </c>
      <c r="T37" s="2">
        <v>73</v>
      </c>
      <c r="U37" s="2" t="str">
        <f t="shared" si="3"/>
        <v/>
      </c>
    </row>
    <row r="38" ht="23" customHeight="1" spans="1:21">
      <c r="A38" s="6" t="s">
        <v>369</v>
      </c>
      <c r="B38" s="2" t="s">
        <v>31</v>
      </c>
      <c r="C38" s="2">
        <v>2</v>
      </c>
      <c r="D38" s="6" t="s">
        <v>498</v>
      </c>
      <c r="E38" s="2" t="str">
        <f>five子指标方向明细!F74</f>
        <v>A</v>
      </c>
      <c r="F38" s="2">
        <f>five子指标方向明细!G74</f>
        <v>4</v>
      </c>
      <c r="G38" s="2" t="str">
        <f>five子指标方向明细!H74</f>
        <v>C</v>
      </c>
      <c r="H38" s="2">
        <f>five子指标方向明细!I74</f>
        <v>2</v>
      </c>
      <c r="I38" s="2" t="str">
        <f>five子指标方向明细!L74</f>
        <v>A</v>
      </c>
      <c r="J38" s="2" t="str">
        <f>five子指标方向明细!F75</f>
        <v>C</v>
      </c>
      <c r="K38" s="2">
        <f>five子指标方向明细!G75</f>
        <v>3</v>
      </c>
      <c r="L38" s="2" t="str">
        <f>five子指标方向明细!H75</f>
        <v>A</v>
      </c>
      <c r="M38" s="2">
        <f>five子指标方向明细!I75</f>
        <v>5</v>
      </c>
      <c r="N38" s="2" t="str">
        <f>five子指标方向明细!L75</f>
        <v>A</v>
      </c>
      <c r="O38" s="2">
        <f t="shared" si="0"/>
        <v>1</v>
      </c>
      <c r="P38" s="2" t="str">
        <f t="shared" si="1"/>
        <v>A</v>
      </c>
      <c r="Q38" s="2" t="s">
        <v>34</v>
      </c>
      <c r="R38" s="2">
        <f t="shared" si="2"/>
        <v>1</v>
      </c>
      <c r="S38" s="2">
        <v>74</v>
      </c>
      <c r="T38" s="2">
        <v>75</v>
      </c>
      <c r="U38" s="2" t="str">
        <f t="shared" si="3"/>
        <v/>
      </c>
    </row>
    <row r="39" ht="23" customHeight="1" spans="1:21">
      <c r="A39" s="6" t="s">
        <v>369</v>
      </c>
      <c r="B39" s="2" t="s">
        <v>31</v>
      </c>
      <c r="C39" s="2">
        <v>3</v>
      </c>
      <c r="D39" s="6" t="s">
        <v>499</v>
      </c>
      <c r="E39" s="2" t="str">
        <f>five子指标方向明细!F76</f>
        <v>A</v>
      </c>
      <c r="F39" s="2">
        <f>five子指标方向明细!G76</f>
        <v>5</v>
      </c>
      <c r="G39" s="2" t="str">
        <f>five子指标方向明细!H76</f>
        <v>C</v>
      </c>
      <c r="H39" s="2">
        <f>five子指标方向明细!I76</f>
        <v>2</v>
      </c>
      <c r="I39" s="2" t="str">
        <f>five子指标方向明细!L76</f>
        <v>A</v>
      </c>
      <c r="J39" s="2" t="str">
        <f>five子指标方向明细!F77</f>
        <v>C</v>
      </c>
      <c r="K39" s="2">
        <f>five子指标方向明细!G77</f>
        <v>4</v>
      </c>
      <c r="L39" s="2" t="str">
        <f>five子指标方向明细!H77</f>
        <v>A</v>
      </c>
      <c r="M39" s="2">
        <f>five子指标方向明细!I77</f>
        <v>5</v>
      </c>
      <c r="N39" s="2" t="str">
        <f>five子指标方向明细!L77</f>
        <v>A</v>
      </c>
      <c r="O39" s="2">
        <f t="shared" si="0"/>
        <v>1</v>
      </c>
      <c r="P39" s="2" t="str">
        <f t="shared" si="1"/>
        <v>A</v>
      </c>
      <c r="Q39" s="2" t="s">
        <v>34</v>
      </c>
      <c r="R39" s="2">
        <f t="shared" si="2"/>
        <v>1</v>
      </c>
      <c r="S39" s="2">
        <v>76</v>
      </c>
      <c r="T39" s="2">
        <v>77</v>
      </c>
      <c r="U39" s="2" t="str">
        <f t="shared" si="3"/>
        <v/>
      </c>
    </row>
    <row r="40" ht="23" customHeight="1" spans="1:21">
      <c r="A40" s="6" t="s">
        <v>369</v>
      </c>
      <c r="B40" s="2" t="s">
        <v>31</v>
      </c>
      <c r="C40" s="2">
        <v>4</v>
      </c>
      <c r="D40" s="6" t="s">
        <v>500</v>
      </c>
      <c r="E40" s="2" t="str">
        <f>five子指标方向明细!F78</f>
        <v>A</v>
      </c>
      <c r="F40" s="2">
        <f>five子指标方向明细!G78</f>
        <v>5</v>
      </c>
      <c r="G40" s="2" t="str">
        <f>five子指标方向明细!H78</f>
        <v>C</v>
      </c>
      <c r="H40" s="2">
        <f>five子指标方向明细!I78</f>
        <v>3</v>
      </c>
      <c r="I40" s="2" t="str">
        <f>five子指标方向明细!L78</f>
        <v>A</v>
      </c>
      <c r="J40" s="2" t="str">
        <f>five子指标方向明细!F79</f>
        <v>C</v>
      </c>
      <c r="K40" s="2">
        <f>five子指标方向明细!G79</f>
        <v>4</v>
      </c>
      <c r="L40" s="2" t="str">
        <f>five子指标方向明细!H79</f>
        <v>A</v>
      </c>
      <c r="M40" s="2">
        <f>five子指标方向明细!I79</f>
        <v>5</v>
      </c>
      <c r="N40" s="2" t="str">
        <f>five子指标方向明细!L79</f>
        <v>A</v>
      </c>
      <c r="O40" s="2">
        <f t="shared" si="0"/>
        <v>1</v>
      </c>
      <c r="P40" s="2" t="str">
        <f t="shared" si="1"/>
        <v>A</v>
      </c>
      <c r="Q40" s="2" t="s">
        <v>34</v>
      </c>
      <c r="R40" s="2">
        <f t="shared" si="2"/>
        <v>1</v>
      </c>
      <c r="S40" s="2">
        <v>78</v>
      </c>
      <c r="T40" s="2">
        <v>79</v>
      </c>
      <c r="U40" s="2" t="str">
        <f t="shared" si="3"/>
        <v/>
      </c>
    </row>
    <row r="41" ht="23" customHeight="1" spans="1:21">
      <c r="A41" s="6" t="s">
        <v>369</v>
      </c>
      <c r="B41" s="2" t="s">
        <v>31</v>
      </c>
      <c r="C41" s="2">
        <v>5</v>
      </c>
      <c r="D41" s="6" t="s">
        <v>501</v>
      </c>
      <c r="E41" s="2" t="str">
        <f>five子指标方向明细!F80</f>
        <v>A</v>
      </c>
      <c r="F41" s="2">
        <f>five子指标方向明细!G80</f>
        <v>4</v>
      </c>
      <c r="G41" s="2" t="str">
        <f>five子指标方向明细!H80</f>
        <v>C</v>
      </c>
      <c r="H41" s="2">
        <f>five子指标方向明细!I80</f>
        <v>2</v>
      </c>
      <c r="I41" s="2" t="str">
        <f>five子指标方向明细!L80</f>
        <v>A</v>
      </c>
      <c r="J41" s="2" t="str">
        <f>five子指标方向明细!F81</f>
        <v>C</v>
      </c>
      <c r="K41" s="2">
        <f>five子指标方向明细!G81</f>
        <v>3</v>
      </c>
      <c r="L41" s="2" t="str">
        <f>five子指标方向明细!H81</f>
        <v>A</v>
      </c>
      <c r="M41" s="2">
        <f>five子指标方向明细!I81</f>
        <v>4</v>
      </c>
      <c r="N41" s="2" t="str">
        <f>five子指标方向明细!L81</f>
        <v>A</v>
      </c>
      <c r="O41" s="2">
        <f t="shared" si="0"/>
        <v>1</v>
      </c>
      <c r="P41" s="2" t="str">
        <f t="shared" si="1"/>
        <v>A</v>
      </c>
      <c r="Q41" s="2" t="s">
        <v>34</v>
      </c>
      <c r="R41" s="2">
        <f t="shared" si="2"/>
        <v>1</v>
      </c>
      <c r="S41" s="2">
        <v>80</v>
      </c>
      <c r="T41" s="2">
        <v>81</v>
      </c>
      <c r="U41" s="2" t="str">
        <f t="shared" si="3"/>
        <v/>
      </c>
    </row>
    <row r="42" ht="23" customHeight="1" spans="1:21">
      <c r="A42" s="6" t="s">
        <v>369</v>
      </c>
      <c r="B42" s="2" t="s">
        <v>39</v>
      </c>
      <c r="C42" s="2">
        <v>1</v>
      </c>
      <c r="D42" s="6" t="s">
        <v>497</v>
      </c>
      <c r="E42" s="2" t="str">
        <f>five子指标方向明细!F82</f>
        <v>B</v>
      </c>
      <c r="F42" s="2">
        <f>five子指标方向明细!G82</f>
        <v>5</v>
      </c>
      <c r="G42" s="2" t="str">
        <f>five子指标方向明细!H82</f>
        <v>C</v>
      </c>
      <c r="H42" s="2">
        <f>five子指标方向明细!I82</f>
        <v>3</v>
      </c>
      <c r="I42" s="2" t="str">
        <f>five子指标方向明细!L82</f>
        <v>B</v>
      </c>
      <c r="J42" s="2" t="str">
        <f>five子指标方向明细!F83</f>
        <v>C</v>
      </c>
      <c r="K42" s="2">
        <f>five子指标方向明细!G83</f>
        <v>4</v>
      </c>
      <c r="L42" s="2" t="str">
        <f>five子指标方向明细!H83</f>
        <v>B</v>
      </c>
      <c r="M42" s="2">
        <f>five子指标方向明细!I83</f>
        <v>5</v>
      </c>
      <c r="N42" s="2" t="str">
        <f>five子指标方向明细!L83</f>
        <v>B</v>
      </c>
      <c r="O42" s="2">
        <f t="shared" si="0"/>
        <v>1</v>
      </c>
      <c r="P42" s="2" t="str">
        <f t="shared" si="1"/>
        <v>B</v>
      </c>
      <c r="Q42" s="2" t="s">
        <v>22</v>
      </c>
      <c r="R42" s="2">
        <f t="shared" si="2"/>
        <v>1</v>
      </c>
      <c r="S42" s="2">
        <v>82</v>
      </c>
      <c r="T42" s="2">
        <v>83</v>
      </c>
      <c r="U42" s="2" t="str">
        <f t="shared" si="3"/>
        <v/>
      </c>
    </row>
    <row r="43" ht="23" customHeight="1" spans="1:21">
      <c r="A43" s="6" t="s">
        <v>369</v>
      </c>
      <c r="B43" s="2" t="s">
        <v>39</v>
      </c>
      <c r="C43" s="2">
        <v>2</v>
      </c>
      <c r="D43" s="6" t="s">
        <v>498</v>
      </c>
      <c r="E43" s="2" t="str">
        <f>five子指标方向明细!F84</f>
        <v>B</v>
      </c>
      <c r="F43" s="2">
        <f>five子指标方向明细!G84</f>
        <v>5</v>
      </c>
      <c r="G43" s="2" t="str">
        <f>five子指标方向明细!H84</f>
        <v>C</v>
      </c>
      <c r="H43" s="2">
        <f>five子指标方向明细!I84</f>
        <v>2</v>
      </c>
      <c r="I43" s="2" t="str">
        <f>five子指标方向明细!L84</f>
        <v>B</v>
      </c>
      <c r="J43" s="2" t="str">
        <f>five子指标方向明细!F85</f>
        <v>C</v>
      </c>
      <c r="K43" s="2">
        <f>five子指标方向明细!G85</f>
        <v>2</v>
      </c>
      <c r="L43" s="2" t="str">
        <f>five子指标方向明细!H85</f>
        <v>B</v>
      </c>
      <c r="M43" s="2">
        <f>five子指标方向明细!I85</f>
        <v>4</v>
      </c>
      <c r="N43" s="2" t="str">
        <f>five子指标方向明细!L85</f>
        <v>B</v>
      </c>
      <c r="O43" s="2">
        <f t="shared" si="0"/>
        <v>1</v>
      </c>
      <c r="P43" s="2" t="str">
        <f t="shared" si="1"/>
        <v>B</v>
      </c>
      <c r="Q43" s="2" t="s">
        <v>22</v>
      </c>
      <c r="R43" s="2">
        <f t="shared" si="2"/>
        <v>1</v>
      </c>
      <c r="S43" s="2">
        <v>84</v>
      </c>
      <c r="T43" s="2">
        <v>85</v>
      </c>
      <c r="U43" s="2" t="str">
        <f t="shared" si="3"/>
        <v/>
      </c>
    </row>
    <row r="44" ht="23" customHeight="1" spans="1:21">
      <c r="A44" s="6" t="s">
        <v>369</v>
      </c>
      <c r="B44" s="2" t="s">
        <v>39</v>
      </c>
      <c r="C44" s="2">
        <v>3</v>
      </c>
      <c r="D44" s="6" t="s">
        <v>499</v>
      </c>
      <c r="E44" s="2" t="str">
        <f>five子指标方向明细!F86</f>
        <v>B</v>
      </c>
      <c r="F44" s="2">
        <f>five子指标方向明细!G86</f>
        <v>5</v>
      </c>
      <c r="G44" s="2" t="str">
        <f>five子指标方向明细!H86</f>
        <v>C</v>
      </c>
      <c r="H44" s="2">
        <f>five子指标方向明细!I86</f>
        <v>2</v>
      </c>
      <c r="I44" s="2" t="str">
        <f>five子指标方向明细!L86</f>
        <v>B</v>
      </c>
      <c r="J44" s="2" t="str">
        <f>five子指标方向明细!F87</f>
        <v>C</v>
      </c>
      <c r="K44" s="2">
        <f>five子指标方向明细!G87</f>
        <v>3</v>
      </c>
      <c r="L44" s="2" t="str">
        <f>five子指标方向明细!H87</f>
        <v>B</v>
      </c>
      <c r="M44" s="2">
        <f>five子指标方向明细!I87</f>
        <v>4</v>
      </c>
      <c r="N44" s="2" t="str">
        <f>five子指标方向明细!L87</f>
        <v>B</v>
      </c>
      <c r="O44" s="2">
        <f t="shared" si="0"/>
        <v>1</v>
      </c>
      <c r="P44" s="2" t="str">
        <f t="shared" si="1"/>
        <v>B</v>
      </c>
      <c r="Q44" s="2" t="s">
        <v>22</v>
      </c>
      <c r="R44" s="2">
        <f t="shared" si="2"/>
        <v>1</v>
      </c>
      <c r="S44" s="2">
        <v>86</v>
      </c>
      <c r="T44" s="2">
        <v>87</v>
      </c>
      <c r="U44" s="2" t="str">
        <f t="shared" si="3"/>
        <v/>
      </c>
    </row>
    <row r="45" ht="23" customHeight="1" spans="1:21">
      <c r="A45" s="6" t="s">
        <v>369</v>
      </c>
      <c r="B45" s="2" t="s">
        <v>39</v>
      </c>
      <c r="C45" s="2">
        <v>4</v>
      </c>
      <c r="D45" s="6" t="s">
        <v>500</v>
      </c>
      <c r="E45" s="2" t="str">
        <f>five子指标方向明细!F88</f>
        <v>B</v>
      </c>
      <c r="F45" s="2">
        <f>five子指标方向明细!G88</f>
        <v>5</v>
      </c>
      <c r="G45" s="2" t="str">
        <f>five子指标方向明细!H88</f>
        <v>C</v>
      </c>
      <c r="H45" s="2">
        <f>five子指标方向明细!I88</f>
        <v>2</v>
      </c>
      <c r="I45" s="2" t="str">
        <f>five子指标方向明细!L88</f>
        <v>B</v>
      </c>
      <c r="J45" s="2" t="str">
        <f>five子指标方向明细!F89</f>
        <v>C</v>
      </c>
      <c r="K45" s="2">
        <f>five子指标方向明细!G89</f>
        <v>4</v>
      </c>
      <c r="L45" s="2" t="str">
        <f>five子指标方向明细!H89</f>
        <v>B</v>
      </c>
      <c r="M45" s="2">
        <f>five子指标方向明细!I89</f>
        <v>5</v>
      </c>
      <c r="N45" s="2" t="str">
        <f>five子指标方向明细!L89</f>
        <v>B</v>
      </c>
      <c r="O45" s="2">
        <f t="shared" si="0"/>
        <v>1</v>
      </c>
      <c r="P45" s="2" t="str">
        <f t="shared" si="1"/>
        <v>B</v>
      </c>
      <c r="Q45" s="2" t="s">
        <v>22</v>
      </c>
      <c r="R45" s="2">
        <f t="shared" si="2"/>
        <v>1</v>
      </c>
      <c r="S45" s="2">
        <v>88</v>
      </c>
      <c r="T45" s="2">
        <v>89</v>
      </c>
      <c r="U45" s="2" t="str">
        <f t="shared" si="3"/>
        <v/>
      </c>
    </row>
    <row r="46" ht="23" customHeight="1" spans="1:21">
      <c r="A46" s="6" t="s">
        <v>369</v>
      </c>
      <c r="B46" s="2" t="s">
        <v>39</v>
      </c>
      <c r="C46" s="2">
        <v>5</v>
      </c>
      <c r="D46" s="6" t="s">
        <v>501</v>
      </c>
      <c r="E46" s="2" t="str">
        <f>five子指标方向明细!F90</f>
        <v>B</v>
      </c>
      <c r="F46" s="2">
        <f>five子指标方向明细!G90</f>
        <v>5</v>
      </c>
      <c r="G46" s="2" t="str">
        <f>five子指标方向明细!H90</f>
        <v>C</v>
      </c>
      <c r="H46" s="2">
        <f>five子指标方向明细!I90</f>
        <v>2</v>
      </c>
      <c r="I46" s="2" t="str">
        <f>five子指标方向明细!L90</f>
        <v>B</v>
      </c>
      <c r="J46" s="2" t="str">
        <f>five子指标方向明细!F91</f>
        <v>C</v>
      </c>
      <c r="K46" s="2">
        <f>five子指标方向明细!G91</f>
        <v>3</v>
      </c>
      <c r="L46" s="2" t="str">
        <f>five子指标方向明细!H91</f>
        <v>B</v>
      </c>
      <c r="M46" s="2">
        <f>five子指标方向明细!I91</f>
        <v>5</v>
      </c>
      <c r="N46" s="2" t="str">
        <f>five子指标方向明细!L91</f>
        <v>B</v>
      </c>
      <c r="O46" s="2">
        <f t="shared" si="0"/>
        <v>1</v>
      </c>
      <c r="P46" s="2" t="str">
        <f t="shared" si="1"/>
        <v>B</v>
      </c>
      <c r="Q46" s="2" t="s">
        <v>22</v>
      </c>
      <c r="R46" s="2">
        <f t="shared" si="2"/>
        <v>1</v>
      </c>
      <c r="S46" s="2">
        <v>90</v>
      </c>
      <c r="T46" s="2">
        <v>91</v>
      </c>
      <c r="U46" s="2" t="str">
        <f t="shared" si="3"/>
        <v/>
      </c>
    </row>
    <row r="47" ht="23" customHeight="1" spans="1:21">
      <c r="A47" s="6" t="s">
        <v>13</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23</v>
      </c>
      <c r="R47" s="2">
        <f t="shared" si="2"/>
        <v>1</v>
      </c>
      <c r="S47" s="2">
        <v>92</v>
      </c>
      <c r="T47" s="2">
        <v>93</v>
      </c>
      <c r="U47" s="2" t="str">
        <f t="shared" si="3"/>
        <v>双向评分平局</v>
      </c>
    </row>
    <row r="48" ht="23" customHeight="1" spans="1:21">
      <c r="A48" s="6" t="s">
        <v>13</v>
      </c>
      <c r="B48" s="2" t="s">
        <v>15</v>
      </c>
      <c r="C48" s="2">
        <v>2</v>
      </c>
      <c r="D48" s="6" t="s">
        <v>498</v>
      </c>
      <c r="E48" s="2" t="str">
        <f>five子指标方向明细!F94</f>
        <v>A</v>
      </c>
      <c r="F48" s="2">
        <f>five子指标方向明细!G94</f>
        <v>5</v>
      </c>
      <c r="G48" s="2" t="str">
        <f>five子指标方向明细!H94</f>
        <v>B</v>
      </c>
      <c r="H48" s="2">
        <f>five子指标方向明细!I94</f>
        <v>5</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23</v>
      </c>
      <c r="R48" s="2">
        <f t="shared" si="2"/>
        <v>1</v>
      </c>
      <c r="S48" s="2">
        <v>94</v>
      </c>
      <c r="T48" s="2">
        <v>95</v>
      </c>
      <c r="U48" s="2" t="str">
        <f t="shared" si="3"/>
        <v>双向评分平局</v>
      </c>
    </row>
    <row r="49" ht="23" customHeight="1" spans="1:21">
      <c r="A49" s="6" t="s">
        <v>13</v>
      </c>
      <c r="B49" s="2" t="s">
        <v>15</v>
      </c>
      <c r="C49" s="2">
        <v>3</v>
      </c>
      <c r="D49" s="6" t="s">
        <v>499</v>
      </c>
      <c r="E49" s="2" t="str">
        <f>five子指标方向明细!F96</f>
        <v>A</v>
      </c>
      <c r="F49" s="2">
        <f>five子指标方向明细!G96</f>
        <v>4</v>
      </c>
      <c r="G49" s="2" t="str">
        <f>five子指标方向明细!H96</f>
        <v>B</v>
      </c>
      <c r="H49" s="2">
        <f>five子指标方向明细!I96</f>
        <v>5</v>
      </c>
      <c r="I49" s="2" t="str">
        <f>five子指标方向明细!L96</f>
        <v>B</v>
      </c>
      <c r="J49" s="2" t="str">
        <f>five子指标方向明细!F97</f>
        <v>B</v>
      </c>
      <c r="K49" s="2">
        <f>five子指标方向明细!G97</f>
        <v>5</v>
      </c>
      <c r="L49" s="2" t="str">
        <f>five子指标方向明细!H97</f>
        <v>A</v>
      </c>
      <c r="M49" s="2">
        <f>five子指标方向明细!I97</f>
        <v>4</v>
      </c>
      <c r="N49" s="2" t="str">
        <f>five子指标方向明细!L97</f>
        <v>B</v>
      </c>
      <c r="O49" s="2">
        <f t="shared" si="0"/>
        <v>1</v>
      </c>
      <c r="P49" s="2" t="str">
        <f t="shared" si="1"/>
        <v>B</v>
      </c>
      <c r="Q49" s="2" t="s">
        <v>23</v>
      </c>
      <c r="R49" s="2">
        <f t="shared" si="2"/>
        <v>0</v>
      </c>
      <c r="S49" s="2">
        <v>96</v>
      </c>
      <c r="T49" s="2">
        <v>97</v>
      </c>
      <c r="U49" s="2" t="str">
        <f t="shared" si="3"/>
        <v/>
      </c>
    </row>
    <row r="50" ht="23" customHeight="1" spans="1:21">
      <c r="A50" s="6" t="s">
        <v>13</v>
      </c>
      <c r="B50" s="2" t="s">
        <v>15</v>
      </c>
      <c r="C50" s="2">
        <v>4</v>
      </c>
      <c r="D50" s="6" t="s">
        <v>500</v>
      </c>
      <c r="E50" s="2" t="str">
        <f>five子指标方向明细!F98</f>
        <v>A</v>
      </c>
      <c r="F50" s="2">
        <f>five子指标方向明细!G98</f>
        <v>4</v>
      </c>
      <c r="G50" s="2" t="str">
        <f>five子指标方向明细!H98</f>
        <v>B</v>
      </c>
      <c r="H50" s="2">
        <f>five子指标方向明细!I98</f>
        <v>5</v>
      </c>
      <c r="I50" s="2" t="str">
        <f>five子指标方向明细!L98</f>
        <v>B</v>
      </c>
      <c r="J50" s="2" t="str">
        <f>five子指标方向明细!F99</f>
        <v>B</v>
      </c>
      <c r="K50" s="2">
        <f>five子指标方向明细!G99</f>
        <v>5</v>
      </c>
      <c r="L50" s="2" t="str">
        <f>five子指标方向明细!H99</f>
        <v>A</v>
      </c>
      <c r="M50" s="2">
        <f>five子指标方向明细!I99</f>
        <v>4</v>
      </c>
      <c r="N50" s="2" t="str">
        <f>five子指标方向明细!L99</f>
        <v>B</v>
      </c>
      <c r="O50" s="2">
        <f t="shared" si="0"/>
        <v>1</v>
      </c>
      <c r="P50" s="2" t="str">
        <f t="shared" si="1"/>
        <v>B</v>
      </c>
      <c r="Q50" s="2" t="s">
        <v>23</v>
      </c>
      <c r="R50" s="2">
        <f t="shared" si="2"/>
        <v>0</v>
      </c>
      <c r="S50" s="2">
        <v>98</v>
      </c>
      <c r="T50" s="2">
        <v>99</v>
      </c>
      <c r="U50" s="2" t="str">
        <f t="shared" si="3"/>
        <v/>
      </c>
    </row>
    <row r="51" ht="23" customHeight="1" spans="1:21">
      <c r="A51" s="6" t="s">
        <v>13</v>
      </c>
      <c r="B51" s="2" t="s">
        <v>15</v>
      </c>
      <c r="C51" s="2">
        <v>5</v>
      </c>
      <c r="D51" s="6" t="s">
        <v>501</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23</v>
      </c>
      <c r="R51" s="2">
        <f t="shared" si="2"/>
        <v>1</v>
      </c>
      <c r="S51" s="2">
        <v>100</v>
      </c>
      <c r="T51" s="2">
        <v>101</v>
      </c>
      <c r="U51" s="2" t="str">
        <f t="shared" si="3"/>
        <v>双向评分平局</v>
      </c>
    </row>
    <row r="52" ht="23" customHeight="1" spans="1:21">
      <c r="A52" s="6" t="s">
        <v>13</v>
      </c>
      <c r="B52" s="2" t="s">
        <v>31</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34</v>
      </c>
      <c r="R52" s="2">
        <f t="shared" si="2"/>
        <v>0</v>
      </c>
      <c r="S52" s="2">
        <v>102</v>
      </c>
      <c r="T52" s="2">
        <v>103</v>
      </c>
      <c r="U52" s="2" t="str">
        <f t="shared" si="3"/>
        <v>双向评分平局</v>
      </c>
    </row>
    <row r="53" ht="23" customHeight="1" spans="1:21">
      <c r="A53" s="6" t="s">
        <v>13</v>
      </c>
      <c r="B53" s="2" t="s">
        <v>31</v>
      </c>
      <c r="C53" s="2">
        <v>2</v>
      </c>
      <c r="D53" s="6" t="s">
        <v>498</v>
      </c>
      <c r="E53" s="2" t="str">
        <f>five子指标方向明细!F104</f>
        <v>A</v>
      </c>
      <c r="F53" s="2">
        <f>five子指标方向明细!G104</f>
        <v>5</v>
      </c>
      <c r="G53" s="2" t="str">
        <f>five子指标方向明细!H104</f>
        <v>C</v>
      </c>
      <c r="H53" s="2">
        <f>five子指标方向明细!I104</f>
        <v>3</v>
      </c>
      <c r="I53" s="2" t="str">
        <f>five子指标方向明细!L104</f>
        <v>A</v>
      </c>
      <c r="J53" s="2" t="str">
        <f>five子指标方向明细!F105</f>
        <v>C</v>
      </c>
      <c r="K53" s="2">
        <f>five子指标方向明细!G105</f>
        <v>3</v>
      </c>
      <c r="L53" s="2" t="str">
        <f>five子指标方向明细!H105</f>
        <v>A</v>
      </c>
      <c r="M53" s="2">
        <f>five子指标方向明细!I105</f>
        <v>5</v>
      </c>
      <c r="N53" s="2" t="str">
        <f>five子指标方向明细!L105</f>
        <v>A</v>
      </c>
      <c r="O53" s="2">
        <f t="shared" si="0"/>
        <v>1</v>
      </c>
      <c r="P53" s="2" t="str">
        <f t="shared" si="1"/>
        <v>A</v>
      </c>
      <c r="Q53" s="2" t="s">
        <v>34</v>
      </c>
      <c r="R53" s="2">
        <f t="shared" si="2"/>
        <v>1</v>
      </c>
      <c r="S53" s="2">
        <v>104</v>
      </c>
      <c r="T53" s="2">
        <v>105</v>
      </c>
      <c r="U53" s="2" t="str">
        <f t="shared" si="3"/>
        <v/>
      </c>
    </row>
    <row r="54" ht="23" customHeight="1" spans="1:21">
      <c r="A54" s="6" t="s">
        <v>13</v>
      </c>
      <c r="B54" s="2" t="s">
        <v>31</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4</v>
      </c>
      <c r="N54" s="2" t="str">
        <f>five子指标方向明细!L107</f>
        <v>C</v>
      </c>
      <c r="O54" s="2">
        <f t="shared" si="0"/>
        <v>0</v>
      </c>
      <c r="P54" s="2" t="str">
        <f t="shared" si="1"/>
        <v>D(平局)</v>
      </c>
      <c r="Q54" s="2" t="s">
        <v>34</v>
      </c>
      <c r="R54" s="2">
        <f t="shared" si="2"/>
        <v>0</v>
      </c>
      <c r="S54" s="2">
        <v>106</v>
      </c>
      <c r="T54" s="2">
        <v>107</v>
      </c>
      <c r="U54" s="2" t="str">
        <f t="shared" si="3"/>
        <v>方向冲突</v>
      </c>
    </row>
    <row r="55" ht="23" customHeight="1" spans="1:21">
      <c r="A55" s="6" t="s">
        <v>13</v>
      </c>
      <c r="B55" s="2" t="s">
        <v>31</v>
      </c>
      <c r="C55" s="2">
        <v>4</v>
      </c>
      <c r="D55" s="6" t="s">
        <v>500</v>
      </c>
      <c r="E55" s="2" t="str">
        <f>five子指标方向明细!F108</f>
        <v>A</v>
      </c>
      <c r="F55" s="2">
        <f>five子指标方向明细!G108</f>
        <v>4</v>
      </c>
      <c r="G55" s="2" t="str">
        <f>five子指标方向明细!H108</f>
        <v>C</v>
      </c>
      <c r="H55" s="2">
        <f>five子指标方向明细!I108</f>
        <v>5</v>
      </c>
      <c r="I55" s="2" t="str">
        <f>five子指标方向明细!L108</f>
        <v>C</v>
      </c>
      <c r="J55" s="2" t="str">
        <f>five子指标方向明细!F109</f>
        <v>C</v>
      </c>
      <c r="K55" s="2">
        <f>five子指标方向明细!G109</f>
        <v>5</v>
      </c>
      <c r="L55" s="2" t="str">
        <f>five子指标方向明细!H109</f>
        <v>A</v>
      </c>
      <c r="M55" s="2">
        <f>five子指标方向明细!I109</f>
        <v>5</v>
      </c>
      <c r="N55" s="2" t="str">
        <f>five子指标方向明细!L109</f>
        <v>D(平局)</v>
      </c>
      <c r="O55" s="2">
        <f t="shared" si="0"/>
        <v>0</v>
      </c>
      <c r="P55" s="2" t="str">
        <f t="shared" si="1"/>
        <v>D(平局)</v>
      </c>
      <c r="Q55" s="2" t="s">
        <v>34</v>
      </c>
      <c r="R55" s="2">
        <f t="shared" si="2"/>
        <v>0</v>
      </c>
      <c r="S55" s="2">
        <v>108</v>
      </c>
      <c r="T55" s="2">
        <v>109</v>
      </c>
      <c r="U55" s="2" t="str">
        <f t="shared" si="3"/>
        <v>方向冲突</v>
      </c>
    </row>
    <row r="56" ht="23" customHeight="1" spans="1:21">
      <c r="A56" s="6" t="s">
        <v>13</v>
      </c>
      <c r="B56" s="2" t="s">
        <v>31</v>
      </c>
      <c r="C56" s="2">
        <v>5</v>
      </c>
      <c r="D56" s="6" t="s">
        <v>501</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34</v>
      </c>
      <c r="R56" s="2">
        <f t="shared" si="2"/>
        <v>0</v>
      </c>
      <c r="S56" s="2">
        <v>110</v>
      </c>
      <c r="T56" s="2">
        <v>111</v>
      </c>
      <c r="U56" s="2" t="str">
        <f t="shared" si="3"/>
        <v>双向评分平局</v>
      </c>
    </row>
    <row r="57" ht="23" customHeight="1" spans="1:21">
      <c r="A57" s="6" t="s">
        <v>13</v>
      </c>
      <c r="B57" s="2" t="s">
        <v>39</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22</v>
      </c>
      <c r="R57" s="2">
        <f t="shared" si="2"/>
        <v>0</v>
      </c>
      <c r="S57" s="2">
        <v>112</v>
      </c>
      <c r="T57" s="2">
        <v>113</v>
      </c>
      <c r="U57" s="2" t="str">
        <f t="shared" si="3"/>
        <v>双向评分平局</v>
      </c>
    </row>
    <row r="58" ht="23" customHeight="1" spans="1:21">
      <c r="A58" s="6" t="s">
        <v>13</v>
      </c>
      <c r="B58" s="2" t="s">
        <v>39</v>
      </c>
      <c r="C58" s="2">
        <v>2</v>
      </c>
      <c r="D58" s="6" t="s">
        <v>498</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4</v>
      </c>
      <c r="L58" s="2" t="str">
        <f>five子指标方向明细!H115</f>
        <v>B</v>
      </c>
      <c r="M58" s="2">
        <f>five子指标方向明细!I115</f>
        <v>5</v>
      </c>
      <c r="N58" s="2" t="str">
        <f>five子指标方向明细!L115</f>
        <v>B</v>
      </c>
      <c r="O58" s="2">
        <f t="shared" si="0"/>
        <v>1</v>
      </c>
      <c r="P58" s="2" t="str">
        <f t="shared" si="1"/>
        <v>B</v>
      </c>
      <c r="Q58" s="2" t="s">
        <v>22</v>
      </c>
      <c r="R58" s="2">
        <f t="shared" si="2"/>
        <v>1</v>
      </c>
      <c r="S58" s="2">
        <v>114</v>
      </c>
      <c r="T58" s="2">
        <v>115</v>
      </c>
      <c r="U58" s="2" t="str">
        <f t="shared" si="3"/>
        <v/>
      </c>
    </row>
    <row r="59" ht="23" customHeight="1" spans="1:21">
      <c r="A59" s="6" t="s">
        <v>13</v>
      </c>
      <c r="B59" s="2" t="s">
        <v>39</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22</v>
      </c>
      <c r="R59" s="2">
        <f t="shared" si="2"/>
        <v>0</v>
      </c>
      <c r="S59" s="2">
        <v>116</v>
      </c>
      <c r="T59" s="2">
        <v>117</v>
      </c>
      <c r="U59" s="2" t="str">
        <f t="shared" si="3"/>
        <v>双向评分平局</v>
      </c>
    </row>
    <row r="60" ht="23" customHeight="1" spans="1:21">
      <c r="A60" s="6" t="s">
        <v>13</v>
      </c>
      <c r="B60" s="2" t="s">
        <v>39</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22</v>
      </c>
      <c r="R60" s="2">
        <f t="shared" si="2"/>
        <v>0</v>
      </c>
      <c r="S60" s="2">
        <v>118</v>
      </c>
      <c r="T60" s="2">
        <v>119</v>
      </c>
      <c r="U60" s="2" t="str">
        <f t="shared" si="3"/>
        <v>双向评分平局</v>
      </c>
    </row>
    <row r="61" ht="23" customHeight="1" spans="1:21">
      <c r="A61" s="6" t="s">
        <v>13</v>
      </c>
      <c r="B61" s="2" t="s">
        <v>39</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22</v>
      </c>
      <c r="R61" s="2">
        <f t="shared" si="2"/>
        <v>0</v>
      </c>
      <c r="S61" s="2">
        <v>120</v>
      </c>
      <c r="T61" s="2">
        <v>121</v>
      </c>
      <c r="U61" s="2" t="str">
        <f t="shared" si="3"/>
        <v>双向评分平局</v>
      </c>
    </row>
    <row r="62" ht="23" customHeight="1" spans="1:21">
      <c r="A62" s="6" t="s">
        <v>179</v>
      </c>
      <c r="B62" s="2" t="s">
        <v>15</v>
      </c>
      <c r="C62" s="2">
        <v>1</v>
      </c>
      <c r="D62" s="6" t="s">
        <v>497</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4</v>
      </c>
      <c r="L62" s="2" t="str">
        <f>five子指标方向明细!H123</f>
        <v>A</v>
      </c>
      <c r="M62" s="2">
        <f>five子指标方向明细!I123</f>
        <v>4</v>
      </c>
      <c r="N62" s="2" t="str">
        <f>five子指标方向明细!L123</f>
        <v>D(平局)</v>
      </c>
      <c r="O62" s="2">
        <f t="shared" si="0"/>
        <v>1</v>
      </c>
      <c r="P62" s="2" t="str">
        <f t="shared" si="1"/>
        <v>D(平局)</v>
      </c>
      <c r="Q62" s="2" t="s">
        <v>22</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3</v>
      </c>
      <c r="G63" s="2" t="str">
        <f>five子指标方向明细!H124</f>
        <v>B</v>
      </c>
      <c r="H63" s="2">
        <f>five子指标方向明细!I124</f>
        <v>4</v>
      </c>
      <c r="I63" s="2" t="str">
        <f>five子指标方向明细!L124</f>
        <v>B</v>
      </c>
      <c r="J63" s="2" t="str">
        <f>five子指标方向明细!F125</f>
        <v>B</v>
      </c>
      <c r="K63" s="2">
        <f>five子指标方向明细!G125</f>
        <v>4</v>
      </c>
      <c r="L63" s="2" t="str">
        <f>five子指标方向明细!H125</f>
        <v>A</v>
      </c>
      <c r="M63" s="2">
        <f>five子指标方向明细!I125</f>
        <v>3</v>
      </c>
      <c r="N63" s="2" t="str">
        <f>five子指标方向明细!L125</f>
        <v>B</v>
      </c>
      <c r="O63" s="2">
        <f t="shared" si="0"/>
        <v>1</v>
      </c>
      <c r="P63" s="2" t="str">
        <f t="shared" si="1"/>
        <v>B</v>
      </c>
      <c r="Q63" s="2" t="s">
        <v>22</v>
      </c>
      <c r="R63" s="2">
        <f t="shared" si="2"/>
        <v>1</v>
      </c>
      <c r="S63" s="2">
        <v>124</v>
      </c>
      <c r="T63" s="2">
        <v>125</v>
      </c>
      <c r="U63" s="2" t="str">
        <f t="shared" si="3"/>
        <v/>
      </c>
    </row>
    <row r="64" ht="23" customHeight="1" spans="1:21">
      <c r="A64" s="6" t="s">
        <v>179</v>
      </c>
      <c r="B64" s="2" t="s">
        <v>15</v>
      </c>
      <c r="C64" s="2">
        <v>3</v>
      </c>
      <c r="D64" s="6" t="s">
        <v>499</v>
      </c>
      <c r="E64" s="2" t="str">
        <f>five子指标方向明细!F126</f>
        <v>A</v>
      </c>
      <c r="F64" s="2">
        <f>five子指标方向明细!G126</f>
        <v>4</v>
      </c>
      <c r="G64" s="2" t="str">
        <f>five子指标方向明细!H126</f>
        <v>B</v>
      </c>
      <c r="H64" s="2">
        <f>five子指标方向明细!I126</f>
        <v>5</v>
      </c>
      <c r="I64" s="2" t="str">
        <f>five子指标方向明细!L126</f>
        <v>B</v>
      </c>
      <c r="J64" s="2" t="str">
        <f>five子指标方向明细!F127</f>
        <v>B</v>
      </c>
      <c r="K64" s="2">
        <f>five子指标方向明细!G127</f>
        <v>5</v>
      </c>
      <c r="L64" s="2" t="str">
        <f>five子指标方向明细!H127</f>
        <v>A</v>
      </c>
      <c r="M64" s="2">
        <f>five子指标方向明细!I127</f>
        <v>4</v>
      </c>
      <c r="N64" s="2" t="str">
        <f>five子指标方向明细!L127</f>
        <v>B</v>
      </c>
      <c r="O64" s="2">
        <f t="shared" si="0"/>
        <v>1</v>
      </c>
      <c r="P64" s="2" t="str">
        <f t="shared" si="1"/>
        <v>B</v>
      </c>
      <c r="Q64" s="2" t="s">
        <v>22</v>
      </c>
      <c r="R64" s="2">
        <f t="shared" si="2"/>
        <v>1</v>
      </c>
      <c r="S64" s="2">
        <v>126</v>
      </c>
      <c r="T64" s="2">
        <v>127</v>
      </c>
      <c r="U64" s="2" t="str">
        <f t="shared" si="3"/>
        <v/>
      </c>
    </row>
    <row r="65" ht="23" customHeight="1" spans="1:21">
      <c r="A65" s="6" t="s">
        <v>179</v>
      </c>
      <c r="B65" s="2" t="s">
        <v>15</v>
      </c>
      <c r="C65" s="2">
        <v>4</v>
      </c>
      <c r="D65" s="6" t="s">
        <v>500</v>
      </c>
      <c r="E65" s="2" t="str">
        <f>five子指标方向明细!F128</f>
        <v>A</v>
      </c>
      <c r="F65" s="2">
        <f>five子指标方向明细!G128</f>
        <v>4</v>
      </c>
      <c r="G65" s="2" t="str">
        <f>five子指标方向明细!H128</f>
        <v>B</v>
      </c>
      <c r="H65" s="2">
        <f>five子指标方向明细!I128</f>
        <v>5</v>
      </c>
      <c r="I65" s="2" t="str">
        <f>five子指标方向明细!L128</f>
        <v>B</v>
      </c>
      <c r="J65" s="2" t="str">
        <f>five子指标方向明细!F129</f>
        <v>B</v>
      </c>
      <c r="K65" s="2">
        <f>five子指标方向明细!G129</f>
        <v>4</v>
      </c>
      <c r="L65" s="2" t="str">
        <f>five子指标方向明细!H129</f>
        <v>A</v>
      </c>
      <c r="M65" s="2">
        <f>five子指标方向明细!I129</f>
        <v>4</v>
      </c>
      <c r="N65" s="2" t="str">
        <f>five子指标方向明细!L129</f>
        <v>D(平局)</v>
      </c>
      <c r="O65" s="2">
        <f t="shared" si="0"/>
        <v>0</v>
      </c>
      <c r="P65" s="2" t="str">
        <f t="shared" si="1"/>
        <v>D(平局)</v>
      </c>
      <c r="Q65" s="2" t="s">
        <v>22</v>
      </c>
      <c r="R65" s="2">
        <f t="shared" si="2"/>
        <v>0</v>
      </c>
      <c r="S65" s="2">
        <v>128</v>
      </c>
      <c r="T65" s="2">
        <v>129</v>
      </c>
      <c r="U65" s="2" t="str">
        <f t="shared" si="3"/>
        <v>方向冲突</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22</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31</v>
      </c>
      <c r="C67" s="2">
        <v>1</v>
      </c>
      <c r="D67" s="6" t="s">
        <v>497</v>
      </c>
      <c r="E67" s="2" t="str">
        <f>five子指标方向明细!F132</f>
        <v>A</v>
      </c>
      <c r="F67" s="2">
        <f>five子指标方向明细!G132</f>
        <v>4</v>
      </c>
      <c r="G67" s="2" t="str">
        <f>five子指标方向明细!H132</f>
        <v>C</v>
      </c>
      <c r="H67" s="2">
        <f>five子指标方向明细!I132</f>
        <v>4</v>
      </c>
      <c r="I67" s="2" t="str">
        <f>five子指标方向明细!L132</f>
        <v>D(平局)</v>
      </c>
      <c r="J67" s="2" t="str">
        <f>five子指标方向明细!F133</f>
        <v>C</v>
      </c>
      <c r="K67" s="2">
        <f>five子指标方向明细!G133</f>
        <v>5</v>
      </c>
      <c r="L67" s="2" t="str">
        <f>five子指标方向明细!H133</f>
        <v>A</v>
      </c>
      <c r="M67" s="2">
        <f>five子指标方向明细!I133</f>
        <v>5</v>
      </c>
      <c r="N67" s="2" t="str">
        <f>five子指标方向明细!L133</f>
        <v>D(平局)</v>
      </c>
      <c r="O67" s="2">
        <f t="shared" si="4"/>
        <v>1</v>
      </c>
      <c r="P67" s="2" t="str">
        <f t="shared" si="5"/>
        <v>D(平局)</v>
      </c>
      <c r="Q67" s="2" t="s">
        <v>34</v>
      </c>
      <c r="R67" s="2">
        <f t="shared" si="6"/>
        <v>0</v>
      </c>
      <c r="S67" s="2">
        <v>132</v>
      </c>
      <c r="T67" s="2">
        <v>133</v>
      </c>
      <c r="U67" s="2" t="str">
        <f t="shared" si="7"/>
        <v>双向评分平局</v>
      </c>
    </row>
    <row r="68" ht="23" customHeight="1" spans="1:21">
      <c r="A68" s="6" t="s">
        <v>179</v>
      </c>
      <c r="B68" s="2" t="s">
        <v>31</v>
      </c>
      <c r="C68" s="2">
        <v>2</v>
      </c>
      <c r="D68" s="6" t="s">
        <v>498</v>
      </c>
      <c r="E68" s="2" t="str">
        <f>five子指标方向明细!F134</f>
        <v>A</v>
      </c>
      <c r="F68" s="2">
        <f>five子指标方向明细!G134</f>
        <v>4</v>
      </c>
      <c r="G68" s="2" t="str">
        <f>five子指标方向明细!H134</f>
        <v>C</v>
      </c>
      <c r="H68" s="2">
        <f>five子指标方向明细!I134</f>
        <v>3</v>
      </c>
      <c r="I68" s="2" t="str">
        <f>five子指标方向明细!L134</f>
        <v>A</v>
      </c>
      <c r="J68" s="2" t="str">
        <f>five子指标方向明细!F135</f>
        <v>C</v>
      </c>
      <c r="K68" s="2">
        <f>five子指标方向明细!G135</f>
        <v>4</v>
      </c>
      <c r="L68" s="2" t="str">
        <f>five子指标方向明细!H135</f>
        <v>A</v>
      </c>
      <c r="M68" s="2">
        <f>five子指标方向明细!I135</f>
        <v>3</v>
      </c>
      <c r="N68" s="2" t="str">
        <f>five子指标方向明细!L135</f>
        <v>C</v>
      </c>
      <c r="O68" s="2">
        <f t="shared" si="4"/>
        <v>0</v>
      </c>
      <c r="P68" s="2" t="str">
        <f t="shared" si="5"/>
        <v>D(平局)</v>
      </c>
      <c r="Q68" s="2" t="s">
        <v>34</v>
      </c>
      <c r="R68" s="2">
        <f t="shared" si="6"/>
        <v>0</v>
      </c>
      <c r="S68" s="2">
        <v>134</v>
      </c>
      <c r="T68" s="2">
        <v>135</v>
      </c>
      <c r="U68" s="2" t="str">
        <f t="shared" si="7"/>
        <v>方向冲突</v>
      </c>
    </row>
    <row r="69" ht="23" customHeight="1" spans="1:21">
      <c r="A69" s="6" t="s">
        <v>179</v>
      </c>
      <c r="B69" s="2" t="s">
        <v>31</v>
      </c>
      <c r="C69" s="2">
        <v>3</v>
      </c>
      <c r="D69" s="6" t="s">
        <v>499</v>
      </c>
      <c r="E69" s="2" t="str">
        <f>five子指标方向明细!F136</f>
        <v>A</v>
      </c>
      <c r="F69" s="2">
        <f>five子指标方向明细!G136</f>
        <v>4</v>
      </c>
      <c r="G69" s="2" t="str">
        <f>five子指标方向明细!H136</f>
        <v>C</v>
      </c>
      <c r="H69" s="2">
        <f>five子指标方向明细!I136</f>
        <v>5</v>
      </c>
      <c r="I69" s="2" t="str">
        <f>five子指标方向明细!L136</f>
        <v>C</v>
      </c>
      <c r="J69" s="2" t="str">
        <f>five子指标方向明细!F137</f>
        <v>C</v>
      </c>
      <c r="K69" s="2">
        <f>five子指标方向明细!G137</f>
        <v>5</v>
      </c>
      <c r="L69" s="2" t="str">
        <f>five子指标方向明细!H137</f>
        <v>A</v>
      </c>
      <c r="M69" s="2">
        <f>five子指标方向明细!I137</f>
        <v>4</v>
      </c>
      <c r="N69" s="2" t="str">
        <f>five子指标方向明细!L137</f>
        <v>C</v>
      </c>
      <c r="O69" s="2">
        <f t="shared" si="4"/>
        <v>1</v>
      </c>
      <c r="P69" s="2" t="str">
        <f t="shared" si="5"/>
        <v>C</v>
      </c>
      <c r="Q69" s="2" t="s">
        <v>34</v>
      </c>
      <c r="R69" s="2">
        <f t="shared" si="6"/>
        <v>0</v>
      </c>
      <c r="S69" s="2">
        <v>136</v>
      </c>
      <c r="T69" s="2">
        <v>137</v>
      </c>
      <c r="U69" s="2" t="str">
        <f t="shared" si="7"/>
        <v/>
      </c>
    </row>
    <row r="70" ht="23" customHeight="1" spans="1:21">
      <c r="A70" s="6" t="s">
        <v>179</v>
      </c>
      <c r="B70" s="2" t="s">
        <v>31</v>
      </c>
      <c r="C70" s="2">
        <v>4</v>
      </c>
      <c r="D70" s="6" t="s">
        <v>500</v>
      </c>
      <c r="E70" s="2" t="str">
        <f>five子指标方向明细!F138</f>
        <v>A</v>
      </c>
      <c r="F70" s="2">
        <f>five子指标方向明细!G138</f>
        <v>4</v>
      </c>
      <c r="G70" s="2" t="str">
        <f>five子指标方向明细!H138</f>
        <v>C</v>
      </c>
      <c r="H70" s="2">
        <f>five子指标方向明细!I138</f>
        <v>4</v>
      </c>
      <c r="I70" s="2" t="str">
        <f>five子指标方向明细!L138</f>
        <v>D(平局)</v>
      </c>
      <c r="J70" s="2" t="str">
        <f>five子指标方向明细!F139</f>
        <v>C</v>
      </c>
      <c r="K70" s="2">
        <f>five子指标方向明细!G139</f>
        <v>5</v>
      </c>
      <c r="L70" s="2" t="str">
        <f>five子指标方向明细!H139</f>
        <v>A</v>
      </c>
      <c r="M70" s="2">
        <f>five子指标方向明细!I139</f>
        <v>4</v>
      </c>
      <c r="N70" s="2" t="str">
        <f>five子指标方向明细!L139</f>
        <v>C</v>
      </c>
      <c r="O70" s="2">
        <f t="shared" si="4"/>
        <v>0</v>
      </c>
      <c r="P70" s="2" t="str">
        <f t="shared" si="5"/>
        <v>D(平局)</v>
      </c>
      <c r="Q70" s="2" t="s">
        <v>34</v>
      </c>
      <c r="R70" s="2">
        <f t="shared" si="6"/>
        <v>0</v>
      </c>
      <c r="S70" s="2">
        <v>138</v>
      </c>
      <c r="T70" s="2">
        <v>139</v>
      </c>
      <c r="U70" s="2" t="str">
        <f t="shared" si="7"/>
        <v>方向冲突</v>
      </c>
    </row>
    <row r="71" ht="23" customHeight="1" spans="1:21">
      <c r="A71" s="6" t="s">
        <v>179</v>
      </c>
      <c r="B71" s="2" t="s">
        <v>31</v>
      </c>
      <c r="C71" s="2">
        <v>5</v>
      </c>
      <c r="D71" s="6" t="s">
        <v>501</v>
      </c>
      <c r="E71" s="2" t="str">
        <f>five子指标方向明细!F140</f>
        <v>A</v>
      </c>
      <c r="F71" s="2">
        <f>five子指标方向明细!G140</f>
        <v>5</v>
      </c>
      <c r="G71" s="2" t="str">
        <f>five子指标方向明细!H140</f>
        <v>C</v>
      </c>
      <c r="H71" s="2">
        <f>five子指标方向明细!I140</f>
        <v>5</v>
      </c>
      <c r="I71" s="2" t="str">
        <f>five子指标方向明细!L140</f>
        <v>D(平局)</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1</v>
      </c>
      <c r="P71" s="2" t="str">
        <f t="shared" si="5"/>
        <v>D(平局)</v>
      </c>
      <c r="Q71" s="2" t="s">
        <v>34</v>
      </c>
      <c r="R71" s="2">
        <f t="shared" si="6"/>
        <v>0</v>
      </c>
      <c r="S71" s="2">
        <v>140</v>
      </c>
      <c r="T71" s="2">
        <v>141</v>
      </c>
      <c r="U71" s="2" t="str">
        <f t="shared" si="7"/>
        <v>双向评分平局</v>
      </c>
    </row>
    <row r="72" ht="23" customHeight="1" spans="1:21">
      <c r="A72" s="6" t="s">
        <v>179</v>
      </c>
      <c r="B72" s="2" t="s">
        <v>39</v>
      </c>
      <c r="C72" s="2">
        <v>1</v>
      </c>
      <c r="D72" s="6" t="s">
        <v>497</v>
      </c>
      <c r="E72" s="2" t="str">
        <f>five子指标方向明细!F142</f>
        <v>B</v>
      </c>
      <c r="F72" s="2">
        <f>five子指标方向明细!G142</f>
        <v>4</v>
      </c>
      <c r="G72" s="2" t="str">
        <f>five子指标方向明细!H142</f>
        <v>C</v>
      </c>
      <c r="H72" s="2">
        <f>five子指标方向明细!I142</f>
        <v>4</v>
      </c>
      <c r="I72" s="2" t="str">
        <f>five子指标方向明细!L142</f>
        <v>D(平局)</v>
      </c>
      <c r="J72" s="2" t="str">
        <f>five子指标方向明细!F143</f>
        <v>C</v>
      </c>
      <c r="K72" s="2">
        <f>five子指标方向明细!G143</f>
        <v>4</v>
      </c>
      <c r="L72" s="2" t="str">
        <f>five子指标方向明细!H143</f>
        <v>B</v>
      </c>
      <c r="M72" s="2">
        <f>five子指标方向明细!I143</f>
        <v>5</v>
      </c>
      <c r="N72" s="2" t="str">
        <f>five子指标方向明细!L143</f>
        <v>B</v>
      </c>
      <c r="O72" s="2">
        <f t="shared" si="4"/>
        <v>0</v>
      </c>
      <c r="P72" s="2" t="str">
        <f t="shared" si="5"/>
        <v>D(平局)</v>
      </c>
      <c r="Q72" s="2" t="s">
        <v>22</v>
      </c>
      <c r="R72" s="2">
        <f t="shared" si="6"/>
        <v>0</v>
      </c>
      <c r="S72" s="2">
        <v>142</v>
      </c>
      <c r="T72" s="2">
        <v>143</v>
      </c>
      <c r="U72" s="2" t="str">
        <f t="shared" si="7"/>
        <v>方向冲突</v>
      </c>
    </row>
    <row r="73" ht="23" customHeight="1" spans="1:21">
      <c r="A73" s="6" t="s">
        <v>179</v>
      </c>
      <c r="B73" s="2" t="s">
        <v>39</v>
      </c>
      <c r="C73" s="2">
        <v>2</v>
      </c>
      <c r="D73" s="6" t="s">
        <v>498</v>
      </c>
      <c r="E73" s="2" t="str">
        <f>five子指标方向明细!F144</f>
        <v>B</v>
      </c>
      <c r="F73" s="2">
        <f>five子指标方向明细!G144</f>
        <v>4</v>
      </c>
      <c r="G73" s="2" t="str">
        <f>five子指标方向明细!H144</f>
        <v>C</v>
      </c>
      <c r="H73" s="2">
        <f>five子指标方向明细!I144</f>
        <v>4</v>
      </c>
      <c r="I73" s="2" t="str">
        <f>five子指标方向明细!L144</f>
        <v>D(平局)</v>
      </c>
      <c r="J73" s="2" t="str">
        <f>five子指标方向明细!F145</f>
        <v>C</v>
      </c>
      <c r="K73" s="2">
        <f>five子指标方向明细!G145</f>
        <v>3</v>
      </c>
      <c r="L73" s="2" t="str">
        <f>five子指标方向明细!H145</f>
        <v>B</v>
      </c>
      <c r="M73" s="2">
        <f>five子指标方向明细!I145</f>
        <v>4</v>
      </c>
      <c r="N73" s="2" t="str">
        <f>five子指标方向明细!L145</f>
        <v>B</v>
      </c>
      <c r="O73" s="2">
        <f t="shared" si="4"/>
        <v>0</v>
      </c>
      <c r="P73" s="2" t="str">
        <f t="shared" si="5"/>
        <v>D(平局)</v>
      </c>
      <c r="Q73" s="2" t="s">
        <v>22</v>
      </c>
      <c r="R73" s="2">
        <f t="shared" si="6"/>
        <v>0</v>
      </c>
      <c r="S73" s="2">
        <v>144</v>
      </c>
      <c r="T73" s="2">
        <v>145</v>
      </c>
      <c r="U73" s="2" t="str">
        <f t="shared" si="7"/>
        <v>方向冲突</v>
      </c>
    </row>
    <row r="74" ht="23" customHeight="1" spans="1:21">
      <c r="A74" s="6" t="s">
        <v>179</v>
      </c>
      <c r="B74" s="2" t="s">
        <v>39</v>
      </c>
      <c r="C74" s="2">
        <v>3</v>
      </c>
      <c r="D74" s="6" t="s">
        <v>499</v>
      </c>
      <c r="E74" s="2" t="str">
        <f>five子指标方向明细!F146</f>
        <v>B</v>
      </c>
      <c r="F74" s="2">
        <f>five子指标方向明细!G146</f>
        <v>5</v>
      </c>
      <c r="G74" s="2" t="str">
        <f>five子指标方向明细!H146</f>
        <v>C</v>
      </c>
      <c r="H74" s="2">
        <f>five子指标方向明细!I146</f>
        <v>4</v>
      </c>
      <c r="I74" s="2" t="str">
        <f>five子指标方向明细!L146</f>
        <v>B</v>
      </c>
      <c r="J74" s="2" t="str">
        <f>five子指标方向明细!F147</f>
        <v>C</v>
      </c>
      <c r="K74" s="2">
        <f>five子指标方向明细!G147</f>
        <v>4</v>
      </c>
      <c r="L74" s="2" t="str">
        <f>five子指标方向明细!H147</f>
        <v>B</v>
      </c>
      <c r="M74" s="2">
        <f>five子指标方向明细!I147</f>
        <v>5</v>
      </c>
      <c r="N74" s="2" t="str">
        <f>five子指标方向明细!L147</f>
        <v>B</v>
      </c>
      <c r="O74" s="2">
        <f t="shared" si="4"/>
        <v>1</v>
      </c>
      <c r="P74" s="2" t="str">
        <f t="shared" si="5"/>
        <v>B</v>
      </c>
      <c r="Q74" s="2" t="s">
        <v>22</v>
      </c>
      <c r="R74" s="2">
        <f t="shared" si="6"/>
        <v>1</v>
      </c>
      <c r="S74" s="2">
        <v>146</v>
      </c>
      <c r="T74" s="2">
        <v>147</v>
      </c>
      <c r="U74" s="2" t="str">
        <f t="shared" si="7"/>
        <v/>
      </c>
    </row>
    <row r="75" ht="23" customHeight="1" spans="1:21">
      <c r="A75" s="6" t="s">
        <v>179</v>
      </c>
      <c r="B75" s="2" t="s">
        <v>39</v>
      </c>
      <c r="C75" s="2">
        <v>4</v>
      </c>
      <c r="D75" s="6" t="s">
        <v>500</v>
      </c>
      <c r="E75" s="2" t="str">
        <f>five子指标方向明细!F148</f>
        <v>B</v>
      </c>
      <c r="F75" s="2">
        <f>five子指标方向明细!G148</f>
        <v>4</v>
      </c>
      <c r="G75" s="2" t="str">
        <f>five子指标方向明细!H148</f>
        <v>C</v>
      </c>
      <c r="H75" s="2">
        <f>five子指标方向明细!I148</f>
        <v>4</v>
      </c>
      <c r="I75" s="2" t="str">
        <f>five子指标方向明细!L148</f>
        <v>D(平局)</v>
      </c>
      <c r="J75" s="2" t="str">
        <f>five子指标方向明细!F149</f>
        <v>C</v>
      </c>
      <c r="K75" s="2">
        <f>five子指标方向明细!G149</f>
        <v>5</v>
      </c>
      <c r="L75" s="2" t="str">
        <f>five子指标方向明细!H149</f>
        <v>B</v>
      </c>
      <c r="M75" s="2">
        <f>five子指标方向明细!I149</f>
        <v>4</v>
      </c>
      <c r="N75" s="2" t="str">
        <f>five子指标方向明细!L149</f>
        <v>C</v>
      </c>
      <c r="O75" s="2">
        <f t="shared" si="4"/>
        <v>0</v>
      </c>
      <c r="P75" s="2" t="str">
        <f t="shared" si="5"/>
        <v>D(平局)</v>
      </c>
      <c r="Q75" s="2" t="s">
        <v>22</v>
      </c>
      <c r="R75" s="2">
        <f t="shared" si="6"/>
        <v>0</v>
      </c>
      <c r="S75" s="2">
        <v>148</v>
      </c>
      <c r="T75" s="2">
        <v>149</v>
      </c>
      <c r="U75" s="2" t="str">
        <f t="shared" si="7"/>
        <v>方向冲突</v>
      </c>
    </row>
    <row r="76" ht="23" customHeight="1" spans="1:21">
      <c r="A76" s="6" t="s">
        <v>179</v>
      </c>
      <c r="B76" s="2" t="s">
        <v>39</v>
      </c>
      <c r="C76" s="2">
        <v>5</v>
      </c>
      <c r="D76" s="6" t="s">
        <v>501</v>
      </c>
      <c r="E76" s="2" t="str">
        <f>five子指标方向明细!F150</f>
        <v>B</v>
      </c>
      <c r="F76" s="2">
        <f>five子指标方向明细!G150</f>
        <v>4</v>
      </c>
      <c r="G76" s="2" t="str">
        <f>five子指标方向明细!H150</f>
        <v>C</v>
      </c>
      <c r="H76" s="2">
        <f>five子指标方向明细!I150</f>
        <v>4</v>
      </c>
      <c r="I76" s="2" t="str">
        <f>five子指标方向明细!L150</f>
        <v>D(平局)</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1</v>
      </c>
      <c r="P76" s="2" t="str">
        <f t="shared" si="5"/>
        <v>D(平局)</v>
      </c>
      <c r="Q76" s="2" t="s">
        <v>22</v>
      </c>
      <c r="R76" s="2">
        <f t="shared" si="6"/>
        <v>0</v>
      </c>
      <c r="S76" s="2">
        <v>150</v>
      </c>
      <c r="T76" s="2">
        <v>151</v>
      </c>
      <c r="U76" s="2" t="str">
        <f t="shared" si="7"/>
        <v>双向评分平局</v>
      </c>
    </row>
    <row r="77" ht="23" customHeight="1" spans="1:21">
      <c r="A77" s="6" t="s">
        <v>103</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34</v>
      </c>
      <c r="R77" s="2">
        <f t="shared" si="6"/>
        <v>0</v>
      </c>
      <c r="S77" s="2">
        <v>152</v>
      </c>
      <c r="T77" s="2">
        <v>153</v>
      </c>
      <c r="U77" s="2" t="str">
        <f t="shared" si="7"/>
        <v>双向评分平局</v>
      </c>
    </row>
    <row r="78" ht="23" customHeight="1" spans="1:21">
      <c r="A78" s="6" t="s">
        <v>103</v>
      </c>
      <c r="B78" s="2" t="s">
        <v>15</v>
      </c>
      <c r="C78" s="2">
        <v>2</v>
      </c>
      <c r="D78" s="6" t="s">
        <v>498</v>
      </c>
      <c r="E78" s="2" t="str">
        <f>five子指标方向明细!F154</f>
        <v>A</v>
      </c>
      <c r="F78" s="2">
        <f>five子指标方向明细!G154</f>
        <v>4</v>
      </c>
      <c r="G78" s="2" t="str">
        <f>five子指标方向明细!H154</f>
        <v>B</v>
      </c>
      <c r="H78" s="2">
        <f>five子指标方向明细!I154</f>
        <v>4</v>
      </c>
      <c r="I78" s="2" t="str">
        <f>five子指标方向明细!L154</f>
        <v>D(平局)</v>
      </c>
      <c r="J78" s="2" t="str">
        <f>five子指标方向明细!F155</f>
        <v>B</v>
      </c>
      <c r="K78" s="2">
        <f>five子指标方向明细!G155</f>
        <v>4</v>
      </c>
      <c r="L78" s="2" t="str">
        <f>five子指标方向明细!H155</f>
        <v>A</v>
      </c>
      <c r="M78" s="2">
        <f>five子指标方向明细!I155</f>
        <v>4</v>
      </c>
      <c r="N78" s="2" t="str">
        <f>five子指标方向明细!L155</f>
        <v>D(平局)</v>
      </c>
      <c r="O78" s="2">
        <f t="shared" si="4"/>
        <v>1</v>
      </c>
      <c r="P78" s="2" t="str">
        <f t="shared" si="5"/>
        <v>D(平局)</v>
      </c>
      <c r="Q78" s="2" t="s">
        <v>34</v>
      </c>
      <c r="R78" s="2">
        <f t="shared" si="6"/>
        <v>0</v>
      </c>
      <c r="S78" s="2">
        <v>154</v>
      </c>
      <c r="T78" s="2">
        <v>155</v>
      </c>
      <c r="U78" s="2" t="str">
        <f t="shared" si="7"/>
        <v>双向评分平局</v>
      </c>
    </row>
    <row r="79" ht="23" customHeight="1" spans="1:21">
      <c r="A79" s="6" t="s">
        <v>103</v>
      </c>
      <c r="B79" s="2" t="s">
        <v>15</v>
      </c>
      <c r="C79" s="2">
        <v>3</v>
      </c>
      <c r="D79" s="6" t="s">
        <v>499</v>
      </c>
      <c r="E79" s="2" t="str">
        <f>five子指标方向明细!F156</f>
        <v>A</v>
      </c>
      <c r="F79" s="2">
        <f>five子指标方向明细!G156</f>
        <v>4</v>
      </c>
      <c r="G79" s="2" t="str">
        <f>five子指标方向明细!H156</f>
        <v>B</v>
      </c>
      <c r="H79" s="2">
        <f>five子指标方向明细!I156</f>
        <v>4</v>
      </c>
      <c r="I79" s="2" t="str">
        <f>five子指标方向明细!L156</f>
        <v>D(平局)</v>
      </c>
      <c r="J79" s="2" t="str">
        <f>five子指标方向明细!F157</f>
        <v>B</v>
      </c>
      <c r="K79" s="2">
        <f>five子指标方向明细!G157</f>
        <v>5</v>
      </c>
      <c r="L79" s="2" t="str">
        <f>five子指标方向明细!H157</f>
        <v>A</v>
      </c>
      <c r="M79" s="2">
        <f>five子指标方向明细!I157</f>
        <v>4</v>
      </c>
      <c r="N79" s="2" t="str">
        <f>five子指标方向明细!L157</f>
        <v>B</v>
      </c>
      <c r="O79" s="2">
        <f t="shared" si="4"/>
        <v>0</v>
      </c>
      <c r="P79" s="2" t="str">
        <f t="shared" si="5"/>
        <v>D(平局)</v>
      </c>
      <c r="Q79" s="2" t="s">
        <v>34</v>
      </c>
      <c r="R79" s="2">
        <f t="shared" si="6"/>
        <v>0</v>
      </c>
      <c r="S79" s="2">
        <v>156</v>
      </c>
      <c r="T79" s="2">
        <v>157</v>
      </c>
      <c r="U79" s="2" t="str">
        <f t="shared" si="7"/>
        <v>方向冲突</v>
      </c>
    </row>
    <row r="80" ht="23" customHeight="1" spans="1:21">
      <c r="A80" s="6" t="s">
        <v>103</v>
      </c>
      <c r="B80" s="2" t="s">
        <v>15</v>
      </c>
      <c r="C80" s="2">
        <v>4</v>
      </c>
      <c r="D80" s="6" t="s">
        <v>500</v>
      </c>
      <c r="E80" s="2" t="str">
        <f>five子指标方向明细!F158</f>
        <v>A</v>
      </c>
      <c r="F80" s="2">
        <f>five子指标方向明细!G158</f>
        <v>4</v>
      </c>
      <c r="G80" s="2" t="str">
        <f>five子指标方向明细!H158</f>
        <v>B</v>
      </c>
      <c r="H80" s="2">
        <f>five子指标方向明细!I158</f>
        <v>4</v>
      </c>
      <c r="I80" s="2" t="str">
        <f>five子指标方向明细!L158</f>
        <v>D(平局)</v>
      </c>
      <c r="J80" s="2" t="str">
        <f>five子指标方向明细!F159</f>
        <v>B</v>
      </c>
      <c r="K80" s="2">
        <f>five子指标方向明细!G159</f>
        <v>5</v>
      </c>
      <c r="L80" s="2" t="str">
        <f>five子指标方向明细!H159</f>
        <v>A</v>
      </c>
      <c r="M80" s="2">
        <f>five子指标方向明细!I159</f>
        <v>4</v>
      </c>
      <c r="N80" s="2" t="str">
        <f>five子指标方向明细!L159</f>
        <v>B</v>
      </c>
      <c r="O80" s="2">
        <f t="shared" si="4"/>
        <v>0</v>
      </c>
      <c r="P80" s="2" t="str">
        <f t="shared" si="5"/>
        <v>D(平局)</v>
      </c>
      <c r="Q80" s="2" t="s">
        <v>34</v>
      </c>
      <c r="R80" s="2">
        <f t="shared" si="6"/>
        <v>0</v>
      </c>
      <c r="S80" s="2">
        <v>158</v>
      </c>
      <c r="T80" s="2">
        <v>159</v>
      </c>
      <c r="U80" s="2" t="str">
        <f t="shared" si="7"/>
        <v>方向冲突</v>
      </c>
    </row>
    <row r="81" ht="23" customHeight="1" spans="1:21">
      <c r="A81" s="6" t="s">
        <v>103</v>
      </c>
      <c r="B81" s="2" t="s">
        <v>15</v>
      </c>
      <c r="C81" s="2">
        <v>5</v>
      </c>
      <c r="D81" s="6" t="s">
        <v>501</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34</v>
      </c>
      <c r="R81" s="2">
        <f t="shared" si="6"/>
        <v>0</v>
      </c>
      <c r="S81" s="2">
        <v>160</v>
      </c>
      <c r="T81" s="2">
        <v>161</v>
      </c>
      <c r="U81" s="2" t="str">
        <f t="shared" si="7"/>
        <v>双向评分平局</v>
      </c>
    </row>
    <row r="82" ht="23" customHeight="1" spans="1:21">
      <c r="A82" s="6" t="s">
        <v>103</v>
      </c>
      <c r="B82" s="2" t="s">
        <v>31</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34</v>
      </c>
      <c r="R82" s="2">
        <f t="shared" si="6"/>
        <v>0</v>
      </c>
      <c r="S82" s="2">
        <v>162</v>
      </c>
      <c r="T82" s="2">
        <v>163</v>
      </c>
      <c r="U82" s="2" t="str">
        <f t="shared" si="7"/>
        <v>双向评分平局</v>
      </c>
    </row>
    <row r="83" ht="23" customHeight="1" spans="1:21">
      <c r="A83" s="6" t="s">
        <v>103</v>
      </c>
      <c r="B83" s="2" t="s">
        <v>31</v>
      </c>
      <c r="C83" s="2">
        <v>2</v>
      </c>
      <c r="D83" s="6" t="s">
        <v>498</v>
      </c>
      <c r="E83" s="2" t="str">
        <f>five子指标方向明细!F164</f>
        <v>A</v>
      </c>
      <c r="F83" s="2">
        <f>five子指标方向明细!G164</f>
        <v>4</v>
      </c>
      <c r="G83" s="2" t="str">
        <f>five子指标方向明细!H164</f>
        <v>C</v>
      </c>
      <c r="H83" s="2">
        <f>five子指标方向明细!I164</f>
        <v>2</v>
      </c>
      <c r="I83" s="2" t="str">
        <f>five子指标方向明细!L164</f>
        <v>A</v>
      </c>
      <c r="J83" s="2" t="str">
        <f>five子指标方向明细!F165</f>
        <v>C</v>
      </c>
      <c r="K83" s="2">
        <f>five子指标方向明细!G165</f>
        <v>3</v>
      </c>
      <c r="L83" s="2" t="str">
        <f>five子指标方向明细!H165</f>
        <v>A</v>
      </c>
      <c r="M83" s="2">
        <f>five子指标方向明细!I165</f>
        <v>4</v>
      </c>
      <c r="N83" s="2" t="str">
        <f>five子指标方向明细!L165</f>
        <v>A</v>
      </c>
      <c r="O83" s="2">
        <f t="shared" si="4"/>
        <v>1</v>
      </c>
      <c r="P83" s="2" t="str">
        <f t="shared" si="5"/>
        <v>A</v>
      </c>
      <c r="Q83" s="2" t="s">
        <v>34</v>
      </c>
      <c r="R83" s="2">
        <f t="shared" si="6"/>
        <v>1</v>
      </c>
      <c r="S83" s="2">
        <v>164</v>
      </c>
      <c r="T83" s="2">
        <v>165</v>
      </c>
      <c r="U83" s="2" t="str">
        <f t="shared" si="7"/>
        <v/>
      </c>
    </row>
    <row r="84" ht="23" customHeight="1" spans="1:21">
      <c r="A84" s="6" t="s">
        <v>103</v>
      </c>
      <c r="B84" s="2" t="s">
        <v>31</v>
      </c>
      <c r="C84" s="2">
        <v>3</v>
      </c>
      <c r="D84" s="6" t="s">
        <v>499</v>
      </c>
      <c r="E84" s="2" t="str">
        <f>five子指标方向明细!F166</f>
        <v>A</v>
      </c>
      <c r="F84" s="2">
        <f>five子指标方向明细!G166</f>
        <v>5</v>
      </c>
      <c r="G84" s="2" t="str">
        <f>five子指标方向明细!H166</f>
        <v>C</v>
      </c>
      <c r="H84" s="2">
        <f>five子指标方向明细!I166</f>
        <v>4</v>
      </c>
      <c r="I84" s="2" t="str">
        <f>five子指标方向明细!L166</f>
        <v>A</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0</v>
      </c>
      <c r="P84" s="2" t="str">
        <f t="shared" si="5"/>
        <v>D(平局)</v>
      </c>
      <c r="Q84" s="2" t="s">
        <v>34</v>
      </c>
      <c r="R84" s="2">
        <f t="shared" si="6"/>
        <v>0</v>
      </c>
      <c r="S84" s="2">
        <v>166</v>
      </c>
      <c r="T84" s="2">
        <v>167</v>
      </c>
      <c r="U84" s="2" t="str">
        <f t="shared" si="7"/>
        <v>方向冲突</v>
      </c>
    </row>
    <row r="85" ht="23" customHeight="1" spans="1:21">
      <c r="A85" s="6" t="s">
        <v>103</v>
      </c>
      <c r="B85" s="2" t="s">
        <v>31</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34</v>
      </c>
      <c r="R85" s="2">
        <f t="shared" si="6"/>
        <v>0</v>
      </c>
      <c r="S85" s="2">
        <v>168</v>
      </c>
      <c r="T85" s="2">
        <v>169</v>
      </c>
      <c r="U85" s="2" t="str">
        <f t="shared" si="7"/>
        <v>双向评分平局</v>
      </c>
    </row>
    <row r="86" ht="23" customHeight="1" spans="1:21">
      <c r="A86" s="6" t="s">
        <v>103</v>
      </c>
      <c r="B86" s="2" t="s">
        <v>31</v>
      </c>
      <c r="C86" s="2">
        <v>5</v>
      </c>
      <c r="D86" s="6" t="s">
        <v>501</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34</v>
      </c>
      <c r="R86" s="2">
        <f t="shared" si="6"/>
        <v>0</v>
      </c>
      <c r="S86" s="2">
        <v>170</v>
      </c>
      <c r="T86" s="2">
        <v>171</v>
      </c>
      <c r="U86" s="2" t="str">
        <f t="shared" si="7"/>
        <v>双向评分平局</v>
      </c>
    </row>
    <row r="87" ht="23" customHeight="1" spans="1:21">
      <c r="A87" s="6" t="s">
        <v>103</v>
      </c>
      <c r="B87" s="2" t="s">
        <v>39</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22</v>
      </c>
      <c r="R87" s="2">
        <f t="shared" si="6"/>
        <v>0</v>
      </c>
      <c r="S87" s="2">
        <v>172</v>
      </c>
      <c r="T87" s="2">
        <v>173</v>
      </c>
      <c r="U87" s="2" t="str">
        <f t="shared" si="7"/>
        <v>双向评分平局</v>
      </c>
    </row>
    <row r="88" ht="23" customHeight="1" spans="1:21">
      <c r="A88" s="6" t="s">
        <v>103</v>
      </c>
      <c r="B88" s="2" t="s">
        <v>39</v>
      </c>
      <c r="C88" s="2">
        <v>2</v>
      </c>
      <c r="D88" s="6" t="s">
        <v>498</v>
      </c>
      <c r="E88" s="2" t="str">
        <f>five子指标方向明细!F174</f>
        <v>B</v>
      </c>
      <c r="F88" s="2">
        <f>five子指标方向明细!G174</f>
        <v>4</v>
      </c>
      <c r="G88" s="2" t="str">
        <f>five子指标方向明细!H174</f>
        <v>C</v>
      </c>
      <c r="H88" s="2">
        <f>five子指标方向明细!I174</f>
        <v>3</v>
      </c>
      <c r="I88" s="2" t="str">
        <f>five子指标方向明细!L174</f>
        <v>B</v>
      </c>
      <c r="J88" s="2" t="str">
        <f>five子指标方向明细!F175</f>
        <v>C</v>
      </c>
      <c r="K88" s="2">
        <f>five子指标方向明细!G175</f>
        <v>2</v>
      </c>
      <c r="L88" s="2" t="str">
        <f>five子指标方向明细!H175</f>
        <v>B</v>
      </c>
      <c r="M88" s="2">
        <f>five子指标方向明细!I175</f>
        <v>4</v>
      </c>
      <c r="N88" s="2" t="str">
        <f>five子指标方向明细!L175</f>
        <v>B</v>
      </c>
      <c r="O88" s="2">
        <f t="shared" si="4"/>
        <v>1</v>
      </c>
      <c r="P88" s="2" t="str">
        <f t="shared" si="5"/>
        <v>B</v>
      </c>
      <c r="Q88" s="2" t="s">
        <v>22</v>
      </c>
      <c r="R88" s="2">
        <f t="shared" si="6"/>
        <v>1</v>
      </c>
      <c r="S88" s="2">
        <v>174</v>
      </c>
      <c r="T88" s="2">
        <v>175</v>
      </c>
      <c r="U88" s="2" t="str">
        <f t="shared" si="7"/>
        <v/>
      </c>
    </row>
    <row r="89" ht="23" customHeight="1" spans="1:21">
      <c r="A89" s="6" t="s">
        <v>103</v>
      </c>
      <c r="B89" s="2" t="s">
        <v>39</v>
      </c>
      <c r="C89" s="2">
        <v>3</v>
      </c>
      <c r="D89" s="6" t="s">
        <v>499</v>
      </c>
      <c r="E89" s="2" t="str">
        <f>five子指标方向明细!F176</f>
        <v>B</v>
      </c>
      <c r="F89" s="2">
        <f>five子指标方向明细!G176</f>
        <v>5</v>
      </c>
      <c r="G89" s="2" t="str">
        <f>five子指标方向明细!H176</f>
        <v>C</v>
      </c>
      <c r="H89" s="2">
        <f>five子指标方向明细!I176</f>
        <v>4</v>
      </c>
      <c r="I89" s="2" t="str">
        <f>five子指标方向明细!L176</f>
        <v>B</v>
      </c>
      <c r="J89" s="2" t="str">
        <f>five子指标方向明细!F177</f>
        <v>C</v>
      </c>
      <c r="K89" s="2">
        <f>five子指标方向明细!G177</f>
        <v>4</v>
      </c>
      <c r="L89" s="2" t="str">
        <f>five子指标方向明细!H177</f>
        <v>B</v>
      </c>
      <c r="M89" s="2">
        <f>five子指标方向明细!I177</f>
        <v>5</v>
      </c>
      <c r="N89" s="2" t="str">
        <f>five子指标方向明细!L177</f>
        <v>B</v>
      </c>
      <c r="O89" s="2">
        <f t="shared" si="4"/>
        <v>1</v>
      </c>
      <c r="P89" s="2" t="str">
        <f t="shared" si="5"/>
        <v>B</v>
      </c>
      <c r="Q89" s="2" t="s">
        <v>22</v>
      </c>
      <c r="R89" s="2">
        <f t="shared" si="6"/>
        <v>1</v>
      </c>
      <c r="S89" s="2">
        <v>176</v>
      </c>
      <c r="T89" s="2">
        <v>177</v>
      </c>
      <c r="U89" s="2" t="str">
        <f t="shared" si="7"/>
        <v/>
      </c>
    </row>
    <row r="90" ht="23" customHeight="1" spans="1:21">
      <c r="A90" s="6" t="s">
        <v>103</v>
      </c>
      <c r="B90" s="2" t="s">
        <v>39</v>
      </c>
      <c r="C90" s="2">
        <v>4</v>
      </c>
      <c r="D90" s="6" t="s">
        <v>500</v>
      </c>
      <c r="E90" s="2" t="str">
        <f>five子指标方向明细!F178</f>
        <v>B</v>
      </c>
      <c r="F90" s="2">
        <f>five子指标方向明细!G178</f>
        <v>5</v>
      </c>
      <c r="G90" s="2" t="str">
        <f>five子指标方向明细!H178</f>
        <v>C</v>
      </c>
      <c r="H90" s="2">
        <f>five子指标方向明细!I178</f>
        <v>5</v>
      </c>
      <c r="I90" s="2" t="str">
        <f>five子指标方向明细!L178</f>
        <v>D(平局)</v>
      </c>
      <c r="J90" s="2" t="str">
        <f>five子指标方向明细!F179</f>
        <v>C</v>
      </c>
      <c r="K90" s="2">
        <f>five子指标方向明细!G179</f>
        <v>4</v>
      </c>
      <c r="L90" s="2" t="str">
        <f>five子指标方向明细!H179</f>
        <v>B</v>
      </c>
      <c r="M90" s="2">
        <f>five子指标方向明细!I179</f>
        <v>4</v>
      </c>
      <c r="N90" s="2" t="str">
        <f>five子指标方向明细!L179</f>
        <v>D(平局)</v>
      </c>
      <c r="O90" s="2">
        <f t="shared" si="4"/>
        <v>1</v>
      </c>
      <c r="P90" s="2" t="str">
        <f t="shared" si="5"/>
        <v>D(平局)</v>
      </c>
      <c r="Q90" s="2" t="s">
        <v>22</v>
      </c>
      <c r="R90" s="2">
        <f t="shared" si="6"/>
        <v>0</v>
      </c>
      <c r="S90" s="2">
        <v>178</v>
      </c>
      <c r="T90" s="2">
        <v>179</v>
      </c>
      <c r="U90" s="2" t="str">
        <f t="shared" si="7"/>
        <v>双向评分平局</v>
      </c>
    </row>
    <row r="91" ht="23" customHeight="1" spans="1:21">
      <c r="A91" s="6" t="s">
        <v>103</v>
      </c>
      <c r="B91" s="2" t="s">
        <v>39</v>
      </c>
      <c r="C91" s="2">
        <v>5</v>
      </c>
      <c r="D91" s="6" t="s">
        <v>501</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5</v>
      </c>
      <c r="L91" s="2" t="str">
        <f>five子指标方向明细!H181</f>
        <v>B</v>
      </c>
      <c r="M91" s="2">
        <f>five子指标方向明细!I181</f>
        <v>5</v>
      </c>
      <c r="N91" s="2" t="str">
        <f>five子指标方向明细!L181</f>
        <v>D(平局)</v>
      </c>
      <c r="O91" s="2">
        <f t="shared" si="4"/>
        <v>1</v>
      </c>
      <c r="P91" s="2" t="str">
        <f t="shared" si="5"/>
        <v>D(平局)</v>
      </c>
      <c r="Q91" s="2" t="s">
        <v>22</v>
      </c>
      <c r="R91" s="2">
        <f t="shared" si="6"/>
        <v>0</v>
      </c>
      <c r="S91" s="2">
        <v>180</v>
      </c>
      <c r="T91" s="2">
        <v>181</v>
      </c>
      <c r="U91" s="2" t="str">
        <f t="shared" si="7"/>
        <v>双向评分平局</v>
      </c>
    </row>
    <row r="92" ht="23" customHeight="1" spans="1:21">
      <c r="A92" s="6" t="s">
        <v>65</v>
      </c>
      <c r="B92" s="2" t="s">
        <v>15</v>
      </c>
      <c r="C92" s="2">
        <v>1</v>
      </c>
      <c r="D92" s="6" t="s">
        <v>497</v>
      </c>
      <c r="E92" s="2" t="str">
        <f>five子指标方向明细!F182</f>
        <v>A</v>
      </c>
      <c r="F92" s="2">
        <f>five子指标方向明细!G182</f>
        <v>5</v>
      </c>
      <c r="G92" s="2" t="str">
        <f>five子指标方向明细!H182</f>
        <v>B</v>
      </c>
      <c r="H92" s="2">
        <f>five子指标方向明细!I182</f>
        <v>4</v>
      </c>
      <c r="I92" s="2" t="str">
        <f>five子指标方向明细!L182</f>
        <v>A</v>
      </c>
      <c r="J92" s="2" t="str">
        <f>five子指标方向明细!F183</f>
        <v>B</v>
      </c>
      <c r="K92" s="2">
        <f>five子指标方向明细!G183</f>
        <v>4</v>
      </c>
      <c r="L92" s="2" t="str">
        <f>five子指标方向明细!H183</f>
        <v>A</v>
      </c>
      <c r="M92" s="2">
        <f>five子指标方向明细!I183</f>
        <v>5</v>
      </c>
      <c r="N92" s="2" t="str">
        <f>five子指标方向明细!L183</f>
        <v>A</v>
      </c>
      <c r="O92" s="2">
        <f t="shared" si="4"/>
        <v>1</v>
      </c>
      <c r="P92" s="2" t="str">
        <f t="shared" si="5"/>
        <v>A</v>
      </c>
      <c r="Q92" s="2" t="s">
        <v>34</v>
      </c>
      <c r="R92" s="2">
        <f t="shared" si="6"/>
        <v>1</v>
      </c>
      <c r="S92" s="2">
        <v>182</v>
      </c>
      <c r="T92" s="2">
        <v>183</v>
      </c>
      <c r="U92" s="2" t="str">
        <f t="shared" si="7"/>
        <v/>
      </c>
    </row>
    <row r="93" ht="23" customHeight="1" spans="1:21">
      <c r="A93" s="6" t="s">
        <v>65</v>
      </c>
      <c r="B93" s="2" t="s">
        <v>15</v>
      </c>
      <c r="C93" s="2">
        <v>2</v>
      </c>
      <c r="D93" s="6" t="s">
        <v>498</v>
      </c>
      <c r="E93" s="2" t="str">
        <f>five子指标方向明细!F184</f>
        <v>A</v>
      </c>
      <c r="F93" s="2">
        <f>five子指标方向明细!G184</f>
        <v>4</v>
      </c>
      <c r="G93" s="2" t="str">
        <f>five子指标方向明细!H184</f>
        <v>B</v>
      </c>
      <c r="H93" s="2">
        <f>five子指标方向明细!I184</f>
        <v>2</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34</v>
      </c>
      <c r="R93" s="2">
        <f t="shared" si="6"/>
        <v>1</v>
      </c>
      <c r="S93" s="2">
        <v>184</v>
      </c>
      <c r="T93" s="2">
        <v>185</v>
      </c>
      <c r="U93" s="2" t="str">
        <f t="shared" si="7"/>
        <v/>
      </c>
    </row>
    <row r="94" ht="23" customHeight="1" spans="1:21">
      <c r="A94" s="6" t="s">
        <v>65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4</v>
      </c>
      <c r="N94" s="2" t="str">
        <f>five子指标方向明细!L187</f>
        <v>B</v>
      </c>
      <c r="O94" s="2">
        <f t="shared" si="4"/>
        <v>0</v>
      </c>
      <c r="P94" s="2" t="str">
        <f t="shared" si="5"/>
        <v>D(平局)</v>
      </c>
      <c r="Q94" s="2" t="s">
        <v>34</v>
      </c>
      <c r="R94" s="2">
        <f t="shared" si="6"/>
        <v>0</v>
      </c>
      <c r="S94" s="2">
        <v>186</v>
      </c>
      <c r="T94" s="2">
        <v>187</v>
      </c>
      <c r="U94" s="2" t="str">
        <f t="shared" si="7"/>
        <v>方向冲突</v>
      </c>
    </row>
    <row r="95" ht="23" customHeight="1" spans="1:21">
      <c r="A95" s="6" t="s">
        <v>65</v>
      </c>
      <c r="B95" s="2" t="s">
        <v>15</v>
      </c>
      <c r="C95" s="2">
        <v>4</v>
      </c>
      <c r="D95" s="6" t="s">
        <v>500</v>
      </c>
      <c r="E95" s="2" t="str">
        <f>five子指标方向明细!F188</f>
        <v>A</v>
      </c>
      <c r="F95" s="2">
        <f>five子指标方向明细!G188</f>
        <v>5</v>
      </c>
      <c r="G95" s="2" t="str">
        <f>five子指标方向明细!H188</f>
        <v>B</v>
      </c>
      <c r="H95" s="2">
        <f>five子指标方向明细!I188</f>
        <v>4</v>
      </c>
      <c r="I95" s="2" t="str">
        <f>five子指标方向明细!L188</f>
        <v>A</v>
      </c>
      <c r="J95" s="2" t="str">
        <f>five子指标方向明细!F189</f>
        <v>B</v>
      </c>
      <c r="K95" s="2">
        <f>five子指标方向明细!G189</f>
        <v>4</v>
      </c>
      <c r="L95" s="2" t="str">
        <f>five子指标方向明细!H189</f>
        <v>A</v>
      </c>
      <c r="M95" s="2">
        <f>five子指标方向明细!I189</f>
        <v>5</v>
      </c>
      <c r="N95" s="2" t="str">
        <f>five子指标方向明细!L189</f>
        <v>A</v>
      </c>
      <c r="O95" s="2">
        <f t="shared" si="4"/>
        <v>1</v>
      </c>
      <c r="P95" s="2" t="str">
        <f t="shared" si="5"/>
        <v>A</v>
      </c>
      <c r="Q95" s="2" t="s">
        <v>34</v>
      </c>
      <c r="R95" s="2">
        <f t="shared" si="6"/>
        <v>1</v>
      </c>
      <c r="S95" s="2">
        <v>188</v>
      </c>
      <c r="T95" s="2">
        <v>189</v>
      </c>
      <c r="U95" s="2" t="str">
        <f t="shared" si="7"/>
        <v/>
      </c>
    </row>
    <row r="96" ht="23" customHeight="1" spans="1:21">
      <c r="A96" s="6" t="s">
        <v>65</v>
      </c>
      <c r="B96" s="2" t="s">
        <v>15</v>
      </c>
      <c r="C96" s="2">
        <v>5</v>
      </c>
      <c r="D96" s="6" t="s">
        <v>501</v>
      </c>
      <c r="E96" s="2" t="str">
        <f>five子指标方向明细!F190</f>
        <v>A</v>
      </c>
      <c r="F96" s="2">
        <f>five子指标方向明细!G190</f>
        <v>4</v>
      </c>
      <c r="G96" s="2" t="str">
        <f>five子指标方向明细!H190</f>
        <v>B</v>
      </c>
      <c r="H96" s="2">
        <f>five子指标方向明细!I190</f>
        <v>4</v>
      </c>
      <c r="I96" s="2" t="str">
        <f>five子指标方向明细!L190</f>
        <v>D(平局)</v>
      </c>
      <c r="J96" s="2" t="str">
        <f>five子指标方向明细!F191</f>
        <v>B</v>
      </c>
      <c r="K96" s="2">
        <f>five子指标方向明细!G191</f>
        <v>4</v>
      </c>
      <c r="L96" s="2" t="str">
        <f>five子指标方向明细!H191</f>
        <v>A</v>
      </c>
      <c r="M96" s="2">
        <f>five子指标方向明细!I191</f>
        <v>5</v>
      </c>
      <c r="N96" s="2" t="str">
        <f>five子指标方向明细!L191</f>
        <v>A</v>
      </c>
      <c r="O96" s="2">
        <f t="shared" si="4"/>
        <v>0</v>
      </c>
      <c r="P96" s="2" t="str">
        <f t="shared" si="5"/>
        <v>D(平局)</v>
      </c>
      <c r="Q96" s="2" t="s">
        <v>34</v>
      </c>
      <c r="R96" s="2">
        <f t="shared" si="6"/>
        <v>0</v>
      </c>
      <c r="S96" s="2">
        <v>190</v>
      </c>
      <c r="T96" s="2">
        <v>191</v>
      </c>
      <c r="U96" s="2" t="str">
        <f t="shared" si="7"/>
        <v>方向冲突</v>
      </c>
    </row>
    <row r="97" ht="23" customHeight="1" spans="1:21">
      <c r="A97" s="6" t="s">
        <v>65</v>
      </c>
      <c r="B97" s="2" t="s">
        <v>31</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34</v>
      </c>
      <c r="R97" s="2">
        <f t="shared" si="6"/>
        <v>0</v>
      </c>
      <c r="S97" s="2">
        <v>192</v>
      </c>
      <c r="T97" s="2">
        <v>193</v>
      </c>
      <c r="U97" s="2" t="str">
        <f t="shared" si="7"/>
        <v>双向评分平局</v>
      </c>
    </row>
    <row r="98" ht="23" customHeight="1" spans="1:21">
      <c r="A98" s="6" t="s">
        <v>65</v>
      </c>
      <c r="B98" s="2" t="s">
        <v>31</v>
      </c>
      <c r="C98" s="2">
        <v>2</v>
      </c>
      <c r="D98" s="6" t="s">
        <v>498</v>
      </c>
      <c r="E98" s="2" t="str">
        <f>five子指标方向明细!F194</f>
        <v>A</v>
      </c>
      <c r="F98" s="2">
        <f>five子指标方向明细!G194</f>
        <v>5</v>
      </c>
      <c r="G98" s="2" t="str">
        <f>five子指标方向明细!H194</f>
        <v>C</v>
      </c>
      <c r="H98" s="2">
        <f>five子指标方向明细!I194</f>
        <v>3</v>
      </c>
      <c r="I98" s="2" t="str">
        <f>five子指标方向明细!L194</f>
        <v>A</v>
      </c>
      <c r="J98" s="2" t="str">
        <f>five子指标方向明细!F195</f>
        <v>C</v>
      </c>
      <c r="K98" s="2">
        <f>five子指标方向明细!G195</f>
        <v>4</v>
      </c>
      <c r="L98" s="2" t="str">
        <f>five子指标方向明细!H195</f>
        <v>A</v>
      </c>
      <c r="M98" s="2">
        <f>five子指标方向明细!I195</f>
        <v>5</v>
      </c>
      <c r="N98" s="2" t="str">
        <f>five子指标方向明细!L195</f>
        <v>A</v>
      </c>
      <c r="O98" s="2">
        <f t="shared" si="4"/>
        <v>1</v>
      </c>
      <c r="P98" s="2" t="str">
        <f t="shared" si="5"/>
        <v>A</v>
      </c>
      <c r="Q98" s="2" t="s">
        <v>34</v>
      </c>
      <c r="R98" s="2">
        <f t="shared" si="6"/>
        <v>1</v>
      </c>
      <c r="S98" s="2">
        <v>194</v>
      </c>
      <c r="T98" s="2">
        <v>195</v>
      </c>
      <c r="U98" s="2" t="str">
        <f t="shared" si="7"/>
        <v/>
      </c>
    </row>
    <row r="99" ht="23" customHeight="1" spans="1:21">
      <c r="A99" s="6" t="s">
        <v>65</v>
      </c>
      <c r="B99" s="2" t="s">
        <v>31</v>
      </c>
      <c r="C99" s="2">
        <v>3</v>
      </c>
      <c r="D99" s="6" t="s">
        <v>499</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4</v>
      </c>
      <c r="L99" s="2" t="str">
        <f>five子指标方向明细!H197</f>
        <v>A</v>
      </c>
      <c r="M99" s="2">
        <f>five子指标方向明细!I197</f>
        <v>5</v>
      </c>
      <c r="N99" s="2" t="str">
        <f>five子指标方向明细!L197</f>
        <v>A</v>
      </c>
      <c r="O99" s="2">
        <f t="shared" si="4"/>
        <v>1</v>
      </c>
      <c r="P99" s="2" t="str">
        <f t="shared" si="5"/>
        <v>A</v>
      </c>
      <c r="Q99" s="2" t="s">
        <v>34</v>
      </c>
      <c r="R99" s="2">
        <f t="shared" si="6"/>
        <v>1</v>
      </c>
      <c r="S99" s="2">
        <v>196</v>
      </c>
      <c r="T99" s="2">
        <v>197</v>
      </c>
      <c r="U99" s="2" t="str">
        <f t="shared" si="7"/>
        <v/>
      </c>
    </row>
    <row r="100" ht="23" customHeight="1" spans="1:21">
      <c r="A100" s="6" t="s">
        <v>65</v>
      </c>
      <c r="B100" s="2" t="s">
        <v>31</v>
      </c>
      <c r="C100" s="2">
        <v>4</v>
      </c>
      <c r="D100" s="6" t="s">
        <v>500</v>
      </c>
      <c r="E100" s="2" t="str">
        <f>five子指标方向明细!F198</f>
        <v>A</v>
      </c>
      <c r="F100" s="2">
        <f>five子指标方向明细!G198</f>
        <v>5</v>
      </c>
      <c r="G100" s="2" t="str">
        <f>five子指标方向明细!H198</f>
        <v>C</v>
      </c>
      <c r="H100" s="2">
        <f>five子指标方向明细!I198</f>
        <v>4</v>
      </c>
      <c r="I100" s="2" t="str">
        <f>five子指标方向明细!L198</f>
        <v>A</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0</v>
      </c>
      <c r="P100" s="2" t="str">
        <f t="shared" si="5"/>
        <v>D(平局)</v>
      </c>
      <c r="Q100" s="2" t="s">
        <v>34</v>
      </c>
      <c r="R100" s="2">
        <f t="shared" si="6"/>
        <v>0</v>
      </c>
      <c r="S100" s="2">
        <v>198</v>
      </c>
      <c r="T100" s="2">
        <v>199</v>
      </c>
      <c r="U100" s="2" t="str">
        <f t="shared" si="7"/>
        <v>方向冲突</v>
      </c>
    </row>
    <row r="101" ht="23" customHeight="1" spans="1:21">
      <c r="A101" s="6" t="s">
        <v>65</v>
      </c>
      <c r="B101" s="2" t="s">
        <v>31</v>
      </c>
      <c r="C101" s="2">
        <v>5</v>
      </c>
      <c r="D101" s="6" t="s">
        <v>501</v>
      </c>
      <c r="E101" s="2" t="str">
        <f>five子指标方向明细!F200</f>
        <v>A</v>
      </c>
      <c r="F101" s="2">
        <f>five子指标方向明细!G200</f>
        <v>4</v>
      </c>
      <c r="G101" s="2" t="str">
        <f>five子指标方向明细!H200</f>
        <v>C</v>
      </c>
      <c r="H101" s="2">
        <f>five子指标方向明细!I200</f>
        <v>5</v>
      </c>
      <c r="I101" s="2" t="str">
        <f>five子指标方向明细!L200</f>
        <v>C</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0</v>
      </c>
      <c r="P101" s="2" t="str">
        <f t="shared" si="5"/>
        <v>D(平局)</v>
      </c>
      <c r="Q101" s="2" t="s">
        <v>34</v>
      </c>
      <c r="R101" s="2">
        <f t="shared" si="6"/>
        <v>0</v>
      </c>
      <c r="S101" s="2">
        <v>200</v>
      </c>
      <c r="T101" s="2">
        <v>201</v>
      </c>
      <c r="U101" s="2" t="str">
        <f t="shared" si="7"/>
        <v>方向冲突</v>
      </c>
    </row>
    <row r="102" ht="23" customHeight="1" spans="1:21">
      <c r="A102" s="6" t="s">
        <v>65</v>
      </c>
      <c r="B102" s="2" t="s">
        <v>39</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27</v>
      </c>
      <c r="R102" s="2">
        <f t="shared" si="6"/>
        <v>0</v>
      </c>
      <c r="S102" s="2">
        <v>202</v>
      </c>
      <c r="T102" s="2">
        <v>203</v>
      </c>
      <c r="U102" s="2" t="str">
        <f t="shared" si="7"/>
        <v>双向评分平局</v>
      </c>
    </row>
    <row r="103" ht="23" customHeight="1" spans="1:21">
      <c r="A103" s="6" t="s">
        <v>65</v>
      </c>
      <c r="B103" s="2" t="s">
        <v>39</v>
      </c>
      <c r="C103" s="2">
        <v>2</v>
      </c>
      <c r="D103" s="6" t="s">
        <v>498</v>
      </c>
      <c r="E103" s="2" t="str">
        <f>five子指标方向明细!F204</f>
        <v>B</v>
      </c>
      <c r="F103" s="2">
        <f>five子指标方向明细!G204</f>
        <v>3</v>
      </c>
      <c r="G103" s="2" t="str">
        <f>five子指标方向明细!H204</f>
        <v>C</v>
      </c>
      <c r="H103" s="2">
        <f>five子指标方向明细!I204</f>
        <v>4</v>
      </c>
      <c r="I103" s="2" t="str">
        <f>five子指标方向明细!L204</f>
        <v>C</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1</v>
      </c>
      <c r="P103" s="2" t="str">
        <f t="shared" si="5"/>
        <v>C</v>
      </c>
      <c r="Q103" s="2" t="s">
        <v>27</v>
      </c>
      <c r="R103" s="2">
        <f t="shared" si="6"/>
        <v>1</v>
      </c>
      <c r="S103" s="2">
        <v>204</v>
      </c>
      <c r="T103" s="2">
        <v>205</v>
      </c>
      <c r="U103" s="2" t="str">
        <f t="shared" si="7"/>
        <v/>
      </c>
    </row>
    <row r="104" ht="23" customHeight="1" spans="1:21">
      <c r="A104" s="6" t="s">
        <v>65</v>
      </c>
      <c r="B104" s="2" t="s">
        <v>39</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27</v>
      </c>
      <c r="R104" s="2">
        <f t="shared" si="6"/>
        <v>0</v>
      </c>
      <c r="S104" s="2">
        <v>206</v>
      </c>
      <c r="T104" s="2">
        <v>207</v>
      </c>
      <c r="U104" s="2" t="str">
        <f t="shared" si="7"/>
        <v/>
      </c>
    </row>
    <row r="105" ht="23" customHeight="1" spans="1:21">
      <c r="A105" s="6" t="s">
        <v>65</v>
      </c>
      <c r="B105" s="2" t="s">
        <v>39</v>
      </c>
      <c r="C105" s="2">
        <v>4</v>
      </c>
      <c r="D105" s="6" t="s">
        <v>500</v>
      </c>
      <c r="E105" s="2" t="str">
        <f>five子指标方向明细!F208</f>
        <v>B</v>
      </c>
      <c r="F105" s="2">
        <f>five子指标方向明细!G208</f>
        <v>4</v>
      </c>
      <c r="G105" s="2" t="str">
        <f>five子指标方向明细!H208</f>
        <v>C</v>
      </c>
      <c r="H105" s="2">
        <f>five子指标方向明细!I208</f>
        <v>5</v>
      </c>
      <c r="I105" s="2" t="str">
        <f>five子指标方向明细!L208</f>
        <v>C</v>
      </c>
      <c r="J105" s="2" t="str">
        <f>five子指标方向明细!F209</f>
        <v>C</v>
      </c>
      <c r="K105" s="2">
        <f>five子指标方向明细!G209</f>
        <v>5</v>
      </c>
      <c r="L105" s="2" t="str">
        <f>five子指标方向明细!H209</f>
        <v>B</v>
      </c>
      <c r="M105" s="2">
        <f>five子指标方向明细!I209</f>
        <v>4</v>
      </c>
      <c r="N105" s="2" t="str">
        <f>five子指标方向明细!L209</f>
        <v>C</v>
      </c>
      <c r="O105" s="2">
        <f t="shared" si="4"/>
        <v>1</v>
      </c>
      <c r="P105" s="2" t="str">
        <f t="shared" si="5"/>
        <v>C</v>
      </c>
      <c r="Q105" s="2" t="s">
        <v>27</v>
      </c>
      <c r="R105" s="2">
        <f t="shared" si="6"/>
        <v>1</v>
      </c>
      <c r="S105" s="2">
        <v>208</v>
      </c>
      <c r="T105" s="2">
        <v>209</v>
      </c>
      <c r="U105" s="2" t="str">
        <f t="shared" si="7"/>
        <v/>
      </c>
    </row>
    <row r="106" ht="23" customHeight="1" spans="1:21">
      <c r="A106" s="6" t="s">
        <v>65</v>
      </c>
      <c r="B106" s="2" t="s">
        <v>39</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27</v>
      </c>
      <c r="R106" s="2">
        <f t="shared" si="6"/>
        <v>0</v>
      </c>
      <c r="S106" s="2">
        <v>210</v>
      </c>
      <c r="T106" s="2">
        <v>211</v>
      </c>
      <c r="U106" s="2" t="str">
        <f t="shared" si="7"/>
        <v>双向评分平局</v>
      </c>
    </row>
    <row r="107" ht="23" customHeight="1" spans="1:21">
      <c r="A107" s="6" t="s">
        <v>141</v>
      </c>
      <c r="B107" s="2" t="s">
        <v>15</v>
      </c>
      <c r="C107" s="2">
        <v>1</v>
      </c>
      <c r="D107" s="6" t="s">
        <v>497</v>
      </c>
      <c r="E107" s="2" t="str">
        <f>five子指标方向明细!F212</f>
        <v>A</v>
      </c>
      <c r="F107" s="2">
        <f>five子指标方向明细!G212</f>
        <v>4</v>
      </c>
      <c r="G107" s="2" t="str">
        <f>five子指标方向明细!H212</f>
        <v>B</v>
      </c>
      <c r="H107" s="2">
        <f>five子指标方向明细!I212</f>
        <v>5</v>
      </c>
      <c r="I107" s="2" t="str">
        <f>five子指标方向明细!L212</f>
        <v>B</v>
      </c>
      <c r="J107" s="2" t="str">
        <f>five子指标方向明细!F213</f>
        <v>B</v>
      </c>
      <c r="K107" s="2">
        <f>five子指标方向明细!G213</f>
        <v>5</v>
      </c>
      <c r="L107" s="2" t="str">
        <f>five子指标方向明细!H213</f>
        <v>A</v>
      </c>
      <c r="M107" s="2">
        <f>five子指标方向明细!I213</f>
        <v>5</v>
      </c>
      <c r="N107" s="2" t="str">
        <f>five子指标方向明细!L213</f>
        <v>D(平局)</v>
      </c>
      <c r="O107" s="2">
        <f t="shared" si="4"/>
        <v>0</v>
      </c>
      <c r="P107" s="2" t="str">
        <f t="shared" si="5"/>
        <v>D(平局)</v>
      </c>
      <c r="Q107" s="2" t="s">
        <v>34</v>
      </c>
      <c r="R107" s="2">
        <f t="shared" si="6"/>
        <v>0</v>
      </c>
      <c r="S107" s="2">
        <v>212</v>
      </c>
      <c r="T107" s="2">
        <v>213</v>
      </c>
      <c r="U107" s="2" t="str">
        <f t="shared" si="7"/>
        <v>方向冲突</v>
      </c>
    </row>
    <row r="108" ht="23" customHeight="1" spans="1:21">
      <c r="A108" s="6" t="s">
        <v>141</v>
      </c>
      <c r="B108" s="2" t="s">
        <v>15</v>
      </c>
      <c r="C108" s="2">
        <v>2</v>
      </c>
      <c r="D108" s="6" t="s">
        <v>498</v>
      </c>
      <c r="E108" s="2" t="str">
        <f>five子指标方向明细!F214</f>
        <v>A</v>
      </c>
      <c r="F108" s="2">
        <f>five子指标方向明细!G214</f>
        <v>4</v>
      </c>
      <c r="G108" s="2" t="str">
        <f>five子指标方向明细!H214</f>
        <v>B</v>
      </c>
      <c r="H108" s="2">
        <f>five子指标方向明细!I214</f>
        <v>3</v>
      </c>
      <c r="I108" s="2" t="str">
        <f>five子指标方向明细!L214</f>
        <v>A</v>
      </c>
      <c r="J108" s="2" t="str">
        <f>five子指标方向明细!F215</f>
        <v>B</v>
      </c>
      <c r="K108" s="2">
        <f>five子指标方向明细!G215</f>
        <v>3</v>
      </c>
      <c r="L108" s="2" t="str">
        <f>five子指标方向明细!H215</f>
        <v>A</v>
      </c>
      <c r="M108" s="2">
        <f>five子指标方向明细!I215</f>
        <v>4</v>
      </c>
      <c r="N108" s="2" t="str">
        <f>five子指标方向明细!L215</f>
        <v>A</v>
      </c>
      <c r="O108" s="2">
        <f t="shared" si="4"/>
        <v>1</v>
      </c>
      <c r="P108" s="2" t="str">
        <f t="shared" si="5"/>
        <v>A</v>
      </c>
      <c r="Q108" s="2" t="s">
        <v>34</v>
      </c>
      <c r="R108" s="2">
        <f t="shared" si="6"/>
        <v>1</v>
      </c>
      <c r="S108" s="2">
        <v>214</v>
      </c>
      <c r="T108" s="2">
        <v>215</v>
      </c>
      <c r="U108" s="2" t="str">
        <f t="shared" si="7"/>
        <v/>
      </c>
    </row>
    <row r="109" ht="23" customHeight="1" spans="1:21">
      <c r="A109" s="6" t="s">
        <v>141</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4</v>
      </c>
      <c r="N109" s="2" t="str">
        <f>five子指标方向明细!L217</f>
        <v>B</v>
      </c>
      <c r="O109" s="2">
        <f t="shared" si="4"/>
        <v>0</v>
      </c>
      <c r="P109" s="2" t="str">
        <f t="shared" si="5"/>
        <v>D(平局)</v>
      </c>
      <c r="Q109" s="2" t="s">
        <v>34</v>
      </c>
      <c r="R109" s="2">
        <f t="shared" si="6"/>
        <v>0</v>
      </c>
      <c r="S109" s="2">
        <v>216</v>
      </c>
      <c r="T109" s="2">
        <v>217</v>
      </c>
      <c r="U109" s="2" t="str">
        <f t="shared" si="7"/>
        <v>方向冲突</v>
      </c>
    </row>
    <row r="110" ht="23" customHeight="1" spans="1:21">
      <c r="A110" s="6" t="s">
        <v>141</v>
      </c>
      <c r="B110" s="2" t="s">
        <v>15</v>
      </c>
      <c r="C110" s="2">
        <v>4</v>
      </c>
      <c r="D110" s="6" t="s">
        <v>500</v>
      </c>
      <c r="E110" s="2" t="str">
        <f>five子指标方向明细!F218</f>
        <v>A</v>
      </c>
      <c r="F110" s="2">
        <f>five子指标方向明细!G218</f>
        <v>4</v>
      </c>
      <c r="G110" s="2" t="str">
        <f>five子指标方向明细!H218</f>
        <v>B</v>
      </c>
      <c r="H110" s="2">
        <f>five子指标方向明细!I218</f>
        <v>5</v>
      </c>
      <c r="I110" s="2" t="str">
        <f>five子指标方向明细!L218</f>
        <v>B</v>
      </c>
      <c r="J110" s="2" t="str">
        <f>five子指标方向明细!F219</f>
        <v>B</v>
      </c>
      <c r="K110" s="2">
        <f>five子指标方向明细!G219</f>
        <v>5</v>
      </c>
      <c r="L110" s="2" t="str">
        <f>five子指标方向明细!H219</f>
        <v>A</v>
      </c>
      <c r="M110" s="2">
        <f>five子指标方向明细!I219</f>
        <v>4</v>
      </c>
      <c r="N110" s="2" t="str">
        <f>five子指标方向明细!L219</f>
        <v>B</v>
      </c>
      <c r="O110" s="2">
        <f t="shared" si="4"/>
        <v>1</v>
      </c>
      <c r="P110" s="2" t="str">
        <f t="shared" si="5"/>
        <v>B</v>
      </c>
      <c r="Q110" s="2" t="s">
        <v>34</v>
      </c>
      <c r="R110" s="2">
        <f t="shared" si="6"/>
        <v>0</v>
      </c>
      <c r="S110" s="2">
        <v>218</v>
      </c>
      <c r="T110" s="2">
        <v>219</v>
      </c>
      <c r="U110" s="2" t="str">
        <f t="shared" si="7"/>
        <v/>
      </c>
    </row>
    <row r="111" ht="23" customHeight="1" spans="1:21">
      <c r="A111" s="6" t="s">
        <v>141</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34</v>
      </c>
      <c r="R111" s="2">
        <f t="shared" si="6"/>
        <v>0</v>
      </c>
      <c r="S111" s="2">
        <v>220</v>
      </c>
      <c r="T111" s="2">
        <v>221</v>
      </c>
      <c r="U111" s="2" t="str">
        <f t="shared" si="7"/>
        <v>双向评分平局</v>
      </c>
    </row>
    <row r="112" ht="23" customHeight="1" spans="1:21">
      <c r="A112" s="6" t="s">
        <v>141</v>
      </c>
      <c r="B112" s="2" t="s">
        <v>31</v>
      </c>
      <c r="C112" s="2">
        <v>1</v>
      </c>
      <c r="D112" s="6" t="s">
        <v>497</v>
      </c>
      <c r="E112" s="2" t="str">
        <f>five子指标方向明细!F222</f>
        <v>A</v>
      </c>
      <c r="F112" s="2">
        <f>five子指标方向明细!G222</f>
        <v>4</v>
      </c>
      <c r="G112" s="2" t="str">
        <f>five子指标方向明细!H222</f>
        <v>C</v>
      </c>
      <c r="H112" s="2">
        <f>five子指标方向明细!I222</f>
        <v>3</v>
      </c>
      <c r="I112" s="2" t="str">
        <f>five子指标方向明细!L222</f>
        <v>A</v>
      </c>
      <c r="J112" s="2" t="str">
        <f>five子指标方向明细!F223</f>
        <v>C</v>
      </c>
      <c r="K112" s="2">
        <f>five子指标方向明细!G223</f>
        <v>4</v>
      </c>
      <c r="L112" s="2" t="str">
        <f>five子指标方向明细!H223</f>
        <v>A</v>
      </c>
      <c r="M112" s="2">
        <f>five子指标方向明细!I223</f>
        <v>4</v>
      </c>
      <c r="N112" s="2" t="str">
        <f>five子指标方向明细!L223</f>
        <v>D(平局)</v>
      </c>
      <c r="O112" s="2">
        <f t="shared" si="4"/>
        <v>0</v>
      </c>
      <c r="P112" s="2" t="str">
        <f t="shared" si="5"/>
        <v>D(平局)</v>
      </c>
      <c r="Q112" s="2" t="s">
        <v>34</v>
      </c>
      <c r="R112" s="2">
        <f t="shared" si="6"/>
        <v>0</v>
      </c>
      <c r="S112" s="2">
        <v>222</v>
      </c>
      <c r="T112" s="2">
        <v>223</v>
      </c>
      <c r="U112" s="2" t="str">
        <f t="shared" si="7"/>
        <v>方向冲突</v>
      </c>
    </row>
    <row r="113" ht="23" customHeight="1" spans="1:21">
      <c r="A113" s="6" t="s">
        <v>141</v>
      </c>
      <c r="B113" s="2" t="s">
        <v>31</v>
      </c>
      <c r="C113" s="2">
        <v>2</v>
      </c>
      <c r="D113" s="6" t="s">
        <v>498</v>
      </c>
      <c r="E113" s="2" t="str">
        <f>five子指标方向明细!F224</f>
        <v>A</v>
      </c>
      <c r="F113" s="2">
        <f>five子指标方向明细!G224</f>
        <v>4</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4</v>
      </c>
      <c r="N113" s="2" t="str">
        <f>five子指标方向明细!L225</f>
        <v>A</v>
      </c>
      <c r="O113" s="2">
        <f t="shared" si="4"/>
        <v>1</v>
      </c>
      <c r="P113" s="2" t="str">
        <f t="shared" si="5"/>
        <v>A</v>
      </c>
      <c r="Q113" s="2" t="s">
        <v>34</v>
      </c>
      <c r="R113" s="2">
        <f t="shared" si="6"/>
        <v>1</v>
      </c>
      <c r="S113" s="2">
        <v>224</v>
      </c>
      <c r="T113" s="2">
        <v>225</v>
      </c>
      <c r="U113" s="2" t="str">
        <f t="shared" si="7"/>
        <v/>
      </c>
    </row>
    <row r="114" ht="23" customHeight="1" spans="1:21">
      <c r="A114" s="6" t="s">
        <v>141</v>
      </c>
      <c r="B114" s="2" t="s">
        <v>31</v>
      </c>
      <c r="C114" s="2">
        <v>3</v>
      </c>
      <c r="D114" s="6" t="s">
        <v>499</v>
      </c>
      <c r="E114" s="2" t="str">
        <f>five子指标方向明细!F226</f>
        <v>A</v>
      </c>
      <c r="F114" s="2">
        <f>five子指标方向明细!G226</f>
        <v>5</v>
      </c>
      <c r="G114" s="2" t="str">
        <f>five子指标方向明细!H226</f>
        <v>C</v>
      </c>
      <c r="H114" s="2">
        <f>five子指标方向明细!I226</f>
        <v>3</v>
      </c>
      <c r="I114" s="2" t="str">
        <f>five子指标方向明细!L226</f>
        <v>A</v>
      </c>
      <c r="J114" s="2" t="str">
        <f>five子指标方向明细!F227</f>
        <v>C</v>
      </c>
      <c r="K114" s="2">
        <f>five子指标方向明细!G227</f>
        <v>3</v>
      </c>
      <c r="L114" s="2" t="str">
        <f>five子指标方向明细!H227</f>
        <v>A</v>
      </c>
      <c r="M114" s="2">
        <f>five子指标方向明细!I227</f>
        <v>4</v>
      </c>
      <c r="N114" s="2" t="str">
        <f>five子指标方向明细!L227</f>
        <v>A</v>
      </c>
      <c r="O114" s="2">
        <f t="shared" si="4"/>
        <v>1</v>
      </c>
      <c r="P114" s="2" t="str">
        <f t="shared" si="5"/>
        <v>A</v>
      </c>
      <c r="Q114" s="2" t="s">
        <v>34</v>
      </c>
      <c r="R114" s="2">
        <f t="shared" si="6"/>
        <v>1</v>
      </c>
      <c r="S114" s="2">
        <v>226</v>
      </c>
      <c r="T114" s="2">
        <v>227</v>
      </c>
      <c r="U114" s="2" t="str">
        <f t="shared" si="7"/>
        <v/>
      </c>
    </row>
    <row r="115" ht="23" customHeight="1" spans="1:21">
      <c r="A115" s="6" t="s">
        <v>141</v>
      </c>
      <c r="B115" s="2" t="s">
        <v>31</v>
      </c>
      <c r="C115" s="2">
        <v>4</v>
      </c>
      <c r="D115" s="6" t="s">
        <v>500</v>
      </c>
      <c r="E115" s="2" t="str">
        <f>five子指标方向明细!F228</f>
        <v>A</v>
      </c>
      <c r="F115" s="2">
        <f>five子指标方向明细!G228</f>
        <v>4</v>
      </c>
      <c r="G115" s="2" t="str">
        <f>five子指标方向明细!H228</f>
        <v>C</v>
      </c>
      <c r="H115" s="2">
        <f>five子指标方向明细!I228</f>
        <v>3</v>
      </c>
      <c r="I115" s="2" t="str">
        <f>five子指标方向明细!L228</f>
        <v>A</v>
      </c>
      <c r="J115" s="2" t="str">
        <f>five子指标方向明细!F229</f>
        <v>C</v>
      </c>
      <c r="K115" s="2">
        <f>five子指标方向明细!G229</f>
        <v>5</v>
      </c>
      <c r="L115" s="2" t="str">
        <f>five子指标方向明细!H229</f>
        <v>A</v>
      </c>
      <c r="M115" s="2">
        <f>five子指标方向明细!I229</f>
        <v>4</v>
      </c>
      <c r="N115" s="2" t="str">
        <f>five子指标方向明细!L229</f>
        <v>C</v>
      </c>
      <c r="O115" s="2">
        <f t="shared" si="4"/>
        <v>0</v>
      </c>
      <c r="P115" s="2" t="str">
        <f t="shared" si="5"/>
        <v>D(平局)</v>
      </c>
      <c r="Q115" s="2" t="s">
        <v>34</v>
      </c>
      <c r="R115" s="2">
        <f t="shared" si="6"/>
        <v>0</v>
      </c>
      <c r="S115" s="2">
        <v>228</v>
      </c>
      <c r="T115" s="2">
        <v>229</v>
      </c>
      <c r="U115" s="2" t="str">
        <f t="shared" si="7"/>
        <v>方向冲突</v>
      </c>
    </row>
    <row r="116" ht="23" customHeight="1" spans="1:21">
      <c r="A116" s="6" t="s">
        <v>141</v>
      </c>
      <c r="B116" s="2" t="s">
        <v>31</v>
      </c>
      <c r="C116" s="2">
        <v>5</v>
      </c>
      <c r="D116" s="6" t="s">
        <v>501</v>
      </c>
      <c r="E116" s="2" t="str">
        <f>five子指标方向明细!F230</f>
        <v>A</v>
      </c>
      <c r="F116" s="2">
        <f>five子指标方向明细!G230</f>
        <v>5</v>
      </c>
      <c r="G116" s="2" t="str">
        <f>five子指标方向明细!H230</f>
        <v>C</v>
      </c>
      <c r="H116" s="2">
        <f>five子指标方向明细!I230</f>
        <v>5</v>
      </c>
      <c r="I116" s="2" t="str">
        <f>five子指标方向明细!L230</f>
        <v>D(平局)</v>
      </c>
      <c r="J116" s="2" t="str">
        <f>five子指标方向明细!F231</f>
        <v>C</v>
      </c>
      <c r="K116" s="2">
        <f>five子指标方向明细!G231</f>
        <v>5</v>
      </c>
      <c r="L116" s="2" t="str">
        <f>five子指标方向明细!H231</f>
        <v>A</v>
      </c>
      <c r="M116" s="2">
        <f>five子指标方向明细!I231</f>
        <v>5</v>
      </c>
      <c r="N116" s="2" t="str">
        <f>five子指标方向明细!L231</f>
        <v>D(平局)</v>
      </c>
      <c r="O116" s="2">
        <f t="shared" si="4"/>
        <v>1</v>
      </c>
      <c r="P116" s="2" t="str">
        <f t="shared" si="5"/>
        <v>D(平局)</v>
      </c>
      <c r="Q116" s="2" t="s">
        <v>34</v>
      </c>
      <c r="R116" s="2">
        <f t="shared" si="6"/>
        <v>0</v>
      </c>
      <c r="S116" s="2">
        <v>230</v>
      </c>
      <c r="T116" s="2">
        <v>231</v>
      </c>
      <c r="U116" s="2" t="str">
        <f t="shared" si="7"/>
        <v>双向评分平局</v>
      </c>
    </row>
    <row r="117" ht="23" customHeight="1" spans="1:21">
      <c r="A117" s="6" t="s">
        <v>141</v>
      </c>
      <c r="B117" s="2" t="s">
        <v>39</v>
      </c>
      <c r="C117" s="2">
        <v>1</v>
      </c>
      <c r="D117" s="6" t="s">
        <v>497</v>
      </c>
      <c r="E117" s="2" t="str">
        <f>five子指标方向明细!F232</f>
        <v>B</v>
      </c>
      <c r="F117" s="2">
        <f>five子指标方向明细!G232</f>
        <v>5</v>
      </c>
      <c r="G117" s="2" t="str">
        <f>five子指标方向明细!H232</f>
        <v>C</v>
      </c>
      <c r="H117" s="2">
        <f>five子指标方向明细!I232</f>
        <v>5</v>
      </c>
      <c r="I117" s="2" t="str">
        <f>five子指标方向明细!L232</f>
        <v>D(平局)</v>
      </c>
      <c r="J117" s="2" t="str">
        <f>five子指标方向明细!F233</f>
        <v>C</v>
      </c>
      <c r="K117" s="2">
        <f>five子指标方向明细!G233</f>
        <v>5</v>
      </c>
      <c r="L117" s="2" t="str">
        <f>five子指标方向明细!H233</f>
        <v>B</v>
      </c>
      <c r="M117" s="2">
        <f>five子指标方向明细!I233</f>
        <v>5</v>
      </c>
      <c r="N117" s="2" t="str">
        <f>five子指标方向明细!L233</f>
        <v>D(平局)</v>
      </c>
      <c r="O117" s="2">
        <f t="shared" si="4"/>
        <v>1</v>
      </c>
      <c r="P117" s="2" t="str">
        <f t="shared" si="5"/>
        <v>D(平局)</v>
      </c>
      <c r="Q117" s="2" t="s">
        <v>22</v>
      </c>
      <c r="R117" s="2">
        <f t="shared" si="6"/>
        <v>0</v>
      </c>
      <c r="S117" s="2">
        <v>232</v>
      </c>
      <c r="T117" s="2">
        <v>233</v>
      </c>
      <c r="U117" s="2" t="str">
        <f t="shared" si="7"/>
        <v>双向评分平局</v>
      </c>
    </row>
    <row r="118" ht="23" customHeight="1" spans="1:21">
      <c r="A118" s="6" t="s">
        <v>141</v>
      </c>
      <c r="B118" s="2" t="s">
        <v>39</v>
      </c>
      <c r="C118" s="2">
        <v>2</v>
      </c>
      <c r="D118" s="6" t="s">
        <v>498</v>
      </c>
      <c r="E118" s="2" t="str">
        <f>five子指标方向明细!F234</f>
        <v>B</v>
      </c>
      <c r="F118" s="2">
        <f>five子指标方向明细!G234</f>
        <v>4</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4</v>
      </c>
      <c r="N118" s="2" t="str">
        <f>five子指标方向明细!L235</f>
        <v>B</v>
      </c>
      <c r="O118" s="2">
        <f t="shared" si="4"/>
        <v>1</v>
      </c>
      <c r="P118" s="2" t="str">
        <f t="shared" si="5"/>
        <v>B</v>
      </c>
      <c r="Q118" s="2" t="s">
        <v>22</v>
      </c>
      <c r="R118" s="2">
        <f t="shared" si="6"/>
        <v>1</v>
      </c>
      <c r="S118" s="2">
        <v>234</v>
      </c>
      <c r="T118" s="2">
        <v>235</v>
      </c>
      <c r="U118" s="2" t="str">
        <f t="shared" si="7"/>
        <v/>
      </c>
    </row>
    <row r="119" ht="23" customHeight="1" spans="1:21">
      <c r="A119" s="6" t="s">
        <v>141</v>
      </c>
      <c r="B119" s="2" t="s">
        <v>39</v>
      </c>
      <c r="C119" s="2">
        <v>3</v>
      </c>
      <c r="D119" s="6" t="s">
        <v>499</v>
      </c>
      <c r="E119" s="2" t="str">
        <f>five子指标方向明细!F236</f>
        <v>B</v>
      </c>
      <c r="F119" s="2">
        <f>five子指标方向明细!G236</f>
        <v>5</v>
      </c>
      <c r="G119" s="2" t="str">
        <f>five子指标方向明细!H236</f>
        <v>C</v>
      </c>
      <c r="H119" s="2">
        <f>five子指标方向明细!I236</f>
        <v>4</v>
      </c>
      <c r="I119" s="2" t="str">
        <f>five子指标方向明细!L236</f>
        <v>B</v>
      </c>
      <c r="J119" s="2" t="str">
        <f>five子指标方向明细!F237</f>
        <v>C</v>
      </c>
      <c r="K119" s="2">
        <f>five子指标方向明细!G237</f>
        <v>3</v>
      </c>
      <c r="L119" s="2" t="str">
        <f>five子指标方向明细!H237</f>
        <v>B</v>
      </c>
      <c r="M119" s="2">
        <f>five子指标方向明细!I237</f>
        <v>5</v>
      </c>
      <c r="N119" s="2" t="str">
        <f>five子指标方向明细!L237</f>
        <v>B</v>
      </c>
      <c r="O119" s="2">
        <f t="shared" si="4"/>
        <v>1</v>
      </c>
      <c r="P119" s="2" t="str">
        <f t="shared" si="5"/>
        <v>B</v>
      </c>
      <c r="Q119" s="2" t="s">
        <v>22</v>
      </c>
      <c r="R119" s="2">
        <f t="shared" si="6"/>
        <v>1</v>
      </c>
      <c r="S119" s="2">
        <v>236</v>
      </c>
      <c r="T119" s="2">
        <v>237</v>
      </c>
      <c r="U119" s="2" t="str">
        <f t="shared" si="7"/>
        <v/>
      </c>
    </row>
    <row r="120" ht="23" customHeight="1" spans="1:21">
      <c r="A120" s="6" t="s">
        <v>141</v>
      </c>
      <c r="B120" s="2" t="s">
        <v>39</v>
      </c>
      <c r="C120" s="2">
        <v>4</v>
      </c>
      <c r="D120" s="6" t="s">
        <v>500</v>
      </c>
      <c r="E120" s="2" t="str">
        <f>five子指标方向明细!F238</f>
        <v>B</v>
      </c>
      <c r="F120" s="2">
        <f>five子指标方向明细!G238</f>
        <v>5</v>
      </c>
      <c r="G120" s="2" t="str">
        <f>five子指标方向明细!H238</f>
        <v>C</v>
      </c>
      <c r="H120" s="2">
        <f>five子指标方向明细!I238</f>
        <v>4</v>
      </c>
      <c r="I120" s="2" t="str">
        <f>five子指标方向明细!L238</f>
        <v>B</v>
      </c>
      <c r="J120" s="2" t="str">
        <f>five子指标方向明细!F239</f>
        <v>C</v>
      </c>
      <c r="K120" s="2">
        <f>five子指标方向明细!G239</f>
        <v>4</v>
      </c>
      <c r="L120" s="2" t="str">
        <f>five子指标方向明细!H239</f>
        <v>B</v>
      </c>
      <c r="M120" s="2">
        <f>five子指标方向明细!I239</f>
        <v>5</v>
      </c>
      <c r="N120" s="2" t="str">
        <f>five子指标方向明细!L239</f>
        <v>B</v>
      </c>
      <c r="O120" s="2">
        <f t="shared" si="4"/>
        <v>1</v>
      </c>
      <c r="P120" s="2" t="str">
        <f t="shared" si="5"/>
        <v>B</v>
      </c>
      <c r="Q120" s="2" t="s">
        <v>22</v>
      </c>
      <c r="R120" s="2">
        <f t="shared" si="6"/>
        <v>1</v>
      </c>
      <c r="S120" s="2">
        <v>238</v>
      </c>
      <c r="T120" s="2">
        <v>239</v>
      </c>
      <c r="U120" s="2" t="str">
        <f t="shared" si="7"/>
        <v/>
      </c>
    </row>
    <row r="121" ht="23" customHeight="1" spans="1:21">
      <c r="A121" s="6" t="s">
        <v>141</v>
      </c>
      <c r="B121" s="2" t="s">
        <v>39</v>
      </c>
      <c r="C121" s="2">
        <v>5</v>
      </c>
      <c r="D121" s="6" t="s">
        <v>501</v>
      </c>
      <c r="E121" s="2" t="str">
        <f>five子指标方向明细!F240</f>
        <v>B</v>
      </c>
      <c r="F121" s="2">
        <f>five子指标方向明细!G240</f>
        <v>5</v>
      </c>
      <c r="G121" s="2" t="str">
        <f>five子指标方向明细!H240</f>
        <v>C</v>
      </c>
      <c r="H121" s="2">
        <f>five子指标方向明细!I240</f>
        <v>5</v>
      </c>
      <c r="I121" s="2" t="str">
        <f>five子指标方向明细!L240</f>
        <v>D(平局)</v>
      </c>
      <c r="J121" s="2" t="str">
        <f>five子指标方向明细!F241</f>
        <v>C</v>
      </c>
      <c r="K121" s="2">
        <f>five子指标方向明细!G241</f>
        <v>5</v>
      </c>
      <c r="L121" s="2" t="str">
        <f>five子指标方向明细!H241</f>
        <v>B</v>
      </c>
      <c r="M121" s="2">
        <f>five子指标方向明细!I241</f>
        <v>5</v>
      </c>
      <c r="N121" s="2" t="str">
        <f>five子指标方向明细!L241</f>
        <v>D(平局)</v>
      </c>
      <c r="O121" s="2">
        <f t="shared" si="4"/>
        <v>1</v>
      </c>
      <c r="P121" s="2" t="str">
        <f t="shared" si="5"/>
        <v>D(平局)</v>
      </c>
      <c r="Q121" s="2" t="s">
        <v>22</v>
      </c>
      <c r="R121" s="2">
        <f t="shared" si="6"/>
        <v>0</v>
      </c>
      <c r="S121" s="2">
        <v>240</v>
      </c>
      <c r="T121" s="2">
        <v>241</v>
      </c>
      <c r="U121" s="2" t="str">
        <f t="shared" si="7"/>
        <v>双向评分平局</v>
      </c>
    </row>
    <row r="122" ht="23" customHeight="1" spans="1:21">
      <c r="A122" s="6" t="s">
        <v>255</v>
      </c>
      <c r="B122" s="2" t="s">
        <v>15</v>
      </c>
      <c r="C122" s="2">
        <v>1</v>
      </c>
      <c r="D122" s="6" t="s">
        <v>497</v>
      </c>
      <c r="E122" s="2" t="str">
        <f>five子指标方向明细!F242</f>
        <v>A</v>
      </c>
      <c r="F122" s="2">
        <f>five子指标方向明细!G242</f>
        <v>4</v>
      </c>
      <c r="G122" s="2" t="str">
        <f>five子指标方向明细!H242</f>
        <v>B</v>
      </c>
      <c r="H122" s="2">
        <f>five子指标方向明细!I242</f>
        <v>4</v>
      </c>
      <c r="I122" s="2" t="str">
        <f>five子指标方向明细!L242</f>
        <v>D(平局)</v>
      </c>
      <c r="J122" s="2" t="str">
        <f>five子指标方向明细!F243</f>
        <v>B</v>
      </c>
      <c r="K122" s="2">
        <f>five子指标方向明细!G243</f>
        <v>4</v>
      </c>
      <c r="L122" s="2" t="str">
        <f>five子指标方向明细!H243</f>
        <v>A</v>
      </c>
      <c r="M122" s="2">
        <f>five子指标方向明细!I243</f>
        <v>4</v>
      </c>
      <c r="N122" s="2" t="str">
        <f>five子指标方向明细!L243</f>
        <v>D(平局)</v>
      </c>
      <c r="O122" s="2">
        <f t="shared" si="4"/>
        <v>1</v>
      </c>
      <c r="P122" s="2" t="str">
        <f t="shared" si="5"/>
        <v>D(平局)</v>
      </c>
      <c r="Q122" s="2" t="s">
        <v>23</v>
      </c>
      <c r="R122" s="2">
        <f t="shared" si="6"/>
        <v>1</v>
      </c>
      <c r="S122" s="2">
        <v>242</v>
      </c>
      <c r="T122" s="2">
        <v>243</v>
      </c>
      <c r="U122" s="2" t="str">
        <f t="shared" si="7"/>
        <v>双向评分平局</v>
      </c>
    </row>
    <row r="123" ht="23" customHeight="1" spans="1:21">
      <c r="A123" s="6" t="s">
        <v>255</v>
      </c>
      <c r="B123" s="2" t="s">
        <v>15</v>
      </c>
      <c r="C123" s="2">
        <v>2</v>
      </c>
      <c r="D123" s="6" t="s">
        <v>498</v>
      </c>
      <c r="E123" s="2" t="str">
        <f>five子指标方向明细!F244</f>
        <v>A</v>
      </c>
      <c r="F123" s="2">
        <f>five子指标方向明细!G244</f>
        <v>3</v>
      </c>
      <c r="G123" s="2" t="str">
        <f>five子指标方向明细!H244</f>
        <v>B</v>
      </c>
      <c r="H123" s="2">
        <f>five子指标方向明细!I244</f>
        <v>4</v>
      </c>
      <c r="I123" s="2" t="str">
        <f>five子指标方向明细!L244</f>
        <v>B</v>
      </c>
      <c r="J123" s="2" t="str">
        <f>five子指标方向明细!F245</f>
        <v>B</v>
      </c>
      <c r="K123" s="2">
        <f>five子指标方向明细!G245</f>
        <v>4</v>
      </c>
      <c r="L123" s="2" t="str">
        <f>five子指标方向明细!H245</f>
        <v>A</v>
      </c>
      <c r="M123" s="2">
        <f>five子指标方向明细!I245</f>
        <v>3</v>
      </c>
      <c r="N123" s="2" t="str">
        <f>five子指标方向明细!L245</f>
        <v>B</v>
      </c>
      <c r="O123" s="2">
        <f t="shared" si="4"/>
        <v>1</v>
      </c>
      <c r="P123" s="2" t="str">
        <f t="shared" si="5"/>
        <v>B</v>
      </c>
      <c r="Q123" s="2" t="s">
        <v>23</v>
      </c>
      <c r="R123" s="2">
        <f t="shared" si="6"/>
        <v>0</v>
      </c>
      <c r="S123" s="2">
        <v>244</v>
      </c>
      <c r="T123" s="2">
        <v>245</v>
      </c>
      <c r="U123" s="2" t="str">
        <f t="shared" si="7"/>
        <v/>
      </c>
    </row>
    <row r="124" ht="23" customHeight="1" spans="1:21">
      <c r="A124" s="6" t="s">
        <v>255</v>
      </c>
      <c r="B124" s="2" t="s">
        <v>15</v>
      </c>
      <c r="C124" s="2">
        <v>3</v>
      </c>
      <c r="D124" s="6" t="s">
        <v>499</v>
      </c>
      <c r="E124" s="2" t="str">
        <f>five子指标方向明细!F246</f>
        <v>A</v>
      </c>
      <c r="F124" s="2">
        <f>five子指标方向明细!G246</f>
        <v>4</v>
      </c>
      <c r="G124" s="2" t="str">
        <f>five子指标方向明细!H246</f>
        <v>B</v>
      </c>
      <c r="H124" s="2">
        <f>five子指标方向明细!I246</f>
        <v>3</v>
      </c>
      <c r="I124" s="2" t="str">
        <f>five子指标方向明细!L246</f>
        <v>A</v>
      </c>
      <c r="J124" s="2" t="str">
        <f>five子指标方向明细!F247</f>
        <v>B</v>
      </c>
      <c r="K124" s="2">
        <f>five子指标方向明细!G247</f>
        <v>4</v>
      </c>
      <c r="L124" s="2" t="str">
        <f>five子指标方向明细!H247</f>
        <v>A</v>
      </c>
      <c r="M124" s="2">
        <f>five子指标方向明细!I247</f>
        <v>4</v>
      </c>
      <c r="N124" s="2" t="str">
        <f>five子指标方向明细!L247</f>
        <v>D(平局)</v>
      </c>
      <c r="O124" s="2">
        <f t="shared" si="4"/>
        <v>0</v>
      </c>
      <c r="P124" s="2" t="str">
        <f t="shared" si="5"/>
        <v>D(平局)</v>
      </c>
      <c r="Q124" s="2" t="s">
        <v>23</v>
      </c>
      <c r="R124" s="2">
        <f t="shared" si="6"/>
        <v>1</v>
      </c>
      <c r="S124" s="2">
        <v>246</v>
      </c>
      <c r="T124" s="2">
        <v>247</v>
      </c>
      <c r="U124" s="2" t="str">
        <f t="shared" si="7"/>
        <v>方向冲突</v>
      </c>
    </row>
    <row r="125" ht="23" customHeight="1" spans="1:21">
      <c r="A125" s="6" t="s">
        <v>255</v>
      </c>
      <c r="B125" s="2" t="s">
        <v>15</v>
      </c>
      <c r="C125" s="2">
        <v>4</v>
      </c>
      <c r="D125" s="6" t="s">
        <v>500</v>
      </c>
      <c r="E125" s="2" t="str">
        <f>five子指标方向明细!F248</f>
        <v>A</v>
      </c>
      <c r="F125" s="2">
        <f>five子指标方向明细!G248</f>
        <v>4</v>
      </c>
      <c r="G125" s="2" t="str">
        <f>five子指标方向明细!H248</f>
        <v>B</v>
      </c>
      <c r="H125" s="2">
        <f>five子指标方向明细!I248</f>
        <v>4</v>
      </c>
      <c r="I125" s="2" t="str">
        <f>five子指标方向明细!L248</f>
        <v>D(平局)</v>
      </c>
      <c r="J125" s="2" t="str">
        <f>five子指标方向明细!F249</f>
        <v>B</v>
      </c>
      <c r="K125" s="2">
        <f>five子指标方向明细!G249</f>
        <v>3</v>
      </c>
      <c r="L125" s="2" t="str">
        <f>five子指标方向明细!H249</f>
        <v>A</v>
      </c>
      <c r="M125" s="2">
        <f>five子指标方向明细!I249</f>
        <v>3</v>
      </c>
      <c r="N125" s="2" t="str">
        <f>five子指标方向明细!L249</f>
        <v>D(平局)</v>
      </c>
      <c r="O125" s="2">
        <f t="shared" si="4"/>
        <v>1</v>
      </c>
      <c r="P125" s="2" t="str">
        <f t="shared" si="5"/>
        <v>D(平局)</v>
      </c>
      <c r="Q125" s="2" t="s">
        <v>23</v>
      </c>
      <c r="R125" s="2">
        <f t="shared" si="6"/>
        <v>1</v>
      </c>
      <c r="S125" s="2">
        <v>248</v>
      </c>
      <c r="T125" s="2">
        <v>249</v>
      </c>
      <c r="U125" s="2" t="str">
        <f t="shared" si="7"/>
        <v>双向评分平局</v>
      </c>
    </row>
    <row r="126" ht="23" customHeight="1" spans="1:21">
      <c r="A126" s="6" t="s">
        <v>255</v>
      </c>
      <c r="B126" s="2" t="s">
        <v>15</v>
      </c>
      <c r="C126" s="2">
        <v>5</v>
      </c>
      <c r="D126" s="6" t="s">
        <v>501</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23</v>
      </c>
      <c r="R126" s="2">
        <f t="shared" si="6"/>
        <v>1</v>
      </c>
      <c r="S126" s="2">
        <v>250</v>
      </c>
      <c r="T126" s="2">
        <v>251</v>
      </c>
      <c r="U126" s="2" t="str">
        <f t="shared" si="7"/>
        <v>双向评分平局</v>
      </c>
    </row>
    <row r="127" ht="23" customHeight="1" spans="1:21">
      <c r="A127" s="6" t="s">
        <v>255</v>
      </c>
      <c r="B127" s="2" t="s">
        <v>31</v>
      </c>
      <c r="C127" s="2">
        <v>1</v>
      </c>
      <c r="D127" s="6" t="s">
        <v>497</v>
      </c>
      <c r="E127" s="2" t="str">
        <f>five子指标方向明细!F252</f>
        <v>A</v>
      </c>
      <c r="F127" s="2">
        <f>five子指标方向明细!G252</f>
        <v>4</v>
      </c>
      <c r="G127" s="2" t="str">
        <f>five子指标方向明细!H252</f>
        <v>C</v>
      </c>
      <c r="H127" s="2">
        <f>five子指标方向明细!I252</f>
        <v>3</v>
      </c>
      <c r="I127" s="2" t="str">
        <f>five子指标方向明细!L252</f>
        <v>A</v>
      </c>
      <c r="J127" s="2" t="str">
        <f>five子指标方向明细!F253</f>
        <v>C</v>
      </c>
      <c r="K127" s="2">
        <f>five子指标方向明细!G253</f>
        <v>3</v>
      </c>
      <c r="L127" s="2" t="str">
        <f>five子指标方向明细!H253</f>
        <v>A</v>
      </c>
      <c r="M127" s="2">
        <f>five子指标方向明细!I253</f>
        <v>4</v>
      </c>
      <c r="N127" s="2" t="str">
        <f>five子指标方向明细!L253</f>
        <v>A</v>
      </c>
      <c r="O127" s="2">
        <f t="shared" si="4"/>
        <v>1</v>
      </c>
      <c r="P127" s="2" t="str">
        <f t="shared" si="5"/>
        <v>A</v>
      </c>
      <c r="Q127" s="2" t="s">
        <v>34</v>
      </c>
      <c r="R127" s="2">
        <f t="shared" si="6"/>
        <v>1</v>
      </c>
      <c r="S127" s="2">
        <v>252</v>
      </c>
      <c r="T127" s="2">
        <v>253</v>
      </c>
      <c r="U127" s="2" t="str">
        <f t="shared" si="7"/>
        <v/>
      </c>
    </row>
    <row r="128" ht="23" customHeight="1" spans="1:21">
      <c r="A128" s="6" t="s">
        <v>255</v>
      </c>
      <c r="B128" s="2" t="s">
        <v>31</v>
      </c>
      <c r="C128" s="2">
        <v>2</v>
      </c>
      <c r="D128" s="6" t="s">
        <v>498</v>
      </c>
      <c r="E128" s="2" t="str">
        <f>five子指标方向明细!F254</f>
        <v>A</v>
      </c>
      <c r="F128" s="2">
        <f>five子指标方向明细!G254</f>
        <v>4</v>
      </c>
      <c r="G128" s="2" t="str">
        <f>five子指标方向明细!H254</f>
        <v>C</v>
      </c>
      <c r="H128" s="2">
        <f>five子指标方向明细!I254</f>
        <v>3</v>
      </c>
      <c r="I128" s="2" t="str">
        <f>five子指标方向明细!L254</f>
        <v>A</v>
      </c>
      <c r="J128" s="2" t="str">
        <f>five子指标方向明细!F255</f>
        <v>C</v>
      </c>
      <c r="K128" s="2">
        <f>five子指标方向明细!G255</f>
        <v>2</v>
      </c>
      <c r="L128" s="2" t="str">
        <f>five子指标方向明细!H255</f>
        <v>A</v>
      </c>
      <c r="M128" s="2">
        <f>five子指标方向明细!I255</f>
        <v>4</v>
      </c>
      <c r="N128" s="2" t="str">
        <f>five子指标方向明细!L255</f>
        <v>A</v>
      </c>
      <c r="O128" s="2">
        <f t="shared" si="4"/>
        <v>1</v>
      </c>
      <c r="P128" s="2" t="str">
        <f t="shared" si="5"/>
        <v>A</v>
      </c>
      <c r="Q128" s="2" t="s">
        <v>34</v>
      </c>
      <c r="R128" s="2">
        <f t="shared" si="6"/>
        <v>1</v>
      </c>
      <c r="S128" s="2">
        <v>254</v>
      </c>
      <c r="T128" s="2">
        <v>255</v>
      </c>
      <c r="U128" s="2" t="str">
        <f t="shared" si="7"/>
        <v/>
      </c>
    </row>
    <row r="129" ht="23" customHeight="1" spans="1:21">
      <c r="A129" s="6" t="s">
        <v>255</v>
      </c>
      <c r="B129" s="2" t="s">
        <v>31</v>
      </c>
      <c r="C129" s="2">
        <v>3</v>
      </c>
      <c r="D129" s="6" t="s">
        <v>499</v>
      </c>
      <c r="E129" s="2" t="str">
        <f>five子指标方向明细!F256</f>
        <v>A</v>
      </c>
      <c r="F129" s="2">
        <f>five子指标方向明细!G256</f>
        <v>5</v>
      </c>
      <c r="G129" s="2" t="str">
        <f>five子指标方向明细!H256</f>
        <v>C</v>
      </c>
      <c r="H129" s="2">
        <f>five子指标方向明细!I256</f>
        <v>2</v>
      </c>
      <c r="I129" s="2" t="str">
        <f>five子指标方向明细!L256</f>
        <v>A</v>
      </c>
      <c r="J129" s="2" t="str">
        <f>five子指标方向明细!F257</f>
        <v>C</v>
      </c>
      <c r="K129" s="2">
        <f>five子指标方向明细!G257</f>
        <v>2</v>
      </c>
      <c r="L129" s="2" t="str">
        <f>five子指标方向明细!H257</f>
        <v>A</v>
      </c>
      <c r="M129" s="2">
        <f>five子指标方向明细!I257</f>
        <v>4</v>
      </c>
      <c r="N129" s="2" t="str">
        <f>five子指标方向明细!L257</f>
        <v>A</v>
      </c>
      <c r="O129" s="2">
        <f t="shared" si="4"/>
        <v>1</v>
      </c>
      <c r="P129" s="2" t="str">
        <f t="shared" si="5"/>
        <v>A</v>
      </c>
      <c r="Q129" s="2" t="s">
        <v>34</v>
      </c>
      <c r="R129" s="2">
        <f t="shared" si="6"/>
        <v>1</v>
      </c>
      <c r="S129" s="2">
        <v>256</v>
      </c>
      <c r="T129" s="2">
        <v>257</v>
      </c>
      <c r="U129" s="2" t="str">
        <f t="shared" si="7"/>
        <v/>
      </c>
    </row>
    <row r="130" ht="23" customHeight="1" spans="1:21">
      <c r="A130" s="6" t="s">
        <v>255</v>
      </c>
      <c r="B130" s="2" t="s">
        <v>31</v>
      </c>
      <c r="C130" s="2">
        <v>4</v>
      </c>
      <c r="D130" s="6" t="s">
        <v>500</v>
      </c>
      <c r="E130" s="2" t="str">
        <f>five子指标方向明细!F258</f>
        <v>A</v>
      </c>
      <c r="F130" s="2">
        <f>five子指标方向明细!G258</f>
        <v>4</v>
      </c>
      <c r="G130" s="2" t="str">
        <f>five子指标方向明细!H258</f>
        <v>C</v>
      </c>
      <c r="H130" s="2">
        <f>five子指标方向明细!I258</f>
        <v>2</v>
      </c>
      <c r="I130" s="2" t="str">
        <f>five子指标方向明细!L258</f>
        <v>A</v>
      </c>
      <c r="J130" s="2" t="str">
        <f>five子指标方向明细!F259</f>
        <v>C</v>
      </c>
      <c r="K130" s="2">
        <f>five子指标方向明细!G259</f>
        <v>3</v>
      </c>
      <c r="L130" s="2" t="str">
        <f>five子指标方向明细!H259</f>
        <v>A</v>
      </c>
      <c r="M130" s="2">
        <f>five子指标方向明细!I259</f>
        <v>4</v>
      </c>
      <c r="N130" s="2" t="str">
        <f>five子指标方向明细!L259</f>
        <v>A</v>
      </c>
      <c r="O130" s="2">
        <f t="shared" ref="O130:O181" si="8">--(I130=N130)</f>
        <v>1</v>
      </c>
      <c r="P130" s="2" t="str">
        <f t="shared" ref="P130:P181" si="9">IF(I130=N130,I130,"D(平局)")</f>
        <v>A</v>
      </c>
      <c r="Q130" s="2" t="s">
        <v>34</v>
      </c>
      <c r="R130" s="2">
        <f t="shared" ref="R130:R181" si="10">--(P130=Q130)</f>
        <v>1</v>
      </c>
      <c r="S130" s="2">
        <v>258</v>
      </c>
      <c r="T130" s="2">
        <v>259</v>
      </c>
      <c r="U130" s="2" t="str">
        <f t="shared" ref="U130:U181" si="11">IF(P130&lt;&gt;"D(平局)","",IF(O130=0,"方向冲突","双向评分平局"))</f>
        <v/>
      </c>
    </row>
    <row r="131" ht="23" customHeight="1" spans="1:21">
      <c r="A131" s="6" t="s">
        <v>255</v>
      </c>
      <c r="B131" s="2" t="s">
        <v>31</v>
      </c>
      <c r="C131" s="2">
        <v>5</v>
      </c>
      <c r="D131" s="6" t="s">
        <v>501</v>
      </c>
      <c r="E131" s="2" t="str">
        <f>five子指标方向明细!F260</f>
        <v>A</v>
      </c>
      <c r="F131" s="2">
        <f>five子指标方向明细!G260</f>
        <v>5</v>
      </c>
      <c r="G131" s="2" t="str">
        <f>five子指标方向明细!H260</f>
        <v>C</v>
      </c>
      <c r="H131" s="2">
        <f>five子指标方向明细!I260</f>
        <v>5</v>
      </c>
      <c r="I131" s="2" t="str">
        <f>five子指标方向明细!L260</f>
        <v>D(平局)</v>
      </c>
      <c r="J131" s="2" t="str">
        <f>five子指标方向明细!F261</f>
        <v>C</v>
      </c>
      <c r="K131" s="2">
        <f>five子指标方向明细!G261</f>
        <v>5</v>
      </c>
      <c r="L131" s="2" t="str">
        <f>five子指标方向明细!H261</f>
        <v>A</v>
      </c>
      <c r="M131" s="2">
        <f>five子指标方向明细!I261</f>
        <v>5</v>
      </c>
      <c r="N131" s="2" t="str">
        <f>five子指标方向明细!L261</f>
        <v>D(平局)</v>
      </c>
      <c r="O131" s="2">
        <f t="shared" si="8"/>
        <v>1</v>
      </c>
      <c r="P131" s="2" t="str">
        <f t="shared" si="9"/>
        <v>D(平局)</v>
      </c>
      <c r="Q131" s="2" t="s">
        <v>34</v>
      </c>
      <c r="R131" s="2">
        <f t="shared" si="10"/>
        <v>0</v>
      </c>
      <c r="S131" s="2">
        <v>260</v>
      </c>
      <c r="T131" s="2">
        <v>261</v>
      </c>
      <c r="U131" s="2" t="str">
        <f t="shared" si="11"/>
        <v>双向评分平局</v>
      </c>
    </row>
    <row r="132" ht="23" customHeight="1" spans="1:21">
      <c r="A132" s="6" t="s">
        <v>255</v>
      </c>
      <c r="B132" s="2" t="s">
        <v>39</v>
      </c>
      <c r="C132" s="2">
        <v>1</v>
      </c>
      <c r="D132" s="6" t="s">
        <v>497</v>
      </c>
      <c r="E132" s="2" t="str">
        <f>five子指标方向明细!F262</f>
        <v>B</v>
      </c>
      <c r="F132" s="2">
        <f>five子指标方向明细!G262</f>
        <v>4</v>
      </c>
      <c r="G132" s="2" t="str">
        <f>five子指标方向明细!H262</f>
        <v>C</v>
      </c>
      <c r="H132" s="2">
        <f>five子指标方向明细!I262</f>
        <v>3</v>
      </c>
      <c r="I132" s="2" t="str">
        <f>five子指标方向明细!L262</f>
        <v>B</v>
      </c>
      <c r="J132" s="2" t="str">
        <f>five子指标方向明细!F263</f>
        <v>C</v>
      </c>
      <c r="K132" s="2">
        <f>five子指标方向明细!G263</f>
        <v>3</v>
      </c>
      <c r="L132" s="2" t="str">
        <f>five子指标方向明细!H263</f>
        <v>B</v>
      </c>
      <c r="M132" s="2">
        <f>five子指标方向明细!I263</f>
        <v>4</v>
      </c>
      <c r="N132" s="2" t="str">
        <f>five子指标方向明细!L263</f>
        <v>B</v>
      </c>
      <c r="O132" s="2">
        <f t="shared" si="8"/>
        <v>1</v>
      </c>
      <c r="P132" s="2" t="str">
        <f t="shared" si="9"/>
        <v>B</v>
      </c>
      <c r="Q132" s="2" t="s">
        <v>22</v>
      </c>
      <c r="R132" s="2">
        <f t="shared" si="10"/>
        <v>1</v>
      </c>
      <c r="S132" s="2">
        <v>262</v>
      </c>
      <c r="T132" s="2">
        <v>263</v>
      </c>
      <c r="U132" s="2" t="str">
        <f t="shared" si="11"/>
        <v/>
      </c>
    </row>
    <row r="133" ht="23" customHeight="1" spans="1:21">
      <c r="A133" s="6" t="s">
        <v>255</v>
      </c>
      <c r="B133" s="2" t="s">
        <v>39</v>
      </c>
      <c r="C133" s="2">
        <v>2</v>
      </c>
      <c r="D133" s="6" t="s">
        <v>498</v>
      </c>
      <c r="E133" s="2" t="str">
        <f>five子指标方向明细!F264</f>
        <v>B</v>
      </c>
      <c r="F133" s="2">
        <f>five子指标方向明细!G264</f>
        <v>4</v>
      </c>
      <c r="G133" s="2" t="str">
        <f>five子指标方向明细!H264</f>
        <v>C</v>
      </c>
      <c r="H133" s="2">
        <f>five子指标方向明细!I264</f>
        <v>3</v>
      </c>
      <c r="I133" s="2" t="str">
        <f>five子指标方向明细!L264</f>
        <v>B</v>
      </c>
      <c r="J133" s="2" t="str">
        <f>five子指标方向明细!F265</f>
        <v>C</v>
      </c>
      <c r="K133" s="2">
        <f>five子指标方向明细!G265</f>
        <v>3</v>
      </c>
      <c r="L133" s="2" t="str">
        <f>five子指标方向明细!H265</f>
        <v>B</v>
      </c>
      <c r="M133" s="2">
        <f>five子指标方向明细!I265</f>
        <v>4</v>
      </c>
      <c r="N133" s="2" t="str">
        <f>five子指标方向明细!L265</f>
        <v>B</v>
      </c>
      <c r="O133" s="2">
        <f t="shared" si="8"/>
        <v>1</v>
      </c>
      <c r="P133" s="2" t="str">
        <f t="shared" si="9"/>
        <v>B</v>
      </c>
      <c r="Q133" s="2" t="s">
        <v>22</v>
      </c>
      <c r="R133" s="2">
        <f t="shared" si="10"/>
        <v>1</v>
      </c>
      <c r="S133" s="2">
        <v>264</v>
      </c>
      <c r="T133" s="2">
        <v>265</v>
      </c>
      <c r="U133" s="2" t="str">
        <f t="shared" si="11"/>
        <v/>
      </c>
    </row>
    <row r="134" ht="23" customHeight="1" spans="1:21">
      <c r="A134" s="6" t="s">
        <v>255</v>
      </c>
      <c r="B134" s="2" t="s">
        <v>39</v>
      </c>
      <c r="C134" s="2">
        <v>3</v>
      </c>
      <c r="D134" s="6" t="s">
        <v>499</v>
      </c>
      <c r="E134" s="2" t="str">
        <f>five子指标方向明细!F266</f>
        <v>B</v>
      </c>
      <c r="F134" s="2">
        <f>five子指标方向明细!G266</f>
        <v>4</v>
      </c>
      <c r="G134" s="2" t="str">
        <f>five子指标方向明细!H266</f>
        <v>C</v>
      </c>
      <c r="H134" s="2">
        <f>five子指标方向明细!I266</f>
        <v>3</v>
      </c>
      <c r="I134" s="2" t="str">
        <f>five子指标方向明细!L266</f>
        <v>B</v>
      </c>
      <c r="J134" s="2" t="str">
        <f>five子指标方向明细!F267</f>
        <v>C</v>
      </c>
      <c r="K134" s="2">
        <f>five子指标方向明细!G267</f>
        <v>3</v>
      </c>
      <c r="L134" s="2" t="str">
        <f>five子指标方向明细!H267</f>
        <v>B</v>
      </c>
      <c r="M134" s="2">
        <f>five子指标方向明细!I267</f>
        <v>4</v>
      </c>
      <c r="N134" s="2" t="str">
        <f>five子指标方向明细!L267</f>
        <v>B</v>
      </c>
      <c r="O134" s="2">
        <f t="shared" si="8"/>
        <v>1</v>
      </c>
      <c r="P134" s="2" t="str">
        <f t="shared" si="9"/>
        <v>B</v>
      </c>
      <c r="Q134" s="2" t="s">
        <v>22</v>
      </c>
      <c r="R134" s="2">
        <f t="shared" si="10"/>
        <v>1</v>
      </c>
      <c r="S134" s="2">
        <v>266</v>
      </c>
      <c r="T134" s="2">
        <v>267</v>
      </c>
      <c r="U134" s="2" t="str">
        <f t="shared" si="11"/>
        <v/>
      </c>
    </row>
    <row r="135" ht="23" customHeight="1" spans="1:21">
      <c r="A135" s="6" t="s">
        <v>255</v>
      </c>
      <c r="B135" s="2" t="s">
        <v>39</v>
      </c>
      <c r="C135" s="2">
        <v>4</v>
      </c>
      <c r="D135" s="6" t="s">
        <v>500</v>
      </c>
      <c r="E135" s="2" t="str">
        <f>five子指标方向明细!F268</f>
        <v>B</v>
      </c>
      <c r="F135" s="2">
        <f>five子指标方向明细!G268</f>
        <v>5</v>
      </c>
      <c r="G135" s="2" t="str">
        <f>five子指标方向明细!H268</f>
        <v>C</v>
      </c>
      <c r="H135" s="2">
        <f>five子指标方向明细!I268</f>
        <v>3</v>
      </c>
      <c r="I135" s="2" t="str">
        <f>five子指标方向明细!L268</f>
        <v>B</v>
      </c>
      <c r="J135" s="2" t="str">
        <f>five子指标方向明细!F269</f>
        <v>C</v>
      </c>
      <c r="K135" s="2">
        <f>five子指标方向明细!G269</f>
        <v>3</v>
      </c>
      <c r="L135" s="2" t="str">
        <f>five子指标方向明细!H269</f>
        <v>B</v>
      </c>
      <c r="M135" s="2">
        <f>five子指标方向明细!I269</f>
        <v>4</v>
      </c>
      <c r="N135" s="2" t="str">
        <f>five子指标方向明细!L269</f>
        <v>B</v>
      </c>
      <c r="O135" s="2">
        <f t="shared" si="8"/>
        <v>1</v>
      </c>
      <c r="P135" s="2" t="str">
        <f t="shared" si="9"/>
        <v>B</v>
      </c>
      <c r="Q135" s="2" t="s">
        <v>22</v>
      </c>
      <c r="R135" s="2">
        <f t="shared" si="10"/>
        <v>1</v>
      </c>
      <c r="S135" s="2">
        <v>268</v>
      </c>
      <c r="T135" s="2">
        <v>269</v>
      </c>
      <c r="U135" s="2" t="str">
        <f t="shared" si="11"/>
        <v/>
      </c>
    </row>
    <row r="136" ht="23" customHeight="1" spans="1:21">
      <c r="A136" s="6" t="s">
        <v>255</v>
      </c>
      <c r="B136" s="2" t="s">
        <v>39</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4</v>
      </c>
      <c r="L136" s="2" t="str">
        <f>five子指标方向明细!H271</f>
        <v>B</v>
      </c>
      <c r="M136" s="2">
        <f>five子指标方向明细!I271</f>
        <v>5</v>
      </c>
      <c r="N136" s="2" t="str">
        <f>five子指标方向明细!L271</f>
        <v>B</v>
      </c>
      <c r="O136" s="2">
        <f t="shared" si="8"/>
        <v>0</v>
      </c>
      <c r="P136" s="2" t="str">
        <f t="shared" si="9"/>
        <v>D(平局)</v>
      </c>
      <c r="Q136" s="2" t="s">
        <v>22</v>
      </c>
      <c r="R136" s="2">
        <f t="shared" si="10"/>
        <v>0</v>
      </c>
      <c r="S136" s="2">
        <v>270</v>
      </c>
      <c r="T136" s="2">
        <v>271</v>
      </c>
      <c r="U136" s="2" t="str">
        <f t="shared" si="11"/>
        <v>方向冲突</v>
      </c>
    </row>
    <row r="137" ht="23" customHeight="1" spans="1:21">
      <c r="A137" s="6" t="s">
        <v>331</v>
      </c>
      <c r="B137" s="2" t="s">
        <v>15</v>
      </c>
      <c r="C137" s="2">
        <v>1</v>
      </c>
      <c r="D137" s="6" t="s">
        <v>497</v>
      </c>
      <c r="E137" s="2" t="str">
        <f>five子指标方向明细!F272</f>
        <v>A</v>
      </c>
      <c r="F137" s="2">
        <f>five子指标方向明细!G272</f>
        <v>4</v>
      </c>
      <c r="G137" s="2" t="str">
        <f>five子指标方向明细!H272</f>
        <v>B</v>
      </c>
      <c r="H137" s="2">
        <f>five子指标方向明细!I272</f>
        <v>5</v>
      </c>
      <c r="I137" s="2" t="str">
        <f>five子指标方向明细!L272</f>
        <v>B</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1</v>
      </c>
      <c r="P137" s="2" t="str">
        <f t="shared" si="9"/>
        <v>B</v>
      </c>
      <c r="Q137" s="2" t="s">
        <v>22</v>
      </c>
      <c r="R137" s="2">
        <f t="shared" si="10"/>
        <v>1</v>
      </c>
      <c r="S137" s="2">
        <v>272</v>
      </c>
      <c r="T137" s="2">
        <v>273</v>
      </c>
      <c r="U137" s="2" t="str">
        <f t="shared" si="11"/>
        <v/>
      </c>
    </row>
    <row r="138" ht="23" customHeight="1" spans="1:21">
      <c r="A138" s="6" t="s">
        <v>331</v>
      </c>
      <c r="B138" s="2" t="s">
        <v>15</v>
      </c>
      <c r="C138" s="2">
        <v>2</v>
      </c>
      <c r="D138" s="6" t="s">
        <v>498</v>
      </c>
      <c r="E138" s="2" t="str">
        <f>five子指标方向明细!F274</f>
        <v>A</v>
      </c>
      <c r="F138" s="2">
        <f>five子指标方向明细!G274</f>
        <v>4</v>
      </c>
      <c r="G138" s="2" t="str">
        <f>five子指标方向明细!H274</f>
        <v>B</v>
      </c>
      <c r="H138" s="2">
        <f>five子指标方向明细!I274</f>
        <v>4</v>
      </c>
      <c r="I138" s="2" t="str">
        <f>five子指标方向明细!L274</f>
        <v>D(平局)</v>
      </c>
      <c r="J138" s="2" t="str">
        <f>five子指标方向明细!F275</f>
        <v>B</v>
      </c>
      <c r="K138" s="2">
        <f>five子指标方向明细!G275</f>
        <v>5</v>
      </c>
      <c r="L138" s="2" t="str">
        <f>five子指标方向明细!H275</f>
        <v>A</v>
      </c>
      <c r="M138" s="2">
        <f>five子指标方向明细!I275</f>
        <v>3</v>
      </c>
      <c r="N138" s="2" t="str">
        <f>five子指标方向明细!L275</f>
        <v>B</v>
      </c>
      <c r="O138" s="2">
        <f t="shared" si="8"/>
        <v>0</v>
      </c>
      <c r="P138" s="2" t="str">
        <f t="shared" si="9"/>
        <v>D(平局)</v>
      </c>
      <c r="Q138" s="2" t="s">
        <v>22</v>
      </c>
      <c r="R138" s="2">
        <f t="shared" si="10"/>
        <v>0</v>
      </c>
      <c r="S138" s="2">
        <v>274</v>
      </c>
      <c r="T138" s="2">
        <v>275</v>
      </c>
      <c r="U138" s="2" t="str">
        <f t="shared" si="11"/>
        <v>方向冲突</v>
      </c>
    </row>
    <row r="139" ht="23" customHeight="1" spans="1:21">
      <c r="A139" s="6" t="s">
        <v>331</v>
      </c>
      <c r="B139" s="2" t="s">
        <v>15</v>
      </c>
      <c r="C139" s="2">
        <v>3</v>
      </c>
      <c r="D139" s="6" t="s">
        <v>499</v>
      </c>
      <c r="E139" s="2" t="str">
        <f>five子指标方向明细!F276</f>
        <v>A</v>
      </c>
      <c r="F139" s="2">
        <f>five子指标方向明细!G276</f>
        <v>4</v>
      </c>
      <c r="G139" s="2" t="str">
        <f>five子指标方向明细!H276</f>
        <v>B</v>
      </c>
      <c r="H139" s="2">
        <f>five子指标方向明细!I276</f>
        <v>4</v>
      </c>
      <c r="I139" s="2" t="str">
        <f>five子指标方向明细!L276</f>
        <v>D(平局)</v>
      </c>
      <c r="J139" s="2" t="str">
        <f>five子指标方向明细!F277</f>
        <v>B</v>
      </c>
      <c r="K139" s="2">
        <f>five子指标方向明细!G277</f>
        <v>5</v>
      </c>
      <c r="L139" s="2" t="str">
        <f>five子指标方向明细!H277</f>
        <v>A</v>
      </c>
      <c r="M139" s="2">
        <f>five子指标方向明细!I277</f>
        <v>4</v>
      </c>
      <c r="N139" s="2" t="str">
        <f>five子指标方向明细!L277</f>
        <v>B</v>
      </c>
      <c r="O139" s="2">
        <f t="shared" si="8"/>
        <v>0</v>
      </c>
      <c r="P139" s="2" t="str">
        <f t="shared" si="9"/>
        <v>D(平局)</v>
      </c>
      <c r="Q139" s="2" t="s">
        <v>22</v>
      </c>
      <c r="R139" s="2">
        <f t="shared" si="10"/>
        <v>0</v>
      </c>
      <c r="S139" s="2">
        <v>276</v>
      </c>
      <c r="T139" s="2">
        <v>277</v>
      </c>
      <c r="U139" s="2" t="str">
        <f t="shared" si="11"/>
        <v>方向冲突</v>
      </c>
    </row>
    <row r="140" ht="23" customHeight="1" spans="1:21">
      <c r="A140" s="6" t="s">
        <v>331</v>
      </c>
      <c r="B140" s="2" t="s">
        <v>15</v>
      </c>
      <c r="C140" s="2">
        <v>4</v>
      </c>
      <c r="D140" s="6" t="s">
        <v>500</v>
      </c>
      <c r="E140" s="2" t="str">
        <f>five子指标方向明细!F278</f>
        <v>A</v>
      </c>
      <c r="F140" s="2">
        <f>five子指标方向明细!G278</f>
        <v>4</v>
      </c>
      <c r="G140" s="2" t="str">
        <f>five子指标方向明细!H278</f>
        <v>B</v>
      </c>
      <c r="H140" s="2">
        <f>five子指标方向明细!I278</f>
        <v>5</v>
      </c>
      <c r="I140" s="2" t="str">
        <f>five子指标方向明细!L278</f>
        <v>B</v>
      </c>
      <c r="J140" s="2" t="str">
        <f>five子指标方向明细!F279</f>
        <v>B</v>
      </c>
      <c r="K140" s="2">
        <f>five子指标方向明细!G279</f>
        <v>5</v>
      </c>
      <c r="L140" s="2" t="str">
        <f>five子指标方向明细!H279</f>
        <v>A</v>
      </c>
      <c r="M140" s="2">
        <f>five子指标方向明细!I279</f>
        <v>3</v>
      </c>
      <c r="N140" s="2" t="str">
        <f>five子指标方向明细!L279</f>
        <v>B</v>
      </c>
      <c r="O140" s="2">
        <f t="shared" si="8"/>
        <v>1</v>
      </c>
      <c r="P140" s="2" t="str">
        <f t="shared" si="9"/>
        <v>B</v>
      </c>
      <c r="Q140" s="2" t="s">
        <v>22</v>
      </c>
      <c r="R140" s="2">
        <f t="shared" si="10"/>
        <v>1</v>
      </c>
      <c r="S140" s="2">
        <v>278</v>
      </c>
      <c r="T140" s="2">
        <v>279</v>
      </c>
      <c r="U140" s="2" t="str">
        <f t="shared" si="11"/>
        <v/>
      </c>
    </row>
    <row r="141" ht="23" customHeight="1" spans="1:21">
      <c r="A141" s="6" t="s">
        <v>331</v>
      </c>
      <c r="B141" s="2" t="s">
        <v>15</v>
      </c>
      <c r="C141" s="2">
        <v>5</v>
      </c>
      <c r="D141" s="6" t="s">
        <v>501</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5</v>
      </c>
      <c r="N141" s="2" t="str">
        <f>five子指标方向明细!L281</f>
        <v>D(平局)</v>
      </c>
      <c r="O141" s="2">
        <f t="shared" si="8"/>
        <v>1</v>
      </c>
      <c r="P141" s="2" t="str">
        <f t="shared" si="9"/>
        <v>D(平局)</v>
      </c>
      <c r="Q141" s="2" t="s">
        <v>22</v>
      </c>
      <c r="R141" s="2">
        <f t="shared" si="10"/>
        <v>0</v>
      </c>
      <c r="S141" s="2">
        <v>280</v>
      </c>
      <c r="T141" s="2">
        <v>281</v>
      </c>
      <c r="U141" s="2" t="str">
        <f t="shared" si="11"/>
        <v>双向评分平局</v>
      </c>
    </row>
    <row r="142" ht="23" customHeight="1" spans="1:21">
      <c r="A142" s="6" t="s">
        <v>331</v>
      </c>
      <c r="B142" s="2" t="s">
        <v>31</v>
      </c>
      <c r="C142" s="2">
        <v>1</v>
      </c>
      <c r="D142" s="6" t="s">
        <v>497</v>
      </c>
      <c r="E142" s="2" t="str">
        <f>five子指标方向明细!F282</f>
        <v>A</v>
      </c>
      <c r="F142" s="2">
        <f>five子指标方向明细!G282</f>
        <v>4</v>
      </c>
      <c r="G142" s="2" t="str">
        <f>five子指标方向明细!H282</f>
        <v>C</v>
      </c>
      <c r="H142" s="2">
        <f>five子指标方向明细!I282</f>
        <v>3</v>
      </c>
      <c r="I142" s="2" t="str">
        <f>five子指标方向明细!L282</f>
        <v>A</v>
      </c>
      <c r="J142" s="2" t="str">
        <f>five子指标方向明细!F283</f>
        <v>C</v>
      </c>
      <c r="K142" s="2">
        <f>five子指标方向明细!G283</f>
        <v>3</v>
      </c>
      <c r="L142" s="2" t="str">
        <f>five子指标方向明细!H283</f>
        <v>A</v>
      </c>
      <c r="M142" s="2">
        <f>five子指标方向明细!I283</f>
        <v>4</v>
      </c>
      <c r="N142" s="2" t="str">
        <f>five子指标方向明细!L283</f>
        <v>A</v>
      </c>
      <c r="O142" s="2">
        <f t="shared" si="8"/>
        <v>1</v>
      </c>
      <c r="P142" s="2" t="str">
        <f t="shared" si="9"/>
        <v>A</v>
      </c>
      <c r="Q142" s="2" t="s">
        <v>34</v>
      </c>
      <c r="R142" s="2">
        <f t="shared" si="10"/>
        <v>1</v>
      </c>
      <c r="S142" s="2">
        <v>282</v>
      </c>
      <c r="T142" s="2">
        <v>283</v>
      </c>
      <c r="U142" s="2" t="str">
        <f t="shared" si="11"/>
        <v/>
      </c>
    </row>
    <row r="143" ht="23" customHeight="1" spans="1:21">
      <c r="A143" s="6" t="s">
        <v>331</v>
      </c>
      <c r="B143" s="2" t="s">
        <v>31</v>
      </c>
      <c r="C143" s="2">
        <v>2</v>
      </c>
      <c r="D143" s="6" t="s">
        <v>498</v>
      </c>
      <c r="E143" s="2" t="str">
        <f>five子指标方向明细!F284</f>
        <v>A</v>
      </c>
      <c r="F143" s="2">
        <f>five子指标方向明细!G284</f>
        <v>4</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4</v>
      </c>
      <c r="N143" s="2" t="str">
        <f>five子指标方向明细!L285</f>
        <v>A</v>
      </c>
      <c r="O143" s="2">
        <f t="shared" si="8"/>
        <v>1</v>
      </c>
      <c r="P143" s="2" t="str">
        <f t="shared" si="9"/>
        <v>A</v>
      </c>
      <c r="Q143" s="2" t="s">
        <v>34</v>
      </c>
      <c r="R143" s="2">
        <f t="shared" si="10"/>
        <v>1</v>
      </c>
      <c r="S143" s="2">
        <v>284</v>
      </c>
      <c r="T143" s="2">
        <v>285</v>
      </c>
      <c r="U143" s="2" t="str">
        <f t="shared" si="11"/>
        <v/>
      </c>
    </row>
    <row r="144" ht="23" customHeight="1" spans="1:21">
      <c r="A144" s="6" t="s">
        <v>331</v>
      </c>
      <c r="B144" s="2" t="s">
        <v>31</v>
      </c>
      <c r="C144" s="2">
        <v>3</v>
      </c>
      <c r="D144" s="6" t="s">
        <v>499</v>
      </c>
      <c r="E144" s="2" t="str">
        <f>five子指标方向明细!F286</f>
        <v>A</v>
      </c>
      <c r="F144" s="2">
        <f>five子指标方向明细!G286</f>
        <v>4</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4</v>
      </c>
      <c r="N144" s="2" t="str">
        <f>five子指标方向明细!L287</f>
        <v>A</v>
      </c>
      <c r="O144" s="2">
        <f t="shared" si="8"/>
        <v>1</v>
      </c>
      <c r="P144" s="2" t="str">
        <f t="shared" si="9"/>
        <v>A</v>
      </c>
      <c r="Q144" s="2" t="s">
        <v>34</v>
      </c>
      <c r="R144" s="2">
        <f t="shared" si="10"/>
        <v>1</v>
      </c>
      <c r="S144" s="2">
        <v>286</v>
      </c>
      <c r="T144" s="2">
        <v>287</v>
      </c>
      <c r="U144" s="2" t="str">
        <f t="shared" si="11"/>
        <v/>
      </c>
    </row>
    <row r="145" ht="23" customHeight="1" spans="1:21">
      <c r="A145" s="6" t="s">
        <v>331</v>
      </c>
      <c r="B145" s="2" t="s">
        <v>31</v>
      </c>
      <c r="C145" s="2">
        <v>4</v>
      </c>
      <c r="D145" s="6" t="s">
        <v>500</v>
      </c>
      <c r="E145" s="2" t="str">
        <f>five子指标方向明细!F288</f>
        <v>A</v>
      </c>
      <c r="F145" s="2">
        <f>five子指标方向明细!G288</f>
        <v>4</v>
      </c>
      <c r="G145" s="2" t="str">
        <f>five子指标方向明细!H288</f>
        <v>C</v>
      </c>
      <c r="H145" s="2">
        <f>five子指标方向明细!I288</f>
        <v>2</v>
      </c>
      <c r="I145" s="2" t="str">
        <f>five子指标方向明细!L288</f>
        <v>A</v>
      </c>
      <c r="J145" s="2" t="str">
        <f>five子指标方向明细!F289</f>
        <v>C</v>
      </c>
      <c r="K145" s="2">
        <f>five子指标方向明细!G289</f>
        <v>3</v>
      </c>
      <c r="L145" s="2" t="str">
        <f>five子指标方向明细!H289</f>
        <v>A</v>
      </c>
      <c r="M145" s="2">
        <f>five子指标方向明细!I289</f>
        <v>4</v>
      </c>
      <c r="N145" s="2" t="str">
        <f>five子指标方向明细!L289</f>
        <v>A</v>
      </c>
      <c r="O145" s="2">
        <f t="shared" si="8"/>
        <v>1</v>
      </c>
      <c r="P145" s="2" t="str">
        <f t="shared" si="9"/>
        <v>A</v>
      </c>
      <c r="Q145" s="2" t="s">
        <v>34</v>
      </c>
      <c r="R145" s="2">
        <f t="shared" si="10"/>
        <v>1</v>
      </c>
      <c r="S145" s="2">
        <v>288</v>
      </c>
      <c r="T145" s="2">
        <v>289</v>
      </c>
      <c r="U145" s="2" t="str">
        <f t="shared" si="11"/>
        <v/>
      </c>
    </row>
    <row r="146" ht="23" customHeight="1" spans="1:21">
      <c r="A146" s="6" t="s">
        <v>331</v>
      </c>
      <c r="B146" s="2" t="s">
        <v>31</v>
      </c>
      <c r="C146" s="2">
        <v>5</v>
      </c>
      <c r="D146" s="6" t="s">
        <v>501</v>
      </c>
      <c r="E146" s="2" t="str">
        <f>five子指标方向明细!F290</f>
        <v>A</v>
      </c>
      <c r="F146" s="2">
        <f>five子指标方向明细!G290</f>
        <v>4</v>
      </c>
      <c r="G146" s="2" t="str">
        <f>five子指标方向明细!H290</f>
        <v>C</v>
      </c>
      <c r="H146" s="2">
        <f>five子指标方向明细!I290</f>
        <v>2</v>
      </c>
      <c r="I146" s="2" t="str">
        <f>five子指标方向明细!L290</f>
        <v>A</v>
      </c>
      <c r="J146" s="2" t="str">
        <f>five子指标方向明细!F291</f>
        <v>C</v>
      </c>
      <c r="K146" s="2">
        <f>five子指标方向明细!G291</f>
        <v>2</v>
      </c>
      <c r="L146" s="2" t="str">
        <f>five子指标方向明细!H291</f>
        <v>A</v>
      </c>
      <c r="M146" s="2">
        <f>five子指标方向明细!I291</f>
        <v>4</v>
      </c>
      <c r="N146" s="2" t="str">
        <f>five子指标方向明细!L291</f>
        <v>A</v>
      </c>
      <c r="O146" s="2">
        <f t="shared" si="8"/>
        <v>1</v>
      </c>
      <c r="P146" s="2" t="str">
        <f t="shared" si="9"/>
        <v>A</v>
      </c>
      <c r="Q146" s="2" t="s">
        <v>34</v>
      </c>
      <c r="R146" s="2">
        <f t="shared" si="10"/>
        <v>1</v>
      </c>
      <c r="S146" s="2">
        <v>290</v>
      </c>
      <c r="T146" s="2">
        <v>291</v>
      </c>
      <c r="U146" s="2" t="str">
        <f t="shared" si="11"/>
        <v/>
      </c>
    </row>
    <row r="147" ht="23" customHeight="1" spans="1:21">
      <c r="A147" s="6" t="s">
        <v>331</v>
      </c>
      <c r="B147" s="2" t="s">
        <v>39</v>
      </c>
      <c r="C147" s="2">
        <v>1</v>
      </c>
      <c r="D147" s="6" t="s">
        <v>497</v>
      </c>
      <c r="E147" s="2" t="str">
        <f>five子指标方向明细!F292</f>
        <v>B</v>
      </c>
      <c r="F147" s="2">
        <f>five子指标方向明细!G292</f>
        <v>5</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22</v>
      </c>
      <c r="R147" s="2">
        <f t="shared" si="10"/>
        <v>1</v>
      </c>
      <c r="S147" s="2">
        <v>292</v>
      </c>
      <c r="T147" s="2">
        <v>293</v>
      </c>
      <c r="U147" s="2" t="str">
        <f t="shared" si="11"/>
        <v/>
      </c>
    </row>
    <row r="148" ht="23" customHeight="1" spans="1:21">
      <c r="A148" s="6" t="s">
        <v>331</v>
      </c>
      <c r="B148" s="2" t="s">
        <v>39</v>
      </c>
      <c r="C148" s="2">
        <v>2</v>
      </c>
      <c r="D148" s="6" t="s">
        <v>498</v>
      </c>
      <c r="E148" s="2" t="str">
        <f>five子指标方向明细!F294</f>
        <v>B</v>
      </c>
      <c r="F148" s="2">
        <f>five子指标方向明细!G294</f>
        <v>4</v>
      </c>
      <c r="G148" s="2" t="str">
        <f>five子指标方向明细!H294</f>
        <v>C</v>
      </c>
      <c r="H148" s="2">
        <f>five子指标方向明细!I294</f>
        <v>2</v>
      </c>
      <c r="I148" s="2" t="str">
        <f>five子指标方向明细!L294</f>
        <v>B</v>
      </c>
      <c r="J148" s="2" t="str">
        <f>five子指标方向明细!F295</f>
        <v>C</v>
      </c>
      <c r="K148" s="2">
        <f>five子指标方向明细!G295</f>
        <v>3</v>
      </c>
      <c r="L148" s="2" t="str">
        <f>five子指标方向明细!H295</f>
        <v>B</v>
      </c>
      <c r="M148" s="2">
        <f>five子指标方向明细!I295</f>
        <v>4</v>
      </c>
      <c r="N148" s="2" t="str">
        <f>five子指标方向明细!L295</f>
        <v>B</v>
      </c>
      <c r="O148" s="2">
        <f t="shared" si="8"/>
        <v>1</v>
      </c>
      <c r="P148" s="2" t="str">
        <f t="shared" si="9"/>
        <v>B</v>
      </c>
      <c r="Q148" s="2" t="s">
        <v>22</v>
      </c>
      <c r="R148" s="2">
        <f t="shared" si="10"/>
        <v>1</v>
      </c>
      <c r="S148" s="2">
        <v>294</v>
      </c>
      <c r="T148" s="2">
        <v>295</v>
      </c>
      <c r="U148" s="2" t="str">
        <f t="shared" si="11"/>
        <v/>
      </c>
    </row>
    <row r="149" ht="23" customHeight="1" spans="1:21">
      <c r="A149" s="6" t="s">
        <v>331</v>
      </c>
      <c r="B149" s="2" t="s">
        <v>39</v>
      </c>
      <c r="C149" s="2">
        <v>3</v>
      </c>
      <c r="D149" s="6" t="s">
        <v>499</v>
      </c>
      <c r="E149" s="2" t="str">
        <f>five子指标方向明细!F296</f>
        <v>B</v>
      </c>
      <c r="F149" s="2">
        <f>five子指标方向明细!G296</f>
        <v>4</v>
      </c>
      <c r="G149" s="2" t="str">
        <f>five子指标方向明细!H296</f>
        <v>C</v>
      </c>
      <c r="H149" s="2">
        <f>five子指标方向明细!I296</f>
        <v>3</v>
      </c>
      <c r="I149" s="2" t="str">
        <f>five子指标方向明细!L296</f>
        <v>B</v>
      </c>
      <c r="J149" s="2" t="str">
        <f>five子指标方向明细!F297</f>
        <v>C</v>
      </c>
      <c r="K149" s="2">
        <f>five子指标方向明细!G297</f>
        <v>3</v>
      </c>
      <c r="L149" s="2" t="str">
        <f>five子指标方向明细!H297</f>
        <v>B</v>
      </c>
      <c r="M149" s="2">
        <f>five子指标方向明细!I297</f>
        <v>4</v>
      </c>
      <c r="N149" s="2" t="str">
        <f>five子指标方向明细!L297</f>
        <v>B</v>
      </c>
      <c r="O149" s="2">
        <f t="shared" si="8"/>
        <v>1</v>
      </c>
      <c r="P149" s="2" t="str">
        <f t="shared" si="9"/>
        <v>B</v>
      </c>
      <c r="Q149" s="2" t="s">
        <v>22</v>
      </c>
      <c r="R149" s="2">
        <f t="shared" si="10"/>
        <v>1</v>
      </c>
      <c r="S149" s="2">
        <v>296</v>
      </c>
      <c r="T149" s="2">
        <v>297</v>
      </c>
      <c r="U149" s="2" t="str">
        <f t="shared" si="11"/>
        <v/>
      </c>
    </row>
    <row r="150" ht="23" customHeight="1" spans="1:21">
      <c r="A150" s="6" t="s">
        <v>331</v>
      </c>
      <c r="B150" s="2" t="s">
        <v>39</v>
      </c>
      <c r="C150" s="2">
        <v>4</v>
      </c>
      <c r="D150" s="6" t="s">
        <v>500</v>
      </c>
      <c r="E150" s="2" t="str">
        <f>five子指标方向明细!F298</f>
        <v>B</v>
      </c>
      <c r="F150" s="2">
        <f>five子指标方向明细!G298</f>
        <v>4</v>
      </c>
      <c r="G150" s="2" t="str">
        <f>five子指标方向明细!H298</f>
        <v>C</v>
      </c>
      <c r="H150" s="2">
        <f>five子指标方向明细!I298</f>
        <v>2</v>
      </c>
      <c r="I150" s="2" t="str">
        <f>five子指标方向明细!L298</f>
        <v>B</v>
      </c>
      <c r="J150" s="2" t="str">
        <f>five子指标方向明细!F299</f>
        <v>C</v>
      </c>
      <c r="K150" s="2">
        <f>five子指标方向明细!G299</f>
        <v>4</v>
      </c>
      <c r="L150" s="2" t="str">
        <f>five子指标方向明细!H299</f>
        <v>B</v>
      </c>
      <c r="M150" s="2">
        <f>five子指标方向明细!I299</f>
        <v>5</v>
      </c>
      <c r="N150" s="2" t="str">
        <f>five子指标方向明细!L299</f>
        <v>B</v>
      </c>
      <c r="O150" s="2">
        <f t="shared" si="8"/>
        <v>1</v>
      </c>
      <c r="P150" s="2" t="str">
        <f t="shared" si="9"/>
        <v>B</v>
      </c>
      <c r="Q150" s="2" t="s">
        <v>22</v>
      </c>
      <c r="R150" s="2">
        <f t="shared" si="10"/>
        <v>1</v>
      </c>
      <c r="S150" s="2">
        <v>298</v>
      </c>
      <c r="T150" s="2">
        <v>299</v>
      </c>
      <c r="U150" s="2" t="str">
        <f t="shared" si="11"/>
        <v/>
      </c>
    </row>
    <row r="151" ht="23" customHeight="1" spans="1:21">
      <c r="A151" s="6" t="s">
        <v>331</v>
      </c>
      <c r="B151" s="2" t="s">
        <v>39</v>
      </c>
      <c r="C151" s="2">
        <v>5</v>
      </c>
      <c r="D151" s="6" t="s">
        <v>501</v>
      </c>
      <c r="E151" s="2" t="str">
        <f>five子指标方向明细!F300</f>
        <v>B</v>
      </c>
      <c r="F151" s="2">
        <f>five子指标方向明细!G300</f>
        <v>5</v>
      </c>
      <c r="G151" s="2" t="str">
        <f>five子指标方向明细!H300</f>
        <v>C</v>
      </c>
      <c r="H151" s="2">
        <f>five子指标方向明细!I300</f>
        <v>2</v>
      </c>
      <c r="I151" s="2" t="str">
        <f>five子指标方向明细!L300</f>
        <v>B</v>
      </c>
      <c r="J151" s="2" t="str">
        <f>five子指标方向明细!F301</f>
        <v>C</v>
      </c>
      <c r="K151" s="2">
        <f>five子指标方向明细!G301</f>
        <v>3</v>
      </c>
      <c r="L151" s="2" t="str">
        <f>five子指标方向明细!H301</f>
        <v>B</v>
      </c>
      <c r="M151" s="2">
        <f>five子指标方向明细!I301</f>
        <v>5</v>
      </c>
      <c r="N151" s="2" t="str">
        <f>five子指标方向明细!L301</f>
        <v>B</v>
      </c>
      <c r="O151" s="2">
        <f t="shared" si="8"/>
        <v>1</v>
      </c>
      <c r="P151" s="2" t="str">
        <f t="shared" si="9"/>
        <v>B</v>
      </c>
      <c r="Q151" s="2" t="s">
        <v>22</v>
      </c>
      <c r="R151" s="2">
        <f t="shared" si="10"/>
        <v>1</v>
      </c>
      <c r="S151" s="2">
        <v>300</v>
      </c>
      <c r="T151" s="2">
        <v>301</v>
      </c>
      <c r="U151" s="2" t="str">
        <f t="shared" si="11"/>
        <v/>
      </c>
    </row>
    <row r="152" ht="23" customHeight="1" spans="1:21">
      <c r="A152" s="6" t="s">
        <v>217</v>
      </c>
      <c r="B152" s="2" t="s">
        <v>15</v>
      </c>
      <c r="C152" s="2">
        <v>1</v>
      </c>
      <c r="D152" s="6" t="s">
        <v>497</v>
      </c>
      <c r="E152" s="2" t="str">
        <f>five子指标方向明细!F302</f>
        <v>A</v>
      </c>
      <c r="F152" s="2">
        <f>five子指标方向明细!G302</f>
        <v>3</v>
      </c>
      <c r="G152" s="2" t="str">
        <f>five子指标方向明细!H302</f>
        <v>B</v>
      </c>
      <c r="H152" s="2">
        <f>five子指标方向明细!I302</f>
        <v>5</v>
      </c>
      <c r="I152" s="2" t="str">
        <f>five子指标方向明细!L302</f>
        <v>B</v>
      </c>
      <c r="J152" s="2" t="str">
        <f>five子指标方向明细!F303</f>
        <v>B</v>
      </c>
      <c r="K152" s="2">
        <f>five子指标方向明细!G303</f>
        <v>5</v>
      </c>
      <c r="L152" s="2" t="str">
        <f>five子指标方向明细!H303</f>
        <v>A</v>
      </c>
      <c r="M152" s="2">
        <f>five子指标方向明细!I303</f>
        <v>3</v>
      </c>
      <c r="N152" s="2" t="str">
        <f>five子指标方向明细!L303</f>
        <v>B</v>
      </c>
      <c r="O152" s="2">
        <f t="shared" si="8"/>
        <v>1</v>
      </c>
      <c r="P152" s="2" t="str">
        <f t="shared" si="9"/>
        <v>B</v>
      </c>
      <c r="Q152" s="2" t="s">
        <v>34</v>
      </c>
      <c r="R152" s="2">
        <f t="shared" si="10"/>
        <v>0</v>
      </c>
      <c r="S152" s="2">
        <v>302</v>
      </c>
      <c r="T152" s="2">
        <v>303</v>
      </c>
      <c r="U152" s="2" t="str">
        <f t="shared" si="11"/>
        <v/>
      </c>
    </row>
    <row r="153" ht="23" customHeight="1" spans="1:21">
      <c r="A153" s="6" t="s">
        <v>217</v>
      </c>
      <c r="B153" s="2" t="s">
        <v>15</v>
      </c>
      <c r="C153" s="2">
        <v>2</v>
      </c>
      <c r="D153" s="6" t="s">
        <v>498</v>
      </c>
      <c r="E153" s="2" t="str">
        <f>five子指标方向明细!F304</f>
        <v>A</v>
      </c>
      <c r="F153" s="2">
        <f>five子指标方向明细!G304</f>
        <v>4</v>
      </c>
      <c r="G153" s="2" t="str">
        <f>five子指标方向明细!H304</f>
        <v>B</v>
      </c>
      <c r="H153" s="2">
        <f>five子指标方向明细!I304</f>
        <v>4</v>
      </c>
      <c r="I153" s="2" t="str">
        <f>five子指标方向明细!L304</f>
        <v>D(平局)</v>
      </c>
      <c r="J153" s="2" t="str">
        <f>five子指标方向明细!F305</f>
        <v>B</v>
      </c>
      <c r="K153" s="2">
        <f>five子指标方向明细!G305</f>
        <v>3</v>
      </c>
      <c r="L153" s="2" t="str">
        <f>five子指标方向明细!H305</f>
        <v>A</v>
      </c>
      <c r="M153" s="2">
        <f>five子指标方向明细!I305</f>
        <v>4</v>
      </c>
      <c r="N153" s="2" t="str">
        <f>five子指标方向明细!L305</f>
        <v>A</v>
      </c>
      <c r="O153" s="2">
        <f t="shared" si="8"/>
        <v>0</v>
      </c>
      <c r="P153" s="2" t="str">
        <f t="shared" si="9"/>
        <v>D(平局)</v>
      </c>
      <c r="Q153" s="2" t="s">
        <v>34</v>
      </c>
      <c r="R153" s="2">
        <f t="shared" si="10"/>
        <v>0</v>
      </c>
      <c r="S153" s="2">
        <v>304</v>
      </c>
      <c r="T153" s="2">
        <v>305</v>
      </c>
      <c r="U153" s="2" t="str">
        <f t="shared" si="11"/>
        <v>方向冲突</v>
      </c>
    </row>
    <row r="154" ht="23" customHeight="1" spans="1:21">
      <c r="A154" s="6" t="s">
        <v>217</v>
      </c>
      <c r="B154" s="2" t="s">
        <v>15</v>
      </c>
      <c r="C154" s="2">
        <v>3</v>
      </c>
      <c r="D154" s="6" t="s">
        <v>499</v>
      </c>
      <c r="E154" s="2" t="str">
        <f>five子指标方向明细!F306</f>
        <v>A</v>
      </c>
      <c r="F154" s="2">
        <f>five子指标方向明细!G306</f>
        <v>4</v>
      </c>
      <c r="G154" s="2" t="str">
        <f>five子指标方向明细!H306</f>
        <v>B</v>
      </c>
      <c r="H154" s="2">
        <f>five子指标方向明细!I306</f>
        <v>5</v>
      </c>
      <c r="I154" s="2" t="str">
        <f>five子指标方向明细!L306</f>
        <v>B</v>
      </c>
      <c r="J154" s="2" t="str">
        <f>five子指标方向明细!F307</f>
        <v>B</v>
      </c>
      <c r="K154" s="2">
        <f>five子指标方向明细!G307</f>
        <v>4</v>
      </c>
      <c r="L154" s="2" t="str">
        <f>five子指标方向明细!H307</f>
        <v>A</v>
      </c>
      <c r="M154" s="2">
        <f>five子指标方向明细!I307</f>
        <v>3</v>
      </c>
      <c r="N154" s="2" t="str">
        <f>five子指标方向明细!L307</f>
        <v>B</v>
      </c>
      <c r="O154" s="2">
        <f t="shared" si="8"/>
        <v>1</v>
      </c>
      <c r="P154" s="2" t="str">
        <f t="shared" si="9"/>
        <v>B</v>
      </c>
      <c r="Q154" s="2" t="s">
        <v>34</v>
      </c>
      <c r="R154" s="2">
        <f t="shared" si="10"/>
        <v>0</v>
      </c>
      <c r="S154" s="2">
        <v>306</v>
      </c>
      <c r="T154" s="2">
        <v>307</v>
      </c>
      <c r="U154" s="2" t="str">
        <f t="shared" si="11"/>
        <v/>
      </c>
    </row>
    <row r="155" ht="23" customHeight="1" spans="1:21">
      <c r="A155" s="6" t="s">
        <v>217</v>
      </c>
      <c r="B155" s="2" t="s">
        <v>15</v>
      </c>
      <c r="C155" s="2">
        <v>4</v>
      </c>
      <c r="D155" s="6" t="s">
        <v>500</v>
      </c>
      <c r="E155" s="2" t="str">
        <f>five子指标方向明细!F308</f>
        <v>A</v>
      </c>
      <c r="F155" s="2">
        <f>five子指标方向明细!G308</f>
        <v>4</v>
      </c>
      <c r="G155" s="2" t="str">
        <f>five子指标方向明细!H308</f>
        <v>B</v>
      </c>
      <c r="H155" s="2">
        <f>five子指标方向明细!I308</f>
        <v>5</v>
      </c>
      <c r="I155" s="2" t="str">
        <f>five子指标方向明细!L308</f>
        <v>B</v>
      </c>
      <c r="J155" s="2" t="str">
        <f>five子指标方向明细!F309</f>
        <v>B</v>
      </c>
      <c r="K155" s="2">
        <f>five子指标方向明细!G309</f>
        <v>5</v>
      </c>
      <c r="L155" s="2" t="str">
        <f>five子指标方向明细!H309</f>
        <v>A</v>
      </c>
      <c r="M155" s="2">
        <f>five子指标方向明细!I309</f>
        <v>3</v>
      </c>
      <c r="N155" s="2" t="str">
        <f>five子指标方向明细!L309</f>
        <v>B</v>
      </c>
      <c r="O155" s="2">
        <f t="shared" si="8"/>
        <v>1</v>
      </c>
      <c r="P155" s="2" t="str">
        <f t="shared" si="9"/>
        <v>B</v>
      </c>
      <c r="Q155" s="2" t="s">
        <v>34</v>
      </c>
      <c r="R155" s="2">
        <f t="shared" si="10"/>
        <v>0</v>
      </c>
      <c r="S155" s="2">
        <v>308</v>
      </c>
      <c r="T155" s="2">
        <v>309</v>
      </c>
      <c r="U155" s="2" t="str">
        <f t="shared" si="11"/>
        <v/>
      </c>
    </row>
    <row r="156" ht="23" customHeight="1" spans="1:21">
      <c r="A156" s="6" t="s">
        <v>217</v>
      </c>
      <c r="B156" s="2" t="s">
        <v>15</v>
      </c>
      <c r="C156" s="2">
        <v>5</v>
      </c>
      <c r="D156" s="6" t="s">
        <v>501</v>
      </c>
      <c r="E156" s="2" t="str">
        <f>five子指标方向明细!F310</f>
        <v>A</v>
      </c>
      <c r="F156" s="2">
        <f>five子指标方向明细!G310</f>
        <v>5</v>
      </c>
      <c r="G156" s="2" t="str">
        <f>five子指标方向明细!H310</f>
        <v>B</v>
      </c>
      <c r="H156" s="2">
        <f>five子指标方向明细!I310</f>
        <v>5</v>
      </c>
      <c r="I156" s="2" t="str">
        <f>five子指标方向明细!L310</f>
        <v>D(平局)</v>
      </c>
      <c r="J156" s="2" t="str">
        <f>five子指标方向明细!F311</f>
        <v>B</v>
      </c>
      <c r="K156" s="2">
        <f>five子指标方向明细!G311</f>
        <v>5</v>
      </c>
      <c r="L156" s="2" t="str">
        <f>five子指标方向明细!H311</f>
        <v>A</v>
      </c>
      <c r="M156" s="2">
        <f>five子指标方向明细!I311</f>
        <v>5</v>
      </c>
      <c r="N156" s="2" t="str">
        <f>five子指标方向明细!L311</f>
        <v>D(平局)</v>
      </c>
      <c r="O156" s="2">
        <f t="shared" si="8"/>
        <v>1</v>
      </c>
      <c r="P156" s="2" t="str">
        <f t="shared" si="9"/>
        <v>D(平局)</v>
      </c>
      <c r="Q156" s="2" t="s">
        <v>34</v>
      </c>
      <c r="R156" s="2">
        <f t="shared" si="10"/>
        <v>0</v>
      </c>
      <c r="S156" s="2">
        <v>310</v>
      </c>
      <c r="T156" s="2">
        <v>311</v>
      </c>
      <c r="U156" s="2" t="str">
        <f t="shared" si="11"/>
        <v>双向评分平局</v>
      </c>
    </row>
    <row r="157" ht="23" customHeight="1" spans="1:21">
      <c r="A157" s="6" t="s">
        <v>217</v>
      </c>
      <c r="B157" s="2" t="s">
        <v>31</v>
      </c>
      <c r="C157" s="2">
        <v>1</v>
      </c>
      <c r="D157" s="6" t="s">
        <v>497</v>
      </c>
      <c r="E157" s="2" t="str">
        <f>five子指标方向明细!F312</f>
        <v>A</v>
      </c>
      <c r="F157" s="2">
        <f>five子指标方向明细!G312</f>
        <v>4</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3</v>
      </c>
      <c r="N157" s="2" t="str">
        <f>five子指标方向明细!L313</f>
        <v>C</v>
      </c>
      <c r="O157" s="2">
        <f t="shared" si="8"/>
        <v>1</v>
      </c>
      <c r="P157" s="2" t="str">
        <f t="shared" si="9"/>
        <v>C</v>
      </c>
      <c r="Q157" s="2" t="s">
        <v>27</v>
      </c>
      <c r="R157" s="2">
        <f t="shared" si="10"/>
        <v>1</v>
      </c>
      <c r="S157" s="2">
        <v>312</v>
      </c>
      <c r="T157" s="2">
        <v>313</v>
      </c>
      <c r="U157" s="2" t="str">
        <f t="shared" si="11"/>
        <v/>
      </c>
    </row>
    <row r="158" ht="23" customHeight="1" spans="1:21">
      <c r="A158" s="6" t="s">
        <v>217</v>
      </c>
      <c r="B158" s="2" t="s">
        <v>31</v>
      </c>
      <c r="C158" s="2">
        <v>2</v>
      </c>
      <c r="D158" s="6" t="s">
        <v>498</v>
      </c>
      <c r="E158" s="2" t="str">
        <f>five子指标方向明细!F314</f>
        <v>A</v>
      </c>
      <c r="F158" s="2">
        <f>five子指标方向明细!G314</f>
        <v>3</v>
      </c>
      <c r="G158" s="2" t="str">
        <f>five子指标方向明细!H314</f>
        <v>C</v>
      </c>
      <c r="H158" s="2">
        <f>five子指标方向明细!I314</f>
        <v>5</v>
      </c>
      <c r="I158" s="2" t="str">
        <f>five子指标方向明细!L314</f>
        <v>C</v>
      </c>
      <c r="J158" s="2" t="str">
        <f>five子指标方向明细!F315</f>
        <v>C</v>
      </c>
      <c r="K158" s="2">
        <f>five子指标方向明细!G315</f>
        <v>4</v>
      </c>
      <c r="L158" s="2" t="str">
        <f>five子指标方向明细!H315</f>
        <v>A</v>
      </c>
      <c r="M158" s="2">
        <f>five子指标方向明细!I315</f>
        <v>3</v>
      </c>
      <c r="N158" s="2" t="str">
        <f>five子指标方向明细!L315</f>
        <v>C</v>
      </c>
      <c r="O158" s="2">
        <f t="shared" si="8"/>
        <v>1</v>
      </c>
      <c r="P158" s="2" t="str">
        <f t="shared" si="9"/>
        <v>C</v>
      </c>
      <c r="Q158" s="2" t="s">
        <v>27</v>
      </c>
      <c r="R158" s="2">
        <f t="shared" si="10"/>
        <v>1</v>
      </c>
      <c r="S158" s="2">
        <v>314</v>
      </c>
      <c r="T158" s="2">
        <v>315</v>
      </c>
      <c r="U158" s="2" t="str">
        <f t="shared" si="11"/>
        <v/>
      </c>
    </row>
    <row r="159" ht="23" customHeight="1" spans="1:21">
      <c r="A159" s="6" t="s">
        <v>217</v>
      </c>
      <c r="B159" s="2" t="s">
        <v>31</v>
      </c>
      <c r="C159" s="2">
        <v>3</v>
      </c>
      <c r="D159" s="6" t="s">
        <v>499</v>
      </c>
      <c r="E159" s="2" t="str">
        <f>five子指标方向明细!F316</f>
        <v>A</v>
      </c>
      <c r="F159" s="2">
        <f>five子指标方向明细!G316</f>
        <v>3</v>
      </c>
      <c r="G159" s="2" t="str">
        <f>five子指标方向明细!H316</f>
        <v>C</v>
      </c>
      <c r="H159" s="2">
        <f>five子指标方向明细!I316</f>
        <v>4</v>
      </c>
      <c r="I159" s="2" t="str">
        <f>five子指标方向明细!L316</f>
        <v>C</v>
      </c>
      <c r="J159" s="2" t="str">
        <f>five子指标方向明细!F317</f>
        <v>C</v>
      </c>
      <c r="K159" s="2">
        <f>five子指标方向明细!G317</f>
        <v>5</v>
      </c>
      <c r="L159" s="2" t="str">
        <f>five子指标方向明细!H317</f>
        <v>A</v>
      </c>
      <c r="M159" s="2">
        <f>five子指标方向明细!I317</f>
        <v>4</v>
      </c>
      <c r="N159" s="2" t="str">
        <f>five子指标方向明细!L317</f>
        <v>C</v>
      </c>
      <c r="O159" s="2">
        <f t="shared" si="8"/>
        <v>1</v>
      </c>
      <c r="P159" s="2" t="str">
        <f t="shared" si="9"/>
        <v>C</v>
      </c>
      <c r="Q159" s="2" t="s">
        <v>27</v>
      </c>
      <c r="R159" s="2">
        <f t="shared" si="10"/>
        <v>1</v>
      </c>
      <c r="S159" s="2">
        <v>316</v>
      </c>
      <c r="T159" s="2">
        <v>317</v>
      </c>
      <c r="U159" s="2" t="str">
        <f t="shared" si="11"/>
        <v/>
      </c>
    </row>
    <row r="160" ht="23" customHeight="1" spans="1:21">
      <c r="A160" s="6" t="s">
        <v>217</v>
      </c>
      <c r="B160" s="2" t="s">
        <v>31</v>
      </c>
      <c r="C160" s="2">
        <v>4</v>
      </c>
      <c r="D160" s="6" t="s">
        <v>500</v>
      </c>
      <c r="E160" s="2" t="str">
        <f>five子指标方向明细!F318</f>
        <v>A</v>
      </c>
      <c r="F160" s="2">
        <f>five子指标方向明细!G318</f>
        <v>4</v>
      </c>
      <c r="G160" s="2" t="str">
        <f>five子指标方向明细!H318</f>
        <v>C</v>
      </c>
      <c r="H160" s="2">
        <f>five子指标方向明细!I318</f>
        <v>5</v>
      </c>
      <c r="I160" s="2" t="str">
        <f>five子指标方向明细!L318</f>
        <v>C</v>
      </c>
      <c r="J160" s="2" t="str">
        <f>five子指标方向明细!F319</f>
        <v>C</v>
      </c>
      <c r="K160" s="2">
        <f>five子指标方向明细!G319</f>
        <v>5</v>
      </c>
      <c r="L160" s="2" t="str">
        <f>five子指标方向明细!H319</f>
        <v>A</v>
      </c>
      <c r="M160" s="2">
        <f>five子指标方向明细!I319</f>
        <v>4</v>
      </c>
      <c r="N160" s="2" t="str">
        <f>five子指标方向明细!L319</f>
        <v>C</v>
      </c>
      <c r="O160" s="2">
        <f t="shared" si="8"/>
        <v>1</v>
      </c>
      <c r="P160" s="2" t="str">
        <f t="shared" si="9"/>
        <v>C</v>
      </c>
      <c r="Q160" s="2" t="s">
        <v>27</v>
      </c>
      <c r="R160" s="2">
        <f t="shared" si="10"/>
        <v>1</v>
      </c>
      <c r="S160" s="2">
        <v>318</v>
      </c>
      <c r="T160" s="2">
        <v>319</v>
      </c>
      <c r="U160" s="2" t="str">
        <f t="shared" si="11"/>
        <v/>
      </c>
    </row>
    <row r="161" ht="23" customHeight="1" spans="1:21">
      <c r="A161" s="6" t="s">
        <v>217</v>
      </c>
      <c r="B161" s="2" t="s">
        <v>31</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27</v>
      </c>
      <c r="R161" s="2">
        <f t="shared" si="10"/>
        <v>0</v>
      </c>
      <c r="S161" s="2">
        <v>320</v>
      </c>
      <c r="T161" s="2">
        <v>321</v>
      </c>
      <c r="U161" s="2" t="str">
        <f t="shared" si="11"/>
        <v>双向评分平局</v>
      </c>
    </row>
    <row r="162" ht="23" customHeight="1" spans="1:21">
      <c r="A162" s="6" t="s">
        <v>217</v>
      </c>
      <c r="B162" s="2" t="s">
        <v>39</v>
      </c>
      <c r="C162" s="2">
        <v>1</v>
      </c>
      <c r="D162" s="6" t="s">
        <v>497</v>
      </c>
      <c r="E162" s="2" t="str">
        <f>five子指标方向明细!F322</f>
        <v>B</v>
      </c>
      <c r="F162" s="2">
        <f>five子指标方向明细!G322</f>
        <v>4</v>
      </c>
      <c r="G162" s="2" t="str">
        <f>five子指标方向明细!H322</f>
        <v>C</v>
      </c>
      <c r="H162" s="2">
        <f>five子指标方向明细!I322</f>
        <v>5</v>
      </c>
      <c r="I162" s="2" t="str">
        <f>five子指标方向明细!L322</f>
        <v>C</v>
      </c>
      <c r="J162" s="2" t="str">
        <f>five子指标方向明细!F323</f>
        <v>C</v>
      </c>
      <c r="K162" s="2">
        <f>five子指标方向明细!G323</f>
        <v>5</v>
      </c>
      <c r="L162" s="2" t="str">
        <f>five子指标方向明细!H323</f>
        <v>B</v>
      </c>
      <c r="M162" s="2">
        <f>five子指标方向明细!I323</f>
        <v>4</v>
      </c>
      <c r="N162" s="2" t="str">
        <f>five子指标方向明细!L323</f>
        <v>C</v>
      </c>
      <c r="O162" s="2">
        <f t="shared" si="8"/>
        <v>1</v>
      </c>
      <c r="P162" s="2" t="str">
        <f t="shared" si="9"/>
        <v>C</v>
      </c>
      <c r="Q162" s="2" t="s">
        <v>27</v>
      </c>
      <c r="R162" s="2">
        <f t="shared" si="10"/>
        <v>1</v>
      </c>
      <c r="S162" s="2">
        <v>322</v>
      </c>
      <c r="T162" s="2">
        <v>323</v>
      </c>
      <c r="U162" s="2" t="str">
        <f t="shared" si="11"/>
        <v/>
      </c>
    </row>
    <row r="163" ht="23" customHeight="1" spans="1:21">
      <c r="A163" s="6" t="s">
        <v>217</v>
      </c>
      <c r="B163" s="2" t="s">
        <v>39</v>
      </c>
      <c r="C163" s="2">
        <v>2</v>
      </c>
      <c r="D163" s="6" t="s">
        <v>498</v>
      </c>
      <c r="E163" s="2" t="str">
        <f>five子指标方向明细!F324</f>
        <v>B</v>
      </c>
      <c r="F163" s="2">
        <f>five子指标方向明细!G324</f>
        <v>2</v>
      </c>
      <c r="G163" s="2" t="str">
        <f>five子指标方向明细!H324</f>
        <v>C</v>
      </c>
      <c r="H163" s="2">
        <f>five子指标方向明细!I324</f>
        <v>5</v>
      </c>
      <c r="I163" s="2" t="str">
        <f>five子指标方向明细!L324</f>
        <v>C</v>
      </c>
      <c r="J163" s="2" t="str">
        <f>five子指标方向明细!F325</f>
        <v>C</v>
      </c>
      <c r="K163" s="2">
        <f>five子指标方向明细!G325</f>
        <v>4</v>
      </c>
      <c r="L163" s="2" t="str">
        <f>five子指标方向明细!H325</f>
        <v>B</v>
      </c>
      <c r="M163" s="2">
        <f>five子指标方向明细!I325</f>
        <v>3</v>
      </c>
      <c r="N163" s="2" t="str">
        <f>five子指标方向明细!L325</f>
        <v>C</v>
      </c>
      <c r="O163" s="2">
        <f t="shared" si="8"/>
        <v>1</v>
      </c>
      <c r="P163" s="2" t="str">
        <f t="shared" si="9"/>
        <v>C</v>
      </c>
      <c r="Q163" s="2" t="s">
        <v>27</v>
      </c>
      <c r="R163" s="2">
        <f t="shared" si="10"/>
        <v>1</v>
      </c>
      <c r="S163" s="2">
        <v>324</v>
      </c>
      <c r="T163" s="2">
        <v>325</v>
      </c>
      <c r="U163" s="2" t="str">
        <f t="shared" si="11"/>
        <v/>
      </c>
    </row>
    <row r="164" ht="23" customHeight="1" spans="1:21">
      <c r="A164" s="6" t="s">
        <v>217</v>
      </c>
      <c r="B164" s="2" t="s">
        <v>39</v>
      </c>
      <c r="C164" s="2">
        <v>3</v>
      </c>
      <c r="D164" s="6" t="s">
        <v>499</v>
      </c>
      <c r="E164" s="2" t="str">
        <f>five子指标方向明细!F326</f>
        <v>B</v>
      </c>
      <c r="F164" s="2">
        <f>five子指标方向明细!G326</f>
        <v>5</v>
      </c>
      <c r="G164" s="2" t="str">
        <f>five子指标方向明细!H326</f>
        <v>C</v>
      </c>
      <c r="H164" s="2">
        <f>five子指标方向明细!I326</f>
        <v>4</v>
      </c>
      <c r="I164" s="2" t="str">
        <f>five子指标方向明细!L326</f>
        <v>B</v>
      </c>
      <c r="J164" s="2" t="str">
        <f>five子指标方向明细!F327</f>
        <v>C</v>
      </c>
      <c r="K164" s="2">
        <f>five子指标方向明细!G327</f>
        <v>4</v>
      </c>
      <c r="L164" s="2" t="str">
        <f>five子指标方向明细!H327</f>
        <v>B</v>
      </c>
      <c r="M164" s="2">
        <f>five子指标方向明细!I327</f>
        <v>5</v>
      </c>
      <c r="N164" s="2" t="str">
        <f>five子指标方向明细!L327</f>
        <v>B</v>
      </c>
      <c r="O164" s="2">
        <f t="shared" si="8"/>
        <v>1</v>
      </c>
      <c r="P164" s="2" t="str">
        <f t="shared" si="9"/>
        <v>B</v>
      </c>
      <c r="Q164" s="2" t="s">
        <v>27</v>
      </c>
      <c r="R164" s="2">
        <f t="shared" si="10"/>
        <v>0</v>
      </c>
      <c r="S164" s="2">
        <v>326</v>
      </c>
      <c r="T164" s="2">
        <v>327</v>
      </c>
      <c r="U164" s="2" t="str">
        <f t="shared" si="11"/>
        <v/>
      </c>
    </row>
    <row r="165" ht="23" customHeight="1" spans="1:21">
      <c r="A165" s="6" t="s">
        <v>217</v>
      </c>
      <c r="B165" s="2" t="s">
        <v>39</v>
      </c>
      <c r="C165" s="2">
        <v>4</v>
      </c>
      <c r="D165" s="6" t="s">
        <v>500</v>
      </c>
      <c r="E165" s="2" t="str">
        <f>five子指标方向明细!F328</f>
        <v>B</v>
      </c>
      <c r="F165" s="2">
        <f>five子指标方向明细!G328</f>
        <v>4</v>
      </c>
      <c r="G165" s="2" t="str">
        <f>five子指标方向明细!H328</f>
        <v>C</v>
      </c>
      <c r="H165" s="2">
        <f>five子指标方向明细!I328</f>
        <v>4</v>
      </c>
      <c r="I165" s="2" t="str">
        <f>five子指标方向明细!L328</f>
        <v>D(平局)</v>
      </c>
      <c r="J165" s="2" t="str">
        <f>five子指标方向明细!F329</f>
        <v>C</v>
      </c>
      <c r="K165" s="2">
        <f>five子指标方向明细!G329</f>
        <v>5</v>
      </c>
      <c r="L165" s="2" t="str">
        <f>five子指标方向明细!H329</f>
        <v>B</v>
      </c>
      <c r="M165" s="2">
        <f>five子指标方向明细!I329</f>
        <v>4</v>
      </c>
      <c r="N165" s="2" t="str">
        <f>five子指标方向明细!L329</f>
        <v>C</v>
      </c>
      <c r="O165" s="2">
        <f t="shared" si="8"/>
        <v>0</v>
      </c>
      <c r="P165" s="2" t="str">
        <f t="shared" si="9"/>
        <v>D(平局)</v>
      </c>
      <c r="Q165" s="2" t="s">
        <v>27</v>
      </c>
      <c r="R165" s="2">
        <f t="shared" si="10"/>
        <v>0</v>
      </c>
      <c r="S165" s="2">
        <v>328</v>
      </c>
      <c r="T165" s="2">
        <v>329</v>
      </c>
      <c r="U165" s="2" t="str">
        <f t="shared" si="11"/>
        <v>方向冲突</v>
      </c>
    </row>
    <row r="166" ht="23" customHeight="1" spans="1:21">
      <c r="A166" s="6" t="s">
        <v>217</v>
      </c>
      <c r="B166" s="2" t="s">
        <v>39</v>
      </c>
      <c r="C166" s="2">
        <v>5</v>
      </c>
      <c r="D166" s="6" t="s">
        <v>501</v>
      </c>
      <c r="E166" s="2" t="str">
        <f>five子指标方向明细!F330</f>
        <v>B</v>
      </c>
      <c r="F166" s="2">
        <f>five子指标方向明细!G330</f>
        <v>5</v>
      </c>
      <c r="G166" s="2" t="str">
        <f>five子指标方向明细!H330</f>
        <v>C</v>
      </c>
      <c r="H166" s="2">
        <f>five子指标方向明细!I330</f>
        <v>5</v>
      </c>
      <c r="I166" s="2" t="str">
        <f>five子指标方向明细!L330</f>
        <v>D(平局)</v>
      </c>
      <c r="J166" s="2" t="str">
        <f>five子指标方向明细!F331</f>
        <v>C</v>
      </c>
      <c r="K166" s="2">
        <f>five子指标方向明细!G331</f>
        <v>5</v>
      </c>
      <c r="L166" s="2" t="str">
        <f>five子指标方向明细!H331</f>
        <v>B</v>
      </c>
      <c r="M166" s="2">
        <f>five子指标方向明细!I331</f>
        <v>5</v>
      </c>
      <c r="N166" s="2" t="str">
        <f>five子指标方向明细!L331</f>
        <v>D(平局)</v>
      </c>
      <c r="O166" s="2">
        <f t="shared" si="8"/>
        <v>1</v>
      </c>
      <c r="P166" s="2" t="str">
        <f t="shared" si="9"/>
        <v>D(平局)</v>
      </c>
      <c r="Q166" s="2" t="s">
        <v>27</v>
      </c>
      <c r="R166" s="2">
        <f t="shared" si="10"/>
        <v>0</v>
      </c>
      <c r="S166" s="2">
        <v>330</v>
      </c>
      <c r="T166" s="2">
        <v>331</v>
      </c>
      <c r="U166" s="2" t="str">
        <f t="shared" si="11"/>
        <v>双向评分平局</v>
      </c>
    </row>
    <row r="167" ht="23" customHeight="1" spans="1:21">
      <c r="A167" s="6" t="s">
        <v>293</v>
      </c>
      <c r="B167" s="2" t="s">
        <v>15</v>
      </c>
      <c r="C167" s="2">
        <v>1</v>
      </c>
      <c r="D167" s="6" t="s">
        <v>497</v>
      </c>
      <c r="E167" s="2" t="str">
        <f>five子指标方向明细!F332</f>
        <v>A</v>
      </c>
      <c r="F167" s="2">
        <f>five子指标方向明细!G332</f>
        <v>5</v>
      </c>
      <c r="G167" s="2" t="str">
        <f>five子指标方向明细!H332</f>
        <v>B</v>
      </c>
      <c r="H167" s="2">
        <f>five子指标方向明细!I332</f>
        <v>3</v>
      </c>
      <c r="I167" s="2" t="str">
        <f>five子指标方向明细!L332</f>
        <v>A</v>
      </c>
      <c r="J167" s="2" t="str">
        <f>five子指标方向明细!F333</f>
        <v>B</v>
      </c>
      <c r="K167" s="2">
        <f>five子指标方向明细!G333</f>
        <v>4</v>
      </c>
      <c r="L167" s="2" t="str">
        <f>five子指标方向明细!H333</f>
        <v>A</v>
      </c>
      <c r="M167" s="2">
        <f>five子指标方向明细!I333</f>
        <v>5</v>
      </c>
      <c r="N167" s="2" t="str">
        <f>five子指标方向明细!L333</f>
        <v>A</v>
      </c>
      <c r="O167" s="2">
        <f t="shared" si="8"/>
        <v>1</v>
      </c>
      <c r="P167" s="2" t="str">
        <f t="shared" si="9"/>
        <v>A</v>
      </c>
      <c r="Q167" s="2" t="s">
        <v>34</v>
      </c>
      <c r="R167" s="2">
        <f t="shared" si="10"/>
        <v>1</v>
      </c>
      <c r="S167" s="2">
        <v>332</v>
      </c>
      <c r="T167" s="2">
        <v>333</v>
      </c>
      <c r="U167" s="2" t="str">
        <f t="shared" si="11"/>
        <v/>
      </c>
    </row>
    <row r="168" ht="23" customHeight="1" spans="1:21">
      <c r="A168" s="6" t="s">
        <v>293</v>
      </c>
      <c r="B168" s="2" t="s">
        <v>15</v>
      </c>
      <c r="C168" s="2">
        <v>2</v>
      </c>
      <c r="D168" s="6" t="s">
        <v>498</v>
      </c>
      <c r="E168" s="2" t="str">
        <f>five子指标方向明细!F334</f>
        <v>A</v>
      </c>
      <c r="F168" s="2">
        <f>five子指标方向明细!G334</f>
        <v>4</v>
      </c>
      <c r="G168" s="2" t="str">
        <f>five子指标方向明细!H334</f>
        <v>B</v>
      </c>
      <c r="H168" s="2">
        <f>five子指标方向明细!I334</f>
        <v>2</v>
      </c>
      <c r="I168" s="2" t="str">
        <f>five子指标方向明细!L334</f>
        <v>A</v>
      </c>
      <c r="J168" s="2" t="str">
        <f>five子指标方向明细!F335</f>
        <v>B</v>
      </c>
      <c r="K168" s="2">
        <f>five子指标方向明细!G335</f>
        <v>4</v>
      </c>
      <c r="L168" s="2" t="str">
        <f>five子指标方向明细!H335</f>
        <v>A</v>
      </c>
      <c r="M168" s="2">
        <f>five子指标方向明细!I335</f>
        <v>5</v>
      </c>
      <c r="N168" s="2" t="str">
        <f>five子指标方向明细!L335</f>
        <v>A</v>
      </c>
      <c r="O168" s="2">
        <f t="shared" si="8"/>
        <v>1</v>
      </c>
      <c r="P168" s="2" t="str">
        <f t="shared" si="9"/>
        <v>A</v>
      </c>
      <c r="Q168" s="2" t="s">
        <v>34</v>
      </c>
      <c r="R168" s="2">
        <f t="shared" si="10"/>
        <v>1</v>
      </c>
      <c r="S168" s="2">
        <v>334</v>
      </c>
      <c r="T168" s="2">
        <v>335</v>
      </c>
      <c r="U168" s="2" t="str">
        <f t="shared" si="11"/>
        <v/>
      </c>
    </row>
    <row r="169" ht="23" customHeight="1" spans="1:21">
      <c r="A169" s="6" t="s">
        <v>293</v>
      </c>
      <c r="B169" s="2" t="s">
        <v>15</v>
      </c>
      <c r="C169" s="2">
        <v>3</v>
      </c>
      <c r="D169" s="6" t="s">
        <v>499</v>
      </c>
      <c r="E169" s="2" t="str">
        <f>five子指标方向明细!F336</f>
        <v>A</v>
      </c>
      <c r="F169" s="2">
        <f>five子指标方向明细!G336</f>
        <v>5</v>
      </c>
      <c r="G169" s="2" t="str">
        <f>five子指标方向明细!H336</f>
        <v>B</v>
      </c>
      <c r="H169" s="2">
        <f>five子指标方向明细!I336</f>
        <v>4</v>
      </c>
      <c r="I169" s="2" t="str">
        <f>five子指标方向明细!L336</f>
        <v>A</v>
      </c>
      <c r="J169" s="2" t="str">
        <f>five子指标方向明细!F337</f>
        <v>B</v>
      </c>
      <c r="K169" s="2">
        <f>five子指标方向明细!G337</f>
        <v>4</v>
      </c>
      <c r="L169" s="2" t="str">
        <f>five子指标方向明细!H337</f>
        <v>A</v>
      </c>
      <c r="M169" s="2">
        <f>five子指标方向明细!I337</f>
        <v>5</v>
      </c>
      <c r="N169" s="2" t="str">
        <f>five子指标方向明细!L337</f>
        <v>A</v>
      </c>
      <c r="O169" s="2">
        <f t="shared" si="8"/>
        <v>1</v>
      </c>
      <c r="P169" s="2" t="str">
        <f t="shared" si="9"/>
        <v>A</v>
      </c>
      <c r="Q169" s="2" t="s">
        <v>34</v>
      </c>
      <c r="R169" s="2">
        <f t="shared" si="10"/>
        <v>1</v>
      </c>
      <c r="S169" s="2">
        <v>336</v>
      </c>
      <c r="T169" s="2">
        <v>337</v>
      </c>
      <c r="U169" s="2" t="str">
        <f t="shared" si="11"/>
        <v/>
      </c>
    </row>
    <row r="170" ht="23" customHeight="1" spans="1:21">
      <c r="A170" s="6" t="s">
        <v>293</v>
      </c>
      <c r="B170" s="2" t="s">
        <v>15</v>
      </c>
      <c r="C170" s="2">
        <v>4</v>
      </c>
      <c r="D170" s="6" t="s">
        <v>500</v>
      </c>
      <c r="E170" s="2" t="str">
        <f>five子指标方向明细!F338</f>
        <v>A</v>
      </c>
      <c r="F170" s="2">
        <f>five子指标方向明细!G338</f>
        <v>5</v>
      </c>
      <c r="G170" s="2" t="str">
        <f>five子指标方向明细!H338</f>
        <v>B</v>
      </c>
      <c r="H170" s="2">
        <f>five子指标方向明细!I338</f>
        <v>3</v>
      </c>
      <c r="I170" s="2" t="str">
        <f>five子指标方向明细!L338</f>
        <v>A</v>
      </c>
      <c r="J170" s="2" t="str">
        <f>five子指标方向明细!F339</f>
        <v>B</v>
      </c>
      <c r="K170" s="2">
        <f>five子指标方向明细!G339</f>
        <v>4</v>
      </c>
      <c r="L170" s="2" t="str">
        <f>five子指标方向明细!H339</f>
        <v>A</v>
      </c>
      <c r="M170" s="2">
        <f>five子指标方向明细!I339</f>
        <v>5</v>
      </c>
      <c r="N170" s="2" t="str">
        <f>five子指标方向明细!L339</f>
        <v>A</v>
      </c>
      <c r="O170" s="2">
        <f t="shared" si="8"/>
        <v>1</v>
      </c>
      <c r="P170" s="2" t="str">
        <f t="shared" si="9"/>
        <v>A</v>
      </c>
      <c r="Q170" s="2" t="s">
        <v>34</v>
      </c>
      <c r="R170" s="2">
        <f t="shared" si="10"/>
        <v>1</v>
      </c>
      <c r="S170" s="2">
        <v>338</v>
      </c>
      <c r="T170" s="2">
        <v>339</v>
      </c>
      <c r="U170" s="2" t="str">
        <f t="shared" si="11"/>
        <v/>
      </c>
    </row>
    <row r="171" ht="23" customHeight="1" spans="1:21">
      <c r="A171" s="6" t="s">
        <v>293</v>
      </c>
      <c r="B171" s="2" t="s">
        <v>15</v>
      </c>
      <c r="C171" s="2">
        <v>5</v>
      </c>
      <c r="D171" s="6" t="s">
        <v>501</v>
      </c>
      <c r="E171" s="2" t="str">
        <f>five子指标方向明细!F340</f>
        <v>A</v>
      </c>
      <c r="F171" s="2">
        <f>five子指标方向明细!G340</f>
        <v>5</v>
      </c>
      <c r="G171" s="2" t="str">
        <f>five子指标方向明细!H340</f>
        <v>B</v>
      </c>
      <c r="H171" s="2">
        <f>five子指标方向明细!I340</f>
        <v>3</v>
      </c>
      <c r="I171" s="2" t="str">
        <f>five子指标方向明细!L340</f>
        <v>A</v>
      </c>
      <c r="J171" s="2" t="str">
        <f>five子指标方向明细!F341</f>
        <v>B</v>
      </c>
      <c r="K171" s="2">
        <f>five子指标方向明细!G341</f>
        <v>4</v>
      </c>
      <c r="L171" s="2" t="str">
        <f>five子指标方向明细!H341</f>
        <v>A</v>
      </c>
      <c r="M171" s="2">
        <f>five子指标方向明细!I341</f>
        <v>5</v>
      </c>
      <c r="N171" s="2" t="str">
        <f>five子指标方向明细!L341</f>
        <v>A</v>
      </c>
      <c r="O171" s="2">
        <f t="shared" si="8"/>
        <v>1</v>
      </c>
      <c r="P171" s="2" t="str">
        <f t="shared" si="9"/>
        <v>A</v>
      </c>
      <c r="Q171" s="2" t="s">
        <v>34</v>
      </c>
      <c r="R171" s="2">
        <f t="shared" si="10"/>
        <v>1</v>
      </c>
      <c r="S171" s="2">
        <v>340</v>
      </c>
      <c r="T171" s="2">
        <v>341</v>
      </c>
      <c r="U171" s="2" t="str">
        <f t="shared" si="11"/>
        <v/>
      </c>
    </row>
    <row r="172" ht="23" customHeight="1" spans="1:21">
      <c r="A172" s="6" t="s">
        <v>293</v>
      </c>
      <c r="B172" s="2" t="s">
        <v>31</v>
      </c>
      <c r="C172" s="2">
        <v>1</v>
      </c>
      <c r="D172" s="6" t="s">
        <v>497</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23</v>
      </c>
      <c r="R172" s="2">
        <f t="shared" si="10"/>
        <v>1</v>
      </c>
      <c r="S172" s="2">
        <v>342</v>
      </c>
      <c r="T172" s="2">
        <v>343</v>
      </c>
      <c r="U172" s="2" t="str">
        <f t="shared" si="11"/>
        <v>双向评分平局</v>
      </c>
    </row>
    <row r="173" ht="23" customHeight="1" spans="1:21">
      <c r="A173" s="6" t="s">
        <v>293</v>
      </c>
      <c r="B173" s="2" t="s">
        <v>31</v>
      </c>
      <c r="C173" s="2">
        <v>2</v>
      </c>
      <c r="D173" s="6" t="s">
        <v>498</v>
      </c>
      <c r="E173" s="2" t="str">
        <f>five子指标方向明细!F344</f>
        <v>A</v>
      </c>
      <c r="F173" s="2">
        <f>five子指标方向明细!G344</f>
        <v>5</v>
      </c>
      <c r="G173" s="2" t="str">
        <f>five子指标方向明细!H344</f>
        <v>C</v>
      </c>
      <c r="H173" s="2">
        <f>five子指标方向明细!I344</f>
        <v>4</v>
      </c>
      <c r="I173" s="2" t="str">
        <f>five子指标方向明细!L344</f>
        <v>A</v>
      </c>
      <c r="J173" s="2" t="str">
        <f>five子指标方向明细!F345</f>
        <v>C</v>
      </c>
      <c r="K173" s="2">
        <f>five子指标方向明细!G345</f>
        <v>4</v>
      </c>
      <c r="L173" s="2" t="str">
        <f>five子指标方向明细!H345</f>
        <v>A</v>
      </c>
      <c r="M173" s="2">
        <f>five子指标方向明细!I345</f>
        <v>5</v>
      </c>
      <c r="N173" s="2" t="str">
        <f>five子指标方向明细!L345</f>
        <v>A</v>
      </c>
      <c r="O173" s="2">
        <f t="shared" si="8"/>
        <v>1</v>
      </c>
      <c r="P173" s="2" t="str">
        <f t="shared" si="9"/>
        <v>A</v>
      </c>
      <c r="Q173" s="2" t="s">
        <v>23</v>
      </c>
      <c r="R173" s="2">
        <f t="shared" si="10"/>
        <v>0</v>
      </c>
      <c r="S173" s="2">
        <v>344</v>
      </c>
      <c r="T173" s="2">
        <v>345</v>
      </c>
      <c r="U173" s="2" t="str">
        <f t="shared" si="11"/>
        <v/>
      </c>
    </row>
    <row r="174" ht="23" customHeight="1" spans="1:21">
      <c r="A174" s="6" t="s">
        <v>293</v>
      </c>
      <c r="B174" s="2" t="s">
        <v>31</v>
      </c>
      <c r="C174" s="2">
        <v>3</v>
      </c>
      <c r="D174" s="6" t="s">
        <v>499</v>
      </c>
      <c r="E174" s="2" t="str">
        <f>five子指标方向明细!F346</f>
        <v>A</v>
      </c>
      <c r="F174" s="2">
        <f>five子指标方向明细!G346</f>
        <v>5</v>
      </c>
      <c r="G174" s="2" t="str">
        <f>five子指标方向明细!H346</f>
        <v>C</v>
      </c>
      <c r="H174" s="2">
        <f>five子指标方向明细!I346</f>
        <v>4</v>
      </c>
      <c r="I174" s="2" t="str">
        <f>five子指标方向明细!L346</f>
        <v>A</v>
      </c>
      <c r="J174" s="2" t="str">
        <f>five子指标方向明细!F347</f>
        <v>C</v>
      </c>
      <c r="K174" s="2">
        <f>five子指标方向明细!G347</f>
        <v>4</v>
      </c>
      <c r="L174" s="2" t="str">
        <f>five子指标方向明细!H347</f>
        <v>A</v>
      </c>
      <c r="M174" s="2">
        <f>five子指标方向明细!I347</f>
        <v>5</v>
      </c>
      <c r="N174" s="2" t="str">
        <f>five子指标方向明细!L347</f>
        <v>A</v>
      </c>
      <c r="O174" s="2">
        <f t="shared" si="8"/>
        <v>1</v>
      </c>
      <c r="P174" s="2" t="str">
        <f t="shared" si="9"/>
        <v>A</v>
      </c>
      <c r="Q174" s="2" t="s">
        <v>23</v>
      </c>
      <c r="R174" s="2">
        <f t="shared" si="10"/>
        <v>0</v>
      </c>
      <c r="S174" s="2">
        <v>346</v>
      </c>
      <c r="T174" s="2">
        <v>347</v>
      </c>
      <c r="U174" s="2" t="str">
        <f t="shared" si="11"/>
        <v/>
      </c>
    </row>
    <row r="175" ht="23" customHeight="1" spans="1:21">
      <c r="A175" s="6" t="s">
        <v>293</v>
      </c>
      <c r="B175" s="2" t="s">
        <v>31</v>
      </c>
      <c r="C175" s="2">
        <v>4</v>
      </c>
      <c r="D175" s="6" t="s">
        <v>500</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4</v>
      </c>
      <c r="L175" s="2" t="str">
        <f>five子指标方向明细!H349</f>
        <v>A</v>
      </c>
      <c r="M175" s="2">
        <f>five子指标方向明细!I349</f>
        <v>5</v>
      </c>
      <c r="N175" s="2" t="str">
        <f>five子指标方向明细!L349</f>
        <v>A</v>
      </c>
      <c r="O175" s="2">
        <f t="shared" si="8"/>
        <v>0</v>
      </c>
      <c r="P175" s="2" t="str">
        <f t="shared" si="9"/>
        <v>D(平局)</v>
      </c>
      <c r="Q175" s="2" t="s">
        <v>23</v>
      </c>
      <c r="R175" s="2">
        <f t="shared" si="10"/>
        <v>1</v>
      </c>
      <c r="S175" s="2">
        <v>348</v>
      </c>
      <c r="T175" s="2">
        <v>349</v>
      </c>
      <c r="U175" s="2" t="str">
        <f t="shared" si="11"/>
        <v>方向冲突</v>
      </c>
    </row>
    <row r="176" ht="23" customHeight="1" spans="1:21">
      <c r="A176" s="6" t="s">
        <v>293</v>
      </c>
      <c r="B176" s="2" t="s">
        <v>31</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23</v>
      </c>
      <c r="R176" s="2">
        <f t="shared" si="10"/>
        <v>1</v>
      </c>
      <c r="S176" s="2">
        <v>350</v>
      </c>
      <c r="T176" s="2">
        <v>351</v>
      </c>
      <c r="U176" s="2" t="str">
        <f t="shared" si="11"/>
        <v>双向评分平局</v>
      </c>
    </row>
    <row r="177" ht="23" customHeight="1" spans="1:21">
      <c r="A177" s="6" t="s">
        <v>293</v>
      </c>
      <c r="B177" s="2" t="s">
        <v>39</v>
      </c>
      <c r="C177" s="2">
        <v>1</v>
      </c>
      <c r="D177" s="6" t="s">
        <v>497</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3</v>
      </c>
      <c r="N177" s="2" t="str">
        <f>five子指标方向明细!L353</f>
        <v>C</v>
      </c>
      <c r="O177" s="2">
        <f t="shared" si="8"/>
        <v>1</v>
      </c>
      <c r="P177" s="2" t="str">
        <f t="shared" si="9"/>
        <v>C</v>
      </c>
      <c r="Q177" s="2" t="s">
        <v>27</v>
      </c>
      <c r="R177" s="2">
        <f t="shared" si="10"/>
        <v>1</v>
      </c>
      <c r="S177" s="2">
        <v>352</v>
      </c>
      <c r="T177" s="2">
        <v>353</v>
      </c>
      <c r="U177" s="2" t="str">
        <f t="shared" si="11"/>
        <v/>
      </c>
    </row>
    <row r="178" ht="23" customHeight="1" spans="1:21">
      <c r="A178" s="6" t="s">
        <v>293</v>
      </c>
      <c r="B178" s="2" t="s">
        <v>39</v>
      </c>
      <c r="C178" s="2">
        <v>2</v>
      </c>
      <c r="D178" s="6" t="s">
        <v>498</v>
      </c>
      <c r="E178" s="2" t="str">
        <f>five子指标方向明细!F354</f>
        <v>B</v>
      </c>
      <c r="F178" s="2">
        <f>five子指标方向明细!G354</f>
        <v>3</v>
      </c>
      <c r="G178" s="2" t="str">
        <f>five子指标方向明细!H354</f>
        <v>C</v>
      </c>
      <c r="H178" s="2">
        <f>five子指标方向明细!I354</f>
        <v>4</v>
      </c>
      <c r="I178" s="2" t="str">
        <f>five子指标方向明细!L354</f>
        <v>C</v>
      </c>
      <c r="J178" s="2" t="str">
        <f>five子指标方向明细!F355</f>
        <v>C</v>
      </c>
      <c r="K178" s="2">
        <f>five子指标方向明细!G355</f>
        <v>4</v>
      </c>
      <c r="L178" s="2" t="str">
        <f>five子指标方向明细!H355</f>
        <v>B</v>
      </c>
      <c r="M178" s="2">
        <f>five子指标方向明细!I355</f>
        <v>3</v>
      </c>
      <c r="N178" s="2" t="str">
        <f>five子指标方向明细!L355</f>
        <v>C</v>
      </c>
      <c r="O178" s="2">
        <f t="shared" si="8"/>
        <v>1</v>
      </c>
      <c r="P178" s="2" t="str">
        <f t="shared" si="9"/>
        <v>C</v>
      </c>
      <c r="Q178" s="2" t="s">
        <v>27</v>
      </c>
      <c r="R178" s="2">
        <f t="shared" si="10"/>
        <v>1</v>
      </c>
      <c r="S178" s="2">
        <v>354</v>
      </c>
      <c r="T178" s="2">
        <v>355</v>
      </c>
      <c r="U178" s="2" t="str">
        <f t="shared" si="11"/>
        <v/>
      </c>
    </row>
    <row r="179" ht="23" customHeight="1" spans="1:21">
      <c r="A179" s="6" t="s">
        <v>293</v>
      </c>
      <c r="B179" s="2" t="s">
        <v>39</v>
      </c>
      <c r="C179" s="2">
        <v>3</v>
      </c>
      <c r="D179" s="6" t="s">
        <v>499</v>
      </c>
      <c r="E179" s="2" t="str">
        <f>five子指标方向明细!F356</f>
        <v>B</v>
      </c>
      <c r="F179" s="2">
        <f>five子指标方向明细!G356</f>
        <v>4</v>
      </c>
      <c r="G179" s="2" t="str">
        <f>five子指标方向明细!H356</f>
        <v>C</v>
      </c>
      <c r="H179" s="2">
        <f>five子指标方向明细!I356</f>
        <v>5</v>
      </c>
      <c r="I179" s="2" t="str">
        <f>five子指标方向明细!L356</f>
        <v>C</v>
      </c>
      <c r="J179" s="2" t="str">
        <f>five子指标方向明细!F357</f>
        <v>C</v>
      </c>
      <c r="K179" s="2">
        <f>five子指标方向明细!G357</f>
        <v>5</v>
      </c>
      <c r="L179" s="2" t="str">
        <f>five子指标方向明细!H357</f>
        <v>B</v>
      </c>
      <c r="M179" s="2">
        <f>five子指标方向明细!I357</f>
        <v>3</v>
      </c>
      <c r="N179" s="2" t="str">
        <f>five子指标方向明细!L357</f>
        <v>C</v>
      </c>
      <c r="O179" s="2">
        <f t="shared" si="8"/>
        <v>1</v>
      </c>
      <c r="P179" s="2" t="str">
        <f t="shared" si="9"/>
        <v>C</v>
      </c>
      <c r="Q179" s="2" t="s">
        <v>27</v>
      </c>
      <c r="R179" s="2">
        <f t="shared" si="10"/>
        <v>1</v>
      </c>
      <c r="S179" s="2">
        <v>356</v>
      </c>
      <c r="T179" s="2">
        <v>357</v>
      </c>
      <c r="U179" s="2" t="str">
        <f t="shared" si="11"/>
        <v/>
      </c>
    </row>
    <row r="180" ht="23" customHeight="1" spans="1:21">
      <c r="A180" s="6" t="s">
        <v>293</v>
      </c>
      <c r="B180" s="2" t="s">
        <v>39</v>
      </c>
      <c r="C180" s="2">
        <v>4</v>
      </c>
      <c r="D180" s="6" t="s">
        <v>500</v>
      </c>
      <c r="E180" s="2" t="str">
        <f>five子指标方向明细!F358</f>
        <v>B</v>
      </c>
      <c r="F180" s="2">
        <f>five子指标方向明细!G358</f>
        <v>3</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3</v>
      </c>
      <c r="N180" s="2" t="str">
        <f>five子指标方向明细!L359</f>
        <v>C</v>
      </c>
      <c r="O180" s="2">
        <f t="shared" si="8"/>
        <v>1</v>
      </c>
      <c r="P180" s="2" t="str">
        <f t="shared" si="9"/>
        <v>C</v>
      </c>
      <c r="Q180" s="2" t="s">
        <v>27</v>
      </c>
      <c r="R180" s="2">
        <f t="shared" si="10"/>
        <v>1</v>
      </c>
      <c r="S180" s="2">
        <v>358</v>
      </c>
      <c r="T180" s="2">
        <v>359</v>
      </c>
      <c r="U180" s="2" t="str">
        <f t="shared" si="11"/>
        <v/>
      </c>
    </row>
    <row r="181" ht="23" customHeight="1" spans="1:21">
      <c r="A181" s="6" t="s">
        <v>293</v>
      </c>
      <c r="B181" s="2" t="s">
        <v>39</v>
      </c>
      <c r="C181" s="2">
        <v>5</v>
      </c>
      <c r="D181" s="6" t="s">
        <v>501</v>
      </c>
      <c r="E181" s="2" t="str">
        <f>five子指标方向明细!F360</f>
        <v>B</v>
      </c>
      <c r="F181" s="2">
        <f>five子指标方向明细!G360</f>
        <v>3</v>
      </c>
      <c r="G181" s="2" t="str">
        <f>five子指标方向明细!H360</f>
        <v>C</v>
      </c>
      <c r="H181" s="2">
        <f>five子指标方向明细!I360</f>
        <v>4</v>
      </c>
      <c r="I181" s="2" t="str">
        <f>five子指标方向明细!L360</f>
        <v>C</v>
      </c>
      <c r="J181" s="2" t="str">
        <f>five子指标方向明细!F361</f>
        <v>C</v>
      </c>
      <c r="K181" s="2">
        <f>five子指标方向明细!G361</f>
        <v>5</v>
      </c>
      <c r="L181" s="2" t="str">
        <f>five子指标方向明细!H361</f>
        <v>B</v>
      </c>
      <c r="M181" s="2">
        <f>five子指标方向明细!I361</f>
        <v>4</v>
      </c>
      <c r="N181" s="2" t="str">
        <f>five子指标方向明细!L361</f>
        <v>C</v>
      </c>
      <c r="O181" s="2">
        <f t="shared" si="8"/>
        <v>1</v>
      </c>
      <c r="P181" s="2" t="str">
        <f t="shared" si="9"/>
        <v>C</v>
      </c>
      <c r="Q181" s="2" t="s">
        <v>27</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
  <sheetViews>
    <sheetView showGridLines="0" tabSelected="1" workbookViewId="0">
      <selection activeCell="A1" sqref="A1:Q1"/>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33</v>
      </c>
      <c r="E7" s="7">
        <f>D7/C7</f>
        <v>0.916666666666667</v>
      </c>
      <c r="F7" s="2">
        <f>COUNTIFS(five子指标合并明细!$C$2:$C$181,A7,five子指标合并明细!$P$2:$P$181,"&lt;&gt;")</f>
        <v>36</v>
      </c>
      <c r="G7" s="2">
        <f>SUMIF(five子指标合并明细!$C$2:$C$181,A7,five子指标合并明细!$R$2:$R$181)</f>
        <v>21</v>
      </c>
      <c r="H7" s="7">
        <f>G7/F7</f>
        <v>0.583333333333333</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0.249228395061728</v>
      </c>
      <c r="J7" s="10">
        <f>(H7-I7)/(1-I7)</f>
        <v>0.445015416238438</v>
      </c>
      <c r="K7" s="2">
        <f>COUNTIFS(five子指标合并明细!$C$2:$C$181,A7,five子指标合并明细!$P$2:$P$181,"A")</f>
        <v>10</v>
      </c>
      <c r="L7" s="2">
        <f>COUNTIFS(five子指标合并明细!$C$2:$C$181,A7,five子指标合并明细!$P$2:$P$181,"B")</f>
        <v>7</v>
      </c>
      <c r="M7" s="2">
        <f>COUNTIFS(five子指标合并明细!$C$2:$C$181,A7,five子指标合并明细!$P$2:$P$181,"C")</f>
        <v>3</v>
      </c>
      <c r="N7" s="2">
        <f>COUNTIFS(five子指标合并明细!$C$2:$C$181,A7,five子指标合并明细!$P$2:$P$181,"D(平局)")</f>
        <v>16</v>
      </c>
      <c r="O7" s="7">
        <f>N7/F7</f>
        <v>0.444444444444444</v>
      </c>
      <c r="P7" s="2">
        <f>COUNTIFS(five子指标合并明细!$C$2:$C$181,A7,five子指标合并明细!$U$2:$U$181,"双向评分平局")</f>
        <v>13</v>
      </c>
      <c r="Q7" s="2">
        <f>COUNTIFS(five子指标合并明细!$C$2:$C$181,A7,five子指标合并明细!$U$2:$U$181,"方向冲突")</f>
        <v>3</v>
      </c>
    </row>
    <row r="8" ht="34" customHeight="1" spans="1:17">
      <c r="A8" s="2">
        <v>2</v>
      </c>
      <c r="B8" s="6" t="s">
        <v>498</v>
      </c>
      <c r="C8" s="2">
        <f>COUNTIF(five子指标合并明细!$C$2:$C$181,A8)</f>
        <v>36</v>
      </c>
      <c r="D8" s="2">
        <f>SUMIF(five子指标合并明细!$C$2:$C$181,A8,five子指标合并明细!$O$2:$O$181)</f>
        <v>32</v>
      </c>
      <c r="E8" s="7">
        <f>D8/C8</f>
        <v>0.888888888888889</v>
      </c>
      <c r="F8" s="2">
        <f>COUNTIFS(five子指标合并明细!$C$2:$C$181,A8,five子指标合并明细!$P$2:$P$181,"&lt;&gt;")</f>
        <v>36</v>
      </c>
      <c r="G8" s="2">
        <f>SUMIF(five子指标合并明细!$C$2:$C$181,A8,five子指标合并明细!$R$2:$R$181)</f>
        <v>28</v>
      </c>
      <c r="H8" s="7">
        <f>G8/F8</f>
        <v>0.777777777777778</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0.325617283950617</v>
      </c>
      <c r="J8" s="10">
        <f>(H8-I8)/(1-I8)</f>
        <v>0.670480549199085</v>
      </c>
      <c r="K8" s="2">
        <f>COUNTIFS(five子指标合并明细!$C$2:$C$181,A8,five子指标合并明细!$P$2:$P$181,"A")</f>
        <v>16</v>
      </c>
      <c r="L8" s="2">
        <f>COUNTIFS(five子指标合并明细!$C$2:$C$181,A8,five子指标合并明细!$P$2:$P$181,"B")</f>
        <v>10</v>
      </c>
      <c r="M8" s="2">
        <f>COUNTIFS(five子指标合并明细!$C$2:$C$181,A8,five子指标合并明细!$P$2:$P$181,"C")</f>
        <v>4</v>
      </c>
      <c r="N8" s="2">
        <f>COUNTIFS(five子指标合并明细!$C$2:$C$181,A8,five子指标合并明细!$P$2:$P$181,"D(平局)")</f>
        <v>6</v>
      </c>
      <c r="O8" s="7">
        <f>N8/F8</f>
        <v>0.166666666666667</v>
      </c>
      <c r="P8" s="2">
        <f>COUNTIFS(five子指标合并明细!$C$2:$C$181,A8,five子指标合并明细!$U$2:$U$181,"双向评分平局")</f>
        <v>2</v>
      </c>
      <c r="Q8" s="2">
        <f>COUNTIFS(five子指标合并明细!$C$2:$C$181,A8,five子指标合并明细!$U$2:$U$181,"方向冲突")</f>
        <v>4</v>
      </c>
    </row>
    <row r="9" ht="34" customHeight="1" spans="1:17">
      <c r="A9" s="2">
        <v>3</v>
      </c>
      <c r="B9" s="6" t="s">
        <v>499</v>
      </c>
      <c r="C9" s="2">
        <f>COUNTIF(five子指标合并明细!$C$2:$C$181,A9)</f>
        <v>36</v>
      </c>
      <c r="D9" s="2">
        <f>SUMIF(five子指标合并明细!$C$2:$C$181,A9,five子指标合并明细!$O$2:$O$181)</f>
        <v>29</v>
      </c>
      <c r="E9" s="7">
        <f>D9/C9</f>
        <v>0.805555555555556</v>
      </c>
      <c r="F9" s="2">
        <f>COUNTIFS(five子指标合并明细!$C$2:$C$181,A9,five子指标合并明细!$P$2:$P$181,"&lt;&gt;")</f>
        <v>36</v>
      </c>
      <c r="G9" s="2">
        <f>SUMIF(five子指标合并明细!$C$2:$C$181,A9,five子指标合并明细!$R$2:$R$181)</f>
        <v>22</v>
      </c>
      <c r="H9" s="7">
        <f>G9/F9</f>
        <v>0.611111111111111</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0.301697530864198</v>
      </c>
      <c r="J9" s="10">
        <f>(H9-I9)/(1-I9)</f>
        <v>0.443093922651934</v>
      </c>
      <c r="K9" s="2">
        <f>COUNTIFS(five子指标合并明细!$C$2:$C$181,A9,five子指标合并明细!$P$2:$P$181,"A")</f>
        <v>12</v>
      </c>
      <c r="L9" s="2">
        <f>COUNTIFS(five子指标合并明细!$C$2:$C$181,A9,five子指标合并明细!$P$2:$P$181,"B")</f>
        <v>13</v>
      </c>
      <c r="M9" s="2">
        <f>COUNTIFS(five子指标合并明细!$C$2:$C$181,A9,five子指标合并明细!$P$2:$P$181,"C")</f>
        <v>3</v>
      </c>
      <c r="N9" s="2">
        <f>COUNTIFS(five子指标合并明细!$C$2:$C$181,A9,five子指标合并明细!$P$2:$P$181,"D(平局)")</f>
        <v>8</v>
      </c>
      <c r="O9" s="7">
        <f>N9/F9</f>
        <v>0.222222222222222</v>
      </c>
      <c r="P9" s="2">
        <f>COUNTIFS(five子指标合并明细!$C$2:$C$181,A9,five子指标合并明细!$U$2:$U$181,"双向评分平局")</f>
        <v>1</v>
      </c>
      <c r="Q9" s="2">
        <f>COUNTIFS(five子指标合并明细!$C$2:$C$181,A9,five子指标合并明细!$U$2:$U$181,"方向冲突")</f>
        <v>7</v>
      </c>
    </row>
    <row r="10" ht="34" customHeight="1" spans="1:17">
      <c r="A10" s="2">
        <v>4</v>
      </c>
      <c r="B10" s="6" t="s">
        <v>500</v>
      </c>
      <c r="C10" s="2">
        <f>COUNTIF(five子指标合并明细!$C$2:$C$181,A10)</f>
        <v>36</v>
      </c>
      <c r="D10" s="2">
        <f>SUMIF(five子指标合并明细!$C$2:$C$181,A10,five子指标合并明细!$O$2:$O$181)</f>
        <v>27</v>
      </c>
      <c r="E10" s="7">
        <f>D10/C10</f>
        <v>0.75</v>
      </c>
      <c r="F10" s="2">
        <f>COUNTIFS(five子指标合并明细!$C$2:$C$181,A10,five子指标合并明细!$P$2:$P$181,"&lt;&gt;")</f>
        <v>36</v>
      </c>
      <c r="G10" s="2">
        <f>SUMIF(five子指标合并明细!$C$2:$C$181,A10,five子指标合并明细!$R$2:$R$181)</f>
        <v>21</v>
      </c>
      <c r="H10" s="7">
        <f>G10/F10</f>
        <v>0.583333333333333</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0.265432098765432</v>
      </c>
      <c r="J10" s="10">
        <f>(H10-I10)/(1-I10)</f>
        <v>0.432773109243698</v>
      </c>
      <c r="K10" s="2">
        <f>COUNTIFS(five子指标合并明细!$C$2:$C$181,A10,five子指标合并明细!$P$2:$P$181,"A")</f>
        <v>10</v>
      </c>
      <c r="L10" s="2">
        <f>COUNTIFS(five子指标合并明细!$C$2:$C$181,A10,five子指标合并明细!$P$2:$P$181,"B")</f>
        <v>10</v>
      </c>
      <c r="M10" s="2">
        <f>COUNTIFS(five子指标合并明细!$C$2:$C$181,A10,five子指标合并明细!$P$2:$P$181,"C")</f>
        <v>3</v>
      </c>
      <c r="N10" s="2">
        <f>COUNTIFS(five子指标合并明细!$C$2:$C$181,A10,five子指标合并明细!$P$2:$P$181,"D(平局)")</f>
        <v>13</v>
      </c>
      <c r="O10" s="7">
        <f>N10/F10</f>
        <v>0.361111111111111</v>
      </c>
      <c r="P10" s="2">
        <f>COUNTIFS(five子指标合并明细!$C$2:$C$181,A10,five子指标合并明细!$U$2:$U$181,"双向评分平局")</f>
        <v>4</v>
      </c>
      <c r="Q10" s="2">
        <f>COUNTIFS(five子指标合并明细!$C$2:$C$181,A10,five子指标合并明细!$U$2:$U$181,"方向冲突")</f>
        <v>9</v>
      </c>
    </row>
    <row r="11" ht="34" customHeight="1" spans="1:17">
      <c r="A11" s="2">
        <v>5</v>
      </c>
      <c r="B11" s="6" t="s">
        <v>501</v>
      </c>
      <c r="C11" s="2">
        <f>COUNTIF(five子指标合并明细!$C$2:$C$181,A11)</f>
        <v>36</v>
      </c>
      <c r="D11" s="2">
        <f>SUMIF(five子指标合并明细!$C$2:$C$181,A11,five子指标合并明细!$O$2:$O$181)</f>
        <v>30</v>
      </c>
      <c r="E11" s="7">
        <f>D11/C11</f>
        <v>0.833333333333333</v>
      </c>
      <c r="F11" s="2">
        <f>COUNTIFS(five子指标合并明细!$C$2:$C$181,A11,five子指标合并明细!$P$2:$P$181,"&lt;&gt;")</f>
        <v>36</v>
      </c>
      <c r="G11" s="2">
        <f>SUMIF(five子指标合并明细!$C$2:$C$181,A11,five子指标合并明细!$R$2:$R$181)</f>
        <v>10</v>
      </c>
      <c r="H11" s="7">
        <f>G11/F11</f>
        <v>0.277777777777778</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0.157407407407407</v>
      </c>
      <c r="J11" s="10">
        <f>(H11-I11)/(1-I11)</f>
        <v>0.142857142857143</v>
      </c>
      <c r="K11" s="2">
        <f>COUNTIFS(five子指标合并明细!$C$2:$C$181,A11,five子指标合并明细!$P$2:$P$181,"A")</f>
        <v>3</v>
      </c>
      <c r="L11" s="2">
        <f>COUNTIFS(five子指标合并明细!$C$2:$C$181,A11,five子指标合并明细!$P$2:$P$181,"B")</f>
        <v>3</v>
      </c>
      <c r="M11" s="2">
        <f>COUNTIFS(five子指标合并明细!$C$2:$C$181,A11,five子指标合并明细!$P$2:$P$181,"C")</f>
        <v>2</v>
      </c>
      <c r="N11" s="2">
        <f>COUNTIFS(five子指标合并明细!$C$2:$C$181,A11,five子指标合并明细!$P$2:$P$181,"D(平局)")</f>
        <v>28</v>
      </c>
      <c r="O11" s="7">
        <f>N11/F11</f>
        <v>0.777777777777778</v>
      </c>
      <c r="P11" s="2">
        <f>COUNTIFS(five子指标合并明细!$C$2:$C$181,A11,five子指标合并明细!$U$2:$U$181,"双向评分平局")</f>
        <v>22</v>
      </c>
      <c r="Q11" s="2">
        <f>COUNTIFS(five子指标合并明细!$C$2:$C$181,A11,five子指标合并明细!$U$2:$U$181,"方向冲突")</f>
        <v>6</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71</v>
      </c>
      <c r="C19" s="9">
        <f>B19/B15</f>
        <v>0.986111111111111</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331</v>
      </c>
      <c r="B24" s="2" t="s">
        <v>15</v>
      </c>
      <c r="C24" s="2" t="s">
        <v>17</v>
      </c>
      <c r="D24" s="2">
        <v>21</v>
      </c>
      <c r="E24" s="2">
        <v>23</v>
      </c>
      <c r="F24" s="2" t="s">
        <v>22</v>
      </c>
      <c r="G24" s="2" t="s">
        <v>27</v>
      </c>
      <c r="H24" s="2">
        <v>148</v>
      </c>
      <c r="I24" s="2"/>
      <c r="J24" s="2"/>
      <c r="K24" s="2"/>
      <c r="L24" s="2"/>
      <c r="M24" s="2"/>
      <c r="N24" s="2"/>
      <c r="O24" s="2"/>
      <c r="P24" s="2"/>
      <c r="Q24"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2026-08-17T11:55:37Z</dcterms:created>
  <dcterms:modified xsi:type="dcterms:W3CDTF">2026-08-17T11:56:47Z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A43DE0E92CAB4015AD97E35D353A25DF_12</vt:lpwstr>
  </property>
  <property fmtid="{D5CDD505-2E9C-101B-9397-08002B2CF9AE}" pid="3" name="KSOProductBuildVer">
    <vt:lpwstr>2052-12.1.0.20305</vt:lpwstr>
  </property>
</Properties>
</file>