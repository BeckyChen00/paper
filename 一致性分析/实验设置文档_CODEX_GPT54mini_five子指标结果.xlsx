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<sst xmlns="http://schemas.openxmlformats.org/spreadsheetml/2006/main" count="5346" uniqueCount="548">
  <si>
    <t>需求name</t>
  </si>
  <si>
    <t>需求描述</t>
  </si>
  <si>
    <t>类别</t>
  </si>
  <si>
    <t>指标类别</t>
  </si>
  <si>
    <t>位置</t>
  </si>
  <si>
    <t>提示词</t>
  </si>
  <si>
    <t>生产模式设置</t>
  </si>
  <si>
    <t>基座模型设置</t>
  </si>
  <si>
    <t>输出结果</t>
  </si>
  <si>
    <t>最终结果</t>
  </si>
  <si>
    <t>实际结果</t>
  </si>
  <si>
    <t>人工打标</t>
  </si>
  <si>
    <t>一致性</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</si>
  <si>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</si>
  <si>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</si>
  <si>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</si>
  <si>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</si>
  <si>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</si>
  <si>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</si>
  <si>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codex</t>
  </si>
  <si>
    <t>GPT5.4mini</t>
  </si>
  <si>
    <t>```result
Scores:
1. Cohesion and Decoupling: Model 1 = 4, Model 2 = 4; Evidence: Model 1 groups the bank domain into `Bank`, `Branch`, `Customer`, `Account`, `CurrentAccount`, and `SavingsAccount`, and its extra reverse links like `Customer --&gt; "1" Bank` and `Account --&gt; "1" Customer` are semantically consistent with the main associations rather than introducing a conflicting concept. Model 2 uses the same core classes and a cleaner single-link presentation, but it represents the same conceptual structure and does not materially improve the cohesion of the domain model.
2. Complexity: Model 1 = 4, Model 2 = 4; Evidence: Both models have the same essential inheritance depth (`Account` with two specializations) and the same key class set. Model 1 adds `bankName` and `branchName`, while Model 2 omits them, but those extra attributes do not meaningfully change the conceptual complexity of the bank diagram enough to create a clear winner.
3. Practicability: Model 1 = 4, Model 2 = 4; Evidence: Model 1 is slightly more verbose because it shows both directions for some relationships, while Model 2 is more compact with `Bank "1" -- "0..*" Customer`, `Bank "1" -- "0..*" Branch`, and `Customer "1" -- "1..5" Account`. Still, both are readable, both capture the required domain, and neither introduces a blocking semantic error, so their practical usefulness is effectively equivalent.
Total: Model 1 = 12, Model 2 = 12
Choice: C
Reason:
1. Cohesion and Decoupling: Model 1 and Model 2 describe the same bank-domain structure with the same conceptual classes; the difference is mostly presentation and redundancy, not a clear semantic advantage.
2. Complexity: Model 1 is a bit more verbose, while Model 2 is a bit more compact, but neither side is materially more complex in a way that changes the quality judgment.
3. Rejected or checked issues: I did not treat the extra reverse associations in Model 1 as a penalty by themselves, because opposite-direction associations are semantically equivalent unless they contradict the required multiplicities or meaning. I also did not use abstractness of `Account` as a deciding factor.
4. Overall judgment: The two diagrams are close enough in semantic quality that the meaningful difference is small, so `Tie` is the fairest choice.
```</t>
  </si>
  <si>
    <t>C</t>
  </si>
  <si>
    <t>D(平局)</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</si>
  <si>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</si>
  <si>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</si>
  <si>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includes the same core bank-domain concepts (`Bank`, `Branch`, `Customer`, `Account`, `CurrentAccount`, `SavingsAccount`) and its extra reverse associations are still centered on the same customer/bank/account relationships. Model 2 uses the same core concepts with a cleaner single-link presentation, but the underlying conceptual cohesion is effectively the same.
2. Complexity: Model 1 = 4, Model 2 = 4; Evidence: Both models have the same inheritance structure with `Account` specialized into `CurrentAccount` and `SavingsAccount`, and both capture the required account multiplicities. Model 1 adds `bankName` and `branchName`, while Model 2 omits them, but that difference is not large enough to make one diagram materially more complex than the other.
3. Practicability: Model 1 = 4, Model 2 = 4; Evidence: Model 1 is a bit more verbose because it shows both directions for some associations and includes extra identifiers, while Model 2 is more compact with `Bank -- Customer`, `Bank -- Branch`, and `Customer -- Account`. Still, both are readable UML class diagrams that cover the required bank, customer, branch, and account structure, so their practical usefulness is effectively equivalent.
Total: Model 1 = 12, Model 2 = 12
Choice: C
Reason:
1. Cohesion and Decoupling: Model 1 and Model 2 both represent the same essential domain relationships, so neither has a clear cohesion advantage.
2. Complexity: The extra attributes and reverse links in Model 1 are offset by Model 2’s slightly cleaner presentation, leaving no meaningful complexity winner.
3. Rejected or checked issues: I did not treat opposite-direction associations as a penalty, because they are semantically equivalent under the rules. I also did not use `Account` being abstract as a deciding factor, since abstractness is optional here.
4. Overall judgment: The diagrams are close enough in semantic quality that the difference is not meaningful, so `Tie` is the fairest outcome.
```</t>
  </si>
  <si>
    <t>five</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</si>
  <si>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</si>
  <si>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4, Model 2 = 4; Evidence: Both models include the required core classes `Bank`, `Branch`, `Customer`, `Account`, `CurrentAccount`, and `SavingsAccount`, and both model the customer name fields and account-related fields. Model 1 additionally includes `bankName: String` and `branchName: String`, while Model 2 omits those extras, but both still identify the same main domain concepts correctly.
2. Associations/Multiplicities between classes for domain reasoning: Model 1 = 4, Model 2 = 4; Evidence: Model 1 shows `Bank --&gt; "0..*" Customer : manages` and `Customer --&gt; "1..5" Account : account`, plus the reverse links `Customer --&gt; "1" Bank : bank` and `Account --&gt; "1" Customer : owner`. Model 2 shows `Bank "1" -- "0..*" Customer : manages`, `Bank "1" -- "0..*" Branch : consists of`, and `Customer "1" -- "1..5" Account : owns`. Both encode the required bank-customer and customer-account relationships, and neither clearly violates the stated multiplicities.
3. Model attributes with appropriate data types: Model 1 = 4, Model 2 = 4; Evidence: Both models correctly give `Customer` the required `firstName` and `lastName`, `Account` the required `accountNumber` and `balance`, and `CurrentAccount` the required `overdraftLimit`. Model 1 includes extra attributes `bankName` and `branchName`, while Model 2 does not, but both still model the required attributes with appropriate types.
4. Consistencies of Terminology with given context: Model 1 = 4, Model 2 = 4; Evidence: Model 1 uses domain terms like `manages`, `account`, and `owner`, and its extra labels such as `bankName` and `branchName` are understandable refinements rather than terminology contradictions. Model 2 uses `manages`, `consists of`, and `owns` directly from the bank context, but both remain aligned with the domain vocabulary overall.
5. Adherence of UML class diagram standards: Model 1 = 4, Model 2 = 4; Evidence: Both diagrams are valid and readable PlantUML class diagrams with classes, attributes, associations, multiplicities, and inheritance. Model 1 includes comments and extra associations, while Model 2 is more compact, but neither has a notation issue severe enough to separate them meaningfully.
Total: Model 1 = 20, Model 2 = 20
Choice: C
Reason:
1. Appropriate conceptual classes: both models capture the same required class set and no meaningful semantic gap appears between them.
2. Associations and attributes: Model 1 is more verbose, while Model 2 is more compact, but both still represent the required relationships and fields well enough that neither clearly dominates.
3. Rejected or checked issues: I did not use opposite-direction association style, primitive type spelling, or `abstract` vs non-abstract `Account` as negative evidence, because those are disallowed as deciding factors here.
4. Overall judgment: the semantic differences are small and balance out, so the fairest result is a tie.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</si>
  <si>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</si>
  <si>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</si>
  <si>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agent1</t>
  </si>
  <si>
    <t>```result
Scores:
1. Bank, customer, and branch structure: Model 1 = 5, Model 2 = 5; Evidence: Model 1 has `Bank *-- "0..*" Branch`, `Bank --&gt; "0..*" Customer`, and `Customer --&gt; "1" Bank`, while Model 2 has `Bank "1" *-- "0..*" Branch` and `Bank "1" --- "0..*" Customer`. Both capture that a bank has any number of branches and manages any number of customers.
2. Customer attributes: Model 1 = 5, Model 2 = 5; Evidence: Model 1 defines `Customer { firstName: String, lastName: String }`, and Model 2 defines `Customer { - firstName: String, - lastName: String }`. Both match the required stored names.
3. Account ownership cardinality: Model 1 = 5, Model 2 = 2; Evidence: Model 1 uses `Customer --&gt; "1..5" Account` and `Account --&gt; "1" Customer`, which directly matches “a customer has at least one and at most five accounts” and “each account has an owner.” Model 2 has `Customer "1" --- "1..5" Account` but also `Account "0..*" --- "1" Customer : owner`, which introduces a second association with a conflicting customer-side multiplicity of `0..*` for the same customer-account relationship.
4. Account type hierarchy: Model 1 = 5, Model 2 = 5; Evidence: Model 1 has `CurrentAccount --|&gt; Account` and `SavingsAccount --|&gt; Account`, and Model 2 has the same inheritance. Both represent the two basic account types correctly.
5. Account attributes: Model 1 = 5, Model 2 = 5; Evidence: Model 1 defines `Account { accountNumber: int, balance: double }` and `CurrentAccount { overdraftLimit: double }`; Model 2 defines `Account { - accountNumber: int, - balance: double }` and `CurrentAccount { - overdraftLimit: double }`. Both include the required account number, balance, and overdraft limit.
6. Overall semantic faithfulness: Model 1 = 4, Model 2 = 2; Evidence: Model 1 adds `bankName: String` and `branchName: String`, which are not stated in the requirement, but its relationships are internally consistent. Model 2 avoids extra attributes, but its duplicated `Customer`-`Account` associations (`Customer "1" --- "1..5" Account` and `Account "0..*" --- "1" Customer`) weaken the required ownership semantics and create a conflicting multiplicity picture.
Total: Model 1 = 29, Model 2 = 24
Choice: A
Reason:
1. Account ownership cardinality: Model 1 matches the required 1 to 5 accounts per customer and exactly one owner per account. Model 2 introduces a second `Account`-`Customer` association with `0..*`, which conflicts with the requirement.
2. Overall semantic faithfulness: Model 1 has some extra attributes not required, but its core domain structure is coherent. Model 2’s redundant ownership links are a more serious diagram-level problem than Model 1’s minor additions.
3. Rejected or checked issues: I did not use opposite-direction association style (`A --&gt; B` plus `B --&gt; A` vs `A -- B`) as negative evidence, and I did not penalize lowercase primitive types or the use/non-use of `abstract` on `Account`.
4. Overall judgment: Model 1 is closer to the requirement because it preserves the critical customer-account multiplicity correctly, while Model 2 introduces a conflicting ownership relationship.
```</t>
  </si>
  <si>
    <t>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</si>
  <si>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</si>
  <si>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includes the required domain classes, but it also adds `bankName: String` on `Bank` and `branchName: String` on `Branch`, which are not part of the requirement. It also models bank-customer and customer-account ownership twice with `Bank --&gt; "0..*" Customer : manages` plus `Customer --&gt; "1" Bank : bank`, and `Customer --&gt; "1..5" Account : account` plus `Account --&gt; "1" Customer : owner`. Model 2 keeps the same core structure with `Bank "1" --- "0..*" Customer : manages`, `Bank "1" *-- "0..*" Branch : consists of`, and `Customer "1" --- "1..5" Account : has`, which is more focused.
2. Complexity: Model 1 = 3, Model 2 = 4; Evidence: Both models have the same essential class set and the same inheritance depth with `Account` specialized into `CurrentAccount` and `SavingsAccount`. Model 1 adds two extra non-required attributes (`bankName`, `branchName`) and an extra reverse association for both customer-bank and account-owner relationships, increasing structural clutter without improving coverage. Model 2 is slightly simpler while still covering all required classes, attributes, and relations.
3. Practicability: Model 1 = 3, Model 2 = 4; Evidence: Model 1 is understandable, but the duplicated associations and extra identifiers like `operatesBranch`, `bank`, `account`, and the added names on `Bank` and `Branch` make the diagram less direct to read and implement. Model 2 presents a cleaner single view of the required bank, branch, customer, and account relationships, which is easier to validate against the requirement and use as a design reference.
Total: Model 1 = 9, Model 2 = 12
Choice: B
Reason:
1. Cohesion and Decoupling: Model 2 is better because it expresses each required relationship once and avoids the extra non-required identifiers and duplicated ownership links present in Model 1.
2. Complexity: Model 2 has slightly lower effective complexity since it stays closer to the required conceptual model without extra attributes and redundant relation lines.
3. Rejected or checked issues: I did not treat opposite-direction associations as inherently wrong, because they are semantically equivalent unless they contradict the required multiplicities or meaning. I also did not use `abstract class Account` as a deciding factor, because abstractness is optional here.
4. Overall judgment: Model 2 is the better UML class diagram for this requirement because it is cleaner, more focused, and more practical while still covering all required domain elements.
```</t>
  </si>
  <si>
    <t>B</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</si>
  <si>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</si>
  <si>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`Bank`, `Branch`, `Customer`, `Account`, `CurrentAccount`, and `SavingsAccount`, which matches the bank domain closely, though it also adds `bankName`. Model 2 includes the same core classes (`Bank`, `Branch`, `Customer`, `Account`, `CurrentAccount`, `SavingsAccount`) and does not miss any required domain class.
2. Associations/Multiplicities between classes for domain reasoning: Model 1 = 4, Model 2 = 4; Evidence: Model 1 models `Bank *-- "0..*" Branch`, `Bank --&gt; "0..*" Customer`, and `Customer --&gt; "1..5" Account` plus `Account --&gt; "1" Customer`, which captures the required relationships and multiplicities, though it uses redundant opposite-direction links. Model 2 models `Bank "1" --- "0..*" Customer`, `Bank "1" *-- "0..*" Branch`, `Customer "1" --- "1..5" Account`, and `Account "0..*" --- "1" Customer`, which also captures the needed relationships, with the same redundancy but no missing essential association.
3. Model attributes with appropriate data types: Model 1 = 4, Model 2 = 4; Evidence: Model 1 gives `Customer.firstName: String`, `Customer.lastName: String`, `Account.accountNumber: int`, `Account.balance: double`, and `CurrentAccount.overdraftLimit: double`, covering the required attributes, but it also adds `Bank.bankName: String` which is not requested. Model 2 gives `Customer` attributes `firstName: String` and `lastName: String`, `Account.accountNumber: int` and `balance: double`, and `CurrentAccount.overdraftLimit: double`, which covers the required data but omits any bank attribute and uses private visibility markers that do not change semantics.
4. Consistencies of Terminology with given context: Model 1 = 4, Model 2 = 4; Evidence: Model 1 uses the domain terms `Customer`, `Branch`, `CurrentAccount`, `SavingsAccount`, `owner`, and `manages`, which align well with the prompt, though `bankName` is extra. Model 2 uses the same domain terms and the association names `manages`, `consists of`, `has`, and `owner`, which are also consistent with the bank description.
5. Adherence of UML class diagram standards: Model 1 = 4, Model 2 = 4; Evidence: Model 1 is valid PlantUML/UML overall with classes, inheritance, and associations, though it includes redundant pairwise associations between `Bank`/`Customer` and `Account`/`Customer`. Model 2 is also syntactically valid and readable, with the same kinds of redundant but understandable associations; neither has a major UML notation error.
Total: Model 1 = 21, Model 2 = 21
Choice: C
Reason:
1. Appropriate classes: both models identify the full required set of bank-domain classes, including the account specializations.
2. Associations and multiplicities: both models capture the core relationships and required multiplicities, and neither has a decisive structural advantage.
3. Attributes and terminology: both include the required customer and account attributes with suitable types, with only minor extra or stylistic differences.
4. Rejected or checked issues: I did not penalize opposite-direction association pairs or lowercase/common type aliases, since those are semantically equivalent under the instructions.
5. Overall judgment: the two diagrams are effectively tied in domain fidelity and UML correctness, so neither is materially better.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</si>
  <si>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</si>
  <si>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</si>
  <si>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 and attribute coverage: Model 1 = 5, Model 2 = 5; Evidence: Model 1 includes `Bank`, `Branch`, `Customer { firstName : String, lastName : String }`, `Account { accountNumber : int, balance : double }`, `CurrentAccount { overdraftLimit : double }`, and `SavingsAccount`. Model 2 includes the same conceptual set: `Bank`, `Branch`, `Customer { firstName: String, lastName: String }`, `Account { accountNumber: int, balance: double }`, `CurrentAccount { overdraftLimit: double }`, and `SavingsAccount`.
2. Bank structure and branch/customer associations: Model 1 = 5, Model 2 = 5; Evidence: Model 1 states `Bank "1" -- "0..*" Customer : manages` and `Bank "1" -- "0..*" Branch : consists of`. Model 2 states `Bank "1" --- "0..*" Customer : manages` and `Bank "1" *-- "0..*" Branch : consists of`, which still captures the required bank-to-customers and bank-to-branches relationships.
3. Customer-to-account ownership and multiplicity: Model 1 = 5, Model 2 = 2; Evidence: Model 1 has a single relationship `Customer "1" -- "1..5" Account : owns`, which matches the requirement that each customer has at least one and at most five accounts and each account has one owner. Model 2 adds both `Customer "1" --- "1..5" Account : has` and `Account "0..*" --- "1" Customer : owner`, and the `0..*` on the customer side conflicts with the required 1..5 account limit per customer.
4. Account hierarchy and specializations: Model 1 = 5, Model 2 = 5; Evidence: Model 1 uses `abstract class Account` with `Account &lt;|-- CurrentAccount` and `Account &lt;|-- SavingsAccount`. Model 2 uses `class Account` with `CurrentAccount --|&gt; Account` and `SavingsAccount --|&gt; Account`. Both represent the two basic account types and the extra overdraft attribute on current accounts.
5. Semantic consistency and absence of contradictory extra relations: Model 1 = 5, Model 2 = 2; Evidence: Model 1 has one coherent customer-account association and no conflicting multiplicities. Model 2 introduces two customer-account links with incompatible cardinalities (`1..5` versus `0..*`), so it weakens the model’s semantic clarity even though the individual pieces are recognizable.
Total: Model 1 = 25, Model 2 = 19
Choice: A
Reason:
1. Core coverage: both models include the required classes and attributes, so they are tied on the basic domain vocabulary.
2. Association semantics: Model 1 cleanly encodes the key ownership rule with `Customer "1" -- "1..5" Account : owns`; Model 2 duplicates the same domain relation and adds `Account "0..*" --- "1" Customer : owner`, which conflicts with the required customer account limit.
3. Type hierarchy: both models correctly show CurrentAccount and SavingsAccount inheriting from Account, so neither is better on specialization.
4. Rejected or checked issues: I did not penalize Model 1 for using `abstract Account`, because abstractness is optional here. I also did not penalize the association line style differences, because bidirectional/unidirectional notation is semantically equivalent under the stated rules.
5. Overall judgment: Model 1 is better because it matches the required multiplicity constraint without contradiction, while Model 2 introduces an incompatible customer-account cardinality.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</si>
  <si>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</si>
  <si>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the domain split cleanly into `Bank`, `Branch`, `Customer`, `Account`, `CurrentAccount`, and `SavingsAccount`, with one clear ownership relation `Customer "1" -- "1..5" Account : owns`. Model 2 repeats the customer-account link as both `Customer --- Account : has` and `Account --- Customer : owner`, but with conflicting multiplicities (`1..5` vs `0..*` accounts), which weakens conceptual cohesion and makes the ownership responsibilities less clear.
2. Complexity: Model 1 = 4, Model 2 = 2; Evidence: Both models have the same basic class count and inheritance depth (`Account` with `CurrentAccount` and `SavingsAccount` beneath it), so the baseline structural complexity is similar. Model 1 stays closer to the requirement with one customer-account association, while Model 2 adds a second customer-account association with inconsistent multiplicities, increasing conceptual complexity without adding useful domain detail.
3. Practicability: Model 1 = 4, Model 2 = 2; Evidence: Model 1 is straightforward to read and implement: a bank manages customers and branches, and each customer owns `1..5` accounts, with account subtypes and the overdraft limit placed only on current accounts. Model 2 is harder to use in implementation or testing because the customer-account rule is stated twice in incompatible forms, so a developer could not write consistent unit or acceptance tests without first resolving the contradiction.
Total: Model 1 = 12, Model 2 = 6
Choice: A
Reason:
1. Cohesion and Decoupling: Model 1 expresses the bank domain with fewer moving parts and one consistent customer-account ownership structure, while Model 2 duplicates that structure and conflicts on multiplicity, which reduces clarity.
2. Complexity: Both models are similar in raw class count and inheritance depth, but Model 2 introduces an extra, inconsistent relationship between `Customer` and `Account`, making the diagram more complex in a way that does not help satisfy the requirement.
3. Practicability: Model 1 is easier to read, implement, and test because its relationships are consistent; Model 2’s contradictory customer-account links would need manual correction before the diagram could serve as a reliable design artifact.
4. Rejected or checked issues: I did not penalize Model 1 for marking `Account` abstract, because abstractness is optional here. I also did not treat opposite association direction by itself as a defect; the problem in Model 2 is the conflicting multiplicities on the two customer-account links.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</si>
  <si>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</si>
  <si>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with `firstName`/`lastName`, `Account`, `CurrentAccount`, and `SavingsAccount`, which matches the bank domain; Model 2 includes the same set of classes and attributes, so it also aligns fully with the domain.
2. Associations/Multiplicities between classes for domain reasoning: Model 1 = 5, Model 2 = 4; Evidence: Model 1 has `Bank "1" -- "0..*" Customer : manages`, `Bank "1" -- "0..*" Branch : consists of`, and `Customer "1" -- "1..5" Account : owns`, which directly captures the required relationships and limits in one place; Model 2 captures the same ideas with `Bank "1" --- "0..*" Customer : manages`, `Bank "1" *-- "0..*" Branch : consists of`, `Customer "1" --- "1..5" Account : has`, and also `Account "0..*" --- "1" Customer : owner`, but the customer-account relationship is duplicated into two overlapping associations, which is semantically redundant and slightly less clean.
3. Model attributes with appropriate data types: Model 1 = 5, Model 2 = 5; Evidence: Model 1 gives `firstName : String`, `lastName : String`, `accountNumber : int`, `balance : double`, and `overdraftLimit : double`; Model 2 gives the same attributes and types as `- firstName: String`, `- lastName: String`, `- accountNumber: int`, `- balance: double`, and `- overdraftLimit: double`.
4. Consistencies of Terminology with given context: Model 1 = 5, Model 2 = 5; Evidence: Model 1 uses the prompt’s core terms consistently: `Bank`, `Branch`, `Customer`, `Account`, `CurrentAccount`, `SavingsAccount`, with relations labeled `manages`, `consists of`, and `owns`; Model 2 uses the same core terminology and relation labels `manages`, `consists of`, `has`, and `owner`, which still stays within the bank/account/customer context.
5. Adherence of UML class diagram standards: Model 1 = 5, Model 2 = 4; Evidence: Model 1 is a clean PlantUML class diagram with standard class declarations, inheritance (`Account &lt;|-- CurrentAccount`, `Account &lt;|-- SavingsAccount`), and associations; Model 2 is also valid PlantUML, but it adds two separate associations between `Customer` and `Account` (`Customer "1" --- "1..5" Account : has` and `Account "0..*" --- "1" Customer : owner`), which is legal UML yet makes the model less canonical and more redundant.
Total: Model 1 = 25, Model 2 = 23
Choice: A
Reason:
1. Appropriate conceptual classes aligned with the domain: both models identify the right bank-domain classes, so this criterion is a tie.
2. Associations/Multiplicities: Model 1 expresses the customer-account ownership and account-count constraint once and correctly; Model 2 repeats the same customer-account relationship in two overlapping associations, which weakens the domain model.
3. Attributes/types: both models correctly model the required attributes and data types, so this criterion is a tie.
4. Terminology: both models are consistent with the bank description and use the right business terms.
5. UML standards: both are valid PlantUML, but Model 1 is cleaner and more canonical because it avoids the redundant Customer-Account duplication present in Model 2.
6. Rejected or checked issues: I did not penalize Model 1 for making `Account` abstract, and I did not penalize Model 2 for using composition on `Bank`-`Branch`, since neither choice contradicts the requirement.
7. Overall judgment: Model 1 is better because it models the required domain relations with the same core entities but avoids the extra, overlapping association that makes Model 2 less precise.
```</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</si>
  <si>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</si>
  <si>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</si>
  <si>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and attributes: Model 1 = 5, Model 2 = 5; Evidence: Both models include `Bank`, `Branch`, `Customer { firstName, lastName }`, `Account { accountNumber, balance }`, `CurrentAccount { overdraftLimit }`, and `SavingsAccount`, which covers the required domain objects and the stated stored fields.
2. Required relationships and multiplicities: Model 1 = 5, Model 2 = 5; Evidence: Model 1 shows `Bank "1" -- "0..*" Customer`, `Bank "1" -- "0..*" Branch`, and `Customer "1" -- "1..5" Account`; Model 2 shows `Bank --&gt; "0..*" Customer`, `Customer --&gt; "1..5" Account`, `Account --&gt; "1" Customer`, and `Bank *-- "0..*" Branch`, which together express the required customer, branch, and account cardinalities.
3. Semantic fidelity of relationship types: Model 1 = 5, Model 2 = 5; Evidence: Both models correctly use inheritance for `Account` to `CurrentAccount` and `SavingsAccount` (`Account &lt;|-- CurrentAccount` / `SavingsAccount` in Model 1, `--|&gt;` in Model 2). Model 1 keeps the rest as plain associations, while Model 2 adds explicit reverse links and composition for branches; these are still compatible with the requirement and not a semantic mismatch.
4. Absence of unsupported additions: Model 1 = 5, Model 2 = 2; Evidence: Model 1 adds no domain data beyond the prompt. Model 2 introduces `bankName: String` on `Bank` and `branchName: String` on `Branch`, which are not mentioned in the requirement and therefore count as extra modeled content.
Total: Model 1 = 20, Model 2 = 17
Choice: A
Reason:
1. Core domain entities and attributes: both models cover the required bank, branch, customer, account, current account, savings account, and the specified attributes, so they are equivalent here.
2. Required relationships and multiplicities: both models capture the key cardinalities correctly, including `0..*` customers, `0..*` branches, and `1..5` accounts per customer.
3. Semantic fidelity of relationship types: both model the account inheritance correctly; Model 2 adds extra explicit reverse links and composition for branches, but those do not outweigh the extra unsupported attributes.
4. Rejected or checked issues: I did not penalize Model 2 for using opposite-direction associations, because that is semantically equivalent under the rules. I also did not use primitive type spelling or the abstractness of `Account` against either model.
5. Overall judgment: Model 1 is better because it stays closer to the requirement without inventing extra fields, while still representing the required classes, attributes, associations, and multiplicities 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</si>
  <si>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</si>
  <si>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keeps the design tightly centered on the requirement with `Bank 1 -- 0..* Customer : manages`, `Bank 1 -- 0..* Branch : consists of`, and `Customer 1 -- 1..5 Account : owns`, plus the simple `Account` specialization. Model 2 adds extra coupling through `Customer --&gt; 1 Bank : bank`, `Account --&gt; 1 Customer : owner`, and unsupported extra attributes like `bankName` and `branchName`, which makes the design less focused.
2. Complexity: Model 1 = 5, Model 2 = 3; Evidence: both models have the same core class set and the same inheritance structure (`Account` with `CurrentAccount` and `SavingsAccount`), but Model 2 adds more diagram density with extra attributes and duplicated relationship modeling (`Bank --&gt; 0..* Customer` plus `Customer --&gt; 1 Bank`, `Customer --&gt; 1..5 Account` plus `Account --&gt; 1 Customer`). Model 1 stays at the minimal class-and-association set needed for the bank domain.
3. Practicability: Model 1 = 5, Model 2 = 3; Evidence: Model 1 reads directly as a practical domain model for implementation and testing, with no surplus entities beyond the requirement. Model 2 is still understandable, but the added `bankName` and `branchName` attributes and the more verbose association structure make it less straightforward to translate into code or tests.
Total: Model 1 = 15, Model 2 = 9
Choice: A
Reason:
1. Cohesion and Decoupling: Model 1 is more cohesive and less coupled because it models only the required bank/customer/account structure, while Model 2 introduces extra named properties and extra ownership links that add coupling without clear benefit.
2. Complexity: Model 1 is simpler in the useful sense, with the same core classes but fewer associations and no unnecessary detail; Model 2 is denser and therefore more complex than needed for the stated requirement.
3. Practicability: Model 1 is easier to read, implement, and test because it maps cleanly to the text. Model 2 is workable, but the extra fields and relationship redundancy reduce clarity.
4. Rejected or checked issues: I did not penalize Model 2 for using opposite-direction associations such as `Bank --&gt; Customer` and `Customer --&gt; Bank`, or `Customer --&gt; Account` and `Account --&gt; Customer`, because the rules say those are semantically equivalent to a bidirectional association. I also did not use abstractness or primitive-type spelling as negative evidence.
5. Overall judgment: Model 1 is the better UML class diagram because it captures the requirement with the least unnecessary structure and the cleanest domain mapping.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</si>
  <si>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</si>
  <si>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`Bank`, `Branch`, `Customer`, `Account`, `CurrentAccount`, and `SavingsAccount`, which matches the bank domain directly. Model 2 has the same required classes as well, with only extra non-domain attributes (`bankName`, `branchName`) added, so the conceptual class set is still aligned.
2. Associations/Multiplicities between classes for domain reasoning: Model 1 = 5, Model 2 = 5; Evidence: Model 1 shows `Bank "1" -- "0..*" Customer : manages`, `Bank "1" -- "0..*" Branch : consists of`, and `Customer "1" -- "1..5" Account : owns`, which captures the required relationships and cardinalities. Model 2 shows `Bank *-- "0..*" Branch`, `Bank --&gt; "0..*" Customer`, `Customer --&gt; "1..5" Account`, and `Account --&gt; "1" Customer`, which also captures the required ownership/cardinality facts explicitly.
3. Model attributes with appropriate data types: Model 1 = 5, Model 2 = 4; Evidence: Model 1 includes only the required attributes: `firstName : String`, `lastName : String`, `accountNumber : int`, `balance : double`, and `overdraftLimit : double`. Model 2 includes those same required attributes, but also adds `bankName: String` and `branchName: String`, which are not specified in the requirement.
4. Consistencies of Terminology with given context: Model 1 = 5, Model 2 = 4; Evidence: Model 1 uses the prompt’s terminology directly: `Customer`, `Branch`, `CurrentAccount`, `SavingsAccount`, `manages`, `consists of`, and `owns`. Model 2 is mostly consistent too, but introduces `bankName`, `branchName`, and `operatesBranch`, which are reasonable but less faithful to the exact wording of the requirement.
5. Adherence of UML class diagram standards: Model 1 = 5, Model 2 = 5; Evidence: Model 1 uses standard PlantUML class declarations, inheritance (`Account &lt;|-- CurrentAccount`), and associations with multiplicities in a valid way. Model 2 also uses valid PlantUML/UML notation, including inheritance (`CurrentAccount --|&gt; Account`, `SavingsAccount --|&gt; Account`), multiplicities, and association labels/comments that do not break semantics.
Total: Model 1 = 25, Model 2 = 23
Choice: A
Reason:
1. Appropriate conceptual classes: Both models identify the correct core classes from the bank domain, so neither has an advantage here.
2. Associations/Multiplicities: Both models capture the key relationships and multiplicities correctly, including the customer-account ownership and the bank-branch/customer links.
3. Rejected or checked issues: I did not penalize Model 2 for using opposite-direction associations or PlantUML comments, since those are semantically acceptable under the rules. I also did not treat `balance` vs. “current account balance” as a problem, because both preserve the required meaning.
4. Overall judgment: Model 1 is slightly better because it stays closer to the stated requirement by avoiding extra attributes and using terminology that is more directly aligned with the prompt, while still covering all required classes,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</si>
  <si>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</si>
  <si>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Bank manages customers: Model 1 = 5, Model 2 = 4; Evidence: Model 1 has `Bank "1" --- "0..*" Customer : manages`, which matches “any number of customers” directly. Model 2 has `Bank --&gt; "0..*" Customer: manages`, which matches the bank-to-customer relation, but it also adds `Customer --&gt; "1" Bank: bank`, an extra one-bank-per-customer constraint not stated in the requirement.
2. Bank consists of branches: Model 1 = 5, Model 2 = 5; Evidence: Model 1 uses `Bank "1" *-- "0..*" Branch : consists of`, which matches the required composition and multiplicity. Model 2 uses `Bank *-- "0..*" Branch: operatesBranch`, which also captures the required “any number of branches” relation.
3. Customer attributes: Model 1 = 5, Model 2 = 5; Evidence: Model 1 includes `Customer { - firstName: String - lastName: String }`. Model 2 includes `Customer { firstName: String lastName: String }`. Both satisfy the required stored customer names.
4. Customer-account ownership and cardinality: Model 1 = 3, Model 2 = 2; Evidence: Model 1 has `Customer "1" --- "1..5" Account : has` and `Account "0..*" --- "1" Customer : owner`. The first line correctly captures 1 to 5 accounts per customer, but the second line weakens the customer-side multiplicity to `0..*`, so the pair is not fully clean. Model 2 has the same duplicated account/customer linkage with `Customer --&gt; "1..5" Account: account` and `Account --&gt; "1" Customer: owner`, and it also adds `Customer --&gt; "1" Bank: bank`, which introduces an extra constraint around the customer’s bank membership.
5. Account hierarchy and two account types: Model 1 = 5, Model 2 = 5; Evidence: Model 1 has `CurrentAccount --|&gt; Account` and `SavingsAccount --|&gt; Account`. Model 2 has the same inheritance lines. Both correctly model the two basic account types.
6. Account attributes: Model 1 = 5, Model 2 = 5; Evidence: Model 1 includes `Account { - accountNumber: int - balance: double }` and `CurrentAccount { - overdraftLimit: double }`. Model 2 includes `abstract class Account { accountNumber: int balance: double }` and `CurrentAccount { overdraftLimit: double }`. Both cover the required account number, balance, and overdraft limit.
7. Strict fidelity and unsupported additions: Model 1 = 5, Model 2 = 2; Evidence: Model 1 stays within the required domain objects and relations: `Bank`, `Branch`, `Customer`, `Account`, `CurrentAccount`, `SavingsAccount`, plus the required attributes and associations. Model 2 adds `bankName: String` on `Bank`, `branchName: String` on `Branch`, and `Customer --&gt; "1" Bank: bank`, none of which are stated in the requirement.
Total: Model 1 = 33, Model 2 = 28
Choice: A
Reason:
1. Bank-customer fidelity: Model 1 is closer to the requirement because it states only that a bank manages any number of customers, while Model 2 adds an extra customer-to-bank association and thus over-constrains the model.
2. Unsupported additions: Model 1 avoids hallucinated attributes and relations; Model 2 introduces `bankName`, `branchName`, and `Customer --&gt; "1" Bank: bank`, which are not required.
3. Checked issues: I did not penalize Model 2 for making `Account` abstract, because abstractness is optional here. I also did not penalize opposite-direction associations as a style choice by itself; I only scored them down where the multiplicities or added constraints diverged from the requirement.
4. Overall judgment: Both models capture the core inheritance and account attributes, but Model 1 is more faithful to the informal description and has fewer unsupported additions,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</si>
  <si>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</si>
  <si>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keeps the model focused on the required domain elements only (`Bank`, `Branch`, `Customer`, `Account`, `CurrentAccount`, `SavingsAccount`) and the needed links (`Bank` manages `Customer`, `Bank` consists of `Branch`, `Customer` has `Account`, `Account` has `owner`). Model 2 adds extra non-required details such as `bankName` on `Bank`, `branchName` on `Branch`, and a direct `Customer --&gt; Bank` link, which makes it a bit less focused on the stated domain.
2. Complexity: Model 1 = 5, Model 2 = 4; Evidence: Both diagrams use the same core class set, but Model 1 stays minimal with only the required attributes (`firstName`, `lastName`, `accountNumber`, `balance`, `overdraftLimit`). Model 2 adds extra attributes (`bankName`, `branchName`) and an extra explicit customer-bank association, so it is structurally busier even though it covers the same domain.
3. Practicability: Model 1 = 5, Model 2 = 4; Evidence: Model 1 is easy to read and maps almost directly to the requirement, which makes it straightforward to implement and test. Model 2 is still understandable, but the added `bankName`/`branchName` fields and the more specific `Customer --&gt; Bank` multiplicity of `1` make it slightly more over-specified than the requirement needs.
Total: Model 1 = 15, Model 2 = 12
Choice: A
Reason:
1. Cohesion and Decoupling: Model 1 is tighter because it models only the required bank-customer-account structure, while Model 2 introduces extra domain fields and a direct customer-bank link that are not required.
2. Complexity: Model 1 is simpler with fewer non-essential elements; Model 2 is more cluttered due to the extra attributes and additional explicit relation.
3. Practicability: Model 1 is the clearest implementation target and easiest to test against the requirement; Model 2 remains valid but is slightly over-constrained and less streamlined.
4. Rejected or checked issues: I did not treat opposite-direction associations as a penalty, and I did not penalize Model 2 for `abstract class Account`, since those are not negative under the rules.
5. Overall judgment: Both diagrams satisfy most of the stated banking domain, but Model 1 stays closer to the requirement with less extra structure, so it is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</si>
  <si>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</si>
  <si>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the core domain classes `Bank`, `Branch`, `Customer`, `Account`, `CurrentAccount`, and `SavingsAccount`, all matching the bank description. Model 2 uses the same class set, with the same domain coverage, so the conceptual class model is equally aligned.
2. Associations/Multiplicities between classes for domain reasoning: Model 1 = 4, Model 2 = 5; Evidence: Model 1 correctly shows `Bank "1" --- "0..*" Customer`, `Bank "1" *-- "0..*" Branch`, and `Customer "1" --- "1..5" Account`, but it also adds `Account "0..*" --- "1" Customer`, which duplicates the same relationship with a conflicting customer-side multiplicity and makes the account ownership cardinality ambiguous. Model 2 expresses the same domain links consistently with `Bank --&gt; "0..*" Customer`, `Customer --&gt; "1..5" Account`, and `Account --&gt; "1" Customer`, plus a harmless reverse `Customer --&gt; "1" Bank`.
3. Model attributes with appropriate data types: Model 1 = 5, Model 2 = 4; Evidence: Model 1 includes exactly the required attributes with correct types, such as `firstName: String`, `lastName: String`, `accountNumber: int`, `balance: double`, and `overdraftLimit: double` on `CurrentAccount`. Model 2 has the required types too, but adds unsupported attributes `bankName: String` and `branchName: String`, which are not part of the requirement.
4. Consistencies of Terminology with given context: Model 1 = 5, Model 2 = 4; Evidence: Model 1 uses requirement-aligned terms like `manages`, `consists of`, `has`, `owner`, `CurrentAccount`, and `SavingsAccount`. Model 2 mostly matches the context, but `bankName`, `branchName`, and `operatesBranch` introduce terminology not present in the description, so it is slightly less faithful.
5. Adherence of UML class diagram standards: Model 1 = 5, Model 2 = 5; Evidence: Both diagrams use valid PlantUML class-diagram syntax, inheritance (`--|&gt;`), associations, and multiplicities in a readable way. Model 1’s duplicated association is a semantic problem rather than a UML syntax violation, and Model 2’s extra reverse associations are still valid UML.
Total: Model 1 = 24, Model 2 = 23
Choice: A
Reason:
1. Appropriate conceptual classes aligned with the domain: both models identify the same essential banking entities, so they are tied here.
2. Associations/Multiplicities between classes for domain reasoning: Model 2 is stronger because it keeps the customer-account ownership multiplicity consistent, while Model 1 repeats that relationship with conflicting cardinalities.
3. Model attributes with appropriate data types and Terminology with given context: Model 1 is cleaner because it sticks to the required attributes and domain wording, whereas Model 2 adds unsupported `bankName` and `branchName` attributes and slightly less direct wording with `operatesBranch`.
4. Rejected or checked issues: I did not penalize Model 2 for using reverse-direction associations, because those are semantically equivalent when they do not conflict. I only treated Model 1’s customer-account duplication as a real issue because the multiplicities do conflict.
5. Overall judgment: Model 1 edges out Model 2 by a small margin because it is more faithful to the stated attributes and terminology, and its association flaw is narrower than Model 2’s added unsupported attributes.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</si>
  <si>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</si>
  <si>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4, Model 2 = 4; Evidence: Model 1 includes `Bank`, `Branch`, `Customer`, `Account`, `CurrentAccount`, and `SavingsAccount`, with `Customer` carrying `firstName` and `lastName`, `Account` carrying `accountNumber` and `balance`, and `CurrentAccount` carrying `overdraftLimit`. Model 2 includes the same core classes and attributes, with the same required account types and fields.
2. Bank manages customers: Model 1 = 5, Model 2 = 5; Evidence: Model 1 shows `Bank "1" --- "0..*" Customer : manages`. Model 2 shows `Bank "1" -- "0..*" Customer : manages`. Both express that a bank manages any number of customers.
3. Bank consists of branches: Model 1 = 5, Model 2 = 4; Evidence: Model 1 uses `Bank "1" *-- "0..*" Branch : consists of`, which directly encodes a whole-part relation matching “a bank consists of any number of branches.” Model 2 uses `Bank "1" -- "0..*" Branch : consists of`, which still captures the association but not the composition semantics as explicitly.
4. Customer-account multiplicity and ownership: Model 1 = 2, Model 2 = 5; Evidence: Model 1 has both `Customer "1" --- "1..5" Account : has` and `Account "0..*" --- "1" Customer : owner`. The first line correctly states a customer has 1 to 5 accounts, but the second line introduces a separate ownership association whose `0..*` on the account side is incompatible with the requirement’s “at least one and at most five accounts” when read as an independent link. Model 2 has a single `Customer "1" -- "1..5" Account : owns`, which cleanly matches the required multiplicity without the conflicting extra association.
5. Account hierarchy and specialization: Model 1 = 4, Model 2 = 4; Evidence: Model 1 shows `CurrentAccount --|&gt; Account` and `SavingsAccount --|&gt; Account`. Model 2 shows `Account &lt;|-- CurrentAccount` and `Account &lt;|-- SavingsAccount`. Both represent the two basic account types correctly, and both attach `overdraftLimit` only to `CurrentAccount`.
6. Faithfulness and absence of contradictory detail: Model 1 = 2, Model 2 = 5; Evidence: Model 1’s extra `Account "0..*" --- "1" Customer : owner` line is the main problem because it adds a second ownership relation that weakens the account cardinality semantics and is not needed to satisfy the requirement. Model 2 avoids that contradiction and stays closer to the prompt with one clear customer-account association and no competing ownership relation.
Total: Model 1 = 22, Model 2 = 27
Choice: B
Reason:
1. Requirement alignment: both models cover the major domain objects, but Model 2 matches the customer-account constraint more faithfully because it uses one clear `1..5` association instead of adding a second conflicting ownership line.
2. Evidence of the key error: Model 1’s `Account "0..*" --- "1" Customer : owner` is the weakest point because it introduces an extra relationship whose multiplicity does not reflect the stated “at least one and at most five accounts” constraint as cleanly as Model 2 does.
3. Rejected or checked issues: I did not penalize Model 1 merely for using a reverse-direction association, since opposite-direction associations are semantically equivalent by the rules. The deciding factor was the extra association plus its conflicting multiplicity, not the direction itself.
4. Overall judgment: Model 2 is better because it preserves all required semantics with less contradiction and clearer multiplicity modeling, while Model 1’s additional owner association creates avoidable ambiguity and a real mismatch risk.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</si>
  <si>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</si>
  <si>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the core concepts into `Bank`, `Branch`, `Customer`, `Account`, `CurrentAccount`, and `SavingsAccount`, but also adds an extra `Account "0..*" --- "1" Customer : owner` association that duplicates the ownership idea already expressed by `Customer "1" --- "1..5" Account : has`. Model 2 uses the same core classes but keeps ownership modeling to a single `Customer "1" -- "1..5" Account : owns` association, which is cleaner and less redundant while still representing the same domain.
2. Complexity: Model 1 = 3, Model 2 = 4; Evidence: Model 1 and Model 2 both use six conceptual classes, with one inheritance hierarchy rooted at `Account` and two leaf account types. Model 1 is slightly more complex because it models ownership twice with both `Customer "1" --- "1..5" Account : has` and `Account "0..*" --- "1" Customer : owner`, while Model 2 avoids that extra relationship and also marks `Account` as `abstract`, making the inheritance intent more explicit without adding structural clutter.
3. Practicability: Model 1 = 3, Model 2 = 4; Evidence: Model 1 is understandable and mostly faithful, but the duplicated ownership links can confuse implementation and testing because it is not obvious whether the model expects one association or two independent ones. Model 2 presents the same domain in a more straightforward way with `Bank -- Customer`, `Bank -- Branch`, a single customer-account association, and `Account &lt;|-- CurrentAccount` / `SavingsAccount`, which makes it easier to read, implement, and validate against the requirements.
Total: Model 1 = 9, Model 2 = 12
Choice: B
Reason:
1. Cohesion and Decoupling: Model 2 is better because it keeps the ownership concept centered in one association (`Customer "1" -- "1..5" Account : owns`) instead of splitting it across two related links as Model 1 does.
2. Complexity: Model 2 has lower effective structural complexity because it avoids the extra ownership relation present in Model 1, while still preserving the same required inheritance structure and required classes.
3. Rejected or checked issues: I did not penalize either model for using opposite-direction association styles, primitive type aliases, or `Account` abstractness, because those are explicitly disallowed as negative evidence unless they contradict the requirement. The deciding factor was the extra redundant ownership association in Model 1.
4. Overall judgment: Model 2 is the better UML design for this requirement because it is more cohesive, slightly simpler, and more practical to interpret and implement while still covering all required bank, customer, branch, and account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</si>
  <si>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</si>
  <si>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`Bank`, `Branch`, `Customer`, `Account`, `CurrentAccount`, and `SavingsAccount`, which directly match the bank domain. Model 2 includes the same set of classes, with `Account` marked `abstract`, which is still aligned with the required account hierarchy.
2. Associations/Multiplicities between classes for domain reasoning: Model 1 = 3, Model 2 = 4; Evidence: Model 1 has `Bank "1" --- "0..*" Customer`, `Bank "1" *-- "0..*" Branch`, and `Customer "1" --- "1..5" Account`, but it also adds `Account "0..*" --- "1" Customer : owner`, which introduces a second customer-account association with a conflicting customer-side multiplicity relative to the `1..5` account constraint. Model 2 has `Bank "1" -- "0..*" Customer`, `Bank "1" -- "0..*" Branch`, and `Customer "1" -- "1..5" Account`, which captures the required ownership/cardinality more cleanly, though it omits a separate explicit `owner` link.
3. Model attributes with appropriate data types: Model 1 = 5, Model 2 = 5; Evidence: Model 1 gives `Customer` the attributes `firstName: String` and `lastName: String`, `Account` the attributes `accountNumber: int` and `balance: double`, and `CurrentAccount` the attribute `overdraftLimit: double`. Model 2 presents the same attribute set and data types.
4. Consistencies of Terminology with given context: Model 1 = 5, Model 2 = 5; Evidence: Model 1 uses domain terms `Bank`, `Branch`, `Customer`, `Account`, `CurrentAccount`, and `SavingsAccount`, and labels the relations with `manages`, `consists of`, `has`, and `owner`, which are consistent with the prompt. Model 2 uses the same domain terms and similarly consistent relation labels `manages`, `consists of`, and `owns`.
5. Adherence of UML class diagram standards: Model 1 = 4, Model 2 = 5; Evidence: Model 1 is valid PlantUML and includes standard inheritance and association notation, but the extra `Account`-`Customer` association makes the class diagram less clean and introduces semantic ambiguity. Model 2 uses standard class declarations, one association per required relationship, and standard inheritance notation `Account &lt;|-- CurrentAccount` / `Account &lt;|-- SavingsAccount`, making it more conventionally consistent.
Total: Model 1 = 22, Model 2 = 24
Choice: B
Reason:
1. Appropriate conceptual classes: both models identify the required bank-domain classes correctly, so neither gains an advantage here.
2. Associations/Multiplicities: Model 2 is stronger because it captures the required `Customer` to `Account` cardinality once, while Model 1 adds a second `Account` to `Customer` association with a conflicting-looking multiplicity on the customer side.
3. UML standards: Model 2 is cleaner and more conventional, because Model 1’s duplicated customer-account linkage makes the diagram harder to interpret even though the syntax is still valid.
4. Rejected or checked issues: I did not penalize Model 2 for marking `Account` as `abstract`, since abstractness is optional here, and I did not penalize either model for using equivalent primitive type spellings or association direction/style.
5. Overall judgment: Model 2 is better because it preserves the required domain structure while avoiding Model 1’s redundant and semantically confusing extra ownership association.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</si>
  <si>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</si>
  <si>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</si>
  <si>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</si>
  <si>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staff and institution modeling: Model 1 = 5, Model 2 = 2; Evidence: Model 1 has `ResearchInstitution { institutionCode }` and `Person --&gt; "1" ResearchInstitution : worksFor` plus `ResearchInstitution --&gt; "*" Person`, which matches one institution per person and many persons per institution. Model 2 has `Institution { institutionCode }` but `Person "1" -- "1" Institution : worksFor`, which incorrectly forces exactly one person per institution.
2. Scientific article hierarchy and bibliographic fields: Model 1 = 5, Model 2 = 5; Evidence: both models define `ScientificArticle` with DOI and title, then specialize it into `PeerReviewedPaper` and `TechnicalReport`. Model 1 shows `abstract class ScientificArticle { doi : String; title : String }` and `PeerReviewedPaper { citationCount : int }`; Model 2 shows `abstract class ScientificArticle { DOI : String; title : String }` and `PeerReviewedPaper { citationCount : int }`.
3. Authorship and reviewer roles: Model 1 = 5, Model 2 = 2; Evidence: Model 1 introduces `Authorship { position : int }` and links it as `Authorship --&gt; "1" Person` and `Authorship --&gt; "1" ScientificArticle`, while also allowing `Person --&gt; "*" PeerReviewedPaper : reviews`, which cleanly supports author position and separate reviewer role. Model 2 also has `Authorship { position : int }` and `Person 0..* -- 0..* PeerReviewedPaper : reviews`, but `Authorship -- "1..*" Person : author` weakens the one-person-per-authorship semantics and does not model the author-position relationship as precisely.
4. Technical report publication constraint: Model 1 = 5, Model 2 = 5; Evidence: Model 1 connects `ResearchInstitution --&gt; "*" TechnicalReport : publishes` and `TechnicalReport --&gt; "1" ResearchInstitution : publishedBy`, which matches one institution per report and many reports per institution. Model 2 has `Institution "1" -- "0..*" TechnicalReport : publishes`, which expresses the same essential constraint.
5. Publisher, journal, and journal-only paper publication: Model 1 = 5, Model 2 = 5; Evidence: Model 1 includes `Publisher { name }`, `Journal { name : String; impactFactor : double }`, `Publisher --&gt; "*" Journal : issues`, `ResearchInstitution --&gt; "*" Journal : subscribesTo`, and `PeerReviewedPaper --&gt; "1" Journal : publishedIn`, with no journal link from `TechnicalReport`. Model 2 likewise has `Publisher`, `Journal { name : String; impactFactor : double }`, `Publisher "1" -- "0..*" Journal : publishes`, `Institution "0..*" -- "0..*" Journal : subscribesTo`, and `Journal "1" -- "0..*" PeerReviewedPaper : publishesIn`, while leaving `TechnicalReport` out of journals.
Total: Model 1 = 25, Model 2 = 19
Choice: A
Reason:
1. Core staff and institution modeling: Model 1 matches the required many-persons-per-institution structure; Model 2’s `Person "1" -- "1" Institution : worksFor` is a direct cardinality error.
2. Authorship and reviewer roles: Model 1’s `Authorship` association class is semantically cleaner for per-author `position`; Model 2’s `Authorship -- "1..*" Person` is too loose and does not preserve the intended one-authorship-to-one-person structure.
3. Rejected or checked issues: I did not penalize either model for using opposite-direction associations or lowercase vs uppercase primitive types, since those are semantically equivalent under the rules.
4. Overall judgment: Model 1 is better because it preserves the critical multiplicities and role structure more faithfully, especially for `worksFor` and authorship, while Model 2 introduces a real relationship error even though it gets many other parts right.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</si>
  <si>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</si>
  <si>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`Person`, `ResearchInstitution`, `Publisher`, `Journal`, `ScientificArticle`, and the association class `Authorship`, and it keeps authorship metadata in `Authorship.position` instead of spreading it into `Person` or `ScientificArticle`. It also models one institution to many persons and one institution to many technical reports, which keeps the roles reasonably separated. Model 2 uses the same core concepts but tightens them incorrectly with `Person "1" -- "1" Institution : worksFor` and `Authorship -- "1..*" Person : author`, which over-couples staff to a single institution and makes one authorship depend on multiple persons.
2. Complexity: Model 1 = 4, Model 2 = 3; Evidence: Both models have the same 8 core classes and the same inheritance depth under `ScientificArticle`, so neither is structurally huge. Model 1 adds the explicit `Authorship` association class and uses clear multiplicities for the main domain roles, which is a moderate and appropriate level of detail for the requirement. Model 2 is not actually simpler in a useful way, because it keeps the same class count but compresses the relationships into weaker or less precise links such as `Person "1" -- "1" Institution` and `Authorship -- "1..*" Person`, so the apparent simplicity is not well balanced against the domain.
3. Practicability: Model 1 = 5, Model 2 = 2; Evidence: Model 1 is straightforward to implement and test: a `Person` can have many `Authorship`s and many `PeerReviewedPaper` reviews, each `TechnicalReport` is published by one `ResearchInstitution`, and each `Journal` can host many peer-reviewed papers. Model 2 has a practical blocker because `Person "1" -- "1" Institution` forbids one institution from employing multiple staff, and `Authorship -- "1..*" Person` makes a single authorship involve multiple people instead of one person on one article, which would be difficult to implement correctly and would break realistic unit and acceptance tests.
Total: Model 1 = 13, Model 2 = 7
Choice: A
Reason:
1. Cohesion and Decoupling: Model 1 keeps the major concepts cleanly separated and uses `Authorship` as a proper relationship carrier; Model 2 over-couples `Person`, `Institution`, and `Authorship` with incorrect multiplicities.
2. Complexity: Both are similarly sized, but Model 1’s added association class is justified by the domain, while Model 2’s “simplification” does not buy real structural clarity.
3. Practicability: Model 1 supports the required behaviors directly; Model 2’s `1..1` person-institution link and multi-person authorship relation make the design unrealistic.
4. Rejected or checked issues: I did not use association direction/style differences, primitive type spellings, equivalent multiplicity notations, or abstract-class marking as negative evidence.
5. Overall judgment: Model 1 is better because it matches the domain model more faithfully while remaining reasonably compact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</si>
  <si>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</si>
  <si>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`ScientificArticle`, `PeerReviewedPaper`, `TechnicalReport`, `Publisher`, `Journal`, and `Authorship`, which map directly to the requirement. Model 2 includes the same core concepts with `Person`, `Institution`, `ScientificArticle`, `PeerReviewedPaper`, `TechnicalReport`, `Publisher`, `Journal`, and `Authorship`, so the class set is also domain-aligned.
2. Associations/Multiplicities between classes for domain reasoning: Model 1 = 5, Model 2 = 2; Evidence: Model 1 captures `Person` works for one `ResearchInstitution`, `ResearchInstitution` publishes many `TechnicalReport`, `Publisher` issues many `Journal`, `PeerReviewedPaper` is published in one `Journal`, and `ScientificArticle` is linked to `1..* Authorship` with each `Authorship` tied to exactly one `Person` and one `ScientificArticle`. Model 2 has `Person "1" -- "1" Institution : worksFor`, which incorrectly models employment as one-to-one, and `Authorship -- "1..*" Person : author`, which incorrectly allows multiple people per authorship instead of one person per author-position record.
3. Model attributes with appropriate data types: Model 1 = 5, Model 2 = 5; Evidence: Model 1 uses appropriate types such as `personId : String`, `phoneNumber : String`, `researchKeywords : List&lt;String&gt;`, `doi : String`, `title : String`, `citationCount : int`, `position : int`, and `impactFactor : double`. Model 2 also uses appropriate types such as `personID : String`, `phoneNumber : String`, `keywords : Set&lt;String&gt;`, `DOI : String`, `title : String`, `citationCount : int`, `position : int`, and `impactFactor : double`.
4. Consistencies of Terminology with given context: Model 1 = 5, Model 2 = 4; Evidence: Model 1 consistently uses the requirement’s terminology, including `ResearchInstitution`, `ScientificArticle`, `PeerReviewedPaper`, `TechnicalReport`, `Publisher`, and `Journal`. Model 2 is mostly consistent but uses the more generic `Institution` instead of `ResearchInstitution`, which is slightly less faithful to the wording of the requirement.
5. Adherence of UML class diagram standards: Model 1 = 5, Model 2 = 5; Evidence: Both models use valid PlantUML class-diagram constructs with classes, inheritance, attributes, associations, and multiplicities. Model 1’s bidirectional associations and abstract superclass are standard, and Model 2’s single-line associations are also valid UML notation.
Total: Model 1 = 25, Model 2 = 21
Choice: A
Reason:
1. Associations and multiplicities: Model 1 correctly models the key domain relationships, especially staff-to-institution, authoring via `Authorship`, and paper-to-journal publication. Model 2 introduces a critical one-to-one `worksFor` relation and an incorrect `Authorship` cardinality.
2. Terminology and domain fit: Model 1 uses the requirement’s terms more faithfully, while Model 2 weakens the domain language by collapsing `ResearchInstitution` into `Institution`.
3. Rejected or checked issues: I did not penalize either model for using lowercase `int`/`double`, for opposite-direction associations versus a single bidirectional line, or for Model 1 representing authorship through a normal class rather than an explicit association class, since those are semantically acceptable here.
4. Overall judgment: Model 1 is better because it preserves the required domain structure and multiplicities much more accurately, while Model 2 has a substantive relationship error that affects the core meaning of the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</si>
  <si>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</si>
  <si>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class coverage and naming: Model 1 = 5, Model 2 = 5; Evidence: both include the required core concepts as classes: `Person`, `ResearchInstitution`, `ScientificArticle`, `PeerReviewedPaper`, `TechnicalReport`, `Publisher`, `Journal`, and `Authorship`.
2. Attribute coverage and identifiers: Model 1 = 5, Model 2 = 4; Evidence: Model 1 has `personId`, `phoneNumber`, `researchKeywords : List&lt;String&gt;`, `institutionCode`, `doi`, `title`, `citationCount`, `name`, `impactFactor`, and `position`; Model 2 has the same essential attributes, but `researchKeywords : String` is less faithful to the requirement’s plural keywords.
3. Association coverage and cardinalities: Model 1 = 5, Model 2 = 2; Evidence: Model 1 models `Person` to `ResearchInstitution` as one institution per person and many people per institution, `ResearchInstitution` to `TechnicalReport` as one institution publishing many reports, `Publisher` to `Journal`, `ResearchInstitution` to `Journal`, `PeerReviewedPaper` to `Journal`, and the `Authorship` link with `position`; Model 2 makes `Person "1" -- "1" ResearchInstitution`, which contradicts the expected many-scientific-staff-per-institution structure, even though its other associations are broadly aligned.
4. Relationship semantics and constraint fidelity: Model 1 = 5, Model 2 = 3; Evidence: Model 1 uses plain associations plus inheritance, while Model 2 uses `Publisher "1" *-- "*" Journal`, which is a stronger composition relation than the requirement states for publisher/journal publishing; both models correctly keep `PeerReviewedPaper` separate from `TechnicalReport` and link `PeerReviewedPaper` to `Journal`.
5. Overall strict requirement match: Model 1 = 5, Model 2 = 2; Evidence: Model 1 stays close to the stated requirements and uses `Authorship` only to capture author position and article authorship; Model 2 adds a one-to-one person/institution constraint and composition on publisher/journal that distort the requested semantics.
Total: Model 1 = 25, Model 2 = 16
Choice: A
Reason:
1. Association coverage and cardinalities: Model 1 correctly captures the many-persons-per-institution structure, while Model 2 explicitly says `Person "1" -- "1" ResearchInstitution`, which is a direct mismatch with the requirement.
2. Attribute coverage: Model 1’s `researchKeywords : List&lt;String&gt;` better matches plural keywords than Model 2’s `researchKeywords : String`.
3. Relationship semantics: Model 1 uses a safer plain association for publisher/journal, while Model 2’s `*--` composition overstates the publisher-journal relationship.
4. Rejected or checked issues: I did not use opposite-direction association rendering against either model, and I did not penalize Model 1 for `ScientificArticle` being abstract or Model 2 for not marking it abstract, because abstractness is optional here.
5. Overall judgment: Both models cover the main entities, but Model 1 is materially closer to the requirement because it gets the person-to-institution multiplicity right and avoids the stronger, unsupported composition used by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</si>
  <si>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</si>
  <si>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isolates the many-to-many authoring relationship in `Authorship(position)` and connects it as `Person -&gt; Authorship -&gt; ScientificArticle`, while keeping `Person`, `ResearchInstitution`, `Publisher`, and `Journal` as separate domain classes. Model 2 also uses `Authorship`, but `Person "1" -- "1" ResearchInstitution : works for` and `Publisher "1" *-- "*" Journal : publishes` create tighter coupling than the requirement states.
2. Complexity: Model 1 = 4, Model 2 = 4; Evidence: Both models use the same core set of 8 conceptual classes (`Person`, `ResearchInstitution`, `ScientificArticle`, `PeerReviewedPaper`, `TechnicalReport`, `Publisher`, `Journal`, `Authorship`) and the same single inheritance tree with `ScientificArticle` generalized into two subclasses. Model 1 expresses more explicit associations, while Model 2 is more compact, but neither materially changes the conceptual complexity level.
3. Practicability: Model 1 = 5, Model 2 = 2; Evidence: Model 1 matches the business rules closely, including `ResearchInstitution --&gt; "*" Person` for multiple staff, `ScientificArticle --&gt; "1..*" Authorship` for ordered authorship, `PeerReviewedPaper --&gt; "*" Person : reviewedBy`, and `PeerReviewedPaper --&gt; "1" Journal : publishedIn`. Model 2 has a major multiplicity error in `Person "1" -- "1" ResearchInstitution : works for`, which implies each institution has exactly one person, and its `Person "1" -- "*" PeerReviewedPaper : reviews` link also narrows review ownership more than the requirement supports; `researchKeywords : String` is also weaker than a multi-valued keyword representation.
Total: Model 1 = 14, Model 2 = 9
Choice: A
Reason:
1. Cohesion and Decoupling: Model 1 keeps the authorship concept separate and preserves looser, more appropriate domain coupling; Model 2 over-constrains staff-to-institution and publisher-to-journal relations.
2. Complexity: Both diagrams are similarly sized and equally shallow in inheritance, so this criterion is effectively a tie.
3. Rejected or checked issues: I did not penalize Model 1 for using opposite-direction associations instead of a single bidirectional line, because those are semantically equivalent under the rules. I also did not use primitive type spelling differences as negative evidence.
4. Overall judgment: Model 1 is materially more faithful to the required domain model, especially for institution staffing and practical multiplicities, so it is the better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</si>
  <si>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</si>
  <si>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`Person`, `ResearchInstitution`, `Publisher`, `Journal`, and the `ScientificArticle` hierarchy with `PeerReviewedPaper`, `TechnicalReport`, plus `Authorship`. Model 2 includes the same domain classes: `Person`, `ResearchInstitution`, `ScientificArticle`, `PeerReviewedPaper`, `TechnicalReport`, `Publisher`, `Journal`, and `Authorship`.
2. Associations/Multiplicities between classes for domain reasoning: Model 1 = 5, Model 2 = 3; Evidence: Model 1 models `Person` to `ResearchInstitution` as one person working for one institution and one institution employing many people, `TechnicalReport` to `ResearchInstitution` as one report published by one institution, `Publisher` to `Journal` as one publisher issuing many journals, `ResearchInstitution` to `Journal` as many-to-many subscription, and `Authorship` linking `Person` and `ScientificArticle` with author position. Model 2 gets the authorship, report, publisher-journal, subscription, and paper-journal links mostly right, but it makes `Person "1" -- "1" ResearchInstitution : works for`, which incorrectly forces a one-to-one relationship instead of one institution having many staff.
3. Model attributes with appropriate data types: Model 1 = 5, Model 2 = 4; Evidence: Model 1 uses `personId : String`, `phoneNumber : String`, `researchKeywords : List&lt;String&gt;`, `doi : String`, `citationCount : int`, and `impactFactor : double`, which all fit the domain well. Model 2 is mostly correct too, but `researchKeywords : String` is a weaker fit for "keywords" than a collection type, even though the rest of its attributes like `personID : String`, `DOI : String`, `citationCount : int`, and `impactFactor : float` are acceptable.
4. Consistencies of Terminology with given context: Model 1 = 5, Model 2 = 4; Evidence: Model 1 stays close to the wording of the requirement with `worksFor`, `publishedBy`, `publishedIn`, `reviewedBy`, and `researchKeywords`, and it also preserves the article split into `PeerReviewedPaper` and `TechnicalReport`. Model 2 is still broadly consistent, but terms like `authors through` and `has author` are less precise, and `researchKeywords` as a single `String` is less aligned with the plural concept in the prompt.
5. Adherence of UML class diagram standards: Model 1 = 5, Model 2 = 5; Evidence: Both diagrams use valid PlantUML class declarations, inheritance, and associations with multiplicities, and both are readable as UML class diagrams. Model 1 additionally models authorship as an explicit association class-like structure via `Authorship`, while Model 2 uses a standard class linked to `Person` and `ScientificArticle`; both are syntactically and semantically acceptable UML.
Total: Model 1 = 25, Model 2 = 21
Choice: A
Reason:
1. Appropriate conceptual classes: both models identify the core domain entities correctly, so this criterion is effectively tied.
2. Associations/Multiplicities: Model 1 is stronger because it captures the one-to-many nature of institutions employing staff and correctly links articles, authorship, journals, and technical reports. Model 2 has a major domain error in `Person "1" -- "1" ResearchInstitution : works for`, which contradicts the requirement that institutions can have multiple scientific staff.
3. Attributes/Terminology: Model 1 is slightly better because `researchKeywords : List&lt;String&gt;` matches the plural keyword concept more naturally, while Model 2 weakens that with a single `String`.
4. Rejected or checked issues: I did not penalize Model 2 for using `*--` on `Publisher` to `Journal`, because composition vs. aggregation is not the deciding issue here, and I did not treat lowercase primitive aliases or arrow direction as negative evidence.
5. Overall judgment: Model 1 is the better diagram because it stays faithful to the required domain structure and cardinalities, while Model 2 introduces a substantive multiplicity mistake in the staff-to-institution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</si>
  <si>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</si>
  <si>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coverage and attribute fidelity: Model 1 = 4, Model 2 = 3; Evidence: Model 1 includes all required core classes (`Person`, `Institution`, `ScientificArticle`, `PeerReviewedPaper`, `TechnicalReport`, `Publisher`, `Journal`, `Authorship`) and models keywords as `keywords : Set&lt;String&gt;`. Model 2 also includes the core classes, but weakens the keyword structure to `researchKeywords : String` and makes `ScientificArticle` concrete rather than an abstract superclass.
2. Association and cardinality fidelity: Model 1 = 2, Model 2 = 4; Evidence: both models use `Person "1" -- "1" Institution/ResearchInstitution : worksFor`, which is too strict for the requirement. Model 1 also has `Authorship -- "1..*" Person : author`, which incorrectly implies one authorship can involve multiple people. Model 2 instead uses `Person "1" -- "*" Authorship` and `ScientificArticle "1" -- "*" Authorship`, which better captures one author per authorship and multiple authors per article; it also models `TechnicalReport "*" -- "1" ResearchInstitution` and `PeerReviewedPaper "*" -- "1" Journal`.
3. Inheritance and relationship-type fidelity: Model 1 = 4, Model 2 = 3; Evidence: both models correctly split `ScientificArticle` into `PeerReviewedPaper` and `TechnicalReport`. Model 1 keeps `Publisher "1" -- "0..*" Journal : publishes` as a plain association, while Model 2 uses `Publisher "1" *-- "*" Journal : publishes`, which adds composition/lifecycle containment that the requirement does not state.
4. Naming and semantic clarity: Model 1 = 3, Model 2 = 4; Evidence: Model 2’s `ResearchInstitution` is more explicit than Model 1’s generic `Institution`, and its class names (`PeerReviewedPaper`, `TechnicalReport`, `Authorship`) are clear. Model 1 is slightly better on `keywords : Set&lt;String&gt;`, but Model 2 is overall more self-descriptive in naming.
Total: Model 1 = 13, Model 2 = 14
Choice: B
Reason:
1. Domain coverage and attribute fidelity: Model 1 is a bit better on keyword representation, but Model 2 is only slightly weaker here and still covers the required classes and article split.
2. Association and cardinality fidelity: Model 2 is clearly better. Model 1’s `Authorship -- "1..*" Person` is a serious semantic error, while Model 2’s `Person -- Authorship` and `ScientificArticle -- Authorship` structure is much closer to the requirement.
3. Rejected or checked issues: I did not penalize primitive type spelling choices (`int`, `float`, `String`) or association direction alone, and I did not score against optional abstractness of `ScientificArticle`.
4. Overall judgment: Model 2 better captures the required authorship and publication structure, which is the most important part of this requirement. Model 1 has one notable advantage in keyword typing, but its authorship multiplicity is too off to outweigh Model 2’s stronger relationship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</si>
  <si>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</si>
  <si>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dedicated `Authorship` class, but `Authorship -- "1..*" Person : author` makes one authorship relate to multiple persons, which weakens the cohesion of the authoring concept. Model 2 uses `Person "1" -- "*" Authorship : authors through` and `ScientificArticle "1" -- "*" Authorship : has author`, which is a cleaner separation of person, article, and author-position concerns; however, `Publisher "1" *-- "*" Journal : publishes` is a somewhat tighter coupling than a plain publish association.
2. Complexity: Model 1 = 4, Model 2 = 4; Evidence: Both diagrams use essentially the same set of core classes (`Person`, institution, `ScientificArticle`, `PeerReviewedPaper`, `TechnicalReport`, `Publisher`, `Journal`, `Authorship`) and the same single-level inheritance structure `ScientificArticle &lt;|-- PeerReviewedPaper` and `ScientificArticle &lt;|-- TechnicalReport`. Model 1 uses `keywords : Set&lt;String&gt;` while Model 2 uses `researchKeywords : String`, but that does not materially change structural complexity.
3. Practicability: Model 1 = 3, Model 2 = 4; Evidence: Model 2’s person/article linkage through `Authorship` is easier to implement and test because it directly supports one person and one article per authorship record, which fits the requirement that each author’s position is stored. Model 1 is less practical here because `Authorship -- "1..*" Person : author` does not map cleanly to an author-position record. Model 1 is a bit stronger on keyword representation with `keywords : Set&lt;String&gt;`, while Model 2 collapses that into `researchKeywords : String`, but Model 2 is still more viable overall.
Total: Model 1 = 10, Model 2 = 12
Choice: B
Reason:
1. Cohesion and Decoupling: Model 2 better separates the authoring relation into an association-class style structure, while Model 1’s authorship multiplicity is less coherent.
2. Complexity: The two diagrams are effectively tied on structural complexity, so this criterion does not change the outcome.
3. Practicability: Model 2 is more directly implementable and testable for the core article-authoring requirement, despite Model 1’s better keyword typing.
4. Rejected or checked issues: I did not use the fact that Model 1 marks `ScientificArticle` as `abstract` while Model 2 does not, because optional abstractness must not affect scoring here. I also did not penalize any association line-direction differences or primitive type spelling differences, since those are forbidden factors.
5. Overall judgment: Model 2 is better because it models the critical authorship/position requirement more faithfully, and that outweighs its smaller weaknesses around keyword typing and publisher-journal coupling.
```</t>
  </si>
  <si>
    <r>
      <rPr>
        <sz val="11"/>
        <color theme="1"/>
        <rFont val="DengXian"/>
        <charset val="134"/>
      </rPr>
      <t>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t>
    </r>
    <r>
      <rPr>
        <sz val="11"/>
        <color theme="1"/>
        <rFont val="宋体-简"/>
        <charset val="134"/>
      </rPr>
      <t>−</t>
    </r>
    <r>
      <rPr>
        <sz val="11"/>
        <color theme="1"/>
        <rFont val="DengXian"/>
        <charset val="134"/>
      </rPr>
      <t xml:space="preserve"> Very Poor: Classes are mostly incorrect or irrelevant and do not accurately represent the domain.
    2</t>
    </r>
    <r>
      <rPr>
        <sz val="11"/>
        <color theme="1"/>
        <rFont val="宋体-简"/>
        <charset val="134"/>
      </rPr>
      <t>−</t>
    </r>
    <r>
      <rPr>
        <sz val="11"/>
        <color theme="1"/>
        <rFont val="DengXian"/>
        <charset val="134"/>
      </rPr>
      <t xml:space="preserve"> Poor: Only a few classes are correct, but the majority of the domain concepts are missing or incorrect.
    3</t>
    </r>
    <r>
      <rPr>
        <sz val="11"/>
        <color theme="1"/>
        <rFont val="宋体-简"/>
        <charset val="134"/>
      </rPr>
      <t>−</t>
    </r>
    <r>
      <rPr>
        <sz val="11"/>
        <color theme="1"/>
        <rFont val="DengXian"/>
        <charset val="134"/>
      </rPr>
      <t xml:space="preserve"> Fair: Some classes are correctly identified, but noticeable misalignments are still present.
    4</t>
    </r>
    <r>
      <rPr>
        <sz val="11"/>
        <color theme="1"/>
        <rFont val="宋体-简"/>
        <charset val="134"/>
      </rPr>
      <t>−</t>
    </r>
    <r>
      <rPr>
        <sz val="11"/>
        <color theme="1"/>
        <rFont val="DengXian"/>
        <charset val="134"/>
      </rPr>
      <t xml:space="preserve"> Good: Most classes are correctly identified with only minor misalignments
    5</t>
    </r>
    <r>
      <rPr>
        <sz val="11"/>
        <color theme="1"/>
        <rFont val="宋体-简"/>
        <charset val="134"/>
      </rPr>
      <t>−</t>
    </r>
    <r>
      <rPr>
        <sz val="11"/>
        <color theme="1"/>
        <rFont val="DengXian"/>
        <charset val="134"/>
      </rPr>
      <t xml:space="preserve"> Excellent: All classes are correctly identified, fully aligned with the domain.
- Associations/Multiplicities between classes for domain reasoning
    1</t>
    </r>
    <r>
      <rPr>
        <sz val="11"/>
        <color theme="1"/>
        <rFont val="宋体-简"/>
        <charset val="134"/>
      </rPr>
      <t>−</t>
    </r>
    <r>
      <rPr>
        <sz val="11"/>
        <color theme="1"/>
        <rFont val="DengXian"/>
        <charset val="134"/>
      </rPr>
      <t xml:space="preserve"> Very Poor: Associations/multiplicities are largely missing or incorrect, comprising domain reasoning.
    2</t>
    </r>
    <r>
      <rPr>
        <sz val="11"/>
        <color theme="1"/>
        <rFont val="宋体-简"/>
        <charset val="134"/>
      </rPr>
      <t>−</t>
    </r>
    <r>
      <rPr>
        <sz val="11"/>
        <color theme="1"/>
        <rFont val="DengXian"/>
        <charset val="134"/>
      </rPr>
      <t xml:space="preserve"> Poor: Few correct associations/multiplicities with critical relationships missing.
    3</t>
    </r>
    <r>
      <rPr>
        <sz val="11"/>
        <color theme="1"/>
        <rFont val="宋体-简"/>
        <charset val="134"/>
      </rPr>
      <t>−</t>
    </r>
    <r>
      <rPr>
        <sz val="11"/>
        <color theme="1"/>
        <rFont val="DengXian"/>
        <charset val="134"/>
      </rPr>
      <t xml:space="preserve"> Fair: Some associations/multiplicities are correct, but noticeable missing or misrepresentations remain.
    4</t>
    </r>
    <r>
      <rPr>
        <sz val="11"/>
        <color theme="1"/>
        <rFont val="宋体-简"/>
        <charset val="134"/>
      </rPr>
      <t>−</t>
    </r>
    <r>
      <rPr>
        <sz val="11"/>
        <color theme="1"/>
        <rFont val="DengXian"/>
        <charset val="134"/>
      </rPr>
      <t xml:space="preserve"> Good: Most associations/multiplicities are correctly identified with only minor errors.
    5</t>
    </r>
    <r>
      <rPr>
        <sz val="11"/>
        <color theme="1"/>
        <rFont val="宋体-简"/>
        <charset val="134"/>
      </rPr>
      <t>−</t>
    </r>
    <r>
      <rPr>
        <sz val="11"/>
        <color theme="1"/>
        <rFont val="DengXian"/>
        <charset val="134"/>
      </rPr>
      <t xml:space="preserve"> Excellent: All essential associations/multiplicities correctly applied.
- Model attributes with appropriate data types
    1</t>
    </r>
    <r>
      <rPr>
        <sz val="11"/>
        <color theme="1"/>
        <rFont val="宋体-简"/>
        <charset val="134"/>
      </rPr>
      <t>−</t>
    </r>
    <r>
      <rPr>
        <sz val="11"/>
        <color theme="1"/>
        <rFont val="DengXian"/>
        <charset val="134"/>
      </rPr>
      <t xml:space="preserve"> Very Poor: Attributes and data types are poorly identified and modeled; largely incorrect or irrelevant.
    2</t>
    </r>
    <r>
      <rPr>
        <sz val="11"/>
        <color theme="1"/>
        <rFont val="宋体-简"/>
        <charset val="134"/>
      </rPr>
      <t>−</t>
    </r>
    <r>
      <rPr>
        <sz val="11"/>
        <color theme="1"/>
        <rFont val="DengXian"/>
        <charset val="134"/>
      </rPr>
      <t xml:space="preserve"> Poor: Few attributes are correct with proper types; critical attributes are missing.
    3</t>
    </r>
    <r>
      <rPr>
        <sz val="11"/>
        <color theme="1"/>
        <rFont val="宋体-简"/>
        <charset val="134"/>
      </rPr>
      <t>−</t>
    </r>
    <r>
      <rPr>
        <sz val="11"/>
        <color theme="1"/>
        <rFont val="DengXian"/>
        <charset val="134"/>
      </rPr>
      <t xml:space="preserve"> Fair: Some attributes are correct with proper types, but significant attributes are still missing.
    4</t>
    </r>
    <r>
      <rPr>
        <sz val="11"/>
        <color theme="1"/>
        <rFont val="宋体-简"/>
        <charset val="134"/>
      </rPr>
      <t>−</t>
    </r>
    <r>
      <rPr>
        <sz val="11"/>
        <color theme="1"/>
        <rFont val="DengXian"/>
        <charset val="134"/>
      </rPr>
      <t xml:space="preserve"> Good: Most attributes are appropriately modeled with proper data types; minor type issues may exist.
    5</t>
    </r>
    <r>
      <rPr>
        <sz val="11"/>
        <color theme="1"/>
        <rFont val="宋体-简"/>
        <charset val="134"/>
      </rPr>
      <t>−</t>
    </r>
    <r>
      <rPr>
        <sz val="11"/>
        <color theme="1"/>
        <rFont val="DengXian"/>
        <charset val="134"/>
      </rPr>
      <t xml:space="preserve"> Excellent: All attributes are correctly modeled with appropriate data types.
- Consistencies of Terminology with given context
    1</t>
    </r>
    <r>
      <rPr>
        <sz val="11"/>
        <color theme="1"/>
        <rFont val="宋体-简"/>
        <charset val="134"/>
      </rPr>
      <t>−</t>
    </r>
    <r>
      <rPr>
        <sz val="11"/>
        <color theme="1"/>
        <rFont val="DengXian"/>
        <charset val="134"/>
      </rPr>
      <t xml:space="preserve"> Very Poor: Terminology is largely inconsistent with the given context
    2</t>
    </r>
    <r>
      <rPr>
        <sz val="11"/>
        <color theme="1"/>
        <rFont val="宋体-简"/>
        <charset val="134"/>
      </rPr>
      <t>−</t>
    </r>
    <r>
      <rPr>
        <sz val="11"/>
        <color theme="1"/>
        <rFont val="DengXian"/>
        <charset val="134"/>
      </rPr>
      <t xml:space="preserve"> Poor: Frequent inconsistencies; critical terms misused or missing.
    3</t>
    </r>
    <r>
      <rPr>
        <sz val="11"/>
        <color theme="1"/>
        <rFont val="宋体-简"/>
        <charset val="134"/>
      </rPr>
      <t>−</t>
    </r>
    <r>
      <rPr>
        <sz val="11"/>
        <color theme="1"/>
        <rFont val="DengXian"/>
        <charset val="134"/>
      </rPr>
      <t xml:space="preserve"> Fair: Some terminology is correct, but noticeable inconsistencies remain.
    4</t>
    </r>
    <r>
      <rPr>
        <sz val="11"/>
        <color theme="1"/>
        <rFont val="宋体-简"/>
        <charset val="134"/>
      </rPr>
      <t>−</t>
    </r>
    <r>
      <rPr>
        <sz val="11"/>
        <color theme="1"/>
        <rFont val="DengXian"/>
        <charset val="134"/>
      </rPr>
      <t xml:space="preserve"> Good: Most terminology aligns with the given context, with minor inconsistencies.
    5</t>
    </r>
    <r>
      <rPr>
        <sz val="11"/>
        <color theme="1"/>
        <rFont val="宋体-简"/>
        <charset val="134"/>
      </rPr>
      <t>−</t>
    </r>
    <r>
      <rPr>
        <sz val="11"/>
        <color theme="1"/>
        <rFont val="DengXian"/>
        <charset val="134"/>
      </rPr>
      <t xml:space="preserve"> Excellent: Terminology is fully consistent with the given context.
- Adherence of UML class diagram standards
    1</t>
    </r>
    <r>
      <rPr>
        <sz val="11"/>
        <color theme="1"/>
        <rFont val="宋体-简"/>
        <charset val="134"/>
      </rPr>
      <t>−</t>
    </r>
    <r>
      <rPr>
        <sz val="11"/>
        <color theme="1"/>
        <rFont val="DengXian"/>
        <charset val="134"/>
      </rPr>
      <t xml:space="preserve"> Very Poor: Poor diagram formation with major UML standards ignored, making it largely incomprehensible.
    2</t>
    </r>
    <r>
      <rPr>
        <sz val="11"/>
        <color theme="1"/>
        <rFont val="宋体-简"/>
        <charset val="134"/>
      </rPr>
      <t>−</t>
    </r>
    <r>
      <rPr>
        <sz val="11"/>
        <color theme="1"/>
        <rFont val="DengXian"/>
        <charset val="134"/>
      </rPr>
      <t xml:space="preserve"> Poor: Frequent UML violations; diagram is difficult to interpret.
    3</t>
    </r>
    <r>
      <rPr>
        <sz val="11"/>
        <color theme="1"/>
        <rFont val="宋体-简"/>
        <charset val="134"/>
      </rPr>
      <t>−</t>
    </r>
    <r>
      <rPr>
        <sz val="11"/>
        <color theme="1"/>
        <rFont val="DengXian"/>
        <charset val="134"/>
      </rPr>
      <t xml:space="preserve"> Fair: Some UML/PlantUML syntax errors, but major representations are still missing.
    4</t>
    </r>
    <r>
      <rPr>
        <sz val="11"/>
        <color theme="1"/>
        <rFont val="宋体-简"/>
        <charset val="134"/>
      </rPr>
      <t>−</t>
    </r>
    <r>
      <rPr>
        <sz val="11"/>
        <color theme="1"/>
        <rFont val="DengXian"/>
        <charset val="134"/>
      </rPr>
      <t xml:space="preserve"> Good: Minor UML/PlantUML notation errors; overall diagram remains understandable.
    5</t>
    </r>
    <r>
      <rPr>
        <sz val="11"/>
        <color theme="1"/>
        <rFont val="宋体-简"/>
        <charset val="134"/>
      </rPr>
      <t>−</t>
    </r>
    <r>
      <rPr>
        <sz val="11"/>
        <color theme="1"/>
        <rFont val="DengXian"/>
        <charset val="134"/>
      </rPr>
      <t xml:space="preserve">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r>
  </si>
  <si>
    <t>```result
Scores:
1. Appropriate conceptual classes aligned with the domain: Model 1 = 5, Model 2 = 5; Evidence: Model 1 includes `Person`, `Institution`, `ScientificArticle`, `PeerReviewedPaper`, `TechnicalReport`, `Publisher`, `Journal`, and `Authorship`, which cover the required domain concepts. Model 2 includes the same core concepts, using `ResearchInstitution` instead of `Institution`, which is equally aligned with the prompt.
2. Associations/Multiplicities between classes for domain reasoning: Model 1 = 3, Model 2 = 3; Evidence: Model 1 captures authorship via `Authorship -- "1..*" Person` and `Authorship -- "1" ScientificArticle`, and it links `Person` to `PeerReviewedPaper` for reviewing and `Institution` to `TechnicalReport` for publication, but `Person "1" -- "1" Institution : worksFor` incorrectly makes each institution belong to only one person. Model 2 similarly models authorship with `Person "1" -- "*" Authorship` and `ScientificArticle "1" -- "*" Authorship`, review with `Person "1" -- "*" PeerReviewedPaper : reviews`, and technical reports with `TechnicalReport "*" -- "1" ResearchInstitution`, but it has the same overly restrictive `Person "1" -- "1" ResearchInstitution : works for`.
3. Model attributes with appropriate data types: Model 1 = 5, Model 2 = 4; Evidence: Model 1 stores `personID : String`, `phoneNumber : String`, `keywords : Set&lt;String&gt;`, `institutionCode : String`, `DOI : String`, `title : String`, `citationCount : int`, `name : String`, `impactFactor : double`, and `position : int`, which closely matches the required attributes and types. Model 2 stores the same key identifiers and article fields, but `researchKeywords : String` is weaker than a multi-valued keyword structure for “keywords that identify his/her key research topics.”
4. Consistencies of Terminology with given context: Model 1 = 4, Model 2 = 5; Evidence: Model 1 uses the domain terms `Person`, `ScientificArticle`, `PeerReviewedPaper`, `TechnicalReport`, `Publisher`, `Journal`, and `worksFor`, but `Institution` is slightly less specific than the prompt’s “research institutions.” Model 2 uses `ResearchInstitution`, `researchKeywords`, `published by`, and `published in`, which more directly mirror the wording of the requirement.
5. Adherence of UML class diagram standards: Model 1 = 5, Model 2 = 5; Evidence: Both diagrams are valid PlantUML class diagrams with class declarations, inheritance (`ScientificArticle &lt;|-- ...`), and associations with multiplicities. Neither contains syntax problems or unreadable UML structure.
Total: Model 1 = 22, Model 2 = 22
Choice: C
Reason:
1. Appropriate classes: both models identify the needed domain entities, with only naming differences (`Institution` vs `ResearchInstitution`) that do not materially change coverage.
2. Associations and multiplicities: both models make the same major domain mistake on the employment link by forcing a one-to-one relationship where the requirement only says each person works for an institution; this cancels out any small differences elsewhere.
3. Attributes and terminology: Model 1 is stronger on attribute modeling because `keywords : Set&lt;String&gt;` is a better fit than `researchKeywords : String`, while Model 2 is slightly stronger on terminology because `ResearchInstitution` matches the prompt more closely.
4. Rejected or checked issues: I did not penalize Model 1 for `ScientificArticle` being abstract or Model 2 for not marking it abstract, since abstractness is optional here by the rules.
5. Overall judgment: the models are essentially tied in overall quality. Model 1 is a bit better on attribute modeling, Model 2 is a bit better on terminology, and both share the same key multiplicity problem, so the fair outcome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</si>
  <si>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</si>
  <si>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5, Model 2 = 5; Evidence: Model 1 includes `Person(personID, phoneNumber, keywords)`, `Institution(institutionCode)`, `ScientificArticle(DOI, title)`, `PeerReviewedPaper(citationCount)`, `TechnicalReport`, `Publisher(name)`, `Journal(name, impactFactor)`, and `Authorship(position)`. Model 2 includes the same concepts as `Person(personId, phoneNumber, researchKeywords)`, `ResearchInstitution(institutionCode)`, `ScientificArticle(doi, title)`, `PeerReviewedPaper(citationCount)`, `TechnicalReport`, `Publisher(name)`, `Journal(name, impactFactor)`, and `Authorship(position)`.
2. Article hierarchy and article-specific placement: Model 1 = 5, Model 2 = 5; Evidence: Both models show `ScientificArticle &lt;|-- PeerReviewedPaper` and `ScientificArticle &lt;|-- TechnicalReport`. Model 1 links `Journal` only to `PeerReviewedPaper` via `Journal "1" -- "0..*" PeerReviewedPaper : publishesIn` and links `Institution` to `TechnicalReport` via `Institution "1" -- "0..*" TechnicalReport : publishes`. Model 2 does the same with `PeerReviewedPaper --&gt; "1" Journal : publishedIn` and `ResearchInstitution --&gt; "*" TechnicalReport : publishes`.
3. Association cardinalities and authorship/review semantics: Model 1 = 2, Model 2 = 5; Evidence: Model 1 uses `Person "1" -- "1" Institution : worksFor`, which incorrectly forces a one-to-one person/institution relationship, and `Authorship -- "1..*" Person : author`, which makes one authorship relate to multiple persons. Model 2 uses `Person --&gt; "1" ResearchInstitution : worksFor` with `ResearchInstitution --&gt; "*" Person : employs`, and `Authorship --&gt; "1" Person : authoredBy` with `Person --&gt; "*" Authorship : authors`, which matches one person per authorship and many staff per institution. Both models allow review relationships to `PeerReviewedPaper`, but Model 2 gets the cardinalities right.
4. Publisher/journal/subscription constraints: Model 1 = 5, Model 2 = 5; Evidence: Model 1 has `Publisher "1" -- "0..*" Journal : publishes` and `Institution "0..*" -- "0..*" Journal : subscribesTo`, which matches the requirement that publishers can publish multiple journals and institutions can subscribe to journals. Model 2 has the same semantics with `Publisher --&gt; "*" Journal : issues` / `Journal --&gt; "1" Publisher : issuedBy` and `ResearchInstitution --&gt; "*" Journal : subscribesTo`. Neither model incorrectly allows technical reports to be published in journals.
Total: Model 1 = 17, Model 2 = 20
Choice: B
Reason:
1. Core entities and attributes: both models capture the required classes and key fields well enough, so this criterion is tied.
2. Association cardinalities and authorship/review semantics: Model 2 is materially better because it models `worksFor` as one person to one institution with many persons per institution, and `Authorship` as one person plus one article; Model 1 over-constrains `worksFor` to `1..1` on both sides and makes `Authorship` point to multiple persons.
3. Rejected or checked issues: I did not penalize Model 2 for using paired opposite-direction associations or comments, because those are semantically equivalent and explicitly not grounds for deduction.
4. Overall judgment: Model 2 is the more faithful UML representation of the requirement, mainly because it gets the important multiplicities and authorship structure correct without introducing invalid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</si>
  <si>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</si>
  <si>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compact set of domain classes, but `Authorship -- "1..*" Person : author` makes one authorship relation span multiple persons, and `Person "1" -- "1" Institution : worksFor` over-constrains employment to a single person per institution. Model 2 models `Authorship` as a proper association class with `Authorship --&gt; "1" Person : authoredBy` and `Authorship --&gt; "1" ScientificArticle : writes`, and it separates staff membership with `Person --&gt; "1" ResearchInstitution : worksFor` / `ResearchInstitution --&gt; "*" Person : employs`, which is more cohesive and less awkwardly coupled.
2. Complexity: Model 1 = 4, Model 2 = 4; Evidence: Both diagrams use the same core concept count: `Person`, `Institution`/`ResearchInstitution`, `ScientificArticle`, `PeerReviewedPaper`, `TechnicalReport`, `Publisher`, `Journal`, and `Authorship`, with one shallow inheritance tree `ScientificArticle &lt;|-- PeerReviewedPaper` and `ScientificArticle &lt;|-- TechnicalReport`. Model 2 restates relationships with inverse navigations, but those are semantically equivalent to a single bidirectional association and should not be treated as added conceptual complexity.
3. Practicability: Model 1 = 3, Model 2 = 4; Evidence: Model 2 is easier to implement and test against the requirement for ordered multiple authors because it uses `Authorship.position` plus `ScientificArticle --&gt; "1..*" Authorship` and `Authorship --&gt; "1" Person`, which cleanly supports per-author ordering. Model 1’s `Authorship -- "1..*" Person` is less practical for representing a specific author-position pair, and its `Person "1" -- "1" Institution` would make normal multi-person institutions impossible.
Total: Model 1 = 10, Model 2 = 12
Choice: B
Reason:
1. Cohesion and Decoupling: Model 2 better isolates the authorship relation and the employment relation into cleaner association structures, while Model 1 has a structurally awkward authorship link and an overly restrictive works-for multiplicity.
2. Complexity: The two models are similar in class count and inheritance depth, but Model 2 is not meaningfully more complex once semantically equivalent inverse associations are normalized.
3. Practicability: Model 2 is more workable for real implementation and testing because it represents author order and article authorship explicitly through `Authorship`, while Model 1’s authorship modeling is less directly usable.
4. Rejected or checked issues: I did not use the opposite-direction association pairs in Model 2 as negative evidence by themselves, and I ignored PlantUML comments and primitive-type spelling differences per the instructions.
5. Overall judgment: Model 2 is better because it matches the requirement’s key relational constraints more faithfully, especially for ordered multi-author articles and institutional staffing, while remaining comparably simple.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</si>
  <si>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</si>
  <si>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`Person`, `Institution`, `ScientificArticle` with `PeerReviewedPaper` and `TechnicalReport`, plus `Publisher`, `Journal`, and `Authorship`. Model 2 includes the same core domain concepts, using `ResearchInstitution` instead of `Institution`, which is equally aligned with the prompt.
2. Associations/Multiplicities between classes for domain reasoning: Model 1 = 3, Model 2 = 5; Evidence: Model 1 has `Authorship -- "1..*" Person` and `Authorship -- "1" ScientificArticle`, which does not model one author-per-authorship cleanly and does not state the article-side authorship count. Model 2 models `Authorship --&gt; "1" Person`, `Person --&gt; "*" Authorship`, `Authorship --&gt; "1" ScientificArticle`, and `ScientificArticle --&gt; "1..*" Authorship`, which matches the authorship-position requirement much better; it also correctly links `TechnicalReport` to one `ResearchInstitution` and `Publisher` to `Journal`.
3. Model attributes with appropriate data types: Model 1 = 5, Model 2 = 5; Evidence: Model 1 captures `personID : String`, `phoneNumber : String`, `keywords : Set&lt;String&gt;`, `DOI : String`, `title : String`, `citationCount : int`, `name : String`, `impactFactor : double`, and `position : int`. Model 2 captures the same attribute set with equivalent types such as `personId : String`, `researchKeywords : List&lt;String&gt;`, `doi : String`, `title : String`, `citationCount : int`, `name : String`, `impactFactor : double`, and `position : int`.
4. Consistencies of Terminology with given context: Model 1 = 4, Model 2 = 4; Evidence: Model 1 uses `Institution` and `keywords`, which are slightly more generic than the prompt’s “research institutions” and research-topic keywords, but still clearly refer to the same domain. Model 2 uses `ResearchInstitution` and `researchKeywords`, which is closer to the prompt, but also introduces relationship verbs like `employs`, `issues`, and `features` that are not the prompt’s wording.
5. Adherence of UML class diagram standards: Model 1 = 5, Model 2 = 5; Evidence: both are valid PlantUML class diagrams with class definitions, inheritance, associations, and multiplicities. Model 2’s paired opposite-direction associations are semantically equivalent to single bidirectional associations and are not a UML problem.
Total: Model 1 = 22, Model 2 = 24
Choice: B
Reason:
1. Associations/multiplicities: Model 2 is clearly stronger because it models authorship as a proper link class between exactly one `Person` and exactly one `ScientificArticle`, while giving each article `1..*` authorships. Model 1’s `Authorship -- "1..*" Person` is the main semantic weakness.
2. Conceptual classes: both models cover the required domain classes, so this criterion is effectively tied.
3. Attributes: both models capture the required identifiers and descriptive attributes with appropriate types, so this is tied as well.
4. Terminology: Model 2 is slightly closer to the prompt with `ResearchInstitution` and `researchKeywords`, though both remain broadly consistent.
5. Rejected or checked issues: I did not penalize Model 2 for using opposite-direction association pairs, lowercase primitive aliases, or comments, because those are not negative evidence under the rules.
6. Overall judgment: Model 2 is better because it represents the key domain relationship around authorship and article membership more faithfully, which is central to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</si>
  <si>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</si>
  <si>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class/attribute coverage: Model 1 = 4, Model 2 = 5; Evidence: Model 1 includes `Person(personID, phoneNumber, researchKeywords)`, `ResearchInstitution(institutionCode)`, `ScientificArticle(DOI, title)`, `PeerReviewedPaper(citationCount)`, `Publisher(name)`, and `Journal(name, impactFactor)`, so most required entities are present, but `researchKeywords` is a single `String`. Model 2 includes the same core entities and attributes, and models `researchKeywords : List&lt;String&gt;`, which is closer to “keywords” as a set of topics.
2. Association and multiplicity fidelity: Model 1 = 2, Model 2 = 5; Evidence: Model 1 has `Person "1" -- "1" ResearchInstitution : works for`, which makes employment one-to-one instead of one institution having many persons. It also has `Person "1" -- "*" PeerReviewedPaper : reviews`, which means each paper has exactly one reviewer and each person reviews at least one paper. Model 2 models `Person --&gt; "1" ResearchInstitution : worksFor` with `ResearchInstitution --&gt; "*" Person : employs`, `PeerReviewedPaper --&gt; "*" Person : reviewedBy`, and `Person --&gt; "*" PeerReviewedPaper : reviews`, which matches the many-persons-per-institution and multi-reviewer-per-paper possibilities much better.
3. Inheritance and article-publication constraints: Model 1 = 4, Model 2 = 5; Evidence: Both models separate `ScientificArticle` into `PeerReviewedPaper` and `TechnicalReport` with generalization, and both keep `PeerReviewedPaper` published in `Journal` while `TechnicalReport` is published by `ResearchInstitution`. Model 2 makes `ScientificArticle` explicitly abstract and keeps `PeerReviewedPaper --&gt; "1" Journal : publishedIn` with no journal link from `TechnicalReport`, which cleanly captures “only peer-reviewed papers are published in journals.”
4. No unsupported overconstraints or hallucinated semantics: Model 1 = 2, Model 2 = 4; Evidence: Model 1 adds stronger semantics than the requirement states, including `Publisher "1" *-- "*" Journal : publishes` as composition, plus the exact-one employment and exact-one-reviewer constraints noted above. Model 2 also adds reverse associations, but they are semantically consistent rather than contradictory, and it avoids the composition choice by using plain associations for `Publisher`-`Journal`.
5. Naming and conceptual clarity: Model 1 = 3, Model 2 = 5; Evidence: Model 1 uses a workable `Authorship` class with `position`, but its relation labels are less explicit (`authors through`, `has author`), and `researchKeywords` is not modeled as a collection. Model 2 uses clearer domain labels such as `worksFor`, `publishedBy`, `reviewedBy`, `publishedIn`, `Authorship`, and `researchKeywords : List&lt;String&gt;`, which maps more directly to the requirement wording.
Total: Model 1 = 15, Model 2 = 24
Choice: B
Reason:
1. Core class/attribute coverage: Both models capture the main entities, but Model 2 represents research keywords more faithfully as a list rather than a single string.
2. Association and multiplicity fidelity: Model 1 overconstrains employment and reviewing with one-to-one or one-reviewer-style cardinalities that do not fit the requirement, while Model 2 models the many-to-one and many-to-many relationships more accurately.
3. Inheritance and journal/report constraints: Both separate peer-reviewed papers from technical reports, but Model 2 expresses the publishing constraints more cleanly and without attaching extra semantics to the journal/publisher relationship.
4. Rejected or checked issues: I did not use association direction alone as evidence, since opposite-direction UML associations are semantically equivalent. I also did not penalize Model 2 for its reverse links or abstract superclass choice, since those do not contradict the requirement.
5. Overall judgment: Model 2 is the better fit because it aligns more closely with the required domain structure, especially on multiplicities, authorship/review modeling, and clarity of the conceptual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</si>
  <si>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</si>
  <si>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does separate authorship into `Authorship` with `position`, but it also compresses research topics into `researchKeywords : String` and hard-wires employment as `Person "1" -- "1" ResearchInstitution`, which is a weaker separation of concerns. Model 2 keeps the same `Authorship` role, models topics as `researchKeywords : List&lt;String&gt;`, and uses a clearer employment structure with `Person --&gt; "1" ResearchInstitution` and the inverse `ResearchInstitution --&gt; "*" Person`, so the responsibilities are cleaner and better decoupled.
2. Complexity: Model 1 = 4, Model 2 = 4; Evidence: Both diagrams have the same core conceptual size: `Person`, `ResearchInstitution`, `ScientificArticle`, `PeerReviewedPaper`, `TechnicalReport`, `Publisher`, `Journal`, and `Authorship`, plus the same inheritance split from `ScientificArticle` to the two article types. Model 2 spells out more inverse associations, but those opposite-direction links are semantically equivalent and should not be counted as extra complexity under the rules, so the overall structural complexity is essentially the same.
3. Practicability: Model 1 = 2, Model 2 = 4; Evidence: Model 1 is readable, but `Person "1" -- "1" ResearchInstitution` is too rigid for the stated domain, `researchKeywords : String` is awkward for multiple keywords, and `Publisher "1" *-- "*" Journal` implies a stronger ownership model than the requirement states. Model 2 is more implementable and testable because it models staff-to-institution correctly, uses `Authorship` to capture author position, keeps `ScientificArticle` as a shared abstraction for `PeerReviewedPaper` and `TechnicalReport`, and represents reviews and publishing relationships more explicitly.
Total: Model 1 = 9, Model 2 = 12
Choice: B
Reason:
1. Cohesion and Decoupling: Model 2 has the cleaner separation because it represents multi-keyword topics properly, isolates authorship as a relationship class, and matches the employment structure better; Model 1 is workable but its one-to-one employment link and single-string keyword field make it less cohesive.
2. Complexity: The two models are materially equal in conceptual size and inheritance depth, so this criterion does not separate them. Model 2’s extra inverse associations do not count as added complexity here because they are semantically equivalent to a single bidirectional association.
3. Rejected or checked issues: I did not use bidirectional-vs-unidirectional association style, PlantUML comments, primitive type aliases, or optional abstractness as negative evidence, per the scoring rules.
4. Overall judgment: Model 2 is the better real-world design because it is closer to the stated domain, more modular, and more practical to implement and test, while Model 1 has a few structural choices that are too restrictive for the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</si>
  <si>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</si>
  <si>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diagrams include the core domain classes `Person`, `ResearchInstitution`, `ScientificArticle`, `PeerReviewedPaper`, `TechnicalReport`, `Publisher`, `Journal`, and `Authorship`, and both split `ScientificArticle` into the required two subclasses.
2. Associations/Multiplicities between classes for domain reasoning: Model 1 = 4, Model 2 = 5; Evidence: Model 1 correctly links articles, journals, publishers, and technical reports, but `Person "1" -- "1" ResearchInstitution : works for` is too restrictive because an institution should relate to many persons; Model 2 models that as `Person --&gt; "1" ResearchInstitution` and `ResearchInstitution --&gt; "*" Person`, and it also uses `ScientificArticle --&gt; "1..*" Authorship`, which better captures that an article has one or more authorships.
3. Model attributes with appropriate data types: Model 1 = 4, Model 2 = 5; Evidence: Model 1 uses good scalar types for `personID : String`, `institutionCode : String`, `DOI : String`, `citationCount : int`, and `impactFactor : float`, but `researchKeywords : String` compresses plural keywords into a single value; Model 2 uses `researchKeywords : List&lt;String&gt;`, which better matches the requirement, while its other attributes (`personId : String`, `doi : String`, `citationCount : int`, `impactFactor : double`) are also appropriate.
4. Consistencies of Terminology with given context: Model 1 = 5, Model 2 = 5; Evidence: both use the required domain vocabulary directly, including `PeerReviewedPaper`, `TechnicalReport`, `Publisher`, `Journal`, `works for`, `reviews`, and `published in`; Model 2’s `worksFor`, `publishedIn`, and `reviewedBy` are still consistent with the requirement context.
5. Adherence of UML class diagram standards: Model 1 = 5, Model 2 = 5; Evidence: both are valid PlantUML class diagrams with legal class declarations, inheritance, and associations; Model 2’s bidirectional associations and comments are standard and do not break UML semantics, and Model 1’s association and inheritance notation is also syntactically valid.
Total: Model 1 = 23, Model 2 = 25
Choice: B
Reason:
1. Appropriate conceptual classes: both models capture the required class set and the article specialization correctly, so neither gains an advantage here.
2. Associations/multiplicities: Model 2 is stronger because it fixes the central staff-to-institution cardinality with `ResearchInstitution --&gt; "*" Person`, while Model 1 incorrectly locks it to `1` on both ends; Model 2 also expresses at least one authorship per article with `1..*`.
3. Attributes/data types: Model 2 better represents the plural nature of research keywords by using `List&lt;String&gt;`, whereas Model 1 reduces them to a single `String`.
4. Rejected or checked issues: I did not penalize Model 2 for using opposite-direction associations, comments, or synonymous role names, because those are semantically acceptable under the instructions.
5. Overall judgment: Model 2 is the better UML model because it aligns more closely with the domain’s core multiplicity and attribute requirements, even though both are broadly well-formed.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</si>
  <si>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</si>
  <si>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identifiers: Model 1 = 5, Model 2 = 5; Evidence: Model 1 defines `Person(personID)`, `ResearchInstitution(institutionCode)`, `ScientificArticle(DOI, title)`, `Publisher(name)`, and `Journal(name, impactFactor)`. Model 2 defines the same core concepts as `Person(personID)`, `Institution(institutionCode)`, `ScientificArticle(DOI, title)`, `Publisher(name)`, and `Journal(name, impactFactor)`.
2. Person metadata and affiliation: Model 1 = 4, Model 2 = 5; Evidence: Model 1 stores `phoneNumber`, `researchKeywords : String`, and `Person "1" -- "1" ResearchInstitution : works for`. Model 2 stores `phoneNumber`, `keywords : Set&lt;String&gt;`, and `Person "1" -- "1" Institution : worksFor`, which matches the plural keyword requirement more directly.
3. Scientific article hierarchy and article-level constraints: Model 1 = 4, Model 2 = 5; Evidence: Model 1 has `ScientificArticle` with subclasses `PeerReviewedPaper` and `TechnicalReport`, but it is not marked abstract. Model 2 uses `abstract class ScientificArticle` with the same subclasses, which more cleanly reflects that every article must be one of those two kinds.
4. Authors and author position: Model 1 = 5, Model 2 = 1; Evidence: Model 1 uses `Authorship(position)` plus `Person "1" -- "*" Authorship : authors through` and `ScientificArticle "1" -- "*" Authorship : has author`, so each authorship links one person to one article and can store the author’s position. Model 2 also has `Authorship(position)`, but `Authorship -- "1..*" Person : author` makes one authorship span multiple persons, which does not cleanly represent per-author ordering.
5. Peer-review and citation tracking: Model 1 = 3, Model 2 = 4; Evidence: Model 1 gives `PeerReviewedPaper(citationCount)` and `Person "1" -- "*" PeerReviewedPaper : reviews`, which records citations and a reviewer relation but constrains each paper to one reviewer. Model 2 also gives `PeerReviewedPaper(citationCount)` and uses `Person "0..*" -- "0..*" PeerReviewedPaper : reviews`, which better supports multiple reviewers and multiple reviews.
6. Technical report publication by institution: Model 1 = 5, Model 2 = 5; Evidence: Model 1 has `TechnicalReport "*" -- "1" ResearchInstitution : published by`. Model 2 has `Institution "1" -- "0..*" TechnicalReport : publishes`. Both express one institution per technical report and multiple reports per institution.
7. Publisher and journal structure: Model 1 = 4, Model 2 = 4; Evidence: Model 1 defines `Publisher(name)` and `Journal(name, impactFactor)` with `Publisher "1" *-- "*" Journal : publishes`. Model 2 defines the same publisher/journal concepts with `Publisher "1" -- "0..*" Journal : publishes`. Both cover publisher identity, journal naming, and impact factor.
8. Journal subscriptions and journal-only publication for peer-reviewed papers: Model 1 = 5, Model 2 = 5; Evidence: Model 1 has `ResearchInstitution "*" -- "*" Journal : subscribes to` and `PeerReviewedPaper "*" -- "1" Journal : published in`, which keeps technical reports out of journals. Model 2 has `Institution "0..*" -- "0..*" Journal : subscribesTo` and `Journal "1" -- "0..*" PeerReviewedPaper : publishesIn`, which likewise limits journal publication to peer-reviewed papers.
Total: Model 1 = 35, Model 2 = 34
Choice: A
Reason:
1. Authors and author position: Model 1 is materially better because its `Authorship` bridge class is one person per authorship and one article per authorship, so the `position` attribute can represent the order of each individual author. Model 2’s `Authorship -- "1..*" Person` collapses multiple people into one authorship instance, which is not faithful to the requirement.
2. Article hierarchy and keywords: Model 2 is stronger on `abstract ScientificArticle` and `keywords : Set&lt;String&gt;`, but those improvements do not outweigh Model 1’s correct authoring structure. Model 1 still captures the required concepts, just less precisely.
3. Rejected or checked issues: I did not use the fact that Model 1 uses composition for `Publisher *-- Journal` as a negative, because that extra ownership semantics is not contradicted by the requirement. I also did not penalize either model for equivalent multiplicity notation or primitive-type aliases.
4. Overall judgment: Both models cover the main domain, but Model 1 is closer to the required semantics where it matters most: multiple authors with stored position. Model 2’s authorship multiplicity is a hard modeling error, so Model 1 is the better answer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</si>
  <si>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</si>
  <si>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authorship as a clean association class with `Person "1" -- "*" Authorship` and `ScientificArticle "1" -- "*" Authorship`, so each authorship entry is tied to one person and one article. Model 2 uses `Authorship -- "1..*" Person`, which makes one authorship entry point to multiple people and weakens the class’s conceptual focus, even though it improves keywords with `keywords : Set&lt;String&gt;`.
2. Complexity: Model 1 = 4, Model 2 = 4; Evidence: both models use 8 classes and the same inheritance structure, `ScientificArticle -&gt; PeerReviewedPaper/TechnicalReport`, with no methods to change the complexity profile. Model 2 marks `ScientificArticle` abstract, but abstractness is optional under the rules and does not materially change complexity.
3. Practicability: Model 1 = 4, Model 2 = 3; Evidence: Model 1 models the core publication structure more directly with `Authorship.position`, `TechnicalReport "*" -- "1" ResearchInstitution : published by`, and `PeerReviewedPaper "*" -- "1" Journal : published in`. Its weaker spots are `researchKeywords : String` and `Person "1" -- "*" PeerReviewedPaper : reviews`. Model 2 improves realism for keywords and reviewing via `keywords : Set&lt;String&gt;` and `Person "0..*" -- "0..*" PeerReviewedPaper : reviews`, but the `Authorship -- "1..*" Person` multiplicity is semantically off for a per-person authorship record, which hurts implementability and testing.
Total: Model 1 = 12, Model 2 = 10
Choice: A
Reason:
1. Cohesion and Decoupling: Model 1 has the tighter authorship decomposition; Model 2’s authorship-to-multiple-persons link is less coherent.
2. Complexity: They are effectively tied on structural complexity, so this does not separate them.
3. Practicability: Model 1 is more practical overall because its authorship model matches the requirement better, and Model 2’s better keyword/reviewer handling does not offset the incorrect authorship cardinality.
4. Rejected or checked issues: I did not use `abstract` on `ScientificArticle`, `*` vs `0..*`, or primitive type spelling differences as scoring factors, since the instructions forbid treating those as negatives.
5. Overall judgment: Model 1 is better because it preserves the most important domain relationship, authorship, with correct semantics, while Model 2 introduces a more serious structural error there despite some improvements elsewhere.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</si>
  <si>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</si>
  <si>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classes `Person`, `ResearchInstitution`, `ScientificArticle`, `PeerReviewedPaper`, `TechnicalReport`, `Publisher`, `Journal`, and `Authorship`. Model 2 includes the same essential concepts with `Person`, `Institution`, `ScientificArticle`, `PeerReviewedPaper`, `TechnicalReport`, `Publisher`, `Journal`, and `Authorship`.
2. Associations/Multiplicities between classes for domain reasoning: Model 1 = 4, Model 2 = 3; Evidence: Model 1 correctly models authorship through `Person -- Authorship` and `ScientificArticle -- Authorship`, and it captures `TechnicalReport "*" -- "1" ResearchInstitution`, `Publisher "1" *-- "*" Journal`, and `PeerReviewedPaper "*" -- "1" Journal`, but `Person "1" -- "1" ResearchInstitution` and `Person "1" -- "*" PeerReviewedPaper` are too restrictive. Model 2 gets `Person "0..*" -- "0..*" PeerReviewedPaper`, `Institution "1" -- "0..*" TechnicalReport`, `Publisher "1" -- "0..*" Journal`, and `Institution "0..*" -- "0..*" Journal` right, but `Authorship -- "1..*" Person` incorrectly allows one authorship to involve multiple persons, which breaks the core author-position model.
3. Model attributes with appropriate data types: Model 1 = 4, Model 2 = 5; Evidence: Model 1 stores `personID : String`, `phoneNumber : String`, `researchKeywords : String`, `DOI : String`, `citationCount : int`, and `impactFactor : float`, but `researchKeywords` is modeled as a single string even though the requirement says keywords plural. Model 2 uses `keywords : Set&lt;String&gt;` along with `personID : String`, `phoneNumber : String`, `citationCount : int`, and `impactFactor : double`, which is a better fit for the requirement.
4. Consistencies of Terminology with given context: Model 1 = 5, Model 2 = 4; Evidence: Model 1 stays close to the requirement wording with `ResearchInstitution`, `ScientificArticle`, `PeerReviewedPaper`, and `TechnicalReport`. Model 2 is mostly consistent too, but it generalizes `ResearchInstitution` to `Institution`; the rest of its labels like `worksFor`, `publishesIn`, and `subscribesTo` still match the domain reasonably well.
5. Adherence of UML class diagram standards: Model 1 = 5, Model 2 = 5; Evidence: Both diagrams use valid UML class declarations, inheritance, and association syntax. Model 2's `abstract class ScientificArticle` is valid UML, and Model 1's composition-style `Publisher *-- "*" Journal` is also syntactically fine.
Total: Model 1 = 23, Model 2 = 22
Choice: A
Reason:
1. Appropriate conceptual classes aligned with the domain: both models identify the right main entities, so this criterion is effectively tied.
2. Associations/Multiplicities: Model 1 is better overall because it correctly centers authorship via `Authorship`, while Model 2 makes the authoring relation incorrect by allowing `Authorship` to connect to `1..* Person`.
3. Attributes and terminology: Model 2 has a better keyword attribute type (`Set&lt;String&gt;`), but Model 1 is more faithful in naming the institution concept as `ResearchInstitution`. That advantage does not outweigh Model 2's broken authoring multiplicity.
4. Rejected or checked issues: I did not penalize Model 2 for using `abstract class ScientificArticle`, and I did not penalize either model for equivalent multiplicity notation like `*` versus `0..*`. The decision turns on the core domain relations, especially authorship.
5. Overall judgment: Model 1 is slightly better because it preserves the central article-author structure more accurately, even though both diagrams share some multiplicity weaknesses.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</si>
  <si>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</si>
  <si>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</si>
  <si>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</si>
  <si>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classes and attributes: Model 1 = 5, Model 2 = 5; Evidence: Model 1 includes `Provider(name, location)`, `Cruise(number, name, startDate, endDate)`, `Employee(name, socialSecurityNumber)`, `Guest(name, isVip)`, `Ship(name, numberOfDecks, length, numberOfPassengers)`, `TravelAgency(name, address)`, `Booking(bookingNumber, bookingDate)`, `DestinationArea(name, seaName)`, `Show(title, duration)`, and `Ticket(ticketNumber)`. Model 2 includes the same required class set with matching core attributes, e.g. `Provider(name, location)`, `Cruise(number, name, startDate, endDate)`, `Guest(name, isVIP)`, `Ship(name, numberOfDecks, length, passengerCapacity)`, `Booking(bookingNumber, bookingDate)`, and `Show(title, duration)`.
2. Core cruise relationships: Model 1 = 4, Model 2 = 4; Evidence: Model 1 connects cruise to provider, employees, guests, ship, booking, destination area, shows, tickets, and guest-ticket ownership (`Cruise --&gt; Provider`, `Cruise --&gt; Employee`, `Cruise --&gt; Guest`, `Cruise --&gt; Ship`, `Cruise --&gt; Booking`, `Cruise --&gt; DestinationArea`, `Cruise --&gt; Show`, `Cruise --&gt; Ticket`, `Ticket --&gt; Guest`). Model 2 covers the same essential domains with `Cruise -- Provider`, `Cruise -- Employee`, `Cruise -- Guest`, `Cruise -- Ship`, `Cruise -- DestinationArea`, `Cruise -- Show`, `Booking -- TravelAgency`, `Booking -- Cruise`, and `Ticket -- Guest/Cruise`.
3. Booking, show, and ticket semantics: Model 1 = 3, Model 2 = 4; Evidence: Model 1 models shows as `Cruise --&gt; "*" Show` and `Show --&gt; "*" Cruise`, which is broader than the requirement’s “on a cruise, guests are offered several shows.” Model 2 uses `Cruise "1" -- "*" Show : offers`, which fits that phrasing better. For tickets, both models attach tickets to a cruise and a guest, but neither encodes the “only one ticket per cruise per guest” rule; Model 1 also adds `Booking --&gt; "1" Guest : bookedBy`, which is not stated in the requirement. Model 2 avoids that extra booking-to-guest link.
4. Hallucinations and constraint fidelity: Model 1 = 2, Model 2 = 4; Evidence: Model 1 introduces an unsupported guest-booking association (`Booking --&gt; "1" Guest`, `Guest --&gt; "*" Booking`) that the requirement never mentions. Model 2 does not add that relation, though it does add an extra `ticketId` attribute and still misses the per-guest-per-cruise ticket constraint. Model 1 is also looser on show reuse across cruises (`Show --&gt; "*" Cruise`) than the requirement implies.
Total: Model 1 = 14, Model 2 = 17
Choice: B
Reason:
1. Required classes and attributes: both models cover the full set of domain classes and the core attributes, so neither loses ground here.
2. Association and multiplicity fidelity: Model 1 is stronger on the employee lower bound with `Cruise --&gt; "1..*" Employee`, but Model 2 is better on the show relation and avoids an unsupported booking-to-guest link. On balance, Model 2 matches the requirement structure more closely.
3. Rejected or checked issues: I did not penalize `int` vs `String`, `double` vs `Duration`, or `A --&gt; B` vs `A -- B`, because those are not decisive semantic errors under the rules. I also did not use layout or comments in scoring.
4. Overall judgment: Model 2 is the better fit because it stays closer to the stated booking and show semantics and avoids a hallucinated booking-guest association, while Model 1 overgeneralizes shows across cruises and introduces an extra relation not supported by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</si>
  <si>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</si>
  <si>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keep the main domain concepts separated into distinct classes (`Provider`, `Cruise`, `Employee`, `Guest`, `Ship`, `TravelAgency`, `Booking`, `DestinationArea`, `Show`, `Ticket`), but Model 1 couples `Show` to `Cruise` as many-to-many (`Cruise --&gt; "*" Show` and `Show --&gt; "*" Cruise`), while Model 2 keeps it one-to-many (`Cruise "1" -- "*" Show`), which is a tighter fit to the requirement and less coupled. Both models also add an unsupported `Booking`-to-`Guest` relation.
2. Complexity: Model 1 = 3, Model 2 = 3; Evidence: both diagrams use the same 10 classes and no inheritance or methods. Model 1 expands the same relations into opposite-direction pairs, but that is semantically equivalent and not a complexity penalty under the rules; Model 2 expresses the same core structure more compactly, but not in a way that materially changes UML complexity.
3. Practicability: Model 1 = 3, Model 2 = 4; Evidence: Model 2 is easier to implement and test against the requirement because `Show` is attached to exactly one `Cruise`, which matches the wording better, and `Booking`, `Ticket`, `Guest`, and `TravelAgency` are linked in a straightforward way. Model 1’s `Cruise`-`Show` many-to-many relation is less practical than needed for the stated domain, since the requirement describes shows offered on a cruise rather than reused across cruises. Both models still include the extra `Booking`-`Guest` association, which limits either design.
Total: Model 1 = 9, Model 2 = 11
Choice: B
Reason:
1. Cohesion and Decoupling: Model 2 is slightly better because it avoids over-coupling `Show` to multiple cruises and uses a tighter association that matches the domain description. Model 1 overgeneralizes that part of the model.
2. Complexity: The models are effectively tied here. Both have the same class count and no inheritance depth, so there is no meaningful complexity advantage for Model 1.
3. Practicability: Model 2 is more practical because its `Cruise`-`Show` structure is simpler and closer to the requirement, which makes implementation and testing clearer. Model 1’s broader `Show` reuse would add unnecessary domain complexity.
4. Rejected or checked issues: I did not use opposite-direction association duplication as a negative factor, because it is semantically equivalent under the rules. I also did not score against primitive type spelling differences or equivalent multiplicity syntax, since those are explicitly forbidden as penalties.
5. Overall judgment: Both diagrams are close, but Model 2 is better aligned with the requirement on the show/cruise relationship and is therefore the stronger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</si>
  <si>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</si>
  <si>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the full domain set `Provider`, `Cruise`, `Employee`, `Guest`, `Ship`, `TravelAgency`, `Booking`, `DestinationArea`, `Show`, and `Ticket`, all matching the prompt. Model 2 includes the same core classes with the same domain coverage.
2. Associations/Multiplicities between classes for domain reasoning: Model 1 = 4, Model 2 = 3; Evidence: Model 1 captures key constraints more tightly with `Cruise "1..*" Employee` and `Cruise "*" Guest`, plus `Ticket "1" Cruise` and `Ticket "1" Guest`, while Model 2 loosens important constraints with `Cruise "*" -- "*" Employee` and `Cruise "*" -- "*" Guest`, which allow zero employees or zero guests on a cruise. Both models correctly link cruises to providers, ships, destination areas, travel agencies, and tickets, but neither expresses the "only one ticket per cruise per guest" constraint.
3. Model attributes with appropriate data types: Model 1 = 4, Model 2 = 4; Evidence: Model 1 uses `Cruise.number: int`, `Ship.length: double`, and `Show.duration: double`, while Model 2 uses `Cruise.number: String`, `Ship.length: Double`, and `Show.duration: Duration`. Model 2 is stronger on `Duration`, while Model 1 is closer on numeric identifiers; both are broadly reasonable but not perfect.
4. Consistencies of Terminology with given context: Model 1 = 5, Model 2 = 4; Evidence: Model 1 stays closer to the prompt wording with `numberOfPassengers`, `isVip`, `bookingNumber`, and `organizedBy`, all of which map directly to the requirement text. Model 2 introduces more renaming such as `passengerCapacity`, `ticketId`, and relation labels like `books` and `participates`, which remain understandable but are less faithful to the given terminology.
5. Adherence of UML class diagram standards: Model 1 = 5, Model 2 = 5; Evidence: Both are valid PlantUML class diagrams with well-formed classes and associations. Model 1 uses paired opposite associations, and Model 2 uses single undirected associations; both are semantically valid UML representations here.
Total: Model 1 = 23, Model 2 = 21
Choice: A
Reason:
1. Appropriate conceptual classes aligned with the domain: both models cover the required classes, so this criterion is a tie.
2. Associations/Multiplicities: Model 1 is better because it encodes `Cruise` needing many employees and many guests more explicitly with `1..*` and `*`, while Model 2 weakens those constraints to unrestricted many-to-many links.
3. Attributes and terminology: Model 1 is slightly closer to the prompt's wording overall, especially for `numberOfPassengers` and `isVip`, while Model 2 introduces more renamed terms like `passengerCapacity` and `ticketId`.
4. Rejected or checked issues: I did not penalize Model 1 for using paired opposite associations, because that is semantically equivalent to a single bidirectional association under the rules. I also did not penalize either model for using lowercase primitive aliases or equivalent multiplicity syntax.
5. Overall judgment: Model 1 is better because it preserves the domain constraints more faithfully, especially for cruise staffing and guest participation, while remaining terminologically closer to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</si>
  <si>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</si>
  <si>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class coverage and attributes: Model 1 = 4, Model 2 = 4; Evidence: Model 1 includes `Provider`, `Cruise`, `Employee`, `Guest`, `Ship`, `TravelAgency`, `Booking`, `DestinationArea`, `Show`, and `Ticket`, each with the required core attributes such as `name`, `location`, `number`, `startDate`, `endDate`, and `bookingDate`. Model 2 includes the same required classes and similarly covers the stated attributes, e.g. `Provider`, `Cruise`, `Employee`, `Guest`, `Ship`, `TravelAgency`, `Booking`, `DestinationArea`, `Show`, and `Ticket`.
2. Booking and organizational relationships: Model 1 = 4, Model 2 = 2; Evidence: Model 1 explicitly links `Cruise` to `Provider`, `Booking` to `Cruise`, and `Booking` to `TravelAgency`, which matches the requirement that a cruise is organized by a provider and booked through a travel agency. Model 2 links `Provider` to `Cruise` and `TravelAgency` to `Booking`, but it does not connect `Booking` to `Cruise`; instead it connects `Booking` to `Ticket`, which is not stated by the requirement and weakens the booking model.
3. Guest, employee, and ticket semantics: Model 1 = 4, Model 2 = 2; Evidence: Model 1 models `Cruise` with `Employee` as `1..*`, `Cruise` with `Guest` as `*`, and `Ticket` with both `Cruise` and `Guest` so the guest/ticket and cruise/ticket constraints are represented in a direct way. Model 2 also models employees and guests on cruises, but it makes `Booking -- Ticket` the main ticket link and only adds `Guest -- Ticket` and `Guest -- Cruise` as generic many-to-many associations, so it does not capture the requirement that a ticket belongs to exactly one cruise as well as Model 1 does.
4. Unsupported or hallucinated links: Model 1 = 3, Model 2 = 2; Evidence: Model 1 introduces an extra `Booking` to `Guest` association (`Booking --&gt; "1" Guest`) that is not stated in the requirement, but the rest of its links are mostly aligned with the domain. Model 2 introduces a stronger unsupported idea by tying `Booking` directly to `Ticket` (`Booking "1" -- "1" Ticket`) while omitting the required `Booking` to `Cruise` association, so its extra relationship is more damaging to the stated design.
Total: Model 1 = 15, Model 2 = 10
Choice: A
Reason:
1. Core class coverage and attributes: both models cover the required classes and most attributes, so this criterion is roughly tied.
2. Booking and organizational relationships: Model 1 is better because it actually connects `Booking` to `Cruise` and `TravelAgency`, while Model 2 misplaces the booking relation onto `Ticket` and leaves `Cruise` unconnected from `Booking`.
3. Guest, employee, and ticket semantics: Model 1 better matches the cruise/ticket rule by linking tickets to both guests and cruises; Model 2’s ticket model is structurally off because it binds tickets to bookings instead of cruises.
4. Rejected or checked issues: I did not penalize either model for opposite-direction associations, lowercase primitive types, or equivalent multiplicity notation differences, since those are semantically equivalent under the instructions.
5. Overall judgment: Model 1 is closer to the requirement because its associations reflect the cruise, booking, guest, and ticket constraints more faithfully, while Model 2 has a materially incorrect booking-ticket relationship and misses the required cruise-booking linkage.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</si>
  <si>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</si>
  <si>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`Cruise` directly connected to `Provider`, `Employee`, `Guest`, `Ship`, `DestinationArea`, `Show`, `Booking`, and `Ticket`, and it links `Booking` to `Cruise` and `TravelAgency`, which keeps booking, operations, and participation as separate concerns. Model 2 instead links `Booking` to `Ticket` (`Booking "1" -- "1" Ticket`) rather than to `Cruise`, and it also uses broad many-to-many links for `Guest -- Cruise` and `Guest -- Ticket`, which blurs the boundaries between cruise participation, ticketing, and booking.
2. Complexity: Model 1 = 4, Model 2 = 4; Evidence: Both models have the same 10 core classes: `Provider`, `Cruise`, `Employee`, `Guest`, `Ship`, `TravelAgency`, `Booking`, `DestinationArea`, `Show`, and `Ticket`. Neither model adds inheritance or methods, so the overall structural complexity is comparable; Model 1 is slightly more explicit about the booking/ticket flow, while Model 2 shifts one relation from cruise to ticket, but the class count and general depth remain similar.
3. Practicability: Model 1 = 4, Model 2 = 2; Evidence: Model 1 directly represents the stated workflow with `Booking --&gt; Cruise`, `Booking --&gt; TravelAgency`, `Cruise --&gt; Ticket`, and `Ticket --&gt; Guest`, which makes the diagram easier to implement and test against requirements like “a cruise is booked through a travel agency” and “a ticket belongs to exactly one cruise.” Model 2 is less practical because it omits `Booking -- Cruise`, adds the unstated `Booking -- Ticket` association, and models both `Guest -- Cruise` and `Guest -- Ticket` as many-to-many, which does not express the “only one ticket per cruise” rule cleanly.
Total: Model 1 = 12, Model 2 = 8
Choice: A
Reason:
1. Cohesion and Decoupling: Model 1 has clearer domain boundaries between cruise, booking, ticket, guest, and agency responsibilities; Model 2 mixes booking with ticketing and weakens those boundaries.
2. Complexity: The two diagrams are similar in size, but Model 1 stays closer to the required domain structure instead of introducing a less natural shortcut.
3. Rejected or checked issues: I did not use opposite-direction associations or lowercase primitive spellings as negative evidence, because those are explicitly forbidden as scoring factors. I also did not penalize abstractness, since neither diagram uses inheritance.
4. Overall judgment: Model 1 is the more faithful and implementable UML class diagram. Model 2 misses the direct cruise-booking relationship and is less suitable for a real system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</si>
  <si>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</si>
  <si>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full set of domain classes from the prompt: `Provider`, `Cruise`, `Employee`, `Guest`, `Ship`, `TravelAgency`, `Booking`, `DestinationArea`, `Show`, and `Ticket`.
2. Associations/Multiplicities between classes for domain reasoning: Model 1 = 4, Model 2 = 3; Evidence: Model 1 correctly models key links such as `Cruise -&gt; Provider` as 1-to-1 provider ownership, `Cruise &lt;-&gt; Employee` with many employees, `Cruise &lt;-&gt; Guest` as many-to-many, `Ship -&gt; Cruise` as one ship used by many cruises, `Cruise -&gt; DestinationArea` with many cruises per destination, and `Ticket -&gt; Cruise` / `Ticket -&gt; Guest`; however it also adds an unsupported `Booking -&gt; Guest` link and does not state the "one ticket per cruise per guest" rule explicitly. Model 2 gets some basics right (`Provider "1" -- "0..*" Cruise`, `Guest "0..*" -- "0..*" Cruise`, `TravelAgency "1" -- "0..*" Booking`), but it incorrectly makes `Cruise -- Ship` and `Cruise -- DestinationArea` one-to-one, omits any Cruise-Booking relation, and links `Booking "1" -- "1" Ticket`, which is not what the requirement says.
3. Model attributes with appropriate data types: Model 1 = 5, Model 2 = 4; Evidence: Model 1 uses sensible types throughout, such as `Cruise.number: int`, `startDate/endDate: Date`, `Employee.socialSecurityNumber: String`, `Guest.isVip: boolean`, `Ship.length: double`, `Booking.bookingNumber: int`, and `Show.duration: double`. Model 2 models the same attributes but changes several to broader or less fitting types like `Cruise.number: String`, `Booking.bookingNumber: String`, `Ticket.ticketNumber: String`, and `Show.duration: Integer`, which are still plausible but slightly less aligned with the numeric/date intent in the prompt.
4. Consistencies of Terminology with given context: Model 1 = 5, Model 2 = 5; Evidence: both models consistently use the prompt's core nouns and attribute names, including `Provider`, `Cruise`, `Guest`, `Ship`, `TravelAgency`, `DestinationArea`, `Show`, and `Ticket`, and both keep the main attribute vocabulary recognizable (`location`, `socialSecurityNumber`, `seaName`, `bookingDate`).
5. Adherence of UML class diagram standards: Model 1 = 5, Model 2 = 5; Evidence: both are valid PlantUML class diagrams with proper class declarations and multiplicity-bearing associations. Model 1's paired directional associations and inline comments are still valid UML/PlantUML syntax, and Model 2's quoted multiplicities on undirected associations are also valid and readable.
Total: Model 1 = 24, Model 2 = 22
Choice: A
Reason:
1. Associations/multiplicities: Model 1 captures the cruise-ship and cruise-destination structure correctly, while Model 2 hardcodes one-to-one links for `Ship` and `DestinationArea` and misplaces `Booking` onto `Ticket`, which is a much bigger semantic error.
2. Attributes: Model 1 keeps the attribute typing closer to the prompt's intent overall, while Model 2 introduces more generic string/integer substitutions for number-like fields and duration.
3. Rejected or checked issues: I did not penalize Model 1 for using opposite-direction associations instead of a single bidirectional line, and I did not penalize either model for lowercase primitive aliases such as `int` or `double`, since those are semantically equivalent under the instructions.
4. Overall judgment: Model 1 is not perfect, but it represents the cruise domain more faithfully and with fewer critical relationship errors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</si>
  <si>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</si>
  <si>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and attributes: Model 1 = 5, Model 2 = 5; Evidence: both include the required classes and core attributes: `Provider(name, location)`, `Cruise(number, name, startDate, endDate)`, `Employee(name, socialSecurityNumber)`, `Guest(name, isVIP)`, `Ship(...)`, `TravelAgency(name, address)`, `Booking(bookingNumber, bookingDate)`, `DestinationArea(name, seaName)`, `Show(title, duration)`, and `Ticket(...)`. Model 1 uses `ticketId`, while Model 2 uses `ticketNumber`; that is a naming variant, not a semantic issue.
2. Provider/Cruise/Ship/Destination/Show relationships: Model 1 = 5, Model 2 = 5; Evidence: Model 1 has `Cruise "*" -- "1" Provider : organizedBy`, `Cruise "*" -- "1" Ship : uses`, `Cruise "*" -- "1" DestinationArea : headsFor`, and `Cruise "1" -- "*" Show : offers`. Model 2 has `Provider "1" -- "0..*" Cruise`, `Cruise "1" -- "1" Ship`, `Cruise "1" -- "1" DestinationArea`, and `Cruise "1" -- "0..*" Show`. Both capture the required one-provider, one-ship, one-destination-area, and several-shows-per-cruise structure.
3. Employees and guests participation: Model 1 = 4, Model 2 = 2; Evidence: Model 1 uses `Cruise "*" -- "*" Employee : requires` and `Cruise "*" -- "*" Guest : participates`, which supports many employees and many guests across cruises and matches the guest-can-take-several-cruises requirement. Model 2 uses `Cruise "1" -- "0..*" Employee` and `Cruise "1" -- "0..*" Guest`, then also adds `Guest "0..*" -- "0..*" Cruise`, which creates a contradiction: one association limits each guest to one cruise, while the other says guests can join many cruises.
4. Booking and travel agency/ticket structure: Model 1 = 4, Model 2 = 1; Evidence: Model 1 correctly links `Booking "*" -- "1" TravelAgency : bookedThrough` and `Booking "*" -- "1" Cruise : books`, so the booking is tied to both the agency and the cruise. Model 2 links `TravelAgency "1" -- "0..*" Booking`, but then replaces the required booking-cruise relation with `Booking "1" -- "1" Ticket`, which is not in the requirement and leaves the cruise-booking relationship unmodeled.
5. Overall requirement fidelity and contradictions: Model 1 = 4, Model 2 = 1; Evidence: Model 1 is mostly faithful but adds an unsupported `Booking "*" -- "1" Guest : bookedBy` relation and does not explicitly encode the “only one ticket per cruise” uniqueness constraint. Model 2 has stronger mismatches: the contradictory guest-cruise associations, the missing booking-cruise link, and the extra booking-ticket link all move it further from the requirement.
Total: Model 1 = 22, Model 2 = 14
Choice: A
Reason:
1. Employees and guests participation: Model 1 preserves the required many-to-many cruise/guest structure with `Cruise "*" -- "*" Guest`, while Model 2 directly contradicts the requirement by adding both `Cruise "1" -- "0..*"` and `Guest "0..*" -- "0..*"` for the same pair.
2. Booking and travel agency/ticket structure: Model 1 models booking through a travel agency and booking for a cruise, which is the required business flow. Model 2 omits the booking-cruise association and instead introduces an unsupported booking-ticket association.
3. Rejected or checked issues: I did not use `*` vs `0..*`, `int` vs `Integer`, or visibility markers as negative evidence, because those are equivalent or presentation-only under the scoring rules. I also did not penalize abstractness, since neither requirement nor semantics depend on it.
4. Overall judgment: Both models cover the core classes, but Model 1 aligns better with the stated cruise domain and avoids Model 2’s major contradiction around guest participation and booking structure.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</si>
  <si>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</si>
  <si>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2; Evidence: Model 1 keeps the main domain center on `Cruise` with `organizedBy Provider`, `requires Employee`, `participates Guest`, `uses Ship`, `headsFor DestinationArea`, and `offers Show`, and it gives `Ticket` a single owner through `issuedTo Guest`. Its main weakness is the extra `Booking -- Guest` link, which is not stated in the requirement. Model 2 is less cohesive because it routes booking through `Booking -- Ticket` instead of tying booking to the cruise workflow, and it uses `Guest -- Ticket` as many-to-many, spreading ticket ownership across multiple guests.
2. Complexity: Model 1 = 4, Model 2 = 4; Evidence: both diagrams have the same 10 classes (`Provider`, `Cruise`, `Employee`, `Guest`, `Ship`, `TravelAgency`, `Booking`, `DestinationArea`, `Show`, `Ticket`), no inheritance tree, and no methods. Both also have 11 associations, so their structural complexity is essentially the same.
3. Practicability: Model 1 = 4, Model 2 = 2; Evidence: Model 1 supports a straightforward implementation and test setup with `Booking -- Cruise`, `Booking -- TravelAgency`, `Ticket -- Cruise`, and `Ticket -- Guest`, which matches the booking, cruise, and ticket lifecycle. Model 2 is less practical because `Booking -- Ticket` leaves the booking-to-cruise relationship implicit, and `Guest -- Ticket` as many-to-many contradicts the requirement that a ticket belongs to exactly one guest and that a guest can have many tickets.
Total: Model 1 = 11, Model 2 = 8
Choice: A
Reason:
1. Cohesion and Decoupling: Model 1 is closer to the domain structure, while Model 2 weakens the model by coupling booking to ticket and allowing tickets to be shared by multiple guests.
2. Complexity: The two models are tied on raw structural complexity, so this criterion does not distinguish them.
3. Practicability: Model 1 is easier to reason about, implement, and test because it preserves the cruise-booking-ticket flow more directly and keeps ticket ownership with one guest.
4. Rejected or checked issues: I did not use primitive-type spelling differences or multiplicity literal style differences as negative evidence, per the rules.
5. Overall judgment: Model 1 has fewer semantic contradictions and better supports the stated business process, so it is the stronger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</si>
  <si>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</si>
  <si>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full domain set `Provider`, `Cruise`, `Employee`, `Guest`, `Ship`, `TravelAgency`, `Booking`, `DestinationArea`, `Show`, and `Ticket`, with no obvious irrelevant classes added.
2. Associations/Multiplicities between classes for domain reasoning: Model 1 = 4, Model 2 = 3; Evidence: Model 1 correctly captures `Cruise -- Guest` as many-to-many, `Cruise -- Ship` as many cruises per ship, `Cruise -- DestinationArea`, `Cruise -- Show`, and `Booking -- Cruise` plus `Booking -- TravelAgency`, but it wrongly makes `Provider` one-to-one with `Cruise` and adds an unsupported `Booking -- Guest`; Model 2 gets `Provider "1" -- "0..*" Cruise`, `Cruise -- DestinationArea`, `Cruise -- Show`, `TravelAgency -- Booking`, and `Guest -- Ticket` right, but it misstates `Cruise -- Guest` with a restrictive `1 -- 0..*` plus a duplicate `0..* -- 0..*`, makes `Cruise -- Ship` one-to-one, and ties `Booking` to `Ticket` instead of to `Cruise`.
3. Model attributes with appropriate data types: Model 1 = 4, Model 2 = 4; Evidence: Model 1 models the required attributes with plausible types such as `startDate: Date`, `endDate: Date`, `isVIP: Boolean`, `length: Double`, and `duration: Duration`; Model 2 covers the same attribute set with similarly plausible types like `bookingDate: Date`, `length: Double`, and `numberOfPassengers: Integer`, though `duration: Integer` is less semantically precise than `Duration`.
4. Consistencies of Terminology with given context: Model 1 = 4, Model 2 = 4; Evidence: Model 1 largely mirrors the prompt’s wording with `Provider`, `Cruise`, `TravelAgency`, `DestinationArea`, and `Show`, but uses `passengerCapacity` instead of the prompt’s `number of passengers` and introduces `bookedBy Guest`; Model 2 uses even closer wording in `numberOfPassengers`, but its `Booking`/`Ticket` wiring makes the terminology feel less coherent with the stated cruise-booking context.
5. Adherence of UML class diagram standards: Model 1 = 5, Model 2 = 5; Evidence: both are valid PlantUML class diagrams with standard class blocks and association/multiplicity syntax, and neither has syntax errors that make the diagram unreadable.
Total: Model 1 = 22, Model 2 = 21
Choice: A
Reason:
1. Appropriate classes: both models cover the required domain classes, so neither gains much advantage here.
2. Associations/multiplicities: Model 1 is materially better on the core domain relationships that matter most here, especially `Cruise -- Guest`, `Cruise -- Ship`, and the booking path through `Booking -- Cruise` and `Booking -- TravelAgency`; Model 2 has several critical miswirings, especially around guests, ships, and booking.
3. Rejected or checked issues: I did not penalize either model for using `*` versus `0..*`, lowercase-vs-capitalized primitive type names, or the fact that associations are written in one direction versus the other, because those are semantically equivalent under the rules.
4. Overall judgment: Model 1 is the better diagram because it preserves more of the required cruise-domain structure and avoids several of Model 2’s major relationship errors, even though Model 1 still has some important issues of its own.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</si>
  <si>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</si>
  <si>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provider/cruise facts: Model 1 = 5, Model 2 = 5; Evidence: Model 1 has `Provider { name, location }`, `Cruise { number, name, startDate, endDate }`, and `Cruise "1" -- "1" Provider : organizedBy`. Model 2 has the same core classes and links them with `Cruise --&gt; "1" Provider` / `Provider --&gt; "*" Cruise`, which is semantically equivalent.
2. Employees: Model 1 = 4, Model 2 = 5; Evidence: Model 1 includes `Employee { name, socialSecurityNumber }` and `Cruise "*" -- "*" Employee : requires`. Model 2 has the same class and uses `Cruise --&gt; "1..*" Employee : employs`, which more directly captures that a cruise requires many employees.
3. Guests and participation: Model 1 = 5, Model 2 = 5; Evidence: Model 1 has `Guest { name, isVIP }` and `Cruise "*" -- "*" Guest : participates`. Model 2 has `Guest { name, isVip }` and `Cruise --&gt; "*" Guest : hosts` with `Guest --&gt; "*" Cruise : cruisesAttended`, which captures the many-to-many cruise/guest participation.
4. Ship: Model 1 = 5, Model 2 = 5; Evidence: Model 1 models `Ship { name, numberOfDecks, length, passengerCapacity }` and `Cruise "*" -- "1" Ship : uses`. Model 2 models `Ship { name, numberOfDecks, length, numberOfPassengers }` and `Cruise --&gt; "1" Ship : uses` with `Ship --&gt; "*" Cruise`, which matches the idea that one ship can serve multiple cruises.
5. Booking and travel agency: Model 1 = 4, Model 2 = 4; Evidence: Model 1 has `TravelAgency { name, address }`, `Booking { bookingNumber, bookingDate }`, and `Booking "*" -- "1" TravelAgency : bookedThrough` plus `Booking "*" -- "1" Cruise : books`. Model 2 has the same entities and the same core booking links via `Booking --&gt; "1" Cruise : bookedFor` and `Booking --&gt; "1" TravelAgency : managedBy`; both also add a `Booking`-to-`Guest` link that is not stated in the requirement.
6. Destination area and shows: Model 1 = 5, Model 2 = 3; Evidence: Model 1 has `DestinationArea { name, seaName }`, `Cruise "*" -- "1" DestinationArea : headsFor`, and `Cruise "1" -- "*" Show : offers`, which ties shows to a cruise as required. Model 2 has the same destination area, but it models shows as `Cruise --&gt; "*" Show` and `Show --&gt; "*" Cruise`, making shows reusable across many cruises, which is looser than the requirement’s cruise-specific wording.
7. Tickets: Model 1 = 4, Model 2 = 4; Evidence: Model 1 includes `Ticket { ticketId }` with `Ticket "*" -- "1" Cruise : issuedFor` and `Ticket "*" -- "1" Guest : issuedTo`. Model 2 includes `Ticket { ticketNumber }` with `Ticket --&gt; "1" Cruise : issuedFor` and `Ticket --&gt; "1" Guest : ownedBy`. Both capture tickets per cruise and per guest, but neither encodes the stronger constraint that a guest may have only one ticket per cruise.
8. Overall semantic fidelity: Model 1 = 4, Model 2 = 4; Evidence: Both diagrams cover the major required entities and most required relationships, and both also add the unsupported `Booking`-to-`Guest` association. Model 1 stays slightly tighter on the show relation, while Model 2 compensates with a better employee multiplicity, so this criterion is effectively even.
Total: Model 1 = 36, Model 2 = 35
Choice: A
Reason:
1. Core coverage is essentially tied: both models include the required provider, cruise, guest, ship, travel agency, booking, destination area, show, and ticket classes with the key attributes.
2. Model 2 is a bit better on employees because `1..*` matches “requires many employees” more explicitly than Model 1’s `* -- *`.
3. Model 1 is better on shows because it keeps the relation cruise-centered with `Cruise "1" -- "*" Show`, while Model 2 broadens it into a many-to-many reusable show model that is not stated in the requirement.
4. Rejected or checked issues: I did not score opposite-direction associations against either model, because they are semantically equivalent here. I also did not penalize primitive type aliases like `boolean` vs `Boolean` or `int` vs `Integer`. Both models still miss the ticket-per-cruise uniqueness constraint and both introduce an unsupported booking-to-guest link.
5. Overall judgment: Model 1 is the better fit because it is closer to the required cruise/show semantics and otherwise matches the domain as well as Model 2, with no compensating advantage in Model 2 large enough to outweigh that mismatch.</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</si>
  <si>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</si>
  <si>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models the core cruise-centered structure, but `Cruise "1" -- "1" Provider` incorrectly forces each provider to exactly one cruise, and `Cruise "*" -- "*" Employee` leaves the “requires many employees” constraint too loose. Model 2 expresses the same domain more cleanly with `Cruise --&gt; "1" Provider` plus `Provider --&gt; "*" Cruise`, and `Cruise --&gt; "1..*" Employee` plus `Employee --&gt; "*" Cruise`, which matches the stated ownership and staffing relationships better.
2. Complexity: Model 1 = 4, Model 2 = 4; Evidence: both diagrams use the same 10 classes (`Provider`, `Cruise`, `Employee`, `Guest`, `Ship`, `TravelAgency`, `Booking`, `DestinationArea`, `Show`, `Ticket`) and no inheritance tree or methods. Model 1 presents each relation once, while Model 2 presents the same domain relations with explicit reverse links, but the underlying conceptual complexity is effectively the same.
3. Practicability: Model 1 = 3, Model 2 = 4; Evidence: Model 2 is more practical for implementation and testing because it captures the mandatory provider and employee constraints more faithfully, with `Cruise --&gt; "1" Provider` / `Provider --&gt; "*" Cruise` and `Cruise --&gt; "1..*" Employee`. Model 1 is easier to scan, but its `1..1` provider relation and zero-or-more employee relation would mislead real validation logic. Both diagrams still leave the “one ticket per cruise per guest” constraint implicit, but Model 2 is overall more usable.
Total: Model 1 = 10, Model 2 = 12
Choice: B
Reason:
1. Cohesion and Decoupling: Model 2 better matches the domain structure because it correctly allows one provider to organize many cruises and a cruise to require multiple employees, while Model 1 hard-codes a one-to-one provider relationship and weakens the staffing constraint.
2. Complexity: The two models are effectively tied on the requested complexity metrics because they have the same class set and no inheritance. Model 2 is not penalized for using opposite-direction associations because those are semantically equivalent per the instructions.
3. Rejected or checked issues: I did not use primitive type spellings (`int`, `double`, `boolean`, `Duration`) as negative evidence, and I did not penalize association direction/style differences. The one-ticket-per-cruise-per-guest rule is not fully expressible in either diagram, so it was treated as a shared limitation rather than a differentiator.
4. Overall judgment: Model 2 is better because it captures the most important hard constraints more faithfully, especially provider cardinality and the minimum employee count, which matter more for a real cruise-booking design than the slightly simpler presentation of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</si>
  <si>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</si>
  <si>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include the full domain set (`Provider`, `Cruise`, `Employee`, `Guest`, `Ship`, `TravelAgency`, `Booking`, `DestinationArea`, `Show`, `Ticket`) and no clearly irrelevant extra classes.
2. Associations/Multiplicities between classes for domain reasoning: Model 1 = 3, Model 2 = 4; Evidence: Model 1 uses `Cruise "1" -- "1" Provider`, which misses the provider-to-many-cruises relationship, while Model 2 uses `Cruise --&gt; "1" Provider` and `Provider --&gt; "*" Cruise`, plus `Cruise --&gt; "1..*" Employee`, `Cruise --&gt; "1" Ship`, and `Cruise --&gt; "1" DestinationArea`. Both models still omit the "one ticket per cruise per guest" constraint and both add an unsupported `Booking`-`Guest` link.
3. Model attributes with appropriate data types: Model 1 = 4, Model 2 = 4; Evidence: Model 1 has strong typing for `Show.duration : Duration`, `Guest.isVIP : Boolean`, and date fields, but uses `Cruise.number : String` and `Booking.bookingNumber : String`. Model 2 uses natural numeric types like `Cruise.number : int`, `Booking.bookingNumber : int`, and `Ship.numberOfPassengers : int`, but weakens `Show.duration : double`.
4. Consistencies of Terminology with given context: Model 1 = 4, Model 2 = 3; Evidence: Model 1 stays close to the prompt with `organizedBy`, `requires`, `participates`, `bookedThrough`, `headsFor`, `offers`, `issuedFor`, and `issuedTo`. Model 2 uses more invented wording such as `managedBy`, `hosts`, `ownedBy`, `cruisesAttended`, and `cruisesServed`, which are understandable but less faithful to the given wording.
5. Adherence of UML class diagram standards: Model 1 = 5, Model 2 = 5; Evidence: both are valid PlantUML class diagrams with standard class declarations, associations, and multiplicities; Model 2’s paired opposite-direction links are still semantically valid.
Total: Model 1 = 21, Model 2 = 21
Choice: C
Reason:
1. Associations/Multiplicities: Model 2 is stronger on the provider and employee cardinalities, while Model 1 gets the main structure right but incorrectly fixes `Provider` to `1` per cruise.
2. Terminology: Model 1 is closer to the requirement language; Model 2 is more abstract/invented in several links.
3. Rejected or checked issues: I did not use the bidirectional association style in Model 2 as a penalty, and I ignored primitive-type aliases/comments per the instructions.
4. Overall judgment: the models trade strengths and weaknesses, and the net quality difference is small enough to call it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</si>
  <si>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</si>
  <si>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provider/cruise model: Model 1 = 5, Model 2 = 5; Evidence: Model 1 has `Provider(name, location)` and `Cruise(number, name, startDate, endDate)` with `Provider "1" -- "0..*" Cruise`, which matches a specific provider organizing cruises. Model 2 has the same core classes and attributes, with `Cruise --&gt; "1" Provider` and `Provider --&gt; "*" Cruise`, which is semantically equivalent.
2. Employees and guests on a cruise: Model 1 = 4, Model 2 = 5; Evidence: Model 1 uses `Cruise "1" -- "0..*" Employee`, `Cruise "1" -- "0..*" Guest`, and `Guest "0..*" -- "0..*" Cruise`, which covers employee and guest participation but allows a cruise to have zero employees. Model 2 uses `Cruise --&gt; "1..*" Employee`, `Cruise --&gt; "*" Guest`, and `Guest --&gt; "*" Cruise`, which better matches “a cruise requires many employees” and “several guests take part.”
3. Ship, destination area, and show model: Model 1 = 2, Model 2 = 4; Evidence: Model 1 defines `Ship(name, numberOfDecks, length, numberOfPassengers)` and `DestinationArea(name, seaName)`, but `Cruise "1" -- "1" Ship` and `Cruise "1" -- "1" DestinationArea` wrongly imply a ship and destination area are tied to only one cruise. Model 2 defines the same classes and uses `Ship --&gt; "*" Cruise` and `DestinationArea --&gt; "*" Cruise`, which correctly allows reuse across cruises; it also includes `Cruise --&gt; "*" Show` and `Show --&gt; "*" Cruise`, which is looser than the requirement but still captures show offering on cruises.
4. Booking and travel agency: Model 1 = 3, Model 2 = 4; Evidence: Model 1 includes `TravelAgency(name, address)` and `Booking(bookingNumber, bookingDate)` with `TravelAgency "1" -- "0..*" Booking`, but it incorrectly links `Booking "1" -- "1" Ticket` instead of linking booking to a cruise. Model 2 includes `Booking --&gt; "1" Cruise` and `Booking --&gt; "1" TravelAgency`, which captures the essential booking-to-cruise and booking-to-agency structure, but it also adds unsupported `Booking --&gt; "1" Guest`, which is not stated in the requirement.
5. Ticket semantics and per-cruise uniqueness: Model 1 = 2, Model 2 = 4; Evidence: Model 1 has `Cruise "1" -- "0..*" Ticket` and `Guest "0..*" -- "0..*" Ticket`, but this does not express that a ticket belongs to exactly one cruise and still permits a guest to hold multiple tickets for the same cruise; it also attaches `Booking "1" -- "1" Ticket`, which is not required. Model 2 has `Ticket --&gt; "1" Cruise` and `Ticket --&gt; "1" Guest` with `Guest --&gt; "*" Ticket`, which is much closer to “one cruise per ticket” and “any number of tickets per guest,” although it still does not fully encode the “only one ticket per cruise” uniqueness constraint.
Total: Model 1 = 16, Model 2 = 22
Choice: B
Reason:
1. Ship/destination correctness: Model 2 is materially better because it allows one ship and one destination area to be reused across multiple cruises, matching the requirement; Model 1 incorrectly constrains both with `Cruise "1" -- "1" Ship` and `Cruise "1" -- "1" DestinationArea`.
2. Booking and ticket structure: Model 2 captures `Booking` tied to both `Cruise` and `TravelAgency`, which is closer to the stated booking requirement than Model 1’s `Booking -- Ticket` link. Model 2 also models ticket ownership by cruise and guest more directly.
3. Rejected or checked issues: I did not use opposite-direction association pairs as a negative factor, because they are semantically equivalent to a single bidirectional association under the stated rules. I also did not penalize primitive type spelling differences such as `int` vs `Integer` or `boolean` vs `Boolean`.
4. Overall judgment: Model 2 better matches the domain semantics across the harder parts of the requirement, especially ship reuse, destination reuse, and ticket ownership. Model 1 is cleaner in some places, but it misses or misstates more of the required business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</si>
  <si>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</si>
  <si>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puts booking on the wrong structural path with `Booking "1" -- "1" Ticket` and no direct `Booking`-`Cruise` relation, so the booking concern is split awkwardly between `TravelAgency`, `Booking`, and `Ticket`. Model 2 keeps the booking concern localized with `Booking --&gt; "1" Cruise`, `Booking --&gt; "1" TravelAgency`, and `Booking --&gt; "1" Guest`, while `Ticket` is separately linked to `Cruise` and `Guest`. The extra reverse arrows in Model 2 are semantically equivalent and are not counted as a penalty.
2. Complexity: Model 1 = 4, Model 2 = 4; Evidence: both diagrams use the same 10 conceptual classes (`Provider`, `Cruise`, `Employee`, `Guest`, `Ship`, `TravelAgency`, `Booking`, `DestinationArea`, `Show`, `Ticket`) and no inheritance tree or methods. Model 2 spells relations in both directions, but that is just an equivalent encoding of the same domain links, not a real increase in conceptual complexity.
3. Practicability: Model 1 = 2, Model 2 = 4; Evidence: Model 1 is harder to implement and test cleanly because its booking structure is incomplete for the requirement that a cruise is booked through a travel agency; `Booking` is tied to `Ticket` instead of to `Cruise`, so the booking workflow is not represented in a practical way. Model 2 is more operational: `Cruise` is linked to `Provider`, `Ship`, `DestinationArea`, `Show`, `Employee`, and `Guest`, while `Booking` is linked to `Cruise` and `TravelAgency`, and `Ticket` is linked to `Cruise` and `Guest`. Both still miss the “only one ticket per cruise per guest” constraint, but Model 2 is much more usable overall.
Total: Model 1 = 8, Model 2 = 12
Choice: B
Reason:
1. Cohesion and Decoupling: Model 2 aligns each concern with the right class boundaries, especially for booking and ticketing, while Model 1 misplaces booking semantics onto `Ticket`.
2. Complexity: The models are similar in raw conceptual size, but Model 2 does not add meaningful domain complexity beyond equivalent reverse associations.
3. Practicability: Model 2 is materially closer to an implementable cruise-booking design; Model 1 leaves the central booking flow under-specified and structurally awkward.
4. Rejected or checked issues: I did not penalize Model 2 for using opposite-direction associations instead of a single bidirectional line, and I did not use primitive-type spelling differences such as `int` vs `Integer` or `boolean` vs `Boolean` in scoring.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</si>
  <si>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</si>
  <si>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required domain classes: `Provider`, `Cruise`, `Employee`, `Guest`, `Ship`, `TravelAgency`, `Booking`, `DestinationArea`, `Show`, and `Ticket`. Model 2 includes the same full set of classes with the same domain coverage.
2. Associations/Multiplicities between classes for domain reasoning: Model 1 = 3, Model 2 = 4; Evidence: Model 1 gets several core links right, such as `Provider "1" -- "0..*" Cruise`, `Cruise "1" -- "0..*" Guest`, `Cruise "1" -- "0..*" Show`, and `Cruise "1" -- "1" DestinationArea`, but it mis-models key relationships with `Cruise "1" -- "1" Ship` even though a ship can serve different cruises, and `Booking "1" -- "1" Ticket` instead of linking booking to cruise and travel agency. Model 2 correctly models `Cruise -- Ship` with a many-cruises-per-ship pattern, and it includes `Booking --&gt; "1" Cruise` plus `Booking --&gt; "1" TravelAgency`, which matches the booking part of the requirement better, but it adds an unsupported `Booking --&gt; "1" Guest` association and makes some relationships broader than the text states.
3. Model attributes with appropriate data types: Model 1 = 5, Model 2 = 5; Evidence: Model 1 models the required attributes with plausible types, including `Provider.name`, `Provider.location`, `Cruise.number`, `Cruise.startDate`, `Cruise.endDate`, `Employee.socialSecurityNumber`, `Guest.isVIP`, `Ship.numberOfDecks`, `Ship.length`, `Ship.numberOfPassengers`, `Booking.bookingNumber`, `Booking.bookingDate`, `DestinationArea.seaName`, and `Show.duration`. Model 2 covers the same attribute set with similarly appropriate types, such as `number: int`, `isVip: boolean`, `length: double`, and `bookingDate: Date`.
4. Consistencies of Terminology with given context: Model 1 = 4, Model 2 = 4; Evidence: Model 1 largely stays aligned with the domain vocabulary using `Provider`, `Cruise`, `Guest`, `Ship`, `TravelAgency`, `DestinationArea`, and `Show`, and `isVIP` closely matches the requirement’s VIP wording. Model 2 also uses the same core terminology, with minor variation like `isVip`, and its association names such as `organizedBy`, `headsFor`, and `offers` are context-appropriate, although the extra `bookedBy`-to-`Guest` relation introduces terminology not supported by the prompt.
5. Adherence of UML class diagram standards: Model 1 = 5, Model 2 = 5; Evidence: Both diagrams are valid PlantUML class diagrams with proper class declarations and association syntax, and both express multiplicities in standard UML form. Model 1 is cleanly structured with straightforward associations; Model 2 is also syntactically valid despite using paired opposite-direction associations and inline comments, which are acceptable UML/PlantUML usage.
Total: Model 1 = 22, Model 2 = 23
Choice: B
Reason:
1. Associations/Multiplicities: Model 2 is stronger because it correctly captures the ship sharing idea with `Ship --&gt; "*" Cruise` and links booking to both cruise and travel agency, while Model 1 wrongly binds a cruise to exactly one ship and ties `Booking` to `Ticket` instead of the booking context.
2. Concept classes and attributes: Both models cover the full domain class set and required attributes well, so they are effectively tied there.
3. Rejected or checked issues: I did not penalize Model 2 for using opposite-direction associations, because they are semantically equivalent, and I did not penalize lowercase primitive types like `int` or `boolean`.
4. Overall judgment: Model 2 is better because its domain relationships are closer to the requirement, especially for ship reuse and the booking structure, even though it adds one unsupported guest-booking link.</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</si>
  <si>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</si>
  <si>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attributes: Model 1 = 5, Model 2 = 5; Evidence: both include the required core classes and fields such as `Provider(name, location)`, `Cruise(number, name, startDate, endDate)`, `Employee(name, socialSecurityNumber)`, `Guest(name, isVIP)`, `Ship(...)`, `TravelAgency(name, address)`, `Booking(bookingNumber, bookingDate)`, `DestinationArea(name, seaName)`, `Show(title, duration)`, and `Ticket`.
2. Provider/ship/destination/show structure: Model 1 = 2, Model 2 = 5; Evidence: Model 1 has `Provider "1" -- "0..*" Cruise`, `Cruise "1" -- "1" Ship`, `Cruise "1" -- "1" DestinationArea`, and `Cruise "1" -- "0..*" Show`, but `Cruise "1" -- "1" Ship` prevents a ship from being used for different cruises. Model 2 has `Cruise "1" -- "1" Provider : organizedBy`, `Cruise "*" -- "1" Ship : uses`, `Cruise "*" -- "1" DestinationArea : headsFor`, and `Cruise "1" -- "*" Show : offers`, which matches cruise/provider, reusable ship, destination area, and shows more faithfully.
3. Employees and guests: Model 1 = 2, Model 2 = 5; Evidence: Model 1 uses `Cruise "1" -- "0..*" Employee`, which makes each employee tied to only one cruise, and it also has both `Cruise "1" -- "0..*" Guest` and `Guest "0..*" -- "0..*" Cruise`, which is internally inconsistent for guest participation. Model 2 uses `Cruise "*" -- "*" Employee : requires` and `Cruise "*" -- "*" Guest : participates`, which directly matches many employees and many guests across cruises.
4. Booking and travel agency: Model 1 = 1, Model 2 = 4; Evidence: Model 1 has `TravelAgency "1" -- "0..*" Booking`, but `Booking "1" -- "1" Ticket` instead of linking booking to cruise, so the cruise booking requirement is not represented. Model 2 has `Booking "*" -- "1" TravelAgency : bookedThrough` and `Booking "*" -- "1" Cruise : books`, which captures the booking-through-agency and booking-to-cruise relationship; its extra `Booking "*" -- "1" Guest : bookedBy` is an added assumption, but it still covers the required booking structure much better.
5. Tickets and per-cruise guest ticket rule: Model 1 = 1, Model 2 = 4; Evidence: Model 1 uses `Cruise "1" -- "0..*" Ticket`, `Booking "1" -- "1" Ticket`, and `Guest "0..*" -- "0..*" Ticket`, which disperses ticket semantics and does not clearly express that each ticket belongs to exactly one cruise and that a guest can have many tickets but only one per cruise. Model 2 uses `Ticket "*" -- "1" Cruise : issuedFor` and `Ticket "*" -- "1" Guest : issuedTo`, which is closer to the requirement, though it still does not explicitly encode the “only one ticket per cruise per guest” constraint.
Total: Model 1 = 11, Model 2 = 23
Choice: B
Reason:
1. Core entities and attributes: both cover the named classes and attributes, so this is a tie.
2. Provider/ship/destination/show structure: Model 2 is better because it allows a ship to be reused across cruises, while Model 1’s `Cruise "1" -- "1" Ship` blocks that requirement.
3. Employees and guests: Model 2 is better because it models both as many-to-many across cruises, while Model 1 introduces a contradictory guest relationship and overly restricts employees to one cruise.
4. Booking and travel agency: Model 2 is better because it directly connects booking to cruise and travel agency; Model 1 incorrectly routes booking through ticket instead of cruise.
5. Rejected or checked issues: I did not penalize equivalent notation choices such as `*` vs `0..*`, primitive type aliases, or association direction/style. The main reasons for preferring Model 2 are semantic: ship reuse, guest participation, booking linkage, and ticket ownership are modeled more faithfully.
6. Overall judgment: Model 2 is the closer match to the requirement despite a few extra assumptions, while Model 1 has several structural mismatches that matter more than any minor extras.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</si>
  <si>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</si>
  <si>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couples `Booking` directly to `Ticket` and also gives both `Cruise "1" -- "0..*" Guest` and `Guest "0..*" -- "0..*" Cruise`, which blurs responsibilities and creates competing interpretations. Model 2 separates concerns more cleanly with `Booking "*" -- "1" TravelAgency`, `Booking "*" -- "1" Cruise`, `Ticket "*" -- "1" Cruise`, and `Ticket "*" -- "1" Guest`, while also modeling reusable `Ship` and `DestinationArea` links as `Cruise "*" -- "1" Ship` and `Cruise "*" -- "1" DestinationArea`.
2. Complexity: Model 1 = 3, Model 2 = 4; Evidence: both diagrams use 10 classes and no inheritance, but Model 1 adds duplicate or contradictory domain paths (`Cruise`-`Guest` twice, plus one-to-one `Cruise`-`Ship` and `Cruise`-`DestinationArea` links that conflict with reuse), making the model harder to reason about. Model 2 keeps the same class count but uses a single association per concept and clearer named relations (`organizedBy`, `headsFor`, `issuedFor`), which lowers conceptual overhead.
3. Practicability: Model 1 = 2, Model 2 = 4; Evidence: Model 2 is closer to an implementable domain model because it supports the cruise flow end-to-end and matches reuse constraints for ships and destinations; Model 1 leaves booking anchored to `Ticket` rather than the cruise/agency path and incorrectly implies a ship and destination area belong to only one cruise. Both still miss the explicit “only one ticket per cruise per guest” constraint, but Model 2 is materially more testable and maintainable.
Total: Model 1 = 7, Model 2 = 12
Choice: B
Reason:
1. Cohesion and Decoupling: Model 2 keeps booking, ticketing, and cruise relationships in separate links, while Model 1 mixes them through `Booking -- Ticket` and duplicate guest/cruise associations.
2. Complexity: Both have the same basic size, but Model 1’s contradictory or over-tight associations add interpretive burden; Model 2 stays structurally simpler and more coherent.
3. Practicability: Model 2 is easier to implement and test because it better matches the stated reuse of ships and destination areas and gives each major domain concept a clearer role.
4. Rejected or checked issues: I did not score based on association line direction, `*` versus `0..*`, or primitive-type spelling differences, because those are explicitly equivalent under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</si>
  <si>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</si>
  <si>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full domain set `Provider`, `Cruise`, `Employee`, `Guest`, `Ship`, `TravelAgency`, `Booking`, `DestinationArea`, `Show`, and `Ticket`, and both keep the core cruise-domain concepts recognizable.
2. Associations/Multiplicities between classes for domain reasoning: Model 1 = 3, Model 2 = 4; Evidence: Model 1 gets some key links right (`Provider "1" -- "0..*" Cruise`, `Cruise "1" -- "0..*" Guest`, `Cruise "1" -- "0..*" Ticket`, `TravelAgency "1" -- "0..*" Booking`) but incorrectly locks `Cruise "1" -- "1" Ship` and `Cruise "1" -- "1" DestinationArea`, and connects `Booking "1" -- "1" Ticket` instead of booking to cruise/agency. Model 2 better captures the booking and ticket flow with `Booking "*" -- "1" TravelAgency`, `Booking "*" -- "1" Cruise`, `Ticket "*" -- "1" Cruise`, and `Ticket "*" -- "1" Guest`, but it still under-models the provider relation with `Cruise "1" -- "1" Provider` and does not encode the one-ticket-per-cruise constraint.
3. Model attributes with appropriate data types: Model 1 = 4, Model 2 = 5; Evidence: Model 1 includes the required attributes with sensible types such as `Provider.name/location`, `Cruise.number/name/startDate/endDate`, `Employee.socialSecurityNumber`, `Guest.isVIP`, and `Ship.numberOfPassengers`, but `Show.duration : Integer` is a weak type choice and `Ticket.ticketNumber` is extra. Model 2 also covers the required attributes and improves `Show.duration : Duration`, while keeping the rest of the attribute set aligned with the requirement.
4. Consistencies of Terminology with given context: Model 1 = 5, Model 2 = 4; Evidence: Model 1 uses the source wording very closely, including `numberOfPassengers`, `socialSecurityNumber`, `DestinationArea`, `TravelAgency`, and `bookingDate`. Model 2 is still mostly consistent, but it changes some terminology to `passengerCapacity` and `ticketId`, which is slightly less faithful to the prompt wording.
5. Adherence of UML class diagram standards: Model 1 = 5, Model 2 = 5; Evidence: both diagrams are valid PlantUML class diagrams with standard class blocks, attributes, and association multiplicities, and neither has syntax or notation problems that make the diagrams hard to interpret.
Total: Model 1 = 22, Model 2 = 23
Choice: B
Reason:
1. Associations/multiplicities: Model 2 is materially better because it models the booking chain and ticket ownership more directly (`Booking` to `TravelAgency`/`Cruise`, `Ticket` to `Cruise`/`Guest`), while Model 1 misplaces booking onto `Ticket` and incorrectly makes `Ship` and `DestinationArea` one-to-one with `Cruise`.
2. Attributes: Model 2 is stronger mainly because `Show.duration : Duration` is a more appropriate domain type than Model 1's `Integer`.
3. Rejected or checked issues: I did not penalize either model for using opposite-direction association forms, common primitive aliases, or not marking abstract classes, because those are explicitly non-negative under the rubric.
4. Overall judgment: Model 1 is slightly better on exact terminology, but Model 2 is better on the core domain relationships, which matter more for a UML class diagram in this requirement.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</si>
  <si>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</si>
  <si>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</si>
  <si>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</si>
  <si>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required domain concepts `House`, `SemiDetachedHouse`, `Basement`, `EarthBasement`, `ConcreteBasement`, `Carport`, `Garage`, `Company`, and `Job`, but adds extra structural classes `ParkingFacility`, `CarportParking`, and `GarageParking` that are not named in the requirement. Model 2 includes the same core concepts with `House`, `SemiDetachedHouse`, `Basement`, `EarthBasement`, `ConcreteBasement`, `Carport`, `Garage`, `Company`, and `JobLog`, and stays closer to the named entities, though it still does not introduce a dedicated concept for the either-or parking choice.
2. Associations/Multiplicities between classes for domain reasoning: Model 1 = 4, Model 2 = 3; Evidence: Model 1 models `House *-- "0..1" Basement`, `SemiDetachedHouse *-- "1" ParkingFacility`, `CarportParking *-- "2" Carport`, `GarageParking *-- "1" Garage`, and `Job --&gt; "1" House` / `Job --&gt; "1" Company`, which captures the required basement optionality, the notion that a semi-detached house has one parking arrangement, and the job-log linkage between company and house. Model 2 models `House "1" -- "0..1" Basement`, `SemiDetachedHouse "1" -- "0..2" Carport`, `SemiDetachedHouse "1" -- "0..1" Garage`, `House "1" -- "*" JobLog`, `Company "1" -- "*" JobLog`, and `House "*" -- "*" Company`; this is closer on the job-log idea, but it weakens the parking requirement by allowing both carports and a garage independently rather than expressing the required either-or structure.
3. Model attributes with appropriate data types: Model 1 = 4, Model 2 = 4; Evidence: Model 1 stores `address: String`, `buildingMaterial: BuildingMaterial`, `name: String`, `size: double`, `humidityLevel: double`, `hasGarden: boolean`, `windowCount: int`, `isDouble: boolean`, `hasFlatRoof: boolean`, `hasAutomaticDoor: boolean`, `hours: int`, and `agreedPrice: double`, which broadly fits the required attributes. Model 2 stores the corresponding fields as `address: String`, `buildingMaterial: BuildingMaterial`, `size: float`, `name: String`, `humidityLevel: float`, `hasOwnGarden: boolean`, `numberOfWindows: int`, `isDouble: boolean`, `hasFlatRoof: boolean`, `hasAutomaticDoor: boolean`, `hours: float`, and `price: float`, which are also broadly appropriate; the main difference is wording rather than semantic correctness.
4. Consistencies of Terminology with given context: Model 1 = 4, Model 2 = 5; Evidence: Model 1 uses clear domain terms like `House`, `SemiDetachedHouse`, `EarthBasement`, `ConcreteBasement`, `Company`, and `Job`, but its `ParkingFacility`, `CarportParking`, and `GarageParking` naming is less directly aligned with the prompt. Model 2 follows the prompt more closely with `JobLog`, `hasOwnGarden`, `numberOfWindows`, `ResearchInstitution`-style direct naming is not relevant here, and its terminology overall tracks the requirement more naturally.
5. Adherence of UML class diagram standards: Model 1 = 4, Model 2 = 4; Evidence: Model 1 is a valid PlantUML class diagram with classes, inheritance, composition, and associations, and its structure is readable even with extra intermediate parking classes. Model 2 is also syntactically valid PlantUML with classes, inheritance, associations, and a note, but the note is extra explanatory text rather than core UML class semantics, and the multiplicities do not fully encode the exclusive parking alternative.
Total: Model 1 = 20, Model 2 = 20
Choice: A
Reason:
1. Associations and multiplicities: Model 1 is stronger on the key parking requirement because it models a single `ParkingFacility` attached to `SemiDetachedHouse` and then specializes into either `CarportParking` with `2` carports or `GarageParking` with `1` garage. Model 2 instead lets `SemiDetachedHouse` connect separately to `0..2` `Carport` and `0..1` `Garage`, which is a looser structure and does not express the intended either-or constraint as well.
2. Conceptual classes: both models cover the core house-domain concepts, but Model 1’s extra parking abstraction is a defensible structural refinement, while Model 2’s structure is more direct but also less faithful to the exclusive choice in the requirement.
3. Rejected or checked issues: I did not use `float` versus `double`, `*` versus `0..*`, or the absence/presence of `abstract` as negative evidence, since those are either equivalent or optional under the rules.
4. Overall judgment: the quality difference is small, but Model 1 is better on the most important domain-specific structural point here, the semi-detached house parking arrangement, so I’m switching to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</si>
  <si>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</si>
  <si>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splits parking into `ParkingFacility`, `CarportParking`, and `GarageParking`, and also adds a separate `Job` class with `jobDate` plus `performedAt/performedBy` links, which makes the responsibility boundaries less clean. Model 2 keeps the transactional part in `JobLog` with only `hours` and `price`, and connects `SemiDetachedHouse` directly to `Carport` and `Garage`; the weaker point is the broad `House "*" -- "*" Company` association and the split parking constraint, but its class responsibilities are still more direct.
2. Complexity: Model 1 = 2, Model 2 = 4; Evidence: Model 1 has more classes and a deeper inheritance structure, including `ParkingFacility` with two subclasses and two more parking-related concrete classes, plus `Job` with an extra `jobDate`. Model 2 uses fewer classes overall, with only the `Basement` inheritance tree and direct `Carport` / `Garage` classes, so it is materially less complex than required.
3. Practicability: Model 1 = 3, Model 2 = 4; Evidence: Model 1 is understandable, but the parking model is harder to implement and test because of the extra `ParkingFacility` layer and the `Job` entity carrying an unrequested `jobDate`. Model 2 is easier to read and test because `JobLog` directly captures the recorded hours and price, and the semi-detached-house-specific features are modeled with fewer moving parts; however, its `SemiDetachedHouse "1" -- "0..2" Carport` and `"0..1" Garage` associations do not fully enforce the required either-or rule.
Total: Model 1 = 8, Model 2 = 12
Choice: B
Reason:
1. Cohesion and Decoupling: Model 2 is cleaner because `JobLog` directly represents the logged work and the house parking features are attached without the extra `ParkingFacility` wrapper classes that Model 1 introduces. Model 1 is still serviceable, but its parking abstraction and separate `Job` class make the structure less focused.
2. Complexity: Model 2 is substantially simpler. Model 1 adds `ParkingFacility`, `CarportParking`, `GarageParking`, and an extra `jobDate` field, which increases class count and inheritance depth beyond what the requirement needs.
3. Practicability: Model 2 is easier to understand and use in implementation and tests, even though its parking multiplicities are too permissive. Model 1 is more explicit about the job relationship, but the extra abstraction layers make it less practical overall.
4. Rejected or checked issues: I did not use `int` vs `Integer`, `float` vs `double`, or abstract-vs-concrete superclass marking as negative evidence. I also did not penalize either model for association direction or PlantUML comments.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</si>
  <si>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</si>
  <si>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entities `House`, `SemiDetachedHouse`, `Basement`, `EarthBasement`, `ConcreteBasement`, `Carport`, `Garage`, `Company`, and `BuildingMaterial`, but also adds `ParkingFacility`, `CarportParking`, `GarageParking`, and `Job` instead of the requested `JobLog`. Model 2 includes the same core domain classes plus `JobLog`, and its class set is closer to the requirement.
2. Associations/Multiplicities between classes for domain reasoning: Model 1 = 3, Model 2 = 4; Evidence: Model 1 uses `House *-- "0..1" Basement`, `SemiDetachedHouse *-- "1" ParkingFacility`, `CarportParking *-- "2" Carport`, `GarageParking *-- "1" Garage`, and `Job --&gt; "1" House` / `Job --&gt; "1" Company`, which captures some structure but hides the required either-two-carports-or-one-garage choice behind an extra abstraction. Model 2 uses `House "1" -- "0..1" Basement`, `SemiDetachedHouse "1" -- "0..2" Carport`, `SemiDetachedHouse "1" -- "0..1" Garage`, `House "1" -- "*" JobLog`, and `Company "1" -- "*" JobLog`, which models job logs more directly, though the carport/garage multiplicities are still too permissive and do not fully enforce the exclusive choice.
3. Model attributes with appropriate data types: Model 1 = 5, Model 2 = 5; Evidence: Model 1 stores `address: String`, `buildingMaterial: BuildingMaterial`, `name: String`, `size: double`, `humidityLevel: double`, `hasGarden: boolean`, `windowCount: int`, `isDouble: boolean`, `hasFlatRoof: boolean`, `hasAutomaticDoor: boolean`, `hours: int`, and `agreedPrice: double`. Model 2 stores the analogous attributes with `float`/`int`/`boolean` types, including `hours: float` and `price: float` in `JobLog`. Both are appropriate for the requirement.
4. Consistencies of Terminology with given context: Model 1 = 3, Model 2 = 5; Evidence: Model 1 substitutes `ParkingFacility`, `CarportParking`, `GarageParking`, and `Job`, which are not the terms used in the requirement. Model 2 uses `Carport`, `Garage`, `JobLog`, `SemiDetachedHouse`, and `Company`, which match the domain language much more closely.
5. Adherence of UML class diagram standards: Model 1 = 5, Model 2 = 5; Evidence: both are valid PlantUML class diagrams with classes, inheritance (`House &lt;|-- SemiDetachedHouse`, `Basement &lt;|-- EarthBasement`), associations, and multiplicities. Model 2’s `note right of SemiDetachedHouse` is valid PlantUML, and Model 1’s comment syntax is also valid. No blocking syntax issues are present.
Total: Model 1 = 20, Model 2 = 24
Choice: B
Reason:
1. Appropriate conceptual classes: Model 2 is closer to the requirement because it names the job concept as `JobLog` and keeps the domain classes aligned, while Model 1 introduces extra abstractions like `ParkingFacility`, `CarportParking`, and `GarageParking` that are not part of the stated domain.
2. Associations/Multiplicities: Model 2 is stronger because it models `House` to `JobLog` and `Company` to `JobLog` directly, which fits the “company carries out a job in a house” requirement better than Model 1’s `Job --&gt; House/Company` setup. Model 1 is a bit closer on the parking requirement in structure, but both are imperfect there.
3. Rejected or checked issues: I did not use Model 2’s note about “either exactly two Carports or exactly one Garage” as satisfying the multiplicity requirement, because notes are ignored for scoring. I also did not penalize either model for common primitive type aliases like `int` or `float`, since those are acceptable under the rules.
4. Overall judgment: Model 2 better matches the domain vocabulary and the job-log part of the specification, and its weaknesses are narrower than Model 1’s extra, non-required parking abstraction.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</si>
  <si>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</si>
  <si>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House core data and material constraint: Model 1 = 5, Model 2 = 3; Evidence: Model 1 has `House { address: String; buildingMaterial: BuildingMaterial }` plus `enum BuildingMaterial { WOOD, BRICK, CONCRETE }`, which matches the required fixed set. Model 2 has `House { +address: String; +buildingMaterial: String }`, which stores the field but does not constrain it to the required three materials.
2. Basement presence, attributes, and subtype structure: Model 1 = 5, Model 2 = 3; Evidence: Model 1 has `House *-- "0..1" Basement : basement`, `Basement { name: String; size: double }`, and the two required subtypes `EarthBasement { humidityLevel: double }` and `ConcreteBasement {}`. Model 2 has `House o-- Basement`, `Basement { +size: String; +name: String }`, and the same two subtypes, but the missing multiplicity makes the basement look mandatory rather than optional.
3. Semi-detached house specialization and parking alternative: Model 1 = 5, Model 2 = 1; Evidence: Model 1 specializes `House &lt;|-- SemiDetachedHouse`, adds `hasGarden` and `windowCount`, and models the parking choice with `SemiDetachedHouse *-- "1" ParkingFacility`, then `CarportParking *-- "2" Carport` or `GarageParking *-- "1" Garage`. Model 2 has `House &lt;|-- SemiDetachedHouse`, `SemiDetachedHouse o-- Carport`, and `SemiDetachedHouse o-- Garage`, which reads as both carports and a garage being attached rather than the required either/or, and it does not encode the required two-carport count.
4. Carport and garage attributes: Model 1 = 5, Model 2 = 5; Evidence: Model 1 has `Carport { isDouble: boolean; hasFlatRoof: boolean }` and `Garage { hasAutomaticDoor: boolean }`. Model 2 has the same required attributes in `Carport { +isDouble: Boolean; +hasFlatRoof: Boolean }` and `Garage { +hasAutomaticDoor: Boolean }`.
5. Company servicing and job log recording: Model 1 = 5, Model 2 = 2; Evidence: Model 1 stores `Company { name: String; address: String }`, links `House "1" -- "1..*" Company : servicingCompanies`, and records each job in `Job { hours: int; agreedPrice: double; jobDate: Date }` with links to both `House` and `Company`. Model 2 stores `Company { +name: String; +address: String }` and `JobLog { +hours: Float; +agreedPrice: Float }`, but only connects `Company o-- JobLog` and omits the house association where the job occurred.
Total: Model 1 = 25, Model 2 = 14
Choice: A
Reason:
1. House core data and material constraint: Model 1 is stronger because it uses an enum for the allowed materials, while Model 2 leaves `buildingMaterial` as an unconstrained string.
2. Basement presence, attributes, and subtype structure: Model 1 correctly makes the basement optional and preserves the required subtype split; Model 2’s basement association is too strong because it does not express optionality.
3. Semi-detached house and parking: Model 1 captures the required either/or parking structure and the “two carports” case; Model 2 instead shows both `Carport` and `Garage` attached to the semi-detached house, which conflicts with the requirement.
4. Companies and job logs: Model 1 records jobs against both the house and the company, which matches the requirement; Model 2 stores a job log on the company side only and loses the house location of the work.
5. Rejected or checked issues: I did not penalize Model 1 for using `ParkingFacility` as an intermediate abstraction, for the `Job` name instead of `JobLog`, or for association-direction/comment style, because those do not weaken the UML semantics here.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</si>
  <si>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</si>
  <si>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keeps the main concepts separated into `House`, `Basement`/`EarthBasement`/`ConcreteBasement`, `ParkingFacility`/`CarportParking`/`GarageParking`, `Company`, and `Job`, and it links jobs explicitly to both `House` and `Company` (`Job --&gt; "1" House`, `Job --&gt; "1" Company`). Model 2 has the core classes too, but `JobLog` is not connected to `House`, and the service relationship is weakened to `House o-- Company` plus `Company o-- JobLog`, which leaves the house-company-job structure less cohesive for the stated requirement.
2. Complexity: Model 1 = 4, Model 2 = 2; Evidence: Model 1 uses more classes and a deeper hierarchy, but they are mostly requirement-driven: `House`, `SemiDetachedHouse`, `Basement`, `EarthBasement`, `ConcreteBasement`, `ParkingFacility`, `CarportParking`, `GarageParking`, `Carport`, `Garage`, `Company`, and `Job`. Model 2 is smaller with `House`, `Basement`, `EarthBasement`, `ConcreteBasement`, `SemiDetachedHouse`, `Carport`, `Garage`, `Company`, and `JobLog`, but that lower complexity comes from omitting important structure such as the job association to a house and the explicit two-carport-or-garage constraint.
3. Practicability: Model 1 = 4, Model 2 = 2; Evidence: Model 1 captures the stored data and operational relationships needed for implementation and testing: house address/material, basement name/size/humidity, semi-detached house garden/window count, carport/garage details, serviced-by-many companies, and a `Job` record with `hours` and `agreedPrice`. Model 2 stores many of the same attributes, but it leaves `House o-- Basement`, `SemiDetachedHouse o-- Carport`, and `SemiDetachedHouse o-- Garage` without multiplicities, and its `Company o-- JobLog` link does not express “a company carries out a job in a house,” which makes the design less clear to implement and validate.
Total: Model 1 = 12, Model 2 = 6
Choice: A
Reason:
1. Cohesion and decoupling: Model 1 models the house-company-job flow directly with explicit links from `Job` to both `House` and `Company`, while Model 2 leaves `JobLog` detached from the house context and therefore less well-structured around the requirement.
2. Complexity: Model 1 is more complex, but the extra structure is justified by the required domain distinctions, especially the basement subtype split and the carport-versus-garage split. Model 2 is simpler, but it is simplified by dropping required semantics rather than by a clean abstraction.
3. Practicability: Model 1 is more practical because it is closer to an implementable domain model with clearer ownership and traceability for basement data, parking alternatives, companies, and job records. Model 2 is harder to test against the requirement because several associations and multiplicities are underspecified.
4. Rejected or checked issues: I did not use association arrow direction, primitive type spelling differences, or abstractness as negative evidence because those are forbidden. I also did not penalize Model 1 merely for having an intermediate `ParkingFacility` concept, since that abstraction helps represent the required “either two carports or a garage” structure.
5. Overall judgment: Model 1 is the better UML class diagram because it covers the required domain structure more faithfully and supports clearer implementation and validation, even though it is slightly more elaborate.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</si>
  <si>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</si>
  <si>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directly includes the core domain classes `House`, `SemiDetachedHouse`, `Basement`, `EarthBasement`, `ConcreteBasement`, `Carport`, `Garage`, `Company`, `Job`, and the closed set `BuildingMaterial`; Model 2 also covers most core classes (`House`, `Basement`, `EarthBasement`, `ConcreteBasement`, `SemiDetachedHouse`, `Carport`, `Garage`, `Company`, `JobLog`) but collapses building material into a plain `String` instead of a domain-level material concept.
2. Associations/Multiplicities between classes for domain reasoning: Model 1 = 4, Model 2 = 2; Evidence: Model 1 explicitly states `House *-- "0..1" Basement`, `House "1" -- "1..*" Company`, `Job --&gt; "1" House`, `Job --&gt; "1" Company`, and the semi-detached parking split via `CarportParking *-- "2" Carport` / `GarageParking *-- "1" Garage`; Model 2 has only `House o-- Basement`, `SemiDetachedHouse o-- Carport`, `SemiDetachedHouse o-- Garage`, `House o-- Company`, and `Company o-- JobLog`, with no multiplicities and no direct job-to-house/company link.
3. Model attributes with appropriate data types: Model 1 = 5, Model 2 = 3; Evidence: Model 1 uses domain-appropriate types such as `buildingMaterial: BuildingMaterial`, `size: double`, `humidityLevel: double`, `windowCount: int`, `isDouble: boolean`, `hasFlatRoof: boolean`, `hasAutomaticDoor: boolean`, `hours: int`, and `agreedPrice: double`; Model 2 stores similar fields, but `buildingMaterial: String`, `size: String`, `hours: Float`, and `agreedPrice: Float` weaken the typing of several required attributes.
4. Consistencies of Terminology with given context: Model 1 = 4, Model 2 = 5; Evidence: Model 1 mostly matches the prompt but introduces extra terminology such as `ParkingFacility`, `CarportParking`, `GarageParking`, and names the job record as `Job`; Model 2 stays closer to the wording of the requirement with `SemiDetachedHouse`, `EarthBasement`, `ConcreteBasement`, `Carport`, `Garage`, `Company`, and `JobLog`.
5. Adherence of UML class diagram standards: Model 1 = 5, Model 2 = 4; Evidence: both are valid PlantUML class diagrams, but Model 1 is more complete in UML notation because it includes inheritance, composition, and explicit multiplicities on key relationships, while Model 2 leaves several core associations without multiplicities and is therefore less precise.
Total: Model 1 = 23, Model 2 = 18
Choice: A
Reason:
1. Conceptual classes: Model 1 covers every required domain concept directly, including a dedicated `BuildingMaterial` enum and the basement/parking/job structure; Model 2 covers most concepts but weakens the building-material concept by reducing it to a `String`.
2. Associations/multiplicities: Model 1 captures the key domain constraints much better, especially `0..1` basement, `1..*` servicing companies, and the `2 carports or 1 garage` split; Model 2 leaves those constraints mostly implicit or missing.
3. Attributes/data types: Model 1 uses more appropriate types for the stored facts, while Model 2 relies on weaker primitives for several fields that are conceptually categorical or numeric.
4. Rejected or checked issues: I did not penalize Model 1 for using an extra `Job` attribute like `jobDate`, nor for the opposite-direction association style where it is semantically equivalent. I also did not treat `JobLog` in Model 2 as a problem by itself; the main issues are the weaker associations and data typing.
5. Overall judgment: Model 1 is the stronger UML domain model because it is more explicit about structure, multiplicity, and data types while still matching the requirement closely.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</si>
  <si>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</si>
  <si>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house and basement data: Model 1 = 5, Model 2 = 3; Evidence: Model 1 has `House { address: String, buildingMaterial: BuildingMaterial }` and `House "1" -- "0..1" Basement`, which matches “address,” “building material,” and “a house may have a basement.” Model 2 has `House { +address: String, +buildingMaterial: String }` and `House o-- Basement`, but it does not state optionality for the basement association.
2. Closed type sets and subtype structure: Model 1 = 5, Model 2 = 3; Evidence: Model 1 uses `enum BuildingMaterial { WOOD BRICK CONCRETE }` and `abstract class Basement` with `Basement &lt;|-- EarthBasement` and `Basement &lt;|-- ConcreteBasement`, which fits the closed set of materials and the exact two basement types. Model 2 has `+buildingMaterial: String`, `class Basement`, and the same two subclasses, so it captures the subtype split but not the restricted building-material set and not the “basement is one of exactly two types” as cleanly.
3. Semi-detached house and outbuilding constraints: Model 1 = 4, Model 2 = 2; Evidence: Model 1 includes `SemiDetachedHouse &lt;|-- House`, `hasOwnGarden`, `numberOfWindows`, `Carport { isDouble, hasFlatRoof }`, `Garage { hasAutomaticDoor }`, plus `SemiDetachedHouse "1" -- "0..2" Carport`, `SemiDetachedHouse "1" -- "0..1" Garage`, and the note stating “Has either exactly two Carports or exactly one Garage.” That is aligned with the requirement, though the multiplicities are not fully exact on their own. Model 2 has the subtype and attributes too, but only `SemiDetachedHouse o-- Carport` and `SemiDetachedHouse o-- Garage`, with no exclusivity or count constraint.
4. Company service and job-log recording: Model 1 = 4, Model 2 = 2; Evidence: Model 1 has `Company { name, address }`, `JobLog { hours, price }`, `House "1" -- "*" JobLog`, `Company "1" -- "*" JobLog`, and `House "*" -- "*" Company`, which together model companies, houses, and logged jobs with the required data. Model 2 has `Company { +name, +address }`, `JobLog { +hours, +agreedPrice }`, `House o-- Company`, and `Company o-- JobLog`, but it omits a direct house-job-log relation and does not express that each house is serviced by several companies.
5. Overall semantic fidelity and restraint: Model 1 = 4, Model 2 = 3; Evidence: Model 1 stays close to the requirement’s concepts and adds only a small amount of scaffolding, mainly the explicit `BuildingMaterial` enum and the job-log associations. Model 2 is more generic in several places, especially `buildingMaterial: String`, `Basement` without optional house multiplicity, and the weaker company/job-log structure, so its overall alignment is lower.
Total: Model 1 = 22, Model 2 = 13
Choice: A
Reason:
1. Core house and basement data: Model 1 explicitly models the optional basement and the house attributes more faithfully.
2. Closed type sets and subtype structure: Model 1 captures the fixed building-material set and the two basement specializations more precisely.
3. Semi-detached house and outbuilding constraints: Model 1 is much closer to the required “either two carports or a garage” rule; Model 2 leaves that constraint unspecified.
4. Company service and job-log recording: Model 1 ties companies, houses, and job logs together in a way that matches the requirement better.
5. Rejected or checked issues: I did not penalize Model 1 for using a note to clarify the carport/garage rule, and I did not treat opposite-direction or extra association styling as a defect. I also did not penalize either model for using `int`/`float`/`String`-style primitive names.
6. Overall judgment: Model 1 is better because it preserves more of the required domain structure and constraints, while Model 2 is noticeably weaker on multiplicities, type restrictions, and the job-log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</si>
  <si>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</si>
  <si>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keeps the core concepts separated into focused classes (`House(address, buildingMaterial)`, `Basement(size, name)`, `EarthBasement(humidityLevel)`, `SemiDetachedHouse(hasOwnGarden, numberOfWindows)`, `Company(name, address)`, `JobLog(hours, price)`) and explicitly ties jobs to both participants with `House "1" -- "*" JobLog` and `Company "1" -- "*" JobLog`. Model 2 also uses separate classes, but `Company o-- JobLog` is the only job-log linkage and there is no `House`-`JobLog` association, so the house/company/job relationship is less cleanly decoupled and less clearly traceable.
2. Complexity: Model 1 = 4, Model 2 = 3; Evidence: Both models have similar class counts and shallow inheritance depth (`House` to `SemiDetachedHouse`, `Basement` to `EarthBasement` / `ConcreteBasement`), so neither is structurally deep. Model 1 adds a compact `enum BuildingMaterial { WOOD, BRICK, CONCRETE }` and explicit cardinalities such as `0..1` basement and `0..2` carports, which increases precision without much extra structural burden. Model 2 is a little lighter syntactically, but much of that reduction comes from omitting cardinalities and using broader attributes like `buildingMaterial: String` and `size: String`, so the complexity is lower mainly because the model is less specific.
3. Practicability: Model 1 = 4, Model 2 = 2; Evidence: Model 1 is more practical for implementation and testing because the key constraints are visible in the diagram: a house may have a basement, semi-detached houses specialize house, and job logs connect a house with the company that performed the work. Its enum also constrains building material to the allowed values. Model 2 is readable, but it is less operationally useful because `House o-- Company` does not express the “several companies” requirement, `Company o-- JobLog` does not bind a log to a specific house, and `SemiDetachedHouse o-- Carport/Garage` does not express the required either-or cardinality.
Total: Model 1 = 12, Model 2 = 7
Choice: A
Reason:
1. Cohesion and Decoupling: Model 1 represents the work relationship more explicitly and keeps the domain objects more coherently connected; Model 2 leaves the house-to-job traceability implicit.
2. Complexity: Model 1 achieves the needed domain precision with only a small amount of extra structure, while Model 2 is simpler mostly because it drops constraints rather than because it is more elegantly minimal.
3. Rejected or checked issues: I did not use association direction, primitive-type spelling, or whether `Basement` is marked abstract as negative evidence, because those are not valid penalties here.
4. Overall judgment: Model 1 is better because it captures more of the requirement’s business structure and constraints while remaining compact and understandable.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</si>
  <si>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</si>
  <si>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Model 1 includes `House`, `Basement`, `EarthBasement`, `ConcreteBasement`, `SemiDetachedHouse`, `Carport`, `Garage`, `Company`, and `JobLog`, which matches the requirement’s domain entities; Model 2 includes the same core set of classes and also covers the basement and semi-detached-house variants.
2. Associations/Multiplicities between classes for domain reasoning: Model 1 = 4, Model 2 = 2; Evidence: Model 1 explicitly models `House "1" -- "0..1" Basement`, `Basement &lt;|-- EarthBasement`, `Basement &lt;|-- ConcreteBasement`, `SemiDetachedHouse "1" -- "0..2" Carport`, `SemiDetachedHouse "1" -- "0..1" Garage`, `House "1" -- "*" JobLog`, and `Company "1" -- "*" JobLog`, which captures most of the required links even though the exclusive “two carports or a garage” constraint is only approximated and `House "*" -- "*" Company` is extra; Model 2 has `House o-- Basement`, `SemiDetachedHouse o-- Carport`, `SemiDetachedHouse o-- Garage`, `House o-- Company`, and `Company o-- JobLog`, but it omits multiplicities and never links `JobLog` to `House`, so the job-tracking structure is under-specified.
3. Model attributes with appropriate data types: Model 1 = 5, Model 2 = 3; Evidence: Model 1 uses `buildingMaterial: BuildingMaterial`, `Basement.size: float`, `EarthBasement.humidityLevel: float`, `SemiDetachedHouse.hasOwnGarden: boolean`, `numberOfWindows: int`, `Company.name: String`, `Company.address: String`, `JobLog.hours: float`, and `JobLog.price: float`; Model 2 uses `buildingMaterial: String` and `Basement.size: String`, which weakens the modeling of a fixed building-material domain and a measurable basement size, even though it does correctly model items like `humidityLevel: Float`, `numberOfWindows: Integer`, and `agreedPrice: Float`.
4. Consistencies of Terminology with given context: Model 1 = 5, Model 2 = 4; Evidence: Model 1 closely follows the wording with `SemiDetachedHouse`, `hasOwnGarden`, `numberOfWindows`, `Company`, and `JobLog`, plus an explicit `BuildingMaterial` enum with `WOOD`, `BRICK`, and `CONCRETE`; Model 2 remains understandable but shifts terminology to `hasGarden` and `agreedPrice`, and uses a generic `String` for `buildingMaterial`, which is less faithful to the domain wording.
5. Adherence of UML class diagram standards: Model 1 = 5, Model 2 = 5; Evidence: Both models use valid PlantUML class-diagram structure with classes, inheritance, associations, and multiplicities/aggregation in syntactically acceptable forms.
Total: Model 1 = 24, Model 2 = 19
Choice: A
Reason:
1. Associations/multiplicities: Model 1 is materially stronger because it encodes the key relationships explicitly, including optional basement presence and the semi-detached-house links to `Carport`/`Garage` and to `JobLog`; Model 2 leaves the job-log structure incomplete and omits multiplicities, which matters more than its acceptable aggregation notation.
2. Attributes/types: Model 1 better matches the requirement’s constrained domain by using an enum for `buildingMaterial` and numeric basement/job measurements; Model 2 weakens `buildingMaterial` and `size` into plain strings, which is a clear modeling downgrade.
3. Rejected or checked issues: I did not count `abstract class Basement` in Model 1 versus plain `class Basement` in Model 2 as a penalty, because abstractness is optional under the stated rules; I also did not treat `int` vs `Integer` or `float` vs `Float` as differences.
4. Overall judgment: Both diagrams capture the main entities, but Model 1 is closer to the requirement where it matters most for a UML domain model: relationships and typed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</si>
  <si>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</si>
  <si>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House core data: Model 1 = 5, Model 2 = 5; Evidence: Model 1 has `House { address: String, buildingMaterial: BuildingMaterial }` and `BuildingMaterial { WOOD, BRICK, CONCRETE }`. Model 2 has the same `House` attributes and the same `BuildingMaterial` enum values.
2. Basement structure: Model 1 = 5, Model 2 = 5; Evidence: Model 1 models `House "1" -- "0..1" Basement`, `Basement { size, name }`, `EarthBasement { humidityLevel }`, and `Basement &lt;|-- ConcreteBasement`. Model 2 models `House *-- "0..1" Basement : basement`, `Basement { name, size }`, `EarthBasement { humidityLevel }`, and `Basement &lt;|-- ConcreteBasement`.
3. Semi-detached house specialization: Model 1 = 5, Model 2 = 5; Evidence: Model 1 has `House &lt;|-- SemiDetachedHouse` with `hasOwnGarden` and `numberOfWindows`. Model 2 has `House &lt;|-- SemiDetachedHouse` with `hasGarden` and `windowCount`.
4. Carport / garage constraint: Model 1 = 3, Model 2 = 5; Evidence: Model 1 has `SemiDetachedHouse "1" -- "0..2" Carport` and `SemiDetachedHouse "1" -- "0..1" Garage`, with `Carport { isDouble, hasFlatRoof }` and `Garage { hasAutomaticDoor }`. Model 2 has `SemiDetachedHouse *-- "1" ParkingFacility`, `ParkingFacility &lt;|-- CarportParking` / `GarageParking`, `CarportParking *-- "2" Carport`, and `GarageParking *-- "1" Garage`, with the same carport and garage attributes.
5. Company servicing and job log: Model 1 = 3, Model 2 = 4; Evidence: Model 1 has `Company { name, address }`, `JobLog { hours, price }`, `Company "1" -- "*" JobLog`, `House "1" -- "*" JobLog`, and also `House "*" -- "*" Company`. Model 2 has `Company { name, address }`, `House "1" -- "1..*" Company : servicingCompanies`, `Job { hours, agreedPrice, jobDate }`, `Job --&gt; "1" House`, and `Job --&gt; "1" Company`.
Total: Model 1 = 21, Model 2 = 24
Choice: B
Reason:
1. The first three requirement areas are effectively tied: both models correctly store the house address and building material, model the optional basement with size/name plus the two basement types, and specialize `SemiDetachedHouse` with the extra garden/window information.
2. The decisive gap is the parking rule. Model 1 only gives `0..2` carports and `0..1` garage, which does not express the required either/or structure as precisely. Model 2 uses an explicit `ParkingFacility` split into `CarportParking` versus `GarageParking`, with `2` carports in one branch and `1` garage in the other, so it tracks the requirement more closely.
3. On servicing and job logging, Model 2 is tighter overall because it ties a house to `1..*` companies and links each `Job` to both `House` and `Company` while storing the hours and agreed price. Model 1 does capture a `JobLog`, but the extra direct `House "*" -- "*" Company` association makes the service relationship less precise.
4. Rejected or checked issues: I did not count Model 1’s note about “either exactly two Carports or exactly one Garage” as scored evidence because notes are ignored for this evaluation. I also did not penalize `price` vs `agreedPrice`, `int` vs `Integer`, or the abstractness choice for `Basement`, since those are semantically acceptable here.
5. Overall judgment: Model 2 is better because it handles the hardest constraint, the semi-detached parking alternative, more faithfully while still covering the rest of the domain.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</si>
  <si>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</si>
  <si>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has a more direct but more coupled structure with `House "*" -- "*" Company`, plus separate `House "1" -- "*" JobLog` and `Company "1" -- "*" JobLog`, and it attaches `SemiDetachedHouse` directly to `Carport` and `Garage`. Model 2 localizes the service-record relationship in `Job --&gt; "1" House` and `Job --&gt; "1" Company`, and it groups the parking alternatives through `ParkingFacility` with `CarportParking` and `GarageParking`. Model 2 is still somewhat over-abstracted because `ParkingFacility` has no own data, but the decoupling is cleaner.
2. Complexity: Model 1 = 5, Model 2 = 3; Evidence: Model 1 uses fewer elements: `House`, `Basement`, `EarthBasement`, `ConcreteBasement`, `SemiDetachedHouse`, `Carport`, `Garage`, `Company`, `JobLog`, plus `BuildingMaterial`. Model 2 adds `ParkingFacility`, `CarportParking`, `GarageParking`, and `Job`, and also introduces an extra `jobDate` attribute, so it has more classes and more structural layers than the requirement needs.
3. Practicability: Model 1 = 3, Model 2 = 4; Evidence: Model 1 is compact and easy to read, but its `SemiDetachedHouse "1" -- "0..2" Carport` and `"0..1" Garage` links do not by themselves encode the required either/or parking rule, and the extra `House "*" -- "*" Company` relation is redundant beside the job log links. Model 2 is more operationally clear for implementation and testing because `Job` explicitly connects a house and a company, and the parking variants are separated into mutually distinct branches, though `jobDate` is extra beyond the requirement.
Total: Model 1 = 11, Model 2 = 11
Choice: C
Reason:
1. Cohesion and Decoupling: Model 2 is better because it separates job logging and parking alternatives into dedicated structures, while Model 1 keeps more of that logic directly on `House` and `SemiDetachedHouse`.
2. Complexity: Model 1 is better because it is materially smaller and simpler, with fewer classes and less indirection.
3. Practicability: Model 2 is better because its `Job` and `ParkingFacility` structure makes the business rules easier to trace and test, even though it adds some extra detail.
4. Rejected or checked issues: I did not score Model 1 based on the trailing note about “either exactly two carports or exactly one garage,” because notes are ignored here. I also did not penalize Model 2 for `ParkingFacility` not being marked abstract, since optional abstractness is not a valid basis for scoring.
5. Overall judgment: Model 2 is slightly stronger on structural clarity, while Model 1 is simpler; the advantages balance out, so the best judgment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</si>
  <si>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</si>
  <si>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classes `House`, `Basement`, `EarthBasement`, `ConcreteBasement`, `SemiDetachedHouse`, `Carport`, `Garage`, `Company`, and `JobLog`. Model 2 also covers the same core domain, but introduces refinement classes `ParkingFacility`, `CarportParking`, `GarageParking`, and `Job`, which are still recognizable but less directly aligned with the wording of the requirement.
2. Associations/Multiplicities between classes for domain reasoning: Model 1 = 3, Model 2 = 4; Evidence: Model 1 has `House "1" -- "0..1" Basement`, which fits, but `SemiDetachedHouse "1" -- "0..2" Carport` and `"0..1" Garage` do not enforce the required either/or constraint, and `House "*" -- "*" Company` adds an unsupported direct many-to-many relation. Model 2 better encodes the structure with `House *-- "0..1" Basement`, `SemiDetachedHouse *-- "1" ParkingFacility`, `CarportParking *-- "2" Carport`, `GarageParking *-- "1" Garage`, and `House "1" -- "1..*" Company`, though `Job --&gt; House` and `Job --&gt; Company` are not modeled as a true association class.
3. Model attributes with appropriate data types: Model 1 = 5, Model 2 = 4; Evidence: Model 1 stores all required data directly with `address: String`, `buildingMaterial: BuildingMaterial`, `size: float`, `name: String`, `humidityLevel: float`, `hasOwnGarden: boolean`, `numberOfWindows: int`, `isDouble: boolean`, `hasFlatRoof: boolean`, `hasAutomaticDoor: boolean`, `hours: float`, and `price: float`. Model 2 also models the needed attributes, but renames several (`hasGarden`, `windowCount`) and adds `jobDate: Date`, so it is slightly less faithful to the requested attribute set.
4. Consistencies of Terminology with given context: Model 1 = 5, Model 2 = 4; Evidence: Model 1 uses the requirement’s wording more closely with `SemiDetachedHouse`, `Carport`, `Garage`, `Company`, and `JobLog`, plus `hasOwnGarden` and `numberOfWindows`. Model 2 remains understandable, but `hasGarden`, `windowCount`, `ParkingFacility`, `CarportParking`, `GarageParking`, and `Job` are more reworded than the requirement text.
5. Adherence of UML class diagram standards: Model 1 = 5, Model 2 = 5; Evidence: Both diagrams use valid class, enum, inheritance, and association syntax, with correct multiplicity notation and readable PlantUML structure. Model 1’s `abstract class Basement` and Model 2’s compositions and inheritances are both syntactically valid UML/PlantUML.
Total: Model 1 = 22, Model 2 = 21
Choice: A
Reason:
1. Appropriate conceptual classes aligned with the domain: both models identify the main domain entities, but Model 1 keeps the required names more directly, while Model 2 adds extra structural wrappers such as `ParkingFacility` and `Job`.
2. Associations/Multiplicities between classes for domain reasoning: Model 2 is stronger here because it better captures the parking alternative and the “several companies” relationship, but Model 1’s `0..2` / `0..1` parking links and direct `House -- Company` relation are weaker than Model 2’s structure.
3. Attributes and terminology: Model 1 is more faithful to the requirement’s exact stored facts, especially `hasOwnGarden`, `numberOfWindows`, and `JobLog`, while Model 2 renames several of these and adds an extra `jobDate`.
4. Rejected or checked issues: I did not penalize differences in association arrow style, primitive type spellings such as `int` vs `Integer`, or abstractness choices, since those are not valid negative evidence under the rules.
5. Overall judgment: Model 1 is slightly better overall because it is more faithful in terminology and attribute coverage, and Model 2’s stronger parking association modeling does not fully offset its extra renaming and added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</si>
  <si>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</si>
  <si>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class and attribute coverage: Model 1 = 4, Model 2 = 4; Evidence: Model 1 includes `House(address, buildingMaterial)`, `Basement(size, name)`, `EarthBasement(humidityLevel)`, `SemiDetachedHouse(hasGarden, numberOfWindows)`, `Company(name, address)`, and `JobLog(hours, agreedPrice)`. Model 2 covers the same domain nouns with `House(address, buildingMaterial)`, `Basement(name, size)`, `EarthBasement(humidityLevel)`, `SemiDetachedHouse(hasGarden, windowCount)`, `Company(name, address)`, and `Job(hours, agreedPrice, jobDate)`, plus a `BuildingMaterial` enum for the allowed material values.
2. Specialization structure: Model 1 = 2, Model 2 = 4; Evidence: Model 1 correctly specializes `SemiDetachedHouse` from `House` and `EarthBasement`/`ConcreteBasement` from `Basement`, but it attaches both `Carport` and `Garage` directly to `SemiDetachedHouse`, which does not express the required either/or structure. Model 2 also specializes `SemiDetachedHouse` from `House` and the two basement types from `Basement`, and it adds `ParkingFacility` with `CarportParking` and `GarageParking` branches to represent the “either two carports or a garage” requirement more explicitly.
3. Association and multiplicity semantics: Model 1 = 1, Model 2 = 3; Evidence: Model 1 has associations like `House o-- Basement`, `SemiDetachedHouse o-- Carport`, `SemiDetachedHouse o-- Garage`, and `House o-- Company`, but it shows no multiplicities, so it does not capture `0..1` basement, several companies, or the exact “two carports or one garage” constraint. Model 2 states `House *-- "0..1" Basement`, `CarportParking *-- "2" Carport`, `GarageParking *-- "1" Garage`, `House "1" -- "1..*" Company`, and `Job --&gt; "1" House` / `Job --&gt; "1" Company`; this is much closer to the required cardinalities, although the `House`-`Company` multiplicity is too restrictive because it implies each company is tied to one house.
4. Constraint fidelity and hallucination control: Model 1 = 4, Model 2 = 2; Evidence: Model 1 stays relatively close to the requirement and avoids introducing extra structural classes, but its `buildingMaterial: String` leaves the allowed values unconstrained. Model 2 improves constraint capture with `BuildingMaterial {WOOD, BRICK, CONCRETE}` and an optional basement, but it adds unsupported constructs such as `ParkingFacility`, `CarportParking`, `GarageParking`, and `jobDate`, which are not stated in the requirement.
Total: Model 1 = 11, Model 2 = 13
Choice: B
Reason:
1. Core coverage: both models cover the main classes, but Model 2 is slightly stronger because it constrains building materials to the required closed set instead of using a free-form string.
2. Specialization structure: Model 2 better reflects the required “either two carports or a garage” idea through an intermediate parking hierarchy, while Model 1 leaves that constraint effectively unmodeled.
3. Association and multiplicity: Model 2 is clearly better because it explicitly models optional basements and the `2` vs `1` parking-cardinality requirement, whereas Model 1 omits multiplicities entirely.
4. Rejected or checked issues: I did not penalize either model for primitive type aliases like `int` vs `Integer`, and I did not use association drawing style as evidence, since those are semantically equivalent under the rules.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</si>
  <si>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</si>
  <si>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keeps `SemiDetachedHouse` directly linked to both `Carport` and `Garage` and attaches `JobLog` only to `Company`, so the job record is not centered on the house-company interaction. Model 2 separates the parking concept with `ParkingFacility` and connects `Job` to both `House` and `Company`, which is a cleaner split of responsibilities.
2. Complexity: Model 1 = 4, Model 2 = 2; Evidence: Model 1 has 9 classes and only two simple inheritance chains (`House` -&gt; `SemiDetachedHouse`, `Basement` -&gt; `EarthBasement` / `ConcreteBasement`), with no extra structural layer for parking. Model 2 has 13 classes and adds `BuildingMaterial`, `ParkingFacility`, `CarportParking`, `GarageParking`, and `Job`, so it is materially heavier and deeper.
3. Practicability: Model 1 = 2, Model 2 = 4; Evidence: Model 2 is more implementation-friendly because it uses `enum BuildingMaterial { WOOD, BRICK, CONCRETE }`, explicit multiplicities like `House *-- "0..1" Basement` and `House "1" -- "1..*" Company`, and a `Job` class that records the house/company job data directly. Model 1 uses `buildingMaterial: String`, leaves `House o-- Company` without clear multiplicity, and places `JobLog` only under `Company`, which makes the business rules less explicit for testing and maintenance.
Total: Model 1 = 8, Model 2 = 10
Choice: B
Reason:
1. Cohesion and Decoupling: Model 2 is better because it clusters the parking choice behind `ParkingFacility` and models the job log through `Job` connected to both `House` and `Company`, while Model 1 leaves the log concept under `Company` alone and spreads semi-detached-specific parking across two separate associations.
2. Complexity: Model 1 is simpler and therefore scores higher here, but Model 2’s extra classes and hierarchy are a real cost. The issue is that Model 2’s added structure is still justified by the domain distinction between carports and garages, so the penalty is limited.
3. Practicability: Model 2 is more practical because it expresses the closed building-material set and the house-company-job relationship more clearly, which improves readability and testability. Model 1 is easier to read at a glance, but it is less precise where the requirement is most specific.
4. Rejected or checked issues: I did not use association direction, the PlantUML comment in Model 2, primitive type aliases, or optional abstractness as negative evidence, because those are explicitly forbidden as scoring factors.
5. Overall judgment: Model 2 is the better fit despite being more complex, because it captures the required domain constraints and relationships more faithfully and in a more testable form.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</si>
  <si>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</si>
  <si>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`House`, `Basement`, `EarthBasement`, `ConcreteBasement`, `SemiDetachedHouse`, `Carport`, `Garage`, `Company`, and `JobLog`, which matches the core nouns in the prompt directly. Model 2 also includes those core concepts, plus `BuildingMaterial`, `ParkingFacility`, `CarportParking`, `GarageParking`, and `Job`, which are related refinements but not all are named in the requirement.
2. Associations/Multiplicities between classes for domain reasoning: Model 1 = 2, Model 2 = 4; Evidence: Model 1 has `House o-- Basement`, `House o-- Company`, `Company o-- JobLog`, and `SemiDetachedHouse o-- Carport/Garage`, but it does not encode the required cardinalities or the “either two carports or a garage” rule. Model 2 explicitly models `House *-- "0..1" Basement`, `CarportParking *-- "2" Carport`, `GarageParking *-- "1" Garage`, `House "1" -- "1..*" Company`, and connects `Job` to both `House` and `Company`, so most required relationships are represented.
3. Model attributes with appropriate data types: Model 1 = 3, Model 2 = 4; Evidence: Model 1 uses `buildingMaterial: String` and `Basement.size: String`, which are generic and miss the closed material set in the prompt. Model 2 uses `buildingMaterial: BuildingMaterial` with `WOOD/BRICK/CONCRETE`, models the house flags and window count with boolean/integer types, and uses numeric fields for basement/job measures, though it adds an extra `jobDate`.
4. Consistencies of Terminology with given context: Model 1 = 4, Model 2 = 3; Evidence: Model 1 stays close to the prompt with `SemiDetachedHouse`, `EarthBasement`, `ConcreteBasement`, `Carport`, `Garage`, `Company`, and `JobLog`. Model 2 matches the building-material vocabulary well, but terms like `ParkingFacility`, `CarportParking`, `GarageParking`, and `Job` drift further from the prompt’s wording of carports, garage, and job log.
5. Adherence of UML class diagram standards: Model 1 = 5, Model 2 = 5; Evidence: both are valid PlantUML class diagrams using standard class declarations, inheritance, associations, and multiplicities, and neither has syntax that makes the diagram unreadable.
Total: Model 1 = 18, Model 2 = 20
Choice: B
Reason:
1. Associations/multiplicities: Model 2 is stronger because it encodes the optional basement, the carport-vs-garage split, and the house-company servicing relation much more explicitly than Model 1.
2. Attributes: Model 2 better captures the closed set of building materials through `BuildingMaterial` and uses more fitting types for the stored values; Model 1 leaves key fields as generic strings.
3. Terminology: Model 1 is a bit closer to the exact phrase `job log`, but Model 2’s stronger structural modeling outweighs that minor terminology drift.
4. Rejected or checked issues: I did not penalize either model for equivalent primitive aliases like `int`/`boolean`, and I treated association direction as semantically neutral under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</si>
  <si>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</si>
  <si>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Building material domain constraint: Model 1 = 3, Model 2 = 5; Evidence: Model 1 has `+buildingMaterial: String`, which names the concept but leaves the wood/brick/concrete domain constraint implicit. Model 2 uses `enum BuildingMaterial { WOOD BRICK CONCRETE }` and `buildingMaterial: BuildingMaterial`, which models the required closed set directly.
2. Basement structure and optionality: Model 1 = 4, Model 2 = 5; Evidence: Both models include `Basement` with `size` and `name`, plus `EarthBasement +humidityLevel` and `ConcreteBasement`, so both capture the two basement types and the earth-basement humidity detail. Model 2 is stronger because it adds `House "1" -- "0..1" Basement`, making the “may have a basement” requirement explicit, while Model 1 only has `House o-- Basement` without cardinality.
3. Semi-detached house specialization and house-specific attributes: Model 1 = 4, Model 2 = 4; Evidence: Both models show inheritance from `House` to `SemiDetachedHouse` and include the extra semi-detached attributes (`hasGarden` / `hasOwnGarden`, `numberOfWindows`). Model 2’s `hasOwnGarden` is slightly closer to the wording, while Model 1’s `hasGarden` is still clearly synonymous enough that neither model loses much here.
4. Carport / garage constraint for semi-detached houses: Model 1 = 1, Model 2 = 4; Evidence: Model 1 only has `SemiDetachedHouse o-- Carport` and `SemiDetachedHouse o-- Garage`, with no counts or exclusivity, so it does not model the required “either two carports or a garage” rule. Model 2 is much closer with `SemiDetachedHouse "1" -- "0..2" Carport`, `SemiDetachedHouse "1" -- "0..1" Garage`, and the note stating “Has either exactly two Carports or exactly one Garage,” although the exclusivity is still expressed more as a note than as a fully formal UML constraint.
5. Company service relationship and job log traceability: Model 1 = 2, Model 2 = 5; Evidence: Model 1 has `House o-- Company` and `Company o-- JobLog`, but it never directly ties `JobLog` to `House`, so the record of a company doing work in a specific house is weakly modeled. Model 2 adds `House "*" -- "*" Company`, `House "1" -- "*" JobLog`, and `Company "1" -- "*" JobLog`, which much better represents that houses are serviced by companies and that each job log records a house-company job with hours and price.
Total: Model 1 = 14, Model 2 = 23
Choice: B
Reason:
1. Building material constraint: Model 2 is strictly better because it encodes the allowed values as an enumeration, while Model 1 leaves them as an unconstrained string.
2. Basement modeling: Model 2 is better because it keeps the two basement subclasses and also makes the optional basement relationship explicit; Model 1 captures the types but is looser on cardinality.
3. Carport / garage rule: Model 1 misses the required either-or and exact-count structure almost entirely, while Model 2 at least models the counts and states the intended XOR rule.
4. Service and job logs: Model 2 is much closer to the requirement because it connects job logs to both houses and companies; Model 1 does not directly associate job logs with houses at 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</si>
  <si>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</si>
  <si>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stores `buildingMaterial` as a free `String` in `House`, links `House o-- Company`, and links `Company o-- JobLog`, so the job-record concept is split across separate classes without a direct `House`-`JobLog` relation. Model 2 constrains material with `enum BuildingMaterial { WOOD BRICK CONCRETE }`, keeps the basement hierarchy centered on `House "1" -- "0..1" Basement`, and connects both `House "1" -- "*" JobLog` and `Company "1" -- "*" JobLog`, which gives the job log a clearer responsibility and better separation of concerns.
2. Complexity: Model 1 = 3, Model 2 = 4; Evidence: Model 1 has 9 classes and no multiplicities, but it under-specifies several domain constraints, which makes the model superficially simpler but less balanced. Model 2 has the same core class count plus one enum, and it adds explicit multiplicities such as `House "1" -- "0..1" Basement`, `SemiDetachedHouse "1" -- "0..2" Carport`, and `SemiDetachedHouse "1" -- "0..1" Garage`, which increases structural detail in a controlled way and better matches the requirement without unnecessary inheritance depth.
3. Practicability: Model 1 = 2, Model 2 = 5; Evidence: Model 1 omits the required cardinalities for the basement and semi-detached-house constraints, models `buildingMaterial` as an unconstrained string, and does not directly tie `JobLog` to both the house and the company involved in the job. Model 2 is much more actionable for implementation and testing because it represents the exact material set with an enum, the optional basement with `0..1`, the two basement subtypes, the semi-detached house restriction with `0..2` carports or `0..1` garage, and the job-log records on both `House` and `Company`.
Total: Model 1 = 7, Model 2 = 13
Choice: B
Reason:
1. Cohesion and decoupling: Model 2 keeps domain concepts more explicitly separated and connected through the right relations, while Model 1 leaves job logging and building material less well-scoped.
2. Complexity: Model 2 adds only the amount of structure needed to capture the requirement, whereas Model 1 is simpler mainly because it omits important constraints.
3. Practicability: Model 2 is far more usable for real implementation and testing because it encodes the key business rules directly in the diagram.
4. Rejected or checked issues: I did not penalize either model for association notation differences, lowercase primitive spellings, or the presence of a note, since those are not valid negative evidence under the rules.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</si>
  <si>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</si>
  <si>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identifies the core domain classes correctly (`House`, `Basement`, `EarthBasement`, `ConcreteBasement`, `SemiDetachedHouse`, `Carport`, `Garage`, `Company`, `JobLog`), but models `buildingMaterial` as a plain `String`. Model 2 has the same domain classes and additionally captures the closed set of materials with `enum BuildingMaterial { WOOD, BRICK, CONCRETE }`, which is a tighter fit to the requirement.
2. Associations/Multiplicities between classes for domain reasoning: Model 1 = 2, Model 2 = 4; Evidence: Model 1 has associations like `House o-- Basement`, `SemiDetachedHouse o-- Carport`, `SemiDetachedHouse o-- Garage`, `House o-- Company`, and `Company o-- JobLog`, but it omits multiplicities throughout and does not connect `JobLog` to `House`. Model 2 adds explicit multiplicities such as `House "1" -- "0..1" Basement`, `SemiDetachedHouse "1" -- "0..2" Carport`, `SemiDetachedHouse "1" -- "0..1" Garage`, `House "1" -- "*" JobLog`, and `Company "1" -- "*" JobLog`, which is much closer to the required reasoning, though the exact either-or constraint for carports versus garage is only partially captured.
3. Model attributes with appropriate data types: Model 1 = 3, Model 2 = 5; Evidence: Model 1 uses mostly plausible attribute types, but `buildingMaterial: String` loses the closed set of valid values, and the model does not encode the material constraint. Model 2 models `buildingMaterial: BuildingMaterial` with an enum, keeps the boolean and integer fields for house and outbuilding properties, and otherwise uses appropriate scalar types such as `float`/`int`/`boolean`.
4. Consistencies of Terminology with given context: Model 1 = 3, Model 2 = 4; Evidence: Model 1 generally matches the vocabulary, but `hasGarden` is a slightly looser form than the requirement’s “whether it has its own garden,” and `buildingMaterial` is not expressed with the required material vocabulary. Model 2 is more consistent with terms like `hasOwnGarden`, `EarthBasement`, `ConcreteBasement`, and the explicit material enum, though it uses `price` instead of `agreedPrice`.
5. Adherence of UML class diagram standards: Model 1 = 5, Model 2 = 5; Evidence: Both diagrams are valid PlantUML class diagrams using standard class declarations, inheritance, and associations. Model 2 also validly uses an enum and an abstract class, and Model 1’s notation is likewise syntactically sound.
Total: Model 1 = 17, Model 2 = 24
Choice: B
Reason:
1. Appropriate conceptual classes: both models identify the main domain entities, but Model 2 aligns better by representing the material domain as an enum instead of a free-form string.
2. Associations/Multiplicities: Model 2 is clearly stronger because it states the key cardinalities for basement, carports/garage, job logs, and companies, while Model 1 leaves those relationships largely unspecified.
3. Attributes/data types: Model 2 better preserves the domain constraints, especially `BuildingMaterial`, whereas Model 1 weakens them with `String`.
4. Terminology: Model 2 tracks the requirement wording more closely overall, despite minor naming drift like `price` versus `agreedPrice`.
5. Rejected or checked issues: I did not penalize either model for association style differences, primitive-type aliases, or Model 2’s use of an abstract superclass, because those are explicitly non-penalizing or acceptable under the instructions. I also did not use the redundant-looking direct `House`-to-`Company` link in Model 2 as a major penalty, since the diagram still captures the job-log workflow more completely than Model 1.
6. Overall judgment: Model 2 is the better UML/domain model because it captures the closed material set and the key multiplicities, which are central to the requirement, while Model 1 stays too loose on both structure and data constraints.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</si>
  <si>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</si>
  <si>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</si>
  <si>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</si>
  <si>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3, Model 2 = 4; Evidence: Model 1 includes the core concepts `Organizer`, `Attendee`, `EventKind`, `Location`, `Event`, `Invitation`, and `EventTask`, but it does not model the invitation email itself and leaves the attendee-task flow indirect via `Attendee --&gt; EventTask`. Model 2 covers the same core domain and adds `Invitation.invitedEmail` plus `EventTask.isForAttendees`, which fits the invite-and-task flow more closely.
2. Conceptual class and role modeling: Model 1 = 3, Model 2 = 4; Evidence: Model 1 uses `User` as a superclass for `Organizer` and `Attendee`, and has reasonable domain classes like `TaskTemplate` and `EventTask`, but its role separation is less explicit around invitation handling. Model 2 uses the same `User` split, plus `EventType`, `Invitation`, `TaskTemplate`, and `EventTask` in a way that more directly reflects the event, invite, and checklist concepts in the requirement.
3. Associations and cardinalities: Model 1 = 3, Model 2 = 4; Evidence: Model 1 gets several links right, such as `EventKind "1" *-- "0..*" TaskTemplate`, `Event "1" --&gt; "1" Location`, and `Organizer "1..*" --&gt; "1..*" Event`, but `TaskTemplate "0..*" --&gt; "0..*" EventTask` is too loose for a template-to-instance relation. Model 2 is stronger here with `EventType "1" -- "*" TaskTemplate`, `EventTask "*" -- "1" TaskTemplate`, `Event "1" -- "*" Invitation`, and `Invitation "*" -- "0..1" Attendee`, which more cleanly expresses the lifecycle from event type to checklist item to invite.
4. Clarity and hallucination control: Model 1 = 3, Model 2 = 4; Evidence: Model 1 stays close to the requirement with `RsvpStatus`, `TaskStatus`, and `EventTask.isAttendeeDesignated`, but it under-specifies some flows and overgeneralizes others. Model 2 is also grounded in the requirement, and `Invitation.invitedEmail` is a particularly good fit; its extra detail is still traceable to the prompt rather than a hallucination.
Total: Model 1 = 12, Model 2 = 16
Choice: B
Reason:
1. Requirement coverage: Model 2 captures the invitation and attendee-selection flow more directly through `Invitation.invitedEmail`, `Invitation rsvpStatus`, and `EventTask.isForAttendees`, while Model 1 leaves those parts more implicit.
2. Associations and cardinalities: Model 2 is materially better at modeling the checklist lifecycle, especially `EventTask "*" -- "1" TaskTemplate`, whereas Model 1’s `TaskTemplate "0..*" --&gt; "0..*" EventTask` is too weak for the requirement.
3. Rejected or checked issues: I did not penalize either model for arrow direction, comments, lowercase primitive types, or equivalent multiplicity notation, since those are semantically neutral under the rules.
4. Overall judgment: Both diagrams cover the main domain, but Model 2 is closer to the requirement’s structure and flows, especially around invitations, RSVP handling, and reusable task templates.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</si>
  <si>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</si>
  <si>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Model 1 keeps identity data in `User`, contact details in `Organizer`, and separates `EventKind`, `Location`, `Invitation`, and `EventTask`, but it couples invitations directly to `Attendee` (`Invitation "*" --&gt; "1" Attendee`) and tasks directly to attendees (`Attendee "0..*" --&gt; "0..*" EventTask`). Model 2 is similarly modular, but `Invitation` carries `invitedEmail` and `rsvpStatus`, and `EventTask` attaches to `Invitation` (`EventTask "*" -- "0..1" Invitation`), which better isolates the invitation workflow.
2. Complexity: Model 1 = 4, Model 2 = 4; Evidence: Both diagrams have the same broad footprint and the same inheritance depth: `User`, `Organizer`, `Attendee`, `Event`, `Location`, `EventKind`/`EventType`, `TaskTemplate`, `EventTask`, `Invitation`, plus two enums, with a single superclass level from `User`. Neither adds methods, so the structural complexity is essentially equivalent.
3. Practicability: Model 1 = 3, Model 2 = 4; Evidence: Model 1 covers RSVP and checklist tracking, but `Invitation "*" --&gt; "1" Attendee` assumes an attendee account already exists, and it does not store the invitee email on the invitation. Model 2 adds `Invitation.invitedEmail` and allows `Invitation "*" -- "0..1" Attendee`, which fits the requirement that an invitee may create an account after receiving the email; its `RsvpStatus` also uses `ATTENDING`, closer to the stated attendance states than Model 1's `CONFIRMED`.
Total: Model 1 = 11, Model 2 = 12
Choice: B
Reason:
1. Cohesion and Decoupling: Model 2 is at least as cohesive as Model 1 and slightly cleaner for the invitation flow, because invitation data is centered in `Invitation` rather than pushed onto `Attendee`.
2. Complexity: They are tied. Both have the same class count, the same inheritance depth, and no method-level complexity.
3. Practicability: Model 2 better matches the real process described in the requirement, especially invite-before-account-creation and invitation status tracking.
4. Rejected issues: I did not use association arrow direction, bidirectional vs unidirectional notation, primitive type spelling, or comment annotations as negative evidence because those are explicitly forbidden penalties.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</si>
  <si>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</si>
  <si>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include the core domain concepts required by the statement, such as `User`, `Organizer`, `Attendee`, `Event`, `Location`, `Invitation`, `TaskTemplate`, and `EventTask`. Model 1 uses `EventKind`, while Model 2 uses `EventType`; both are valid representations of the event category concept. Both also include RSVP state and task status enums.
2. Associations/Multiplicities between classes for domain reasoning: Model 1 = 3, Model 2 = 3; Evidence: both capture important relationships like event-to-location, event-to-invitations, and task-template-to-event-task. However, Model 1 overconstrains with `Event "1" --&gt; "1" Location` and `Organizer "1..*" --&gt; "1..*" Event`, while Model 2 similarly overconstrains with `Event "1" -- "1" Location`, `Event "1" -- "1" EventType`, and `Event "1" -- "1..*" Organizer`. Model 1’s `Invitation "*" --&gt; "1" Attendee` and Model 2’s `Invitation "*" -- "0..1" Attendee` both model invitation ownership reasonably, but neither diagram gets all key multiplicities fully right.
3. Model attributes with appropriate data types: Model 1 = 3, Model 2 = 4; Evidence: Model 1 has strong basic person/event attributes (`firstName`, `lastName`, `email`, `password`, `startDateTime`, `endDateTime`, `occasion`), but its `Invitation` lacks an `invitedEmail` attribute even though the requirement says the organizer enters attendee email addresses before account creation. Model 2 includes `Invitation { invitedEmail: String, rsvpStatus: RsvpStatus }`, which better matches that requirement, and it also uses `DateTime` for event start/end. Both models otherwise use plausible primitive types for names, addresses, and booleans.
4. Consistencies of Terminology with given context: Model 1 = 4, Model 2 = 5; Evidence: Model 1 is mostly aligned, but `RsvpStatus.CONFIRMED` is slightly less faithful than the requirement’s “will attend,” and `EventKind` is a slightly less natural label than `EventType`. Model 2 is tighter on wording with `RsvpStatus.ATTENDING`, `EventType`, `invitedEmail`, and `isForAttendees`, which map more directly to the problem statement. Both preserve the main vocabulary of organizers, attendees, invitations, locations, and checklist tasks.
5. Adherence of UML class diagram standards: Model 1 = 5, Model 2 = 5; Evidence: both are valid PlantUML class diagrams with properly declared classes, enums, attributes, and associations. Neither has malformed UML syntax, invalid class declarations, or unreadable notation. I did not penalize arrow direction choices or inline comments because those are semantically equivalent or explicitly ignorable under the rules.
Total: Model 1 = 20, Model 2 = 22
Choice: B
Reason:
1. Appropriate conceptual classes: both models identify the right high-level entities, so this criterion is effectively tied.
2. Associations/multiplicities: both have important multiplicity problems, but Model 2 slightly better supports the invitation flow by adding `invitedEmail` and linking `Invitation` to `Attendee` and `EventTask` to `Invitation`.
3. Attributes/data types: Model 2 is stronger because it models the invitation email explicitly and uses `DateTime` for event timing, which matches the requirement more closely than Model 1.
4. Terminology: Model 2 is more faithful to the wording of the requirement, especially `ATTENDING` versus `CONFIRMED` and `EventType` versus `EventKind`.
5. Rejected or checked issues: I did not use association arrow direction, inline PlantUML comments, or `*` versus `0..*` as negative evidence, since those are forbidden penalties or equivalent forms.
6. Overall judgment: Model 2 is the better match because it captures the invitation/account flow and attendee email more directly, while still covering the core celebration planning concepts with valid UML.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</si>
  <si>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</si>
  <si>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People and account data: Model 1 = 5, Model 2 = 5; Evidence: Model 1 has `User` with `firstName`, `lastName`, `email`, `password`, plus `Organizer` adding `postalAddress` and `phoneNumber`, and `Attendee` as a role subtype. Model 2 has the same core coverage via `Person` with `firstName`, `lastName`, `email`, `password`, plus `Organizer` with `postalAddress` and `phoneNumber`, and `Attendee` as the other role subtype.
2. Event type and location setup: Model 1 = 5, Model 2 = 5; Evidence: Model 1 models `Event` with `startDateTime`, `endDateTime`, and `occasion`, plus `EventKind` and `Location` classes, with links `EventKind -&gt; Event` and `Event -&gt; Location`. Model 2 models `Event` with `occasion`, `startDateTime`, `endDateTime`, plus `EventType` and `Location`, with links from `Event` to both.
3. Invitation and RSVP handling: Model 1 = 5, Model 2 = 5; Evidence: Model 1 has `Invitation` with `rsvpStatus` values `PENDING`, `CONFIRMED`, `MAYBE`, `DECLINED`, and `Event` composes invitations while `Invitation` points to `Attendee`. Model 2 has `Invitation` with `status` values `Attending`, `Maybe`, `NotAttending`, `NotReplied`, and `Event` composes invitations while `Attendee` receives invitations.
4. Checklist/task persistence and completion: Model 1 = 4, Model 2 = 4; Evidence: Model 1 uses `TaskTemplate` under `EventKind`, `EventTask` with `status` and `isAttendeeDesignated`, and `Event` composes `EventTask`, which captures reusable checklist ideas and per-event task state. Model 2 uses `Task` under `EventType`, `EventTask` with `status` and `isForAttendees`, and `Event` composes `EventTask`, which also captures reusable tasks plus per-event state.
5. Attendee task assignment and organizer visibility: Model 1 = 4, Model 2 = 4; Evidence: Model 1 has `EventTask.isAttendeeDesignated` and `Attendee -&gt; EventTask` via `volunteersFor`, which represents attendees taking ownership of tasks. Model 2 has `EventTask.isForAttendees` and `Attendee -&gt; EventTask` via `selects`, which represents the same domain idea. Neither model explicitly adds the organizer-facing inverse view of “who is bringing what,” but both capture the core assignment flow.
6. Organizer-as-attendee support: Model 1 = 3, Model 2 = 5; Evidence: Model 1 only shows `Organizer` and `Attendee` as separate subtypes of `User`, with no explicit `Organizer -&gt; Event` attendance relation, so organizer attendance is only implicit at best. Model 2 explicitly models both `Organizer organizes Event` and `Organizer attends Event`, which directly matches the requirement that an organizer may manage an event without attending or may also attend.
Total: Model 1 = 26, Model 2 = 28
Choice: B
Reason:
1. People and account data: both models cover the required organizer/attendee identity and login fields well, so this is a tie.
2. Event type and location setup: both models correctly represent event metadata, event kind/type, and location, so this is also a tie.
3. Invitation and RSVP handling: both models encode the invitation lifecycle and the three-way attendance response plus a not-replied state, so neither has a clear advantage here.
4. Checklist/task persistence and completion: both models capture reusable checklist items and per-event task status, but Model 1’s `TaskTemplate -&gt; EventTask` relation is a little less direct than Model 2’s `Task -&gt; EventTask` pairing. I treated this as a small distinction, not a decisive one.
5. Attendee task assignment and organizer visibility: both models support attendee task selection, but neither fully models the organizer’s “who is bringing what” view as a first-class relation, so this remains roughly equal.
6. Organizer-as-attendee support: this is the clearest difference. Model 2 explicitly includes `Organizer attends Event`, which directly satisfies the requirement that an organizer can manage an event and also attend it. Model 1 leaves that only implicit through inheritance, so Model 2 is more faithful.
7. Rejected or checked issues: I did not use arrow direction, comment text, lowercase primitive types, or equivalent multiplicity spellings as negative evidence, because those are explicitly forbidden for scoring.
8. Overall judgment: Model 2 is better because it makes the organizer-attends scenario explicit while still covering the rest of the domain requirements competently. The gap is not huge, but it is meaningful.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</si>
  <si>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</si>
  <si>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`User`, `Organizer`, `Attendee`, `EventKind`, `Location`, `Event`, `TaskTemplate`, `EventTask`, and `Invitation`, but `EventTask` mixes checklist state with attendee assignment via `isAttendeeDesignated` and `Attendee "0..*" --&gt; "0..*" EventTask`, and `TaskTemplate "0..*" --&gt; "0..*" EventTask` adds a relatively loose many-to-many coupling. Model 2 keeps a cleaner split between identity (`Person`), reusable checklist items (`Task`), event-specific items (`EventTask` with `status` and `isForAttendees`), and the link `EventTask -- "1" Task`, which makes responsibilities more focused and the dependencies easier to follow.
2. Complexity: Model 1 = 4, Model 2 = 4; Evidence: Both diagrams have the same inheritance depth (`User/Person` generalizing to `Organizer` and `Attendee`), no methods, and roughly the same number of core classes and enums. Model 1 has `User`, `Organizer`, `Attendee`, `EventKind`, `Location`, `Event`, `TaskTemplate`, `EventTask`, `Invitation` plus two enums; Model 2 has `Person`, `Organizer`, `Attendee`, `Event`, `EventType`, `Location`, `Task`, `Invitation`, `EventTask` plus two enums. Model 2 adds one more explicit association (`Organizer attends Event`), but overall both are similarly moderate in structural complexity.
3. Practicability: Model 1 = 3, Model 2 = 4; Evidence: Model 1 captures the main entities, but it is less direct for the workflow because it lacks a specific `Organizer attends Event` relation and uses `Invitation.rsvpStatus` values `PENDING/CONFIRMED/MAYBE/DECLINED` instead of explicitly modeling "not yet replied"; its `TaskTemplate` to `EventTask` setup is also less immediately readable for event-specific checklists. Model 2 is more operationally clear: `Invitation.status` includes `NotReplied`, `Organizer "1..*" organizes "0..*" Event` and `Organizer "0..*" attends "0..*" Event` model the organizer roles explicitly, `Event *-- "0..*" Invitation` and `Attendee "0..*" receives "0..*" Invitation` describe the invitation flow, and `Attendee "0..*" selects "0..*" EventTask` matches the attendee task-selection behavior more directly. Neither model fully captures account creation from an invitation or list-based creation of new event types/locations, so Model 2 is better but not perfect.
Total: Model 1 = 10, Model 2 = 12
Choice: B
Reason:
1. Cohesion and decoupling: Model 2’s `Person` -&gt; `Organizer`/`Attendee` split, plus `Task` and `EventTask` as separate concepts, yields a cleaner responsibility boundary than Model 1’s looser `TaskTemplate` ↔ `EventTask` setup and attendee-to-task coupling.
2. Complexity: The two models are essentially tied in size and inheritance depth, so complexity does not overturn the decision. Model 2 is not materially more complex despite one extra association.
3. Practicability: Model 2 maps the required workflow more directly with `Organizer attends Event`, `Invitation.status = NotReplied`, and `Attendee selects EventTask`, which is easier to implement, test, and explain than Model 1’s less explicit RSVP and attendance modeling.
4. Rejected or checked issues: I did not use association arrow direction, opposite unidirectional links, primitive type aliases, equivalent multiplicity spellings, or optional abstractness as negative evidence, per the instructions.
5. Overall judgment: Model 2 is the stronger design because it is more coherent around the real use cases, especially organizer attendance, invitation response states, and attendee task selection.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</si>
  <si>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</si>
  <si>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`User`, `Organizer`, `Attendee`, `EventKind`, `Location`, `Event`, `TaskTemplate`, `TaskStatus`, `EventTask`, and `Invitation`, which map well to the requirement, but it is slightly more abstract than the wording in the prompt. Model 2 uses `Person`, `Organizer`, `Attendee`, `Event`, `EventType`, `Location`, `Task`, `EventTask`, `Invitation`, and the related enums, which more directly match the domain language in the requirement.
2. Associations/Multiplicities between classes for domain reasoning: Model 1 = 3, Model 2 = 4; Evidence: Model 1 captures key relations such as `EventKind *-- TaskTemplate`, `Event *-- EventTask`, `Event *-- Invitation`, `Invitation --&gt; Attendee`, `Attendee --&gt; EventTask`, and `Organizer --&gt; Event`, but it does not model organizer attendance to events and relies on an indirect path for invitations. Model 2 models `Organizer organizes Event`, `Organizer attends Event`, `Event *-- Invitation`, `Attendee receives Invitation`, `Event *-- EventTask`, `EventTask -- Task`, and `Attendee selects EventTask`, which is closer to the required workflow, though some relation lines are less explicit.
3. Model attributes with appropriate data types: Model 1 = 4, Model 2 = 5; Evidence: Model 1 gives `firstName`, `lastName`, `email`, `password`, `postalAddress`, `phoneNumber`, `name`, `address`, `description`, and `status` with reasonable types, but it uses `startDateTime: Date` and `endDateTime: Date`, which is a looser fit for required date/time values. Model 2 uses `startDateTime: DateTime` and `endDateTime: DateTime`, and otherwise models `email`, `password`, `postalAddress`, `phoneNumber`, `occasion`, `name`, `address`, `description`, and status fields with appropriate types.
4. Consistencies of Terminology with given context: Model 1 = 4, Model 2 = 5; Evidence: Model 1 is mostly consistent with the prompt through `Organizer`, `Attendee`, `Event`, `Location`, `Invitation`, and `EventTask`, but it uses `RsvpStatus` values like `CONFIRMED` and `DECLINED` instead of the prompt’s phrasing `attend`, `maybe`, `cannot attend`, and `not yet replied`. Model 2 aligns more directly with the wording via `InvitationStatus` values `Attending`, `Maybe`, `NotAttending`, `NotReplied`, plus `EventType` and `Task`.
5. Adherence of UML class diagram standards: Model 1 = 5, Model 2 = 3; Evidence: Model 1 uses standard PlantUML class and association syntax consistently, such as `User &lt;|-- Organizer`, `Event "1" --&gt; "1" Location`, and `Event "1" *-- "0..*" Invitation`. Model 2 contains several lines that read like plain-language relations rather than valid PlantUML, such as `Organizer "1..*" organizes "0..*" Event`, `Organizer "0..*" attends "0..*" Event`, `Attendee "0..*" receives "0..*" Invitation`, and `Attendee "0..*" selects "0..*" EventTask`, which weakens diagram syntax quality even though the intent is understandable.
Total: Model 1 = 20, Model 2 = 22
Choice: B
Reason:
1. Appropriate conceptual classes aligned with the domain: both models cover the main actors, event, location, invitation, and task concepts, but Model 2 is slightly closer to the prompt’s terminology with `Person`, `EventType`, and `Task` matching the requirement more directly than Model 1’s `User`, `EventKind`, and `TaskTemplate`.
2. Associations/Multiplicities between classes for domain reasoning: Model 2 better captures the organizer-attends-event and attendee-invitation flow explicitly, while Model 1 leaves organizer attendance implicit and leans more heavily on indirect structure.
3. Rejected or checked issues: I did not penalize Model 1 for using `Date` or Model 2 for using direct association labels as a style choice; the deciding factor on UML standards was whether the PlantUML syntax itself is clean. Model 2’s syntax is weaker, but its domain modeling advantages on classes, multiplicities, attributes, and terminology still outweigh that drawback.
4. Overall judgment: Model 2 is the better semantic fit overall despite weaker UML syntax, because it more directly matches the requirement’s lifecycle for invitations, RSVP states, and attendee-selected tasks.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</si>
  <si>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</si>
  <si>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person/account data: Model 1 = 4, Model 2 = 4; Evidence: Model 1 has `User` with `firstName`, `lastName`, `email`, `password`, and `Organizer` adds `postalAddress`, `phoneNumber`; Model 2 has the same structure with `Person`, `Organizer`, and an empty `Attendee` subclass in both diagrams.
2. Event definition and planning metadata: Model 1 = 4, Model 2 = 4; Evidence: Model 1’s `Event` includes `startDate`, `endDate`, `occasion`, linked to `EventType` and `Location`; Model 2’s `Event` includes `startDateTime`, `endDateTime`, `occasion`, also linked to `EventType` and `Location`, with `Location` carrying `name` and `address` in both.
3. Invitation identity and RSVP handling: Model 1 = 5, Model 2 = 3; Evidence: Model 1’s `Invitation` has `invitedEmail` and `rsvpStatus` with `PENDING`, `ATTENDING`, `MAYBE`, `DECLINED`, plus `Invitation "*" -- "0..1" Attendee : claimed by &gt;`; Model 2’s `Invitation` only has `status: InvitationStatus` and relies on `Attendee "0..*" receives "0..*" Invitation`, so the invitee email / username linkage is not explicit.
4. Organizer participation and multi-organizer support: Model 1 = 2, Model 2 = 5; Evidence: Model 1 has `Event "1" -- "1..*" Organizer : organized by &gt;`, which covers multiple organizers but has no separate organizer-attendance association; Model 2 has both `Organizer "1..*" organizes "0..*" Event` and `Organizer "0..*" attends "0..*" Event`, directly modeling “managing only” versus “also attends.”
5. Checklist/task reuse and per-event tracking: Model 1 = 5, Model 2 = 4; Evidence: Model 1 separates reusable `TaskTemplate` from event-specific `EventTask`, with `EventType "1" -- "*" TaskTemplate : defines &gt;`, `EventTask "*" -- "1" TaskTemplate : instantiates &gt;`, and `Event "1" -- "*" EventTask : tracks &gt;`; Model 2 also supports reusable tasks via `EventType *-- "0..*" Task` and per-event `Event *-- "0..*" EventTask`, but the template/event split is a bit less explicit.
6. Attendee task selection and who-brings-what tracking: Model 1 = 3, Model 2 = 4; Evidence: Model 1 uses `EventTask "*" -- "0..1" Invitation : assigned to &gt;` and `EventTask.isForAttendees`, which implies assignment through an invitation rather than direct attendee choice; Model 2 directly models `Attendee "0..*" selects "0..*" EventTask`, which more clearly matches attendees choosing what they will bring, though it still does not constrain selection to confirmed attendees.
Total: Model 1 = 23, Model 2 = 24
Choice: B
Reason:
1. Invitation and RSVP handling: Model 1 is stronger because `Invitation` carries `invitedEmail` and explicit RSVP states, while Model 2 omits the invitation email / username linkage.
2. Organizer participation: Model 2 is stronger because it explicitly separates `organizes` from `attends`, which is a direct requirement in the prompt and is absent in Model 1.
3. Task flow: Model 1 is stronger on reusable checklist semantics because `TaskTemplate` and `EventTask` make the template-versus-instance distinction very clear, while Model 2 is slightly more compressed.
4. Attendee task selection: Model 2 is stronger because `Attendee selects EventTask` is a direct semantic match for “select their tasks,” whereas Model 1 routes assignment through `Invitation`.
5. Rejected or checked issues: I did not penalize equivalent association direction, primitive type aliases like `boolean` vs `Boolean`, or equivalent multiplicity spellings.
6. Overall judgment: Model 2 edges out Model 1 because it covers the explicit organizer-attendance requirement and the attendee task-selection requirement more directly, and that outweighs Model 1’s better invitation-email modeling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</si>
  <si>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</si>
  <si>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has a clean split between `User` -&gt; `Organizer` / `Attendee`, `EventType` -&gt; `TaskTemplate`, and `EventTask` linked to `TaskTemplate`, but it also couples task assignment to `Invitation` via `EventTask "*" -- "0..1" Invitation : assigned to &gt;`, which is less direct. Model 2 also separates common person data with `Person` -&gt; `Organizer` / `Attendee`, but its role-specific associations are more explicit and aligned with the workflow: `Organizer "0..*" attends "0..*" Event`, `Organizer "1..*" organizes "0..*" Event`, and `Attendee "0..*" selects "0..*" EventTask`.
2. Complexity: Model 1 = 4, Model 2 = 4; Evidence: both diagrams are about the same size and depth, with roughly 9 classes plus 2 enums and a shallow inheritance tree (`User`/`Person` as the base, then `Organizer` and `Attendee`). Model 1 uses `TaskTemplate` and `EventTask`; Model 2 uses `Task` and `EventTask`, so the conceptual load is comparable.
3. Practicability: Model 1 = 3, Model 2 = 4; Evidence: Model 1 is practical for pre-account invitations because `Invitation` carries `invitedEmail` and `Invitation "*" -- "0..1" Attendee : claimed by &gt;` supports later account creation, but it does not explicitly model an organizer who both manages and attends, and attendee task picking is only indirect through `EventTask ... assigned to Invitation`. Model 2 more directly matches the required workflow with `Organizer "0..*" attends "0..*" Event`, `InvitationStatus` including `NotReplied`, and `Attendee "0..*" selects "0..*" EventTask`; its main weakness is that `Invitation` only stores `status` and is linked to `Attendee`, so the pre-account invitation step is less explicit.
Total: Model 1 = 10, Model 2 = 12
Choice: B
Reason:
1. Cohesion and Decoupling: Model 2 has cleaner role modeling for the core interactions. The organizer has distinct `organizes` and `attends` links, and attendees directly `select` event tasks. Model 1 is cohesive in parts, but `EventTask` being assigned to `Invitation` is a looser fit than Model 2's direct attendee-task relation.
2. Complexity: They are effectively tied. Both use a similar number of classes and a shallow inheritance structure, so neither has a complexity advantage strong enough to outweigh the domain fit.
3. Rejected or checked issues: I did not penalize association direction, primitive type spelling (`boolean` vs `Boolean`), or multiplicity shorthand, since those are forbidden as scoring factors.
4. Overall judgment: Model 2 covers the main runtime behaviors more directly: organizers can both manage and attend, attendees can choose what they bring, and RSVP status is explicit. Model 1 is better on pre-account invitation detail via `invitedEmail`, but Model 2 is the stronger overall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</si>
  <si>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</si>
  <si>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has `Organizer`, `Attendee`, `Event`, `EventType`, `Location`, `Invitation`, `TaskTemplate`, and `EventTask`, which map well to the brief. Model 2 has the same core concepts via `Person`, `Organizer`, `Attendee`, `Event`, `EventType`, `Location`, `Task`, `Invitation`, and `EventTask`. Both are mostly aligned, but neither cleanly captures that one person can be both organizer and attendee in the same event.
2. Associations/Multiplicities between classes for domain reasoning: Model 1 = 4, Model 2 = 3; Evidence: Model 1’s `Event "1" -- "1..*" Organizer`, `Event "1" -- "*" Invitation`, `EventType "1" -- "*" TaskTemplate`, and `EventTask "*" -- "0..1" Invitation` give a coherent event/invitation/checklist structure. Model 2’s `Organizer "1..*" organizes "0..*" Event`, `Attendee "0..*" receives "0..*" Invitation`, and `Attendee "0..*" selects "0..*" EventTask` are looser and the invitation multiplicity is especially weak because one invitation should not be received by multiple attendees.
3. Model attributes with appropriate data types: Model 1 = 4, Model 2 = 4; Evidence: Model 1 provides `firstName`, `lastName`, `email`, `password`, `postalAddress`, `phoneNumber`, `startDate: DateTime`, `endDate: DateTime`, `invitedEmail`, `rsvpStatus`, and `isForAttendees: Boolean`. Model 2 similarly gives `firstName`, `lastName`, `email`, `password`, `postalAddress`, `phoneNumber`, `startDateTime: DateTime`, `endDateTime: DateTime`, `status`, and `isForAttendees: boolean`. Both are mostly well-typed; Model 1 is slightly more explicit about invitation email, while Model 2 is slightly more explicit about datetime naming.
4. Consistencies of Terminology with given context: Model 1 = 4, Model 2 = 4; Evidence: Model 1 uses `Organizer`, `Attendee`, `Invitation`, `Location`, and `EventTask`, but `User` and `Declined` are a bit more generic than the prose. Model 2 uses `Person`, `InvitationStatus` with `Attending/Maybe/NotAttending/NotReplied`, and `TaskStatus` with `NeedsToBeDone/HasBeenDone/NotApplicable`, which is very close to the wording, though `Task` and `Person` are still generic.
5. Adherence of UML class diagram standards: Model 1 = 5, Model 2 = 5; Evidence: Both are valid PlantUML-style class diagrams with enums, class declarations, inheritance, and associations. Model 1 uses standard links like `User &lt;|-- Organizer` and `Event "1" -- "*" Invitation`; Model 2 uses standard class relations such as `Person &lt;|-- Organizer`, `Event *-- "0..*" Invitation`, and `EventTask -- "1" Task`. No blocking UML syntax problems are present.
Total: Model 1 = 21, Model 2 = 20
Choice: A
Reason:
1. Associations/multiplicities: Model 1 better captures the event/invitation/checklist structure; Model 2’s `Attendee "0..*" receives "0..*" Invitation` and `Attendee "0..*" selects "0..*" EventTask` are too unconstrained, while Model 1 keeps `Event` tied to at least one organizer and links tasks back to invitations.
2. Conceptual classes and terminology: both models cover the main nouns, but Model 1’s `Invitation`, `TaskTemplate`, and `EventTask` line up cleanly with the checklist workflow, while Model 2’s `Person`/`Task` are more generic and slightly less precise.
3. Rejected or checked issues: I did not penalize either model for using `boolean` vs `Boolean`, `*` vs `0..*`, or opposite association directions, because those are semantically equivalent under the rules.
4. Overall judgment: Model 1 is the stronger UML model because it makes the domain relationships more defensible, especially around organizers, invitations, and checklist tasks, even though both diagrams are broadly usable.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</si>
  <si>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</si>
  <si>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Base user and role attributes: Model 1 = 5, Model 2 = 5; Evidence: Model 1 has `User` with `firstName`, `lastName`, `email`, `password`, plus `Organizer` with `postalAddress` and `phoneNumber`, and an `Attendee` subclass. Model 2 has the same `User`/`Organizer`/`Attendee` structure and additionally notes that `email serves as username`.
2. Event metadata plus event kind/location setup: Model 1 = 5, Model 2 = 4; Evidence: Model 1 models `Event` with `startDate: DateTime`, `endDate: DateTime`, `occasion: String`, plus `EventType` and `Location` (`name`, `address`), and links `Event` to exactly one type and one location. Model 2 has the same conceptual pieces (`EventKind`, `Location`), but uses `startDateTime: Date` / `endDateTime: Date`, which is less exact than the required date/time detail.
3. Invitation creation, account creation, and RSVP flow: Model 1 = 5, Model 2 = 4; Evidence: Model 1 has `Invitation` with `invitedEmail` and `rsvpStatus`, plus `Invitation "*" -- "0..1" Attendee : claimed by`, which fits the idea that an invitation exists before an attendee account is created. Model 2 has `Invitation` with `rsvpStatus` and `Invitation "*" --&gt; "1" Attendee : sentTo`, which is workable for delivery but is less faithful to the “receive invitation first, create account later” flow because it binds each invitation to an attendee from the start.
4. Checklist, task templates, and task status tracking: Model 1 = 5, Model 2 = 4; Evidence: Model 1 models `TaskTemplate`, `EventTask`, `TaskStatus`, and connects `EventTask "*" -- "1" TaskTemplate : instantiates`, with `status: TaskStatus` capturing `TODO`, `DONE`, and `NOT_APPLICABLE`. Model 2 also has `TaskTemplate`, `EventTask`, and `TaskStatus`, but `TaskTemplate "0..*" --&gt; "0..*" EventTask : instantiates` is weaker and less precise than a direct per-task instantiation link.
5. Attendee-selected tasks and “who brings what”: Model 1 = 4, Model 2 = 3; Evidence: Model 1 uses `EventTask "*" -- "0..1" Invitation : assigned to`, which can represent one task being assigned to one invited person or left unassigned. Model 2 uses `Attendee "0..*" --&gt; "0..*" EventTask : volunteersFor`, which allows many attendees per task and many tasks per attendee, but does not constrain the one-task-one-person selection that the requirement implies for bringing items.
6. Organizer can also attend the event: Model 1 = 2, Model 2 = 2; Evidence: Both models only split `User` into `Organizer` and `Attendee` via `User &lt;|-- Organizer` and `User &lt;|-- Attendee`, with no relationship or constraint allowing the same person to be both roles for one event. This means both miss the “organizer may also attend” nuance.
7. Cardinality and relationship precision overall: Model 1 = 4, Model 2 = 3; Evidence: Model 1 keeps the key links relatively direct: `Event` to `Organizer`, `EventType`, `Location`, `Invitation`, and `EventTask`, with clear multiplicities like one event having one or more organizers and invitations. Model 2 adds several stronger or looser constructs, such as `Organizer "1..*" --&gt; "1..*" Event : manages`, `Event "1" *-- "0..*" EventTask`, and `Event "1" *-- "0..*" Invitation`, which are not clearly required by the problem and make some ownership/cardinality assumptions that the requirement does not state.
Total: Model 1 = 30, Model 2 = 25
Choice: A
Reason:
1. Event metadata and planning: Model 1 is closer because it uses `DateTime` for start/end and keeps the event-type/location structure straightforward, while Model 2 weakens the time requirement by using `Date`.
2. Invitation and attendance flow: Model 1 better matches the “invitation first, account later” workflow with `Invitation "*" -- "0..1" Attendee`, whereas Model 2 binds each invitation to exactly one attendee immediately.
3. Task assignment: Model 1 more directly supports a single attendee being assigned to a task, which is what “who is bringing what” needs; Model 2’s many-to-many `volunteersFor` relation is too loose.
4. Rejected or checked issues: I did not score against association arrow direction alone, primitive type spelling, or comment syntax. Model 2’s `CONFIRMED` vs Model 1’s `ATTENDING` was treated as equivalent RSVP semantics, not as a decisive difference.
5. Overall judgment: Both diagrams cover the main domain objects, but Model 1 is more faithful to the required workflow and tighter on the task/invitation semantics,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</si>
  <si>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</si>
  <si>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responsibilities fairly separated with `User` split into `Organizer` and `Attendee`, `EventType` owning `TaskTemplate`, and `EventTask` linked to a single `TaskTemplate` plus an optional `Invitation` (`EventTask "*" -- "1" TaskTemplate`, `EventTask "*" -- "0..1" Invitation`). Model 2 uses more cross-cutting links, including `EventKind *-- TaskTemplate`, `TaskTemplate --&gt; EventTask`, `Attendee --&gt; EventTask`, and `Organizer --&gt; Event`, which increases coupling and makes responsibilities less sharply bounded.
2. Complexity: Model 1 = 4, Model 2 = 3; Evidence: Both models have the same basic class count and no methods, so structural complexity is comparable at the class level. Model 2 is more complex in relationships because it adds several many-to-many associations (`TaskTemplate "0..*" --&gt; "0..*" EventTask`, `Attendee "0..*" --&gt; "0..*" EventTask`, `Organizer "1..*" --&gt; "1..*" Event`) and more navigable links overall, while Model 1 stays closer to a simpler mostly one-to-many structure around `Event`, `Invitation`, `EventType`, and `EventTask`.
3. Practicability: Model 1 = 3, Model 2 = 2; Evidence: Model 1 models the invitation workflow more directly with `Invitation.invitedEmail`, `Invitation.rsvpStatus`, and `Invitation "*" -- "0..1" Attendee : claimed by &gt;`, which fits the idea that people can be invited before they have an account. It also makes task assignment clearer via `EventTask.status` and `EventTask.isForAttendees`. Model 2 is harder to use in practice because `Invitation` has no invitee email or name, and it is tied directly to `Attendee` (`Invitation "*" --&gt; "1" Attendee : sentTo`), which clashes with the requirement that an attendee may create an account only after receiving the invitation; its `Attendee --&gt; EventTask` and `TaskTemplate --&gt; EventTask` associations are also less explicit about who brings what.
Total: Model 1 = 11, Model 2 = 8
Choice: A
Reason:
1. Cohesion and Decoupling: Model 1 has cleaner responsibility boundaries around invitations, event types, and tasks, while Model 2 spreads those concerns across more associations and uses broader many-to-many links.
2. Complexity: Model 1 is structurally simpler without losing the core workflow, while Model 2 adds extra relational complexity that is not clearly justified by the requirement.
3. Practicability: Model 1 better supports the real-world invitation and task-allocation flow; Model 2’s invitation-to-attendee link is less practical because it assumes an attendee object already exists before invitation handling.
4. Rejected or checked issues: I did not penalize Model 2 for opposite-direction associations like `Event "1" --&gt; "0..*" Event` versus a bidirectional line, because those are semantically equivalent under the rules. I also did not use primitive type spelling differences or the lack of `abstract` markers as negative evidence.
5. Overall judgment: Model 1 is the better UML design for this requirement because it is more coherent, less entangled, and closer to the invitation and checklist workflow described in the problem statement.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</si>
  <si>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</si>
  <si>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`User`, `Organizer`, `Attendee`, `Event`, `EventType`, `Location`, `Invitation`, `TaskTemplate`, and `EventTask`, which maps cleanly to organizers, invitees, event kinds, locations, and reusable checklist tasks. Model 2 has the same core set with `EventKind` instead of `EventType`, but `Invitation` only carries `rsvpStatus` and is tied to `Attendee`, which weakens the email-based invitation/account-creation concept from the requirement.
2. Associations/Multiplicities between classes for domain reasoning: Model 1 = 4, Model 2 = 3; Evidence: Model 1 models the key relations with `Event "1" -- "1..*" Organizer`, `Event "1" -- "*" Invitation`, `EventType "1" -- "*" TaskTemplate`, and `EventTask "*" -- "1" TaskTemplate`, which mostly supports multiple organizers, invitations, and reusable task templates. Model 2 also links `EventKind` to `TaskTemplate`, `Event`, `Event`, `EventTask`, and `Invitation`, but `TaskTemplate "0..*" --&gt; "0..*" EventTask` and `Attendee "0..*" --&gt; "0..*" EventTask` make the task-template and task-to-attendee relationships too loose for the scenario.
3. Model attributes with appropriate data types: Model 1 = 5, Model 2 = 4; Evidence: Model 1 captures `firstName`, `lastName`, `email`, `password`, `postalAddress`, `phoneNumber`, `startDate`, `endDate`, `occasion`, `Location.name/address`, `Invitation.invitedEmail`, and the status enums, which closely matches the requirement. Model 2 covers most of the same fields and adds the note that email is the username, but `Invitation` lacks the invited email attribute and `Event.startDateTime/endDateTime` are typed as `Date` rather than an explicit date-time type.
4. Consistencies of Terminology with given context: Model 1 = 5, Model 2 = 4; Evidence: Model 1 uses `EventType`, `TaskTemplate`, `EventTask`, `Invitation.invitedEmail`, and RSVP values like `PENDING`, `ATTENDING`, `MAYBE`, `DECLINED`, which stay close to the wording of the scenario. Model 2’s `EventKind`, `isAttendeeDesignated`, `CONFIRMED`, and `TO_DO` are still understandable, but the invitation/account flow is less faithful because the invite is modeled through `Attendee` rather than the email-addressed invitee described in the requirement.
5. Adherence of UML class diagram standards: Model 1 = 5, Model 2 = 5; Evidence: both are valid PlantUML class diagrams using standard classes, enums, inheritance, associations, and multiplicities. Neither has syntax or notation issues that prevent correct UML interpretation.
Total: Model 1 = 24, Model 2 = 20
Choice: A
Reason:
1. Appropriate conceptual classes: Model 1 maps the required domain concepts more directly, especially with `Invitation.invitedEmail` and the reusable `TaskTemplate`/`EventTask` split; Model 2 is close but abstracts the invitation in a way that loses the email-based invitation detail.
2. Associations/multiplicities: Model 1’s task and invitation links are tighter and more domain-faithful, while Model 2 overgeneralizes task assignment with many-to-many task/attendee relations and a many-to-many task/template link.
3. Rejected or checked issues: I did not penalize either model for equivalent UML association direction or equivalent enum/value wording where the meaning is the same. I also did not treat `ATTENDING` vs `CONFIRMED` as a major semantic difference.
4. Overall judgment: Model 1 is the better UML model because it captures the invitation and checklist structure more precisely while still staying aligned with the scenario and UML conventions.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</si>
  <si>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</si>
  <si>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identities and account data: Model 1 = 5, Model 2 = 5; Evidence: Model 1 has `Person { firstName, lastName, email, password }` with `Organizer` adding `postalAddress` and `phoneNumber`, and `Attendee` as a subclass. Model 2 has `User { firstName, lastName, email, password }` with the same `Organizer` / `Attendee` subclasses, plus a note that `email serves as username`.
2. Event metadata, kind, and location: Model 1 = 5, Model 2 = 5; Evidence: Model 1 defines `Event { occasion, startDateTime, endDateTime }`, `EventType { name }`, `Location { name, address }`, and links `Event` to exactly one `EventType` and one `Location`. Model 2 defines `Event { startDateTime, endDateTime, occasion }`, `EventKind { name }`, `Location { name, address }`, and the corresponding `EventKind` and `Location` associations.
3. Organizer participation and invitation flow: Model 1 = 5, Model 2 = 2; Evidence: Model 1 explicitly has `Organizer "1..*" organizes "0..*" Event` and `Organizer "0..*" attends "0..*" Event`, which covers several organizers and optional organizer attendance, plus `Event *-- "0..*" Invitation` and `Attendee "0..*" receives "0..*" Invitation`. Model 2 has `Organizer "1..*" --&gt; "1..*" Event manages` and `Event "1" *-- "0..*" Invitation`, but it never models an organizer attending the event, and the `1..*` on both sides overstates the requirement by forcing every organizer to manage at least one event.
4. RSVP / invitation status: Model 1 = 5, Model 2 = 5; Evidence: Model 1 uses `Invitation.status: InvitationStatus` with `Attending`, `Maybe`, `NotAttending`, `NotReplied`. Model 2 uses `Invitation.rsvpStatus: RsvpStatus` with `PENDING`, `CONFIRMED`, `MAYBE`, `DECLINED`, which captures the same lifecycle including not-yet-replied.
5. Checklist reuse and per-event task state: Model 1 = 4, Model 2 = 5; Evidence: Model 1 uses `EventType *-- "0..*" Task`, `Event *-- "0..*" EventTask`, `EventTask -- "1" Task`, and `EventTask.status: TaskStatus` plus `isForAttendees`, which does model reusable checklist items and per-event instances, but the template/instance split is less explicit. Model 2 separates `TaskTemplate` from `EventTask` via `EventKind "1" *-- "0..*" TaskTemplate` and `TaskTemplate "0..*" --&gt; "0..*" EventTask`, with `EventTask.status: TaskStatus` and `isAttendeeDesignated`, which maps more directly to reusable tasks for the next event.
6. Attendee task assignment and organizer visibility: Model 1 = 4, Model 2 = 4; Evidence: Model 1 has `Attendee "0..*" selects "0..*" EventTask`, which directly models attendees choosing tasks to bring, together with `isForAttendees`. Model 2 has `Attendee "0..*" --&gt; "0..*" EventTask : volunteersFor` and `isAttendeeDesignated`, which also supports attendee task selection, but neither model explicitly constrains this to confirmed attendees or encodes the organizer’s “who is bringing what” view beyond the assignment relation.
Total: Model 1 = 28, Model 2 = 26
Choice: A
Reason:
1. Organizer participation and invitation flow: Model 1 directly captures the requirement that an organizer may also attend the event, with `Organizer "0..*" attends "0..*" Event`. Model 2 omits that relationship entirely, which is a meaningful miss for this domain.
2. Checklist reuse: Model 2 is a bit cleaner on reusable task templates, but that advantage is smaller than Model 1’s coverage of organizer attendance and its otherwise complete event/invitation structure.
3. Rejected or checked issues: I did not use association direction, paired arrows, or the `'opposite ...` labels as negative evidence because they are semantically equivalent under the rules. I also did not penalize primitive-type spelling differences.
4. Overall judgment: Model 1 is more faithful to the full requirement set, especially around organizer participation, while Model 2 leaves out a key business rule.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</si>
  <si>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</si>
  <si>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groups shared identity in `Person` and cleanly separates reusable and per-event concerns with `EventType *-- Task`, `Event *-- Invitation`, `Event *-- EventTask`, and `EventTask -- "1" Task`. Model 2 also centralizes identity in `User` and separates `TaskTemplate` from `EventTask`, but `TaskTemplate "0..*" --&gt; "0..*" EventTask` and `Organizer "1..*" --&gt; "1..*" Event` create broader, more coupled links.
2. Complexity: Model 1 = 4, Model 2 = 4; Evidence: Both diagrams have the same overall scale: 9 classes, 2 enums, no operations, and the same inheritance depth (`Person/User` specialized by `Organizer` and `Attendee`). Model 2 does not materially reduce structural complexity relative to Model 1.
3. Practicability: Model 1 = 4, Model 2 = 3; Evidence: Model 1 directly supports the workflow with `Organizer "0..*" attends "0..*" Event`, `Attendee "0..*" receives "0..*" Invitation`, `Invitation.status` including `NotReplied`, and event-specific checklist items via `EventTask`. Model 2 is readable and adds the helpful note `email serves as username`, but it omits the organizer-also-attends case and relies on a looser `Attendee 0..* --&gt; 0..* EventTask : volunteersFor` plus `TaskTemplate 0..* --&gt; 0..* EventTask`, which is less direct for implementation and testing.
Total: Model 1 = 12, Model 2 = 10
Choice: A
Reason:
1. Cohesion and Decoupling: Model 1 keeps the reusable task definition and per-event task instance relationships tighter and more local than Model 2, which introduces broader many-to-many links between templates, events, and organizers.
2. Complexity: The diagrams are comparable in raw size and inheritance depth, so neither gains a strong complexity advantage here.
3. Practicability: Model 1 better matches the required behavior for organizers who may also attend, invitation tracking, and event-specific checklists. Model 2 is still workable, but its missing organizer-attendance relation and looser task assignment make it less practical.
4. Rejected or checked issues: I did not use opposite association direction, PlantUML comments, primitive type aliases, or abstractness style as negative evidence, since those are forbidden or non-decisive under the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</si>
  <si>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</si>
  <si>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`Person`, `Organizer`, `Attendee`, `Event`, `EventType`, `Location`, `Task`, `Invitation`, and `EventTask`, which map directly to the celebration-planning domain. Model 2 also covers the core domain with `User`, `Organizer`, `Attendee`, `EventKind`, `Location`, `Event`, `TaskTemplate`, `EventTask`, and `Invitation`, but `User` and `TaskTemplate` are a bit more generic/technical than the prompt wording.
2. Associations/Multiplicities between classes for domain reasoning: Model 1 = 4, Model 2 = 3; Evidence: Model 1 models key relations such as `Organizer ... organizes Event`, `Organizer ... attends Event`, `Event *-- Invitation`, `Attendee ... receives Invitation`, `EventType *-- Task`, `Event *-- EventTask`, and `Attendee ... selects EventTask`. Model 2 captures `EventKind ... Event`, `Event *-- Invitation`, `Invitation ... Attendee`, `Attendee ... EventTask`, `Organizer ... Event`, and `TaskTemplate ... EventTask`, but it omits the explicit organizer-attends-event relationship and its `Organizer "1..*" --&gt; "1..*" Event` management link is less flexible than the requirement’s “sometimes only managing, sometimes also attending” scenario.
3. Model attributes with appropriate data types: Model 1 = 5, Model 2 = 4; Evidence: Model 1 uses `startDateTime: DateTime` and `endDateTime: DateTime`, plus `postalAddress: String`, `phoneNumber: String`, `email: String`, `password: String`, `Location(name, address)`, and task/invitation status attributes. Model 2 has the same general attribute coverage and correctly notes that email is the username, but it uses `startDateTime: Date` and `endDateTime: Date`, which is less precise than the required date/time fields.
4. Consistencies of Terminology with given context: Model 1 = 5, Model 2 = 4; Evidence: Model 1 uses prompt-aligned terms such as `InvitationStatus` with `Attending`, `Maybe`, `NotAttending`, `NotReplied`, and `TaskStatus` with `NeedsToBeDone`, `HasBeenDone`, `NotApplicable`. Model 2 is still understandable, but `User`, `EventKind`, `TaskTemplate`, and `RsvpStatus` (`PENDING`, `CONFIRMED`, `DECLINED`) are a little more abstract/implementation-flavored than the wording in the requirement.
5. Adherence of UML class diagram standards: Model 1 = 5, Model 2 = 5; Evidence: Both diagrams use standard UML/PlantUML class, enum, inheritance, association, and composition constructs with readable multiplicities and no syntax-breaking structure.
Total: Model 1 = 24, Model 2 = 20
Choice: A
Reason:
1. Appropriate conceptual classes: both models identify the main entities, but Model 1 is slightly more domain-faithful with `Person`/`Task`/`EventType` matching the problem statement more directly than Model 2’s more generic `User`/`TaskTemplate`.
2. Associations/Multiplicities: Model 1 is stronger because it explicitly models organizer attendance with `Organizer ... attends Event`, which matters because the requirement says an organizer may manage an event without attending it, or may also attend. Model 2 misses that relationship and instead only has `Organizer ... Event` management.
3. Attributes/data types: Model 1 better matches the required schedule fields by using `DateTime` for both start and end. Model 2’s `Date` fields are less precise for a requirement that explicitly asks for date/time.
4. Rejected or checked issues: I did not use association arrow style, quoted PlantUML comments, or primitive-type aliases as negative evidence, because those are explicitly forbidden as scoring factors. The decision came from actual semantic coverage and attribute fidelity.
5. Overall judgment: Model 1 better satisfies the domain and requirement details while remaining a valid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</si>
  <si>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</si>
  <si>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Model 1 = 4, Model 2 = 4; Evidence: Model 1 includes `Person`, `Organizer`, `Attendee`, `Event`, `EventType`, `Location`, `Invitation`, `Task`, and `EventTask`. Model 2 includes `User`, `Organizer`, `Attendee`, `Event`, `EventType`, `Location`, `Invitation`, `TaskTemplate`, and `EventTask`. Both cover the main domain nouns required by the scenario.
2. Organizer, attendee, and invitation flow: Model 1 = 5, Model 2 = 4; Evidence: Model 1 explicitly has `Organizer "0..*" attends "0..*" Event` and `InvitationStatus` with `NotReplied`, which matches the requirement that an organizer may manage without attending or may also attend. Model 2 has `Invitation.invitedEmail`, `RsvpStatus`, and `Invitation "*" -- "0..1" Attendee : claimed by &gt;`, but it does not explicitly model organizer attendance.
3. Event type and location modeling: Model 1 = 4, Model 2 = 4; Evidence: Model 1 links `Event -- "1" EventType` and `Event -- "1" Location`, with `EventType.name` and `Location.name/address`. Model 2 does the same with `Event "1" -- "1" EventType` and `Event "1" -- "1" Location`, and also includes `Event.startDate`, `endDate`, and `occasion`.
4. Checklist reuse and per-event task status: Model 1 = 4, Model 2 = 5; Evidence: Model 1 uses `EventType *-- "0..*" Task` and `Event *-- "0..*" EventTask`, with `EventTask.status` and `Task.description`, which supports reusable checklist items and per-event task state. Model 2 uses `EventType "1" -- "*" TaskTemplate` and `EventTask "*" -- "1" TaskTemplate`, which makes the reusable template versus per-event instance split more explicit while also keeping `EventTask.status`.
5. Attendee task assignment semantics: Model 1 = 3, Model 2 = 4; Evidence: Model 1 has `Attendee "0..*" selects "0..*" EventTask`, which allows many attendees to select the same task and does not anchor the selection to an invitation. Model 2 has `EventTask "*" -- "0..1" Invitation : assigned to &gt;` and `Invitation "*" -- "0..1" Attendee : claimed by &gt;`, which is closer to the requirement that attendees select what they are bringing, although it still does not explicitly restrict assignment to confirmed attendees.
Total: Model 1 = 20, Model 2 = 21
Choice: B
Reason:
1. Organizer attendance: Model 1 is stronger because it explicitly models that an organizer can attend or only manage the event, while Model 2 omits that relation.
2. Task/checklist structure: Model 2 is slightly stronger because `TaskTemplate` and `EventTask` cleanly separate reusable checklist items from event-specific task state.
3. Rejected or checked issues: I did not penalize either model for association direction, equivalent multiplicity syntax, or type spelling differences, because those are semantically equivalent under the instructions.
4. Overall judgment: Model 2 is a bit closer to the requirement overall because its invitation and task-assignment structure is more faithful, and that advantage outweighs Model 1's better organizer-attendance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</si>
  <si>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</si>
  <si>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reasonable split of `Person` -&gt; `Organizer`/`Attendee`, but it mixes concepts more tightly through `EventType *-- Task`, `Event *-- EventTask`, and `Attendee "0..*" selects "0..*" EventTask`, which makes the reusable task list and per-event task state less cleanly separated. Model 2 separates `TaskTemplate` from `EventTask` and uses `Invitation` as the linking concept (`EventTask "*" -- "1" TaskTemplate : instantiates &gt;`, `EventTask "*" -- "0..1" Invitation : assigned to &gt;`), giving each class a more focused role, though it does introduce an extra bridge class.
2. Complexity: Model 1 = 4, Model 2 = 4; Evidence: Both diagrams have essentially the same structural size: one base user/person class with two specializations, one event aggregate, one event-type class, one location class, one invitation class, and task-related classes, with only one inheritance level and no methods. Model 1 is a little flatter with `Task` plus `EventTask`, while Model 2 adds `TaskTemplate` and an invitation assignment link, but that added detail is aligned with the reusable-task requirement, so overall complexity stays balanced.
3. Practicability: Model 1 = 3, Model 2 = 4; Evidence: Model 1 is readable and covers key behavior with `Organizer attends Event`, `Invitation status`, and `Attendee selects EventTask`, but the invitation flow is less practical because `Invitation` has no invited email and `Attendee receives Invitation` assumes an attendee object already exists. Model 2 is more operationally useful because `Invitation` stores `invitedEmail` and `rsvpStatus`, `Invitation "*" -- "0..1" Attendee : claimed by &gt;` supports the “create an account after receiving an invite” flow, and `TaskTemplate`/`EventTask` cleanly separates reusable checklist definitions from per-event instances.
Total: Model 1 = 10, Model 2 = 12
Choice: B
Reason:
1. Cohesion and decoupling: Model 2 is better because it gives `TaskTemplate`, `EventTask`, and `Invitation` distinct responsibilities, while Model 1 blends reusable task definition and event-specific task state more directly.
2. Complexity: Both are similarly sized and shallow, so neither has a clear complexity advantage; Model 2’s extra abstraction is justified by the requirement for reusable event-specific checklists.
3. Practicability: Model 2 is stronger for the real invitation lifecycle because it explicitly models `invitedEmail`, RSVP state, and claim-by-attendee behavior, which makes the flow more testable and implementable.
4. Rejected or checked issues: I did not use association direction/style as a penalty, since `Event -- Invitation` and `Event *-- Invitation` are semantically equivalent under the rules; I also did not treat primitive type spelling differences as meaningful.
5. Overall judgment: Model 2 better matches the operational workflow of inviting people before accounts exist and reusing task templates across events, even though Model 1 is slightly more explicit about organizers also attending.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</si>
  <si>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</si>
  <si>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has `Person`, `Organizer`, `Attendee`, `Event`, `EventType`, `Location`, `Invitation`, `Task`, and `EventTask`, which all map cleanly to the celebration-planning domain. Model 2 has the same core domain set using `User` instead of `Person`, plus `TaskTemplate` and `EventTask`, which are also reasonable domain concepts.
2. Associations/Multiplicities between classes for domain reasoning: Model 1 = 4, Model 2 = 3; Evidence: Model 1 captures key links such as `Organizer "1..*" organizes "0..*" Event`, `Event -- "1" EventType`, `Event -- "1" Location`, `Event *-- "0..*" Invitation`, and `Event *-- "0..*" EventTask`, but `Attendee "0..*" receives "0..*" Invitation` is too loose for invitation-to-person semantics. Model 2 improves some workflow links with `Invitation "*" -- "0..1" Attendee` and `EventTask "*" -- "0..1" Invitation`, but `Event "1" -- "1..*" Organizer` incorrectly constrains each organizer to only one event, which is a stronger domain mismatch than Model 1’s issues.
3. Model attributes with appropriate data types: Model 1 = 4, Model 2 = 4; Evidence: Model 1 includes the expected organizer and event data such as `firstName`, `lastName`, `email`, `password`, `postalAddress`, `phoneNumber`, `occasion`, `startDateTime`, `endDateTime`, `Location.name`, `Location.address`, and `Task.description`, but its `Invitation` lacks an email field. Model 2 adds `Invitation.invitedEmail` and `rsvpStatus`, while also modeling `Event.startDate`, `Event.endDate`, `occasion`, `TaskTemplate.description`, and `EventTask.status`; its types are appropriate, though `startDate`/`endDate` are slightly less explicit than `startDateTime`/`endDateTime`.
4. Consistencies of Terminology with given context: Model 1 = 5, Model 2 = 4; Evidence: Model 1 uses terminology that closely mirrors the requirement, including `Organizer`, `Attendee`, `InvitationStatus` with `Attending`, `Maybe`, `NotAttending`, `NotReplied`, and `TaskStatus` with `NeedsToBeDone`, `HasBeenDone`, `NotApplicable`. Model 2 is still understandable with `User`, `RsvpStatus` (`PENDING`, `ATTENDING`, `MAYBE`, `DECLINED`), and `TaskTemplate`, but the wording is slightly more generic and less directly aligned to the narrative.
5. Adherence of UML class diagram standards: Model 1 = 5, Model 2 = 5; Evidence: Both diagrams use standard UML/PlantUML constructs correctly enough to be interpreted as class diagrams: classes, enums, inheritance, associations, multiplicities, and composition/aggregation are all present. Neither model has notation errors severe enough to make the diagram unreadable.
Total: Model 1 = 23, Model 2 = 21
Choice: A
Reason:
1. Associations/multiplicities: Model 1 better preserves the organizer-to-event workflow with `Organizer "1..*" organizes "0..*" Event`, while Model 2’s `Event "1" -- "1..*" Organizer` over-constrains organizers to a single event. Model 2 does have a useful `Invitation "*" -- "0..1" Attendee`, but the organizer-event constraint is a larger semantic error.
2. Terminology: Model 1 is closer to the requirement wording, especially `InvitationStatus` and `TaskStatus`, which mirror the narrative more directly than Model 2’s more generic `RsvpStatus` and `TaskTemplate`.
3. Rejected or checked issues: I did not penalize either model for association arrow direction, use of `*` versus `0..*`, or lowercase primitive aliases. Those are semantically equivalent under the rules and were not used in the decision.
4. Overall judgment: Both diagrams are broadly competent, but Model 1 is slightly stronger on domain reasoning and terminology, while Model 2’s better invitation attributes do not fully offset its tighter and less accurate organizer multiplicity.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</si>
  <si>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</si>
  <si>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</si>
  <si>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</si>
  <si>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entity coverage: Model 1 = 4, Model 2 = 5; Evidence: Model 1 includes `Game`, `Board`, `Tile`, `Player`, `PlayingPiece`, `Die`, `Deck`, and `ActionTile`, with `Game "1" *-- "2..4" Player : players`. Model 2 includes all of those core concepts plus `GameDesigner`, `GameBoard`, `ConnectionPiece`, `ConnectionPiecePile`, `RegularTile`, `HiddenTile`, and `ActionTile`, so it reflects more of the required domain vocabulary directly.
2. Board, tile, and connection modeling: Model 1 = 3, Model 2 = 4; Evidence: Model 1 captures the “at most one tile per side” idea with `Tile --&gt; "0..1" Tile : rightTile/leftTile/topTile/bottomTile`, but it never introduces a `ConnectionPiece` or spare-pieces pile. Model 2 explicitly models `ConnectionPiece`, `GameBoard *- ConnectionPiece`, and `ConnectionPiecePile *- ConnectionPiece`, which better matches the requirement’s connection pieces, even though it does not state per-side cardinalities as explicitly as Model 1.
3. Action deck and special-tile behavior: Model 1 = 5, Model 2 = 4; Evidence: Model 1 has `ActionCardType` with the five required choices and `Deck "1" *-- "32" ActionCard : cards`, plus `ActionTile(turnsAsRegular, turnsRemaining, isRevealed)`, which closely matches the 32-card deck and temporary action-tile behavior. Model 2 also has the five action types and `ActionTile(cooldownTurns, currentCooldown)`, but it omits the explicit `32`-card deck cardinality.
4. Turn order and game constraints: Model 1 = 4, Model 2 = 3; Evidence: Model 1 includes `GameState { SETUP, PLAYING, FINISHED }`, `currentPlayerIndex`, `Player.turnOrder`, `isNextTurnLost`, and a singleton comment saying only one game can be played at a time, plus `Game --&gt; "0..1" Player : winner`. Model 2 has `startGame()`, `endGame()`, `nextTurn()`, `rollDie()`, `isGameEnded`, `currentPlayer`, and `winner`, but it does not express the `2..4` player bound or the one-game-at-a-time constraint as directly.
5. Semantic clarity of class structure: Model 1 = 3, Model 2 = 5; Evidence: Model 1 uses broad classes like `Designer` and `Board` and encodes several roles as booleans on `Tile` (`isHidden`, `isStartingPosition`, `isConnectedRight`, etc.), which is less explicit. Model 2 separates concerns more cleanly with `GameDesigner`, `GameBoard`, `RegularTile`, `HiddenTile`, `ActionTile`, `ConnectionPiece`, `ConnectionPiecePile`, `TileColor`, and `PlayingPieceColor`, making the model easier to map to the requirement.
Total: Model 1 = 19, Model 2 = 21
Choice: B
Reason:
1. Core domain entity coverage: Model 2 is stronger because it names the designer workflow and the missing board-connection concepts directly (`GameDesigner`, `ConnectionPiece`, `ConnectionPiecePile`), while Model 1 keeps those ideas implicit or absent.
2. Board, tile, and connection modeling: Model 1 is better on the per-side multiplicity detail (`0..1` on each side), but Model 2 better captures the requirement’s actual “connection pieces” and spare-piece pile, which are core concepts in the prompt.
3. Action deck and special-tile behavior: Model 1 wins this criterion because it explicitly states a 32-card deck and the five action types, while Model 2 has the action types but not the deck size.
4. Turn order and game constraints: Model 1 is slightly better because it encodes `2..4` players and the turn/winner state more directly, whereas Model 2 expresses game flow with methods but not the player-count constraint as cleanly.
5. Semantic clarity: Model 2 is overall clearer and closer to the domain model in the requirement because it separates `HiddenTile`, `RegularTile`, `ActionTile`, and connection-pile concepts instead of compressing them into booleans on a single `Tile` class.
6. Rejected or checked issues: I did not use association direction (`A --&gt; B` vs `A -- B`), primitive type spelling (`int` vs `Integer`), comments, or optional abstractness as negative evidence because those are explicitly forbidden or non-diagnostic here.
7. Overall judgment: Model 2 is better overall because it covers the required designer/board/connection-piece structure more faithfully, even though Model 1 is stronger on some multiplicity details and the 32-card deck count.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</si>
  <si>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</si>
  <si>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concentrates several unrelated concerns in `Tile` (`isHidden`, `isStartingPosition`, `isConnectedRight/Left/Top/Bottom`) and keeps game orchestration in `Game` (`state`, `maxPlayers`, `spareConnectionPieces`, `currentPlayerIndex`), while Model 2 separates responsibilities across `Game`, `GameBoard`, `ConnectionPiece`, `Deck`, `ConnectionPiecePile`, `ActionTile`, `HiddenTile`, and `GameDesigner`, with focused operations like `GameBoard.addConnection()` and `ConnectionPiece.connect()`.
2. Complexity: Model 1 = 2, Model 2 = 4; Evidence: Model 1 is structurally small (`Game`, `Board`, `Tile`, `ActionTile`, `Player`, `PlayingPiece`, `Deck`, `ActionCard`, `Die`, plus enums) but under-models required concepts such as connection pieces and hidden tiles; Model 2 has more classes and methods, including a modest inheritance tree (`Tile` → `RegularTile` / `ActionTile` / `HiddenTile`) and workflow classes (`GameDesigner`, `ConnectionPiecePile`), which matches the domain better even though it is heavier.
3. Practicability: Model 1 = 2, Model 2 = 5; Evidence: Model 1 is readable but mostly state-only and leaves out core behaviors such as drawing action cards, executing card effects, connecting/removing tiles, and cooldown handling for action tiles; Model 2 exposes testable operations (`Player.move()`, `executeActionCard()`, `Deck.drawCard()`, `ActionCard.execute()`, `ConnectionPiece.disconnect()`) and splits design-time and play-time responsibilities into separate classes.
Total: Model 1 = 6, Model 2 = 14
Choice: B
Reason:
1. Cohesion and Decoupling: Model 2 is materially better because it decomposes the board-game domain into focused classes, while Model 1 packs connectivity and state flags into `Tile` and keeps more orchestration in `Game`.
2. Complexity: Model 1 is smaller, but that simplicity comes from omitting key domain concepts; Model 2 is more complex, yet the extra classes are traceable and justified by the requirement.
3. Rejected or checked issues: I did not use opposite-direction association style, primitive type spellings, or the singleton comment as negative evidence, because those are explicitly forbidden factors. I also treated Model 2’s unspecified player multiplicity as a precision weakness, not a decisive flaw.
4. Overall judgment: Model 2 better matches the stated two-phase workflow, models connection pieces and action-card behavior more faithfully, and is more practical to implement and test. Model 1 is simpler, but it is overly flattened and misses important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</si>
  <si>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</si>
  <si>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`Game`, `Board`, `Tile`, `Player`, `PlayingPiece`, `Die`, `Deck`, `ActionCard`, and `ActionTile`, but it does not model `ConnectionPiece` explicitly and uses `isHidden` on `Tile` instead of a dedicated hidden-tile concept. Model 2 includes `Game`, `GameDesigner`, `GameBoard`, `Player`, `PlayingPiece`, `Die`, `Deck`, `ActionCard`, `ConnectionPiece`, `ConnectionPiecePile`, `RegularTile`, `ActionTile`, and `HiddenTile`, which matches the domain more completely.
2. Associations/Multiplicities between classes for domain reasoning: Model 1 = 4, Model 2 = 3; Evidence: Model 1 explicitly shows `Game "1" *-- "2..4" Player`, `Board "1" *-- "1..*" Tile`, `Player "1" *-- "1" PlayingPiece`, and four side-specific `Tile --&gt; "0..1" Tile` links, which capture key turn and adjacency rules. Model 2 adds `GameBoard *- Tile`, `GameBoard *- ConnectionPiece`, and `ConnectionPiece --&gt; Tile` links, but it does not specify the required `2..4` player multiplicity or the one-tile-per-side constraint as directly.
3. Model attributes with appropriate data types: Model 1 = 4, Model 2 = 5; Evidence: Model 1 has useful attributes such as `Game.state: GameState`, `Player.turnOrder: int`, `Tile.posX/posY: int`, `Tile.color: String`, `Tile.isVisited: boolean`, and `ActionTile.turnsAsRegular: int`, but several domain concepts are encoded with booleans rather than more specific types, and connection pieces are not modeled as attributes/classes. Model 2 uses more expressive types and structures, including `TileColor`, `PlayingPieceColor`, `ActionCardType`, `ConnectionPiece.side1/side2: Side`, `Deck.cards: ActionCard[]`, `ConnectionPiecePile.sparePieces: ConnectionPiece[]`, and `ActionTile.cooldownTurns/currentCooldown`, which better fit the domain.
4. Consistencies of Terminology with given context: Model 1 = 4, Model 2 = 5; Evidence: Model 1 uses generally acceptable terms like `Designer`, `Board`, `Tile`, `ActionCard`, and `PlayingPiece`, but some wording is broader than the requirement, such as `Board` instead of a more explicit game board concept and `isHidden` instead of a hidden-tile class. Model 2 is closer to the requirement vocabulary with `GameDesigner`, `GameBoard`, `ConnectionPiece`, `HiddenTile`, `RegularTile`, `ActionTile`, `PlayingPieceColor`, and `TileColor`, which align closely with the described game concepts.
5. Adherence of UML class diagram standards: Model 1 = 5, Model 2 = 5; Evidence: Both diagrams use valid PlantUML class diagram constructs, including classes, enums, inheritance, composition/aggregation, and multiplicities. Model 1’s self-associations on `Tile` and Model 2’s inheritance hierarchy from `Tile` are both syntactically and semantically acceptable UML patterns.
Total: Model 1 = 21, Model 2 = 23
Choice: B
Reason:
1. Appropriate conceptual classes: Model 2 is stronger because it explicitly models `ConnectionPiece`, `HiddenTile`, `RegularTile`, and `ConnectionPiecePile`, which are core to the requirement; Model 1 compresses some of those concepts into attributes on `Tile` and `Game`.
2. Associations/Multiplicities: Model 1 is better here because it captures `2..4` players and the tile-side adjacency constraints more directly, while Model 2 leaves those requirements less explicit.
3. Attributes and data types: Model 2 wins because it uses domain-specific enums and collections, such as `TileColor`, `PlayingPieceColor`, `ActionCardType`, and `ConnectionPiecePile.sparePieces`, whereas Model 1 relies more on generic booleans and strings.
4. Terminology: Model 2 is more faithful to the wording of the requirement, especially around `GameDesigner`, `HiddenTile`, `ConnectionPiece`, and `TileColor`.
5. Rejected or checked issues: I did not penalize either model for association direction style, primitive type aliases, or comments, since those are explicitly forbidden factors and do not affect the score.
6. Overall judgment: Model 2 is the better UML design overall because it models the domain concepts more faithfully and uses more appropriate terminology and attributes, even though Model 1 is slightly stronger on explicit multiplicities for the player-count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</si>
  <si>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</si>
  <si>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2, Model 2 = 4; Evidence: Model 1 includes `Game`, `Board`, `Tile`, `ActionTile`, `Deck`, `ActionCard`, `Player`, `PlayingPiece`, and `Die`, plus `Tile.isHidden` and `Tile.isStartingPosition`, but it does not explicitly model the required `ConnectionPiece` concept. Model 2 covers more of the stated domain with `GameDesigner`, `Board`, `Tile`, `RegularTile`, `HiddenTile`, `ActionTile`, `ConnectionPiece`, `Deck`, `ActionCard`, `Player`, `PlayingPiece`, and `Die`, which maps more directly to the requirement’s board, hidden tile, action tile, and connection-piece concepts.
2. Relationship and cardinality fidelity: Model 1 = 2, Model 2 = 4; Evidence: Model 1 uses `Tile --&gt; "0..1" Tile : rightTile` / `leftTile` / `topTile` / `bottomTile`, which expresses adjacency but not the required connection-piece structure. Model 2 uses `Tile o-- "0..1" ConnectionPiece : rightConnection` and `ConnectionPiece --&gt; "2" Tile : connects`, which is closer to “connect tiles with connection pieces” and also preserves the one-connection-per-side idea more explicitly. Both models correctly show `Game` to `Player` as `2..4` and `Deck` to `ActionCard` as `32`.
3. Semantic clarity of classes and domain terms: Model 1 = 3, Model 2 = 4; Evidence: Model 1 has useful domain elements such as `ActionCardType` with the five card choices and `ActionTile` with `turnsAsRegular` and `turnsRemaining`, but it represents key concepts with more generic types like `PlayingPiece.color: String` and `Tile.color: String`. Model 2 is clearer semantically with `PieceColor`, `TileColor`, `HiddenTile`, `RegularTile`, and `ActionCard` subclasses (`ExtraTurnCard`, `ConnectTilesCard`, etc.), which more directly mirrors the text of the requirement.
4. Unsupported additions / hallucination control: Model 1 = 3, Model 2 = 3; Evidence: Model 1 adds fields such as `Board.width`, `Board.height`, `Game.maxPlayers`, `Game.spareConnectionPieces`, `Player.isNextTurnLost`, and `ActionTile.isRevealed`, while Model 2 adds operations like `Game.start()`, `Game.endGame()`, `Game.nextTurn()`, `Deck.drawCard()`, and `ActionTile.tickCooldown()`. These are both mostly plausible refinements rather than contradictions, so neither model is clearly worse here.
Total: Model 1 = 10, Model 2 = 15
Choice: B
Reason:
1. Requirement coverage: Model 2 includes more of the required conceptual structure, especially `HiddenTile`, `ConnectionPiece`, and the explicit action-card subtype breakdown, while Model 1 relies on indirect flags like `Tile.isHidden` and direct tile-to-tile links.
2. Relationship and cardinality fidelity: Model 2 better represents the board topology with side-specific connection pieces and `ConnectionPiece --&gt; 2 Tile`, whereas Model 1 models adjacency only through direct tile associations and misses the connection-piece layer.
3. Semantic clarity: Model 2’s `TileColor`, `PieceColor`, `RegularTile`, `HiddenTile`, and action-card subclasses are closer to the wording of the requirement than Model 1’s more generic scalar fields.
4. Rejected or checked issues: I did not penalize either model for association direction, primitive type aliases, or equivalent multiplicity notation, since those are semantically acceptable. I also did not base the decision on the extra lifecycle methods in Model 2, because they read as implementation-oriented refinements rather than harmful contradictions.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</si>
  <si>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</si>
  <si>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puts many responsibilities into `Tile` with `posX`, `posY`, `isVisited`, `isHidden`, `isStartingPosition`, `color`, and four directional connection booleans, plus separate neighbor associations to other `Tile` objects. Model 2 splits responsibilities across `Tile`, `ConnectionPiece`, `HiddenTile`, `RegularTile`, `ActionTile`, and a behavior-bearing `ActionCard.execute(game, player)`, which is more cohesive and less tangled.
2. Complexity: Model 1 = 3, Model 2 = 4; Evidence: Model 1 is structurally smaller, with fewer classes and only one inheritance branch (`ActionTile &lt;|-- Tile`), but it compresses several concepts into attributes and booleans. Model 2 has more classes and two inheritance trees, one for tiles and one for action cards, plus more operations such as `Game.start()`, `nextTurn()`, `Deck.drawCard()`, and `ActionTile.tickCooldown()`. That is more complex, but the complexity is better aligned with the domain.
3. Practicability: Model 1 = 2, Model 2 = 4; Evidence: Model 1 is mostly passive data, with `Deck` empty and `ActionCard` reduced to `cardType`, so the action-card workflow and turn behavior are not concretely represented for implementation or testing. Model 2 adds executable semantics with `Deck.drawCard()`, `ActionCard.execute(game, player)`, `Game.endGame(winner)`, `Game.nextTurn()`, `Tile.markVisited()`, and cooldown management on `ActionTile`, which makes it more usable for real development and unit testing.
Total: Model 1 = 7, Model 2 = 12
Choice: B
Reason:
1. Cohesion and Decoupling: Model 2 is better because it separates connection pieces, tile roles, and card behavior into distinct classes, while Model 1 overloads `Tile` with topology, state, and gameplay flags.
2. Complexity: Model 2 is more complex, but the added classes and methods correspond to real domain concepts from the requirement, whereas Model 1’s smaller shape comes from collapsing distinct concepts together.
3. Rejected or checked issues: I did not penalize either model for opposite-direction associations, primitive type aliases, or the singleton comment, since those are forbidden bases for scoring. I also did not treat the lack of explicit pause/save modeling as decisive, because the requirement is about gameplay flow and the diagram can omit those behaviors without contradiction.
4. Overall judgment: Model 2 is the stronger UML design because it captures the hidden tile, connection pieces, action-card behavior, and turn flow in a more modular and testable way. Model 1 is simpler, but that simplicity comes at the cost of weaker domain separation and less practical behavior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</si>
  <si>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</si>
  <si>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has the core classes `Designer`, `Game`, `Board`, `Tile`, `ActionTile`, `Deck`, `ActionCard`, `Player`, `PlayingPiece`, and `Die`, but it folds key domain concepts into flags such as `Tile.isHidden` and `Tile.isConnectedRight/Left/Top/Bottom` instead of explicit concepts like hidden tile and connection piece; Model 2 includes `GameDesigner`, `Board`, `Tile`, `RegularTile`, `HiddenTile`, `ActionTile`, `ConnectionPiece`, `Player`, `PlayingPiece`, `Deck`, `ActionCard`, and the five action-card subclasses, which matches the described game much more closely.
2. Associations/Multiplicities between classes for domain reasoning: Model 1 = 3, Model 2 = 5; Evidence: Model 1 correctly shows `Game "1" *-- "2..4" Player`, `Board "1" *-- "1..*" Tile`, `Player "1" *-- "1" PlayingPiece`, and `Deck "1" *-- "32" ActionCard`, but it misses explicit structural links for hidden tiles and connection pieces, relying instead on tile self-links like `Tile --&gt; "0..1" Tile : rightTile`; Model 2 captures the board structure with `Board "1" *-- "1..*" Tile`, `Board "1" --&gt; "1" HiddenTile : hiddenTile`, `Tile "1" o-- "0..1" ConnectionPiece` on each side, and `ConnectionPiece --&gt; "2" Tile : connects`, plus the player and deck relationships, so the domain reasoning is more complete.
3. Model attributes with appropriate data types: Model 1 = 4, Model 2 = 5; Evidence: Model 1 uses generally sensible types such as `Game.state: GameState`, `Player.turnOrder: int`, `Tile.posX: int`, `Tile.posY: int`, `ActionCard.cardType: ActionCardType`, but it models colors as plain `String` (`PlayingPiece.color: String`, `Tile.color: String`) and encodes board structure with booleans (`isConnectedRight`, `isConnectedLeft`, etc.); Model 2 uses more domain-appropriate types such as `Tile.color: TileColor`, `PlayingPiece.color: PieceColor`, `Player.order: int`, `Tile.x: int`, `Tile.y: int`, and `ActionTile.cooldownTurns` / `remainingCooldown: int`, which better reflects the requirement.
4. Consistencies of Terminology with given context: Model 1 = 4, Model 2 = 5; Evidence: Model 1 is mostly aligned with terms like `Game`, `Board`, `Tile`, `ActionTile`, `Player`, and `ActionCardType`, but it leans on flattened terminology like `isHidden` and `isStartingPosition` rather than explicit domain objects; Model 2 uses terminology that mirrors the prompt more directly, including `GameDesigner`, `HiddenTile`, `RegularTile`, `ActionTile`, `ConnectionPiece`, `PieceColor`, `TileColor`, and the five named action-card types as subclasses.
5. Adherence of UML class diagram standards: Model 1 = 5, Model 2 = 5; Evidence: Both diagrams are valid PlantUML class diagrams with acceptable class, enum, inheritance, association, and multiplicity notation; Model 1 uses standard associations and inheritance, and Model 2 likewise uses standard class declarations and generalization such as `ActionCard &lt;|-- ExtraTurnCard` and `Tile &lt;|-- HiddenTile`. I did not treat comments or equivalent multiplicity styles as defects.
Total: Model 1 = 19, Model 2 = 25
Choice: B
Reason:
1. Appropriate conceptual classes: Model 2 explicitly models the key missing domain entities `HiddenTile` and `ConnectionPiece`, plus the five action-card subclasses, while Model 1 compresses those concepts into flags and a card-type enum.
2. Associations/multiplicities: Model 2 better captures board connectivity and hidden-tile placement with concrete associations, whereas Model 1’s tile self-links and booleans are weaker substitutes for the required board structure.
3. Attributes/terminology: Model 2’s `TileColor`, `PieceColor`, and cooldown attributes are more faithful to the problem statement than Model 1’s string colors and structural booleans.
4. Rejected or checked issues: I did not count Model 1’s singleton comment as satisfying the “only one game can be played at a time” requirement because comments are excluded from scoring, and I did not penalize either model for equivalent UML syntax choices that are semantically identical.
5. Overall judgment: Model 2 is the stronger UML domain model because it represents the game’s core concepts and relationships more explicitly and accurately, even though both diagrams are syntactically valid.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</si>
  <si>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</si>
  <si>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gameplay and role coverage: Model 1 = 4, Model 2 = 5; Evidence: Model 1 includes `Game`, `GameDesigner`, `Player`, `PlayingPiece`, `GameBoard`, `Tile`, `HiddenTile`, `ActionTile`, `Deck`, `ActionCard`, and `Die`; Model 2 includes the same core game roles plus `GameState` and a more explicit `ActionCard` hierarchy.
2. Player count and turn sequencing: Model 1 = 2, Model 2 = 4; Evidence: Model 1 only shows `Game --&gt; Player : has players`, `currentPlayer`, and `Player.playerNumber`, while Model 2 states `Game "1" o-- "2..4" Player : players`, `Game --&gt; "0..1" Player : currentPlayer`, and `Player.order`.
3. Board, tile, and connection topology: Model 1 = 3, Model 2 = 5; Evidence: Model 1 uses `ConnectionPiece side1 : Side` and `side2 : Side` plus two `ConnectionPiece --&gt; Tile` links, with `GameBoard *- Tile` and `GameBoard *- ConnectionPiece`; Model 2 models all four tile sides explicitly with `Tile "1" o-- "0..1" ConnectionPiece` for `rightConnection`, `leftConnection`, `topConnection`, and `bottomConnection`, and `ConnectionPiece --&gt; "2" Tile : connects`.
4. Action deck and action-tile mechanics: Model 1 = 4, Model 2 = 5; Evidence: Model 1 has `enum ActionCardType` with the five required action choices, `Deck *- ActionCard`, and `ActionTile(cooldownTurns, currentCooldown)`; Model 2 has `Deck *-- "32" ActionCard`, abstract `ActionCard`, five concrete subclasses matching the required choices, and `ActionTile(cooldownTurns, remainingCooldown)`.
5. Fidelity and restraint: Model 1 = 3, Model 2 = 4; Evidence: Model 1 adds `GameBoard width : int` and `height : int` plus a `ConnectionPiecePile`, but it leaves several exact constraints implicit; Model 2 adds `GameState`, `turnNumber`, and `spareConnectionPieces : int`, which align more directly with the stated gameplay flow, though it still does not fully encode pause/save absence or tile secrecy.
Total: Model 1 = 16, Model 2 = 23
Choice: B
Reason:
1. Core coverage: both diagrams capture the main entities, but Model 2 aligns more closely with the full game lifecycle and the required action-card specialization.
2. Player and turn constraints: Model 2 is materially stronger because it encodes `2..4` players and a player order, while Model 1 only implies players exist and a current player.
3. Board topology and card mechanics: Model 2 is stronger on the most requirement-specific UML facts, especially per-side tile connections and the 32-card deck with the five exact card types.
4. Rejected or checked issues: I did not use association direction/style differences, primitive type spelling, or abstractness as negative evidence, since those are forbidden as scoring factors.
5. Overall judgment: Model 2 is better because it captures the requirement's hardest structural constraints more explicitly, even though Model 1 is slightly closer on the spare-connection-piece pile concept.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</si>
  <si>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</si>
  <si>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does separate `GameBoard`, `Deck`, `ConnectionPiecePile`, and the `Tile` hierarchy, but `GameDesigner` bundles board placement, connection, hidden-tile, starting-position, action-tile, and deck-definition operations, and `ActionCard` is only one generic class plus `ActionCardType`. Model 2 keeps `ActionCard` more cohesive by splitting the five required card behaviors into `ExtraTurnCard`, `ConnectTilesCard`, `RemoveConnectionCard`, `MoveToTileCard`, and `LoseTurnCard`, and it encodes per-side tile links directly on `Tile`, though `Game.spareConnectionPieces: int` compresses a pile concept into a scalar.
2. Complexity: Model 1 = 3, Model 2 = 4; Evidence: Model 1 has a slightly smaller class set and one `ActionCard` class, but more behavior is concentrated in multi-method classes like `GameDesigner`, `Player`, and `GameBoard`. Model 2 has more classes overall, yet many are direct domain concepts with low method counts, and the five action-card subclasses make the model more traceable to the requirement without introducing a deep inheritance tree.
3. Practicability: Model 1 = 3, Model 2 = 5; Evidence: Model 1 leaves key constraints mostly implicit, such as the 2-4 player limit, the 32-card deck, and the "at most one tile per side" rule, while relying on methods like `designBoard()` and `connectTiles(...)` rather than explicit structural multiplicities. Model 2 states `Game "1" o-- "2..4" Player`, `Deck "1" *-- "32" ActionCard`, tile-side associations with `0..1` multiplicity, and `Board "1" --&gt; "1" HiddenTile`, which makes the diagram much easier to implement and test.
Total: Model 1 = 9, Model 2 = 13
Choice: B
Reason:
1. Cohesion and Decoupling: Model 2 models the required action-card variants and tile-side links more cleanly, while Model 1 pushes several design responsibilities into `GameDesigner` and keeps cards generic.
2. Complexity: Model 2’s extra classes are mostly requirement-aligned concepts rather than noise, and its lower per-class method burden makes it more balanced than Model 1’s more procedural classes.
3. Rejected or checked issues: I did not use association-line style differences, lowercase primitive aliases, or equivalent multiplicity spellings as negative evidence.
4. Overall judgment: Model 2 is the stronger UML design because it captures the required constraints and runtime structure more explicitly, which improves maintainability and testability.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</si>
  <si>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</si>
  <si>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`Game`, `GameDesigner`, `Player`, `PlayingPiece`, `GameBoard`, `Tile` with `RegularTile`/`ActionTile`/`HiddenTile`, `ConnectionPiece`, `Deck`, `ActionCard`, `ConnectionPiecePile`, and `Die`, plus `ActionCardType`; Model 2 includes the same core domain classes plus explicit `ActionCard` subclasses and `GameState`, but it omits a separate spare-piece pile class and uses an integer field instead.
2. Associations/Multiplicities between classes for domain reasoning: Model 1 = 2, Model 2 = 4; Evidence: Model 1 has generic links like `Game --&gt; Player`, `Player --&gt; Tile`, and `ConnectionPiece --&gt; Tile`, but it does not express `2..4` players, per-side tile connections, or starting-position associations; Model 2 explicitly models `Game "1" o-- "2..4" Player`, side-specific `Tile` to `ConnectionPiece` links with `0..1`, `ConnectionPiece --&gt; "2" Tile`, `Player --&gt; "1" Tile startingPosition`, and `Deck *-- "32" ActionCard`, though spare connection pieces are only an integer.
3. Model attributes with appropriate data types: Model 1 = 4, Model 2 = 3; Evidence: Model 1 provides many concrete typed attributes such as `Tile.color : TileColor`, `Tile.x/y : int`, `ActionTile.cooldownTurns/currentCooldown : int`, `ActionCard.type : ActionCardType`, `Deck.cardsRemaining : int`, `ConnectionPiecePile.piecesRemaining : int`, and `PlayingPiece.color : PlayingPieceColor`; Model 2 has some relevant attributes like `Game.state`, `Player.order`, `ActionTile.cooldownTurns/remainingCooldown`, and `PlayingPiece.color`, but it omits several core fields such as deck contents, card type, connection-pile details, and die value.
4. Consistencies of Terminology with given context: Model 1 = 4, Model 2 = 4; Evidence: Model 1 uses close domain terms like `GameDesigner`, `GameBoard`, `PlayingPieceColor`, `HiddenTile`, `ActionTile`, `ConnectionPiecePile`, and `ActionCardType`; Model 2 also stays close to the prompt with `Board`, `HiddenTile`, `ActionTile`, `PlayingPiece`, `PieceColor`, and the five action-card subclasses, though `spareConnectionPieces : int` is less explicit than a dedicated spare-piece pile.
5. Adherence of UML class diagram standards: Model 1 = 5, Model 2 = 5; Evidence: both are valid PlantUML class diagrams using standard class, enum, inheritance, composition/aggregation, and multiplicity notation, and neither contains syntax that makes the diagram hard to interpret.
Total: Model 1 = 19, Model 2 = 20
Choice: B
Reason:
1. Associations/multiplicities: Model 2 is stronger because it encodes the most important game-structure constraints directly, especially `2..4` players, side-specific connections with `0..1`, `ConnectionPiece --&gt; "2" Tile`, and `Deck *-- "32" ActionCard`.
2. Attributes: Model 1 is richer because it carries more operational state and typing (`cardsRemaining`, `piecesRemaining`, tile coordinates, piece colors, cooldown counters), while Model 2 is lighter and drops several of those details.
3. Conceptual coverage and terminology: both are broadly aligned, but Model 2’s explicit action-card subclasses map more directly to the five predefined card behaviors, while Model 1 relies more on an enum and method stubs.
4. Rejected or checked issues: I did not penalize either model for one-way vs two-way association style, primitive aliases like `int`, or optional abstractness choices, because those are explicitly non-negative under the instructions.
5. Overall judgment: Model 2 wins by a narrow margin because its multiplicities and role-specific associations better capture the domain rules that matter most for the game flow, even though Model 1 has better attribute richness.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</si>
  <si>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</si>
  <si>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Board layout, tiles, and connection modeling: Model 1 = 4, Model 2 = 3; Evidence: Model 1 includes `GameBoard`, `Tile`, `ConnectionPiece`, and `ConnectionPiecePile`, with `ConnectionPiece --&gt; Tile` links and `Tile &lt;|-- RegularTile / ActionTile / HiddenTile`, which matches the required physical connection pieces and hidden-tile concept. Model 2 has `Board *-- Tile` and four directional self-associations on `Tile` (`rightTile`, `leftTile`, `topTile`, `bottomTile`) plus `spareConnectionPieces: int`, but it omits a `ConnectionPiece` class and a spare-piece pile object, so the connection-piece requirement is only modeled indirectly.
2. Players, turn flow, and game state: Model 1 = 3, Model 2 = 4; Evidence: Model 1 has `Game.currentPlayer`, `winner`, `Player.playerNumber`, `skippedTurns`, and `Die`, but it does not state the required `2..4` player cardinality or explicit turn order. Model 2 has `Game "1" *-- "2..4" Player`, `currentPlayerIndex`, `Player.turnOrder`, `GameState { SETUP, PLAYING, FINISHED }`, and `winner`, which more directly captures the required turn sequence and one-game-at-a-time lifecycle.
3. Action cards, tile effects, and visited-state semantics: Model 1 = 4, Model 2 = 4; Evidence: Model 1 defines the five required `ActionCardType` values, has `Deck`, `ActionTile.cooldownTurns/currentCooldown`, `TileColor { WHITE, BLACK }`, and `PlayingPieceColor { RED, BLUE, GREEN, YELLOW }`, which is close to the requirement’s semantics. Model 2 also defines the five action types, adds `Deck "1" *-- "32" ActionCard`, and models action-tile behavior via `turnsAsRegular` and `turnsRemaining`, plus `Tile.isVisited`, `isHidden`, and `isStartingPosition`; however, it uses a plain `String` for piece color instead of an explicit color domain.
Total: Model 1 = 11, Model 2 = 11
Choice: C
Reason:
1. Board/layout modeling: Model 1 is stronger on the required connection-piece and spare-pile concepts because it explicitly includes `ConnectionPiece` and `ConnectionPiecePile`, while Model 2 only approximates that with tile-to-tile links and an integer count.
2. Turn structure: Model 2 is stronger on the required `2..4` players and ordered turns because it explicitly shows `Game "1" *-- "2..4" Player`, `turnOrder`, and `currentPlayerIndex`, which Model 1 does not.
3. Action mechanics: both models cover the five action-card choices and temporary action-tile behavior at a high level, so this area is effectively balanced.
4. Rejected or checked issues: I did not treat Model 2’s opposite-direction tile associations as a penalty, because they are semantically equivalent to a bidirectional association under the stated rules. I also did not use the singleton-style comment in Model 2 as scoring evidence, since comments are explicitly ignored.
5. Overall judgment: the two diagrams trade off different required details, and neither is clearly superior overall. Model 1 better captures connection pieces and explicit tile categories; Model 2 better captures player multiplicity and turn order.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</si>
  <si>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</si>
  <si>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splits responsibilities across `GameBoard`, `Deck`, `ConnectionPiecePile`, `Die`, `ConnectionPiece`, and a `Tile` hierarchy (`RegularTile`, `ActionTile`, `HiddenTile`), while `GameDesigner` only handles setup actions like `placeTile`, `connectTiles`, `setHiddenTile`, `setStartingPosition`, `setActionTile`, and `defineActionDeck`. Model 2 concentrates several unrelated concerns in `Tile` via `isVisited`, `isHidden`, `isStartingPosition`, `isConnectedRight/Left/Top/Bottom`, and `color`, and it stores spare connection pieces only as `Game.spareConnectionPieces` instead of a dedicated class.
2. Complexity: Model 1 = 4, Model 2 = 2; Evidence: Model 1 has more classes, but they are mostly conceptually distinct and aligned with the domain: `Game`, `GameDesigner`, `Player`, `PlayingPiece`, `GameBoard`, `Tile` and its subclasses, `ConnectionPiece`, `ActionCard`, `Deck`, `ConnectionPiecePile`, and `Die`. Model 2 reduces class count, but does so by flattening required concepts into attributes and flags, especially in `Tile`, and it omits explicit `ConnectionPiece` and `ConnectionPiecePile` classes, which makes the design less balanced for the stated game mechanics.
3. Practicability: Model 1 = 4, Model 2 = 2; Evidence: Model 1 is easier to implement and test in real code because it gives separate units for board setup, tile visitation, card drawing, spare connection management, and piece movement. Model 2 is readable, but it is weaker as a working design because `Deck` is empty, `ActionCard` only carries `cardType`, and the tile-connection mechanics are reduced to boolean fields and direct tile links instead of explicit connection pieces and operations; its strengths are the explicit `2..4` player multiplicity and `32` action cards, but that is not enough to offset the missing gameplay structure.
Total: Model 1 = 12, Model 2 = 6
Choice: A
Reason:
1. Cohesion and Decoupling: Model 1 separates the game board, cards, spare connections, and tile roles into distinct classes; Model 2 pushes board topology, hidden state, starting position, and visitation state into `Tile`, which is less cohesive.
2. Complexity: Model 1 uses more classes, but they are the right intermediate concepts for this domain. Model 2 is shorter, but the simplification comes from collapsing required concepts into flags and omitting explicit connection-piece handling, which is not a better complexity balance for this requirement.
3. Practicability: Model 1 is more testable and implementable because the gameplay objects are explicit. Model 2 captures some constraints well, such as `2..4` players and `32` cards, but the missing connection-piece model and empty `Deck` make it much less viable for a real implementation.
4. Rejected or checked issues: I did not use association direction, PlantUML comments, primitive type spelling, equivalent multiplicity literals, or optional abstractness as negative evidence, because those are explicitly forbidden factors.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</si>
  <si>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</si>
  <si>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defines the core domain classes `Game`, `GameDesigner`, `Player`, `PlayingPiece`, `GameBoard`, `Tile` with `RegularTile` / `ActionTile` / `HiddenTile`, `ConnectionPiece`, `ActionCard`, `Deck`, `ConnectionPiecePile`, and `Die`. Model 2 has `Game`, `Designer`, `Player`, `PlayingPiece`, `Board`, `Tile`, `ActionTile`, `Deck`, and `ActionCard`, but it collapses several required concepts into attributes and omits separate `HiddenTile`, `RegularTile`, `ConnectionPiece`, and `ConnectionPiecePile` classes.
2. Associations/Multiplicities between classes for domain reasoning: Model 1 = 3, Model 2 = 4; Evidence: Model 1 includes useful links like `Game *-- GameBoard`, `Game *-- Deck`, `Player *- PlayingPiece`, `GameBoard *- Tile`, `ConnectionPiece --&gt; Tile` twice, and `Deck *- ActionCard`, but it does not express key multiplicities such as `2..4` players or `0..1` per tile side. Model 2 explicitly gives `Game "1" *-- "2..4" Player`, `Board "1" *-- "1..*" Tile`, `Player --&gt; "1" Tile : startingTile/currentTile`, `Game --&gt; "0..1" Player : winner`, and four side links like `Tile --&gt; "0..1" Tile : rightTile`, which matches the turn and adjacency reasoning better, even though it does not model connection pieces as separate associations.
3. Model attributes with appropriate data types: Model 1 = 4, Model 2 = 3; Evidence: Model 1 uses typed attributes and enums such as `TileColor`, `PlayingPieceColor`, `ActionCardType`, `width : int`, `x : int`, `cooldownTurns : int`, `side1 : Side`, and `cards : ActionCard[]`. Model 2 has reasonable scalar types like `width : int`, `turnsRemaining : int`, `isVisited : boolean`, and `cardType : ActionCardType`, but it relies more on flattened booleans and strings such as `color : String`, `isHidden : boolean`, `isStartingPosition : boolean`, and `isConnectedRight/Left/Top/Bottom : boolean` instead of richer domain types.
4. Consistencies of Terminology with given context: Model 1 = 5, Model 2 = 3; Evidence: Model 1 closely matches the prompt with `GameDesigner`, `GameBoard`, `HiddenTile`, `ActionTile`, `ConnectionPiece`, `PlayingPieceColor`, and `MOVE_TO_ARBITRARY_TILE`. Model 2 uses more generic or shifted terms like `Designer`, `Board`, `MOVE_TO_TILE`, `EXTRA_TURN`, and encodes hidden/start behavior with flags on `Tile`, which is understandable but less faithful to the stated domain vocabulary.
5. Adherence of UML class diagram standards: Model 1 = 4, Model 2 = 4; Evidence: Both diagrams use valid PlantUML class/enum syntax, inheritance, compositions, and multiplicities in a way that remains readable. Model 1 is slightly richer in explicit class hierarchy with `Tile &lt;|-- RegularTile`, `Tile &lt;|-- ActionTile`, and `Tile &lt;|-- HiddenTile`, while Model 2 is also syntactically valid with multiplicities like `"2..4"` and self-associations such as `Tile --&gt; "0..1" Tile : rightTile`, but neither has major notation-breaking errors.
Total: Model 1 = 21, Model 2 = 17
Choice: A
Reason:
1. Appropriate conceptual classes: Model 1 is clearly stronger because it models the required domain entities as separate classes, including `ConnectionPiece`, `ConnectionPiecePile`, `HiddenTile`, and `RegularTile`. Model 2 recognizes the general domain but compresses several required concepts into attributes on `Tile` or `Game`, which weakens the class model.
2. Associations/multiplicities: Model 2 is better on explicit cardinalities, especially `Game "1" *-- "2..4" Player` and the four `0..1` side connections on `Tile`. Model 1 captures more of the domain structure with explicit `ConnectionPiece` and board containment, but it misses the specific player-count and per-side multiplicities, so Model 2 wins this criterion.
3. Rejected or checked issues: I did not penalize Model 2 for using opposite-direction associations or comments like `'opposite leftTile`, because those are semantically equivalent to a bidirectional association and must be ignored. I also did not penalize primitive alias choices such as `int` or `String`.
4. Overall judgment: Model 1 is better overall because it more faithfully represents the actual game domain and terminology, especially the board/game/tile/action-card structure. Model 2 is somewhat stronger on multiplicities, but its flattened class structure and looser terminology reduce its domain fidelity enough that Model 1 is the better answer.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</si>
  <si>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</si>
  <si>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Game lifecycle and turn flow: Model 1 = 4, Model 2 = 3; Evidence: Model 1 has `GameState { DESIGNING, PLAYING, ENDED }` plus `start()`, `endGame(winner)`, and `nextTurn()`, which directly expresses a game lifecycle and turn progression. Model 2 has `GameState { SETUP, PLAYING, FINISHED }`, `currentPlayerIndex`, and `winner`, which covers the phases but is less explicit about lifecycle operations.
2. Board layout, tiles, and connection mechanics: Model 1 = 5, Model 2 = 3; Evidence: Model 1 includes a concrete `ConnectionPiece` class, four side-specific relations from `Tile` (`rightConnection`, `leftConnection`, `topConnection`, `bottomConnection`) each with `0..1`, and `ConnectionPiece --&gt; "2" Tile : connects`, which matches the requirement that tiles are connected by connection pieces with at most one connection per side. Model 2 has `Tile --&gt; "0..1" Tile` relations on all four sides and `isConnectedRight/Left/Top/Bottom` flags, so it does encode side limits, but it does not model connection pieces as domain objects.
3. Players, playing pieces, colors, and turn order: Model 1 = 4, Model 2 = 4; Evidence: Model 1 has `Game "1" o-- "2..4" Player`, `Player.order`, `PlayingPiece.color: PieceColor`, and `Player --&gt; "1" Tile : startingPosition` / `PlayingPiece --&gt; "1" Tile : currentTile`. Model 2 has `Game "1" *-- "2..4" Player`, `Player.turnOrder`, `PlayingPiece.color: String`, and `Player --&gt; "1" Tile : startingTile` / `currentTile`. Both capture 2 to 4 players, per-player pieces, and turn order adequately.
4. Hidden tile, visited-state, and action-tile behavior: Model 1 = 5, Model 2 = 3; Evidence: Model 1 has a distinct `HiddenTile` subclass with `Board --&gt; "1" HiddenTile : hiddenTile`, `Tile.color: TileColor` plus `markVisited()` / `isVisited()`, and `ActionTile` with `cooldownTurns`, `remainingCooldown`, `isActive()`, `deactivate()`, and `tickCooldown()`, which closely matches hidden-tile discovery, white-to-black visitation, and temporary action-tile deactivation. Model 2 uses `Tile.isHidden`, `Tile.isVisited`, and `ActionTile.turnsAsRegular` / `turnsRemaining` / `isRevealed`, which is directionally correct but more ad hoc and less explicit about the hidden-tile concept.
5. Action deck and predefined card choices: Model 1 = 5, Model 2 = 4; Evidence: Model 1 models `Deck "1" *-- "32" ActionCard`, an abstract `ActionCard.execute(game, player)`, and five concrete subclasses: `ExtraTurnCard`, `ConnectTilesCard`, `RemoveConnectionCard`, `MoveToTileCard`, and `LoseTurnCard`. Model 2 also has `Deck "1" *-- "32" ActionCard` and an `ActionCardType` enum with the same five choices, so it covers the required deck contents, but it uses one generic card class rather than separate action concepts.
6. Designer/setup coverage: Model 1 = 3, Model 2 = 2; Evidence: Model 1 has `GameDesigner` and `Game --&gt; "1" GameDesigner : designedBy`, plus explicit board, tile, hidden-tile, and action-tile classes that support the designer-driven setup. Model 2 has `Designer --&gt; "1" Game : designs` and embeds some setup facts in fields like `Tile.isHidden` and `Tile.isStartingPosition`, but it does not represent the designer’s setup responsibilities as clearly as Model 1.
Total: Model 1 = 26, Model 2 = 19
Choice: A
Reason:
1. Game lifecycle and turn flow: Model 1 is more explicit about progression through play with `start()`, `endGame(winner)`, and `nextTurn()`, while Model 2 mainly stores phase state and indices.
2. Board layout, tiles, and connection mechanics: Model 1 is materially stronger because it models `ConnectionPiece` as a first-class class and attaches four side-specific `0..1` connections per tile, which is closer to the requirement than Model 2’s boolean connection flags and tile-to-tile links.
3. Hidden/action tile behavior: Model 1 has a distinct `HiddenTile` and a dedicated `ActionTile` cooldown model, so it aligns more directly with “hidden tile,” “action tile,” and temporary conversion to a regular tile.
4. Rejected or checked issues: I did not penalize Model 2 for using `String` instead of an enum for colors, for opposite-direction associations, or for the singleton comment, because those are explicitly non-negative under the instructions. I also did not treat the absence of pause/save methods as a defect, since the requirement says those actions are impossible, not that they must be modeled as methods.
5. Overall judgment: Model 1 better captures the core domain semantics and the required game mechanics with fewer conceptual gaps, especially around connection pieces, hidden tiles, and action-card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</si>
  <si>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</si>
  <si>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responsibilities with `ConnectionPiece`, `ActionTile`, and `ActionCard` subclasses, while `Tile` mainly holds tile-specific state (`color`, `x`, `y`, `markVisited()`); Model 2 collapses several concerns into `Tile` itself (`isVisited`, `isHidden`, `isStartingPosition`, `isConnectedRight/Left/Top/Bottom`) and flattens card behavior into a single `ActionCard.cardType`.
2. Complexity: Model 1 = 4, Model 2 = 3; Evidence: Model 1 has a larger but still shallow hierarchy (`Tile` -&gt; `RegularTile`/`HiddenTile`/`ActionTile`, `ActionCard` -&gt; five card subclasses) with focused methods like `drawCard()`, `execute()`, and `tickCooldown()`, which fits the domain; Model 2 has fewer classes, but much of the domain structure is pushed into many boolean attributes on `Tile` and a single `ActionCard`/`ActionCardType` pair that compresses five distinct card behaviors.
3. Practicability: Model 1 = 4, Model 2 = 2; Evidence: Model 1 is more directly testable because it exposes behavior such as `Game.nextTurn()`, `Deck.drawCard()`, `ActionCard.execute(game, player)`, `Tile.markVisited()`, and `ActionTile.tickCooldown()`; Model 2 is readable but less practical for implementation and testing because `ActionCard` has no behavior beyond `cardType`, `Tile` relies on flags instead of explicit tile roles, and connection/hidden-tile semantics are only implicit.
Total: Model 1 = 12, Model 2 = 7
Choice: A
Reason:
1. Cohesion and Decoupling: Model 1 keeps the domain concepts separate and focused, while Model 2 overloads `Tile` with visit, hidden, start-position, and connection-state flags.
2. Complexity: Model 1 is more detailed, but the extra classes are traceable domain concepts rather than arbitrary clutter; Model 2 is smaller, but only by flattening important concepts into primitive attributes and a single card type.
3. Practicability: Model 1 better supports real implementation and unit testing because it models executable card effects and tile state transitions explicitly.
4. Rejected or checked issues: I did not use Model 2’s opposite-direction tile associations or its PlantUML comment about the singleton constraint as negative evidence, because those are excluded from scoring; I also did not penalize either model for primitive type aliases or equivalent multiplicity syntax.
5. Overall judgment: Model 1 is the better UML design because it captures the required game mechanics with clearer domain structure and more testable behavior, even though it has more classes.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</si>
  <si>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</si>
  <si>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`Game`, `GameDesigner`, `Board`, `Tile`, `RegularTile`, `HiddenTile`, `ActionTile`, `ConnectionPiece`, `Player`, `PlayingPiece`, `Deck`, `ActionCard` with concrete card subclasses, and `Die`, which matches the board-game design/play domain closely. Model 2 includes the core `Game`, `Designer`, `Board`, `Tile`, `ActionTile`, `Player`, `PlayingPiece`, `Deck`, `ActionCard`, and `Die`, but it collapses important distinctions into flags on `Tile` and does not model separate action-card subclasses or a `ConnectionPiece` concept.
2. Associations/Multiplicities between classes for domain reasoning: Model 1 = 4, Model 2 = 2; Evidence: Model 1 explicitly models `Game "1" *-- "2..4" Player`, `Deck "1" *-- "32" ActionCard`, `Board "1" *-- "1..*" Tile`, `Tile` to `ConnectionPiece` on each side with `0..1` multiplicities, and `ConnectionPiece --&gt; "2" Tile`. Model 2 has `Game "1" *-- "2..4" Player`, `Board "1" *-- "1..*" Tile`, and `Tile --&gt; "0..1" Tile` self-links, but it does not explicitly represent connection pieces, and its tile links are a weaker substitute for the required board-connection reasoning.
3. Model attributes with appropriate data types: Model 1 = 4, Model 2 = 3; Evidence: Model 1 uses enums like `GameState`, `TileColor`, and `PieceColor`, plus `turnNumber: int`, `spareConnectionPieces: int`, `Tile x: int / y: int`, `ActionTile cooldownTurns: int / remainingCooldown: int`, and `Player skipNextTurn: boolean`. Model 2 has `GameState`, `ActionCardType`, `Game maxPlayers: int / spareConnectionPieces: int / currentPlayerIndex: int`, `Board width: int / height: int`, `Tile posX/posY` and several booleans such as `isHidden`, `isStartingPosition`, and `isConnectedRight/Left/Top/Bottom`, but it relies more heavily on flag fields and `String` colors rather than the domain-specific typed modeling used in Model 1.
4. Consistencies of Terminology with given context: Model 1 = 5, Model 2 = 3; Evidence: Model 1 uses terminology that tracks the prompt closely, such as `GameDesigner`, `HiddenTile`, `ActionTile`, `ConnectionPiece`, `PlayingPiece`, `drawCard()`, and `spareConnectionPieces`. Model 2 uses some aligned terms like `Designer`, `ActionTile`, and `ActionCardType`, but it replaces the connection-piece concept with `isConnectedRight/Left/Top/Bottom` flags and introduces less-contextual terms like `isRevealed`, `maxPlayers`, and `winner`, which are not central to the given description.
5. Adherence of UML class diagram standards: Model 1 = 5, Model 2 = 5; Evidence: Both diagrams are valid PlantUML class diagrams with classes, enums, inheritance, associations, and multiplicities expressed in standard notation. Model 1’s `ActionCard &lt;|-- ...` hierarchy and `Tile`/`ConnectionPiece` associations are syntactically clear, and Model 2’s self-associations, multiplicities, and comment annotations remain readable and valid PlantUML syntax.
Total: Model 1 = 23, Model 2 = 17
Choice: A
Reason:
1. Appropriate conceptual classes aligned with the domain: Model 1 models the key domain concepts more faithfully, especially `ConnectionPiece`, `HiddenTile`, `RegularTile`, and the action-card subclasses, while Model 2 collapses several of these into flags and an enum.
2. Associations/Multiplicities: Model 1 captures the required board topology and card deck structure more directly, including `ConnectionPiece --&gt; "2" Tile` and `Deck "1" *-- "32" ActionCard`; Model 2’s self-links on `Tile` are weaker for the stated requirement because they omit connection pieces.
3. Rejected or checked issues: I did not use association arrow direction style differences, PlantUML comments, or primitive-type aliases as negative evidence, because those are explicitly forbidden as scoring penalties.
4. Overall judgment: Model 1 is the better UML domain model because it preserves the required conceptual structure and relationships more accurately, while Model 2 is acceptable syntax-wise but less faithful to the game's core design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</si>
  <si>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</si>
  <si>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3; Evidence: Model 1 captures the game phases with `GameState { DESIGNING, PLAYING, ENDED }`, the 2-to-4 player limit with `Game "1" o-- "2..4" Player`, and the 32-card deck with `Deck "1" *-- "32" ActionCard`. Model 2 has `Game.startGame()`, `endGame()`, and `nextTurn()`, but its `Game --&gt; Player : has players` relationship has no explicit 2..4 multiplicity or design-phase state.
2. Board topology and connection constraints: Model 1 = 5, Model 2 = 2; Evidence: Model 1 models per-side limits directly with `Tile "1" o-- "0..1" ConnectionPiece : rightConnection/leftConnection/topConnection/bottomConnection` and `ConnectionPiece --&gt; "2" Tile : connects`. Model 2 uses `GameBoard *- Tile : contains`, `GameBoard *- ConnectionPiece : contains`, and two generic `ConnectionPiece --&gt; Tile : connects` links, but it does not encode the per-side board constraint or the "at most one tile on each side" rule.
3. Player, piece, and turn mechanics: Model 1 = 5, Model 2 = 4; Evidence: Model 1 separates `Player` from `PlayingPiece`, gives the piece a `color: PieceColor`, and links it to a tile with `PlayingPiece --&gt; "1" Tile : currentTile`, which matches moving a piece along the board. Model 2 also has `PlayingPiece - color : PlayingPieceColor`, but it places `currentTile : Tile` on `Player` instead of on the piece, which is a weaker fit to the requirement even though `Player.move(steps)` and `skipTurn()` reflect turn behavior.
4. Action cards, hidden tile, and action-tile behavior: Model 1 = 4, Model 2 = 4; Evidence: Model 1 represents the five predefined card choices as subclasses of `abstract class ActionCard` and gives `ActionTile { cooldownTurns, remainingCooldown, isActive(), deactivate(), tickCooldown() }`, plus `Board --&gt; "1" HiddenTile : hiddenTile`. Model 2 represents the card choices with `ActionCardType` and `class ActionCard`, and it also has `ActionTile { cooldownTurns, currentCooldown, triggerAction(), decreaseCooldown() }` and `class HiddenTile`, but its hidden-tile and action-tile links are less explicit.
5. Hallucination control and naming clarity: Model 1 = 4, Model 2 = 3; Evidence: Model 1 mostly uses direct domain names such as `Board`, `Tile`, `HiddenTile`, `ActionTile`, `ConnectionPiece`, and `PlayingPiece`, with a few extra but still plausible attributes like `turnNumber` and `spareConnectionPieces`. Model 2 also uses understandable names, but it adds more implementation-flavored structure such as `GameBoard.width/height`, `cardsRemaining`, `currentValue`, `ConnectionPiecePile`, and many procedural methods on `GameDesigner`, which are not required by the prompt and make the model less purely conceptual.
Total: Model 1 = 23, Model 2 = 16
Choice: A
Reason:
1. Requirement coverage: Model 1 is closer to the full scenario because it explicitly models the design/play phases, player count, and deck size; Model 2 leaves those as generic relationships or unquantified properties.
2. Board topology and cardinalities: Model 1 directly encodes the key structural rule that a tile can have at most one connection on each side; Model 2 describes connections more loosely and does not preserve that constraint as clearly.
3. Player/piece semantics: Model 1 keeps the playing piece as a separate object with its own color and tile position, which matches the requirement better than Model 2’s `currentTile` on `Player`.
4. Rejected or checked issues: I did not use bidirectional-vs-unidirectional association style, lowercase primitive aliases, or optional abstractness as negative evidence, because those are explicitly neutral. I also did not treat Model 2’s `ActionCardType` enum or Model 1’s `ActionCard` subclasses as a decisive issue by themselves, since both can represent the five predefined card choices.
5. Overall judgment: Model 1 better captures the required UML semantics, especially the fixed player count, deck size, and per-side tile connection limits. Model 2 contains useful domain concepts, but its key constraints are weaker and more implicit.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</si>
  <si>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</si>
  <si>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keeps the main concepts split into focused classes and associations, such as `Game` owning `Board`, `Deck`, and `Die`, `Board` containing `Tile`, `Tile` specialized into `RegularTile`, `HiddenTile`, and `ActionTile`, and `ActionCard` specialized into five distinct card classes. Model 2 is more operationally concentrated in a few classes: `GameDesigner` carries many design-step methods (`designBoard`, `placeTile`, `connectTiles`, `setHiddenTile`, `setStartingPosition`, `setActionTile`, `defineActionDeck`), and `ActionCard` is a single class with an `ActionCardType` enum rather than separate behavior-specific card classes.
2. Complexity: Model 1 = 4, Model 2 = 3; Evidence: Model 1 has a moderate hierarchy depth with two main inheritance trees (`Tile` and `ActionCard`) and a compact set of domain classes aligned to the requirement, though it does use five action-card subclasses. Model 2 adds more structural and procedural surface area, including `GameBoard`, `ConnectionPiecePile`, and many methods on `GameDesigner`, `Player`, `GameBoard`, `Deck`, and `Die`, which makes the diagram denser without clearly improving the core requirement coverage beyond Model 1.
3. Practicability: Model 1 = 3, Model 2 = 4; Evidence: Model 2 is easier to implement and test from the diagram because it exposes concrete workflow operations like `placeTile`, `connectTiles`, `setHiddenTile`, `setStartingPosition`, `drawCard`, `shuffle`, `takePiece`, and `returnPiece`, and it models turn progression with `startGame`, `nextTurn`, and `rollDie`. Model 1 is readable and captures the domain structure well, but it is more declarative: `GameDesigner` only has `name`, `Board` has no operations, and the workflow is mostly implicit in associations and subclasses.
Total: Model 1 = 11, Model 2 = 10
Choice: A
Reason:
1. Cohesion and Decoupling: Model 1 is more cleanly partitioned into domain concepts, especially the separate action-card subclasses and tile subclasses. Model 2 groups more responsibilities into `GameDesigner` and compresses all card behaviors into one `ActionCard` class with a type enum.
2. Complexity: Model 1’s structure is simpler in the relevant sense because its inheritance is shallow and its class set maps directly to the requirement. Model 2 adds extra workflow and infrastructure classes, which increases diagram complexity more than necessary.
3. Practicability: Model 2 wins here because it gives a more executable-looking API for board setup, gameplay, and testing. Model 1 is more of a structural domain sketch and leaves more behavior implicit.
4. Rejected or checked issues: I did not use association arrow direction, bidirectional-vs-opposite unidirectional notation, primitive type aliases, multiplicity shorthand, or missing `abstract` markers as negative evidence. Those are excluded by the scoring rules.
5. Overall judgment: Model 1 is better overall because it better captures the requirement’s core domain structure and special cases, especially the fixed deck of 32 action cards and the distinct action-card behaviors, while staying reasonably cohesive and not overly complex. Model 2 is more operational, but it loses some semantic precision in the action-card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</si>
  <si>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</si>
  <si>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classes directly: `Game`, `GameDesigner`, `Board`, `Tile` with `RegularTile`, `HiddenTile`, `ActionTile`, `Player`, `PlayingPiece`, `Die`, `Deck`, `ActionCard` plus the five action-card subclasses. Model 2 also covers the domain with `Game`, `GameDesigner`, `GameBoard`, `Tile` with subclasses, `Player`, `PlayingPiece`, `Die`, `Deck`, and `ActionCard`, but it collapses the five predefined action-card choices into a single `ActionCard` with `ActionCardType`, which is a slightly weaker match to the requirement’s explicit card set.
2. Associations/Multiplicities between classes for domain reasoning: Model 1 = 4, Model 2 = 3; Evidence: Model 1 states `Game "1" o-- "2..4" Player`, `Deck "1" *-- "32" ActionCard`, `Board "1" *-- "1..*" Tile`, and `Tile` has four side associations to `ConnectionPiece` with `0..1` multiplicity, which captures most required constraints. Model 2 has useful structure like `Game *-- GameBoard`, `Game *-- Deck`, `Game *-- ConnectionPiecePile`, and `ConnectionPiece --&gt; Tile` twice, but it omits the `2..4` player multiplicity and the fixed `32` card/spare-piece counts in the associations themselves, so the domain reasoning is less precise.
3. Model attributes with appropriate data types: Model 1 = 4, Model 2 = 5; Evidence: Model 1 models `Game.state : GameState`, `turnNumber : int`, `spareConnectionPieces : int`, `Tile.color : TileColor`, `Tile.x/y : int`, `Player.name/order/skipNextTurn`, `PlayingPiece.color : PieceColor`, and `ActionTile.cooldownTurns/remainingCooldown`, which is solid but missing some useful state like deck contents or board dimensions. Model 2 is more complete on attribute modeling with `Game.currentPlayer`, `isGameEnded`, `winner`, `GameBoard.width/height`, `Player.currentTile/skippedTurns/playerNumber`, `ConnectionPiece.side1/side2`, `Deck.cards/cardsRemaining`, `ConnectionPiecePile.sparePieces/piecesRemaining`, and `Die.currentValue`.
4. Consistencies of Terminology with given context: Model 1 = 5, Model 2 = 4; Evidence: Model 1 uses the requirement’s own terms very directly, such as `Board`, `Tile`, `ConnectionPiece`, `PlayingPiece`, `ActionCard`, `HiddenTile`, and `ActionTile`, and its five action-card subclasses mirror the five described actions. Model 2 is still mostly consistent, but terms like `GameBoard`, `ConnectionPiecePile`, and `ActionCardType` are a bit more abstract than the requirement’s wording, even though they remain semantically valid.
5. Adherence of UML class diagram standards: Model 1 = 5, Model 2 = 4; Evidence: Both are valid PlantUML class diagrams, but Model 1 is cleaner in UML terms because it combines inheritance, multiplicities, and associations in a standard way such as `Tile &lt;|-- RegularTile` and `Deck "1" *-- "32" ActionCard`. Model 2 is also valid, but it uses repeated `Game --&gt; Player` associations without explicit multiplicities/roles on each one and duplicates `ConnectionPiece --&gt; Tile` twice without differentiating the two endpoints, which makes the diagram a bit less standard and less explicit.
Total: Model 1 = 23, Model 2 = 20
Choice: A
Reason:
1. Appropriate conceptual classes aligned with the domain: Model 1 maps more directly to the requirement by modeling the five action-card choices as distinct subclasses, while Model 2 compresses them into a generic `ActionCard` plus enum.
2. Associations/Multiplicities between classes for domain reasoning: Model 1 captures the most important multiplicities explicitly, especially `2..4` players and `32` action cards; Model 2 leaves those constraints much less explicit.
3. Rejected or checked issues: I did not penalize either model for using opposite-direction association styles, primitive type aliases, or equivalent multiplicity literals, since those are semantically acceptable under the scoring rules.
4. Overall judgment: Model 2 is stronger on attribute richness, but Model 1 is better overall because it more faithfully expresses the domain structure and the required multiplicities, which are central to this problem.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</si>
  <si>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</si>
  <si>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</si>
  <si>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</si>
  <si>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Step 1 core stock/order tracking: Model 1 = 4, Model 2 = 3; Evidence: Model 1 includes `Customer.vatNumber`, `Customer.headOfficeAddress`, `Product.currentStock`, `Order.paidDate`, `Shipment.shipmentDate`, and `OrderLine.quantity`, which directly match the base need to track customers, stock, orders, payment, and shipping times. Model 2 includes `Customer.vatNumber`, `Product.currentStock`, `Order.paymentStatus`, and `Shipment.status`, but it does not encode payment and shipping moments as timestamps, relying on status fields instead.
2. Partial shipment and line-level delivery semantics: Model 1 = 2, Model 2 = 4; Evidence: Model 1 has `Order "1" *-- "0..*" Shipment` and `Shipment "1" o-- "1..*" OrderLine : groups`, plus `OrderStatus` values like `PARTIALLY_SHIPPED`, but it does not model shipped quantity per line or a separate shipped-vs-pending line state. Model 2 adds `ShipmentLine.shippedQuantity` and `OrderLine.shippedQuantity`, with `Shipment "1" -- "1..*" ShipmentLine`, which is much closer to the required partial shipment handling.
3. Invoice and payment-timing requirements: Model 1 = 2, Model 2 = 4; Evidence: Model 1 has `Invoice` and `Order "1" *-- "1" Invoice : generates &gt;`, but no choice between paying on order or after delivery. Model 2 introduces `PaymentTiming { ON_ORDER, ON_DELIVERY }`, `PaymentStatus { UNPAID, PAID }`, and `Order "1" -- "0..1" Invoice : has`, which aligns better with the requirement that customers can pay immediately or later while the order remains fully paid.
4. Shipment status and operational monitoring: Model 1 = 2, Model 2 = 4; Evidence: Model 1’s `ShipmentStatus` is limited to `PACKED`, `SHIPPED`, and `RECEIVED`, and `Shipment` only stores `status`, `shipmentDate`, and `receivedDate`. Model 2’s `ShipmentStatus` adds `MISSING` and `DAMAGED`, and its `ShipmentLine` structure better supports tracking deliveries as they move through packing, shipping, and receipt, including problematic deliveries.
Total: Model 1 = 10, Model 2 = 15
Choice: B
Reason:
1. Step 1 core tracking: Model 1 is stronger on direct event recording because it has `paidDate` and `shipmentDate`, while Model 2 only uses status fields for payment and shipment. That said, this advantage is outweighed by later-step coverage.
2. Partial shipment handling: Model 2 is clearly better because `ShipmentLine.shippedQuantity` and `OrderLine.shippedQuantity` express partial shipping directly, whereas Model 1 only groups `OrderLine` instances under `Shipment` without line-level shipped quantity.
3. Invoice and payment timing: Model 2 matches the evolving requirement better with `PaymentTiming ON_ORDER/ON_DELIVERY` and an optional invoice relation. Model 1 has an invoice, but no model of the customer choosing when to pay.
4. Rejected or checked issues: I did not penalize either model for using opposite-direction associations or for equivalent multiplicities, since those are semantically equivalent under the scoring rules. I also did not treat Model 2’s extra shipment statuses `MISSING` and `DAMAGED` as a hallucination, because they are consistent with the Step 4 delivery-problem requirement.
5. Overall judgment: Model 2 is the better fit because it follows the later requirement revisions more faithfully, especially partial shipment support, payment timing, and richer shipment status tracking. Model 1 is stronger only on the early timestamp recording, but it falls behind on the more important Step 2 through Step 4 adaptations.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</si>
  <si>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</si>
  <si>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the main domain nouns in separate classes (`Customer`, `Product`, `Order`, `OrderLine`, `Invoice`, `Shipment`) and has a dedicated `Warehouse`, but it couples shipment handling directly to `OrderLine` via `Shipment "1" o-- "1..*" OrderLine` and models delivery as `Order "1" -- "1" Warehouse`. Model 2 separates shipment handling more cleanly with `ShipmentLine` between `Shipment` and `OrderLine`, and it also separates payment concerns with `PaymentTiming` and `PaymentStatus` on `Order`, though `OrderLine.shippedQuantity` duplicates shipment-state information and `Customer.deliveryWarehouses` is modeled as `Address` rather than a more explicit warehouse concept.
2. Complexity: Model 1 = 3, Model 2 = 4; Evidence: Model 1 has 8 classes plus 2 enums, and several operations spread across `Customer`, `Product`, `Order`, `Invoice`, and `Shipment`, which makes it relatively compact. Model 2 has an extra class (`ShipmentLine`) and an extra enum (`PaymentTiming`), so it is structurally larger, but that added intermediate concept is justified by the later-step need to handle partial shipment quantities and payment timing; it is therefore a better-fit complexity level for the full requirement even though it is more detailed.
3. Practicability: Model 1 = 2, Model 2 = 4; Evidence: Model 1 covers the basic Step 1 needs with `Customer.vatNumber`, `Product.currentStock`, `Order.paidDate`, and `Shipment.status`, but it cannot represent partial shipments because shipment data is attached directly to `OrderLine` and there is no shipped-quantity or shipment-line concept, and its `ShipmentStatus` only includes `PACKED`, `SHIPPED`, and `RECEIVED`, not later delivery problems. Model 2 supports the more realistic later steps with `ShipmentLine.shippedQuantity`, `OrderLine.shippedQuantity`, `ShipmentStatus` including `MISSING` and `DAMAGED`, and `PaymentTiming` for pay-on-order vs pay-on-delivery, so it is much more usable for implementation, testing, and iterative extension, even though it still omits an explicit warehouse/head-office distinction.
Total: Model 1 = 8, Model 2 = 12
Choice: B
Reason:
1. Cohesion and Decoupling: Model 2 is slightly better because it introduces `ShipmentLine` to separate shipment-level concerns from order-line data, and it separates payment policy from payment state. Model 1 is simpler, but its direct shipment-to-order-line link makes partial-shipment handling awkward.
2. Complexity: Model 2 uses more concepts, but the extra structure is justified by the evolving requirements in Steps 2 to 4. Model 1 is leaner, yet that leanness comes from omitting needed concepts rather than reducing unnecessary complexity.
3. Practicability: Model 2 is clearly more practical for the full scenario because it can model partial shipment quantities and delivery status changes. Model 1 cannot represent those later-step cases adequately.
4. Rejected or checked issues: I did not use association arrow direction, primitive type spelling (`int` vs `Integer`, etc.), or optional abstractness as negative evidence, because those are explicitly forbidden factors.
5. Overall judgment: Model 2 is the better fit because it tracks the requirement evolution more faithfully, especially for partial shipments, shipment grouping, and delivery-status reporting.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</si>
  <si>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</si>
  <si>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business concepts `Customer`, `Address`, `Product`, `Order`, `OrderLine`, `Invoice`, `Shipment`, and `Warehouse`, which map well to stock, customers, and orders. Model 2 also has `Customer`, `Address`, `Product`, `Order`, `OrderLine`, `Invoice`, and `Shipment`, but it omits a warehouse/inventory-side concept entirely and replaces the step-2/4 delivery refinement with `ShipmentLine`; that helps partial shipment tracking, but overall the class set is less complete for the full scenario.
2. Associations/Multiplicities between classes for domain reasoning: Model 1 = 3, Model 2 = 4; Evidence: Model 1 has `Order "1" *-- "1..*" OrderLine` and `Shipment "1" o-- "1..*" OrderLine`, which supports shipped groups of lines, but `Order "1" -- "1" Warehouse : delivers to &gt;` is a weak fit for the requirement and there is no line-level shipped state. Model 2 models `Order "1" -- "1..*" OrderLine`, `Order "1" -- "0..*" Shipment`, and `Shipment "1" -- "1..*" ShipmentLine` with `ShipmentLine "0..*" -- "1" OrderLine`, which is better for partial shipments and line-based delivery, though `Order "1" -- "0..1" Invoice` is somewhat loose for an order that must be invoiced.
3. Model attributes with appropriate data types: Model 1 = 4, Model 2 = 2; Evidence: Model 1 provides richer, well-typed attributes such as `Customer.customerId`, `Customer.vatNumber`, `Address.street/city/postalCode/country`, `Product.price : Money`, `Product.currentStock : Integer`, `Order.orderDate`, `Order.paidDate`, `Invoice.totalAmount : Money`, and `Shipment.trackingNumber`. Model 2 is much sparser, with only `Customer.vatNumber`, `Product.currentStock`, `Order.orderDate/paymentStatus/paymentTiming`, `OrderLine.orderedQuantity/shippedQuantity`, `Invoice.totalAmount`, and `Shipment.status`, while omitting many core identifiers and descriptive fields like order id, product id, invoice id, shipment id, and full address data.
4. Consistencies of Terminology with given context: Model 1 = 3, Model 2 = 4; Evidence: Model 1 stays close to the original order/stock vocabulary with `Customer`, `Product`, `Order`, `OrderLine`, `Invoice`, and `Shipment`, but `Warehouse` and `Order ... delivers to Warehouse` are a poor match for the step-3 delivery-address requirement. Model 2 uses `PaymentTiming`, `PaymentStatus`, `ShipmentLine`, and `deliveredTo`, which reflect later-step requirements more directly, although `Customer -- Address : deliveryWarehouses` is a somewhat misleading label because it treats addresses as warehouses.
5. Adherence to UML class diagram standards: Model 1 = 5, Model 2 = 5; Evidence: Both diagrams are valid PlantUML class diagrams with recognizable classes, enums, attributes, and associations. Model 1 uses standard class/enum declarations and multiplicities like `1..*` and `0..*`; Model 2 does the same with `ShipmentLine`, `PaymentTiming`, and `ShipmentStatus`. Neither contains syntax that makes the diagram unreadable or non-UML.
Total: Model 1 = 19, Model 2 = 18
Choice: A
Reason:
1. Appropriate conceptual classes aligned with the domain: Model 1 covers the core business entities more completely, especially stock/order/invoice/shipment structure, while Model 2 is missing a warehouse-side concept and relies more on later-step refinements.
2. Associations/Multiplicities between classes for domain reasoning: Model 2 is stronger on partial shipment reasoning because of `ShipmentLine` and its links to `OrderLine`, but Model 1 still has a more basic mismatch in `Order -&gt; Warehouse`; overall Model 2 edges this criterion.
3. Model attributes with appropriate data types: Model 1 is clearly stronger because it includes the key identifiers, address parts, prices, dates, and stock data that Model 2 mostly omits.
4. Consistencies of Terminology with given context: Model 2 is slightly better because `PaymentTiming` and `ShipmentLine` align with the later steps, even though `deliveryWarehouses` is an awkward label for an `Address`.
5. Rejected or checked issues: I did not penalize either model for using `*` versus `0..*`, lowercase primitive aliases, or the presence/absence of `abstract`, since those are explicitly non-penalizable here.
6. Overall judgment: Model 1 is better because it is substantially more complete on attributes and still covers the main domain entities, while Model 2’s partial-shipment modeling is good but comes with heavier omissions in the core data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</si>
  <si>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</si>
  <si>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STEP 1 entities and attributes: Model 1 = 4, Model 2 = 3; Evidence: Model 1 includes `Customer` with `vatNumber` and `headOfficeAddress : Address`, `Product` with `currentStock : Integer`, and `OrderLine` with `quantity : Integer`. Model 2 includes `Customer.vatNumber`, `Product.currentStock`, and `OrderLine.quantityOrdered`, but the address model is indirect through `DeliveryAddress` and does not capture the basic customer address as clearly.
2. Payment and invoicing workflow: Model 1 = 2, Model 2 = 5; Evidence: Model 1 only has `Order.paidDate`, `Invoice.paidDate`, and `Invoice.totalAmount`, so it records payment timing but not the required choice between paying on order placement versus after delivery. Model 2 explicitly models `paymentMethod : PaymentMethod` with `DIRECT` and `POST_DELIVERY`, plus `paymentStatus : PaymentStatus`, and links `Invoice` to `Customer`.
3. Shipment / partial shipment / delivery evolution: Model 1 = 2, Model 2 = 4; Evidence: Model 1 has `OrderStatus {PLACED, PAID, PARTIALLY_SHIPPED, FULLY_SHIPPED}` and `ShipmentStatus {PACKED, SHIPPED, RECEIVED}`, plus `Shipment "1" o-- "1..*" OrderLine`, but it does not clearly model line-by-line partial shipping or delivery condition/status. Model 2 adds `shippingStatus : ShippingStatus {NOT_SHIPPED, PARTIALLY_SHIPPED, FULLY_SHIPPED}`, `ShipmentStatus`, and `DeliveryStatus {PACKED, SHIPPED, RECEIVED, DAMAGED, MISSING}`, and it connects `Shipment` to `OrderLine` and `Delivery`, which is closer to the later-step requirements.
4. Association semantics and multiplicities: Model 1 = 3, Model 2 = 2; Evidence: Model 1 has strong order-line/product structure with `Order "1" *-- "1..*" OrderLine` and `OrderLine "*" -- "1" Product`, but `Order "1" -- "1" Warehouse : delivers to` and `Customer *-- 0..* Warehouse` are not a clean match for the requirement’s delivery-address evolution. Model 2 has reasonable basics like `Order "1" --&gt; "*" OrderLine` and `OrderLine "*" --&gt; "1" Product`, but `Delivery "*" --&gt; "*" OrderLine` and `Shipment "1" --&gt; "*" Delivery` make the shipment/delivery structure more ambiguous.
5. Model consistency and extraneous concepts: Model 1 = 3, Model 2 = 2; Evidence: Model 1 adds some extra detail such as `Warehouse`, `unitPrice`, and `trackingNumber`, but the model remains mostly coherent as a stock/order system. Model 2 introduces `Company` and both `Shipment` and `Delivery` as overlapping lifecycle concepts, which makes the conceptual model less focused and more redundant.
Total: Model 1 = 14, Model 2 = 16
Choice: B
Reason:
1. Payment and invoicing workflow: Model 2 is materially better because it captures the step 3 requirement for direct-versus-post-delivery payment with `PaymentMethod {DIRECT, POST_DELIVERY}` and `paymentStatus`, while Model 1 only records `paidDate`.
2. Shipment / partial shipment / delivery evolution: Model 2 also better covers the later steps by modeling `PARTIALLY_SHIPPED`, `FULLY_SHIPPED`, and delivery states including `DAMAGED` and `MISSING`; Model 1 has shipment status but not the richer delivery tracking.
3. Association semantics: Model 1 is cleaner in a few places, especially `OrderLine -&gt; Product`, but its `Order -&gt; Warehouse` delivery relation is off-target. Model 2 is messier around `Shipment` vs `Delivery`, but it still aligns more closely with the evolving requirements overall.
4. Rejected or checked issues: I did not penalize opposite arrow directions versus bidirectional associations, lowercase primitive types like `int`, or PlantUML comments, because those are semantically equivalent under the scoring rules.
5. Overall judgment: Model 2 is better because it covers the key requirement changes from steps 2 to 4 more explicitly, even though Model 1 is slightly cleaner in some basic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</si>
  <si>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</si>
  <si>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core concerns mostly separate with `Customer`, `Product`, `Order`, `OrderLine`, `Invoice`, and `Shipment`, and links them through focused relations like `Order "1" *-- "1..*" OrderLine` and `OrderLine "*" -- "1" Product`. Its main weakness is that `Order "1" -- "1" Warehouse : delivers to` gives `Warehouse` a delivery role that is a bit semantically overloaded. Model 2 is more coupled because fulfillment is split across both `Shipment` and `Delivery`, with `Shipment "1" --&gt; "*" Delivery`, `Shipment "1" --&gt; "*" OrderLine`, and `Delivery "*" --&gt; "*" OrderLine`, plus a central `Company` node that registers customers and stocks products.
2. Complexity: Model 1 = 3, Model 2 = 4; Evidence: Model 1 has 8 classes and 2 enums, no inheritance, and a small method surface (`markPaid`, `markFullyShipped`, `pack`, `ship`, `markReceived`), which is easy to grasp but does not fully reflect the later iterative steps. Model 2 has 9 classes and 4 enums, adding `PaymentMethod`, `PaymentStatus`, `ShippingStatus`, and `DeliveryStatus` to capture later-step requirements, so it is more complex but also more aligned with the expanded scenario.
3. Practicability: Model 1 = 3, Model 2 = 4; Evidence: Model 1 is readable and testable for the basic stock/order flow, with `paidDate`, `receivedDate`, and `status` on `Order`/`Shipment`, but it does not model invoice payment timing choice or delivery condition/missing-damaged deliveries. Model 2 explicitly models `paymentMethod`, `paymentStatus`, `shippingStatus`, `DeliveryStatus`, and `conditionNotes`, which gives a more usable basis for step 3 and step 4 testing, even though `Shipment` and `Delivery` overlap.
Total: Model 1 = 10, Model 2 = 11
Choice: B
Reason:
1. Cohesion and Decoupling: Model 1 is cleaner around a single order/shipment core; Model 2 spreads fulfillment semantics across `Shipment` and `Delivery`, increasing coupling.
2. Complexity: Model 2 uses more classes and enums, but those additions track the iterative requirements better than Model 1's thinner model.
3. Practicability: Model 2 is more viable for the later steps because it models payment choice and delivery status directly, while Model 1 stops short of those scenarios.
4. Rejected or checked issues: I did not count Model 2's opposite-direction association styling or inline comments against it, because they are semantically equivalent per the instructions; I also did not treat lowercase primitive types as a penalty.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</si>
  <si>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</si>
  <si>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classes `Customer`, `Product`, `Order`, `OrderLine`, `Invoice`, `Shipment`, and `Address`, which map well to stock, customers, orders, invoicing, and shipping, although `Warehouse` is a noticeable domain drift. Model 2 also includes core classes like `Customer`, `Product`, `Order`, `OrderLine`, `Invoice`, and `Shipment`, but adds a less grounded `Company` class and a generic `Delivery` class, while omitting customer name/address details required by the prompt.
2. Associations/multiplicities between classes for domain reasoning: Model 1 = 4, Model 2 = 3; Evidence: Model 1 models the important relationships directly, such as `Customer "1" -- "0..*" Order`, `Order "1" *-- "1..*" OrderLine`, `OrderLine "*" -- "1" Product`, and `Order "1" *-- "0..*" Shipment`, which supports the order/line/shipment reasoning fairly well despite the odd `Customer`-`Warehouse` and `Order`-`Warehouse` links. Model 2 has `Order "1" --&gt; "*" OrderLine`, `Order "1" --&gt; "1" Invoice`, `Order "1" --&gt; "*" Shipment`, and `Shipment "1" --&gt; "*" Delivery`, but the `Delivery "*" --&gt; "*" OrderLine` and shipment-to-delivery chain is more convoluted and less faithful to the described business flow.
3. Model attributes with appropriate data types: Model 1 = 4, Model 2 = 3; Evidence: Model 1 captures many needed attributes such as `vatNumber`, `orderDate`, `paidDate`, `currentStock`, `quantity`, `unitPrice`, `totalAmount`, and address fields, so it covers the main data requirements well even though `Money` is undefined and some fields like `description` and `trackingNumber` are extra. Model 2 has useful attributes like `vatNumber`, `currentStock: int`, `paymentStatus`, `paymentMethod`, `shipmentDate`, and `totalAmount: double`, but it misses required customer address/name detail and keeps the customer model too sparse for the prompt.
4. Consistencies of Terminology with given context: Model 1 = 4, Model 2 = 3; Evidence: Model 1 mostly uses the expected domain terminology, including `Customer`, `Product`, `OrderLine`, `Invoice`, `Shipment`, and `Address`, though `Warehouse` is not the best fit for the prompt’s delivery-address wording. Model 2 is less consistent because it introduces `Company` as a class, uses generic `DeliveryAddress` and `Delivery`, and therefore drifts further from the customer/order vocabulary in the requirement.
5. Adherence of UML class diagram standards: Model 1 = 4, Model 2 = 4; Evidence: Both are valid PlantUML class diagrams with classes, enums, attributes, and multiplicities, and both are structurally readable as UML. Model 1 uses standard constructs like `enum OrderStatus` and `Order "1" *-- "1..*" OrderLine`, while Model 2 also stays syntactically valid with class/association declarations and multiplicities, even though its modeling choices are less clean.
Total: Model 1 = 20, Model 2 = 16
Choice: A
Reason:
1. Appropriate conceptual classes: Model 1 is closer to the required customer/product/order/invoice/shipment domain set, while Model 2 adds `Company` and `Delivery` in a way that is less directly grounded in the prompt.
2. Associations/multiplicities: Model 1 expresses the core order-to-line, order-to-product, and order-to-shipment structure more directly; Model 2’s `Shipment`/`Delivery`/`OrderLine` chain is more indirect and less faithful to the stated workflow.
3. Rejected or checked issues: I did not penalize either model for association arrow direction, comment text, or lowercase primitive aliases such as `int` and `double`, since those are explicitly not grounds for deduction.
4. Overall judgment: Model 1 better matches the business domain and required relationships, so it scores higher overall even though it still has some modeling misfits.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</si>
  <si>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</si>
  <si>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Step 1 core stock/customer/order model: Model 1 = 4, Model 2 = 3; Evidence: Model 1 has `Customer.vatNumber`, an `Address` class linked to `Customer`, `Product.currentStock`, `Order`, and `OrderLine.orderedQuantity` plus `Product` association. Model 2 has `Customer.vatNumber`, `DeliveryAddress`, `Product.currentStock`, `Order`, and `OrderLine.quantityOrdered`, but it does not carry the same explicit order-line fulfillment detail that helps with later shipping requirements.
2. Step 2 partial shipping and line-level fulfillment: Model 1 = 4, Model 2 = 3; Evidence: Model 1 models line-level fulfillment with `OrderLine.shippedQuantity`, `ShipmentLine.shippedQuantity`, `Shipment "1" -- "1..*" ShipmentLine`, and `ShipmentLine -- OrderLine`. Model 2 has `Order.shippingStatus` with `NOT_SHIPPED`, `PARTIALLY_SHIPPED`, `FULLY_SHIPPED` and a `Shipment`/`Delivery` structure, but `Delivery "*" --&gt; "*" OrderLine` is a looser link and there is no explicit shipped quantity per order line.
3. Step 3 addresses, invoicing, and payment timing: Model 1 = 3, Model 2 = 4; Evidence: Model 1 captures `Customer -- Address` with `headOffice` and `deliveryWarehouses`, and `Order.paymentTiming` with `ON_ORDER` / `ON_DELIVERY`. Model 2 more directly reflects the step 3 update with `Customer.headOfficeAddress`, multiple `DeliveryAddress` entries, `Invoice "*" --&gt; "1" Customer`, and `PaymentMethod DIRECT / POST_DELIVERY`, which is closer to the “pay when placing the order or after delivery” requirement.
4. Step 4 shipment grouping and delivery status: Model 1 = 4, Model 2 = 3; Evidence: Model 1 has `Shipment` containing `ShipmentLine`, which clearly groups order lines shipped together, and `ShipmentStatus` includes `PACKED`, `SHIPPED`, `RECEIVED` plus `MISSING` and `DAMAGED`. Model 2 adds a separate `Delivery` class with `DeliveryStatus` including `PACKED`, `SHIPPED`, `RECEIVED`, `DAMAGED`, `MISSING`, which helps with delivery status, but the `Shipment` to `OrderLine` and `Delivery` to `OrderLine` associations are less clearly aligned with “a shipment as a group of order lines.”
5. Overall relationship precision and requirement fidelity: Model 1 = 4, Model 2 = 3; Evidence: Model 1 stays closer to the requirement’s essential concepts with `Customer`, `Address`, `Product`, `Order`, `OrderLine`, `Invoice`, `Shipment`, and `ShipmentLine`, with a coherent line-item shipment structure. Model 2 introduces extra or overlapping concepts such as `Company`, `Delivery`, `ShippingStatus`, `ShipmentStatus`, and `DeliveryStatus`, which are not all needed to satisfy the requirement and make the domain model less direct.
Total: Model 1 = 19, Model 2 = 16
Choice: A
Reason:
1. Step 1 core model: Model 1 better preserves the required stock/order structure by combining customer address, product stock, and order-line quantity with explicit fulfillment data. Model 2 is acceptable, but it is less direct on fulfillment detail.
2. Step 2 partial shipping: Model 1 is stronger because `ShipmentLine` plus `shippedQuantity` gives a concrete line-level mechanism for partial shipment. Model 2 has a partial/full shipping status, but its shipment-to-order-line modeling is more ambiguous.
3. Step 3 update: Model 2 is better here because it explicitly models `PaymentMethod DIRECT / POST_DELIVERY` and links `Invoice` to `Customer`. That said, this advantage is not enough to outweigh Model 1’s stronger fulfillment structure overall.
4. Rejected or checked issues: I did not use association arrow direction, primitive type spelling (`int` vs `Integer`), or `*` vs `0..*` as negative evidence, because those are semantically equivalent under the instructions.
5. Overall judgment: Model 1 is the better fit to the full iterative requirement because it keeps the order-line/shipment semantics tighter and more faithful, while still covering the core customer, stock, invoice, and payment concepts. Model 2 is stronger on step 3, but it adds more extra structure and is less precise on shipment-line fulfillment.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</si>
  <si>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</si>
  <si>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fairly separated across `Customer`, `Address`, `Product`, `Order`, `OrderLine`, `Invoice`, `Shipment`, and `ShipmentLine`, and localizes shipment-line detail in `ShipmentLine`. Model 2 splits shipping concerns across `Shipment`, `Delivery`, `ShipmentStatus`, `DeliveryStatus`, and `ShippingStatus`, and adds an extra `Company` hub, which makes the responsibility boundaries less clean.
2. Complexity: Model 1 = 4, Model 2 = 2; Evidence: Model 1 has 8 classes and 3 enums, with no inheritance tree. Model 2 has 10 classes and 6 enums, and it layers `Order.shippingStatus` on top of both `ShipmentStatus` and `DeliveryStatus`, plus `Company` and `Delivery`, so the concept count is noticeably higher. Model 1 does have some redundancy via `OrderLine.shippedQuantity` and `ShipmentLine.shippedQuantity`, but it is still simpler overall.
3. Practicability: Model 1 = 4, Model 2 = 2; Evidence: Model 1 is easier to implement and test because the core workflow is direct: `Order` contains `OrderLine`, `Order` links to `Invoice`, and `Shipment` contains `ShipmentLine` linked back to `OrderLine`. Model 2 is harder to operationalize because shipment behavior is split between `Shipment` and `Delivery`, while `Delivery * --&gt; * OrderLine` and `Order.shippingStatus` create overlapping state models; `DeliveryStatus` and `ShipmentStatus` also duplicate lifecycle concerns. Model 2 does help by explicitly modeling `Delivery.status` and `conditionNotes`, but the overall design is less straightforward.
Total: Model 1 = 12, Model 2 = 6
Choice: A
Reason:
1. Cohesion and Decoupling: Model 1 is more cohesive because each class has a clearer role, especially `ShipmentLine` as the line-item bridge. Model 2 spreads the shipping domain across more entities and statuses, which increases coupling and makes the boundaries between concepts less clear.
2. Complexity: Model 1 is materially less complex, with fewer classes and enums. Model 2 introduces extra abstractions (`Company`, `Delivery`, multiple status enums) without a proportional gain in clarity.
3. Rejected or checked issues: I did not use association arrow direction (`--&gt;` vs `--`), primitive type spelling (`int` vs `Integer`), or comment suffixes as negative evidence, per the rules.
4. Overall judgment: Model 1 is the better-balanced design for the stated requirements. Model 2 is more elaborate, but the added structure is not well disciplined and makes the diagram harder to reason about and test.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</si>
  <si>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</si>
  <si>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classes `Customer`, `Address`, `Product`, `Order`, `OrderLine`, `Invoice`, `Shipment`, and `ShipmentLine`, which map directly to customers, stock, orders, and shipping. Model 2 includes core classes like `Customer`, `Product`, `Order`, `OrderLine`, `Invoice`, and `Shipment`, but also adds `Company` and a separate `Delivery` class, which are not required by the problem and make the domain model less focused.
2. Associations/Multiplicities between classes for domain reasoning: Model 1 = 4, Model 2 = 3; Evidence: Model 1 models `Order "1" -- "1..*" OrderLine`, `Order "1" -- "0..*" Shipment`, and `Shipment "1" -- "1..*" ShipmentLine`, which supports one-or-more lines and grouped shipments. Model 2 uses `Order "1" --&gt; "*" OrderLine`, which allows zero lines instead of one-or-more, and splits fulfillment across both `Shipment "1" --&gt; "*" OrderLine` and `Delivery "*" --&gt; "*" OrderLine`, making the shipment/delivery reasoning less clear.
3. Model attributes with appropriate data types: Model 1 = 4, Model 2 = 3; Evidence: Model 1 includes useful attributes such as `vatNumber: String`, `currentStock: Integer`, `orderDate: Date`, `orderedQuantity: Integer`, `shippedQuantity: Integer`, `invoiceDate: Date`, `totalAmount: Decimal`, and `status: ShipmentStatus`. Model 2 adds relevant fields like `paymentMethod: PaymentMethod`, `invoiceNumber: String`, and `trackingNumber: String`, but `OrderLine` only has `quantityOrdered: int` with no shipped quantity, and `DeliveryAddress` is reduced to a single `address: String`.
4. Consistencies of Terminology with given context: Model 1 = 4, Model 2 = 3; Evidence: Model 1 stays close to the requirement wording with `Customer`, `Address`, `Product`, `Order`, `Invoice`, `Shipment`, and `PaymentTiming` for on-order vs on-delivery payment. Model 2 introduces terminology drift with `Company`, `DeliveryAddress`, `Delivery`, `PaymentMethod`, `ShippingStatus`, and `ShipmentStatus`, which blurs the distinction between shipment and delivery rather than matching the scenario’s vocabulary.
5. Adherence of UML class diagram standards: Model 1 = 5, Model 2 = 5; Evidence: Both diagrams are valid PlantUML class diagrams using standard class, enum, association, and multiplicity syntax. Model 1’s `1..*` and `0..*` multiplicities are legal UML, and Model 2’s class/association notation is also syntactically valid even where the domain semantics are weaker.
Total: Model 1 = 20, Model 2 = 17
Choice: A
Reason:
1. Appropriate conceptual classes: Model 1 better matches the business entities in the requirement by centering on `Customer`, `Address`, `Product`, `Order`, `OrderLine`, `Invoice`, `Shipment`, and `ShipmentLine`. Model 2 adds extra concepts like `Company` and a separate `Delivery` entity that are not demanded by the scenario.
2. Associations/multiplicities: Model 1 more accurately captures the order structure with `Order "1" -- "1..*" OrderLine` and shipment grouping through `ShipmentLine`. Model 2 weakens the order constraint with `Order "1" --&gt; "*" OrderLine` and splits fulfillment across multiple overlapping associations to `Shipment` and `Delivery`.
3. Rejected or checked issues: I did not penalize Model 2 for using opposite-direction arrows or inline comments, since those are semantically equivalent/ignored for scoring under the rules. I also did not treat lowercase primitive types like `int` or `double` as errors.
4. Overall judgment: Model 1 is the stronger UML model because it is more aligned with the domain, keeps the shipment/order structure clearer, and preserves the key multiplicity constraint that an order must contain one or more lines. Model 2 has some useful additions, but its extra classes and overlapping delivery/shipment structure reduce clarity and domain fidelity.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</si>
  <si>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</si>
  <si>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4, Model 2 = 4; Evidence: Model 1 has `Customer.vatNumber`, `Address`, `Product.currentStock`, `Order.orderDate`, `OrderLine.orderedQuantity`, `Invoice`, and `Shipment`; Model 2 has `Customer.vatNumber`, `headOfficeAddress`, `Warehouse`, `Product.currentStock`, `Order.orderDate`, `OrderLine.quantity`, `Invoice`, and `Shipment`. Both cover the main business nouns, but each also leaves some later-step detail implicit.
2. Relationship and multiplicity fidelity: Model 1 = 4, Model 2 = 3; Evidence: Model 1 links `Order` to `1..* OrderLine`, `Order` to `0..* Shipment`, and introduces `ShipmentLine.shippedQuantity` tied to `OrderLine`, which supports partial deliveries; Model 2 links `Shipment` directly to `1..* OrderLine` and lacks any shipment-line quantity, so partial line shipments are not directly modeled.
3. Payment rule modeling: Model 1 = 5, Model 2 = 3; Evidence: Model 1 has `enum PaymentTiming { ON_ORDER, ON_DELIVERY }` and `Order.paymentTiming` plus `PaymentStatus`; Model 2 has `paidDate`/`status` and `markPaid()`, but no explicit choice between pay-on-order and pay-on-delivery.
4. Shipment lifecycle and delivery status: Model 1 = 4, Model 2 = 3; Evidence: Model 1's `ShipmentStatus` includes `PACKED`, `SHIPPED`, `RECEIVED`, `MISSING`, `DAMAGED`, and `ShipmentLine`/`OrderLine.shippedQuantity` support line-level delivery issues; Model 2 has `OrderStatus { PLACED, PAID, PARTIALLY_SHIPPED, FULLY_SHIPPED }` and `ShipmentStatus { PACKED, SHIPPED, RECEIVED }`, but no missing/damaged delivery state and no quantity per shipment line.
5. Scope discipline and naming: Model 1 = 4, Model 2 = 3; Evidence: Model 1 stays close to the requirement with `Customer`, `Product`, `Order`, `OrderLine`, `Invoice`, `Shipment`, and `ShipmentLine`; Model 2 adds many speculative attributes and operations like `customerId`, `name`, `description`, `price`, `trackingNumber`, `register()`, `placeOrder()`, and `adjustStock()`, which go beyond the stated need.
Total: Model 1 = 21, Model 2 = 16
Choice: A
Reason:
1. Payment rule modeling: Model 1 explicitly models the required `ON_ORDER` vs `ON_DELIVERY` choice, while Model 2 only records that an order was paid, which is weaker for Step 3.
2. Shipment and partial delivery modeling: Model 1 has `ShipmentLine.shippedQuantity` and its link to `OrderLine`, which can represent partial shipments; Model 2 links shipments directly to order lines without shipment-line quantities.
3. Delivery status: Model 1 includes shipment states for `PACKED`, `SHIPPED`, `RECEIVED`, `MISSING`, and `DAMAGED`, which fits Step 4’s delivery-tracking intent better than Model 2’s narrower shipment status set.
4. Rejected or checked issues: I did not use association direction, composition-vs-aggregation style, primitive type spelling, or optional abstractness as negatives, because those are not valid reasons to score one model lower here.
5. Overall judgment: Model 1 is closer to the requirement’s core business rules, especially payment timing and shipment-line tracking, so it is the better UML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</si>
  <si>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</si>
  <si>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keeps classes fairly separated with `Customer`, `Address`, `Product`, `Order`, `OrderLine`, `Invoice`, `Shipment`, and `ShipmentLine`, but it mixes concerns in places such as `OrderLine` carrying both `orderedQuantity` and `shippedQuantity` while `ShipmentLine` also stores `shippedQuantity`. Model 2 separates domain roles more cleanly with `Address`, `Customer`, `Warehouse`, `Product`, `Order`, `OrderLine`, `Invoice`, and `Shipment`, plus distinct lifecycle operations like `markPaid()`, `markFullyShipped()`, `pack()`, `ship()`, and `markReceived()`, though it does add stronger coupling through links like `Customer` operating `Warehouse` and `Order` delivering to `Warehouse`.
2. Complexity: Model 1 = 3, Model 2 = 4; Evidence: Model 1 is structurally simpler, with fewer behavioral elements and no inheritance, but it also under-models several later-step requirements, so the low class/operation count is only moderately appropriate. Model 2 is more complex, with additional classes such as `Warehouse`, more attributes like `customerId`, `orderId`, `invoiceId`, `trackingNumber`, and several operations, but that added complexity better matches the multi-step evolution in the requirement and stays within a manageable domain model.
3. Practicability: Model 1 = 3, Model 2 = 4; Evidence: Model 1 is readable and directly captures key concepts like `PaymentTiming`, `PaymentStatus`, `ShipmentStatus` including `MISSING` and `DAMAGED`, and an `Invoice`, but it lacks explicit state and workflow support for partially shipped or grouped shipments beyond the raw `ShipmentLine` association. Model 2 is more operationally useful for implementation and testing because it models `OrderStatus`, `ShipmentStatus`, invoice generation, shipment lifecycle methods, and grouped shipments via `Shipment` to `OrderLine`, but it misses the `MISSING` and `DAMAGED` delivery states that are explicitly relevant in STEP 4.
Total: Model 1 = 9, Model 2 = 12
Choice: B
Reason:
1. Cohesion and Decoupling: Model 2 gives a cleaner domain split, especially by introducing `Warehouse`, separate order/shipment lifecycle elements, and explicit operations, while Model 1 has more overlap between shipment tracking concepts.
2. Complexity: Model 2 is more detailed, but the extra complexity is justified by the later steps; Model 1 is simpler, yet that simplicity comes from leaving out several required domain refinements.
3. Practicability: Model 2 is easier to implement and test because it expresses order and shipment state transitions more directly, even though Model 1 has a useful `PaymentTiming` enum and delivery damage/missing statuses.
4. Rejected or checked issues: I did not use association direction, PlantUML comments, primitive type aliases, equivalent multiplicities, or optional abstractness as negative evidence.
5. Overall judgment: Model 2 is the better fit because it provides a more workable and extensible business model across the full scenario, especially for invoice handling, partial shipping evolution, and shipment lifecycle management.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</si>
  <si>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</si>
  <si>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business classes `Customer`, `Address`, `Product`, `Order`, `OrderLine`, `Invoice`, `Shipment`, and `ShipmentLine`, which covers stock, customers, orders, invoices, and line-level shipment handling. Model 2 includes `Customer`, `Address`, `Warehouse`, `Product`, `Order`, `OrderLine`, `Invoice`, and `Shipment`, which covers the broader business shape, but it omits a shipment-line/partial-shipment concept that is important in STEP 2 and STEP 4.
2. Associations/Multiplicities between classes for domain reasoning: Model 1 = 4, Model 2 = 3; Evidence: Model 1 has `Order "1" -- "1..*" OrderLine`, `Order "1" -- "0..*" Shipment`, `Shipment "1" -- "1..*" ShipmentLine`, and `ShipmentLine "0..*" -- "1" OrderLine`, which supports multiple shipments and partial line handling. Model 2 has sensible links like `Customer -- Order`, `Order -- Shipment`, and `Warehouse -- Address`, but `Shipment "1" o-- "1..*" OrderLine` ties each order line to one shipment and does not provide a shipment-line quantity structure, so partial shipments cannot be modeled cleanly.
3. Model attributes with appropriate data types: Model 1 = 3, Model 2 = 4; Evidence: Model 1 captures key operational fields such as `vatNumber`, `currentStock`, `orderedQuantity`, `shippedQuantity`, `invoiceDate`, `totalAmount`, and `shipmentDate`, but it lacks several useful descriptive fields such as customer name, product price, invoice number, and payment dates. Model 2 is more complete on attributes, with `customerId`, `name`, `vatNumber`, `productId`, `description`, `price`, `orderDate`, `paidDate`, `unitPrice`, `invoiceNumber`, `trackingNumber`, and `receivedDate`, though some of these are extra rather than essential.
4. Consistencies of Terminology with given context: Model 1 = 4, Model 2 = 3; Evidence: Model 1 uses terminology that closely matches the scenario, including `PaymentTiming { ON_ORDER, ON_DELIVERY }`, `PaymentStatus`, `ShipmentStatus { PACKED, SHIPPED, RECEIVED, MISSING, DAMAGED }`, and `ShipmentLine`, which aligns well with the payment and delivery narrative. Model 2 uses `Warehouse`, `FULLY_SHIPPED`, and `PARTIALLY_SHIPPED`, which fits the later steps, but its `OrderStatus { PLACED, PAID, PARTIALLY_SHIPPED, FULLY_SHIPPED }` mixes payment and shipping concerns and does not preserve the explicit payment-timing distinction required in STEP 3.
5. Adherence of UML class diagram standards: Model 1 = 5, Model 2 = 5; Evidence: Both diagrams are valid PlantUML class diagrams using standard classes, enums, attributes, associations, and multiplicities. Neither contains syntax that makes the diagram unreadable or invalid, and both remain interpretable as UML class models.
Total: Model 1 = 20, Model 2 = 19
Choice: A
Reason:
1. Appropriate conceptual classes aligned with the domain: both models cover the main entities, but Model 1 includes the more important shipment-line concept for partial delivery handling, while Model 2 leaves that out.
2. Associations/Multiplicities between classes for domain reasoning: Model 1 better supports STEP 2 and STEP 4 because `ShipmentLine` can connect shipments to order lines in a way that allows partial shipping; Model 2’s direct shipment-to-order-line link is too restrictive for partial deliveries.
3. Model attributes with appropriate data types: Model 2 is richer in descriptive fields and dates, but that does not outweigh Model 1’s stronger structural fit for the shipment flow.
4. Consistencies of Terminology with given context: Model 1 preserves the required payment-timing distinction better, while Model 2 collapses payment and shipping into one status model.
5. Rejected or checked issues: I did not penalize either model for directionality of associations or lowercase/common type aliases, since those are semantically equivalent under the rubric. I also did not treat Model 2’s extra IDs/methods as a negative by themselves; the main issue was the missing partial-shipment structure and payment-timing distinction.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</si>
  <si>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</si>
  <si>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entities and required attributes: Model 1 = 3, Model 2 = 4; Evidence: Model 1 includes `Customer { vatNumber }`, `Product { currentStock }`, `OrderLine { quantityOrdered }`, `Order { paymentStatus, paymentMethod, shippingStatus }`, `Invoice`, and `Shipment`, but it does not model customer address as an attribute and adds unsupported `Company` and `Delivery` classes. Model 2 includes `Customer { vatNumber, headOfficeAddress }`, `Product { currentStock }`, `OrderLine { quantity }`, `Order { status, paidDate }`, `Invoice`, and `Shipment`, but also adds extra identifiers and pricing fields not required by the prompt.
2. Association and multiplicity fidelity: Model 1 = 2, Model 2 = 3; Evidence: Model 1 has solid basics like `Order "1" --&gt; "*" OrderLine` and `OrderLine "*" --&gt; "1" Product`, but the shipping structure is muddled by both `Shipment "1" --&gt; "*" Delivery` and `Delivery "*" --&gt; "*" OrderLine`, which duplicates line-shipping semantics. Model 2 is cleaner with `Order "1" *-- "1..*" OrderLine` and `Shipment "1" o-- "1..*" OrderLine`, but `Order "1" -- "1" Warehouse : delivers to` is less faithful than a delivery-address association.
3. Step coverage across STEP 1 to STEP 4: Model 1 = 3, Model 2 = 4; Evidence: Model 1 covers payment and shipment tracking with `PaymentMethod { DIRECT, POST_DELIVERY }`, `paymentStatus`, `shippingStatus`, and `ShipmentStatus { PACKED, SHIPPED, RECEIVED }`, but its step-2 partial-shipping support is indirect and the shipment/delivery split is confusing. Model 2 covers later-step concepts more directly with `Invoice`, `paidDate`, `OrderStatus { PLACED, PAID, PARTIALLY_SHIPPED, FULLY_SHIPPED }`, `ShipmentStatus`, and `headOfficeAddress`, though it still omits an explicit direct-vs-post-delivery payment choice.
4. Payment, invoice, and address handling: Model 1 = 4, Model 2 = 3; Evidence: Model 1 explicitly models `Order --&gt; Invoice`, `PaymentMethod { DIRECT, POST_DELIVERY }`, `Customer --&gt; DeliveryAddress : headOfficeAddress`, and `Order --&gt; DeliveryAddress : deliveredTo`, which aligns well with invoicing and payment timing, even if `DeliveryAddress` is overloaded. Model 2 has `Invoice` and `Customer.headOfficeAddress : Address`, but it lacks the payment-method choice and routes orders to `Warehouse` instead of a delivery address.
5. Semantic clarity and restraint from unsupported additions: Model 1 = 2, Model 2 = 3; Evidence: Model 1 introduces `Company`, `Delivery`, and `DeliveryStatus { PACKED, SHIPPED, RECEIVED, DAMAGED, MISSING }`, plus a `Customer --&gt; DeliveryAddress : hasWarehouses` relation, which is not grounded in the requirement and makes the model harder to interpret. Model 2 also adds extra implementation-style details such as `customerId`, `productId`, `description`, `price`, and operations like `markPaid()`, but its class structure is more consistently mapped to the business concepts in the prompt.
Total: Model 1 = 14, Model 2 = 17
Choice: B
Reason:
1. Core domain entities and attributes: Model 2 covers the required customer address, VAT, stock, order lines, invoices, and shipment tracking more directly than Model 1, even though it adds extra fields.
2. Associations and multiplicities: Model 2’s `Order`-to-`OrderLine` and `Shipment`-to-`OrderLine` structure is clearer and closer to the requirement than Model 1’s duplicated `Shipment`/`Delivery` model.
3. Step coverage: Model 2 handles STEP 3 and STEP 4 more coherently overall, while Model 1 is stronger on payment-method choice but weaker on later-step structure and has more semantic confusion.
4. Rejected or checked issues: I did not use primitive type spelling, one-way vs bidirectional association style, or abstractness as differentiators, because those are explicitly forbidden penalties or semantically equivalent.
5. Overall judgment: Model 2 is the better UML answer because it stays more coherent across the full multi-step requirement and captures the evolving order/shipment/invoice model with fewer contradictory constructs.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</si>
  <si>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</si>
  <si>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splits shipping into both `Shipment` and `Delivery`, then links them with `Shipment "1" --&gt; "*" Delivery : trackedAs` and also `Delivery "*" --&gt; "*" OrderLine : deliversTo`, which spreads one concern across multiple tightly related classes. It also introduces `Company` as a central manager with `Company "1" --&gt; "*" Customer : registers` and `Company "1" --&gt; "*" Product : stocks`, which pulls unrelated responsibilities into one hub. Model 2 is more cohesive around domain roles: `Customer` carries customer data and order placement, `Product` owns `adjustStock(quantity : Integer)`, `Order` owns payment/shipping state transitions, and `Shipment` owns packing/shipping/receipt behavior. It still has some coupling through `Order --&gt; Warehouse : delivers to`, but the responsibilities are more localized overall.
2. Complexity: Model 1 = 2, Model 2 = 4; Evidence: Model 1 uses more conceptual types than necessary for the requirement, with `Company`, `Customer`, `DeliveryAddress`, `Product`, `Order`, `OrderLine`, `Invoice`, `Shipment`, `Delivery`, plus five enums: `PaymentStatus`, `ShippingStatus`, `DeliveryStatus`, `ShipmentStatus`, and `PaymentMethod`. It also duplicates shipment/delivery state concepts across `ShippingStatus`, `ShipmentStatus`, and `DeliveryStatus`. Model 2 has fewer types overall: `Address`, `Customer`, `Warehouse`, `Product`, `Order`, `OrderLine`, `Invoice`, `Shipment`, plus two enums: `OrderStatus` and `ShipmentStatus`. It adds several methods, but those methods are concentrated in the main business objects and do not create the same level of conceptual duplication as Model 1.
3. Practicability: Model 1 = 2, Model 2 = 4; Evidence: Model 1 is harder to use as a real design because key concepts are under-specified or conflated: a single `DeliveryAddress` is reused for both `Customer "1" --&gt; "1" DeliveryAddress : headOfficeAddress` and `Order "1" --&gt; "1" DeliveryAddress : deliveredTo`, while `Shipment` and `Delivery` overlap without a clear operational split. It also has awkward relationships like `Order "1" --&gt; "*" Shipment : fulfilledBy` and `Shipment "1" --&gt; "*" OrderLine : ships`, which make the lifecycle harder to test and reason about. Model 2 is more implementable and testable: it separates `Address`, `Warehouse`, `Order`, `Invoice`, and `Shipment`, includes lifecycle operations such as `markPaid()`, `markFullyShipped()`, and `markReceived()`, and models grouped shipment handling with `Shipment "1" o-- "1..*" OrderLine : groups`. It still has gaps versus the later steps, but the structure is clearer and more directly usable in code.
Total: Model 1 = 6, Model 2 = 12
Choice: B
Reason:
1. Cohesion and decoupling: Model 2 keeps responsibilities more localized in the main business entities, while Model 1 spreads shipping/payment concerns across extra overlapping classes such as `Shipment` and `Delivery`.
2. Complexity: Model 2 uses fewer conceptual types and avoids the duplicate status taxonomy present in Model 1.
3. Practicability: Model 2 is easier to implement and test because its classes and methods form a more coherent workflow, even though it still does not fully satisfy every later-step requirement.
4. Rejected or checked issues: I did not use association direction/style differences as evidence, since opposite unidirectional links are semantically equivalent under the rules. I also did not penalize either model for using different primitive type spellings or for missing abstractness, since those are explicitly forbidden factors.
5. Overall judgment: Model 2 is better because it is more coherent, less redundant, and more practical as a foundation for the evolving requirements, even though both diagrams still miss some later-step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</si>
  <si>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</si>
  <si>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4; Evidence: Model 1 includes the core notions `Customer`, `Product`, `Order`, `OrderLine`, `Invoice`, `Shipment`, but also adds a broad `Company` class and splits logistics into both `Shipment` and `Delivery`, which is less aligned with the requirement’s concepts. Model 2 includes `Customer`, `Address`, `Warehouse`, `Product`, `Order`, `OrderLine`, `Invoice`, and `Shipment`, which maps more directly to the evolving requirements, though it still lacks an explicit delivery-status concept for damaged/missing deliveries.
2. Associations/Multiplicities between classes for domain reasoning: Model 1 = 3, Model 2 = 4; Evidence: Model 1 captures some key links such as `Customer` placing `Order`, `Order` containing `OrderLine`, `OrderLine` referencing `Product`, and `Order` linked to `Shipment`, but it also introduces awkward chains like `Shipment "1" --&gt; "*" Delivery` and `Delivery "*" --&gt; "*" OrderLine`, which are not well grounded in the use case. Model 2 models the main workflow more cleanly with `Customer` placing `Order`, `Order` containing `OrderLine`, `Order` generating `Invoice`, and `Shipment` grouping `OrderLine`, plus the `Customer` to `Warehouse` / `Warehouse` to `Address` structure for delivery locations; it still misses a richer delivery-status relation, but the core associations are more coherent.
3. Model attributes with appropriate data types: Model 1 = 3, Model 2 = 4; Evidence: Model 1 includes some relevant attributes like `vatNumber`, `currentStock`, `quantityOrdered`, `invoiceNumber`, `issueDate`, `totalAmount`, and shipment/delivery dates and statuses, but it omits several useful identifiers and structural attributes. Model 2 is much richer, with `Address` fields, `customerId`, `name`, `vatNumber`, `productId`, `description`, `price`, `currentStock`, `orderId`, `paidDate`, `lineId`, `unitPrice`, `invoiceId`, `shipmentId`, and `receivedDate`, which better supports the required system behavior.
4. Consistencies of Terminology with given context: Model 1 = 3, Model 2 = 4; Evidence: Model 1 uses terms that drift from the narrative, such as `Company` and `DeliveryAddress`, and it separates `Shipment` and `Delivery` in a way that is not clearly reflected in the requirements. Model 2 stays closer to the story with `Customer`, `Address`, `Warehouse`, `Order`, `OrderLine`, `Invoice`, and `Shipment`, though `Warehouse` is a narrower choice than a general delivery address and it does not explicitly model damaged/missing delivery states.
5. Adherence of UML class diagram standards: Model 1 = 5, Model 2 = 5; Evidence: Both diagrams are valid PlantUML class diagrams with recognizable classes, enums, attributes, and associations, and neither has syntax problems that make the diagram hard to interpret. Model 1’s use of extra classes and Model 2’s richer composition/aggregation choices are semantic design differences, not UML-standard violations.
Total: Model 1 = 17, Model 2 = 21
Choice: B
Reason:
1. Appropriate conceptual classes: Model 2 is closer to the full iterative requirement set because it introduces `Address` and `Warehouse`, which support the later step about head office and delivery locations, while Model 1’s `Company` and `Delivery` split is less domain-faithful.
2. Associations/Multiplicities: Model 2’s `Order`-`OrderLine`-`Shipment`-`Invoice` structure is more coherent for the business process, whereas Model 1’s extra `Delivery` layer and many-to-many `Delivery` to `OrderLine` association are harder to justify from the requirement.
3. Rejected or checked issues: I did not use arrow style differences as a penalty, since opposite-direction unidirectional links and bidirectional links are semantically equivalent under the rules. I also did not penalize common primitive type aliases such as `int` versus `Integer`.
4. Overall judgment: Model 2 better captures the evolving stock/order/invoice/shipment model with stronger attribute coverage and more consistent terminology, even though it still misses a dedicated damaged/missing delivery concept.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</si>
  <si>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</si>
  <si>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core domain entities: Model 1 = 4, Model 2 = 5; Evidence: Model 1 includes `Customer(vatNumber)`, `Product(currentStock)`, `Order(orderDate)`, `OrderLine(quantityOrdered)`, `Invoice`, `Shipment`, and `Delivery`, but it does not model shipped quantity on the line itself; Model 2 includes the same core business objects plus `Address`, `OrderLine(orderedQuantity, shippedQuantity)`, and `ShipmentLine`, which more directly covers stock, ordering, invoicing, and partial delivery needs.
2. Association structure and multiplicities: Model 1 = 3, Model 2 = 4; Evidence: Model 1 has `Order "1" --&gt; "*" OrderLine`, `Order "1" --&gt; "1" Invoice`, `Shipment "1" --&gt; "*" OrderLine`, and `Delivery "*" --&gt; "*" OrderLine`, which leaves the shipment/delivery structure ambiguous and does not enforce one-or-more order lines; Model 2 has `Order "1" -- "1..*" OrderLine`, `Order "1" -- "0..1" Invoice`, `Order "1" -- "0..*" Shipment`, `Shipment "1" -- "1..*" ShipmentLine`, and `ShipmentLine "0..*" -- "1" OrderLine`, which better supports grouped and partially shipped lines, though the optional invoice is weaker than the prompt suggests.
3. Payment/shipping/state modeling across steps: Model 1 = 4, Model 2 = 5; Evidence: Model 1 explicitly adds `PaymentStatus(PENDING/PAID)`, `PaymentMethod(DIRECT/POST_DELIVERY)`, `ShippingStatus(NOT_SHIPPED/PARTIALLY_SHIPPED/FULLY_SHIPPED)`, `ShipmentStatus(PACKED/SHIPPED/RECEIVED)`, and `DeliveryStatus(PACKED/SHIPPED/RECEIVED/DAMAGED/MISSING)`; Model 2 uses `PaymentTiming(ON_ORDER/ON_DELIVERY)`, `PaymentStatus(UNPAID/PAID)`, `ShipmentStatus(PACKED/SHIPPED/RECEIVED/MISSING/DAMAGED)`, and `ShipmentLine.shippedQuantity`, which more cleanly supports the later partial-shipment and delivery-status requirements, even though it does not add an order-level shipping FSM.
4. Fidelity to the prompt and hallucination control: Model 1 = 2, Model 2 = 4; Evidence: Model 1 introduces `Company` and `Delivery` as extra top-level concepts and duplicates shipping semantics with both `Shipment` and `Delivery`, while Model 2 stays closer to the prompt by focusing on `Customer`, `Address`, `Order`, `OrderLine`, `Invoice`, `Shipment`, and `ShipmentLine`; Model 2 still adds implementation-like fields such as `Invoice.isPaid`, but that is narrower than Model 1's extra domain objects.
Total: Model 1 = 13, Model 2 = 18
Choice: B
Reason:
1. Requirement coverage: Model 2 captures the core business flow more directly because it includes `ShipmentLine` and `shippedQuantity`, which are the key concepts needed once partial shipment is introduced. Model 1 has the basic classes, but its structure is less precise for later steps.
2. Relationships and cardinalities: Model 2 is stronger because it enforces `Order` having `1..* OrderLine` and models shipment composition through `Shipment -&gt; ShipmentLine -&gt; OrderLine`. Model 1's `Shipment -&gt; OrderLine` and `Delivery -&gt; OrderLine` structure is much less specific and makes the shipment model harder to read against the requirement.
3. Rejected or checked issues: I did not penalize either model for primitive type aliases like `int` vs `Integer`, or for association direction, because those are semantically equivalent under the instructions. I also did not use optional abstractness as a deciding factor.
4. Overall judgment: Model 2 is the better UML fit for the evolving requirement set, especially for partial shipping and grouped shipments. Model 1 has some good state vocabulary, but it adds more unrelated structure and is less faithful to the shipment/order-line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</si>
  <si>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</si>
  <si>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several responsibilities inside `Order` (`paymentStatus`, `paymentMethod`, `shippingStatus`) and also splits shipment-related behavior across both `Shipment` and `Delivery`, each with its own status (`ShipmentStatus`, `DeliveryStatus`) and links to `OrderLine`, which creates overlapping concepts and tighter coupling. Model 2 keeps responsibilities narrower: `Order` handles order-level state, `Shipment` handles shipment state, and `ShipmentLine` bridges shipments to `OrderLine` for line-level fulfillment; the main weakness is the redundant `Invoice.isPaid` alongside `Order.paymentStatus`, but overall the separation is cleaner.
2. Complexity: Model 1 = 2, Model 2 = 4; Evidence: Model 1 has more moving parts than needed for the requirements: `Company`, `DeliveryAddress`, `Invoice`, `Shipment`, `Delivery`, plus 6 enums, including both `ShipmentStatus` and `DeliveryStatus`, with no intermediate shipment-line concept for partial shipping. Model 2 uses fewer concepts overall: `Customer`, `Address`, `Product`, `Order`, `OrderLine`, `Invoice`, `Shipment`, `ShipmentLine`, plus 3 enums, and the added `ShipmentLine` is justified by the later partial-delivery requirements rather than being an unnecessary noun turned into a class.
3. Practicability: Model 1 = 2, Model 2 = 4; Evidence: Model 1 is hard to implement and test against STEP 2 and STEP 4 because it does not model shipped quantities per line, and its `Shipment "1" --&gt; "*" OrderLine` plus separate `Delivery "*" --&gt; "*" OrderLine` leaves partial shipment handling vague. Model 2 is much more operationally usable: `OrderLine` has `orderedQuantity` and `shippedQuantity`, `Shipment` contains `ShipmentLine`, and `ShipmentLine` links back to `OrderLine` with `shippedQuantity`, which directly supports partial and grouped shipments; the main gap is that `Order "1" -- "0..1" Invoice` is slightly looser than the wording suggests, but the overall model is clearer for development, testing, and maintenance.
Total: Model 1 = 6, Model 2 = 12
Choice: B
Reason:
1. Cohesion and Decoupling: Model 2 is better because it localizes shipping concerns into `Shipment` and `ShipmentLine`, while Model 1 duplicates shipment lifecycle concepts across `Shipment` and `Delivery` and also mixes payment/shipping concerns more heavily inside `Order`.
2. Complexity: Model 2 is better because it has fewer types and fewer overlapping status concepts, while still introducing the one extra conceptual class that the later requirements actually need (`ShipmentLine`).
3. Practicability: Model 2 is better because it can represent partial and grouped shipments in a way that is directly implementable and testable; Model 1’s shipment structure is too ambiguous for STEP 2 and STEP 4.
4. Rejected or checked issues: I did not use association direction, opposite unidirectional links, primitive type spelling, or `*` versus `0..*` differences as negatives, since those are semantically equivalent under the rules.
5. Overall judgment: Model 2 is the stronger real-world design despite one or two small loosenesses, because it better matches the iterative requirements and is much easier to evolve for partial shipments and shipment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</si>
  <si>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</si>
  <si>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the core concepts `Customer`, `Product`, `Order`, `OrderLine`, `Invoice`, `Shipment`, and `DeliveryAddress`, but also adds an extra `Company` class and a separate `Delivery` class that is not clearly a first-class domain concept in the prompt. Model 2 includes `Customer`, `Address`, `Product`, `Order`, `OrderLine`, `Invoice`, `Shipment`, and `ShipmentLine`, which maps more directly to the evolving requirements, especially the later partial-shipment behavior.
2. Associations/Multiplicities between classes for domain reasoning: Model 1 = 3, Model 2 = 5; Evidence: Model 1 has `Order "1" --&gt; "*" Shipment`, `Shipment "1" --&gt; "*" OrderLine`, and `Delivery "*" --&gt; "*" OrderLine`, which links shipments and deliveries directly to order lines but does not clearly model grouped shipments or line-level partial shipment tracking. Model 2 has `Order "1" -- "1..*" OrderLine`, `Order "1" -- "0..*" Shipment`, `Shipment "1" -- "1..*" ShipmentLine`, and `ShipmentLine "0..*" -- "1" OrderLine`, which much better supports line-group shipment handling and partial shipping.
3. Model attributes with appropriate data types: Model 1 = 3, Model 2 = 4; Evidence: Model 1 models `currentStock: int`, `quantityOrdered: int`, and `totalAmount: double`, but it uses a single free-form `DeliveryAddress.address: String` and does not model per-line shipped quantity needed for later steps. Model 2 adds structured address fields (`street`, `city`, `postalCode`), `OrderLine.orderedQuantity` plus `shippedQuantity`, `ShipmentLine.shippedQuantity`, and `Invoice.totalAmount: Decimal`, which is more complete, though `Invoice.isPaid: Boolean` overlaps somewhat with `Order.paymentStatus`.
4. Consistencies of Terminology with given context: Model 1 = 3, Model 2 = 5; Evidence: Model 1 mixes `PaymentMethod` (`DIRECT`, `POST_DELIVERY`), `ShippingStatus`, `ShipmentStatus`, and a separate `Delivery` class, which makes the fulfillment vocabulary less uniform than the prompt. Model 2 uses `PaymentTiming`, `PaymentStatus`, `ShipmentStatus`, `ShipmentLine`, `deliveryWarehouses`, and `headOffice`, which stays closer to the prompt’s terminology across steps 1-4.
5. Adherence of UML class diagram standards: Model 1 = 5, Model 2 = 5; Evidence: Both diagrams are valid PlantUML class diagrams with `@startuml/@enduml`, classes, enums, and multiplicities. Neither shows syntax that would make the diagram incomprehensible.
Total: Model 1 = 18, Model 2 = 24
Choice: B
Reason:
1. Appropriate conceptual classes: Model 2 aligns better with the evolving scenario because it introduces `ShipmentLine` for line-group shipping, while Model 1 introduces extra concepts like `Company` and a separate `Delivery` class that are not as cleanly grounded in the requirement.
2. Associations/multiplicities: Model 2’s `Shipment -&gt; ShipmentLine -&gt; OrderLine` structure is the stronger fit for partial shipments and grouped deliveries. Model 1’s direct links from `Shipment` and `Delivery` to `OrderLine` are weaker for step 4 reasoning.
3. Attributes and terminology: Model 2 captures the later requirements more directly with `shippedQuantity` and `PaymentTiming`, whereas Model 1 lacks shipped quantity tracking and splits fulfillment/payment vocabulary more awkwardly.
4. Rejected or checked issues: I did not penalize either model for opposite-direction associations or common primitive-type spellings, since those are semantically acceptable under the rules. I also did not treat the absence of abstract markers as a defect.
5. Overall judgment: Model 2 is materially more faithful to the full multi-step requirement, especially for partial shipping, grouped shipments, and customer address handling, so it is the better diagram.</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</si>
  <si>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</si>
  <si>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</si>
  <si>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</si>
  <si>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structure and employee ownership: Model 1 = 5, Model 2 = 2; Evidence: Model 1 models `University --&gt; "*" Employee : employees` and `Employee --&gt; "1" University`, which captures that employees belong to the university and supports `totalEmployees`; Model 2 has `University { totalEmployees : int }` but no University-Employee association, so the ownership/containment of employees is not represented.
2. Faculty/institute hierarchy and dean: Model 1 = 5, Model 2 = 5; Evidence: Model 1 uses `University *-- "1..*" Faculty`, `Faculty *-- "1..*" Institute`, and `Faculty --&gt; "1" Employee : dean`; Model 2 expresses the same structure with `University "1" *-- "many" Faculty`, `Faculty "1" *-- "many" Institute`, and `Faculty "1" --&gt; "1" Employee : has dean`.
3. Research/administrative staff taxonomy and explicit RA role: Model 1 = 5, Model 2 = 2; Evidence: Model 1 has `Employee &lt;|-- ResearchStaff`, `Employee &lt;|-- AdministrativeStaff`, `ResearchStaff &lt;|-- ResearchAssistant`, and `ResearchAssistant &lt;|-- Lecturer`, so the RA concept is explicit and the lecturer special case is derived from it; Model 2 has `Employee &lt;|-- ResearchStaff` and `ResearchStaff &lt;|-- Lecturer` but no separate `ResearchAssistant` class, so the required RA distinction is collapsed.
4. Project involvement and hours: Model 1 = 5, Model 2 = 3; Evidence: Model 1 introduces `ProjectInvolvement { hours : int }` with `ResearchAssistant --&gt; "0..*" ProjectInvolvement` and `ProjectInvolvement --&gt; "1" Project`, which cleanly models project participation with hours; Model 2 uses `ResearchStaff "many" --&gt; "0..*" Project : involved in (hours : int)` and a `Project` class with `name`, `startDate`, and `endDate`, so the project data is present but the involvement concept is flattened and attached to `ResearchStaff` rather than explicit RAs.
5. Course and lecturer modeling: Model 1 = 5, Model 2 = 4; Evidence: Model 1 has `Course { id : int, name : String, weeklyDurationHours : double }` and `Lecturer --&gt; "0..*" Course`; Model 2 also has a `Course` with `id`, `name`, and `weeklyDurationHours`, plus `Lecturer "many" --&gt; "0..*" Course`, but its `Lecturer` is only a subtype of `ResearchStaff`, not the explicitly RA-derived lecturer role.
6. Class-name and attribute fidelity: Model 1 = 4, Model 2 = 3; Evidence: Model 1 is closer to the domain terminology with `ResearchAssistant` and `Lecturer`, but it adds `University.name`, which the requirement does not state; Model 2 avoids `University.name` but replaces the explicit RA concept with `ResearchStaff`, so its naming is less faithful to the prompt’s wording.
Total: Model 1 = 28, Model 2 = 19
Choice: A
Reason:
1. University structure and employee ownership: Model 1 explicitly models employees as belonging to the university; Model 2 omits that relationship.
2. Staff taxonomy: Model 1 preserves the required RA/lecturer distinction; Model 2 collapses it into `ResearchStaff`.
3. Project/course modeling: Model 1 represents RA project hours more directly and keeps lecturer semantics tied to the RA hierarchy.
4. Rejected or checked issues: I did not penalize either model for opposite-direction associations, lowercase primitive aliases, or `1..*` versus `many`-style multiplicity wording where the semantics are equivalent.
5. Overall judgment: Model 1 is materially more faithful to the requirement because it captures the university-employee link and the research-assistant hierarchy explicitly, while Model 2 misses both.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</si>
  <si>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</si>
  <si>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project participation into `ProjectInvolvement { hours : int }` between `ResearchAssistant` and `Project`, which keeps the involvement detail cohesive and avoids stuffing hours into either endpoint. Model 2 collapses that into `ResearchStaff --&gt; "0..*" Project : involved in (hours : int)`, and it also uses `ResearchStaff` as the base for both research and teaching via `Lecturer &lt;|-- ResearchStaff`, which is less clearly separated from the assistant role the requirement describes.
2. Complexity: Model 1 = 4, Model 2 = 3; Evidence: Model 1 has more structural detail, including the deeper inheritance chain `Employee -&gt; ResearchStaff -&gt; ResearchAssistant -&gt; Lecturer` and the extra association class `ProjectInvolvement`, but those elements map directly to required distinctions. Model 2 is structurally smaller with a shallower hierarchy `Employee -&gt; ResearchStaff -&gt; Lecturer`, but it achieves that by collapsing `ResearchAssistant` into `ResearchStaff` and omitting a dedicated project-involvement class, so the lower complexity is partly from under-modeling the domain.
3. Practicability: Model 1 = 4, Model 2 = 2; Evidence: Model 1 gives a clearer implementation blueprint with explicit university/faculty/institute composition, employee specializations, separate project involvement tracking, and lecturer-course links, which is easier to test and extend. Model 2 is less practical because it omits `University.name`, does not explicitly model a distinct RA role, and leaves employee membership in the university implicit, so the domain responsibilities are less transparent.
Total: Model 1 = 12, Model 2 = 7
Choice: A
Reason:
1. Cohesion and decoupling: Model 1 models the hours-on-project concern with `ProjectInvolvement` instead of mixing it into the project association, while Model 2 compresses that concern into a single `ResearchStaff`-to-`Project` link. That makes Model 1 cleaner and better decoupled.
2. Complexity: Model 1 is a bit richer, but the extra structure is justified by the requirement’s distinct concepts. Model 2 is simpler, but the simplicity comes from skipping an important intermediate concept rather than from better abstraction.
3. Practicability: Model 1 is more readable and more directly testable against the requirement because it explicitly represents the required domain entities and relationships. Model 2 is workable, but its omissions make it less suitable as a real design.
4. Rejected or checked issues: I did not penalize Model 1 for using opposite-direction associations instead of a single bidirectional line, and I did not use primitive-type spelling differences or multiplicity shorthand as negative evidence, because those are semantically equivalent under the rules.
5. Overall judgment: Model 1 is the better UML class diagram because it captures the required university structure, employee hierarchy, RA project involvement, and lecturer/course relationships with better domain separation and more practical testability.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</si>
  <si>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</si>
  <si>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`University`, `Faculty`, `Institute`, `Employee`, `ResearchStaff`, `AdministrativeStaff`, `ResearchAssistant`, `Lecturer`, `Project`, `ProjectInvolvement`, and `Course`. Model 2 includes `University`, `Faculty`, `Institute`, `Employee`, `AdministrativeStaff`, `ResearchStaff`, `Lecturer`, `Project`, and `Course`, but it does not model a distinct `ResearchAssistant` concept or a separate project-involvement concept.
2. Associations/Multiplicities between classes for domain reasoning: Model 1 = 5, Model 2 = 3; Evidence: Model 1 explicitly shows `University *-- "1..*" Faculty`, `Faculty *-- "1..*" Institute`, `Faculty --&gt; "1" Employee : dean`, `ResearchAssistant --&gt; "1..*" Institute`, `ResearchAssistant --&gt; "0..*" ProjectInvolvement`, `ProjectInvolvement --&gt; "1" Project`, `Lecturer --&gt; "0..*" Course`, and `University --&gt; "*" Employee`. Model 2 shows the faculty/institute containment, dean, institute assignment, project link, and teaching link, but it omits the `University`-`Employee` association and does not represent the project-hours relationship as a separate reasoning structure.
3. Model attributes with appropriate data types: Model 1 = 5, Model 2 = 3; Evidence: Model 1 models the required attributes directly: `University(name, totalEmployees)`, `Faculty(name)`, `Institute(name, address)`, `Employee(socialSecurityNumber, name, email)`, `ResearchAssistant(fieldOfResearch)`, `Project(name, startDate, endDate)`, `ProjectInvolvement(hours)`, and `Course(id, name, weeklyDurationHours)`. Model 2 gets several core attributes right, but it leaves project hours implicit in the association label instead of a modeled attribute/class structure, and it is less precise on the course identifier and duration typing.
4. Consistencies of Terminology with given context: Model 1 = 5, Model 2 = 3; Evidence: Model 1 preserves the requirement's language more closely with `ResearchAssistant`, `Lecturer`, `dean`, `Institute`, and the project/course terms. Model 2 replaces `ResearchAssistant` with generic `ResearchStaff`, which weakens the stated distinction that some RAs become lecturers, even though `Lecturer` is present.
5. Adherence of UML class diagram standards: Model 1 = 5, Model 2 = 4; Evidence: Both are readable PlantUML class diagrams with standard class, inheritance, composition, and association notation. Model 1 stays very close to standard UML practice; Model 2 is also valid overall, but its use of textual multiplicities like `"many"` is less standard than numeric multiplicities.
Total: Model 1 = 25, Model 2 = 16
Choice: A
Reason:
1. Appropriate conceptual classes: Model 1 captures the full domain vocabulary, including the RA-specific and project-involvement concepts; Model 2 collapses those into broader `ResearchStaff`/direct project links, which is a meaningful loss of domain structure.
2. Associations/Multiplicities: Model 1 models the key relationships more completely, especially `University`-to-`Employee`, RA-to-institute assignment, and project involvement with hours; Model 2 omits the university-employment linkage and flattens the project-hours structure.
3. Rejected or checked issues: I did not penalize Model 1 for using opposite-direction association pairs, because they are semantically equivalent. I also did not penalize primitive type aliases such as `int` versus `Integer`, because those are acceptable under the rules.
4. Overall judgment: Model 1 is better because it is more faithful to the required domain model across classes, relationships, attributes, and terminology, while Model 2 leaves out or compresses several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</si>
  <si>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</si>
  <si>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entities and attributes: Model 1 = 5, Model 2 = 4; Evidence: Model 1 includes `University`, `Faculty`, `Institute`, `Employee`, `ResearchStaff`, `AdministrativeStaff`, `ResearchAssistant`, `Lecturer`, `Project`, `ProjectInvolvement`, and `Course`, with the required core attributes present (`totalEmployees`, faculty/institute `name`, institute `address`, employee `socialSecurityNumber`, `name`, `email`, RA `fieldOfResearch`, project `name`, `startDate`, `endDate`, and course `id`, `name`, `weeklyDurationHours`). Model 2 also covers the core domain classes and attributes, but it omits `University.name` and replaces institute address with a separate `Address` class (`street`, `city`, `zipCode`), which is a valid refinement but less direct than the requirement’s simple “address is known.”
2. Association and cardinality fidelity: Model 1 = 4, Model 2 = 2; Evidence: Model 1 captures the key links with `University *-- "1..*" Faculty`, `Faculty *-- "1..*" Institute`, `Faculty --&gt; "1" Employee : dean`, `Employee --&gt; "1" University`, `ResearchAssistant --&gt; "1..*" Institute`, `ResearchAssistant --&gt; "0..*" ProjectInvolvement`, `ProjectInvolvement --&gt; "1" Project`, and `Lecturer --&gt; "0..*" Course`. This is broadly aligned, though `Employee --&gt; "0..1" Faculty : headedFaculty` overconstrains a dean to at most one faculty and the `1..*` minima are slightly weaker than the wording “several/various.” Model 2 has `University "1" *-- "0..*" Faculty`, `Faculty "1" *-- "0..*" Institute`, `Faculty "1" --&gt; "1" Employee : dean`, `ResearchAssistant "1..*" -- "0..*" Institute`, `ResearchAssistant "0..*" -- "0..*" ProjectInvolvement`, `Project "1" -- "0..*" ProjectInvolvement`, and `Lecturer "0..*" -- "0..*" Course : teaches`, but it never connects `Employee` to `University`, so “employee of the university” is not modeled, and the `0..*` minima are too weak for the required faculty/institute structure.
3. Role hierarchy and special cases: Model 1 = 5, Model 2 = 5; Evidence: both models distinguish `ResearchStaff` and `AdministrativeStaff` under `Employee`, place `ResearchAssistant` under `ResearchStaff`, and model `Lecturer` as a subtype of `ResearchAssistant`, which matches “some RAs teach courses; in this case, they are referred to as lecturers.” Model 1 links lecturers to courses with `Lecturer --&gt; "0..*" Course`, while Model 2 uses `Lecturer "0..*" -- "0..*" Course : teaches`; both are semantically adequate for the stated requirement.
4. Hallucination / semantic precision: Model 1 = 4, Model 2 = 3; Evidence: Model 1 stays close to the text with `Institute.address : String` and no extra domain objects beyond the reasonable `ProjectInvolvement` link class for hours. Model 2 introduces a new `Address` class with `street`, `city`, and `zipCode`, which is an unsupported refinement relative to the requirement, and it also uses looser structural assumptions such as `University "1" *-- "0..*" Faculty` and `Faculty "1" *-- "0..*" Institute`.
Total: Model 1 = 18, Model 2 = 14
Choice: A
Reason:
1. Required entities and attributes: Model 1 covers the requested concepts more directly, while Model 2 omits `University.name` and decomposes institute address into a more specific `Address` class that the requirement did not ask for.
2. Association and cardinality fidelity: Model 1 captures the needed university-faculty-institute, dean, employee, RA-institute, RA-project, and lecturer-course relationships, plus the university-to-employee link. Model 2 misses the employee-to-university relationship entirely, which is a real semantic gap because the dean is explicitly an employee of the university.
3. Role hierarchy and special cases: both models correctly represent the `Employee -&gt; ResearchStaff -&gt; ResearchAssistant -&gt; Lecturer` refinement, so this criterion does not separate them.
4. Rejected or checked issues: I did not use opposite-direction associations versus single bidirectional associations as negative evidence, and I did not penalize primitive type choices such as `int`, `String`, or `double` versus other aliases.
5. Overall judgment: Model 1 is the better fit because it is more faithful to the required institutional structure and preserves the employee-of-university relationship that Model 2 drops.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</si>
  <si>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</si>
  <si>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domain structure closely tied to the requirement with `University *-- Faculty`, `Faculty *-- Institute`, `Faculty --&gt; Employee : dean`, `Employee --&gt; University`, `ResearchAssistant --&gt; Institute`, and `Lecturer --&gt; Course`, so the faculty/dean/employment relationships are explicit and the `ProjectInvolvement`/`Course` links are readable. Model 2 is also modular with `Employee`, `ResearchStaff`, `ResearchAssistant`, `Lecturer`, `Project`, and `ProjectInvolvement`, but it omits an explicit `Employee`-to-`University` relation and models `Institute *-- Address` as a separate class, which is less directly aligned with the stated domain structure.
2. Complexity: Model 1 = 4, Model 2 = 3; Evidence: Model 1 has 11 classes and a moderate inheritance tree (`Employee` -&gt; `ResearchStaff` -&gt; `ResearchAssistant` -&gt; `Lecturer`, plus `AdministrativeStaff`), with direct associations that map to the requirement. Model 2 has 12 classes because it adds `Address`, and it also introduces a more abstract decomposition around `Address` plus a looser `ResearchAssistant "0..*" -- "0..*" ProjectInvolvement` / `Project "1" -- "0..*" ProjectInvolvement` structure, which increases conceptual overhead without improving requirement coverage enough.
3. Practicability: Model 1 = 4, Model 2 = 3; Evidence: Model 1 is easier to implement and test against the requirement because `ProjectInvolvement` carries `hours` and is directly tied to `Project`, while `ResearchAssistant` is clearly a subclass of `ResearchStaff` and `Lecturer` is a specialization of `ResearchAssistant`. Model 2 is still understandable, but the missing explicit university-employment link, the separate `Address` class for institute address, and the many-to-many-style `ProjectInvolvement` linkage make the operational semantics less direct for unit and acceptance testing of the stated rules.
Total: Model 1 = 12, Model 2 = 9
Choice: A
Reason:
1. Cohesion and Decoupling: Model 1 models the university/dean/employee relationships more explicitly, including `Employee --&gt; University`, while Model 2 leaves that relationship implicit and adds an extra `Address` abstraction that is not required by the prompt.
2. Complexity: Model 1 is slightly leaner in domain concepts that matter here, whereas Model 2 adds an extra class and a less direct project-involvement structure that raises conceptual overhead.
3. Practicability: Model 1 is more directly executable as a domain model for the requirement, especially around `RA` assignments, lecturer specialization, and project hours.
4. Rejected or checked issues: I did not penalize Model 1 for mirrored association lines or Model 2 for using an `Address` class, since those are not inherently invalid and should not be scored negatively just for notation or decomposition style.
5. Overall judgment: Model 1 better matches the requirement with clearer university/employee linkage and a more practical representation of research assistants, lecturers, and projects.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</si>
  <si>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</si>
  <si>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`ResearchStaff`, `AdministrativeStaff`, `ResearchAssistant`, `Lecturer`, `Project`, `ProjectInvolvement`, and `Course`, which matches the university/employees/RA/projects/courses domain closely. Model 2 includes the same core classes plus `Address`, so it also captures the relevant conceptual space.
2. Associations/Multiplicities between classes for domain reasoning: Model 1 = 5, Model 2 = 4; Evidence: Model 1 models `University *-- "1..*" Faculty`, `Faculty *-- "1..*" Institute`, `Faculty --&gt; "1" Employee : dean`, `ResearchAssistant --&gt; "1..*" Institute`, `ResearchAssistant --&gt; "0..*" ProjectInvolvement`, `ProjectInvolvement --&gt; "1" Project`, and `Lecturer --&gt; "0..*" Course`, which fits the requirement well and keeps project involvement tied to a single RA via the association end. Model 2 gets the faculty/institute/dean/institute-assignment links right too, but `ResearchAssistant "0..*" -- "0..*" ProjectInvolvement` is too loose for “RAs can be involved in projects for a certain number of hours,” because it allows one involvement object to be shared across multiple RAs.
3. Model attributes with appropriate data types: Model 1 = 5, Model 2 = 4; Evidence: Model 1 includes `University.totalEmployees`, `Faculty.name`, `Institute.name`, `Institute.address`, `Employee.socialSecurityNumber/name/email`, `ResearchAssistant.fieldOfResearch`, `Project.name/startDate/endDate`, `ProjectInvolvement.hours`, and `Course.id : int`, `Course.name`, `Course.weeklyDurationHours : double`, covering the required data directly. Model 2 covers most of the same information, but models course ID as `String`, weekly duration as `int`, and replaces the institute’s direct address attribute with a separate `Address` class, which is less faithful to the stated attribute model.
4. Consistencies of Terminology with given context: Model 1 = 5, Model 2 = 5; Evidence: Both diagrams consistently use the domain terms `Faculty`, `Institute`, `dean`, `Employee`, `ResearchAssistant`, `AdministrativeStaff`, `Lecturer`, `Project`, and `Course`. Model 1 phrases the institute location as `address` directly on `Institute`, while Model 2 uses an `Address` helper class, but both remain terminology-consistent with the context.
5. Adherence of UML class diagram standards: Model 1 = 5, Model 2 = 5; Evidence: Both are valid PlantUML class diagrams with standard class declarations, inheritance, associations, and multiplicities. Model 1 uses bidirectional associations and comments in a syntactically valid way, and Model 2 uses valid composition and inheritance notation, including `abstract class Employee`.
Total: Model 1 = 25, Model 2 = 23
Choice: A
Reason:
1. Associations/multiplicities: Model 1 is stronger because it models the RA-to-project side more precisely with `ResearchAssistant --&gt; "0..*" ProjectInvolvement` and `ProjectInvolvement --&gt; "1" Project`, while Model 2’s `0..* -- 0..*` link to `ProjectInvolvement` is too permissive for the stated project-hours relationship.
2. Attributes/data types: Model 1 is closer to the requirement with direct institute address modeling and a numeric course ID; Model 2’s `Course.id : String`, `weeklyDurationHours : int`, and separate `Address` decomposition are less faithful to the requested data model.
3. Rejected or checked issues: I did not penalize Model 2 for making `Employee` abstract, for using an `Address` class, or for primitive type aliases, since those are not valid negative evidence here. I also did not penalize Model 1 for using opposite-direction associations or comments, since those are semantically equivalent or ignorable under the instructions.
4. Overall judgment: Both diagrams are broadly aligned with the domain, but Model 1 is more precise on the key relationship that matters most here: how research assistants connect to projects and hours. That makes Model 1 the better overall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</si>
  <si>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</si>
  <si>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semantic fidelity: Model 1 = 3, Model 2 = 4; Evidence: Model 1 covers the core structure with `University.totalEmployees`, `Faculty.name`, `Institute.name/address`, `Employee(ssn, name, email)`, `AdministrativeStaff`, `ResearchStaff(fieldOfResearch)`, `Lecturer`, plus `University *-- Faculty`, `Faculty *-- Institute`, `Faculty --&gt; Employee : has dean`, `ResearchStaff --&gt; Institute : assigned to`, and `ResearchStaff --&gt; Project (hours : int)`. However, it models research personnel only as `ResearchStaff` and makes `Lecturer` a subtype of that broader class, so the “research assistants” concept is only implied rather than represented directly. Model 2 includes the same core university/faculty/institute/employee structure, but it explicitly introduces `ResearchAssistant(fieldOfResearch)` with `ResearchAssistant &lt;|-- Lecturer`, `ResearchAssistant "1..*" -- "0..*" Institute : assigned to`, and a `ProjectInvolvement(hours : int)` class linked to `Project`, which matches the RA-and-project wording more directly; the main drawback is that it adds an `Address` class with `street`, `city`, and `zipCode`, which goes beyond the requirement’s simpler “address is known” statement.
Total: Model 1 = 3, Model 2 = 4
Choice: B
Reason:
1. Requirement alignment and semantic fidelity: Model 2 is closer to the requirement because it makes the research-assistant role explicit and models project hours as a separate involvement concept, whereas Model 1 leaves those requirements implicit in `ResearchStaff` and an association label.
2. Rejected or checked issues: I did not use association direction style, comment text, or `*` vs `0..*`/`1` vs `1..1` differences as evidence, because those are semantically equivalent under the scoring rules.
3. Overall judgment: Model 2 has the stronger domain match despite the extra `Address` refinement, so it is the better UML representation of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</si>
  <si>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</si>
  <si>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`Institute.address` as a primitive string and models project hours directly on the `ResearchStaff -&gt; Project` association, which is workable but less modular. Model 2 separates `Address` into its own class and introduces `ProjectInvolvement` with `hours`, which improves separation of concerns and decoupling.
2. Complexity: Model 1 = 4, Model 2 = 3; Evidence: Model 1 has fewer classes (`University`, `Faculty`, `Institute`, `Employee`, `AdministrativeStaff`, `ResearchStaff`, `Lecturer`, `Project`, `Course`) and a shallower inheritance structure. Model 2 adds `Address`, `ResearchAssistant`, and `ProjectInvolvement`, and deepens inheritance through `Employee -&gt; ResearchStaff -&gt; ResearchAssistant -&gt; Lecturer`, so it is structurally more complex.
3. Practicability: Model 1 = 4, Model 2 = 3; Evidence: Model 1 is easier to read and directly captures the core entities and links, including `Faculty -&gt; Employee` for dean, `ResearchStaff -&gt; Institute` with `1..*`, and `Lecturer -&gt; Course`. Model 2 is more detailed, but its `ResearchAssistant "1..*" -- "0..*" Institute` association leaves the RA-to-institute requirement underconstrained on the institute side, and the extra support classes make the design heavier to implement and test.
Total: Model 1 = 11, Model 2 = 10
Choice: A
Reason:
1. Cohesion and Decoupling: Model 2 is more modular because `Address` and `ProjectInvolvement` are explicit domain classes, but Model 1 is still coherent enough while using fewer moving parts.
2. Complexity: Model 1 is better balanced because it uses fewer classes and a shallower hierarchy; Model 2 adds more structural depth than the requirement strictly needs.
3. Practicability: Model 1 is more straightforward to implement and validate, and Model 2 has a real multiplicity weakness on institute assignment that hurts real-world usability.
4. Rejected or checked issues: I did not penalize Model 2 for marking `Employee` abstract, and I did not use association arrow style or primitive-vs-object type choices as negative evidence.
5. Overall judgment: Model 2 has stronger modular decomposition, but Model 1 is the better overall design because it is simpler and more practical while avoiding Model 2’s underconstrained institute assignment.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</si>
  <si>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</si>
  <si>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`University`, `Faculty`, `Institute`, `Employee`, `AdministrativeStaff`, `ResearchStaff`, `Lecturer`, `Project`, and `Course`, which covers the core domain, but it models the RA concept only indirectly through `ResearchStaff` and does not model `Address` explicitly. Model 2 includes the same core domain classes plus explicit `ResearchAssistant`, `Address`, and `ProjectInvolvement`, which maps more directly to the requirement.
2. Associations/Multiplicities between classes for domain reasoning: Model 1 = 4, Model 2 = 5; Evidence: Model 1 captures `University` to `Faculty`, `Faculty` to `Institute`, `Faculty` to `Employee` as dean, `ResearchStaff` assigned to `Institute`, involvement in `Project` with hours noted, and `Lecturer` teaching `Course`. Model 2 captures the same major relations and makes project participation explicit through `ResearchAssistant -- ProjectInvolvement -- Project`, while also linking `Institute` to `Address`; its multiplicities are still broadly consistent with the requirement.
3. Model attributes with appropriate data types: Model 1 = 4, Model 2 = 5; Evidence: Model 1 correctly types `socialSecurityNumber : String`, `name : String`, `email : String`, `fieldOfResearch : String`, `startDate : Date`, `endDate : Date`, `id : String`, and `weeklyDurationHours : int`, but models institute address as a plain `String` and keeps project hours inline on the association. Model 2 keeps the same typed core attributes and additionally models `Address` as its own class with `street`, `city`, and `zipCode`, plus `ProjectInvolvement.hours : int`, which is a cleaner fit for the stated data.
4. Consistencies of Terminology with given context: Model 1 = 3, Model 2 = 5; Evidence: Model 1 uses `ResearchStaff` where the requirement specifically talks about `Research assistants (RA)`, so the role naming is only indirectly aligned, even though `Lecturer` is conceptually relevant. Model 2 uses `ResearchAssistant` and `Lecturer` directly, alongside `AdministrativeStaff` and `ResearchStaff`, which is much closer to the requirement wording.
5. Adherence of UML class diagram standards: Model 1 = 3, Model 2 = 5; Evidence: Model 1 uses textual multiplicity words like `"many"` and places `hours : int` directly on the association text, which is less standard UML/PlantUML notation even if still readable. Model 2 uses standard multiplicities such as `"0..*"` and represents project hours through a separate `ProjectInvolvement` class linked by associations, which is more conventional and clearer UML.
Total: Model 1 = 18, Model 2 = 25
Choice: B
Reason:
1. Appropriate conceptual classes: Model 2 is more faithful because it explicitly models `ResearchAssistant`, `Address`, and `ProjectInvolvement`, while Model 1 only approximates the RA concept through `ResearchStaff` and keeps the institute address as a simple string.
2. Associations/multiplicities: Model 2 expresses the RA-project relationship more cleanly with `ProjectInvolvement`, and it also models the institute address linkage explicitly. Model 1 covers the main relations, but its project-hours modeling is less explicit.
3. Attributes/data types: Both models type the core attributes correctly, but Model 2 is stronger because the address is structured and project hours are attached to a dedicated relationship class.
4. Terminology and UML standards: Model 2 is closer to the requirement wording and uses more standard UML notation. Model 1 is understandable, but its `ResearchStaff` naming and nonstandard multiplicity wording make it less aligned.
5. Rejected or checked issues: I did not penalize either model for using equivalent association directions or primitive type aliases. The decision is based on the explicitness and faithfulness of the modeled domain concepts, not on layout or brevity.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</si>
  <si>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</si>
  <si>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entities and required attributes: Model 1 = 4, Model 2 = 5; Evidence: Model 1 includes `University(totalEmployees)`, `Faculty(name)`, `Institute(name, address)`, `Employee(socialSecurityNumber, name, email)`, `ResearchStaff(fieldOfResearch)`, `Project(name, startDate, endDate)`, and `Course(id, name, weeklyDurationHours)`. Model 2 includes the same core attribute set, plus an explicit `ResearchAssistant(fieldOfResearch)` and `University(name, totalEmployees)`.
2. Specialization and role structure: Model 1 = 4, Model 2 = 5; Evidence: Model 1 models `Employee &lt;|-- AdministrativeStaff`, `Employee &lt;|-- ResearchStaff`, and `ResearchStaff &lt;|-- Lecturer`, which captures admin vs research staff and makes lecturers a research subtype. Model 2 models `Employee &lt;|-- ResearchStaff`, `Employee &lt;|-- AdministrativeStaff`, `ResearchStaff &lt;|-- ResearchAssistant`, and `ResearchAssistant &lt;|-- Lecturer`, which matches the RA-to-lecturer progression stated in the requirement more directly.
3. Associations and multiplicities: Model 1 = 3, Model 2 = 5; Evidence: Model 1 has `University "1" *-- "many" Faculty`, `Faculty "1" *-- "many" Institute`, `Faculty "1" --&gt; "1" Employee : has dean`, `ResearchStaff "many" --&gt; "1..*" Institute`, `ResearchStaff "many" --&gt; "0..*" Project`, and `Lecturer "many" --&gt; "0..*" Course`. Model 2 has `University *-- "1..*" Faculty`, `Faculty *-- "1..*" Institute`, `Faculty --&gt; "1" Employee : dean`, `University --&gt; "*" Employee`, `Employee --&gt; "1" University`, `ResearchAssistant --&gt; "1..*" Institute`, `ResearchAssistant --&gt; "0..*" ProjectInvolvement`, `ProjectInvolvement --&gt; "1" Project`, and `Lecturer --&gt; "0..*" Course`, which covers the university-employee link and the RA-project-hour structure more completely.
4. Semantic fidelity to the requirement: Model 1 = 3, Model 2 = 4; Evidence: Model 1 is close to the prompt but leaves `employees of the university` implicit and encodes project hours only in the association label `hours : int` rather than as a first-class relationship concept. Model 2 adds `ProjectInvolvement(hours : int)` and explicit `ResearchAssistant`, which better reflects the text, although it also adds `University.name`, which is not required.
Total: Model 1 = 14, Model 2 = 19
Choice: B
Reason:
1. Core entities and attributes: Model 2 is stronger because it preserves all required names and attributes and also makes `ResearchAssistant` explicit, while Model 1 only implies RA through `ResearchStaff`.
2. Specialization and role structure: Model 2 maps the stated hierarchy more faithfully with `ResearchAssistant` under `ResearchStaff` and `Lecturer` under `ResearchAssistant`; Model 1 collapses that step by making `Lecturer` directly under `ResearchStaff`.
3. Associations and multiplicities: Model 2 is more complete because it links employees to the university, models dean/faculty in both directions, and represents project participation with `ProjectInvolvement(hours)`, whereas Model 1 omits the university-employee association and keeps hours only as an association label.
4. Rejected or checked issues: I did not penalize Model 2 for opposite-direction associations or comments, since those are semantically equivalent and explicitly excluded from scoring. I also did not penalize primitive type spelling differences.
5. Overall judgment: Model 2 better matches the requirement’s domain structure and relationship semantics, so it is the better diagram despite a few harmless additions.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</si>
  <si>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</si>
  <si>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`Employee`, `ResearchStaff`, `Lecturer`, and `Project` separate, but it also uses `ResearchStaff` as the main hub for research field, institute assignment, project involvement, and teaching (`ResearchStaff &lt;|-- Lecturer`, `ResearchStaff "many" --&gt; "1..*" Institute`, `ResearchStaff "many" --&gt; "0..*" Project`), with no explicit `University`-`Employee` membership link. Model 2 separates the concerns more cleanly with `ResearchStaff`, `ResearchAssistant`, `Lecturer`, and `ProjectInvolvement`, and it explicitly links `University` to `Employee` and `Faculty` to `Employee : dean`, which makes the responsibilities of each class more distinct.
2. Complexity: Model 1 = 4, Model 2 = 3; Evidence: Model 1 has 9 classes and a shallower inheritance chain (`Employee -&gt; ResearchStaff -&gt; Lecturer`), with no extra association class. Model 2 has 11 classes, a deeper inheritance chain (`Employee -&gt; ResearchStaff -&gt; ResearchAssistant -&gt; Lecturer`), and an additional `ProjectInvolvement` class, so it is structurally heavier even though both diagrams have no methods.
3. Practicability: Model 1 = 3, Model 2 = 4; Evidence: Model 1 is compact and easy to read, with direct compositions like `University *-- Faculty` and `Faculty *-- Institute`, but it leaves project hours on an association label and does not explicitly model employees as belonging to the university. Model 2 is more practical for implementation and testing because it makes `ProjectInvolvement { hours }` a first-class concept, explicitly models `ResearchAssistant` and `Lecturer`, and ties `University` to `Employee`, though this comes with extra diagram weight.
Total: Model 1 = 10, Model 2 = 11
Choice: B
Reason:
1. Cohesion and Decoupling: Model 2 is better because it separates `ResearchAssistant`, `Lecturer`, and `ProjectInvolvement` into clearer responsibilities, while Model 1 compresses more semantics into `ResearchStaff`.
2. Complexity: Model 1 is simpler and shallower, but Model 2’s added structure is still justified by the domain and does not outweigh its better semantic fit.
3. Rejected or checked issues: I did not treat opposite-direction associations as a penalty, and I did not use primitive type spellings, `*` versus `0..*`, or optional abstractness as negative evidence.
4. Overall judgment: Model 2 is the better UML class diagram because it captures the university staffing and project relationships more faithfully and is more workable for real implementation, despite being slightly more complex.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</si>
  <si>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</si>
  <si>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`University`, `Faculty`, `Institute`, `Employee`, `AdministrativeStaff`, `ResearchStaff`, `Lecturer`, `Project`, and `Course`, but it uses `ResearchStaff` where the requirement explicitly talks about `ResearchAssistant`; Model 2 includes the same core domain plus an explicit `ResearchAssistant` and `ProjectInvolvement`, which matches the prompt more closely.
2. Associations/Multiplicities between classes for domain reasoning: Model 1 = 4, Model 2 = 5; Evidence: Model 1 captures `University *-- Faculty`, `Faculty *-- Institute`, `Faculty --&gt; Employee : has dean`, `ResearchStaff --&gt; 1..* Institute`, `ResearchStaff --&gt; 0..* Project`, and `Lecturer --&gt; 0..* Course`, but it omits an explicit university-employee link and keeps project hours only in the association text; Model 2 adds `University --&gt; Employee`, explicit dean/headedFaculty links, mandatory RA-to-institute assignment, and a `ProjectInvolvement` class linking RA and `Project` with `hours`.
3. Model attributes with appropriate data types: Model 1 = 4, Model 2 = 5; Evidence: Model 1 correctly models attributes such as `name`, `address`, `socialSecurityNumber`, `email`, `fieldOfResearch`, project dates, and `weeklyDurationHours`, but `Course.id` is typed as `String` and project hours are not a first-class attribute; Model 2 includes the same core attributes, adds `University.name`, uses `Course.id : int`, and makes `hours : int` an explicit attribute of `ProjectInvolvement`.
4. Consistencies of Terminology with given context: Model 1 = 3, Model 2 = 5; Evidence: Model 1 is broadly aligned but replaces the prompt’s `ResearchAssistant` terminology with `ResearchStaff`, which is less exact for the given domain language; Model 2 uses `ResearchAssistant`, `Lecturer`, `Faculty`, `Institute`, `dean`, and `ProjectInvolvement` in a way that closely tracks the requirement wording.
5. Adherence of UML class diagram standards: Model 1 = 4, Model 2 = 5; Evidence: Model 1 is a valid PlantUML class diagram overall, but it uses less standard-looking multiplicity text such as `"many"` and places project hours in an association label; Model 2 uses standard class, inheritance, and multiplicity notation, and its opposite-direction links are still semantically equivalent under the rubric.
Total: Model 1 = 19, Model 2 = 25
Choice: B
Reason:
1. Appropriate conceptual classes: Model 2 is stronger because it models `ResearchAssistant` explicitly and adds `ProjectInvolvement`, while Model 1 collapses the RA concept into `ResearchStaff`.
2. Associations/multiplicities: Model 2 better captures the domain structure with the university-employee relation, mandatory institute assignment for RAs, and an explicit project involvement link carrying hours; Model 1 leaves some of that implicit.
3. Attributes/data types: Model 2 is more faithful on `Course.id` and project hours, while Model 1 uses a `String` ID and does not model project hours as a distinct attribute.
4. Terminology: Model 2 follows the prompt’s wording more closely, especially for `ResearchAssistant`; Model 1 is understandable but less precise.
5. Rejected or checked issues: I did not penalize Model 2 for using opposite-direction associations like `Faculty --&gt; Employee` and `Employee --&gt; Faculty`, since those are semantically equivalent under the rules; I also did not treat extra but consistent refinements like `ProjectInvolvement` as negative.
6. Overall judgment: Model 2 is the better UML model because it covers the required concepts and relationships more explicitly and with terminology that more closely matches the problem statement.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</si>
  <si>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</si>
  <si>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University / faculty / institute / address: Model 1 = 4, Model 2 = 4; Evidence: Model 1 has `University "1" *-- "0..*" Faculty`, `Faculty "1" *-- "0..*" Institute`, `Faculty.name`, `Institute.name`, and a separate `Address` class with `street`, `city`, `zipCode`; Model 2 has `University *-- "1..*" Faculty`, `Faculty *-- "1..*" Institute`, `Faculty.name`, `Institute.name`, and `Institute.address : String` plus `University.name : String`.
2. Employee data and university employment context: Model 1 = 4, Model 2 = 5; Evidence: Model 1 has `abstract class Employee` with `socialSecurityNumber`, `name`, `email`, and `University { totalEmployees : int }` but no employee association; Model 2 has the same employee attributes, `University { totalEmployees : int }`, and explicit `University --&gt; "*" Employee : employees` / `Employee --&gt; "1" University : university`.
3. Dean relation: Model 1 = 5, Model 2 = 4; Evidence: Model 1 states `Faculty "1" --&gt; "1" Employee : dean`, which directly matches "each faculty is headed by a dean, who is an employee"; Model 2 states `Faculty --&gt; "1" Employee : dean` and `Employee --&gt; "0..1" Faculty : headedFaculty`, which adds an at-most-one faculty constraint on employees that is not stated in the requirement.
4. Staff taxonomy and RA work: Model 1 = 4, Model 2 = 5; Evidence: Both models include `Employee &lt;|-- AdministrativeStaff`, `Employee &lt;|-- ResearchStaff`, `ResearchStaff &lt;|-- ResearchAssistant`, `ResearchAssistant.fieldOfResearch`, and `ResearchAssistant &lt;|-- Lecturer`; Model 1 connects RAs to institutes and projects with `ResearchAssistant "1..*" -- "0..*" Institute : assigned to`, `ResearchAssistant "0..*" -- "0..*" ProjectInvolvement`, and `Project "1" -- "0..*" ProjectInvolvement`, while Model 2 makes the same idea more explicit with `ResearchAssistant --&gt; "1..*" Institute : assignedInstitutes`, `ResearchAssistant --&gt; "0..*" ProjectInvolvement`, `ProjectInvolvement --&gt; "1" Project`, and the reverse institute link.
5. Lecturer / course modeling: Model 1 = 4, Model 2 = 5; Evidence: Model 1 has `Lecturer "0..*" -- "0..*" Course : teaches` and `Course { id : String; name : String; weeklyDurationHours : int }`; Model 2 has `Lecturer --&gt; "0..*" Course : taughtCourses`, `Course --&gt; "*" Lecturer : lecturers`, and `Course { id : int; name : String; weeklyDurationHours : double }`, which is closer to the requirement’s "unique number (ID)" phrasing.
Total: Model 1 = 21, Model 2 = 23
Choice: B
Reason:
1. Employee context: Model 2 is stronger because it explicitly models the university-to-employee relationship, while Model 1 only records `totalEmployees : int` without tying employees to the university.
2. Dean and staff structure: Model 1 is slightly cleaner on the dean requirement because `Faculty "1" --&gt; "1" Employee : dean` matches the statement directly, whereas Model 2 adds `Employee --&gt; "0..1" Faculty : headedFaculty`, which introduces an extra constraint not stated.
3. RA/project/course coverage: Model 2 is better overall because it makes the RA-to-institute, RA-to-project, and lecturer-to-course relationships more explicit, and its `Course.id : int` is a better fit for "unique number (ID)" than Model 1’s `id : String`.
4. Rejected or checked issues: I did not penalize either model for using opposite-direction associations where the meaning is otherwise equivalent; I also ignored abstractness choices, since making `Employee` abstract is not disallowed by the requirement.
5. Overall judgment: Both diagrams capture the main university structure, but Model 2 aligns more completely with the required employee/university linkage and the lecturer/course details,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</si>
  <si>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</si>
  <si>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keeps `Address` and `ProjectInvolvement` as separate concepts and uses `Employee &lt;|-- AdministrativeStaff` / `ResearchStaff` / `ResearchAssistant` / `Lecturer`, but it leaves university employment implicit and ties `Faculty` directly to `Employee : dean` without an explicit university membership link. Model 2 has a more explicit domain graph with `University --&gt; "*" Employee`, `Faculty --&gt; "1" Employee : dean`, `ResearchAssistant --&gt; "1..*" Institute`, and `Lecturer --&gt; "0..*" Course`, which makes responsibilities and dependencies clearer.
2. Complexity: Model 1 = 3, Model 2 = 4; Evidence: Model 1 has one extra class (`Address`) plus `University`, `Faculty`, `Institute`, `Employee`, `AdministrativeStaff`, `ResearchStaff`, `ResearchAssistant`, `Lecturer`, `Project`, `ProjectInvolvement`, `Course`, and a 4-level inheritance chain (`Employee` -&gt; `ResearchStaff` -&gt; `ResearchAssistant` -&gt; `Lecturer`). Model 2 removes the standalone address class by using `Institute.address : String`, so it has one fewer class while keeping the same inheritance depth and similar association coverage.
3. Practicability: Model 1 = 3, Model 2 = 4; Evidence: Model 1 is readable and models address structure explicitly (`street`, `city`, `zipCode`), but the design is slightly heavier than needed and does not directly connect employees to the university, which makes validation of "employee of the university" less direct. Model 2 is easier to implement and test because `University --&gt; "*" Employee`, `Faculty --&gt; "1" Employee : dean`, and the simpler `Institute.address : String` keep the core rules compact while still covering the required roles and project/course links.
Total: Model 1 = 9, Model 2 = 12
Choice: B
Reason:
1. Cohesion and Decoupling: Model 2 expresses the main university relations more directly, especially the university-employees and faculty-dean links, while Model 1 leaves some domain membership more implicit.
2. Complexity: Model 2 is slightly simpler because it avoids a standalone `Address` class yet preserves the same core hierarchy.
3. Rejected or checked issues: I did not penalize Model 2 for using opposite-direction associations or Model 1 for using different primitive spellings/types, because those are semantically equivalent or explicitly forbidden as scoring factors.
4. Overall judgment: Model 2 gives the better balance of clarity, size, and implementability, so it wins on the combined criteria.</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</si>
  <si>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</si>
  <si>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`University`, `Faculty`, `Institute`, `Employee`, `AdministrativeStaff`, `ResearchStaff`, `ResearchAssistant`, `Lecturer`, `Project`, `ProjectInvolvement`, and `Course`, plus an `Address` class for institute addresses. Model 2 includes the same core domain classes, with `Institute` carrying `address : String` directly and an extra `University.name : String`.
2. Associations/Multiplicities between classes for domain reasoning: Model 1 = 4, Model 2 = 5; Evidence: Model 1 has `University "1" *-- "0..*" Faculty`, `Faculty "1" *-- "0..*" Institute`, `Faculty "1" --&gt; "1" Employee : dean`, `ResearchAssistant "1..*" -- "0..*" Institute : assigned to`, and the project/course links, but it does not explicitly connect employees to the university and uses looser `0..*` multiplicities for faculties and institutes. Model 2 explicitly adds `University --&gt; "*" Employee` / `Employee --&gt; "1" University`, uses `University *-- "1..*" Faculty` and `Faculty *-- "1..*" Institute`, and also models dean/headedFaculty, RA-institute assignment, project involvement, and lecturer-course links.
3. Model attributes with appropriate data types: Model 1 = 5, Model 2 = 4; Evidence: Model 1 models `Institute` address through `Address { street : String, city : String, zipCode : String }`, `Employee { socialSecurityNumber : String, name : String, email : String }`, `ResearchAssistant.fieldOfResearch : String`, `Project { name : String, startDate : Date, endDate : Date }`, and `Course { id : String, name : String, weeklyDurationHours : int }`. Model 2 captures the required fields too, but uses a flatter `Institute.address : String` and `Course.weeklyDurationHours : double`, which is acceptable but slightly less semantically explicit than Model 1’s address structure.
4. Consistencies of Terminology with given context: Model 1 = 5, Model 2 = 5; Evidence: Model 1 uses the domain terms `faculty`, `institute`, `dean`, `employee`, `research assistant`, `lecturer`, `project`, and `course` in ways that match the requirement, with `Lecturer &lt;|-- ResearchAssistant` reflecting “RAs can be involved in teaching.” Model 2 uses the same terminology and also keeps the `ResearchAssistant`/`Lecturer` relationship consistent with the requirement.
5. Adherence of UML class diagram standards: Model 1 = 5, Model 2 = 5; Evidence: Both diagrams use valid PlantUML class declarations, inheritance, associations, and multiplicities. Model 2’s paired opposite-direction associations are still semantically valid, and Model 1’s composition/association notation is also clear and standard.
Total: Model 1 = 24, Model 2 = 24
Choice: C
Reason:
1. Appropriate conceptual classes: both models cover the required domain classes well, including the employee hierarchy and the RA/lecturer specialization; Model 1’s separate `Address` class and Model 2’s direct `address : String` are both reasonable representations.
2. Associations/multiplicities: Model 2 is stronger because it explicitly connects `University` to `Employee` and uses `1..*` for faculties and institutes, while Model 1 leaves the university-employee relationship implicit and is looser on faculty/institute cardinality.
3. Attributes/data types: Model 1 is stronger because it models institute address structurally with `Address { street, city, zipCode }`, while Model 2 compresses that into a single string; Model 2 is still acceptable, but the difference offsets its association advantage.
4. Rejected or checked issues: I did not penalize Model 2 for using opposite-direction association lines instead of a single bidirectional line, and I did not penalize primitive type aliases like `int` versus `Integer`; those are semantically equivalent under the scoring rules.
5. Overall judgment: the strengths and weaknesses balance out, so the total quality is effectively equal even though the models excel in different places.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</si>
  <si>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</si>
  <si>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entity coverage: Model 1 = 5, Model 2 = 3; Evidence: Model 1 includes `University`, `Faculty`, `Institute`, `Employee`, `Project`, `Course`, plus supporting domain classes `Address` and `ProjectInvolvement`. Model 2 includes the core classes too, but it collapses `Address` into `Institute { address : String }` and omits a separate `ProjectInvolvement`/assignment concept.
2. Employee specialization and role semantics: Model 1 = 5, Model 2 = 2; Evidence: Model 1 has `Employee &lt;|-- AdministrativeStaff`, `Employee &lt;|-- ResearchStaff`, `ResearchStaff &lt;|-- ResearchAssistant`, and `ResearchAssistant &lt;|-- Lecturer`, which preserves the RA-to-lecturer idea. Model 2 has `Employee &lt;|-- AdministrativeStaff`, `Employee &lt;|-- ResearchStaff`, and `ResearchStaff &lt;|-- Lecturer`, but no `ResearchAssistant` class, so the “some RAs teach courses; in this case they are lecturers” requirement is not represented cleanly.
3. Institute address and faculty/institute structure: Model 1 = 5, Model 2 = 3; Evidence: Model 1 models the institute address as its own class with `Institute "1" *-- "1" Address`, and keeps `Faculty "1" *-- "0..*" Institute`. Model 2 keeps the faculty/institute containment, but uses a plain `address : String` on `Institute` rather than a dedicated address object, which is acceptable but less faithful to the explicit “address is known” structural detail.
4. RA project participation and hours: Model 1 = 5, Model 2 = 2; Evidence: Model 1 has `ProjectInvolvement { hours : int }` plus `ResearchAssistant "0..*" -- "0..*" ProjectInvolvement` and `Project "1" -- "0..*" ProjectInvolvement`, which directly captures RA-by-project involvement with hours. Model 2 uses `ResearchStaff "many" --&gt; "0..*" Project : involved in (hours : int)`, which mentions hours but does not model the per-assignment relationship as clearly and also attaches it to `ResearchStaff` rather than RA.
5. Course teaching relation and lecturer concept: Model 1 = 4, Model 2 = 2; Evidence: Model 1 has `Lecturer "0..*" -- "0..*" Course : teaches` and makes `Lecturer` a subtype of `ResearchAssistant`, matching the requirement that some RAs who teach are called lecturers. Model 2 also links `Lecturer` to `Course`, but `Lecturer` is a subtype of `ResearchStaff` rather than RA, so the role transition is not captured correctly.
Total: Model 1 = 24, Model 2 = 12
Choice: A
Reason:
1. Core coverage: Model 1 preserves more of the required domain structure with `Address` and `ProjectInvolvement`, while Model 2 compresses both into weaker attribute/association text.
2. Role semantics: Model 1 correctly models `ResearchAssistant` and `Lecturer` as related roles, whereas Model 2 conflates RA, research staff, and lecturer into an inaccurate hierarchy.
3. Project modeling: Model 1 explicitly captures hours per involvement through `ProjectInvolvement`; Model 2 only annotates the association, which is less faithful to the requirement.
4. Rejected or checked issues: I did not penalize `--&gt;` vs `--`, `many` vs `*`, lowercase primitive types, or the absence of an `abstract` marker, because those are excluded from scoring. I also did not use layout/style differences.
5. Overall judgment: Model 1 is materially closer to the requirement across the important semantics: it models the employee subtypes, the RA-to-lecturer relationship, and the project-hours linkage more accurately. Model 2 is workable only at a coarse level and misses the key RA specialization.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</si>
  <si>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</si>
  <si>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domain concerns separated with `Address` as its own class for institute addresses, `ProjectInvolvement` as its own class for the RA-project-hours relation, and `ResearchAssistant` / `Lecturer` as distinct specializations. Model 2 compresses those concerns by putting `address : String` directly on `Institute`, placing `fieldOfResearch` on `ResearchStaff` instead of a dedicated RA concept, and attaching `hours : int` only as an association label to `ResearchStaff --&gt; Project`, which is less explicit.
2. Complexity: Model 1 = 4, Model 2 = 3; Evidence: Model 1 uses more classes (`University`, `Faculty`, `Institute`, `Address`, `Employee`, `AdministrativeStaff`, `ResearchStaff`, `ResearchAssistant`, `Lecturer`, `Project`, `ProjectInvolvement`, `Course`) and a deeper inheritance chain (`Employee &lt;|-- ResearchStaff &lt;|-- ResearchAssistant &lt;|-- Lecturer`), but that extra structure matches the requirement’s separate concepts for RA, lecturers, addresses, and project involvement. Model 2 is smaller (`University`, `Faculty`, `Institute`, `Employee`, `AdministrativeStaff`, `ResearchStaff`, `Lecturer`, `Project`, `Course`) and shallower, but it does so by collapsing requirement concepts, especially the RA-specific layer.
3. Practicability: Model 1 = 5, Model 2 = 3; Evidence: Model 1 is more directly implementable and testable because the diagram explicitly models institute addresses, RA assignment to institutes with `1..*`, and project participation through `ProjectInvolvement` with `hours : int`, while also keeping `Course` with `id`, `name`, and `weeklyDurationHours`. Model 2 is readable, but its semantics are less precise for real-world implementation because RA-specific behavior is absorbed into `ResearchStaff`, and project hours are only implied by the association text rather than a dedicated structural element.
Total: Model 1 = 13, Model 2 = 9
Choice: A
Reason:
1. Cohesion and Decoupling: Model 1 is better because it preserves distinct domain objects for address and project participation, while Model 2 folds those concerns into attributes or association text.
2. Complexity: Model 1 is slightly more complex, but the extra structure is justified by the requirement; Model 2 is simpler mainly because it omits or merges requirement concepts rather than modeling them cleanly.
3. Practicability: Model 1 is more practical for implementation and testing because the relationships and responsibilities are explicit, especially for RA-to-institute assignment and RA-to-project hours.
4. Rejected or checked issues: I did not penalize either model for association direction/style, primitive type spelling (`int`), or multiplicity shorthand (`many`, `*`, `0..*`), since those are semantically equivalent under the rules.
5. Overall judgment: Model 1 is the better UML design because it tracks the requirement more faithfully while still remaining modular and testable. Model 2 is more compact, but that compactness comes from collapsing important domain distinctions.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</si>
  <si>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</si>
  <si>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with `University`, `Faculty`, `Institute`, `Employee`, `AdministrativeStaff`, `ResearchStaff`, `ResearchAssistant`, `Lecturer`, `Project`, and `Course`, matching the requirement’s key concepts. Model 2 has the core classes too, but it omits a distinct `ResearchAssistant` class and instead uses `ResearchStaff` directly for the RA role, which weakens the conceptual match to the stated domain.
2. Associations/Multiplicities between classes for domain reasoning: Model 1 = 4, Model 2 = 2; Evidence: Model 1 explicitly connects `University` to `Faculty`, `Faculty` to `Institute`, `Faculty` to `Employee : dean`, `ResearchAssistant` to `Institute : assigned to`, `ResearchAssistant` to `ProjectInvolvement`, `Project` to `ProjectInvolvement`, and `Lecturer` to `Course : teaches`. Model 2 keeps the top-level structural links, but it applies RA-specific relationships to `ResearchStaff` instead of `ResearchAssistant`, and `ResearchStaff --&gt; Project : involved in (hours : int)` does not model the project-hours involvement as clearly as the separate involvement structure in Model 1.
3. Model attributes with appropriate data types: Model 1 = 5, Model 2 = 4; Evidence: Model 1 models `Employee` with `socialSecurityNumber : String`, `name : String`, `email : String`, `ResearchAssistant` with `fieldOfResearch : String`, `Project` with `name : String`, `startDate : Date`, `endDate : Date`, `Course` with `id : String`, `name : String`, `weeklyDurationHours : int`, and `ProjectInvolvement` with `hours : int`, plus a dedicated `Address` class with `street`, `city`, and `zipCode`. Model 2 covers most of the same attribute set, but it collapses `Institute` address into a single `address : String` and places `fieldOfResearch` on `ResearchStaff`, which is less faithful to the RA-specific requirement.
4. Consistencies of Terminology with given context: Model 1 = 5, Model 2 = 3; Evidence: Model 1 consistently uses the domain terms from the requirement, including `ResearchAssistant` for RAs and `Lecturer` as a subtype of RA. Model 2 uses `ResearchStaff` in places where the requirement specifically talks about `Research assistants (RA)`, and it makes `Lecturer` inherit directly from `ResearchStaff`, so the terminology is broader than the source context.
5. Adherence of UML class diagram standards: Model 1 = 5, Model 2 = 4; Evidence: Model 1 uses standard class, inheritance, association, and multiplicity notation in a clean, readable way, including a separate `ProjectInvolvement` class to capture the RA-project-hours relation. Model 2 is still understandable and mostly standard, but it is slightly less canonical in notation by using `many` as a multiplicity label and a direct labeled association `involved in (hours : int)` instead of a clearer structural representation of the participation detail.
Total: Model 1 = 24, Model 2 = 16
Choice: A
Reason:
1. Appropriate conceptual classes: Model 1 captures the required RA/lecturer distinction directly; Model 2 collapses that distinction into `ResearchStaff`, which is a real domain mismatch.
2. Associations/Multiplicities: Model 1 expresses the RA-to-institute assignment and RA-to-project involvement more faithfully, while Model 2 broadens those relations to all research staff and weakens the project-hours modeling.
3. Rejected or checked issues: I did not penalize Model 1 for `Employee` being `abstract`, did not penalize Model 2 for using visibility markers like `-`, and did not use primitive-type aliases such as `String` vs `Integer` as negative evidence.
4. Overall judgment: Model 1 is better because it preserves the requirement’s central domain structure, especially the dedicated `ResearchAssistant` role and the lecturer-as-an-RA relationship, while Model 2 generalizes away a key concept and therefore loses important semantic precision.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</si>
  <si>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</si>
  <si>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</si>
  <si>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</si>
  <si>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3, Model 2 = 4; Evidence: Model 1 covers the major roles and flow with `Employee` subclasses, `TargetProfile`, `LongListEntry`, `ScoutingAssignment`, `ScoutingReport`, and `Offer`, but the required short-list step is only implied through `ScoutingState`/`ScoutingRecord`. Model 2 covers the same core flow and additionally models `ShortListEntry` explicitly, with `HeadCoach` and `HeadScout` both approving it, which matches the requirement more directly.
2. Hallucinations/additions: Model 1 = 2, Model 2 = 3; Evidence: Model 1 introduces broader lifecycle concepts such as `ScoutingRecord`, `ScoutingState`, and `Offer` fields like `amount` and `status` that are not stated in the requirement. Model 2 also adds operational details like `AssignmentStatus`, `LongListEntry.dateAdded`, and `ContractOffer.amount`, but its extra structure is closer to the required domain concepts, especially `ShortListEntry`.
3. Conceptual classes and relationships: Model 1 = 3, Model 2 = 4; Evidence: Model 1 has the right ingredients, but `ScoutingRecord` acts as a catch-all between long list, assignments, and shortlist-like state, which makes the domain flow less direct. Model 2 maps the business process more cleanly: `TargetProfile` connects to `TargetPosition` and `ProfileAttribute`, `Scout` creates `LongListEntry`, `HeadScout` creates `ScoutingAssignment`, `ScoutingReport` completes an assignment, and `ShortListEntry` is explicitly approved by the head coach and head scout.
4. Associations, cardinalities, and relationship types: Model 1 = 2, Model 2 = 4; Evidence: Model 2 gives clear multiplicities for the main relations, such as one `TargetProfile` to many `TargetPosition`/`ProfileAttribute`, one `Scout` to many `LongListEntry` and `ScoutingReport`, and one `Director` to many `ContractOffer`. Model 1 has some usable links, but the `ScoutingRecord` associations are vague, and `ScoutingAssignment --&gt; "1" ScoutingReport` plus `ScoutingReport --&gt; "1" ScoutingAssignment` repeats the same workflow link rather than clarifying it.
5. Class names and optional attributes: Model 1 = 3, Model 2 = 5; Evidence: Model 2 uses requirement-aligned names like `TargetProfile`, `TargetPosition`, `ProfileAttribute`, `LongListEntry`, `ShortListEntry`, `ScoutingAssignment`, `ScoutingReport`, and `ContractOffer`, which makes the diagram easy to map back to the prompt. Model 1 uses clearer names in some places, but `ScoutingRecord` and `Attribute` are more generic, and `Offer` is less specific than `ContractOffer`.
Total: Model 1 = 13, Model 2 = 20
Choice: B
Reason:
1. Requirement alignment: Model 2 represents the short-list phase explicitly, while Model 1 only implies it through `ScoutingState` and `ScoutingRecord`.
2. Associations/cardinalities: Model 2 gives a cleaner, more direct set of relationships for profile definition, long-listing, assignments, reports, short-list approval, and offers.
3. Class naming: Model 2 stays closer to the wording of the requirement, especially with `ShortListEntry`, `TargetPosition`, and `ProfileAttribute`.
4. Rejected or checked issues: I did not penalize either model for using opposite-direction associations, primitive-type aliases, or equivalent multiplicity notation, since those are semantically equivalent under the instructions.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</si>
  <si>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</si>
  <si>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concentrates multiple workflow responsibilities into `ScoutingRecord` (`currentState`, links to `LongListEntry`, `ScoutingAssignment`, `Player`, and `TargetProfile`) and then routes both `HeadCoach` and `HeadScout` through that hub, while `Offer` is also based on `ScoutingRecord`. Model 2 separates concerns more cleanly with distinct `LongListEntry`, `ShortListEntry`, `ScoutingAssignment`, `ScoutingReport`, and `ContractOffer` classes, each focused on one stage of the scouting process, with `TargetProfile` holding only profile definition data.
2. Complexity: Model 1 = 4, Model 2 = 4; Evidence: Both models are similar in class count and inheritance depth. Model 1 has `Employee` with subclasses `HeadCoach`, `Director`, `Scout`, `HeadScout`, plus workflow classes like `TargetProfile`, `Attribute`, `LongListEntry`, `ScoutingAssignment`, `ScoutingReport`, `ScoutingRecord`, and `Offer`. Model 2 has the same employee hierarchy plus `TargetProfile`, `TargetPosition`, `ProfileAttribute`, `LongListEntry`, `ShortListEntry`, `ScoutingAssignment`, `ScoutingReport`, and `ContractOffer`. Model 2 is slightly more explicit, Model 1 slightly more centralized, so overall complexity is balanced in both.
3. Practicability: Model 1 = 3, Model 2 = 5; Evidence: Model 1 is understandable, but `ScoutingRecord` is a vague abstraction for the core shortlist workflow, and the shortlist itself is only implied through `ScoutingState.SHORT_LIST`. Model 2 maps more directly to the business process: `LongListEntry` captures initial observations, `ShortListEntry` captures the move to the short list, `ScoutingAssignment` captures investigation work, `ScoutingReport` captures results, and `ContractOffer` captures the final offer. That makes the diagram easier to implement, test, and extend.
Total: Model 1 = 10, Model 2 = 14
Choice: B
Reason:
1. Cohesion and Decoupling: Model 2 keeps the long-list, short-list, assignment, report, and offer stages in separate classes, while Model 1 pushes too much into `ScoutingRecord`.
2. Complexity: The two diagrams are broadly comparable in size and inheritance depth, so this criterion does not separate them meaningfully.
3. Practicability: Model 2 is more operationally clear because it models the shortlist explicitly and mirrors the requirement’s workflow more directly.
4. Rejected or checked issues: I did not use association arrow direction, primitive type spelling, multiplicity aliasing, or optional abstractness as negative evidence.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</si>
  <si>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</si>
  <si>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roles and artifacts (`Employee`, `HeadCoach`, `Director`, `Scout`, `HeadScout`, `Player`, `TargetProfile`, `LongListEntry`, `ScoutingAssignment`, `ScoutingReport`, `Offer`), but it replaces the explicit short-list concept with `ScoutingRecord`/`ScoutingState`; Model 2 includes the same core roles plus explicit `TargetPosition`, `ProfileAttribute`, `LongListEntry`, `ShortListEntry`, `ScoutingAssignment`, `ScoutingReport`, and `ContractOffer`, which maps more directly to the requirement.
2. Associations/Multiplicities between classes for domain reasoning: Model 1 = 3, Model 2 = 4; Evidence: Model 1 connects `Scout` to `LongListEntry`, `LongListEntry` to `Player` and `TargetProfile`, `ScoutingAssignment` to `Player`, `Scout`, and `ScoutingReport`, and `Director` to `Offer`, but it routes shortlist behavior through `ScoutingRecord` rather than a direct short-list class; Model 2 directly connects `HeadCoach` and `HeadScout` to `ShortListEntry`, `Scout` to `LongListEntry` and `ScoutingReport`, `ScoutingAssignment` to `Scout` and `Player`, and `Director` to `ContractOffer`, with explicit `0..*`/`1` multiplicities that better reflect the workflow.
3. Model attributes with appropriate data types: Model 1 = 4, Model 2 = 5; Evidence: Model 1 models ids and names on `Employee`, `Player`, `TargetProfile`, `LongListEntry`, `ScoutingAssignment`, `ScoutingReport`, and `Offer`, plus `targetPositions: List&lt;Position&gt;` and `recommendation: Recommendation`; Model 2 models the same ideas with `UUID` identifiers, `TargetPosition(code, name)`, `ProfileAttribute(name, value)`, `AssignmentStatus`, `recommendation: Recommendation`, and `amount: Decimal`, giving a slightly cleaner type fit overall.
4. Consistencies of Terminology with given context: Model 1 = 4, Model 2 = 5; Evidence: Model 1 is mostly aligned with `LongListEntry`, `ScoutingAssignment`, `ScoutingReport`, `ScoutingState`, and recommendation values like `KEY_PLAYER` and `NOT_GOOD_SIGNING`, but it abbreviates some terms relative to the prompt and does not name a `ShortListEntry`; Model 2 mirrors the prompt more closely with `ShortListEntry`, `TargetPosition`, `ProfileAttribute`, and recommendation values such as `FIRST_TEAM_PLAYER`, `RESERVE_TEAM_PLAYER`, and `NOT_A_GOOD_SIGNING`.
5. Adherence of UML class diagram standards: Model 1 = 4, Model 2 = 5; Evidence: Both are readable PlantUML class diagrams with classes, inheritance, associations, and multiplicities, but Model 1 is a bit less canonical because it uses the extra `ScoutingRecord` hub and a mirrored `ScoutingReport`/`ScoutingAssignment` link, while Model 2 sticks more closely to standard class/association/multiplicity notation and explicit end multiplicities throughout.
Total: Model 1 = 19, Model 2 = 24
Choice: B
Reason:
1. Appropriate conceptual classes aligned with the domain: Model 2 is stronger because it explicitly models the short-list stage and target positions, while Model 1 relies on `ScoutingRecord`/`ScoutingState` instead of a concrete `ShortListEntry`.
2. Associations/Multiplicities: Model 2 makes the long-list, short-list, assignment, report, and offer flow explicit with direct associations and multiplicities; Model 1 is more indirect through `ScoutingRecord`.
3. Rejected or checked issues: I did not penalize Model 1 for using opposite-direction association pairs or common primitive-type aliases, since those are semantically equivalent under the rules.
4. Overall judgment: Model 2 better matches the requirement and is more faithful in terminology, class selection, and relationship structure, so it wins clearly.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</si>
  <si>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</si>
  <si>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Participant coverage and roles: Model 1 = 5, Model 2 = 4; Evidence: Model 1 centers the required club roles with `Employee` specialized into `HeadCoach`, `Director`, `Scout`, and `HeadScout`. Model 2 also includes those roles, but wraps them in an extra `Team` concept and a generic `role : String`, which is not needed to express the requirement.
2. Player profile modeling: Model 1 = 5, Model 2 = 3; Evidence: Model 1’s `TargetProfile` has `targetPositions: List&lt;Position&gt;` plus `Attribute` with `name` and `value`, matching “designated target positions” and other named attributes. Model 2’s `PlayerProfile` has only `targetPosition : String` and `playerAttributes : List&lt;Attribute&gt;`, so the target-position part is narrower than required.
3. Long-list intake and assignment setup: Model 1 = 5, Model 2 = 2; Evidence: Model 1 explicitly models `LongListEntry` linking `Scout`, `Player`, and `TargetProfile`, and `ScoutingRecord` gathering long-list entries and `ScoutingAssignment`s, with `HeadScout --&gt; "*" ScoutingRecord: evaluates`. Model 2 has `Scout --&gt; "*" Player : notes` and `HeadScout --&gt; "*" ScoutingAssignment : evaluates`, but no explicit long-list structure or periodic evaluation step.
4. Scouting report content and completion: Model 1 = 5, Model 2 = 3; Evidence: Model 1’s `ScoutingReport` contains `pros`, `cons`, and `recommendation`, and `ScoutingAssignment --&gt; "1" ScoutingReport: produces` ties the report to assignment completion. Model 2 also has `pros`, `cons`, and `recommendation`, but adds `decision` and links `ScoutingReport --&gt; "1" PlayerProfile : reportsOn`, which points the report at the profile rather than the player the assignment investigates.
5. Short-listing and iterative scouting rounds: Model 1 = 4, Model 2 = 2; Evidence: Model 1 includes `ScoutingState` with `SHORT_LIST`, `RECOMMENDED`, and `OFFER_MADE`, plus `HeadCoach --&gt; "*" ScoutingRecord` and `HeadScout --&gt; "*" ScoutingRecord`, which at least captures the workflow around shortlist and later recommendation. Model 2 has `HeadCoach --&gt; "*" PlayerProfile : decides` and `HeadScout --&gt; "*" PlayerProfile : recommends`, but it does not represent a short list or multiple rounds per shortlisted player.
6. Final signing offer path: Model 1 = 5, Model 2 = 2; Evidence: Model 1 models `Director --&gt; "*" Offer: makes`, with `Offer --&gt; "1" Player: offeredPlayer` and `Offer --&gt; "1" ScoutingRecord: basedOn`, which matches the director making an official offer after recommendation. Model 2 only has `Director --&gt; "*" Player : makesOffer` and no explicit offer entity or tie back to the head scout’s final recommendation.
Total: Model 1 = 29, Model 2 = 16
Choice: A
Reason:
1. Player profile and long-list workflow: Model 1 directly captures the requirement’s core concepts with `TargetProfile`, `LongListEntry`, `ScoutingAssignment`, and `ScoutingReport`, while Model 2 collapses the process into broader links that point at `PlayerProfile` rather than the player-centered workflow.
2. Shortlist and offer flow: Model 1 at least models the state progression from `LONG_LIST` to `SHORT_LIST` to `RECOMMENDED` and an `Offer`, whereas Model 2 lacks a shortlist concept and lacks an explicit offer object tied to scouting outcomes.
3. Rejected or checked issues: I did not penalize Model 1 for introducing `ScoutingRecord` as an intermediate class, because it is a traceable refinement that helps model the described workflow. I also did not use association direction, primitive-type spelling, or comments as negative evidence.
4. Overall judgment: Model 1 is materially closer to the requirement across the main domain concepts, especially long-list intake, assignment-driven scouting, recommendation content, and the director’s offer step.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</si>
  <si>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</si>
  <si>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separates the workflow into distinct concepts like `TargetProfile` with `targetPositions: List&lt;Position&gt;` and `attributes`, `LongListEntry` for long-list notes, `ScoutingAssignment`, `ScoutingReport`, `ScoutingRecord`, and `Offer`. Model 2 mixes concerns more heavily: `Player` carries `targetPosition` and `playerStatus`, `ScoutingAssignment` contains both `shortList: List&lt;Player&gt;` and `scoutingResults: List&lt;String&gt;`, and `ScoutingReport` stores both `recommendation` and `decision` plus `relatedAssignment`.
2. Complexity: Model 1 = 4, Model 2 = 3; Evidence: Model 1 has more structural detail, but the extra classes are traceable to the requirement’s stages: long list, assignment, report, short list, and offer, plus enums for `Position`, `Recommendation`, and `ScoutingState`. Model 2 is structurally smaller with fewer classes and no enums, which lowers raw complexity, but it does so by collapsing distinct domain concepts into fields and lists rather than separate classes.
3. Practicability: Model 1 = 4, Model 2 = 2; Evidence: Model 1 is easier to implement and test because each major business step has a dedicated artifact: `LongListEntry`, `ScoutingAssignment`, `ScoutingReport`, and `Offer` map cleanly to unit and acceptance tests. Model 2 is less practical because `ScoutingAssignment` doubles as both assignment and shortlist container, `PlayerProfile` is overloaded as both profile and investigation target, and there is no separate offer object for the director’s official offer.
Total: Model 1 = 12, Model 2 = 7
Choice: A
Reason:
1. Cohesion and Decoupling: Model 1 keeps the player-profile workflow, scouting execution, reporting, and offer-making in separate classes. Model 2 collapses several of those responsibilities into `Player`, `ScoutingAssignment`, and `ScoutingReport`, which reduces conceptual separation.
2. Complexity: Model 2 is simpler in raw class count, but Model 1’s extra classes are justified by the domain’s staged process. The requirement explicitly includes long-list evaluation, assignments, reports, short-listing, and offers, and Model 1 models those intermediate concepts directly.
3. Practicability: Model 1 is more workable for real implementation and testing because it exposes clearer boundaries and entities. Model 2 is harder to maintain because it encodes too much process state in attributes and lists rather than in dedicated domain objects.
4. Rejected or checked issues: I did not use association direction/style, primitive type spelling (`int` vs `Integer`, `String` vs `str`), or abstractness choices as negative evidence, since those are forbidden or non-decisive here.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</si>
  <si>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</si>
  <si>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core domain concepts `HeadCoach`, `HeadScout`, `Scout`, `Director`, `Player`, `TargetProfile`, `Attribute`, `LongListEntry`, `ScoutingAssignment`, `ScoutingReport`, and `Offer`, which tracks the scouting workflow closely. Model 2 also has several relevant classes, but it leans on `PlayerProfile`, `shortList`, and `playerStatus` instead of modeling the long-list/short-list flow more directly, and it does not represent the offer stage as clearly.
2. Associations/Multiplicities between classes for domain reasoning: Model 1 = 4, Model 2 = 2; Evidence: Model 1 links `Scout` to `LongListEntry`, `LongListEntry` to `Player` and `TargetProfile`, `ScoutingAssignment` to both `Player` and `Scout`, `Scout` to `ScoutingReport`, and `Director` to `Offer`, which captures the main process chain. Model 2 has some useful links such as `Scout --&gt; "*" Player : notes`, `ScoutingAssignment --&gt; "*" PlayerProfile : investigates`, and `Director --&gt; "*" Player : makesOffer`, but it misses the explicit long-list entity, does not connect assignments to a specific scout and player in a strong way, and ties reports to `PlayerProfile` rather than the player under scouting.
3. Model attributes with appropriate data types: Model 1 = 4, Model 2 = 3; Evidence: Model 1 uses sensible attributes such as `employeeId: int`, `name: String`, `targetPositions: List&lt;Position&gt;`, `entryDate: Date`, `recommendation: Recommendation`, and `amount: double`, which are well matched to the domain. Model 2 has usable types like `name : String`, `playerAttributes : List&lt;Attribute&gt;`, and `assignmentDate : Date`, but it weakens key semantics by making `recommendation : String`, placing `targetPosition : String` on `Player` rather than the profile, and adding less domain-specific fields like `playerStatus` and `decision`.
4. Consistencies of Terminology with given context: Model 1 = 4, Model 2 = 3; Evidence: Model 1 terminology largely mirrors the prompt with `TargetProfile`, `LongListEntry`, `ScoutingAssignment`, `ScoutingReport`, `Recommendation`, and `Offer`, so the naming aligns closely with the described process. Model 2 still uses recognizable names like `Scout`, `HeadCoach`, `HeadScout`, and `ScoutingReport`, but its heavier use of `PlayerProfile`, `scoutingResults`, and `shortList` shifts terminology away from the wording and structure of the requirement.
5. Adherence of UML class diagram standards: Model 1 = 4, Model 2 = 2; Evidence: Model 1 is structurally readable UML/PlantUML with standard class, enum, inheritance, and association notation, and its relationships are easy to interpret even with the extra `ScoutingRecord` refinement. Model 2 has more UML issues, most notably the inheritance lines written as `Employee --|&gt; HeadCoach`, `Employee --|&gt; Director`, etc., which are not the standard way to express those subclass relations in PlantUML, and the `ScoutingReport --&gt; "1" relatedAssignment : linkedAssignment` line is also awkwardly expressed compared with a normal class association.
Total: Model 1 = 20, Model 2 = 13
Choice: A
Reason:
1. Appropriate conceptual classes: Model 1 covers the scouting lifecycle with the right actors and entities more cleanly than Model 2, which replaces key workflow concepts with broader or shifted abstractions like `PlayerProfile` and `shortList`.
2. Associations/Multiplicities: Model 1 models the relationships needed for the process more completely, especially the long-list, assignment, report, and offer flow; Model 2 leaves several of those links implicit or misaligned.
3. Attributes/data types: Model 1 uses more domain-appropriate types and fields, especially the `Recommendation` enum and `Position` enum; Model 2 over-relies on strings and places some fields on the wrong concept.
4. Terminology: Model 1 stays closer to the wording of the requirement, while Model 2 drifts into more generic or implementation-like labels.
5. UML standards: Model 1 is more consistently expressed in UML/PlantUML form, while Model 2 has clearer notation problems in its inheritance and association declarations.
6. Rejected or checked issues: I did not penalize Model 1 for using the transparent refinement `ScoutingRecord`, and I did not treat opposite-direction association wording or equivalent multiplicity shorthand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</si>
  <si>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</si>
  <si>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Workflow: Model 1 = 4, Model 2 = 2; Evidence: Model 1 covers the main flow with `HeadCoach -- TargetProfile`, `Scout -- LongListEntry`, `HeadScout -- ScoutingAssignment`, `Scout -- ScoutingReport`, `HeadCoach` and `HeadScout -- ShortListEntry`, and `Director -- ContractOffer`. Model 2 names the same actors, but it weakens the workflow by collapsing the long/short list into fields like `shortList : List&lt;Player&gt;` inside `ScoutingAssignment` and by linking `ScoutingAssignment` and `ScoutingReport` to `PlayerProfile` rather than to `Player`.
2. No Hallucinations / Additions: Model 1 = 4, Model 2 = 2; Evidence: Model 1 adds only small refinements that match the story, such as `AssignmentStatus`, `LongListEntry`, `ShortListEntry`, and `ContractOffer`. Model 2 introduces more unsupported structure, including `Team`, `Employee.role`, `Player.playerStatus`, `ScoutingReport.decision`, `relatedAssignment`, and `scoutingResults : List&lt;String&gt;`, none of which are stated in the requirement.
3. Conceptual Classes and Domain Fidelity: Model 1 = 5, Model 2 = 2; Evidence: Model 1 cleanly separates `TargetProfile`, `TargetPosition`, `ProfileAttribute`, `ScoutingAssignment`, `ScoutingReport`, and `ContractOffer`, which matches the domain concepts in the prompt. Model 2 mixes concerns by putting `targetPosition` directly on `Player`, using `PlayerProfile` with `targetPosition : String`, and adding generic `Team`/`role` concepts that are not part of the described system.
4. Associations, Cardinalities, and Relationship Types: Model 1 = 4, Model 2 = 1; Evidence: Model 1 uses coherent links and multiplicities such as `ScoutingAssignment "0..*" -- "1" Scout`, `ScoutingReport "1" -- "1" ScoutingAssignment`, and `ContractOffer "0..*" -- "1" Player`, which fit the workflow. Model 2 is structurally incorrect in several places, especially `Employee --|&gt; HeadCoach`, `Employee --|&gt; Director`, `Employee --|&gt; Scout`, and `Employee --|&gt; HeadScout`, which if read literally make `Employee` the subclass; it also connects assignments and reports to `PlayerProfile` instead of the player being investigated.
5. Naming and Attribute Clarity: Model 1 = 5, Model 2 = 3; Evidence: Model 1 uses directly recognizable names like `HeadCoach`, `HeadScout`, `LongListEntry`, `ShortListEntry`, `ScoutingReport`, and `TargetPosition`, and its attributes `pros`, `cons`, and `recommendation` match the requirement wording. Model 2 is understandable but less precise because names like `role`, `playerStatus`, `decision`, and `relatedAssignment` blur the domain model, and `PlayerProfile` is used in a way that does not cleanly reflect the described scouting process.
Total: Model 1 = 22, Model 2 = 10
Choice: A
Reason:
1. Requirement coverage: Model 1 preserves the required scouting pipeline from target profile to long list, assignments, reports, short list, and offer; Model 2 blurs key stages by embedding list behavior into attributes and routing assignments/reports through `PlayerProfile`.
2. Domain fidelity: Model 1 keeps the core domain concepts separate and recognizable; Model 2 mixes in extra concepts like `Team` and `role` and conflates player, profile, and assignment concerns.
3. Relationship correctness: Model 1’s associations and multiplicities are mostly consistent with the story; Model 2 has a serious hierarchy problem in the `Employee --|&gt; ...` lines and weaker links for assignments and reports.
4. Rejected or checked issues: I did not penalize Model 1 for using distinct `LongListEntry` and `ShortListEntry` classes, because they are faithful domain refinements. I also did not use association line direction alone as a penalty unless it changed the semantics, which it does in Model 2’s reversed inheritance.
5. Overall judgment: Model 1 is materially closer to the requirement and has far fewer semantic errors, so it is the better UML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</si>
  <si>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</si>
  <si>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the workflow into distinct domain classes like `TargetProfile`, `LongListEntry`, `ShortListEntry`, `ScoutingAssignment`, `ScoutingReport`, and `ContractOffer`, with role-specific links such as `Scout` creating long-list entries and reports, `HeadScout` creating assignments, and `Director` making offers. Model 2 compresses several concerns into broader classes like `ScoutingAssignment` (`shortList`, `scoutingResults`) and `ScoutingReport` (`pros`, `cons`, `recommendation`, `decision`), and places profile information directly on `PlayerProfile`, which is less modular.
2. Complexity: Model 1 = 4, Model 2 = 2; Evidence: Model 1 uses more conceptually distinct classes that match the requirement’s stages, including `TargetPosition`, `ProfileAttribute`, `LongListEntry`, `ShortListEntry`, and `ContractOffer`, plus a role hierarchy where `HeadScout` specializes `Scout`. Model 2 has fewer classes overall, but it flattens multiple required concepts into generic containers like `PlayerProfile` and `ScoutingAssignment`, which reduces semantic precision even if the diagram is shorter.
3. Practicability: Model 1 = 4, Model 2 = 2; Evidence: Model 1 gives clear testing and maintenance seams through explicit entities and constrained value sets such as `Recommendation` and `AssignmentStatus`, and it models the long-list/short-list/report/offer flow directly. Model 2 is readable, but practical boundaries are weaker because key behaviors are represented as broad attributes on `ScoutingReport`, `ScoutingAssignment`, and `PlayerProfile`, making validation and unit testing of the scouting lifecycle less explicit.
Total: Model 1 = 12, Model 2 = 6
Choice: A
Reason:
1. Cohesion and Decoupling: Model 1 is better because it keeps each stage of scouting in its own class, while Model 2 merges several stages into broader structures.
2. Complexity: Model 1 is a better fit for the requirement because its extra classes correspond to real domain steps, whereas Model 2 is simpler mainly by flattening required concepts.
3. Practicability: Model 1 is easier to understand, extend, and test because the long-list, shortlist, assignment, report, and offer flows are explicit.
4. Rejected or checked issues: I did not use opposite association direction, primitive type spellings, or multiplicity shorthand as negative evidence, since those are forbidden scoring factors.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</si>
  <si>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</si>
  <si>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core domain roles and artifacts directly named in the requirement: `Employee`, `HeadCoach`, `Director`, `Scout`, `HeadScout`, `TargetProfile`, `TargetPosition`, `ProfileAttribute`, `Player`, `LongListEntry`, `ShortListEntry`, `ScoutingAssignment`, `ScoutingReport`, and `ContractOffer`. Model 2 also has some relevant classes (`Employee`, `HeadCoach`, `Director`, `Scout`, `HeadScout`, `Player`, `PlayerProfile`, `Attribute`, `ScoutingAssignment`, `ScoutingReport`), but it conflates `PlayerProfile` with list/decision workflow concepts and does not model the long-list/short-list structure as clearly.
2. Associations/Multiplicities between classes for domain reasoning: Model 1 = 4, Model 2 = 2; Evidence: Model 1 captures the key workflow links with multiplicities such as `HeadCoach "1" -- "0..*" TargetProfile`, `LongListEntry "0..*" -- "1" Player`, `LongListEntry "0..*" -- "1" TargetProfile`, `HeadScout "1" -- "0..*" ScoutingAssignment`, `ScoutingAssignment "0..*" -- "1" Scout`, `ScoutingAssignment "0..*" -- "1" Player`, `ScoutingReport "1" -- "1" ScoutingAssignment`, and `Director "1" -- "0..*" ContractOffer`. Model 2 has some useful links like `Scout --&gt; "*" Player`, `HeadScout --&gt; "*" ScoutingAssignment`, `ScoutingAssignment --&gt; "*" PlayerProfile`, `ScoutingReport --&gt; "1" PlayerProfile`, and `PlayerProfile --&gt; "*" Attribute`, but the critical relationships are misdirected toward `PlayerProfile` instead of `Player`, and the long-list/short-list decision flow is not modeled with the same domain clarity.
3. Model attributes with appropriate data types: Model 1 = 5, Model 2 = 3; Evidence: Model 1 uses sensible domain types such as `id: UUID`, `name: String`, `code: String`, `value: String`, `status: AssignmentStatus`, `recommendation: Recommendation`, `amount: Decimal`, `date: Date`, `pros: String`, and `cons: String`. Model 2 has several appropriate attributes too, such as `name: String`, `id: String`, `assignmentDate: Date`, and `playerAttributes: List&lt;Attribute&gt;`, but many important fields are left as vague strings or collection fields that blur behavior and structure, including `role: String`, `targetPosition: String`, `status: String`, `recommendation: String`, `decision: String`, and `scoutingResults: List&lt;String&gt;`.
4. Consistencies of Terminology with given context: Model 1 = 5, Model 2 = 2; Evidence: Model 1 consistently uses the domain vocabulary from the requirement: `HeadCoach`, `Director`, `Scout`, `HeadScout`, `TargetProfile`, `LongListEntry`, `ShortListEntry`, `ScoutingAssignment`, `ScoutingReport`, and `ContractOffer`. Model 2 repeatedly shifts the terminology: `PlayerProfile` is used where the requirement talks about a designated player profile, `Player` is given `targetPosition` and `playerStatus`, `ScoutingReport` is tied to `PlayerProfile` rather than the player, and `shortList` is modeled as an attribute rather than a domain concept, which makes the terminology less consistent with the scenario.
5. Adherence of UML class diagram standards: Model 1 = 5, Model 2 = 3; Evidence: Model 1 is clean PlantUML/UML syntax with enumerations, classes, inheritance, associations, and multiplicities used coherently. Model 2 is also mostly valid PlantUML, but it contains a problematic association endpoint in `ScoutingReport --&gt; "1" relatedAssignment : linkedAssignment`, which introduces an undefined target name rather than directly connecting to the declared `ScoutingAssignment` class, making the diagram less precise even though the rest is readable.
Total: Model 1 = 24, Model 2 = 13
Choice: A
Reason:
1. Appropriate conceptual classes: Model 1 models the full scouting workflow with the right domain objects; Model 2 has useful pieces but conflates the profile and player layers.
2. Associations/Multiplicities: Model 1 expresses the long-list, assignment, report, shortlist, and offer flow with usable multiplicities; Model 2 loses key domain reasoning by routing several relationships through `PlayerProfile` and by omitting the list structure.
3. Rejected or checked issues: I did not penalize either model for opposite association arrow directions or common primitive aliases, because those are semantically equivalent under the instructions. The decision instead rests on Model 2’s domain misalignment and weaker workflow structure.
4. Overall judgment: Model 1 is materially closer to the required team-scouting domain and better preserves the intended class structure, relations, and terminology, so it is the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</si>
  <si>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</si>
  <si>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Employee roles and actor coverage: Model 1 = 5, Model 2 = 5; Evidence: both define `Employee` with `HeadCoach`, `Director`, `Scout`, and `HeadScout`, and both make `HeadScout` a subtype of `Scout` (`Employee &lt;|-- HeadCoach/Director/Scout`, `Scout &lt;|-- HeadScout` in Model 1; same inheritance in Model 2).
2. Target profile and player-attribute modeling: Model 1 = 5, Model 2 = 4; Evidence: Model 1 models `TargetProfile`, `TargetPosition(code, name)`, and `ProfileAttribute(name, value)` with `TargetProfile -- TargetPosition` and `TargetProfile -- ProfileAttribute`; Model 2 uses `TargetProfile(targetPositions: List&lt;Position&gt;)` and `Attribute(name, value)`, which covers the requirement but hardcodes a closed `Position` enum instead of keeping target positions as a flexible concept.
3. Long list and assignment/report workflow: Model 1 = 5, Model 2 = 3; Evidence: Model 1 explicitly has `LongListEntry` created by `Scout`, linked to `Player` and `TargetProfile`, plus `ScoutingAssignment` created by `HeadScout`, assigned to `Scout` and `Player`, and `ScoutingReport` submitted by `Scout` to complete the assignment; Model 2 also has `LongListEntry`, `ScoutingAssignment`, and `ScoutingReport`, but routes them through an added `ScoutingRecord` hub (`ScoutingRecord --&gt; "*" LongListEntry`, `ScoutingRecord --&gt; "*" ScoutingAssignment`) that is not part of the requirement.
4. Short-list decision, repeated scouting, and official offer: Model 1 = 4, Model 2 = 2; Evidence: Model 1 explicitly has `ShortListEntry` approved by both `HeadCoach` and `HeadScout`, linked to `Player` and `TargetProfile`, and `Director` makes `ContractOffer` for a `Player`; Model 2 replaces the short list with `ScoutingState`/`ScoutingRecord` (`SHORT_LIST`, `RECOMMENDED`, `OFFER_MADE`) and `Offer`, but does not model the short-list decision as a distinct class/relationship the way the requirement describes.
5. Semantic precision and hallucination control: Model 1 = 5, Model 2 = 2; Evidence: Model 1 stays close to the requirement vocabulary with `TargetProfile`, `LongListEntry`, `ScoutingAssignment`, `ScoutingReport`, `ShortListEntry`, and `ContractOffer`; Model 2 adds several unrequired concepts and attributes such as `ScoutingRecord`, `ScoutingState`, `submissionDate`, `description`, and `status`, which makes it less strictly aligned to the stated requirement.
Total: Model 1 = 24, Model 2 = 16
Choice: A
Reason:
1. Employee roles and actor coverage: both models satisfy the employee hierarchy, so this criterion is a tie.
2. Target profile and player-attribute modeling: Model 1 is closer because it keeps target positions and player attributes as separate concepts; Model 2’s `Position` enum is a stronger assumption than the requirement requires.
3. Long list and assignment/report workflow: Model 1 directly expresses the required chain from long-listing to scouting assignments to reports, while Model 2 inserts `ScoutingRecord`, which is extra structure not stated in the requirement.
4. Short-list decision, repeated scouting, and offer: Model 1 explicitly models the short list and the director’s offer; Model 2 collapses the short-list step into state tracking and weakens the direct match to the requirement.
5. Rejected or checked issues: I did not use association directionality differences, opposite unidirectional associations, or primitive type spellings (`int`, `double`, `UUID`) as negative evidence, per the instructions.
6. Overall judgment: Model 1 is better because it maps the requested scouting workflow more directly and with fewer unsupported additions, while Model 2 introduces extra control/state objects that reduce fidelity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</si>
  <si>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</si>
  <si>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narrowly separated with `TargetProfile`, `LongListEntry`, `ShortListEntry`, `ScoutingAssignment`, `ScoutingReport`, and `ContractOffer`, each tied to a specific part of the scouting flow. Model 2 introduces `ScoutingRecord` as a central hub linked to `LongListEntry`, `ScoutingAssignment`, `Player`, `TargetProfile`, `Offer`, `HeadCoach`, and `HeadScout`, which concentrates multiple concerns into one class and increases coupling.
2. Complexity: Model 1 = 4, Model 2 = 3; Evidence: Model 1 has slightly more classes, but they are mostly domain-specific and single-purpose, including explicit `TargetPosition` and `ProfileAttribute` classes. Model 2 has one fewer class, but it adds `ScoutingRecord` and `ScoutingState`, and folds workflow logic into a central object, so the overall conceptual load is not clearly lower despite the smaller class count.
3. Practicability: Model 1 = 4, Model 2 = 3; Evidence: Model 1 maps the requirement directly into readable artifacts like `LongListEntry`, `ShortListEntry`, `ScoutingAssignment`, `ScoutingReport`, and `ContractOffer`, which is straightforward to test and maintain. Model 2 is still understandable, but `ScoutingRecord` plus `Offer ... basedOn ScoutingRecord` is a less direct fit to the scouting narrative, and the fixed `Position` enum is less flexible than a reusable target-position class.
Total: Model 1 = 12, Model 2 = 8
Choice: A
Reason:
1. Cohesion and Decoupling: Model 1 is more modular because it uses distinct classes for profile, long-list entry, shortlist entry, assignment, report, and offer. Model 2 pushes many of those concerns into `ScoutingRecord`, which acts as a coupling hub.
2. Complexity: Model 1’s extra classes are conceptually justified by the requirement, while Model 2 adds a workflow aggregate and state enum that increase conceptual density without clearly improving fidelity enough to offset it.
3. Rejected or checked issues: I did not penalize either model for association direction, duplicate opposite-direction links, primitive type naming, or whether a superclass is marked abstract, because those are forbidden factors under the rubric.
4. Overall judgment: Model 1 is the better balance of clear domain decomposition, manageable complexity, and practical testability.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</si>
  <si>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</si>
  <si>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includes the core domain classes `TargetProfile`, `TargetPosition`, `ProfileAttribute`, `LongListEntry`, `ShortListEntry`, `ScoutingAssignment`, `ScoutingReport`, and `ContractOffer`, which map directly to the requirement. Model 2 covers the main roles and artifacts too, but replaces the short-list structure with `ScoutingRecord` and adds state-oriented classes like `ScoutingState`, which are more indirect than the requirement wording.
2. Associations/Multiplicities between classes for domain reasoning: Model 1 = 4, Model 2 = 3; Evidence: Model 1 directly links `HeadCoach` to `TargetProfile`, `Scout` to `LongListEntry` and `ScoutingReport`, `HeadScout` to `ScoutingAssignment`, and `Director` to `ContractOffer`, with multiplicities that mostly fit the narrative. Model 2 has more convoluted links through `ScoutingRecord` (`HeadCoach --&gt; "*" ScoutingRecord`, `HeadScout --&gt; "*" ScoutingRecord`, `ScoutingRecord --&gt; "*" ScoutingAssignment`, `Offer --&gt; "1" ScoutingRecord`) and does not represent the short-list flow as directly.
3. Model attributes with appropriate data types: Model 1 = 5, Model 2 = 4; Evidence: Model 1 uses clear types such as `UUID`, `String`, `Date`, `Decimal`, and `AssignmentStatus`, with `ScoutingReport` carrying `pros`, `cons`, and `recommendation`. Model 2 also uses usable types like `int`, `String`, `Date`, and `double`, but some structure is pushed into generic fields such as `ScoutingRecord.currentState` and `Offer.status`, making the attribute model less faithful.
4. Consistencies of Terminology with given context: Model 1 = 5, Model 2 = 3; Evidence: Model 1 uses the requirement’s vocabulary almost verbatim, including `HeadCoach`, `HeadScout`, `TargetProfile`, `LongListEntry`, `ShortListEntry`, `ScoutingAssignment`, `ScoutingReport`, and `Director`. Model 2 is directionally correct but uses shortened or shifted terms like `FIRST_TEAM`, `RESERVE_TEAM`, `NOT_GOOD_SIGNING`, `Offer`, and `ScoutingRecord`, which are less consistent with the prompt’s wording.
5. Adherence of UML class diagram standards: Model 1 = 5, Model 2 = 5; Evidence: Both models are syntactically valid PlantUML class diagrams, use standard class/enumeration declarations, and express associations/inheritance in a readable UML form. Model 2’s extra opposite association for `ScoutingAssignment` and `ScoutingReport` is still semantically valid, so it does not violate UML standards.
Total: Model 1 = 24, Model 2 = 19
Choice: A
Reason:
1. Appropriate conceptual classes aligned with the domain: Model 1 stays closer to the actual business objects in the requirement, especially the explicit `ShortListEntry` and direct scouting/offer classes. Model 2 introduces more abstract state machinery (`ScoutingRecord`, `ScoutingState`) that is not required and obscures the domain flow.
2. Associations/Multiplicities between classes for domain reasoning: Model 1 expresses the scouting workflow more directly from profile to long list, assignment, report, short list, and offer. Model 2 routes several relationships through `ScoutingRecord`, which weakens the clarity of the domain reasoning.
3. Model attributes with appropriate data types: Model 1’s attribute choices are cleaner and more domain-shaped, especially `ScoutingReport.recommendation` and `ContractOffer.amount/date`. Model 2 is acceptable, but some key structure is encoded as broad state fields rather than explicit domain structure.
4. Consistencies of Terminology with given context: Model 1 tracks the prompt’s wording more closely. Model 2’s naming is understandable, but terms like `FIRST_TEAM`, `RESERVE_TEAM`, and `Offer` are less faithful than `FIRST_TEAM_PLAYER`, `RESERVE_TEAM_PLAYER`, and `ContractOffer`.
5. Rejected or checked issues: I did not penalize either model for association arrow direction, use of common primitive aliases, or the extra opposite association line in Model 2, since those are semantically acceptable under the rules.
6. Overall judgment: Model 1 is the better UML domain model because it captures the scouting process with fewer invented abstractions and better terminology alignment, while Model 2 is more state-heavy and less directly tied to the requirement.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</si>
  <si>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</si>
  <si>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Required actors and employment hierarchy: Model 1 = 3, Model 2 = 4; Evidence: Model 1 has `Team`, `Employee`, `HeadCoach`, `Director`, `Scout`, and `HeadScout`, with `Team --&gt; "*" Employee : employs` and role inheritance lines from `Employee`; Model 2 has `Employee`, `HeadCoach`, `Director`, `Scout`, and `HeadScout` with clean subclassing (`Employee &lt;|-- HeadCoach`, `Employee &lt;|-- Director`, `Employee &lt;|-- Scout`, `Scout &lt;|-- HeadScout`) and no extra team-level structure.
2. Player profile and target-attribute modeling: Model 1 = 4, Model 2 = 5; Evidence: Model 1 uses `PlayerProfile` with `targetPosition : String` and `playerAttributes : List&lt;Attribute&gt;`, plus `Attribute(name, value)`; Model 2 uses `TargetProfile` with `targetPositions : List&lt;Position&gt;` and an explicit `Position` enum (`GK`, `LB`, etc.), plus `Attribute(name, value)`, which matches the requirement’s designated positions more directly.
3. Long list, matching, and assignment setup: Model 1 = 2, Model 2 = 4; Evidence: Model 1 only implies a long list through `Scout --&gt; "*" Player : notes` and ties `ScoutingAssignment` to `PlayerProfile` via `ScoutingAssignment --&gt; "*" PlayerProfile : investigates`, with `shortList : List&lt;Player&gt;` inside the assignment; Model 2 makes the long list explicit with `LongListEntry`, `Scout --&gt; "*" LongListEntry : logs`, `LongListEntry --&gt; "1" Player`, `LongListEntry --&gt; "1" TargetProfile`, and `ScoutingAssignment --&gt; "1" Player` / `--&gt; "1" Scout`, which is closer to the described workflow.
4. Scouting report content and recommendation: Model 1 = 4, Model 2 = 5; Evidence: Model 1’s `ScoutingReport` contains `pros`, `cons`, `recommendation`, `decision`, and `relatedAssignment`, and `Scout --&gt; "*" ScoutingReport : submits`; Model 2’s `ScoutingReport` uses the typed `Recommendation` enum (`KEY_PLAYER`, `FIRST_TEAM`, `RESERVE_TEAM`, `PROSPECTIVE`, `NOT_GOOD_SIGNING`) with `pros`, `cons`, and `submissionDate`, which maps more cleanly to the required recommendation set.
5. Short list, repeated scouting, and final offer: Model 1 = 2, Model 2 = 4; Evidence: Model 1 has `ScoutingAssignment.shortList : List&lt;Player&gt;`, `HeadCoach --&gt; "*" PlayerProfile : decides`, `HeadScout --&gt; "*" PlayerProfile : recommends`, and `Director --&gt; "*" Player : makesOffer`, but the shortlist and repeated rounds are not modeled as a clear process; Model 2 introduces `ScoutingState` with `LONG_LIST`, `UNDER_INVESTIGATION`, `SHORT_LIST`, `RECOMMENDED`, `OFFER_MADE`, plus `Director --&gt; "*" Offer : makes` and `Offer --&gt; "1" Player`, which better captures the staged progression even though the shortlist decision is still somewhat indirect.
6. Class naming, relationship specificity, and cardinalities: Model 1 = 3, Model 2 = 4; Evidence: Model 1 uses understandable names like `PlayerProfile`, `ScoutingAssignment`, and `ScoutingReport`, but several links stay broad (`ScoutingAssignment --&gt; "*" PlayerProfile`, `Director --&gt; "*" Player`); Model 2 uses transparent refinements such as `TargetProfile`, `LongListEntry`, `ScoutingRecord`, and `Offer`, plus more specific links like `LongListEntry --&gt; "1" Player`, `ScoutingAssignment --&gt; "1" Scout`, and `TargetProfile *-- "*" Attribute`.
Total: Model 1 = 18, Model 2 = 26
Choice: B
Reason:
1. Actors and roles: Model 2 models the club employee hierarchy more cleanly with `Employee` as the superclass of `HeadCoach`, `Director`, `Scout`, and `HeadScout`, while Model 1 adds a `Team` layer and its role inheritance is less clear.
2. Profile and attribute design: Model 2 is stronger because `TargetProfile` plus the `Position` enum captures designated target positions more faithfully than Model 1’s plain `String targetPosition`.
3. Workflow coverage: Model 2 explicitly represents the long list, assignment setup, and final offer path with `LongListEntry`, `ScoutingRecord`, `ScoutingAssignment`, and `Offer`; Model 1 has some of these ideas, but they are more implicit and less precise.
4. Rejected or checked issues: I did not penalize Model 2 for extra refinement classes or mirrored association links by themselves; those were not the deciding factor. The gap comes from Model 2 covering more of the required scouting lifecycle with better-matched classes and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</si>
  <si>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</si>
  <si>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`PlayerProfile`, `Attribute`, `ScoutingAssignment`, and `ScoutingReport`, but it also mixes concerns in `ScoutingReport` (`pros`, `cons`, `recommendation`, `decision`, `relatedAssignment`) and duplicates role concepts with `Employee` plus `HeadCoach`, `Director`, `Scout`, `HeadScout`. Model 2 keeps the roles under `Employee &lt;|-- HeadCoach/Director/Scout/HeadScout`, isolates the profile concept in `TargetProfile` plus `Attribute`, and splits workflow concerns into `LongListEntry`, `ScoutingAssignment`, `ScoutingReport`, and `Offer`; `ScoutingRecord` is a broader hub, but the overall separation is clearer.
2. Complexity: Model 1 = 3, Model 2 = 4; Evidence: Model 1 is smaller, with classes like `Team`, `Employee`, `Player`, `PlayerProfile`, `ScoutingAssignment`, and `ScoutingReport`, but it flattens some workflow concepts into fields such as `Player.playerStatus`, `ScoutingAssignment.shortList : List&lt;Player&gt;`, and `ScoutingReport.decision`. Model 2 has more explicit domain structure with `Position`, `Recommendation`, `ScoutingState`, `TargetProfile`, `LongListEntry`, `ScoutingRecord`, `ScoutingAssignment`, `ScoutingReport`, and `Offer`; that is more complex, but the added complexity matches the multi-stage scouting process in the requirement.
3. Practicability: Model 1 = 2, Model 2 = 4; Evidence: Model 1 is readable at a glance, but it does not model key requirements cleanly, such as the long list, the short-list evaluation path, repeated scouting rounds, or the final offer workflow; its `PlayerProfile`/`ScoutingReport` fields are also somewhat vague. Model 2 gives more practical testable units: `LongListEntry` for long-list notes, `ScoutingAssignment` for investigation work, `ScoutingReport` for results, `ScoutingRecord` for state tracking, and `Offer` for the director’s action, which makes the design more modular and easier to exercise in unit tests.
Total: Model 1 = 8, Model 2 = 12
Choice: B
Reason:
1. Cohesion and Decoupling: Model 2 separates the scouting pipeline into clearer concepts (`LongListEntry`, `ScoutingAssignment`, `ScoutingReport`, `Offer`) and keeps profiles in `TargetProfile` with `Attribute`, while Model 1 mixes report content and decision state in `ScoutingReport` and duplicates role semantics across `Employee` and role subclasses.
2. Complexity: Model 2 uses more classes and enums, but that added structure fits the requirement’s multi-step workflow better than Model 1’s flatter model, which compresses important process states into generic fields.
3. Practicability: Model 2 is more usable for implementation and testing because each major business step has its own class; Model 1 is shorter, but it leaves too much behavior implicit and under-models the long-list to short-list progression.
4. Rejected or checked issues: I did not use the bidirectional association style in Model 2 (`ScoutingAssignment` and `ScoutingReport` linking each other) against it, because opposite-direction associations are semantically equivalent under the rules. I also ignored primitive type spelling and multiplicity syntax differences.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</si>
  <si>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</si>
  <si>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core entities like `HeadCoach`, `HeadScout`, `Scout`, `PlayerProfile`, `ScoutingAssignment`, `ScoutingReport`, `Director`, and `Attribute`, but it omits explicit `LongListEntry` and `Offer` while adding some less grounded extras like `Team` and `playerStatus` on `Player`. Model 2 covers `Employee` roles, `TargetProfile`, `LongListEntry`, `ScoutingAssignment`, `ScoutingReport`, `ScoutingRecord`, `Offer`, `Recommendation`, and `Position`, which maps more completely to the described scouting workflow.
2. Associations/Multiplicities between classes for domain reasoning: Model 1 = 2, Model 2 = 4; Evidence: Model 1 has some relevant links such as `Scout --&gt; "*" Player`, `HeadCoach --&gt; "*" PlayerProfile`, and `Director --&gt; "*" Player`, but it misses the long-list/short-list flow and contains weak or odd links like `ScoutingReport --&gt; "1" relatedAssignment`. Model 2 models the process more explicitly with `Scout --&gt; "*" LongListEntry`, `LongListEntry --&gt; "1" Player`, `ScoutingAssignment --&gt; "1" Player`, `ScoutingAssignment --&gt; "1" ScoutingReport`, and `Director --&gt; "*" Offer --&gt; "1" Player`, though `ScoutingRecord` is an intermediate abstraction.
3. Model attributes with appropriate data types: Model 1 = 3, Model 2 = 4; Evidence: Model 1 has some reasonable typing such as `playerAttributes: List&lt;Attribute&gt;` and `pros: List&lt;String&gt;`, `cons: List&lt;String&gt;`, but also places `targetPosition: String` on `Player` and uses `recommendation: String` on `ScoutingReport`. Model 2 uses stronger domain typing with `TargetProfile.targetPositions: List&lt;Position&gt;`, `ScoutingReport.recommendation: Recommendation`, `ScoutingRecord.currentState: ScoutingState`, and `Offer.amount: double`, though `pros` and `cons` are still plain strings.
4. Consistencies of Terminology with given context: Model 1 = 3, Model 2 = 5; Evidence: Model 1 uses the main terms `PlayerProfile`, `ScoutingAssignment`, `ScoutingReport`, `HeadCoach`, and `HeadScout`, but it also introduces less context-anchored terminology like `playerStatus`, `decision`, `relatedAssignment`, and `Team`. Model 2 stays closely aligned with the requirement through `TargetProfile`, `LongListEntry`, `ScoutingAssignment`, `ScoutingReport`, `ScoutingState` values like `LONG_LIST` and `SHORT_LIST`, `Recommendation`, and `Offer`.
5. Adherence of UML class diagram standards: Model 1 = 3, Model 2 = 5; Evidence: Model 1 is mostly readable but includes a problematic association target in `ScoutingReport --&gt; "1" relatedAssignment` and uses less standard inheritance notation compared with Model 2. Model 2 uses standard UML/PlantUML constructs cleanly, including `Employee &lt;|-- HeadCoach`, `TargetProfile *-- "*" Attribute`, `Scout &lt;|-- HeadScout`, and clear enum/class declarations.
Total: Model 1 = 15, Model 2 = 23
Choice: B
Reason:
1. Appropriate conceptual classes aligned with the domain: Model 2 covers the required scouting lifecycle more completely, especially the long list, scouting record, and offer concepts, while Model 1 leaves those implicit or missing.
2. Associations/multiplicities: Model 2 expresses the workflow more faithfully with explicit `LongListEntry`, `ScoutingAssignment`, `ScoutingReport`, and `Offer` links; Model 1 has several relevant associations, but the chain from long list to short list to offer is much weaker.
3. Rejected or checked issues: I did not penalize either model for opposite-direction association arrows or lowercase primitive aliases, since those are semantically equivalent under the rules. I also treated `ScoutingRecord` and `TargetProfile` in Model 2 as acceptable transparent refinements rather than extra credit for unrelated complexity.
4. Overall judgment: Model 2 is the stronger UML design because it matches the domain vocabulary and process structure more closely, with better typed attributes and more coherent diagram semantics.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</si>
  <si>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</si>
  <si>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adherence and hallucination control: Model 1 = 2, Model 2 = 3; Evidence: Model 1 adds `Team`, `Employee.role`, `Player.targetPosition`, `Player.playerStatus`, and `ScoutingReport.decision`, while it does not explicitly model the long-list/short-list workflow. Model 2 also adds extra fields such as `Player.currentClub`, `ScoutingAssignment.deadline`, and `ContractOffer.amount`, but it directly introduces the core requirement concepts `TargetProfile`, `LongListEntry`, `ShortListEntry`, `ScoutingAssignment`, `ScoutingReport`, and `ContractOffer`.
2. Core domain concept coverage: Model 1 = 2, Model 2 = 4; Evidence: Model 1 has `PlayerProfile`, `Attribute`, `ScoutingAssignment`, and `ScoutingReport`, but the long list, short list, scout assignment setup, and official offer workflow are only loosely represented through `ScoutingAssignment.shortList : List&lt;Player&gt;` and `Director --&gt; "*" Player : makesOffer`. Model 2 explicitly models `TargetProfile`, `TargetPosition`, `ProfileAttribute`, `LongListEntry`, `ShortListEntry`, `ScoutingAssignment`, `ScoutingReport`, and `ContractOffer`, which maps much more directly to the requirement.
3. Associations, cardinalities, and relationship semantics: Model 1 = 2, Model 2 = 4; Evidence: Model 1 uses broad links such as `Scout --&gt; "*" Player : notes`, `HeadCoach --&gt; "*" PlayerProfile : decides`, and `ScoutingReport --&gt; "1" relatedAssignment`, but it does not cleanly express the assignment-to-scout-to-player flow or the two-stage list process. Model 2 gives explicit multiplicities for the workflow, such as `HeadScout "1" -- "0..*" ScoutingAssignment : creates &gt;`, `ScoutingAssignment "0..*" -- "1" Scout : assigned to &gt;`, `ScoutingAssignment "0..*" -- "1" Player : investigates &gt;`, and both `HeadCoach` and `HeadScout` approving `ShortListEntry`, which is much closer to the described process.
4. Naming clarity and fit of optional attributes: Model 1 = 3, Model 2 = 4; Evidence: Model 1 uses recognizable names like `PlayerProfile`, `ScoutingAssignment`, and `ScoutingReport`, but `Player` also carries `targetPosition` and `playerStatus`, which blurs conceptual boundaries. Model 2 uses more precise names that mirror the requirement, such as `TargetProfile`, `TargetPosition`, `ProfileAttribute`, `LongListEntry`, and `ShortListEntry`, and its added attributes are mostly straightforward identifiers or status fields rather than semantic drift.
Total: Model 1 = 9, Model 2 = 15
Choice: B
Reason:
1. Requirement adherence and hallucination control: Model 2 is still not minimal, but it preserves the main workflow better than Model 1; Model 1 introduces several fields and relations that do not help the requirement, while also failing to model the long-list/short-list structure explicitly.
2. Core domain concept coverage: Model 2 directly represents the key requirement nouns and workflow steps, especially `LongListEntry`, `ShortListEntry`, `ScoutingAssignment`, `ScoutingReport`, and `ContractOffer`; Model 1 only approximates these with broader or weaker constructs.
3. Associations, cardinalities, and relationship semantics: Model 2 expresses the required progression from profile to long list to assignment to report to shortlist to offer with explicit multiplicities, while Model 1 leaves several of those steps implicit or collapsed into generic associations.
4. Rejected or checked issues: I did not penalize either model for opposite-direction association arrows, lowercase primitive aliases, or `*` versus `0..*`, since those are semantically equivalent under the instructions. I also did not use layout or presentation differences.
5. Overall judgment: Model 2 is the better UML fit because it captures the essential scouting pipeline and class relationships more faithfully, even though it still includes some extra implementation-like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</si>
  <si>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</si>
  <si>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concerns in `Player` (`targetPosition`, `playerStatus`) and `ScoutingReport` (`decision`, `relatedAssignment`, `reportsOn PlayerProfile`), and it repeats the role concept across `Employee`, `Scout`, `Director`, `HeadCoach`, and `HeadScout` with duplicated `name` fields. Its role hierarchy is also hard to read semantically because `Employee --|&gt; HeadCoach`, `Employee --|&gt; Director`, etc. Model 2 separates the workflow more cleanly with `TargetProfile`, `TargetPosition`, `ProfileAttribute`, `LongListEntry`, `ShortListEntry`, `ScoutingAssignment`, `ScoutingReport`, and `ContractOffer`, while `Employee` is specialized into `HeadCoach`, `Director`, `Scout`, and `HeadScout` in a clearer subtype structure.
2. Complexity: Model 1 = 3, Model 2 = 4; Evidence: Model 1 is smaller, with 11 classes and no methods, but it compresses several domain concepts into broad classes such as `PlayerProfile` with a string `targetPosition` and `ScoutingReport` with free-form `recommendation` and `decision`. Model 2 has more modeled elements, including explicit `TargetPosition`, `ProfileAttribute`, `LongListEntry`, `ShortListEntry`, `ScoutingAssignment`, `ScoutingReport`, `ContractOffer`, plus `Recommendation` and `AssignmentStatus` enums, but these refinements are mostly justified by the scouting workflow and make the design more balanced rather than needlessly abstract.
3. Practicability: Model 1 = 2, Model 2 = 4; Evidence: Model 1 is harder to implement and test cleanly because `ScoutingReport` is attached to `PlayerProfile` instead of directly to `Player`, `recommendation` is just a `String`, and `Player` carries mixed operational and scouting data. The role inheritance is also semantically unclear. Model 2 is more practical because it uses explicit enums for `Recommendation` and `AssignmentStatus`, models a direct `ScoutingReport` to `ScoutingAssignment` completion link, introduces `ContractOffer`, and makes the long-list to short-list to offer progression explicit, which supports modular implementation and stepwise testing.
Total: Model 1 = 7, Model 2 = 12
Choice: B
Reason:
1. Cohesion and Decoupling: Model 2 keeps the scouting workflow in separate, purpose-specific classes, while Model 1 mixes player, profile, report, and status concerns more heavily.
2. Complexity: Model 2 has more classes, but they are mostly meaningful domain refinements required by the requirement; Model 1 is simpler mainly because it under-models several key concepts.
3. Practicability: Model 2 is easier to understand, implement, and test because it makes the process explicit from target profile to long list, assignment, report, short list, and contract offer.
4. Rejected or checked issues: I did not use association arrow direction style or `*` vs `0..*` multiplicity spelling as negative evidence, per the forbidden-penalty rules.
5. Overall judgment: Model 2 is the better domain model and the more practical design for the stated scouting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</si>
  <si>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</si>
  <si>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identifies several core concepts correctly, such as `PlayerProfile`, `Attribute`, `ScoutingAssignment`, `ScoutingReport`, `HeadCoach`, `HeadScout`, and `Director`, but it also blurs the domain with `Team`, puts `targetPosition` and `playerStatus` on `Player`, and omits explicit long-list/short-list and offer concepts. Model 2 maps the domain more cleanly with `TargetProfile`, `TargetPosition`, `ProfileAttribute`, `LongListEntry`, `ShortListEntry`, `ScoutingAssignment`, `ScoutingReport`, `ContractOffer`, and the employee roles.
2. Associations/Multiplicities between classes for domain reasoning: Model 1 = 2, Model 2 = 4; Evidence: Model 1 has some relevant links like `Scout --&gt; "*" Player : notes`, `HeadCoach --&gt; "*" PlayerProfile : identifies`, and `Director --&gt; "*" Player : makesOffer`, but key workflow relationships are misplaced or missing, such as `ScoutingAssignment --&gt; "*" PlayerProfile : investigates` instead of tying assignments to a specific player, and the report linkage is muddled by `ScoutingReport --&gt; "1" relatedAssignment : linkedAssignment`. Model 2 captures the process more explicitly, with `Scout "1" -- "0..*" LongListEntry`, `LongListEntry -- "1" Player`, `LongListEntry -- "1" TargetProfile`, `HeadScout "1" -- "0..*" ScoutingAssignment`, `ScoutingAssignment -- "1" Scout`, `ScoutingAssignment -- "1" Player`, `Scout -- "0..*" ScoutingReport`, `ScoutingReport -- "1" ScoutingAssignment`, `HeadCoach` and `HeadScout` approving `ShortListEntry`, and `Director` making `ContractOffer`.
3. Model attributes with appropriate data types: Model 1 = 3, Model 2 = 4; Evidence: Model 1 includes reasonable attributes like `Attribute.name/value`, `PlayerProfile.targetPosition`, and `ScoutingReport.pros/cons/recommendation`, but it also mixes in less precise fields such as `ScoutingAssignment.shortList : List&lt;Player&gt;`, `scoutingResults : List&lt;String&gt;`, and `decision : String`. Model 2 uses more explicit typed structures, including `ProfileAttribute.name/value`, `ScoutingAssignment.status : AssignmentStatus`, `ScoutingReport.recommendation : Recommendation`, and identifiers such as `UUID`, though `pros : String` and `cons : String` are somewhat less structured than the plural concept suggests.
4. Consistencies of Terminology with given context: Model 1 = 3, Model 2 = 5; Evidence: Model 1 uses many correct terms, like `PlayerProfile`, `ScoutingAssignment`, and `ScoutingReport`, but the terminology drifts in places with `playerStatus`, `scoutingResults`, and the absence of an explicit offer concept even though the requirement says the director makes an official offer. Model 2 stays very close to the requirement language with `TargetProfile`, `TargetPosition`, `LongListEntry`, `ShortListEntry`, `ScoutingAssignment`, `ScoutingReport`, `Recommendation`, and `ContractOffer`, which directly reflect the scouting workflow described.
5. Adherence of UML class diagram standards: Model 1 = 2, Model 2 = 5; Evidence: Model 1 has clear UML/convention problems, especially the reversed generalization arrows such as `Employee --|&gt; HeadCoach`, `Employee --|&gt; Director`, and `Employee --|&gt; Scout`, plus the malformed association `ScoutingReport --&gt; "1" relatedAssignment : linkedAssignment`, where `relatedAssignment` is not a class even though it is already modeled as an attribute. Model 2 follows standard UML/PlantUML notation cleanly, with correct inheritance arrows like `Employee &lt;|-- HeadCoach`, `Scout &lt;|-- HeadScout`, enums for controlled values, and associations expressed in a standard readable form.
Total: Model 1 = 13, Model 2 = 23
Choice: B
Reason:
1. Appropriate conceptual classes aligned with the domain: Model 2 covers the scouting lifecycle more completely, especially the long list, short list, target profile, and offer concepts, while Model 1 mixes roles and entities more loosely.
2. Associations/Multiplicities between classes for domain reasoning: Model 2 connects the head coach, head scout, scout, player, assignment, report, shortlist, and offer in a coherent workflow, whereas Model 1 attaches several relations to the wrong abstraction level, especially `ScoutingAssignment` and `ScoutingReport`.
3. Rejected or checked issues: I did not penalize either model for using opposite-direction association syntax or for common primitive aliases, since those are semantically equivalent under the scoring rules.
4. Overall judgment: Model 2 is materially stronger across domain modeling, relationship structure, terminology, and UML correctness, so it is the better response by a wide margin.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</si>
  <si>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</si>
  <si>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</si>
  <si>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</si>
  <si>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flight lifecycle and aircraft status: Model 1 = 5, Model 2 = 4; Evidence: Model 1 has `FlightInstance` with `flightNumber`, `airlineCode`, `departureCity`, `scheduledTime` plus a separate `AircraftStatus` with `registrationNumber`, `operationalState`, `systemHealthScore`, linked by `FlightInstance --&gt; "1" AircraftStatus`. Model 2 also links `FlightInstance --&gt; "1" AircraftStatus`, but it additionally stores `operationalStatus: String` directly on `FlightInstance`, which weakens the requirement that current status is derived from the associated aircraft status record.
2. Crew, passenger manifest, event logs, and flight logs: Model 1 = 5, Model 2 = 4; Evidence: Model 1 includes `CrewMember` with `verifyCertification`, `maintainFlightLog`, `accessTerminal(terminal: AirportTerminal)`, and `reportMaintenanceIssue`, plus `FlightInstance --&gt; "1..*" CrewMember`, `FlightInstance --&gt; "0..*" EventLog`, `FlightInstance --&gt; "0..*" FlightLog`, and `CrewMember --&gt; "0..*" FlightLog` / `AirportTerminal` / `MaintenanceRecord`. Model 2 covers the same broad area with `CrewMember` methods and links to `FlightLog`, `EventLog`, and `PassengerManifest`, but `accessTerminal()` is not tied to a terminal parameter and the crew-to-maintenance/terminal semantics are less explicit.
3. Flight planning, route segments, weather, and navigation aids: Model 1 = 5, Model 2 = 4; Evidence: Model 1 models `FlightPlan` with `altitudeLevel`, `clearanceLevel`, `computeAltitudeAdjustment(emergencyStatus)`, and `verifyClearanceValidity()`, then composes `RouteSegment` via `FlightPlan *-- "1..*" RouteSegment`; `RouteSegment --&gt; "2" Waypoint`; `Waypoint --&gt; "0..*" NavigationAid`; and both plan and segment are influenced by `WeatherReport`. Model 2 includes `FlightPlan`, `RouteSegment` with `startWaypoint` and `endWaypoint`, `WeatherReport`, and `NavigationAid`, but `altitudeLevels: String` and `Waypoint.geographicCoordinates: String` are less faithful to the requirement’s explicit altitude and coordinate semantics.
4. Airspace, runways, and departure infrastructure: Model 1 = 5, Model 2 = 4; Evidence: Model 1 has `AirspaceSector` with `altitudeFloor` and `altitudeCeiling`, a separate `SubSector` class via composition, plus associations to `Runway` and `NavigationAid`; `Runway` includes identifier, dimensions, surface type, and allocation behavior; and `AirportTerminal --&gt; "0..*" Runway`. Model 2 also covers sectors, runways, terminals, and control towers, but it uses `AirspaceSector "1" --&gt; "0..*" AirspaceSector` instead of an explicit sub-sector concept and its runway/terminal access is modeled more loosely.
5. Air traffic control, monitoring, communication, and maintenance history: Model 1 = 5, Model 2 = 4; Evidence: Model 1’s `AirTrafficController` has availability, clearance authorization, and clearance-message generation; `ControllerDashboard` has display mode, refresh, alerts, and links to radar and flight instances; `ControlTower --&gt; "1..*" CommunicationChannel`; and `MaintenanceRecord` is tied to both `AircraftStatus` and `Runway`, while `FlightLog` is tied to both `FlightInstance` and `CrewMember`. Model 2 includes `AirTrafficController`, `SystemDashboard`, `RadarSystem`, `CommunicationChannel`, and `MaintenanceRecord`, but the dashboard/radar relationships are flatter and the historical logging model is less detailed.
Total: Model 1 = 25, Model 2 = 20
Choice: A
Reason:
1. Core lifecycle fit: Model 1 keeps the aircraft status as a distinct associated record and does not introduce a separate independent flight status field; Model 2 adds `operationalStatus` directly on `FlightInstance`, which is less faithful to the “derived from aircraft status record” requirement.
2. Coverage depth: Model 1 expresses more of the required operational semantics explicitly, especially crew-to-terminal access, crew-maintained flight logs, flight-plan composition, exact-two-waypoint routing, and the sub-sector structure of airspace.
3. Rejected or checked issues: I did not use notation-only differences such as opposite association direction, `*` vs `0..*`, or primitive type spellings like `Date` vs `DateTime` / `String` vs lowercase variants, because those are not meaningful under the scoring rules.
4. Overall judgment: Both diagrams cover the main domain, but Model 1 is more semantically faithful and more explicit about the required relationships and lifecycle constraints, so it is the better match.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</si>
  <si>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</si>
  <si>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responsibilities separated with focused classes such as `FlightInstance`, `AircraftStatus`, `PassengerManifest`, `FlightPlan`, `RouteSegment`, `WeatherReport`, `MaintenanceRecord`, `ControllerDashboard`, and `RadarSystem`, and its methods are localized to the right owners (`CrewMember.verifyCertification()`, `Runway.allocate()`, `AirTrafficController.generateClearanceMessage()`). Model 2 collapses several concepts into generic fields and looser structures, such as `FlightInstance.operationalStatus: String`, `CrewMember.certificationStatus: String`, `CrewMember.role: String`, and `FlightPlan.altitudeLevels: String`, which weakens semantic separation; it also uses a broad `SystemDashboard` instead of a more specific controller dashboard concept.
2. Complexity: Model 1 = 4, Model 2 = 3; Evidence: Model 1 has more explicit domain classes and relationships, including `AircraftStatus`, `PassengerManifest`, `EventLog`, `FlightLog`, `SubSector`, `NavigationAid`, and `MaintenanceRecord`, but they are mostly single-purpose and align with the requirement’s distinct entities. Model 2 is structurally smaller, but it compresses multiple required concepts into plain attributes and generic names, for example `Waypoint.geographicCoordinates: String` instead of explicit waypoint structure and `AircraftStatus.operationalState: String` instead of a dedicated status concept, which makes the model simpler but less balanced for the domain.
3. Practicability: Model 1 = 5, Model 2 = 2; Evidence: Model 1 is more directly implementable and testable because it models the operational flow with explicit entities and interactions, such as `FlightPlan *-- RouteSegment`, `FlightInstance -&gt; AircraftStatus`, `Runway -&gt; ControlTower`, `ControlTower -&gt; CommunicationChannel`, and `ControllerDashboard -&gt; RadarSystem / FlightInstance`. Model 2 is harder to implement cleanly because several required behaviors and states are flattened into strings or vague operations, such as `FlightPlan.calculateAltitude()`, `CrewMember.accessTerminal()`, `Runway.surfaceType: String`, and `MaintenanceRecord.criticality: String`, which reduces clarity for unit testing and domain validation.
Total: Model 1 = 13, Model 2 = 7
Choice: A
Reason:
1. Cohesion and decoupling: Model 1 better isolates the main domain responsibilities into separate classes, while Model 2 relies more on generic strings and broader abstractions that blur boundaries.
2. Complexity: Model 1’s larger class set is justified by the number of distinct domain entities in the requirement; Model 2 is smaller, but it does so by flattening several concepts rather than modeling them explicitly.
3. Practicability: Model 1 is more practical for real implementation and testing because the relationships and behaviors map more directly to the requirement, especially for flight status, dashboard/radar integration, maintenance tracking, and flight-plan composition.
4. Rejected or checked issues: I did not penalize either model for association direction style or primitive-type spelling choices. I also did not use bidirectional-vs-unidirectional line style as evidence, since those are semantically equivalent under the rules.
5. Overall judgment: Model 1 is the stronger UML design because it is more faithful to the domain and more actionable for implementation, even though it is more detailed. Model 2 is more compact, but the simplifications reduce semantic precision and practical usefulness.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</si>
  <si>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</si>
  <si>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full domain set with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Model 2 also covers most core entities, but it is less direct in a few places, using `SystemDashboard` instead of a controller-specific dashboard and modeling subsectors only through `AirspaceSector "1" --&gt; "0..*" AirspaceSector` rather than an explicit subordinate class.
2. Associations/Multiplicities between classes for domain reasoning: Model 1 = 5, Model 2 = 4; Evidence: Model 1 captures the key constraints cleanly, such as `FlightPlan *-- "1..*" RouteSegment`, `RouteSegment --&gt; "2" Waypoint`, `Runway --&gt; "1" ControlTower`, and `FlightInstance --&gt; "1" AircraftStatus`. Model 2 also captures the main relationships, but several are broader or less precise, such as `FlightPlan "*" --&gt; "*" AirTrafficController`, `SystemDashboard "*" --&gt; "*" RadarSystem`, and `FlightInstance "*" --&gt; "*" CrewMember`, which weakens the domain reasoning a bit.
3. Model attributes with appropriate data types: Model 1 = 4, Model 2 = 3; Evidence: Model 1 uses mostly domain-appropriate types like `AircraftStatus.operationalState: OperationalState`, `CrewMember.certificationStatus: boolean`, `EventLog.severity: SeverityLevel`, `NavigationAid.frequency: double`, and `MaintenanceRecord.criticality: Criticality`, though it does not store an explicit `current operational status` attribute on `FlightInstance`. Model 2 keeps many attributes but types several key ones generically, for example `CrewMember.certificationStatus: String`, `CrewMember.role: String`, `EventLog.severityLevel: String`, `FlightPlan.altitudeLevels: String`, `Waypoint.geographicCoordinates: String`, `SystemDashboard.displayMode: String`, and `MaintenanceRecord.criticality: String`.
4. Consistencies of Terminology with given context: Model 1 = 5, Model 2 = 3; Evidence: Model 1 closely matches the prompt vocabulary with `PassengerManifest`, `WeatherConditionType`, `ClearanceLevel`, `AirTrafficController`, `CommunicationChannel`, `MaintenanceRecord`, and `FlightLog`. Model 2 remains recognizable but is more generic or inexact in places, such as `ConditionType` instead of the weather-condition terminology, `SystemDashboard` instead of a controller dashboard, `assignedClearanceLevel` and `clearanceType` rather than the prompt’s clearance-level phrasing, and `eventDetails` instead of event description.
5. Adherence of UML class diagram standards: Model 1 = 5, Model 2 = 5; Evidence: Both are valid PlantUML class diagrams with enums, classes, attributes, associations, and multiplicities, and neither has a syntax-breaking UML error. Model 1 additionally uses composition and explicit multiplicities cleanly (`FlightPlan *-- "1..*" RouteSegment`, `AirspaceSector *-- "0..*" SubSector`), while Model 2 also remains syntactically valid even with its self-association for subsectors.
Total: Model 1 = 24, Model 2 = 19
Choice: A
Reason:
1. Conceptual classes: Model 1 is more faithful because it preserves the domain structure with explicit classes such as `SubSector` and `ControllerDashboard`, while Model 2 generalizes some of those concepts into broader or self-associated forms.
2. Associations/multiplicities: Model 1 encodes the main lifecycle and infrastructure relationships more precisely, especially `RouteSegment --&gt; "2" Waypoint`, `FlightPlan *-- "1..*" RouteSegment`, and `Runway --&gt; "1" ControlTower`.
3. Attributes/types: Model 1 uses more domain-meaningful types and enums, while Model 2 repeatedly collapses structured fields into generic strings.
4. Rejected or checked issues: I did not score down either model for reverse association direction or opposite navigation lines, because those are semantically equivalent under the rules. I also ignored comments and layout.
5. Overall judgment: Model 1 is the better UML domain model because it is more specific, more strongly typed, and closer to the prompt’s terminology and lifecycle constraints, while Model 2 is still workable but materially looser in both attributes and relationship precision.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</si>
  <si>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</si>
  <si>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and attribute fidelity: Model 1 = 4, Model 2 = 2; Evidence: Model 1 explicitly models the main domain classes and key fields from the requirement, such as `FlightInstance(flightNumber, airlineCode, departureCity, scheduledTime)`, `AircraftStatus(registrationNumber, operationalState, systemHealthScore)`, `CrewMember(employeeId, name, certificationStatus, role)`, `FlightPlan(altitudeLevel, clearanceLevel)`, `Runway(identifier, length, width, surfaceType)`, and `CommunicationChannel(frequencyBand, encryptionStatus)`. Model 2 has many of the same classes, but weakens several required domain values by using generic strings, such as `FlightPlan.clearanceLevel: String`, `AircraftStatusRecord.operationalState: String`, and `EventLog.severityLevel: String`, and it omits the dedicated navigation-aid class in favor of putting `type`, `frequency`, and `locationCoordinates` directly on `Waypoint`.
2. Association and multiplicity coverage: Model 1 = 4, Model 2 = 2; Evidence: Model 1 covers most required links with explicit cardinalities, including `FlightInstance -&gt; AircraftStatus`, `FlightInstance -&gt; "1..*" CrewMember`, `FlightInstance -&gt; PassengerManifest`, `FlightInstance -&gt; EventLog`, `FlightInstance -&gt; AirportTerminal`, `FlightPlan *-- "1..*" RouteSegment`, `RouteSegment -&gt; "2" Waypoint`, `Waypoint -&gt; NavigationAid`, `AirspaceSector *-- SubSector`, `Runway -&gt; ControlTower`, `ControlTower -&gt; AirTrafficController`, `ControllerDashboard -&gt; RadarSystem`, and `FlightLog -&gt; FlightInstance` plus `FlightLog -&gt; CrewMember`. Model 2 includes some links, but several key requirement relations are missing or under-specified, such as no explicit `FlightInstance -&gt; AirportTerminal`, no `FlightPlan -&gt; FlightInstance`, no `RouteSegment -&gt; "2" Waypoint`, no `Waypoint -&gt; NavigationAid`, and no `FlightInstance -&gt; FlightLog`.
3. Relationship-type semantics: Model 1 = 4, Model 2 = 2; Evidence: Model 1 uses composition where the requirement suggests lifecycle containment, such as `FlightPlan *-- RouteSegment` and `AirspaceSector *-- SubSector`, while keeping other links as plain associations, for example `Runway -&gt; ControlTower` and `RadarSystem -&gt; AirspaceSector`. Model 2 uses composition broadly and often too aggressively, such as `FlightInstance *-- CrewMember`, `FlightInstance *-- PassengerManifest`, `FlightInstance *-- EventLog`, `AirTrafficController *-- Dashboard`, and `Dashboard *-- RadarSystem`, which makes several relationships read more like ownership than the requirement describes; it also models `FlightInstance *-- FlightPlan`, which weakens the requirement that the plan governs the flight instance.
4. Behavior and derived semantics: Model 1 = 4, Model 2 = 2; Evidence: Model 1 includes behavior aligned with the requirement, such as `CrewMember.verifyCertification()`, `CrewMember.maintainFlightLog()`, `CrewMember.accessTerminal(terminal)`, `CrewMember.reportMaintenanceIssue()`, `FlightPlan.computeAltitudeAdjustment(emergencyStatus)`, `FlightPlan.verifyClearanceValidity()`, `Runway.allocate(requestTime)`, `AirTrafficController.determineAvailability()`, `AirTrafficController.authorizeManeuver(clearanceLevel)`, `AirTrafficController.generateClearanceMessage(flightPlan)`, `ControllerDashboard.refreshData()`, and `RadarSystem.processScanData()`. Model 2 has related methods, but several are less faithful to the requirement, including `FlightPlan.calculateAltitude()` without an emergency-status input, `Runway.allocateRunway()` without request time, `AirTrafficController.generateClearanceMessages()` without a flight-plan parameter, and a `Dashboard` class that lacks the required display-mode behavior.
5. Hallucinations and contradiction risk: Model 1 = 4, Model 2 = 1; Evidence: Model 1 stays within the requested domain vocabulary and does not introduce undefined classes or obviously unrelated elements. Model 2 contains a clear hallucination-like association `FlightInstance -- RoomMaster` even though `RoomMaster` is never defined, and it also omits several required domain structures while substituting broader or weaker ones, such as storing flight status directly on `FlightInstance` as `operationalStatus: String` instead of deriving it from the associated aircraft status record.
Total: Model 1 = 20, Model 2 = 9
Choice: A
Reason:
1. Core entity and attribute fidelity: Model 1 preserves the requested classes and their recognizable attributes much more faithfully than Model 2, which replaces several constrained domain values with generic strings and collapses navigation-aid detail into `Waypoint`.
2. Association and multiplicity coverage: Model 1 explicitly models the key flight, crew, terminal, plan, route, airspace, tower, dashboard, radar, and maintenance links with usable multiplicities; Model 2 misses or weakens several of the most important required links, especially around flight plans, waypoints, navigation aids, terminals, and flight logs.
3. Relationship-type semantics: Model 1’s composition and association choices are mostly aligned with the lifecycle and ownership ideas in the requirement, while Model 2 overuses composition and flips some important meanings, especially around `FlightPlan` and `FlightInstance`.
4. Rejected or checked issues: I did not penalize Model 1 for using opposite-direction association lines or for its extra explanatory comments, since those are semantically equivalent for this task. I also did not penalize either model merely for primitive-type spelling differences.
5. Overall judgment: Model 1 is materially closer to the requirement on both class structure and domain relationships, while Model 2 has several missing links, weaker domain constraints, and one explicit undefined-class hallucination, so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</si>
  <si>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</si>
  <si>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keeps concerns separated with dedicated classes such as `AircraftStatus`, `PassengerManifest`, `EventLog`, `FlightLog`, `WeatherReport`, `NavigationAid`, `ControllerDashboard`, `RadarSystem`, and `CommunicationChannel`, and it connects them with mostly focused associations like `FlightPlan *-- RouteSegment`, `Waypoint --&gt; NavigationAid`, and `ControllerDashboard --&gt; RadarSystem`. Model 2 collapses more behavior into generic or underspecified structures, such as `Dashboard`, uses stronger ownership links broadly (`FlightInstance *-- WeatherReport`, `ControlTower *-- AirTrafficController`, `Dashboard *-- RadarSystem`), and even introduces an undefined `RoomMaster`, which weakens clear modular boundaries.
2. Complexity: Model 1 = 4, Model 2 = 2; Evidence: Model 1 has a larger but requirement-matched set of classes and enums, including separate concepts for flight status, crew role, clearance level, weather type, navigation aids, airspace subdivision, controller UI, and maintenance records. Model 2 is structurally smaller, but that reduction comes from omitting required concepts like `AirportTerminal`, `SubSector`, `NavigationAid`, and a distinct controller dashboard model, while also flattening several modeled concepts into `String` fields. No inheritance depth is present in either model, so the main difference is whether the class count is justified by the domain.
3. Practicability: Model 1 = 5, Model 2 = 2; Evidence: Model 1 is easier to implement and test because it gives concrete, targeted operations on the right classes, such as `verifyCertification()`, `maintainFlightLog()`, `computeAltitudeAdjustment(emergencyStatus)`, `verifyClearanceValidity()`, `allocate(requestTime)`, `processScanData()`, and `establishConnection()`, and it preserves the core lifecycle links among `FlightInstance`, `FlightLog`, `CrewMember`, `FlightPlan`, `RouteSegment`, and `WeatherReport`. Model 2 has several underspecified methods like `calculateAltitude()` and `generateClearanceMessages()`, lacks key required links such as `FlightInstance` to `FlightPlan`, `FlightLog` to `FlightInstance`, and weather influence on both plans and segments, and its undefined `RoomMaster` makes the diagram less directly usable for real development and testing.
Total: Model 1 = 14, Model 2 = 6
Choice: A
Reason:
1. Cohesion and Decoupling: Model 1 is cleaner because it models each domain concept separately and connects them with narrower, more traceable relations; Model 2 compresses and over-owns concepts in ways that blur boundaries.
2. Complexity: Model 1 is larger, but the added classes are justified by the requirement’s breadth; Model 2 is smaller mainly because it omits required structure rather than because it found a better balance.
3. Practicability: Model 1 is more implementation-ready and testable because its methods and associations map closely to the required behaviors; Model 2 is too underspecified and incomplete for reliable real-world use.
4. Rejected or checked issues: I did not use opposite association direction, primitive-type spelling differences, or comment annotations as evidence, since those are explicitly forbidden as scoring factors.
5. Overall judgment: Model 1 better satisfies the domain’s lifecycle, monitoring, and infrastructure requirements while keeping the design modular enough to support testing and maintenance.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</si>
  <si>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</si>
  <si>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domain set: `FlightInstance`, `AircraftStatus`, `CrewMember`, `PassengerManifest`, `EventLog`, `FlightLog`, `FlightPlan`, `RouteSegment`, `Waypoint`, `WeatherReport`, `NavigationAid`, `AirspaceSector`, `SubSector`, `Runway`, `ControlTower`, `AirTrafficController`, `ControllerDashboard`, `RadarSystem`, `CommunicationChannel`, `MaintenanceRecord`, and `AirportTerminal`. Model 2 covers many core ideas (`FlightInstance`, `AircraftStatusRecord`, `CrewMember`, `PassengerManifest`, `EventLog`, `FlightPlan`, `RouteSegment`, `Waypoint`, `WeatherReport`, `AirspaceSector`, `Runway`, `ControlTower`, `AirTrafficController`, `Dashboard`, `RadarSystem`, `CommunicationChannel`, `MaintenanceRecord`, `FlightLog`) but omits or weakens important domain concepts such as `NavigationAid`, `AirportTerminal`, and `SubSector`, and uses a more generic `Dashboard`.
2. Associations/Multiplicities between classes for domain reasoning: Model 1 = 4, Model 2 = 2; Evidence: Model 1 explicitly models key relationships and counts such as `FlightInstance --&gt; "1" AircraftStatus`, `FlightInstance --&gt; "1..*" CrewMember`, `FlightInstance --&gt; "1" PassengerManifest`, `FlightInstance --&gt; "0..*" EventLog`, `FlightPlan *-- "1..*" RouteSegment`, `RouteSegment --&gt; "2" Waypoint`, `AirspaceSector *-- "0..*" SubSector`, `Runway --&gt; "1" ControlTower`, and `ControllerDashboard --&gt; "0..*" RadarSystem` / `FlightInstance`. Model 2 has some correct links like `FlightInstance *-- AircraftStatusRecord`, `FlightPlan *-- RouteSegment`, `AirspaceSector *-- Runway`, and `MaintenanceRecord -- Runway`, but it leaves out many essential domain links and multiplicities, including the exact-two waypoint rule, sub-sectors, navigation aids, airport terminal access to runways, controller-to-flight-plan monitoring, and dashboard/radar traffic integration.
3. Model attributes with appropriate data types: Model 1 = 4, Model 2 = 2; Evidence: Model 1 mostly uses suitable typed attributes such as `flightNumber: String`, `scheduledTime: Date`, `systemHealthScore: double`, `certificationStatus: boolean`, `totalCount: int`, `severity: SeverityLevel`, `frequency: double`, `latitude/longitude: double`, and `gateCount: int`. It does miss the explicit derived `current operational status` on `FlightInstance`, but the attribute modeling is otherwise strong. Model 2 contains several weaker or less appropriate choices: `FlightInstance.operationalStatus: String`, `AircraftStatusRecord.operationalState: String`, `CrewMember.role: String`, `EventLog.severityLevel: String`, `FlightPlan.altitudeLevel: String`, `Waypoint.locationCoordinates: String`, `RadarSystem.resolution: String`, and `CommunicationChannel.frequencyBand: String`, plus it omits some required attributes entirely on classes like `Dashboard`.
4. Consistencies of Terminology with given context: Model 1 = 4, Model 2 = 3; Evidence: Model 1 largely preserves the domain language with terms like `FlightPlan`, `RouteSegment`, `WeatherReport`, `NavigationAid`, `ControlTower`, `AirTrafficController`, and `MaintenanceRecord`, with only minor naming drift such as `ControllerDashboard` versus “system dashboard” and `AircraftStatus` versus “aircraft status record”. Model 2 is still partly aligned, but it is more generic and less precise in places: `Dashboard` is less descriptive than `ControllerDashboard`, `ControlTower.location` is less specific than a designated site, `Waypoint` is reduced to `type/frequency/locationCoordinates` rather than a navigation waypoint model, and `FlightLog.eventDetails` is less aligned with the required operational event-history wording.
5. Adherence of UML class diagram standards: Model 1 = 5, Model 2 = 4; Evidence: Model 1 is fully renderable PlantUML with standard class, enum, association, composition, and multiplicity notation, and its opposite-direction links are acceptable UML semantics. Model 2 is also mostly renderable UML, with standard class declarations and associations, but it is less disciplined: it omits multiplicities throughout, uses a stray `FlightInstance -- RoomMaster` link that is not grounded in the stated domain, and relies on several very generic class/method names. These are not fatal syntax errors, but they reduce diagram quality and clarity.
Total: Model 1 = 22, Model 2 = 14
Choice: A
Reason:
1. Appropriate conceptual classes aligned with the domain: Model 1 covers the full air-traffic-control domain model, while Model 2 leaves out important concepts like `NavigationAid`, `AirportTerminal`, and `SubSector`.
2. Associations/Multiplicities: Model 1 captures the key lifecycle and control relationships with useful multiplicities, including `RouteSegment --&gt; "2" Waypoint` and `FlightInstance --&gt; "1..*" CrewMember`; Model 2 keeps only a subset of those links and misses several core domain constraints.
3. Attributes/data types: Model 1’s attributes are mostly well-typed and domain-appropriate; Model 2 uses many broad strings where the requirement implies more specific structured types or enums.
4. Terminology/UML standards: Model 1 is more faithful to the requested vocabulary and still cleanly follows UML conventions. Model 2 is understandable, but its terminology is looser and its diagram semantics are weaker.
5. Rejected or checked issues: I did not penalize Model 1 for using opposite-direction associations in places like `FlightPlan --&gt; FlightInstance` alongside `FlightInstance --&gt; FlightPlan`, since those are semantically equivalent under the rules. I also did not treat primitive-type aliasing as a negative factor.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</si>
  <si>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</si>
  <si>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4, Model 2 = 2; Evidence: Model 1 includes the full core set of required classes and behaviors, such as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many of the same domains, but it omits or weakens key parts: there is no `NavigationAid` class, `FlightLog` is not linked to `FlightInstance`, `Dashboard` replaces `SystemDashboard`, and `FlightPlan` omits the emergency-status-based altitude calculation signature.
2. Relationship and cardinality accuracy: Model 1 = 4, Model 2 = 2; Evidence: Model 1 states `FlightInstance "1" --&gt; "1" AircraftStatus`, `FlightInstance "1" --&gt; "*" EventLog`, `FlightPlan "1" --&gt; "*" RouteSegment`, and `RouteSegment "1" --&gt; "1" Waypoint` twice to model exactly two waypoints, plus `AirspaceSector "1" --&gt; "0..*" AirspaceSector` for sub-sectors. Model 2 uses broad compositions like `FlightInstance *-- AircraftStatusRecord` and `FlightInstance *-- CrewMember`, but `RouteSegment -- Waypoint` does not express exactly two waypoints, `FlightInstance -- RoomMaster` is an undeclared stray link, and the weather/controller links are less complete than required.
3. Domain naming and semantic clarity: Model 1 = 4, Model 2 = 2; Evidence: Model 1 keeps recognizable domain terms such as `AircraftStatus`, `PassengerManifest`, `SystemDashboard`, `NavigationAid`, and `CommunicationChannel`, and its method `generateClearanceMessage(flightPlan: FlightPlan)` matches the requirement. Model 2 renames or conflates concepts more aggressively: `Dashboard` drops the system-specific meaning, `Waypoint` includes `type` and `frequency` that belong to a navigation aid, and `clearanceLevel` and `conditionType` are plain strings rather than the modeled domain enums.
4. Hallucinations and semantic drift: Model 1 = 4, Model 2 = 1; Evidence: Model 1 stays within the requirement’s vocabulary and does not introduce unrelated classes. Model 2 adds the invalid `FlightInstance -- RoomMaster` association, overuses composition for relations the requirement only describes as associations, and collapses separate concepts like weather, waypoint, and navigation aid in ways that drift from the stated domain model.
Total: Model 1 = 16, Model 2 = 7
Choice: A
Reason:
1. Requirement coverage: Model 1 captures more of the required operational domain, especially `NavigationAid`, `FlightLog`, `SystemDashboard`, and the emergency-aware `FlightPlan` behavior; Model 2 leaves out or weakens several of those.
2. Relationship and cardinality accuracy: Model 1 better expresses the required links and multiplicities, including the two-waypoint route segment and sector sub-structure; Model 2 underspecifies key relationships and includes the stray `RoomMaster` link.
3. Rejected or checked issues: I did not penalize either model for primitive-type spelling differences or for opposite-direction association styling. The score difference comes from substantive domain-model gaps and the invalid/extra `RoomMaster` relation in Model 2.
4. Overall judgment: Model 1 is the closer semantic match to the requirement and is materially more faithful across entities, relationships, and domain meaning.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</si>
  <si>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</si>
  <si>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2; Evidence: Model 1 keeps major concerns separated with distinct classes for `AircraftStatus`, `PassengerManifest`, `EventLog`, `FlightPlan`, `RouteSegment`, `Waypoint`, `NavigationAid`, `WeatherReport`, and `SystemDashboard`, then links them explicitly to `FlightInstance` and the control-side classes. Model 2 collapses some concerns into attributes and broader ownership, such as putting navigation-aid-like data directly on `Waypoint` (`type`, `frequency`, `locationCoordinates`) and composing `FlightInstance` with `CrewMember`, `PassengerManifest`, `EventLog`, `FlightPlan`, and `WeatherReport`, which makes the central class more tightly coupled.
2. Complexity: Model 1 = 4, Model 2 = 3; Evidence: Model 1 has a richer but still domain-shaped decomposition: 19 classes plus 3 enums, with focused operations on key classes like `CrewMember`, `FlightPlan`, `Runway`, `AirTrafficController`, and `SystemDashboard`. Model 2 is slightly smaller with 18 classes and no enums, but it achieves that by flattening several domain concepts into primitive attributes or generic types, such as `FlightPlan.clearanceLevel` as a string and `Waypoint` absorbing navigation-aid data. Neither model uses inheritance, so inheritance depth is not a differentiator.
3. Practicability: Model 1 = 4, Model 2 = 2; Evidence: Model 1 provides more actionable behaviors and clearer test points, including `verifyCertification()`, `maintainFlightLog()`, `calculateAltitude(emergencyStatus)`, `authorizeManeuver(clearanceType)`, `allocate(requestTime)`, and a `SystemDashboard` that integrates radar data and real-time flight traffic. Model 2’s operations are more generic (`calculateAltitude()`, `authorizeManeuvers()`, `generateClearanceMessages()`), its dashboard is less explicit, and `FlightLog` is not tied back to a flight instance, which makes lifecycle reasoning and testing less grounded.
Total: Model 1 = 12, Model 2 = 7
Choice: A
Reason:
1. Cohesion and Decoupling: Model 1 preserves cleaner domain boundaries, while Model 2 folds navigation-aid detail into `Waypoint` and uses broader composition around `FlightInstance`, increasing coupling.
2. Complexity: Model 1’s larger surface area is justified by the requirement’s distinct concepts; Model 2 is simpler mainly because it flattens required concepts rather than modeling them cleanly.
3. Practicability: Model 1 is easier to implement and test against the requirement because its classes and operations map more directly to certification, logging, clearance, runway allocation, and dashboard/radar behavior.
4. Rejected or checked issues: I did not use association direction style, primitive-type spelling, multiplicity literal variants, or comment annotations in scoring.
5. Overall judgment: Model 1 is the better UML model because it captures more of the required lifecycle, navigation, monitoring, and maintenance structure while keeping the main responsibilities more clearly separated.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</si>
  <si>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</si>
  <si>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core domain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covers many of these too, but it renames `SystemDashboard` to `Dashboard`, folds navigation-aid data into `Waypoint` instead of modeling a separate `NavigationAid`, and omits a distinct `AirportTerminal` class.
2. Associations/Multiplicities between classes for domain reasoning: Model 1 = 5, Model 2 = 2; Evidence: Model 1 captures major relationships such as `FlightInstance` to `AircraftStatus`, `PassengerManifest`, `EventLog`, `FlightPlan`, and `FlightLog`, `FlightPlan` to `RouteSegment`, recursive `AirspaceSector "1" --&gt; "0..*" AirspaceSector`, `Runway` to `ControlTower`, and `ControlTower` to `AirTrafficController`/`CommunicationChannel`; Model 2 has some correct links like `FlightPlan *-- RouteSegment`, `ControlTower *-- AirTrafficController`, and `MaintenanceRecord -- Runway`, but it misses key required relations such as weather influencing flight plans and route segments, terminal access, dashboard-radar/traffic ties, and exact two-waypoint modeling, while also adding the stray `FlightInstance -- RoomMaster`.
3. Model attributes with appropriate data types: Model 1 = 4, Model 2 = 2; Evidence: Model 1 mostly uses suitable types such as `scheduledTime: DateTime`, `systemHealthScore: int`, `requiredClearanceLevel: ClearanceLevel`, `conditionType: ConditionType`, and `activeStatus: boolean`, though some fields are coarse (`operationalStatus: String`, `altitudeLevels: String`); Model 2 has more mismatches, including `clearanceLevel: String`, `conditionType: String`, `frequency: String` on `Waypoint`, `resolution: String`, and `FlightLog` reduced to only `eventDetails` without the richer log structure described in the requirement.
4. Consistencies of Terminology with given context: Model 1 = 5, Model 2 = 3; Evidence: Model 1 stays close to the domain language with `AircraftStatus`, `FlightPlan`, `NavigationAid`, `ControlTower`, `AirTrafficController`, `WeatherReport`, and `MaintenanceRecord`; Model 2 introduces weaker terminology shifts like `AircraftStatusRecord`, `Dashboard` instead of `SystemDashboard`, and uses `Waypoint` fields `type`/`frequency` where the requirement speaks of separate navigation aids, plus the non-domain `RoomMaster` link.
5. Adherence of UML class diagram standards: Model 1 = 5, Model 2 = 4; Evidence: Both are syntactically valid PlantUML class diagrams with classes, enums, and associations, but Model 1 is more conventional and complete in UML notation because it gives explicit multiplicities on most relationships, while Model 2 is still valid yet leaves several associations unnamed and without multiplicities.
Total: Model 1 = 24, Model 2 = 14
Choice: A
Reason:
1. Appropriate conceptual classes: Model 1 models the required domain vocabulary more completely, especially `NavigationAid`, `AirportTerminal`, and `SystemDashboard`, while Model 2 collapses or omits those concepts.
2. Associations/multiplicities: Model 1 expresses the major lifecycle and infrastructure links much better, including recursive sectors, flight-plan composition, and maintenance tracking; Model 2 misses several required relations and introduces the unrelated `RoomMaster` link.
3. Attributes/types: Model 1 uses more appropriate enumerations and temporal/numeric types overall, whereas Model 2 relies more on generic strings and weakens several domain-specific fields.
4. Rejected or checked issues: I did not penalize either model for using `*--` vs `--` or `--&gt;` where the semantics are otherwise equivalent, and I did not use lowercase primitive aliases or optional abstractness as negative evidence.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</si>
  <si>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</si>
  <si>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and attribute coverage: Model 1 = 4, Model 2 = 3; Evidence: Model 1 includes `FlightInstance { flightNumber, airlineCode, departureCity, scheduledTime, operationalStatus }` and `AircraftStatus { registrationNumber, operationalState, systemHealthScore }`, which keeps the flight-status concept visible on the flight instance. Model 2 has `FlightInstance { flightNumber, airlineCode, departureCity, scheduledTime }` but no flight-level status field, pushing status only into `AircraftStatus { registrationNumber, operationalState, systemHealthScore }`.
2. Association, composition, and multiplicity fidelity: Model 1 = 3, Model 2 = 4; Evidence: Model 1 models `FlightPlan "1" --&gt; "*" RouteSegment` and two separate `RouteSegment` links to `Waypoint`, plus `AirspaceSector "1" --&gt; "0..*" AirspaceSector` for sub-sectors. Model 2 is tighter here with `FlightPlan *-- "1..*" RouteSegment`, `RouteSegment --&gt; "2" Waypoint`, and `AirspaceSector *-- "0..*" SubSector`, which better matches composition and exact connectivity.
3. Behavioral operation modeling: Model 1 = 3, Model 2 = 4; Evidence: Model 1 has the right behaviors, but several are loosely typed, such as `accessTerminal()` with no terminal parameter and `authorizeManeuver(clearanceType: String)`. Model 2 models the same behaviors more concretely with `accessTerminal(terminal: AirportTerminal)`, `authorizeManeuver(clearanceLevel: ClearanceLevel)`, and `generateClearanceMessage(flightPlan: FlightPlan)`, which is closer to the domain intent.
4. Semantic restraint and naming alignment: Model 1 = 4, Model 2 = 3; Evidence: Model 1 stays closer to the requirement wording with `SystemDashboard`, `FlightPlan`, `PassengerManifest`, and fewer added structural types. Model 2 adds more refinements such as `SubSector`, `CrewRole`, `DutyStatus`, `DisplayMode`, `Criticality`, and `SurfaceType`, and renames the dashboard to `ControllerDashboard`; these are defensible, but they are still extra abstractions beyond the explicit requirement.
Total: Model 1 = 14, Model 2 = 14
Choice: C
Reason:
1. Core coverage: Model 1 is better on keeping flight status visible at the flight-instance level, while Model 2 is better on deriving status from `AircraftStatus`; both partially satisfy the requirement rather than fully nailing it.
2. Relationships: Model 2 is stronger on composition and exact multiplicities, especially `FlightPlan *-- RouteSegment` and `RouteSegment --&gt; "2" Waypoint`; Model 1 is looser here.
3. Behavior: Model 2 models the controller actions and terminal access more concretely, but Model 1 still captures the required operations in a simpler way.
4. Rejected or checked issues: I did not use association direction alone, opposite-direction links, comments, or primitive-type spelling differences as negative evidence. I also did not automatically penalize Model 2's extra enums/classes as hallucinations because several are transparent domain refinements.
5. Overall judgment: Neither diagram clearly dominates. Model 1 is closer on flight-instance coverage and naming, while Model 2 is better on structural UML fidelity. The quality difference is small enough to call it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</si>
  <si>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</si>
  <si>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`SystemDashboard` directly tied to both `RadarSystem` and `FlightInstance`, and it leaves overlapping record concepts (`EventLog`, `FlightLog`) without a clearer separation; `AirspaceSector` also has only self-containment rather than a distinct `SubSector` class. Model 2 separates responsibilities more cleanly with `ControllerDashboard`, `RadarSystem`, `CommunicationChannel`, and a dedicated `SubSector` beneath `AirspaceSector`, although it still adds several cross-domain links such as crew, maintenance, and monitoring associations.
2. Complexity: Model 1 = 3, Model 2 = 4; Evidence: Model 1 is structurally smaller and has no inheritance depth, but that simplicity comes from flattening required concepts into broad types and omitting several domain classes from the requirement. Model 2 is larger and also has no inheritance depth, but its extra classes and enums (`DutyStatus`, `DisplayMode`, `SeverityLevel`, `Criticality`, `SurfaceType`, `SubSector`) correspond to required concepts rather than arbitrary clutter, so its complexity is better balanced to the problem.
3. Practicability: Model 1 = 2, Model 2 = 4; Evidence: Model 1 is readable but harder to implement and test because key concepts are underspecified, for example `FlightPlan.altitudeLevels: String`, `AircraftStatus.operationalState: String`, and the absence of explicit dashboard/control-tower support classes. Model 2 is more practical because it adds testable operations and typed relationships like `FlightPlan +computeAltitudeAdjustment(...)`, `Runway +allocate(...)`, `ControllerDashboard +refreshData()`, and `RouteSegment --&gt; "2" Waypoint`, which make the lifecycle and monitoring behavior much easier to validate.
Total: Model 1 = 8, Model 2 = 12
Choice: B
Reason:
1. Cohesion and Decoupling: Model 2 draws cleaner boundaries between dashboarding, communications, monitoring, and airspace subdivision than Model 1.
2. Complexity: Model 2 uses more classes, but they are mostly required domain concepts; Model 1 is simpler mainly because it under-models the requirement.
3. Practicability: Model 2 is easier to implement and test because its operations and associations are more explicit and directly aligned with the requirement.
4. Rejected or checked issues: I did not use opposite-direction association notation or PlantUML end-of-line comments as evidence, because those are semantically equivalent or explicitly forbidden as penalties. I also did not penalize optional abstractness, since neither diagram depends on 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</si>
  <si>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</si>
  <si>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covers the core domain classes (`FlightInstance`, `AircraftStatus`, `CrewMember`, `PassengerManifest`, `EventLog`, `FlightPlan`, `RouteSegment`, `Waypoint`, `NavigationAid`, `WeatherReport`, `AirspaceSector`, `Runway`, `AirportTerminal`, `ControlTower`, `AirTrafficController`, `SystemDashboard`, `CommunicationChannel`, `MaintenanceRecord`, `FlightLog`) but does not model the sector subdivision concept explicitly and keeps `operationalStatus` as a direct `FlightInstance` attribute; Model 2 includes the same core classes and also adds `SubSector`, `ControllerDashboard`, and more explicit domain separation with `AircraftStatus.operationalState` instead of placing status directly on `FlightInstance`.
2. Associations/Multiplicities between classes for domain reasoning: Model 1 = 3, Model 2 = 4; Evidence: Model 1 gets key links right such as `FlightInstance --&gt; AircraftStatus`, `FlightPlan --&gt; RouteSegment`, two `RouteSegment --&gt; Waypoint` links, `Runway --&gt; ControlTower`, and `ControlTower --&gt; CommunicationChannel`, but it uses broader or less precise relationships like `FlightInstance "*" --&gt; "*" CrewMember`, `Runway "*" --&gt; "*" AirportTerminal`, and `AirspaceSector "*" --&gt; "*" RadarSystem`; Model 2 tightens several of these with `RouteSegment --&gt; "2" Waypoint`, `AirportTerminal --&gt; "0..*" Runway`, `RadarSystem --&gt; "1" AirspaceSector`, and `FlightPlan *-- "1..*" RouteSegment`, while still covering the required controller, weather, and maintenance links.
3. Model attributes with appropriate data types: Model 1 = 3, Model 2 = 4; Evidence: Model 1 uses many generic types for domain values such as `operationalStatus: String`, `severityLevel: String`, `surfaceType: String`, `criticality: String`, and `altitudeLevels: String`; Model 2 models more of these as enums and structured values, for example `AircraftStatus.operationalState: OperationalState`, `CrewMember.role: CrewRole`, `EventLog.severity: SeverityLevel`, `Runway.surfaceType: SurfaceType`, and `MaintenanceRecord.criticality: Criticality`, though it still uses some broad types like `Date` for timestamps and `double` for `frequencyBand`.
4. Consistencies of Terminology with given context: Model 1 = 5, Model 2 = 4; Evidence: Model 1 stays very close to the wording in the requirement with terms like `FlightInstance`, `AircraftStatus`, `PassengerManifest`, `EventLog`, `FlightPlan`, `WeatherReport`, `AirspaceSector`, `SystemDashboard`, and `CommunicationChannel`; Model 2 remains mostly aligned but introduces more reformulations such as `ControllerDashboard`, `totalCount` instead of `totalPassengerCount`, `clearanceLevel` on `FlightPlan`, and several new enum vocabularies, which are still domain-related but less literal to the given context.
5. Adherence of UML class diagram standards: Model 1 = 5, Model 2 = 5; Evidence: Both diagrams use valid PlantUML class/enum declarations, association syntax, and multiplicities in a way that is structurally readable and UML-consistent; neither contains a major notation error that would make the diagram incomprehensible.
Total: Model 1 = 20, Model 2 = 22
Choice: B
Reason:
1. Appropriate conceptual classes aligned with the domain: Model 2 is stronger because it includes `SubSector` and models more of the airspace infrastructure explicitly, while Model 1 leaves that subdivision implicit.
2. Associations/Multiplicities: Model 2 is better because it captures the required exact-two waypoint structure with `RouteSegment --&gt; "2" Waypoint` and gives more precise runway/terminal and radar/sector relationships; Model 1 is more permissive in a few places.
3. Attributes/data types: Model 2 uses more domain-appropriate enums and structured fields, whereas Model 1 relies on generic `String` values for several domain concepts.
4. Terminology: Model 1 is slightly more literal to the prompt, but that advantage is not enough to offset Model 2’s better structural modeling.
5. Rejected or checked issues: I did not penalize Model 2 for using opposite-direction associations in places like `FlightInstance` and `FlightPlan`, because those are semantically equivalent to a single bidirectional association under the stated rules.
6. Overall judgment: Model 2 is the better UML model because it reasons more accurately about the domain structure and relationships, even though Model 1 is a bit closer to the prompt wording in places.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</si>
  <si>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</si>
  <si>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requirement coverage: Model 1 = 3, Model 2 = 5; Evidence: Model 1 covers major elements such as `FlightInstance`, `CrewMember`, `FlightPlan`, `AirspaceSector`, `Runway`, `ControlTower`, `AirTrafficController`, `Dashboard`, `RadarSystem`, `CommunicationChannel`, `MaintenanceRecord`, and `FlightLog`, but it omits required concepts like `AirportTerminal`, `NavigationAid`, and `SubSector`. Model 2 includes `AirportTerminal`, `NavigationAid`, `SubSector`, and also covers the flight, airspace, controller, radar, maintenance, and logging domains more completely.
2. Relationship and cardinality fidelity: Model 1 = 2, Model 2 = 5; Evidence: Model 1 uses `RouteSegment -- Waypoint` without multiplicity, so it does not express the required “exactly two waypoints”, and it includes `FlightInstance -- RoomMaster`, which references an undefined class. Model 2 states `RouteSegment --&gt; "2" Waypoint`, `FlightInstance --&gt; "1" FlightPlan`, `FlightInstance --&gt; "1" AircraftStatus`, `ControlTower --&gt; "1..*" AirTrafficController`, and `AirspaceSector *-- "0..*" SubSector`, which matches the required structure much more closely.
3. Conceptual naming and semantic alignment: Model 1 = 3, Model 2 = 4; Evidence: Model 1 uses recognizable names like `AircraftStatusRecord`, `PassengerManifest`, `EventLog`, `MaintenanceRecord`, and `FlightLog`, but it also puts `operationalStatus` directly on `FlightInstance` even though the requirement says that status is derived from the aircraft status record. Model 2 uses slightly different names such as `AircraftStatus`, `ControllerDashboard`, and `authorizeManeuver`, but the concepts remain clearly aligned with the requirement and the behavioral methods are more specific.
4. Hallucinations and contradictions: Model 1 = 1, Model 2 = 4; Evidence: Model 1 contains the stray association `FlightInstance -- RoomMaster`, which is not defined anywhere, and it adds `FlightInstance *-- WeatherReport`, which is not stated by the requirement. Model 2 adds some extra enum scaffolding and refinements, but these are mostly acceptable concept refinements rather than contradictions, and it avoids the direct contradiction of storing the current operational status on `FlightInstance`.
Total: Model 1 = 9, Model 2 = 18  
Choice: B
Reason:
1. Core coverage: Model 2 includes the missing required concepts that Model 1 does not, especially `AirportTerminal`, `NavigationAid`, and `SubSector`.
2. Relationship fidelity: Model 2 explicitly encodes the critical multiplicities and containment relations, while Model 1 leaves some of them implicit or incorrect.
3. Rejected or checked issues: I did not penalize Model 2 for using `AircraftStatus` instead of `AircraftStatusRecord`, for enum refinements, or for lowercase primitive spellings; those are semantically acceptable.
4. Overall judgment: Model 2 is materially closer to the requirement across class coverage, associations, and cardinalities, so it is the better UML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</si>
  <si>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</si>
  <si>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puts many concerns directly on `FlightInstance` with `operationalStatus: String`, `*-- AircraftStatusRecord`, `*-- CrewMember`, `*-- PassengerManifest`, `*-- EventLog`, `*-- FlightPlan`, and `*-- WeatherReport`, plus an undefined association `FlightInstance -- RoomMaster`, which weakens semantic clarity and separation of responsibilities. Model 2 separates concerns more cleanly: `FlightInstance` links to `AircraftStatus`, `PassengerManifest`, `EventLog`, `FlightPlan`, and `FlightLog`; `CrewMember` is its own role-focused class with methods like `verifyCertification()` and `reportMaintenanceIssue()`, while `ControllerDashboard`, `RadarSystem`, and `CommunicationChannel` are distinct collaborators.
2. Complexity: Model 1 = 2, Model 2 = 4; Evidence: Model 1 is smaller, but its simplicity comes from omitting several required concepts such as `SubSector`, `NavigationAid`, `AirportTerminal`, and explicit enums for states and roles, so the class structure is too thin for the stated domain breadth. Model 2 has more classes and enums, including `OperationalState`, `CrewRole`, `ClearanceLevel`, `WeatherConditionType`, `NavAidType`, `SurfaceType`, `SeverityLevel`, `Criticality`, `DutyStatus`, and `DisplayMode`, plus supporting classes like `SubSector`, `NavigationAid`, and `AirportTerminal`; that is more complex, but it is proportionate to the requirement and uses intermediate domain concepts rather than collapsing everything into fewer classes.
3. Practicability: Model 1 = 2, Model 2 = 4; Evidence: Model 1 is harder to implement and test because it leaves key behaviors under-specified or vague, such as `Dashboard` lacking a display mode, `FlightLog` only having `eventDetails`, and `CrewMember` methods having no typed parameters; the stray `RoomMaster` link also makes the diagram less readable and less dependable. Model 2 is more practical because it gives concrete typed operations and testable boundaries, such as `FlightPlan.computeAltitudeAdjustment(emergencyStatus: boolean)`, `CrewMember.accessTerminal(terminal: AirportTerminal)`, `Runway.allocate(requestTime: Date)`, and `AirTrafficController.generateClearanceMessage(flightPlan: FlightPlan)`, while also modeling terminal access, runway control, and radar/dashboard interactions explicitly.
Total: Model 1 = 6, Model 2 = 12
Choice: B
Reason:
1. Cohesion and decoupling: Model 2 keeps responsibilities better separated by introducing dedicated classes for `AircraftStatus`, `AirportTerminal`, `NavigationAid`, `ControllerDashboard`, and `CommunicationChannel`, whereas Model 1 mixes several lifecycle concerns directly on `FlightInstance` and even includes an undefined `RoomMaster` association.
2. Complexity: Model 2 is larger, but the extra enums and support classes match the breadth of the requirement and make the design traceable; Model 1 is smaller but only by omitting important domain concepts, so its reduced complexity is not a strength here.
3. Practicability: Model 2 is more actionable for implementation and testing because its methods and associations are typed and specific; Model 1’s vaguer operations and incomplete structure make it less reliable as a real-world design artifact.
4. Rejected or checked issues: I did not use opposite-direction associations as a penalty, and I did not score primitive-type spelling differences like `int` vs `Integer`, because those are explicitly semantically equivalent under the rules.
5. Overall judgment: Model 2 is better because it covers the required air-traffic domain more completely while staying reasonably modular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</si>
  <si>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</si>
  <si>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includes many domain classes such as `FlightInstance`, `AircraftStatusRecord`, `CrewMember`, `FlightPlan`, `Runway`, and `AirTrafficController`, but it also has a stray `FlightInstance -- RoomMaster` reference and is missing key domain classes like `AirportTerminal`, `NavigationAid`, and `SubSector`. Model 2 covers the full domain much more completely with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2. Associations/Multiplicities between classes for domain reasoning: Model 1 = 2, Model 2 = 5; Evidence: Model 1 has some correct links like `FlightInstance *-- AircraftStatusRecord`, `FlightPlan *-- RouteSegment`, and `Runway -- ControlTower`, but it misses required links such as `FlightInstance` to `AirportTerminal`, places weather on `FlightInstance` instead of on `FlightPlan` and `RouteSegment`, and models `RouteSegment -- Waypoint` without the required “exactly two waypoints” meaning. Model 2 captures the main required relationships and cardinalities much more completely: `FlightInstance --&gt; "1" AircraftStatus`, `FlightInstance --&gt; "1" FlightPlan`, `FlightPlan *-- "1..*" RouteSegment`, `RouteSegment --&gt; "2" Waypoint`, `Waypoint --&gt; "0..*" NavigationAid`, `AirportTerminal --&gt; "0..*" Runway`, `ControlTower --&gt; "1..*" AirTrafficController`, and `Runway --&gt; "1" ControlTower`.
3. Model attributes with appropriate data types: Model 1 = 2, Model 2 = 4; Evidence: Model 1 uses several weak or mismatched types such as `FlightPlan.clearanceLevel: String`, `Waypoint.locationCoordinates: String`, `AirTrafficController.clearanceLevel: String`, `RadarSystem.resolution: String`, and `FlightLog` lacks the event date/severity detail expected for logs. Model 2 models many attributes more precisely with enums and numeric types, such as `OperationalState`, `CrewRole`, `ClearanceLevel`, `WeatherConditionType`, `NavAidType`, `SurfaceType`, `SeverityLevel`, `Criticality`, `DutyStatus`, `DisplayMode`, plus `Waypoint.latitude/longitude: double`, `NavigationAid.frequency: double`, and `ControllerDashboard.displayMode: DisplayMode`, though `FlightInstance` still omits an explicit derived operational-status attribute.
4. Consistencies of Terminology with given context: Model 1 = 3, Model 2 = 5; Evidence: Model 1 mostly follows the domain vocabulary, but `RoomMaster` is an unrelated term, `Dashboard` is underspecified relative to the controller dashboard in the requirement, and `FlightInstance.operationalStatus` is not clearly tied to the associated aircraft status record. Model 2 is much more terminology-consistent overall, using names that map directly to the requirement such as `AircraftStatus`, `AirportTerminal`, `NavigationAid`, `ControllerDashboard`, `CommunicationChannel`, and `MaintenanceRecord`, with only minor renaming differences like `AircraftStatus` versus `AircraftStatusRecord`.
5. Adherence of UML class diagram standards: Model 1 = 2, Model 2 = 5; Evidence: Model 1 contains a broken semantic reference `FlightInstance -- RoomMaster`, which is not defined as a class, and several relationships are under-specified relative to the domain. Model 2 uses valid PlantUML class, enum, attribute, and association syntax throughout, with coherent multiplicities and compositions such as `FlightPlan *-- "1..*" RouteSegment` and `AirspaceSector *-- "0..*" SubSector`.
Total: Model 1 = 12, Model 2 = 24
Choice: B
Reason:
1. Appropriate conceptual classes aligned with the domain: Model 2 covers the full flight-operations, airspace, infrastructure, controller, and maintenance domains much more completely than Model 1, which has a stray `RoomMaster` reference and misses several required domain classes.
2. Associations/Multiplicities between classes for domain reasoning: Model 2 models the key lifecycle and monitoring relationships more faithfully, especially `FlightPlan` to `RouteSegment`, `RouteSegment` to exactly two `Waypoint`s, and the controller/tower/dashboard/radar/channel structure; Model 1 misses or misplaces several of these.
3. Rejected or checked issues: I did not penalize Model 2 for using opposite-direction associations, comments on relationship lines, or lowercase primitive aliases, since those are semantically acceptable under the rules.
4. Overall judgment: Model 2 is materially closer to the requirement on class coverage, relationship structure, terminology, and UML validity, while Model 1 has several missing or incorrect domain elements and one clearly invalid reference.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</si>
  <si>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</si>
  <si>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class completeness: Model 1 = 2, Model 2 = 5; Evidence: Model 1 includes many core classes such as `FlightInstance`, `AircraftStatusRecord`, `CrewMember`, `FlightPlan`, `RouteSegment`, `Runway`, and `MaintenanceRecord`, but it omits required concepts like `AirportTerminal`, `NavigationAid`, and the closed-set types for `ClearanceLevel`, `ConditionType`, and `NavAidType`; it also adds an undefined `RoomMaster` link (`FlightInstance -- RoomMaster`). Model 2 includes the full required domain set, including `AirportTerminal`, `NavigationAid`, `ClearanceLevel`, `ConditionType`, `NavAidType`, `SystemDashboard`, and all major operational classes.
2. Attribute / semantic fidelity: Model 1 = 2, Model 2 = 4; Evidence: Model 1 models `FlightInstance.operationalStatus` as a plain `String` and `FlightPlan.clearanceLevel` as a plain `String`, which weakens the requirement that flight status is derived from an associated aircraft status record and that clearance is Ground or Tower; it also encodes waypoint/nav-aid information directly on `Waypoint` rather than using a separate navigation-aid concept. Model 2 is much closer semantically, with `FlightPlan.requiredClearanceLevel: ClearanceLevel`, `ConditionType`, `NavAidType`, and an explicit `AircraftStatus`, though it still has some looseness such as `CrewMember.certificationStatus: String` instead of a Boolean and a few slightly generalized names like `altitudeLevels`.
3. Relationship / multiplicity fidelity: Model 1 = 1, Model 2 = 5; Evidence: Model 1 uses broad compositions like `FlightInstance *-- CrewMember`, `FlightInstance *-- FlightPlan`, and `FlightInstance *-- WeatherReport`, but it does not model the required cardinalities or the key semantics that route segments connect exactly two waypoints and that weather influences both route segments and flight plans; it also lacks the departure-terminal association entirely. Model 2 explicitly captures the required structure with `FlightInstance "*" --&gt; "1" AirportTerminal`, `FlightInstance "1" --&gt; "1" FlightPlan`, `FlightInstance "1" --&gt; "*" EventLog`, `RouteSegment "1" --&gt; "1" Waypoint : startWaypoint` and another to `Waypoint : endWaypoint`, `FlightPlan "1" --&gt; "*" RouteSegment`, `FlightPlan "*" --&gt; "*" WeatherReport`, `AirspaceSector "1" --&gt; "0..*" AirspaceSector`, `Runway "*" --&gt; "1" ControlTower`, `ControlTower "1" --&gt; "*" CommunicationChannel`, and `AircraftStatus "1" --&gt; "*" MaintenanceRecord`.
Total: Model 1 = 5, Model 2 = 14
Choice: B
Reason:
1. Requirement coverage: Model 2 covers the full required conceptual surface much more completely, while Model 1 misses key domain classes and introduces an undefined `RoomMaster` relation.
2. Attribute fidelity: Model 2 uses the requirement’s closed-set concepts and derived-status structure more faithfully; Model 1 leaves several requirement-defining values as generic strings or folds distinct concepts together.
3. Relationship fidelity: Model 2 models the essential associations and multiplicities directly, especially the flight-plan/route-segment/waypoint structure and the terminal/tower/infrastructure links, while Model 1 leaves those relationships underspecified or misplaced.
4. Rejected or checked issues: I did not score against association direction style, primitive-type spelling differences, or comment syntax, since those are explicitly non-factors here.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</si>
  <si>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</si>
  <si>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mixes concerns with a stray `FlightInstance -- RoomMaster` link and collapses several distinct concepts into broad ownership relations such as `FlightInstance *-- WeatherReport`, `FlightInstance *-- EventLog`, and `ControlTower *-- AirTrafficController`. It also keeps no explicit `AirportTerminal` or `NavigationAid` boundary. Model 2 is more modular: it separates `AirportTerminal`, `NavigationAid`, `SystemDashboard`, and `CommunicationChannel`, and uses role-specific links like `FlightInstance --&gt; AirportTerminal`, `Runway --&gt; ControlTower`, `ControlTower --&gt; CommunicationChannel`, and `SystemDashboard --&gt; RadarSystem`, though it still has some broad coupling such as `FlightPlan --&gt; WeatherReport` and `FlightPlan --&gt; AirTrafficController`.
2. Complexity: Model 1 = 2, Model 2 = 4; Evidence: Model 1 is smaller, but it is also incomplete for the domain: it has 18 classes, no enums, and substitutes vague modeling such as `Waypoint` carrying `type`, `frequency`, and `locationCoordinates` instead of a dedicated navigation-aid concept, plus the unrelated `RoomMaster` association. Model 2 has a fuller but still flat structure with about 18 classes plus 3 enums (`ClearanceLevel`, `ConditionType`, `NavAidType`), and it captures required concepts such as `AirportTerminal`, `NavigationAid`, and `SystemDashboard` without inheritance depth, so its complexity is better balanced to the requirement.
3. Practicability: Model 1 = 2, Model 2 = 5; Evidence: Model 1 is harder to implement and test cleanly because it omits explicit `AirportTerminal`, `NavigationAid`, and `FlightInstance --&gt; FlightLog`, and its `Dashboard` lacks the `displayMode` state that the requirement calls for in a system dashboard. `FlightLog` also only has `eventDetails`, so lifecycle and maintenance tests would be under-specified. Model 2 is much more actionable: it models `FlightInstance --&gt; AirportTerminal`, `FlightInstance --&gt; FlightLog`, `CrewMember --&gt; FlightLog`, `ControlTower --&gt; CommunicationChannel`, `SystemDashboard --&gt; RadarSystem`, and `Runway --&gt; MaintenanceRecord`, which gives a clearer, testable decomposition of flight operations, monitoring, and maintenance.
Total: Model 1 = 6, Model 2 = 13
Choice: B
Reason:
1. Cohesion and Decoupling: Model 2 separates the major concerns into dedicated classes and role-based associations, while Model 1 includes a clearly unrelated `RoomMaster` link and merges several domain boundaries too aggressively.
2. Complexity: Model 2’s extra classes and enums are justified by the requirement’s distinct concepts; Model 1 is simpler mainly because it under-models required parts of the domain rather than because it is optimally balanced.
3. Practicability: Model 2 is more readable and testable as a real design because it explicitly represents the terminal, navigation aid, dashboard, logs, and maintenance flows that the requirement describes.
4. Rejected or checked issues: I did not use association directionality alone, primitive type aliases like `int` vs `Integer`, optional abstractness, or equivalent multiplicity spellings as negative evidence.
5. Overall judgment: Model 2 is clearly better because it covers the required operational workflow more completely and with cleaner domain structure, while Model 1 has a semantic stray relation and several missing or blurred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</si>
  <si>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</si>
  <si>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includes most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misses explicit `AirportTerminal` and `NavigationAid` classes and contains the irrelevant `RoomMaster` association. Model 2 includes those same core classes plus `AirportTerminal`, `NavigationAid`, and supporting enums like `ClearanceLevel`, `ConditionType`, and `NavAidType`, so it is fully aligned with the domain.
2. Associations/Multiplicities between classes for domain reasoning: Model 1 = 2, Model 2 = 5; Evidence: Model 1 has some correct links like `FlightPlan *-- RouteSegment`, `AirspaceSector *-- Runway`, `ControlTower *-- AirTrafficController`, and `FlightLog -- CrewMember`, but it omits or misplaces several key relationships such as the specific departure terminal, navigation aids, route segments connecting exactly two waypoints, and flight plans being monitored by controllers; it also incorrectly ties `WeatherReport` to `FlightInstance`. Model 2 explicitly models the major required relations and multiplicities, including `FlightInstance --&gt; AircraftStatus`, `FlightInstance --&gt; PassengerManifest`, `FlightInstance --&gt; EventLog`, `FlightInstance --&gt; AirportTerminal`, `FlightInstance --&gt; FlightPlan`, `FlightPlan --&gt; RouteSegment`, two waypoint links for each `RouteSegment`, `Waypoint --&gt; NavigationAid`, `AirspaceSector --&gt; AirspaceSector` for sub-sectors, `Runway --&gt; ControlTower`, `ControlTower --&gt; CommunicationChannel`, and `CrewMember --&gt; FlightLog`.
3. Model attributes with appropriate data types: Model 1 = 2, Model 2 = 4; Evidence: Model 1 uses some plausible types like `scheduledTime: Date` and `systemHealthScore: Integer`, but it keeps several context-sensitive concepts as plain strings, such as `FlightPlan.clearanceLevel: String`, `WeatherReport.conditionType: String`, and `Waypoint.type/frequency/locationCoordinates` instead of modeling navigation aids separately. Model 2 improves this with enums for `ClearanceLevel`, `ConditionType`, and `NavAidType`, plus more specific types like `FlightPlan.requiredClearanceLevel: ClearanceLevel`, `EventLog.timestamp: DateTime`, and `AircraftStatus.systemHealthScore: int`, though it still has a few minor type mismatches such as `CrewMember.certificationStatus: String`.
4. Consistencies of Terminology with given context: Model 1 = 3, Model 2 = 5; Evidence: Model 1 matches the domain in many places with names like `FlightInstance`, `AircraftStatusRecord`, `FlightPlan`, `AirTrafficController`, and `MaintenanceRecord`, but it also introduces a clear out-of-context term with `FlightInstance -- RoomMaster` and uses a generic `Dashboard` instead of the more context-specific control dashboard. Model 2 keeps terminology tightly aligned with the prompt by using `AircraftStatus`, `AirportTerminal`, `NavigationAid`, `SystemDashboard`, `FlightLog`, `ClearanceLevel`, and `ConditionType`, with only minor naming drift such as `maintainFlightLog()` being singular.
5. Adherence of UML class diagram standards: Model 1 = 4, Model 2 = 5; Evidence: Model 1 is still readable as a PlantUML class diagram with valid class and association syntax, but it includes the stray `RoomMaster` reference and lacks the richer standard UML structure seen in the requirement mapping. Model 2 uses standard UML/PlantUML conventions more cleanly, with enums, classes, methods, labeled associations, and multiplicities that make the diagram easier to interpret as a class model.
Total: Model 1 = 15, Model 2 = 24
Choice: B
Reason:
1. Appropriate conceptual classes aligned with the domain: Model 2 is more complete because it adds `AirportTerminal`, `NavigationAid`, and the relevant enums, while Model 1 omits those and introduces the irrelevant `RoomMaster` link.
2. Associations/Multiplicities between classes for domain reasoning: Model 2 captures the required lifecycle and infrastructure relationships far more completely, especially the flight-plan, waypoint, runway, tower, terminal, radar, and crew-log links.
3. Model attributes with appropriate data types: Model 2 models key domain values with stronger types and enums, while Model 1 leaves several important domain concepts as generic strings and misplaces navigation-related data on `Waypoint`.
4. Consistencies of Terminology with given context: Model 2 stays close to the prompt’s terminology throughout; Model 1 has a noticeable out-of-context term with `RoomMaster` and a few generic replacements.
5. Rejected or checked issues: I did not penalize either model for using lowercase primitive aliases like `int` or `boolean`, and I did not treat association direction alone as a difference when the semantics were otherwise equivalent.</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</si>
  <si>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</si>
  <si>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</si>
  <si>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</si>
  <si>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Model 1 = 5, Model 2 = 4; Evidence: Model 1 includes the full project flow with `ResearchProject` encompassing `LaboratoryExperiment` and `ClinicalTrial`, plus `PublicationRecord`, `CompoundReport`, `RegulatoryReview`, `PharmacokineticStudy`, and `AssayProtocol`. Model 2 covers most of the same areas, but uses a more generic `PublicationRecord` and omits a distinct review entity in favor of `DrugCandidate "*" --&gt; "*" RegulatoryAgency : reviewed by`, which is less explicit than the requirement’s drug-candidate review process.
2. Experimental data and validation pipeline: Model 1 = 5, Model 2 = 4; Evidence: Model 1 directly links `LaboratoryExperiment` to `QuantitativeResult` and `ExperimentLog`, then connects `StatisticalAnalysis` to `QuantitativeResult`, and `DataValidator` to `QuantitativeResult` with `schemaVersion` on the validator. Model 2 has `LaboratoryExperiment` to `QuantitativeResult`, `ExperimentLog`, `StatisticalAnalysis`, and `DataValidator`, but it does not explicitly connect `StatisticalAnalysis` to the results it analyzes, so the computation chain is less precise.
3. Compound and drug-candidate modeling: Model 1 = 5, Model 2 = 4; Evidence: Model 1 defines `Compound` with `weight` and `chemicalFormula`, subclasses it into `SmallMolecule`, `Biologic`, `Peptide`, and `SyntheticCompound`, and adds `DrugCandidate` with `stage`, `DosageRegimen`, `ToxicityProfile`, and `AdverseEventReport` with `category`, `patientNotes`, `severity`, and `isLifeThreatening`. Model 2 has `MolecularCompound` with the same base properties and subclasses, plus `DrugCandidate`, `DosageRegimen`, `ToxicityProfile`, and `AdverseEvent`, but it is less faithful to the requirement’s report-oriented safety wording because the adverse-event artifact is modeled more generically.
4. Interaction, simulation, trial, assay, and PK relationships: Model 1 = 5, Model 2 = 4; Evidence: Model 1 explicitly connects `DrugCandidate` to `TargetProtein` and `BindingAffinity`, `TargetProtein` to `SimulationModel`, `SimulationModel` to `Compound`, `ClinicalTrial` to `StudyCohort` and `Compound`, `StudyCohort` to `TargetProtein` and `Protocol`, `AssayProtocol` to `DataValidator`, and `PharmacokineticStudy` to `BindingAffinity`. Model 2 covers the same overall areas with `DrugCandidate`, `TargetProtein`, `BindingAffinity`, `SimulationModel`, `ClinicalTrial`, `StudyCohort`, `AssayProtocol`, and `PharmacokineticStudy`, but some links are less explicit, such as `StudyCohort "*" --&gt; "1" AssayProtocol : assigned` instead of a broader protocol structure, and it lacks the clearer assay-protocol class detail in Model 1.
5. Naming precision and semantic clarity: Model 1 = 5, Model 2 = 3; Evidence: Model 1 uses names that closely match the requirement vocabulary, such as `TrialType`, `SimulationStatus`, `AdverseEventReport`, `RegulatoryReview`, and `CompoundReport`, and includes descriptive attributes like `compoundId`, `proteinId`, and `sequenceIdentifier`. Model 2 is still recognizable, but it generalizes several required concepts more aggressively, such as `StudyType` instead of a direct trial-type naming, `ModelStatus`, `AdverseEvent` instead of an explicit report entity, and `AssayProtocol` without the requirement’s compound-class identification detail.
Total: Model 1 = 25, Model 2 = 19
Choice: A
Reason:
1. Requirement coverage: Model 1 tracks the end-to-end platform more faithfully, especially around publication, review, compound reports, and the experiment-to-analysis pipeline. Model 2 is broadly aligned but is less explicit in a few requirement-critical places.
2. Relationship fidelity: Model 1 makes the analysis and validation chain more concrete by tying `StatisticalAnalysis` and `DataValidator` directly to `QuantitativeResult`, while Model 2 leaves that relationship more implicit.
3. Domain specificity: Model 1 preserves more of the requirement’s terminology and structure, especially `AdverseEventReport`, `RegulatoryReview`, and `CompoundReport`, which makes the diagram closer to the stated domain.
4. Rejected or checked issues: I did not use association direction, bidirectionality style, primitive type spelling, or equivalent multiplicity notation as negative evidence because those are explicitly forbidden penalties.
5. Overall judgment: Both models are broadly plausible, but Model 1 is materially closer to the requirement with fewer semantic shortcuts and stronger explicit relationships, so it is the better answer.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</si>
  <si>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</si>
  <si>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the workflow into focused domain classes such as `LaboratoryExperiment`, `QuantitativeResult`, `ExperimentLog`, `StatisticalAnalysis`, `DataValidator`, `SafetyAssessment`, and `RegulatoryReview`, and it uses specific enums like `DevelopmentStage`, `TrialType`, `SeverityLevel`, and `EventCategory`. Model 2 is also modular, but it flattens several concepts into generic fields such as `DrugCandidate.developmentStage : String`, `AdverseEvent.category : String`, `AdverseEvent.severityLevel : String`, and `AssayProtocol.method : String`, so the responsibilities are less sharply separated.
2. Complexity: Model 1 = 4, Model 2 = 3; Evidence: Model 1 is structurally larger, with more classes and two clear inheritance families (`Compound` and `Protocol`) plus multiple enums, but that added structure is aligned with the requirement’s end-to-end scientific workflow. Model 2 has fewer distinct structural elements and one main inheritance family (`MolecularCompound` subclasses), but it also collapses some required concepts into strings and omits explicit intermediates such as `RegulatoryReview`, so it is simpler but less well balanced for the domain.
3. Practicability: Model 1 = 4, Model 2 = 3; Evidence: Model 1 is more practical for implementation and testing because it exposes concrete artifacts like `DataValidator.schemaVersion`, `StatisticalAnalysis.meanValue`, `CompoundReport`, and `RegulatoryReview`, which support traceable validation and review flows. Model 2 is readable, but traceability is weaker because `DrugCandidate` connects directly to `RegulatoryAgency`, `AssayProtocol` lacks an explicit compound-class field, and several domain constraints are left as free-form strings.
Total: Model 1 = 12, Model 2 = 9
Choice: A
Reason:
1. Cohesion and Decoupling: Model 1 keeps the major scientific and regulatory concerns in dedicated classes, while Model 2 compresses several of those concerns into generic string-based fields.
2. Complexity: Model 1 is more detailed, but the extra structure is justified by the breadth of the requirement; Model 2 is smaller, but some of that simplicity comes from under-modeling required concepts rather than from better abstraction.
3. Rejected or checked issues: I did not use association direction, primitive type spelling, equivalent multiplicities, or comment annotations as negative evidence, since those are forbidden factors.
4. Overall judgment: Model 1 better matches the requested end-to-end drug discovery platform, with clearer domain structure and more testable, auditable relationships. Model 2 is cleaner at a glance, but it loses too much semantic precision to score higher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</si>
  <si>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</si>
  <si>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full core set the prompt asks for, such as `ResearchProject`, `LaboratoryExperiment`, `ClinicalTrial`, `Compound` and its subclasses, `DrugCandidate`, `ToxicityProfile`, `AdverseEventReport`, `TargetProtein`, `SimulationModel`, `RegulatoryReview`, `PublicationRecord`, and `CompoundReport`. Model 2 also captures many major concepts, including `ResearchProject`, `LaboratoryExperiment`, `ClinicalTrial`, `MolecularCompound`, `DrugCandidate`, `ToxicityProfile`, `TargetProtein`, `SimulationModel`, and `CompoundReport`, but it is less complete because it lacks a separate `Protocol` class and a separate `RegulatoryReview` concept, and it folds the adverse-event reporting concept into `AdverseEvent`.
2. Associations/Multiplicities between classes for domain reasoning: Model 1 = 4, Model 2 = 3; Evidence: Model 1 links the major workflow pieces well, including `ResearchProject *-- "*" LaboratoryExperiment`, `ResearchProject *-- "*" ClinicalTrial`, `LaboratoryExperiment *-- "*" QuantitativeResult`, `DrugCandidate *-- "1" DosageRegimen`, `DrugCandidate *-- "1" ToxicityProfile`, `ClinicalTrial *-- "*" StudyCohort`, and `AssayProtocol --&gt; "*" DataValidator`. Model 2 covers the main connections too, such as `ResearchProject "1" --&gt; "*" LaboratoryExperiment`, `ClinicalTrial "1" --&gt; "*" StudyCohort`, and `TargetProtein "1" --&gt; "*" SimulationModel`, but it has more rigid or weaker fits for the requirement, for example `MolecularCompound "1" --&gt; "1" DrugCandidate` and `Researcher "1" --&gt; "1" Institution`, which narrow relationships that the prompt describes more flexibly.
3. Model attributes with appropriate data types: Model 1 = 5, Model 2 = 3; Evidence: Model 1 models most required fields with suitable types, including `LaboratoryExperiment.sampleCount : int`, `LaboratoryExperiment.executionDate : Date`, `QuantitativeResult.value : double`, `QuantitativeResult.observationDate : Date`, `DrugCandidate.isValidated : boolean`, `DrugCandidate.validationDate : Date`, `SimulationModel.score : double`, and `AdverseEventReport.severity : SeverityLevel`. Model 2 has some correct types, such as `LaboratoryExperiment.sampleCount : Integer`, `QuantitativeResult.value : Float`, `SimulationModel.score : Float`, and `DrugCandidate.validationDate : Date`, but it weakens several required concepts with generic or less appropriate types like `DrugCandidate.developmentStage : String`, `DosageRegimen.frequency : String`, and it omits a number of detailed attributes present in the prompt and in Model 1.
4. Consistencies of Terminology with given context: Model 1 = 5, Model 2 = 3; Evidence: Model 1 stays close to the prompt vocabulary with terms like `ClinicalTrial`, `AssayProtocol`, `BindingAffinity`, `RegulatoryReview`, `CompoundReport`, `DevelopmentStage`, and `AdverseEventReport`. Model 2 is still recognizable but diverges more often from the prompt language, using `StudyType` instead of `TrialType`, `AdverseEvent` instead of `AdverseEventReport`, and `ModelStatus` instead of `SimulationStatus`, while also omitting the `RegulatoryReview` term entirely.
5. Adherence of UML class diagram standards: Model 1 = 5, Model 2 = 5; Evidence: Both diagrams are valid PlantUML class diagrams with enums, classes, inheritance, associations, and multiplicities rendered in standard UML notation. Model 1 and Model 2 each use syntactically acceptable class declarations and relationship forms, and neither has notation errors that would make the diagram unreadable.
Total: Model 1 = 24, Model 2 = 18
Choice: A
Reason:
1. Appropriate conceptual classes: Model 1 covers the domain more completely, especially with `RegulatoryReview`, `Protocol`, `AdverseEventReport`, and the full set of compound-related and safety-related concepts. Model 2 is broadly aligned but drops or collapses several central concepts.
2. Associations/multiplicities: Model 1 captures the end-to-end workflow more faithfully, from projects to experiments, analysis, safety, simulation, trials, and regulatory review. Model 2 has the same general shape, but some multiplicities and links are more constrained or less faithful to the prompt.
3. Attributes/terminology: Model 1 preserves the prompt’s language and data detail more consistently, especially for experimental outputs, adverse-event reporting, and validation. Model 2 is simpler, but that simplicity comes from missing or weakening several required details rather than from an equally precise alternative design.
4. Rejected or checked issues: I did not penalize either model for using opposite-direction associations, lowercase primitive aliases, or equivalent multiplicity literals, since those are semantically equivalent under the scoring rules.
5. Overall judgment: Model 1 is the better UML model because it is more complete and more faithful to the drug-discovery domain across classes, relationships, and attributes, while Model 2 remains usable but omits or weakens several important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</si>
  <si>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</si>
  <si>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5, Model 2 = 2; Evidence: Model 1 explicitly includes `ResearchProject`, `LaboratoryExperiment`, `ClinicalTrial`, `Compound`, `DrugCandidate`, `TargetProtein`, `StudyCohort`, `AssayProtocol`, `PharmacokineticStudy`, `RegulatoryAgency`, and `PublicationRecord`. Model 2 collapses much of this into `Project`, `Experiment`, `Result`, `Validator`, and `Report`, and does not model separate classes for lab experiments vs clinical trials, study cohorts, assay protocols, regulatory review, or publication records.
2. Relationship and cardinality fidelity: Model 1 = 4, Model 2 = 2; Evidence: Model 1 has explicit structural links such as `ResearchProject *-- "*" LaboratoryExperiment`, `ResearchProject *-- "*" ClinicalTrial`, `ClinicalTrial *-- "*" StudyCohort`, `StudyCohort --&gt; "1..*" Protocol`, `QuantitativeResult --&gt; "1" DataValidator`, and `Researcher --&gt; "*" CompoundReport`. Model 2 only provides broad associations like `Project o-- Experiment`, `Experiment o-- Result`, `ClinicalTrial o-- DrugCandidate`, and `Protocol o-- ClinicalTrial`, so it misses the required project-to-experiment/trial split and the cohort-to-protocol assignment.
3. Attribute and classification fidelity: Model 1 = 5, Model 2 = 2; Evidence: Model 1 captures the required typed classifications with `DevelopmentStage`, `TrialType`, `EventCategory`, `SeverityLevel`, and `SimulationStatus`, plus structured attributes like `DosageRegimen(amount, frequency, unit)`, `ToxicityProfile(isCarcinogenic)`, `TargetProtein(sequence, sequenceIdentifier)`, and `SimulationModel(solventInclusion, forceFieldConfig, score)`. Model 2 flattens several of these into strings, for example `DrugCandidate +dosageRegimen: String`, `+toxicityProfile: String`, `SimulationModel +status: String`, and `Protocol +method: String`, which is a weaker match to the required domain structure.
4. Validation, safety, and regulatory workflow: Model 1 = 4, Model 2 = 1; Evidence: Model 1 includes `DataValidator(schemaVersion)`, `SafetyAssessment(symptomEvaluation, severityCheck)`, `AdverseEventReport(category, patientNotes, severity, isLifeThreatening)`, `RegulatoryAgency`, `RegulatoryReview`, `CompoundReport`, and `ResearchProject --&gt; "*" PublicationRecord`. Model 2 only has `Validator.validate(inputs, schemaVersion)` and `Researcher -- Report`, so it omits the safety-assessment, adverse-event, regulatory-review, publication, and compound-report parts of the workflow.
5. Simulation, trial, and compound lifecycle integration: Model 1 = 4, Model 2 = 1; Evidence: Model 1 links `TargetProtein --&gt; "*" SimulationModel`, `SimulationModel --&gt; "*" Compound`, `ClinicalTrial --&gt; "*" Compound`, `PharmacokineticStudy --&gt; "*" BindingAffinity`, and `AssayProtocol` as a specialization of `Protocol`. Model 2 has only `SimulationModel -- TargetProtein` and `ClinicalTrial o-- DrugCandidate`, with no compound-simulation link, no study cohort class, no assay protocol class, and no pharmacokinetic study.
Total: Model 1 = 22, Model 2 = 8
Choice: A
Reason:
1. Core coverage: Model 1 models the major entities the prompt asks for, while Model 2 compresses several distinct concepts into generic placeholders and omits multiple required domain classes.
2. Relationship fidelity: Model 1 expresses the project/experiment/trial/cohort/protocol structure much more explicitly; Model 2 leaves these relationships underspecified or attaches them to the wrong level of abstraction.
3. Workflow completeness: Model 1 covers validation, safety assessment, adverse-event reporting, regulatory review, publication, and reporting; Model 2 only covers a validator and a generic report.
4. Rejected or checked issues: I did not use association direction, primitive type spellings, or comments as negative evidence, since those are explicitly non-scoring factors here.
5. Overall judgment: Model 1 is substantially closer to the requirement end-to-end. It is not perfect, but it preserves the domain structure and most required relationships far better than Model 2, which omits too many essential concepts and collapses too much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</si>
  <si>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</si>
  <si>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concerns into focused classes such as `DataValidator`, `StatisticalAnalysis`, `SafetyAssessment`, `DosageRegimen`, `ToxicityProfile`, `AdverseEventReport`, `BindingAffinity`, and `CompoundReport`, with explicit associations between them. Model 2 flattens several concerns into scalar fields, e.g. `DrugCandidate` stores `developmentStage`, `dosageRegimen`, and `toxicityProfile` as strings, and `Result` collapses logging into a single `log: String`, which weakens cohesion and makes the design less modular.
2. Complexity: Model 1 = 4, Model 2 = 2; Evidence: Model 1 uses a broad set of domain classes and controlled inheritance, including `Compound` specialized into `SmallMolecule`, `Biologic`, `Peptide`, `SyntheticCompound`, and `DrugCandidate`, plus `Protocol` specialized into `AssayProtocol`, and separate classes for trials, cohorts, PK studies, regulatory review, and publications. Model 2 has far fewer classes and no inheritance structure, with core domain distinctions compressed into simple attributes and enums like `CompoundType`, `trialType`, and `status`, which makes it simpler but too shallow for the stated end-to-end domain.
3. Practicability: Model 1 = 4, Model 2 = 2; Evidence: Model 1 is more directly implementable and testable because it models the required workflow with explicit entities for experiments, quantitative results, logs, validation, compounds, candidate safety, clinical trials, cohorts, protocols, pharmacokinetic studies, regulatory reviews, and publication records. Model 2 is readable, but practical coverage is thin: `Experiment` has no separate log entity, `DrugCandidate` keeps `dosageRegimen` and `toxicityProfile` as strings instead of structured objects, and `ClinicalTrial` lacks explicit cohorts and protocol assignment detail, which would make real testing and maintenance harder.
Total: Model 1 = 12, Model 2 = 6
Choice: A
Reason:
1. Cohesion and Decoupling: Model 1 keeps major concerns in dedicated classes, while Model 2 collapses several domain concepts into plain attributes, reducing modularity.
2. Complexity: Model 1 is larger but appropriately detailed for the requirement; Model 2 is smaller, but it is too compressed and omits important domain structure.
3. Practicability: Model 1 supports a realistic implementation path for validation, analysis, safety, trials, and regulatory review; Model 2 is too coarse-grained for robust testing and maintenance.
4. Rejected or checked issues: I did not penalize either model for association directionality, primitive type spelling, or multiplicity notation equivalents, since those are semantically equivalent under the rules.
5. Overall judgment: Model 1 is better because it captures the required end-to-end drug-discovery workflow with substantially more faithful domain structure, while Model 2 over-simplifies key parts of the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</si>
  <si>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</si>
  <si>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the core domain set from the requirement, such as `ResearchProject`, `LaboratoryExperiment`, `ClinicalTrial`, `Compound`, `DrugCandidate`, `ToxicityProfile`, `AdverseEventReport`, `TargetProtein`, `BindingAffinity`, `SimulationModel`, `StudyCohort`, `AssayProtocol`, `PharmacokineticStudy`, `RegulatoryAgency`, and `PublicationRecord`. Model 2 only captures a generic subset like `Project`, `Experiment`, `Result`, `Compound`, `DrugCandidate`, `Interaction`, `TargetProtein`, `SimulationModel`, `ClinicalTrial`, `Protocol`, and `Report`, while omitting major required concepts such as toxicity profiles, adverse event reports, assay protocols, pharmacokinetic studies, regulatory review, and publication records.
2. Associations/Multiplicities between classes for domain reasoning: Model 1 = 4, Model 2 = 2; Evidence: Model 1 models many key relationships, including `ResearchProject *-- LaboratoryExperiment`, `ResearchProject *-- ClinicalTrial`, `LaboratoryExperiment *-- QuantitativeResult`, `LaboratoryExperiment *-- ExperimentLog`, `DrugCandidate *-- DosageRegimen`, `DrugCandidate *-- ToxicityProfile`, `ClinicalTrial *-- StudyCohort`, and `StudyCohort --&gt; Protocol`. Model 2 has only a small set of broad links like `Researcher -- Project`, `Project o-- Experiment`, `Experiment o-- Result`, `Compound o-- DrugCandidate`, `DrugCandidate -- Interaction`, `TargetProtein -- Interaction`, and `ClinicalTrial o-- DrugCandidate`, but it misses most of the required domain relationships and does not capture the richer trial, safety, validation, and publication links.
3. Model attributes with appropriate data types: Model 1 = 4, Model 2 = 2; Evidence: Model 1 gives structured attributes for most entities, such as `sampleCount : int`, `executionDate : Date`, `value : double`, `observationDate : Date`, `schemaVersion : String`, `weight : double`, `chemicalFormula : String`, `isValidated : boolean`, `validationDate : Date`, `amount : double`, `frequency : int`, and `isCarcinogenic : boolean`. Model 2 has some valid attributes like `numSamples : Integer`, `executionDate : Date`, `meanValue : Double`, and `bindingAffinity : Float`, but it also collapses important structure into strings, such as `developmentStage : String`, `dosageRegimen : String`, `toxicityProfile : String`, `status : String`, and `trialType : String`, which weakens the model’s expressiveness.
4. Consistencies of Terminology with given context: Model 1 = 4, Model 2 = 2; Evidence: Model 1 largely follows the prompt’s vocabulary with terms like `ResearchProject`, `LaboratoryExperiment`, `DrugCandidate`, `DosageRegimen`, `ToxicityProfile`, `SafetyAssessment`, `AssayProtocol`, and `CompoundReport`, so the domain intent remains recognizable. Model 2 uses more generic or compressed terminology such as `Project`, `Experiment`, `Result`, `Report`, and `Interaction`, and it turns several domain-specific concepts into plain strings, which makes it less consistent with the supplied context.
5. Adherence of UML class diagram standards: Model 1 = 5, Model 2 = 4; Evidence: Model 1 uses standard UML constructs clearly, including classes, enums, inheritance (`Compound &lt;|-- DrugCandidate`, `Protocol &lt;|-- AssayProtocol`), composition, and association multiplicities, and the PlantUML is structurally coherent. Model 2 is also valid PlantUML and remains readable, with standard class and association syntax, but it is much thinner on UML semantics because it omits multiplicities and uses a very compressed class structure, so it is slightly less complete as a UML class diagram.
Total: Model 1 = 22, Model 2 = 12
Choice: A
Reason:
1. Appropriate classes: Model 1 covers the required domain breadth much more faithfully, while Model 2 collapses many required concepts into generic placeholders and misses several major domain entities entirely.
2. Associations and attributes: Model 1 expresses the project-experiment-trial-compound-safety-validation chain with substantially better domain reasoning and more appropriate typed attributes; Model 2 is too sparse and over-compressed for the requirement.
3. Terminology and UML quality: Model 1 stays close to the prompt’s terminology and uses standard UML structures more completely. I did not penalize Model 1 for opposite-direction association style or equivalent primitive type spellings, since those are semantically equivalent and not a valid basis for scoring.
4. Overall judgment: Model 1 is clearly the better class diagram because it captures the platform’s end-to-end scientific workflow and most of the required domain objects, whereas Model 2 is only a partial generic sketch.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</si>
  <si>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</si>
  <si>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Researcher/project/publication structure: Model 1 = 5, Model 2 = 2; Evidence: Model 1 has separate `Institution`, `Researcher`, `ResearchProject`, and `PublicationRecord` classes, with `Researcher "1" --&gt; "1" Institution`, `Researcher "1" --&gt; "*" ResearchProject : leads`, and `ResearchProject "1" --&gt; "*" PublicationRecord : documents`. Model 2 only has `Researcher {institution: String}` and `Project`, linked by `Researcher -- Project`, with no separate institution class or publication record.
2. Experiment/result/validation pipeline: Model 1 = 5, Model 2 = 2; Evidence: Model 1 models `LaboratoryExperiment {stage, sampleCount, executionDate}`, `QuantitativeResult {observationDate, value}`, `ExperimentLog {note, timestamp}`, `StatisticalAnalysis {meanValue}`, and `DataValidator {schemaVersion}`, plus relations for generating, logging, analyzing, and validating. Model 2 collapses this into `Experiment {numSamples, executionDate, observationDate}`, `Result {meanValue, timestamp, log}`, and `Validator.validate(...schemaVersion)`, so the log and analysis concepts are merged rather than modeled distinctly.
3. Compound/drug candidate/safety/regulatory/reporting: Model 1 = 5, Model 2 = 2; Evidence: Model 1 has `MolecularCompound` with subclasses `SmallMolecule`, `Biologic`, `Peptide`, `SyntheticCompound`, plus `ChemicalLibrary`, `DrugCandidate {developmentStage, isValidated, validationDate}`, `DosageRegimen`, `ToxicityProfile {isCarcinogenic}`, `AdverseEvent {category, patientNotes, severityLevel, isLifeThreatening}`, `SafetyAssessment`, `RegulatoryAgency`, and `CompoundReport`. Model 2 includes only `Compound`, `CompoundType`, `DrugCandidate {developmentStage, dosageRegimen, toxicityProfile}`, and `Report`, but it does not separately model toxicity profiles, adverse events, safety assessment, regulatory review, or compound-library storage.
4. Interaction/simulation/trial/protocol/pharmacokinetics: Model 1 = 5, Model 2 = 2; Evidence: Model 1 includes `TargetProtein {sequence, sequenceId}`, `BindingAffinity {constant, unit}`, `SimulationModel {status, solventInclusion, forceFieldConfig, score}`, `ClinicalTrial {studyType}`, `StudyCohort {size}`, `AssayProtocol`, and `PharmacokineticStudy`, with explicit relations tying compounds, targets, cohorts, protocols, and affinities together. Model 2 has `Interaction {bindingAffinity, affinityUnit}`, `TargetProtein`, `SimulationModel {status, score}`, `ClinicalTrial {trialType, cohortSize}`, and `Protocol`, but it omits the separate cohort class, assay protocol, PK study, study-type enum, and the compound-simulation linkage.
5. Semantic fidelity and hallucination control: Model 1 = 4, Model 2 = 1; Evidence: Model 1 mostly mirrors the requirement vocabulary directly and keeps most relationships explicit, though some multiplicities are somewhat rigid, such as `MolecularCompound "1" --&gt; "1" DrugCandidate` and `SimulationModel "*" --&gt; "1" MolecularCompound`. Model 2 adds several unsupported details like `Project {startDate, endDate}`, `Experiment {observationDate}`, `Result {log}`, `Researcher {institution: String}`, and `ClinicalTrial {cohortSize}`, while also missing many required classes and relations.
Total: Model 1 = 24, Model 2 = 9
Choice: A
Reason:
1. Researcher/project/publication structure: Model 1 directly models institutions, project leadership, and publication records; Model 2 reduces these to a string field and a bare project association.
2. Experiment/result/validation pipeline: Model 1 preserves the separate experiment, result, log, analysis, and validator concepts; Model 2 merges several of them into single classes and loses the statistical-analysis abstraction.
3. Compound/drug candidate/safety/regulatory/reporting: Model 1 covers compound subclasses, libraries, dosage, toxicity, adverse events, safety assessment, regulation, and reporting; Model 2 only captures the bare compound and drug-candidate shell.
4. Interaction/simulation/trial/protocol/pharmacokinetics: Model 1 models protein interactions, affinities, simulations, cohorts, protocols, and PK studies explicitly; Model 2 has a partial interaction/trial sketch but omits key domain classes and links.
5. Rejected or checked issues: I did not use association arrow direction, primitive-type spelling, or comment syntax as negative evidence, since those are explicitly non-penalized. I also did not penalize Model 1 for being more detailed where the added classes are traceable to the requirement.
6. Overall judgment: Model 1 is substantially closer to the requirement across the full end-to-end drug-discovery workflow, while Model 2 is missing multiple core concepts and introduces several unsupported ones.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</si>
  <si>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</si>
  <si>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most responsibilities into dedicated classes such as `LaboratoryExperiment`, `QuantitativeResult`, `ExperimentLog`, `StatisticalAnalysis`, `DataValidator`, `DosageRegimen`, `ToxicityProfile`, `AdverseEvent`, `SafetyAssessment`, `TargetProtein`, `BindingAffinity`, `SimulationModel`, `AssayProtocol`, `PharmacokineticStudy`, `RegulatoryAgency`, and `CompoundReport`. Its associations keep responsibilities localized, for example `LaboratoryExperiment` generates results/logs and is analyzed by `StatisticalAnalysis`, `ToxicityProfile` flags `AdverseEvent`, and `SafetyAssessment` evaluates both `ToxicityProfile` and `DosageRegimen`. Model 2 is much more coupled and overloaded: `Researcher` stores `institution` as a string, `Project` collapses project metadata into one class, `Experiment` mixes samples, execution date, and observation date, `Result` mixes mean value, timestamp, and log text, and `DrugCandidate` stores `dosageRegimen` and `toxicityProfile` as strings instead of separate concepts.
2. Complexity: Model 1 = 4, Model 2 = 2; Evidence: Model 1 uses a richer but still domain-shaped structure with many classes, one inheritance hierarchy for `MolecularCompound` into `SmallMolecule`, `Biologic`, `Peptide`, and `SyntheticCompound`, and enums for `StudyType` and `ModelStatus`. That is more complex, but the complexity matches the requirement’s end-to-end scope. Model 2 has fewer classes and only one small `CompoundType` enum, which makes it simpler, but it also compresses required domain concepts into broad classes like `Experiment`, `Result`, `DrugCandidate`, and `ClinicalTrial`, so the simplification is achieved by losing required structure rather than by good abstraction.
3. Practicability: Model 1 = 4, Model 2 = 2; Evidence: Model 1 is more practical for implementation and testing because it exposes clear test seams and workflow stages: `DataValidator` for schema validation, `StatisticalAnalysis` for mean computation, `SafetyAssessment` for safety checks, `CompoundReport` for reporting, and explicit relationships for `ClinicalTrial`, `StudyCohort`, `AssayProtocol`, and `RegulatoryAgency`. Model 2 is readable, but it is less actionable in a real project because important behavior is under-modeled: `Validator` has a method, but `DrugCandidate` only links to it loosely, `SimulationModel` has no compound link beyond `TargetProtein -- SimulationModel`, and there are no explicit classes for safety assessment, adverse events, binding affinity, assay protocols, publication records, or regulatory review, which weakens real-world testability and maintenance.
Total: Model 1 = 12, Model 2 = 6
Choice: A
Reason:
1. Cohesion and decoupling: Model 1 keeps major concepts separate and gives them clear roles; Model 2 merges multiple domain concepts into broad classes and string fields, which makes the design less modular.
2. Complexity: Model 1’s larger class set is justified by the requirement’s end-to-end scope and preserves domain structure; Model 2 is simpler only because it omits or collapses required concepts, so its simplicity is not as useful.
3. Practicability: Model 1 is better suited to implementation and testing because it includes explicit validation, analysis, safety, reporting, and review components; Model 2 is too abstracted in the wrong places to support the full workflow cleanly.
4. Rejected or checked issues: I did not use association directionality differences, primitive type spelling, or optional abstractness as negative evidence, since those are explicitly forbidden as scoring factors.
5. Overall judgment: Model 1 is the better UML design because it covers the requested scientific and regulatory workflow with clearer domain boundaries and more testable components, while Model 2 under-models several core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</si>
  <si>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</si>
  <si>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explicitly models most required domain entities and refinements, including `ResearchProject`, `LaboratoryExperiment`, `QuantitativeResult`, `ExperimentLog`, `StatisticalAnalysis`, `DataValidator`, `MolecularCompound` with subclasses, `ChemicalLibrary`, `DrugCandidate`, `DosageRegimen`, `ToxicityProfile`, `AdverseEvent`, `SafetyAssessment`, `TargetProtein`, `BindingAffinity`, `SimulationModel`, `ClinicalTrial`, `StudyCohort`, `AssayProtocol`, `PharmacokineticStudy`, `RegulatoryAgency`, and `CompoundReport`. Model 2 covers only a compressed subset such as `Project`, `Experiment`, `Result`, `Validator`, `Compound`, `DrugCandidate`, `Interaction`, `TargetProtein`, `SimulationModel`, `ClinicalTrial`, `Protocol`, and `Report`, while omitting or flattening several central concepts like toxicity profiles, adverse events, safety assessment, chemical libraries, study cohorts, publication records, and pharmacokinetic studies.
2. Associations/Multiplicities between classes for domain reasoning: Model 1 = 4, Model 2 = 2; Evidence: Model 1 includes many essential relationships with cardinalities, such as `ResearchProject "1" --&gt; "*" LaboratoryExperiment`, `ResearchProject "1" --&gt; "*" ClinicalTrial`, `LaboratoryExperiment "1" --&gt; "*" QuantitativeResult`, `LaboratoryExperiment "1" --&gt; "*" ExperimentLog`, `ClinicalTrial "1" --&gt; "*" StudyCohort`, `StudyCohort "*" --&gt; "1" AssayProtocol`, `AssayProtocol "*" --&gt; "1" DataValidator`, `TargetProtein "1" --&gt; "*" SimulationModel`, and `PharmacokineticStudy "*" --&gt; "*" BindingAffinity`. Model 2 has only a small set of generic links like `Project o-- Experiment`, `Experiment o-- Result`, `Validator -- Experiment`, `Compound o-- DrugCandidate`, `ClinicalTrial o-- DrugCandidate`, `Protocol o-- ClinicalTrial`, and `DrugCandidate -- Validator`, but it misses key domain links for project publication records, cohort/protocol assignment, toxicity/safety assessment, and pharmacokinetic references.
3. Model attributes with appropriate data types: Model 1 = 4, Model 2 = 2; Evidence: Model 1 gives structured attributes with sensible types such as `LaboratoryExperiment.sampleCount: Integer`, `executionDate: Date`, `QuantitativeResult.observationDate: Date`, `ExperimentLog.timestamp: DateTime`, `BindingAffinity.constant: Float`, `BindingAffinity.unit: String`, `SimulationModel.score: Float`, and `DrugCandidate.isValidated: Boolean` with `validationDate: Date`. Model 2 uses some correct primitive types like `Compound.weight: Float` and `TargetProtein.sequence: String`, but several structured concepts are collapsed into strings, for example `DrugCandidate.dosageRegimen: String`, `DrugCandidate.toxicityProfile: String`, `SimulationModel.status: String`, and `ClinicalTrial.trialType: String`; it also models `Researcher.institution: String` instead of a domain relationship.
4. Consistencies of Terminology with given context: Model 1 = 5, Model 2 = 3; Evidence: Model 1 closely matches the requirement vocabulary with `ResearchProject`, `LaboratoryExperiment`, `MolecularCompound`, `DrugCandidate`, `ToxicityProfile`, `SafetyAssessment`, `TargetProtein`, `BindingAffinity`, `AssayProtocol`, `PharmacokineticStudy`, `RegulatoryAgency`, and `CompoundReport`. Model 2 relies on more generic replacements like `Project`, `Experiment`, `Result`, `Validator`, `Interaction`, `Protocol`, and `Report`, which are understandable but less faithful to the specified domain terminology.
5. Adherence of UML class diagram standards: Model 1 = 5, Model 2 = 5; Evidence: Both diagrams are valid PlantUML class diagrams with legal class declarations, enums, inheritance, and association syntax. Model 1 uses standard UML constructs such as `enum`, `class`, inheritance (`MolecularCompound &lt;|-- SmallMolecule`), and associations with multiplicities; Model 2 also uses valid class declarations, an enum, and associations like `Project o-- Experiment` and `TargetProtein -- Interaction`. No UML syntax issue in either diagram materially blocks interpretation.
Total: Model 1 = 23, Model 2 = 15
Choice: A
Reason:
1. Appropriate conceptual classes: Model 1 covers the platform end-to-end with most of the required scientific and regulatory entities, while Model 2 compresses several core concepts into generic placeholders and omits multiple major domain classes.
2. Associations/Multiplicities: Model 1 expresses the workflow and ownership structure much more completely, especially for projects, experiments, cohorts, protocols, validation, and PK/binding relationships; Model 2 leaves most of those domain links underspecified.
3. Attributes and terminology: Model 1 preserves the domain language and keeps structured concepts structured; Model 2 replaces several required concepts with broad terms or string fields, which weakens both semantic fidelity and model usefulness.
4. Rejected or checked issues: I did not penalize either model for equivalent association directionality, lowercase primitive aliases, or missing abstract markers, since those are not valid negative evidence under the rules.
5. Overall judgment: Model 1 is materially stronger on the substance of the UML domain model, while Model 2 is a simplified sketch that misses too many required entities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</si>
  <si>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</si>
  <si>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4, Model 2 = 5; Evidence: both models cover the main end-to-end flow with `ResearchProject`, `LaboratoryExperiment`, `ClinicalTrial`, `MolecularCompound`/`Compound`, `DrugCandidate`, `TargetProtein`, `SimulationModel`, `PublicationRecord`, and `CompoundReport`, but Model 2 matches more requirement-specific concepts such as `AdverseEventReport`, `RegulatoryReview`, `Protocol`, `TrialType`, `EventCategory`, `SeverityLevel`, and explicit `StatisticalAnalysis` over `QuantitativeResult`, while Model 1 keeps some of these as more generic classes like `AdverseEvent` and direct `RegulatoryAgency` review.
2. Relationship and cardinality fidelity: Model 1 = 4, Model 2 = 4; Evidence: Model 1 has clear core links like `ResearchProject "1" --&gt; "*" LaboratoryExperiment`, `ResearchProject "1" --&gt; "*" ClinicalTrial`, `ClinicalTrial "1" --&gt; "*" StudyCohort`, and `StudyCohort "*" --&gt; "1" AssayProtocol`; Model 2 expresses the same project/experiment/trial structure with composition and adds more explicit chains such as `StatisticalAnalysis --&gt; "*" QuantitativeResult` and `StudyCohort --&gt; "1..*" Protocol`, but it also introduces broader-than-needed links like `Compound --&gt; "1..*" ChemicalLibrary` and `SimulationModel --&gt; "*" Compound`.
3. Naming and semantic clarity: Model 1 = 3, Model 2 = 5; Evidence: Model 2 uses names that mirror the prompt closely, including `AdverseEventReport`, `RegulatoryReview`, `DevelopmentStage`, `TrialType`, `EventCategory`, `SeverityLevel`, and `sequenceIdentifier`, while Model 1 uses broader labels like `AdverseEvent`, `StudyType`, `ModelStatus`, and `sequenceId`, which are understandable but less precise.
4. Hallucination / extra detail control: Model 1 = 4, Model 2 = 3; Evidence: Model 1 mostly stays close to the requested domain with limited extra detail such as `name`, `value`, `note`, and `generatedDate`, whereas Model 2 adds many unsupported fields and concepts like `address`, `email`, `expertise`, `budget`, `location`, `capacity`, `validatorId`, `jurisdiction`, `journal`, and `publishDate` that are not needed by the requirement.
Total: Model 1 = 15, Model 2 = 17
Choice: B
Reason:
1. Core requirement coverage: Model 2 covers more of the prompt’s named concepts, especially the reporting, protocol, adverse-event, and validation pieces, while Model 1 keeps those parts more generic.
2. Relationship and cardinality fidelity: Both are broadly sound, but Model 2 makes the analysis and cohort/protocol structure more explicit, which better matches the end-to-end scientific workflow described.
3. Rejected or checked issues: I did not penalize either model for opposite-direction association styles, primitive type aliases, or abstractness choices, because those are explicitly forbidden as scoring factors.
4. Overall judgment: Model 2 is the better semantic fit despite some extra attributes, because it maps more directly to the requirement’s terminology and captures more of the required workflow connections.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</si>
  <si>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</si>
  <si>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major concerns separated with `LaboratoryExperiment`, `QuantitativeResult`, `ExperimentLog`, `DataValidator`, `DrugCandidate`, `ToxicityProfile`, and `SafetyAssessment`, but several domain roles are flattened into broad strings such as `DrugCandidate.developmentStage`, `AdverseEvent.category`, and `SafetyAssessment.severity`. Model 2 separates more of those concerns into dedicated types like `DevelopmentStage`, `EventCategory`, `SeverityLevel`, `AdverseEventReport`, `RegulatoryReview`, and `Protocol`, and it gives `AssayProtocol` its own specialization under `Protocol`, which improves modularity, though the larger network of associations makes it somewhat more coupled overall.
2. Complexity: Model 1 = 3, Model 2 = 4; Evidence: Model 1 is structurally smaller, with one main inheritance tree (`MolecularCompound` to four subclasses) and only two enums (`StudyType`, `ModelStatus`), but it also compresses several required concepts into generic attributes instead of explicit classes. Model 2 is larger, with more classes and enums (`DevelopmentStage`, `TrialType`, `EventCategory`, `SeverityLevel`, `SimulationStatus`), plus an extra inheritance chain (`Protocol` -&gt; `AssayProtocol`) and added workflow classes like `RegulatoryReview`; that is more complex, but it matches the detailed requirement more closely and is still balanced rather than gratuitously large.
3. Practicability: Model 1 = 3, Model 2 = 4; Evidence: Model 1 is readable and testable at a high level, but it leaves several implementation-relevant requirements underspecified, such as `ClinicalTrial` lacking enrollment size, `AssayProtocol` only having `method` rather than compound-class identification, and `AdverseEvent` using free-text `category`/`severityLevel` instead of typed values. Model 2 is more practical for real development and testing because it adds `ClinicalTrial.enrollmentSize`, `StudyCohort.targetFocus`, `AssayProtocol.compoundClass`/`methodName`, `AdverseEventReport` with typed `EventCategory` and `SeverityLevel`, and a distinct `RegulatoryReview` flow, which makes the domain easier to validate end to end.
Total: Model 1 = 9, Model 2 = 12
Choice: B
Reason:
1. Cohesion and decoupling: Model 2 is stronger because it introduces clearer domain boundaries (`AdverseEventReport`, `RegulatoryReview`, `Protocol`) instead of relying as much on generic string attributes, while Model 1 is more compressed but less semantically precise.
2. Complexity: Model 1 is simpler, but that simplicity comes from under-modeling several required concepts; Model 2 has more classes, yet those additions are mostly justified by the requirement and improve expressiveness.
3. Practicability: Model 2 is better suited to implementation and testing because it captures more of the workflow and typed domain structure needed for experiments, safety evaluation, trials, and regulation.
4. Rejected or checked issues: I did not use opposite-direction association styling, PlantUML comments, primitive type aliases, equivalent multiplicity literals, or optional abstractness as negative evidence, because those are explicitly forbidden factors.
5. Overall judgment: Model 2 is the better UML design for this requirement. It is more complete and more operationally useful, while Model 1 is cleaner in places but too coarse for the full end-to-end drug-discovery workflow described.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</si>
  <si>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</si>
  <si>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(`ResearchProject`, `LaboratoryExperiment`, `ClinicalTrial`, `MolecularCompound`, `DrugCandidate`, `ToxicityProfile`, `TargetProtein`, `SimulationModel`, `AssayProtocol`, `PharmacokineticStudy`, `RegulatoryAgency`, `CompoundReport`), but it uses the more generic `AdverseEvent` instead of the report-oriented concept and does not make the regulation/protocol layer explicit. Model 2 covers the same core concepts and adds clearer domain entities such as `AdverseEventReport`, `RegulatoryReview`, and `Protocol`, which are more directly aligned with the requirement.
2. Associations/Multiplicities between classes for domain reasoning: Model 1 = 4, Model 2 = 5; Evidence: Model 1 correctly links `ResearchProject` to multiple `LaboratoryExperiment` and `ClinicalTrial` instances, `ChemicalLibrary` to `MolecularCompound`, `ClinicalTrial` to `StudyCohort`, and `TargetProtein` to `SimulationModel`, but it routes trial enrollment through `DrugCandidate` rather than compounds and ties cohorts specifically to `AssayProtocol` instead of a general protocol concept. Model 2 adds the more requirement-faithful links `ClinicalTrial --&gt; "*" Compound : enrolls`, `StudyCohort --&gt; "1..*" Protocol`, `ClinicalTrial *-- "*" StudyCohort`, and `RegulatoryAgency --&gt; "*" RegulatoryReview`, which better capture the intended reasoning.
3. Model attributes with appropriate data types: Model 1 = 4, Model 2 = 5; Evidence: Model 1 models many key attributes well, such as `LaboratoryExperiment.sampleCount/executionDate`, `QuantitativeResult.observationDate/value`, `ExperimentLog.note/timestamp`, `MolecularCompound.weight/chemicalFormula`, `DosageRegimen.amount/frequency/unit`, and `TargetProtein.sequence/sequenceId`, but it is thinner on requirement-specific detail like compound-class identification on protocols and explicit event/severity typing. Model 2 adds richer, more specific attributes and enums: `DevelopmentStage`, `EventCategory`, `SeverityLevel`, `SimulationStatus`, `AssayProtocol.compoundClass/methodName`, `ClinicalTrial.enrollmentSize/type`, `StudyCohort.targetFocus`, `PublicationRecord.journal/publishDate`, and `AdverseEventReport.category/severity/isLifeThreatening`.
4. Consistencies of Terminology with given context: Model 1 = 4, Model 2 = 5; Evidence: Model 1 mostly follows the prompt language, but it softens some domain terms by using `AdverseEvent` instead of `AdverseEventReport` and `AssayProtocol` where the requirement speaks more generally about protocols. Model 2 tracks the prompt more closely with `AdverseEventReport`, `RegulatoryReview`, `Protocol`, `TrialType`, `EventCategory`, and `SeverityLevel`, even though it uses the broader `Compound` term rather than `MolecularCompound`.
5. Adherence of UML class diagram standards: Model 1 = 5, Model 2 = 5; Evidence: Both are valid PlantUML class diagrams with class declarations, enums, inheritance, and associations with multiplicities. Model 1 uses standard class and association syntax throughout, and Model 2 does as well, with comments and opposite-direction association styling that do not affect UML semantics.
Total: Model 1 = 21, Model 2 = 25
Choice: B
Reason:
1. Appropriate conceptual classes aligned with the domain: Model 2 is more complete because it explicitly models `AdverseEventReport`, `RegulatoryReview`, and `Protocol`, while Model 1 stays slightly more generic with `AdverseEvent` and no explicit review/protocol layer.
2. Associations/Multiplicities: Model 2 better matches the workflow by connecting `ClinicalTrial` to `Compound`, `StudyCohort` to `Protocol`, and `RegulatoryAgency` to `RegulatoryReview`; Model 1 has the broad structure, but the trial/enrollment and cohort/protocol links are less precise.
3. Attributes and terminology: Model 2 provides richer domain typing with `DevelopmentStage`, `EventCategory`, `SeverityLevel`, and `AssayProtocol.compoundClass`, which are closer to the requirement than Model 1’s more minimal field set.
4. Rejected or checked issues: I did not penalize either model for opposite-direction associations or primitive aliases such as `int`, `double`, `Float`, or `Integer`, because those are semantically equivalent under the rules.
5. Overall judgment: Model 2 is the better UML model because it captures more of the required domain structure and uses terminology that more directly reflects the prompt, while Model 1 remains accurate but less explicit in several important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</si>
  <si>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</si>
  <si>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requirement coverage: Model 1 = 1, Model 2 = 5; Evidence: Model 1 includes only a thin slice of the domain (`Researcher`, `Project`, `Experiment`, `Compound`, `DrugCandidate`, `TargetProtein`, `ClinicalTrial`) and omits major required concepts like chemical libraries, study cohorts, adverse event reports, regulatory review, publication records, compound reports, pharmacokinetic studies, and assay protocols. Model 2 covers the full end-to-end flow with `Institution`, `ResearchProject`, `LaboratoryExperiment`, `ChemicalLibrary`, `DrugCandidate`, `TargetProtein`, `SimulationModel`, `ClinicalTrial`, `StudyCohort`, `AssayProtocol`, `PharmacokineticStudy`, `RegulatoryAgency`, `RegulatoryReview`, `PublicationRecord`, and `CompoundReport`.
2. Relationship and cardinality fidelity: Model 1 = 1, Model 2 = 4; Evidence: Model 1 has a few broad links such as `Project o-- Experiment`, `Experiment o-- Result`, `Compound o-- DrugCandidate`, and `ClinicalTrial o-- DrugCandidate`, but it does not model several required structural links like project-to-trials, cohort-to-protocol, assay protocol-to-validator, or compound storage in libraries. Model 2 explicitly models most of the required associations, including `ResearchProject *-- "*" LaboratoryExperiment`, `ResearchProject *-- "*" ClinicalTrial`, `LaboratoryExperiment *-- "*" QuantitativeResult`, `LaboratoryExperiment *-- "*" ExperimentLog`, `ClinicalTrial *-- "*" StudyCohort`, `StudyCohort --&gt; "1..*" Protocol`, `AssayProtocol --&gt; "*" DataValidator`, and `Compound --&gt; "1..*" ChemicalLibrary`.
3. Specialized workflow fidelity: Model 1 = 1, Model 2 = 5; Evidence: Model 1 has placeholders like `Validator`, `Result`, `Interaction`, and `SimulationModel`, but it does not represent statistical analysis, safety assessment, adverse event reporting, binding-affinity measurement as a first-class object, pharmacokinetic study, or regulatory review. Model 2 includes the required workflow pieces: `StatisticalAnalysis`, `DataValidator` with `schemaVersion`, `SafetyAssessment`, `AdverseEventReport`, `BindingAffinity`, `PharmacokineticStudy`, `RegulatoryReview`, and `PublicationRecord`, which map much more directly to the specification.
4. Naming and semantic clarity: Model 1 = 2, Model 2 = 4; Evidence: Model 1 uses several generic or overloaded names such as `Result`, `Protocol`, and `Report`, and its `DrugCandidate` stores `dosageRegimen` and `toxicityProfile` as plain strings, which makes the diagram semantically thin. Model 2 uses more domain-faithful names such as `ResearchProject`, `LaboratoryExperiment`, `QuantitativeResult`, `ExperimentLog`, `ChemicalLibrary`, `ToxicityProfile`, `AdverseEventReport`, `StudyCohort`, and `AssayProtocol`, making the intended concepts clearer even though it also adds some extra identifiers and descriptive attributes.
5. Strict alignment versus extraneous material: Model 1 = 2, Model 2 = 3; Evidence: Model 1 has fewer invented details, but it still introduces vague stand-ins like `Interaction` and `Report` and leaves key required semantics unexpressed. Model 2 adds more non-required detail such as `budget`, `email`, `location`, `capacity`, `isActive`, and many ID fields, but these are mostly harmless refinements and do not contradict the requirement; the larger issue is that it is more verbose, not that it is wrong.
Total: Model 1 = 7, Model 2 = 21
Choice: B
Reason:
1. Core requirement coverage: Model 2 captures the platform end-to-end, while Model 1 only sketches the early research and candidate portions and leaves out most of the requested safety, regulatory, publication, and cohort/protocol machinery.
2. Relationship and cardinality fidelity: Model 2 models the required network of projects, experiments, trials, cohorts, validators, and libraries much more explicitly; Model 1 uses only a few broad associations and misses several essential links.
3. Specialized workflow fidelity: Model 2 includes the specific analysis, safety, binding-affinity, PK, and regulatory classes the requirement calls for; Model 1 collapses or omits most of those responsibilities into generic placeholders.
4. Naming and semantic clarity: Model 2’s class names map closely to the language of the requirement, while Model 1 relies on underspecified names like `Result` and `Report` that do not communicate the required domain concepts as well.
5. Rejected or checked issues: I did not use association direction style, lowercase primitive spellings, or optional abstractness as negative evidence, since those are explicitly non-differentiating under the scoring rules.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</si>
  <si>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</si>
  <si>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collapses multiple concerns into single classes, e.g. `DrugCandidate` stores `developmentStage`, `dosageRegimen`, and `toxicityProfile` as plain strings, and `Result` mixes `meanValue`, `timestamp`, and `log`. Model 2 separates these concerns into dedicated classes such as `DosageRegimen`, `ToxicityProfile`, `AdverseEventReport`, `SafetyAssessment`, `StatisticalAnalysis`, and `ExperimentLog`, with links like `DrugCandidate *-- DosageRegimen` and `LaboratoryExperiment *-- ExperimentLog`, which improves cohesion even though it introduces more domain-necessary coupling.
2. Complexity: Model 1 = 2, Model 2 = 4; Evidence: Model 1 is structurally very small, with roughly a dozen classes and a shallow inheritance structure, but it omits many required domain concepts like chemical libraries, assay protocols, safety assessments, pharmacokinetic studies, and regulatory review. Model 2 has a much richer class set, including `ResearchProject`, `LaboratoryExperiment`, `QuantitativeResult`, `DataValidator`, `ChemicalLibrary`, `DosageRegimen`, `ToxicityProfile`, `BindingAffinity`, `StudyCohort`, `AssayProtocol`, `PharmacokineticStudy`, `RegulatoryReview`, and `PublicationRecord`, plus meaningful inheritance such as `Compound` to `SmallMolecule` / `Biologic` / `Peptide` / `SyntheticCompound` and `Protocol` to `AssayProtocol`.
3. Practicability: Model 1 = 1, Model 2 = 4; Evidence: Model 1 is readable but not practical for real implementation because it lacks major workflow elements required by the specification, such as a `ChemicalLibrary`, explicit `DosageRegimen`, `ToxicityProfile`, `AdverseEventReport`, `SafetyAssessment`, `StudyCohort`, `AssayProtocol`, `PharmacokineticStudy`, `RegulatoryAgency`, and `PublicationRecord`. Model 2 supports an end-to-end platform flow from research and experiments through validation, compound classification, safety assessment, simulation, clinical trials, pharmacokinetics, regulatory review, and publication tracking, making it much more testable and usable in a real system.
Total: Model 1 = 5, Model 2 = 12
Choice: B
Reason:
1. Cohesion and decoupling: Model 2 wins because it decomposes the domain into dedicated classes (`DosageRegimen`, `ToxicityProfile`, `AdverseEventReport`, `SafetyAssessment`, `StatisticalAnalysis`) instead of bundling those responsibilities into broad strings or catch-all objects as Model 1 does.
2. Complexity: Model 2 is better balanced against the requirement because it models the required domain breadth with explicit classes and a shallow, understandable inheritance structure; Model 1 is too small and under-models the system.
3. Practicability: Model 2 is far more viable for implementation and testing because it covers the end-to-end workflow described in the requirement, while Model 1 omits too many essential business concepts to be a realistic design.
4. Rejected or checked issues: I did not penalize either model for opposite-direction associations, primitive type aliases, or equivalent multiplicity spellings, because those are explicitly forbidden as scoring factors.
5. Overall judgment: Model 2 is the stronger UML design by a wide margin. It is more cohesive at the class level, more complete without being incoherent, and much more practical for the specified drug-discovery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</si>
  <si>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</si>
  <si>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only a narrow subset of the required domain (`Researcher`, `Project`, `Experiment`, `Result`, `DrugCandidate`, `TargetProtein`) and omits major concepts like `ChemicalLibrary`, `ToxicityProfile`, `AdverseEventReport`, `BindingAffinity`, `SafetyAssessment`, `AssayProtocol`, `RegulatoryAgency`, and `PublicationRecord`. Model 2 covers the required landscape much more completely with `ResearchProject`, `LaboratoryExperiment`, `ChemicalLibrary`, `Compound` subclasses (`SmallMolecule`, `Biologic`, `Peptide`, `SyntheticCompound`), `DrugCandidate`, `ToxicityProfile`, `AdverseEventReport`, `BindingAffinity`, `SafetyAssessment`, `StudyCohort`, `AssayProtocol`, `PharmacokineticStudy`, `RegulatoryAgency`, and `PublicationRecord`.
2. Associations/Multiplicities between classes for domain reasoning: Model 1 = 2, Model 2 = 4; Evidence: Model 1 has only a few broad links such as `Project o-- Experiment`, `Experiment o-- Result`, `Compound o-- DrugCandidate`, `ClinicalTrial o-- DrugCandidate`, and `SimulationModel -- TargetProtein`, while missing critical relationships for libraries, toxicity/safety assessment, binding affinity, study cohorts, assay protocols, regulatory review, and publication records. Model 2 models most of the required structure: `ResearchProject *-- "*" LaboratoryExperiment`, `ResearchProject *-- "*" ClinicalTrial`, `DrugCandidate *-- "1" DosageRegimen`, `DrugCandidate *-- "1" ToxicityProfile`, `TargetProtein --&gt; "*" SimulationModel`, `ClinicalTrial *-- "*" StudyCohort`, `StudyCohort --&gt; "1..*" Protocol`, `RegulatoryAgency --&gt; "*" RegulatoryReview`, and `ResearchProject --&gt; "*" PublicationRecord`; the main weakness is that some multiplicities are a bit broad rather than perfectly minimal.
3. Model attributes with appropriate data types: Model 1 = 2, Model 2 = 4; Evidence: Model 1 has a few correct scalar attributes such as `weight: Float`, `chemicalFormula: String`, and `bindingAffinity: Float`, but it collapses important structured concepts into strings (`dosageRegimen: String`, `toxicityProfile: String`, `content: String`) and misses many required typed fields. Model 2 uses more appropriate typed attributes across the diagram, including `DevelopmentStage`, `TrialType`, `EventCategory`, `SeverityLevel`, `SimulationStatus`, `amount: double`, `frequency: int`, `unit: String`, `isCarcinogenic: boolean`, `constant: double`, `meanValue: double`, `schemaVersion: String`, and `validationDate: Date`, with only a few fields remaining somewhat generic (`symptomEvaluation`, `severityCheck`).
4. Consistencies of Terminology with given context: Model 1 = 3, Model 2 = 5; Evidence: Model 1 uses some aligned terms but several are generic relative to the prompt, such as `Project`, `Experiment`, `Result`, `Report`, and `Interaction`, which makes the domain mapping less precise. Model 2 consistently uses the prompt’s domain vocabulary and close equivalents, including `ResearchProject`, `LaboratoryExperiment`, `QuantitativeResult`, `ExperimentLog`, `ToxicityProfile`, `StudyCohort`, `AssayProtocol`, `PharmacokineticStudy`, and `RegulatoryReview`, so the terminology stays tightly aligned.
5. Adherence of UML class diagram standards: Model 1 = 5, Model 2 = 5; Evidence: Both models are valid PlantUML class diagrams with standard classes, enums, associations, compositions/aggregations, inheritance, and multiplicities. Neither model has syntax-breaking UML issues that would prevent interpretation.
Total: Model 1 = 14, Model 2 = 23
Choice: B
Reason:
1. Appropriate conceptual classes: Model 2 covers the required domain much more completely than Model 1, which omits many core entities such as `ChemicalLibrary`, `ToxicityProfile`, `AdverseEventReport`, `BindingAffinity`, `SafetyAssessment`, `AssayProtocol`, `RegulatoryAgency`, and `PublicationRecord`.
2. Associations/multiplicities and attributes: Model 2 captures the end-to-end structure of experiments, compounds, candidates, trials, cohorts, safety, simulation, and regulatory review, while Model 1 only has a shallow subset of links and collapses several structured concepts into plain strings.
3. Rejected or checked issues: I did not penalize Model 2 for using subtype hierarchies like `Compound` -&gt; `DrugCandidate` or `Protocol` -&gt; `AssayProtocol`, and I did not treat opposite association direction or primitive-type aliases as defects.
4. Overall judgment: Model 2 is materially more faithful to the requested AI-assisted drug discovery platform, so it scores higher across the domain, attribute, and terminology criteria while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</si>
  <si>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</si>
  <si>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domain coverage: Model 1 = 2, Model 2 = 5; Evidence: Model 1 includes only broad placeholders like `Researcher`, `Project`, `Experiment`, `Compound`, `DrugCandidate`, and `ClinicalTrial`, but omits key required concepts such as `Institution`, `ChemicalLibrary`, `SafetyAssessment`, `AdverseEvent`, `RegulatoryAgency`, `PublicationRecord`, `PharmacokineticStudy`, and compound subclasses. Model 2 covers the main required entities much more directly with `Institution`, `ResearchProject`, `LaboratoryExperiment`, `ClinicalTrial`, `MolecularCompound`, `ChemicalLibrary`, `ToxicityProfile`, `AdverseEvent`, `SafetyAssessment`, `RegulatoryAgency`, `PublicationRecord`, and `CompoundReport`.
2. Relationship and multiplicity fidelity: Model 1 = 2, Model 2 = 4; Evidence: Model 1 has only coarse links like `Researcher -- Project`, `Project o-- Experiment`, `Experiment o-- Result`, and `ClinicalTrial o-- DrugCandidate`, but it misses required links such as projects encompassing clinical trials, cohorts, assay protocols authored by researchers, and compounds stored in libraries. Model 2 explicitly models `ResearchProject "1" --&gt; "*" LaboratoryExperiment`, `ResearchProject "1" --&gt; "*" ClinicalTrial`, `ChemicalLibrary "1" --&gt; "*" MolecularCompound`, `ClinicalTrial "1" --&gt; "*" StudyCohort`, and `AssayProtocol "*" --&gt; "1" DataValidator`, though `MolecularCompound "1" --&gt; "1" DrugCandidate` is a somewhat stricter pairing than the wording implies.
3. Scientific workflow and experiment-data modeling: Model 1 = 1, Model 2 = 5; Evidence: Model 1 collapses several concepts into `Result` with `meanValue`, `timestamp`, and `log`, which does not cleanly separate quantitative results, experiment logs, and statistical analysis; it also has no explicit `StatisticalAnalysis`. Model 2 separates `QuantitativeResult` with `observationDate` and `value`, `ExperimentLog` with `note` and `timestamp`, and `StatisticalAnalysis` with `meanValue`, which matches the experiment pipeline much better.
4. Safety, validation, regulatory, and publication coverage: Model 1 = 1, Model 2 = 5; Evidence: Model 1 has a generic `Validator` and a generic `Report`, but nothing for toxicity profiles, adverse events, safety assessment, validation status, regulatory review, or project publication records. Model 2 directly models `DataValidator` with `schemaVersion`, `DrugCandidate` with `isValidated` and `validationDate`, `ToxicityProfile` with `isCarcinogenic`, `AdverseEvent` with severity and life-threatening flag, `SafetyAssessment`, `RegulatoryAgency`, `PublicationRecord`, and `CompoundReport`.
5. Semantic clarity and grounded naming: Model 1 = 2, Model 2 = 4; Evidence: Model 1 uses very generic or overloaded classes such as `Protocol`, `Result`, and `Report`, and its `DrugCandidate` stores `dosageRegimen` and `toxicityProfile` as plain strings, which weakens the domain meaning. Model 2 uses more domain-specific names like `ResearchProject`, `LaboratoryExperiment`, `QuantitativeResult`, `ExperimentLog`, `AssayProtocol`, `StudyCohort`, and `CompoundReport`, and it models dosage and toxicity as dedicated classes, improving clarity and traceability to the requirement.
Total: Model 1 = 7, Model 2 = 23
Choice: B
Reason:
1. Core domain coverage: Model 2 captures substantially more of the required platform, including institutions, chemical libraries, toxicity/safety, regulatory review, publication records, and compound reports; Model 1 is missing most of these.
2. Relationship and multiplicity fidelity: Model 2 expresses the required project, trial, cohort, protocol, and validator relationships much more explicitly than Model 1, which leaves several key connections unmodeled.
3. Scientific workflow and experiment-data modeling: Model 2 cleanly separates experiment results, logs, and statistical analysis, while Model 1 merges them into a single `Result` concept and omits explicit analysis.
4. Safety, validation, regulatory, and publication coverage: Model 2 directly addresses these requirements with dedicated classes and links; Model 1 largely does not.
5. Rejected or checked issues: I did not penalize Model 2 for using a stricter `MolecularCompound "1" --&gt; "1" DrugCandidate` link, because it is not a clear contradiction strong enough to outweigh its much better overall coverage. I also did not treat Model 1’s `CompoundType` enum as full support for compound classification, because it is not tied to the compound structure the way the requirement implies.
6. Overall judgment: Model 2 is the better diagram by a wide margin because it covers the end-to-end scientific, safety, validation, and regulatory lifecycle described in the requirement, while Model 1 only captures a small subset of it.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</si>
  <si>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</si>
  <si>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collapses distinct concerns into a few broad classes, for example `DrugCandidate` contains `dosageRegimen: String` and `toxicityProfile: String` instead of separate domain objects, and `Result` mixes `meanValue`, `timestamp`, and `log` in one class. Model 2 separates these concerns into `DosageRegimen`, `ToxicityProfile`, `AdverseEvent`, `SafetyAssessment`, `ExperimentLog`, `QuantitativeResult`, and `StatisticalAnalysis`, which gives higher cohesion per class; its coupling is higher because of many associations, but they mostly reflect the domain structure rather than arbitrary dependencies.
2. Complexity: Model 1 = 2, Model 2 = 4; Evidence: Model 1 has a small class set and very shallow structure, but that simplicity comes from omitting many required concepts such as `ChemicalLibrary`, `DosageRegimen`, `SafetyAssessment`, `StudyCohort`, `BindingAffinity`, `RegulatoryAgency`, and `PublicationRecord`. Model 2 is materially larger with many more concept classes and one inheritance hierarchy from `MolecularCompound` to `SmallMolecule`, `Biologic`, `Peptide`, and `SyntheticCompound`, but the added complexity matches the requirement’s end-to-end workflow and domain granularity more closely.
3. Practicability: Model 1 = 2, Model 2 = 4; Evidence: Model 1 is easy to read but too coarse for implementation and testing because key behaviors are reduced to generic strings, such as `SimulationModel.status`, `ClinicalTrial.trialType`, and `DrugCandidate.toxicityProfile`, and it lacks dedicated testing-friendly entities like `DataValidator`, `SafetyAssessment`, `AssayProtocol`, and `BindingAffinity`. Model 2 is more practical because it provides modular units for experiment data, validation, compound management, safety review, clinical study structure, and reporting, such as `LaboratoryExperiment`, `DataValidator`, `ChemicalLibrary`, `SafetyAssessment`, `StudyCohort`, and `CompoundReport`, which supports clearer implementation and unit-level testing.
Total: Model 1 = 6, Model 2 = 12
Choice: B
Reason:
1. Cohesion and decoupling: Model 2 is better because it decomposes the platform into more focused classes (`DosageRegimen`, `ToxicityProfile`, `SafetyAssessment`, `ExperimentLog`) instead of bundling multiple responsibilities into broad attributes like Model 1 does in `DrugCandidate` and `Result`.
2. Complexity: Model 1 is superficially simpler, but that simplicity is mostly under-modeling. Model 2 has more classes and associations, yet those additions correspond to the required lifecycle from experiments through clinical trials and regulatory review, so the complexity is more justified.
3. Practicability: Model 2 is more implementable and testable. It has clearer modules for validation, analysis, safety evaluation, cohort assignment, affinity tracking, and reporting, whereas Model 1 leaves many domain requirements represented only as strings or omitted entirely.
4. Rejected or checked issues: I did not use association direction/style, primitive type aliases, comments, or optional abstractness as negative evidence. I also did not penalize Model 2 just for having more associations, because those links are semantically tied to the requirement.
5. Overall judgment: Model 2 is the stronger UML design because it covers substantially more of the required domain with better separation of concerns and more realistic software structure. Model 1 is more compact, but the compactness comes at the cost of missing major required concepts and collapsing important responsibilities.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</si>
  <si>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</si>
  <si>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4; Evidence: Model 1 covers only a thin slice of the domain with `Researcher`, `Project`, `Experiment`, `Result`, `Compound`, `DrugCandidate`, `TargetProtein`, and `ClinicalTrial`, but it omits major required concepts like `Institution`, `ChemicalLibrary`, `DosageRegimen`, `ToxicityProfile`, `SafetyAssessment`, `AdverseEvent`, `StudyCohort`, `AssayProtocol`, `PharmacokineticStudy`, `RegulatoryAgency`, `PublicationRecord`, and `CompoundReport`. Model 2 includes most of the required conceptual classes: `Institution`, `ResearchProject`, `PublicationRecord`,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and `CompoundReport`, with only minor modeling gaps.
2. Associations/Multiplicities between classes for domain reasoning: Model 1 = 2, Model 2 = 4; Evidence: Model 1 has only a few coarse links such as `Researcher -- Project`, `Project o-- Experiment`, `Experiment o-- Result`, `Compound o-- DrugCandidate`, `DrugCandidate -- Interaction`, `TargetProtein -- Interaction`, `ClinicalTrial o-- DrugCandidate`, and `Protocol o-- ClinicalTrial`, but it omits most essential multiplicities and several domain-critical relationships. Model 2 specifies many domain-relevant relations with multiplicities, including `ResearchProject "1" --&gt; "*" LaboratoryExperiment`, `ResearchProject "1" --&gt; "*" ClinicalTrial`, `LaboratoryExperiment "1" --&gt; "*" QuantitativeResult`, `LaboratoryExperiment "1" --&gt; "*" ExperimentLog`, `ToxicityProfile "1" --&gt; "*" AdverseEvent`, `ClinicalTrial "1" --&gt; "*" StudyCohort`, `StudyCohort "*" --&gt; "1" AssayProtocol`, `AssayProtocol "*" --&gt; "1" DataValidator`, and `CompoundReport "*" --&gt; "1" MolecularCompound`.
3. Model attributes with appropriate data types: Model 1 = 2, Model 2 = 4; Evidence: Model 1 has some correct attributes like `Compound.weight`, `Compound.chemicalFormula`, and `TargetProtein.sequence`, but it compresses important structures into generic strings, for example `DrugCandidate.dosageRegimen: String` and `DrugCandidate.toxicityProfile: String`, and it lacks explicit fields for `schemaVersion`, `DosageRegimen.amount/frequency/unit`, `BindingAffinity.constant/unit`, `validationDate`, and the detailed adverse-event fields. Model 2 models much more of the required data directly: `LaboratoryExperiment.sampleCount` and `executionDate`, `QuantitativeResult.observationDate` and `value`, `ExperimentLog.note` and `timestamp`, `DataValidator.schemaVersion`, `DosageRegimen.amount/frequency/unit`, `DrugCandidate.isValidated` and `validationDate`, `AdverseEvent.category/patientNotes/severityLevel/isLifeThreatening`, `BindingAffinity.constant/unit`, and `SimulationModel.solventInclusion/forceFieldConfig/score`.
4. Consistencies of Terminology with given context: Model 1 = 2, Model 2 = 5; Evidence: Model 1 relies on generic or under-specified labels such as `Result`, `Protocol`, and `Report` where the domain calls for more specific terms like `QuantitativeResult`, `AssayProtocol`, and `CompoundReport`, and it represents dosage and toxicity as plain strings rather than domain concepts. Model 2 consistently uses the requested vocabulary and close domain equivalents such as `ResearchProject`, `LaboratoryExperiment`, `QuantitativeResult`, `ExperimentLog`, `DataValidator`, `ChemicalLibrary`, `ToxicityProfile`, `AdverseEvent`, `SafetyAssessment`, `BindingAffinity`, `StudyCohort`, `AssayProtocol`, `PharmacokineticStudy`, `RegulatoryAgency`, and `CompoundReport`.
5. Adherence of UML class diagram standards: Model 1 = 5, Model 2 = 5; Evidence: Both diagrams are valid PlantUML class diagrams with class declarations, enums, and association syntax that is readable and conventional. Model 1 uses standard class/enum definitions and association lines, and Model 2 does the same while also adding multiplicities and inheritance notation. I did not penalize either model for equivalent multiplicity shorthand, association direction style, or optional abstractness.
Total: Model 1 = 13, Model 2 = 22
Choice: B
Reason:
1. Appropriate conceptual classes: Model 2 covers the domain far more completely, including the experimental, compound, safety, trial, and regulatory concepts that Model 1 mostly omits.
2. Associations/Multiplicity: Model 2 captures the essential network of project, experiment, compound, trial, cohort, protocol, and validation relationships; Model 1 leaves most of those relationships either absent or too generic.
3. Attributes: Model 2 models the required quantitative and operational fields directly, while Model 1 collapses several domain structures into strings and misses key validation and safety fields.
4. Terminology: Model 2 stays close to the problem statement’s vocabulary; Model 1 uses broader placeholders like `Result`, `Protocol`, and `Report` that do not reflect the requested domain detail as well.
5. Rejected or checked issues: I did not use style-only differences such as `*` versus `0..*`, two opposite association lines versus one bidirectional line, or the absence of an explicit `abstract` marker as negative evidence. Model 2’s missing explicit subclass links for compound types is a real modeling gap, but it is not large enough to outweigh its much better domain coverage.
```</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</si>
  <si>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</si>
  <si>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</si>
  <si>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</si>
  <si>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requirement coverage: Model 1 = 5, Model 2 = 3; Evidence: Model 1 includes the full required chain of concepts, from `AlloyBatch` and `MaterialSpecimen` through `ExperimentPlanner`, `ProcessController`, `ResearchProject`, `ComplianceArchive`, `CostEstimator`, `SupplierNetwork`, `QualityAssurance`, and `ReportGenerator`, plus requirement-specific details like `grainStructure`, `defectAnnotation`, `principalInvestigator`, and `budget`. Model 2 covers the same high-level areas, but several requirement facts are flattened or omitted, such as `MaterialSpecimen` lacking grain/defect details, `DesignConstraint` lacking `effectiveDate`, and `ReportGenerator` not producing a separate summary-report artifact.
2. Association and multiplicity fidelity: Model 1 = 5, Model 2 = 3; Evidence: Model 1 models the main structural links with `AlloyBatch "1" *-- "1..*" MaterialSpecimen`, `MaterialSpecimen "1" *-- "1..*" ElementComposition`, `ResearchProject "1" *-- "1..*" ExperimentalDataset`, `ThermalAnalysisRun "*" --&gt; "1" HeatTreatmentProfile`, and `BatchRecord "*" --&gt; "1..*" RegulatoryStandard`. Model 2 includes many of the same relationships, but several are loosened to `0..*` where the requirement says multiple, and some required ties are expressed only as dependencies, such as `MicrostructureAnalysis ..&gt; PhaseDiagramCalculator` and `StressTestRunner ..&gt; PerformanceMetric`.
3. Attribute and detail specificity: Model 1 = 5, Model 2 = 3; Evidence: Model 1 keeps key requirement details on the intended classes, including `HeatTreatmentProfile { name, quenchingStatus, isValidated }`, `ThermalAnalysisRun { peakTemperature, coolingRate }`, `BatchRecord { primaryPhase, qualityStatus }`, and `OptimizationResult { convergenceTracked, recommendedComposition }`. Model 2 captures some important details, such as `PhaseDistribution { austenite, ferrite, martensite, pearlite }` and `ThermalCycleSimulator { coolingRate, peakTemperature }`, but it also generalizes other parts with `SurfaceFinish: String`, `DesignConstraint { limitValue }` without `effectiveDate`, and `ReportGenerator { format: String }` instead of an explicit summary-report structure.
4. Unsupported additions / hallucinations: Model 1 = 4, Model 2 = 3; Evidence: Model 1 adds refinement classes like `ProcessingStep`, `CostEstimation`, `QualityAssuranceReview`, `Supplier`, and `SummaryReport`, but they are recognizable decompositions of the requested domain rather than unrelated inventions. Model 2 adds fewer classes, but it introduces several behavior methods such as `generateProfile()`, `manageRun()`, `runAnalysis()`, and `compileReport()` that are not stated in the requirement and do not materially improve the structural model.
Total: Model 1 = 19, Model 2 = 12
Choice: A
Reason:
1. Core requirement coverage: Model 1 maps more completely to the named domain objects and sub-concepts in the requirement, while Model 2 leaves more of the required detail implicit or collapsed into generic fields.
2. Association and multiplicity fidelity: Model 1’s containment and linkage structure is closer to the described workflow and ownership relations, especially for batches, datasets, runs, and standards.
3. Attribute and detail specificity: Model 1 preserves more of the required semantic detail on the relevant classes, whereas Model 2 generalizes several requirement-level facts into broad types or omits them.
4. Rejected or checked issues: I did not use `*` versus `0..*`, opposite association directions, or primitive-type spelling differences as negatives, because the prompt treats them as semantically equivalent.
5. Overall judgment: Model 1 is the better match because it is more faithful to the full requirement and its relationships, even though it includes some transparent refinement classes. Model 2 is cleaner, but it under-specifies too many required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</si>
  <si>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</si>
  <si>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concerns with dedicated classes like `ExperimentPlanner`, `HeatTreatmentProfile`, `ProcessingStep`, `ProcessController`, `ThermalCycleSimulator`, and `SafetyProtocol`, so planning, execution, and safety are not collapsed into one class. Model 2 is still somewhat modular, but it folds structure into fewer classes, such as `HeatTreatmentProfile` carrying `processingSteps: List` and `isValidated`, and `QualityAssurance` mixing inspector state with `approveBatch()`, which makes the design less cleanly factored.
2. Complexity: Model 1 = 4, Model 2 = 2; Evidence: Model 1 uses a richer but domain-aligned decomposition with many concept classes and explicit outcome objects like `CostEstimation`, `QualityAssuranceReview`, `SummaryReport`, `BatchRecord`, and `OptimizationResult`, which matches the breadth of the requirement. Model 2 is much flatter and relies on generic attributes and collections such as `chemicalMakeup: Map`, `processingSteps: List`, `testType: String`, and `qualityStatus: String`, so it under-models the domain rather than balancing complexity to the stated system scope.
3. Practicability: Model 1 = 4, Model 2 = 2; Evidence: Model 1 is easier to implement and test as a real system because it exposes concrete, separable artifacts for planning, analysis, compliance, cost estimation, QA, and reporting, for example `CostEstimation`, `QualityAssuranceReview`, and `SummaryReport`. Model 2 is readable at a high level, but several important outcomes and workflows are implicit or generic, such as `compileReport()`, `storeRecord()`, and `approveBatch()` without explicit result classes, which makes unit and acceptance testing less concrete.
Total: Model 1 = 12, Model 2 = 7
Choice: A
Reason:
1. Cohesion and Decoupling: Model 1 keeps the major workflow pieces separate with explicit classes and associations, while Model 2 compresses several concerns into fewer service/data classes.
2. Complexity: Model 1’s larger class set is justified by the breadth of the requirement and uses meaningful intermediate/domain objects; Model 2 is too compressed and leaves too much structure implicit.
3. Rejected or checked issues: I did not use opposite-direction associations, primitive type aliases, equivalent multiplicities, or missing abstract markers as negative evidence, because those are explicitly non-penalizable here.
4. Overall judgment: Model 1 is the better UML design because it is more faithful to the domain, more modular, and more practical for implementation and testing, even though it is also more detailed.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</si>
  <si>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</si>
  <si>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explicitly includes the full domain set, such as `AlloyBatch`, `MaterialSpecimen`, `ElementComposition`, `PhaseDistribution`, `ExperimentPlanner`, `HeatTreatmentProfile`, `PhaseDiagramCalculator`, `ProcessController`, `ThermalAnalysisRun`, `ResearchProject`, `ExperimentalDataset`, `ComplianceArchive`, `BatchRecord`, `SupplierNetwork`, `QualityAssurance`, and `ReportGenerator`. Model 2 also includes the same core domain classes, with `AlloyBatch`, `MaterialSpecimen`, `ElementComposition`, `PhaseDistribution`, `ExperimentPlanner`, `HeatTreatmentProfile`, `PhaseDiagramCalculator`, `ProcessController`, `ThermalAnalysisRun`, `ResearchProject`, `ExperimentalDataset`, `ComplianceArchive`, `BatchRecord`, `SupplierNetwork`, `QualityAssurance`, and `ReportGenerator`, so its class coverage is also aligned with the requirement.
2. Associations/Multiplicities between classes for domain reasoning: Model 1 = 4, Model 2 = 3; Evidence: Model 1 gives explicit domain relationships and multiplicities such as `AlloyBatch "1" *-- "1..*" MaterialSpecimen`, `ProcessController "1" --&gt; "1..*" ThermalAnalysisRun`, `ThermalAnalysisRun "*" --&gt; "1" HeatTreatmentProfile`, `BatchRecord "*" --&gt; "1..*" RegulatoryStandard`, and `ReportGenerator "*" --&gt; "*" PerformanceMetric`. Model 2 captures some key links with multiplicities like `AlloyBatch "1" *-- "0..*" MaterialSpecimen`, `ResearchProject "1" *-- "0..*" ExperimentalDataset`, and `BatchRecord "0..*" --&gt; "1" RegulatoryStandard`, but several important relationships are expressed only as dependencies rather than associations, for example `ExperimentPlanner ..&gt; HeatTreatmentProfile`, `ThermalAnalysisRun ..&gt; ThermalCycleSimulator`, `MicrostructureAnalysis ..&gt; PhaseDiagramCalculator`, and `SupplierNetwork ..&gt; DesignConstraint`, which weakens explicit domain reasoning.
3. Model attributes with appropriate data types: Model 1 = 4, Model 2 = 3; Evidence: Model 1 provides richer typed attributes such as `AlloyBatch.batchId: String`, `AlloyBatch.creationDate: Date`, `MaterialSpecimen.density: double`, `MaterialSpecimen.surfaceFinish: SurfaceFinish`, `PhaseDistribution.phaseType: PhaseType`, `PhaseDistribution.fraction: double`, `DesignConstraint.limitValue: double`, `DesignConstraint.effectiveDate: Date`, `BatchRecord.primaryPhase: PhaseType`, and `BatchRecord.qualityStatus: QualityStatus`. Model 2 includes some useful typed attributes like `AlloyBatch.creationDate: Date`, `MaterialSpecimen.density: Float`, `ThermalCycleSimulator.coolingRate: Float`, `SafetyProtocol.temperatureLimit: Float`, and `RegulatoryStandard.effectiveDate: Date`, but it is much sparser overall and often uses generic containers or broad types such as `ElementComposition.chemicalMakeup: Map`, `HeatTreatmentProfile.processingSteps: List`, and `ReportGenerator.format: String`, while omitting several concrete identifiers and domain fields present in Model 1.
4. Consistencies of Terminology with given context: Model 1 = 5, Model 2 = 4; Evidence: Model 1 closely tracks the wording of the requirement with terms like `ElementComposition`, `PhaseDistribution`, `HeatTreatmentProfile`, `PhaseDiagramCalculator`, `SafetyProtocol`, `ComplianceArchive`, `BatchRecord`, `QualityAssurance`, and `SummaryReport`, plus phase enums `AUSTENITE`, `FERRITE`, `MARTENSITE`, and `PEARLITE`. Model 2 remains mostly consistent, but it shifts some domain phrasing into more generic terms such as `chemicalMakeup`, `integrityVerified`, `convergence`, and `format`, and it represents several concepts as operations like `generateProfile()`, `manageRun()`, and `compileReport()` rather than keeping the terminology as explicit structural elements.
5. Adherence of UML class diagram standards: Model 1 = 5, Model 2 = 5; Evidence: Both diagrams are valid PlantUML class diagrams using standard class, enum, association, composition, dependency, and multiplicity notation. Model 1 cleanly declares enums and classes and uses valid relationships like `*--` and `--&gt;`; Model 2 also uses valid PlantUML syntax, including `skinparam`, `hide empty members`, class bodies, and dependency arrows. There is no notation-level breakage in either diagram.
Total: Model 1 = 23, Model 2 = 20
Choice: A
Reason:
1. Appropriate conceptual classes aligned with the domain: both models cover the required alloy-research domain well, so this criterion is effectively tied.
2. Associations/Multiplicities between classes for domain reasoning: Model 1 is stronger because it makes more of the workflow explicit with associations and multiplicities, while Model 2 relies more heavily on dependencies for relationships that the requirement frames as structural domain links.
3. Model attributes with appropriate data types: Model 1 is better because it carries more concrete typed domain data, especially for batch, specimen, phase, compliance, and quality records.
4. Rejected or checked issues: I did not penalize either model for acceptable type aliases like `Float`/`double`, and I did not treat equivalent multiplicity literals or association-arrow style as negative evidence. The decision rests on depth of structural domain modeling, not formatting style.
5. Overall judgment: Model 1 better satisfies the requirement’s need for a rich domain model with explicit relationships and typed attributes, even though both diagrams are syntactically valid and broadly on-topic.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</si>
  <si>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</si>
  <si>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alloy composition model: Model 1 = 5, Model 2 = 3; Evidence: Model 1 models the core unit directly with `AlloyBatch` (`creationDate`) owning `MaterialSpecimen` (`density`, `surfaceFinish`) and links specimens to `ElementComposition` and `PhaseDistribution` via `AlloyBatch "1" *-- "1..*" MaterialSpecimen`, `MaterialSpecimen "1" *-- "1..*" ElementComposition`, and `MaterialSpecimen "1" *-- "1..*" PhaseDistribution`. Model 2 also has `AlloyBatch`, `MaterialSpecimen`, `ElementComposition`, and `PhaseDistribution`, but the classes are much thinner (`ElementComposition` is empty, `MaterialSpecimen` only has `density` and `surfaceFinish`) and it does not capture specimen analysis/annotation behavior as explicitly.
2. Planning and thermal execution workflow: Model 1 = 5, Model 2 = 2; Evidence: Model 1 includes the full chain with `ExperimentPlanner -&gt; HeatTreatmentProfile`, `HeatTreatmentProfile *-- ProcessingStep`, `PhaseDiagramCalculator`, `ProcessController -&gt; ThermalAnalysisRun`, `ThermalCycleSimulator`, `SafetyProtocol`, and `ThermalAnalysisRun -&gt; HeatTreatmentProfile`. Model 2 has only `ExperimentPlanner -- HeatTreatmentProfile`, `ThermalAnalysisRun -- HeatTreatmentProfile`, and `ThermalAnalysisRun -- SafetyProtocol`, while `PhaseDiagramCalculator`, `ProcessController`, and `ThermalCycleSimulator` are present but not meaningfully connected, and there is no `ProcessingStep` structure or validation concept.
3. Research, spectroscopy, and optimization coverage: Model 1 = 5, Model 2 = 2; Evidence: Model 1 captures `ResearchProject` with `principalInvestigator` and `budget`, `ExperimentalDataset` with `dataIntegrityVerified`, `filterCriteria`, and `resultsFiltered`, `SpectroscopyData` with `wavelength`, `emissionIntensity`, and `detectedPhase`, plus `MicrostructureAnalysis` linked to both `MaterialSpecimen` and `SpectroscopyData`, `StressTestRun`, `PerformanceMetric`, and `OptimizationResult`. Model 2 includes the same high-level class names, but `ResearchProject` only has `budget`, `ExperimentalDataset`, `MicrostructureAnalysis`, and `OptimizationResult` are empty, `SpectroscopyData` lacks phase detection, and the links do not express the specimen-to-spectrum-to-optimization flow clearly.
4. Compliance, supplier, QA, and reporting coverage: Model 1 = 5, Model 2 = 1; Evidence: Model 1 includes `DesignConstraint`, `RegulatoryStandard`, `ComplianceArchive *-- BatchRecord`, `BatchRecord` with `primaryPhase` and `qualityStatus`, `CostEstimator`, `SupplierNetwork -&gt; Supplier`, `QualityAssurance -&gt; QualityAssuranceReview`, and `ReportGenerator -&gt; SummaryReport` with `ReportFormat`. Model 2 has the corresponding class names (`DesignConstraint`, `RegulatoryStandard`, `ComplianceArchive`, `CostEstimator`, `SupplierNetwork`, `QualityAssurance`, `ReportGenerator`), but most are disconnected, `ComplianceArchive -- AlloyBatch` skips the required `BatchRecord` layer, and there is no explicit batch approval, vendor filtering, or report-content structure.
5. Relationship semantics, cardinalities, and conceptual clarity: Model 1 = 4, Model 2 = 2; Evidence: Model 1 states many concrete multiplicities and domain links, such as batch-to-specimen, dataset-to-data, and report-generation relationships, and it models the required associations with explicit structures like `BatchRecord "*" --&gt; "1..*" RegulatoryStandard`. Model 2 mostly uses plain `--` associations with no multiplicities, and several required semantic links are absent or too weak, including dataset integrity/filtering, microstructure correlation back to specimens and spectroscopy, and QA approval of batches.
Total: Model 1 = 24, Model 2 = 10
Choice: A
Reason:
1. Core model fidelity: Model 1 represents the alloy batch/specimen/composition/phase core more completely and with clearer ownership structure than Model 2, which is thinner and less explicit.
2. Workflow completeness: Model 1 covers planning, heat-treatment profiling, phase-diagram support, process control, simulation, and safety in a connected flow; Model 2 leaves several of those pieces disconnected or undeveloped.
3. Research and operations coverage: Model 1 includes the research, compliance, QA, supplier, and reporting pipelines in a way that matches the requirement much more closely.
4. Rejected or checked issues: I did not use association arrow style alone, primitive type spellings like `float` vs `double`, or equivalent multiplicity spellings as negative evidence, because those are not meaningful semantic differences under the scoring rules.
5. Overall judgment: Model 1 is substantially closer to the requested domain model and relationship structure, while Model 2 is mostly a sparse skeleton with many required links and behaviors omitted.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</si>
  <si>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</si>
  <si>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groups related responsibilities into coherent modules such as `ExperimentPlanner -&gt; HeatTreatmentProfile`, `ProcessController -&gt; ThermalAnalysisRun / SafetyProtocol`, `ResearchProject -&gt; ExperimentalDataset / DesignConstraint`, and `ReportGenerator -&gt; SummaryReport`; Model 2 keeps many classes empty (`ElementComposition`, `ExperimentPlanner`, `PhaseDiagramCalculator`, `ProcessController`, `OptimizationResult`, `RegulatoryStandard`, `QualityAssurance`, `ReportGenerator`) and uses broad catch-all structures like `PhaseDistribution` with four phase-fraction fields, so responsibilities are less clearly separated.
2. Complexity: Model 1 = 4, Model 2 = 2; Evidence: Both diagrams have no methods and no inheritance, so complexity is driven mainly by class count and granularity. Model 1 has a larger, more faithful set of classes/enums covering batches, specimens, processing, datasets, testing, compliance, cost, suppliers, QA, and reports (`ProcessingStep`, `ThermalCycleSimulator`, `BatchRecord`, `CostEstimation`, `Supplier`, `QualityAssuranceReview`, `SummaryReport`), which matches the breadth of the requirement. Model 2 has fewer classes and collapses multiple required concepts into single shells or attributes (`SafetyProtocol` only stores `emergencyStop` and `temperatureLimits`, `PerformanceMetric` mixes load and increment steps), leaving the structure under-modeled for the stated scope.
3. Practicability: Model 1 = 4, Model 2 = 2; Evidence: Model 1 is more implementable and testable because it models traceable workflows and stored artifacts such as `HeatTreatmentProfile` with `ProcessingStep`, `ThermalAnalysisRun` applying a profile, `ComplianceArchive` containing `BatchRecord`, `CostEstimator` producing `CostEstimation`, and `ReportGenerator` producing `SummaryReport` in `ReportFormat`; Model 2 omits most of those operational and output artifacts, has no report format, no batch record, no cost estimate, and several key links are vague (`PhaseDiagramCalculator -- PhaseDistribution`, `OptimizationResult -- ElementComposition`), making it harder to build, validate, and extend.
Total: Model 1 = 12, Model 2 = 6
Choice: A
Reason:
1. Cohesion and decoupling: Model 1 has more domain-specific modularity and clearer responsibility boundaries; Model 2 is more skeletal and less cohesive in practice.
2. Complexity: Model 1’s higher class count is justified by the required domain breadth, while Model 2 is too compressed and incomplete for the specification.
3. Rejected or checked issues: I did not use association direction/style differences, primitive type aliases, or abstractness differences as negative evidence.
4. Overall judgment: Model 1 better matches the requirement and is more usable as a real UML design, even though it still leaves some implementation detail unspecified.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</si>
  <si>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</si>
  <si>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full core domain set, such as `AlloyBatch`, `MaterialSpecimen`, `ElementComposition`, `PhaseDistribution`, `ExperimentPlanner`, `HeatTreatmentProfile`, `PhaseDiagramCalculator`, `ProcessController`, `ThermalAnalysisRun`, `ResearchProject`, `ExperimentalDataset`, `SpectroscopyData`, `MicrostructureAnalysis`, `StressTestRunner`, `PerformanceMetric`, `OptimizationResult`, `DesignConstraint`, `RegulatoryStandard`, `ComplianceArchive`, `CostEstimator`, `SupplierNetwork`, `QualityAssurance`, and `ReportGenerator`. Model 2 includes several correct core classes like `AlloyBatch`, `MaterialSpecimen`, `HeatTreatmentProfile`, `PhaseDiagramCalculator`, `ProcessController`, `ResearchProject`, `ExperimentalDataset`, and `ReportGenerator`, but it omits many required domain concepts such as `BatchRecord`, `CostEstimator`, `Supplier`/vendor modeling, `QualityAssuranceReview`, and `SummaryReport`.
2. Associations/Multiplicities between classes for domain reasoning: Model 1 = 4, Model 2 = 2; Evidence: Model 1 expresses many required relationships, for example `AlloyBatch "1" *-- "1..*" MaterialSpecimen`, `ExperimentPlanner "1" --&gt; "1..*" HeatTreatmentProfile`, `ProcessController "1" --&gt; "1..*" ThermalAnalysisRun`, `ThermalAnalysisRun "*" --&gt; "1" HeatTreatmentProfile`, `ResearchProject "1" *-- "1..*" ExperimentalDataset`, `MicrostructureAnalysis "*" --&gt; "1" MaterialSpecimen`, and `ComplianceArchive "1" *-- "1..*" BatchRecord`. Model 2 only covers a smaller subset, such as `AlloyBatch "1" -- "*" MaterialSpecimen`, `ExperimentPlanner "1" -- "*" HeatTreatmentProfile`, `ProcessController "1" -- "*" ThermalAnalysisRun`, `ResearchProject "1" -- "*" ExperimentalDataset`, and `DesignConstraint -- RegulatoryStandard`, while leaving out essential links for archive records, QA approval, cost estimation, supplier lookup, and reporting.
3. Model attributes with appropriate data types: Model 1 = 5, Model 2 = 2; Evidence: Model 1 models most required attributes with sensible types, including `AlloyBatch.batchId: String` and `creationDate: Date`, `MaterialSpecimen.density: double` and `surfaceFinish: SurfaceFinish`, `HeatTreatmentProfile.name: String` and `quenchingStatus: boolean`, `ThermalAnalysisRun.peakTemperature: double` and `coolingRate: double`, `ResearchProject.budget: double`, `SpectroscopyData.wavelength: double` and `emissionIntensity: double`, and `BatchRecord.primaryPhase: PhaseType` with `qualityStatus: QualityStatus`. Model 2 has some correct attributes like `AlloyBatch.creationDate: Date`, `MaterialSpecimen.density: float`, `PhaseDistribution` phase fractions, and `SpectroscopyData.wavelength`/`emissionIntensity`, but it misses many critical ones entirely, such as batch identifiers, specimen composition/phase details, run state/protocol data, dataset integrity/filtering fields, QA approval fields, cost/report metadata, and batch record attributes.
4. Consistencies of Terminology with given context: Model 1 = 5, Model 2 = 4; Evidence: Model 1 uses terminology that closely mirrors the requirement, such as `AlloyBatch`, `MaterialSpecimen`, `ElementComposition`, `PhaseDistribution`, `HeatTreatmentProfile`, `PhaseDiagramCalculator`, `ThermalCycleSimulator`, `SafetyProtocol`, `DesignConstraint`, `RegulatoryStandard`, `ComplianceArchive`, and `SummaryReport`. Model 2 also uses many aligned names like `AlloyBatch`, `MaterialSpecimen`, `HeatTreatmentProfile`, `PhaseDiagramCalculator`, `ThermalAnalysisRun`, `SafetyProtocol`, `ResearchProject`, `ExperimentalDataset`, `MicrostructureAnalysis`, `OptimizationResult`, and `ReportGenerator`, but it is slightly less context-faithful because it flattens some domain concepts into generic forms, such as `surfaceFinish: String`, a very minimal `SafetyProtocol`, and missing explicit terminology for archive records, QA review, and report outputs.
5. Adherence of UML class diagram standards: Model 1 = 5, Model 2 = 5; Evidence: Both diagrams are valid PlantUML class diagrams with standard `class`, `enum`, association, and multiplicity syntax. Model 1 additionally uses enumerations and relationship types consistently, while Model 2 remains syntactically clean and readable as well.
Total: Model 1 = 24, Model 2 = 16
Choice: A
Reason:
1. Appropriate conceptual classes: Model 1 covers the requirement’s full domain much more completely, while Model 2 leaves out several major required concepts, especially around compliance, QA, cost estimation, supplier search, and reporting.
2. Associations/multiplicities: Model 1 captures more of the required workflow and containment structure; Model 2 has only a small subset of the necessary relationships and misses several key ones that drive the domain reasoning.
3. Attributes: Model 1 models the needed data much more thoroughly, including batch, specimen, run, dataset, compliance, and report attributes; Model 2 is much sparser and omits many central fields.
4. Rejected or checked issues: I did not penalize either model for equivalent UML association style choices or primitive-type aliasing, since those are semantically acceptable under the rules.
5. Overall judgment: Model 1 is the better UML model because it is substantially more complete and more faithful to the stated alloy optimization domain across classes, relationships, and attributes, while still remaining valid UML.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</si>
  <si>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</si>
  <si>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batch/specimen/composition/phase model: Model 1 = 4, Model 2 = 3; Evidence: Model 1 includes `AlloyBatch.creationDate`, `MaterialSpecimen.density/surfaceFinish`, `ElementComposition.chemicalMakeup`, `PhaseDistribution.austenite/ferrite/martensite/pearlite`, and the containment links `AlloyBatch "1" *-- "0..*" MaterialSpecimen`, `MaterialSpecimen "1" *-- "1" ElementComposition`, `MaterialSpecimen "1" *-- "1" PhaseDistribution`. Model 2 includes the same batch/specimen structure and phase fraction attributes (`austeniteFraction`, `ferriteFraction`, `martensiteFraction`, `pearliteFraction`) with `AlloyBatch "1" -- "*" MaterialSpecimen`, `MaterialSpecimen -- ElementComposition`, and `MaterialSpecimen -- PhaseDistribution`, but `ElementComposition` is empty and the model does not add any clearer semantic support for the specimen’s current phase / analysis intent.
2. Planning and thermal execution model: Model 1 = 4, Model 2 = 2; Evidence: Model 1 has `ExperimentPlanner.generateProfile()`, `HeatTreatmentProfile.name/quenchingStatus/processingSteps/isValidated`, `PhaseDiagramCalculator.identifyStablePhases()/checkEquilibrium()`, `ProcessController "1" --&gt; "0..*" ThermalAnalysisRun`, `ThermalAnalysisRun --&gt; HeatTreatmentProfile`, plus `ThermalCycleSimulator.coolingRate/peakTemperature` and `SafetyProtocol.emergencyStop/temperatureLimit`. Model 2 keeps `ExperimentPlanner -- HeatTreatmentProfile`, `ProcessController "1" -- "*" ThermalAnalysisRun`, `ThermalAnalysisRun -- HeatTreatmentProfile`, and `ThermalAnalysisRun -- SafetyProtocol`, but omits the simulator link, omits profile processing-step / validation semantics, and leaves `PhaseDiagramCalculator` weakly connected only to `PhaseDistribution`.
3. Research, spectroscopy, microstructure, stress-test, and optimization model: Model 1 = 4, Model 2 = 2; Evidence: Model 1 covers `ResearchProject.principalInvestigator/budget`, `ExperimentalDataset.integrityVerified/filterResults`, `ExperimentalDataset *-- SpectroscopyData`, `MicrostructureAnalysis` linked to `MaterialSpecimen`, `SpectroscopyData`, and `PhaseDiagramCalculator`, `StressTestRunner` generating `PerformanceMetric.load/incrementStep`, and `OptimizationResult.convergence` fed by `PerformanceMetric` and recommending `ElementComposition`. Model 2 includes `ResearchProject.budget`, `ExperimentalDataset -- SpectroscopyData`, `ExperimentalDataset -- MicrostructureAnalysis`, `StressTestRunner -- PerformanceMetric`, and `OptimizationResult -- ElementComposition`, but it drops the principal investigator, data-integrity / outcomes semantics, and the explicit microstructure-reference-to-calculator relationship.
4. Compliance, operational support, QA, and reporting model: Model 1 = 4, Model 2 = 1; Evidence: Model 1 includes `DesignConstraint.limitValue`, `RegulatoryStandard.limitValue/effectiveDate`, `ComplianceArchive *-- BatchRecord`, `BatchRecord` linked to `AlloyBatch` and `RegulatoryStandard`, plus `CostEstimator`, `SupplierNetwork`, `QualityAssurance.approveBatch()`, and `ReportGenerator.format/compileReport()`. Model 2 only has `DesignConstraint.limitValue/effectiveDate`, `ComplianceArchive -- AlloyBatch`, and `DesignConstraint -- RegulatoryStandard`; it omits `BatchRecord` entirely and does not model cost estimation, supplier lookup, batch approval, or report generation flow.
Total: Model 1 = 16, Model 2 = 8
Choice: A
Reason:
1. Core model: Model 1 is closer to the requirement because it explicitly models the specimen composition and phase data with concrete containment links, while Model 2 is more skeletal and leaves `ElementComposition` empty.
2. Planning/execution: Model 1 captures the full planning-to-run pipeline, including validation and simulator/safety support; Model 2 captures only a thin subset of that workflow.
3. Research/optimization: Model 1 models the research data path end-to-end, including dataset integrity, microstructure correlation, stress testing, and optimization feedback; Model 2 includes only partial fragments of that chain.
4. Compliance/operations: Model 1 is materially stronger because it includes `BatchRecord`, QA, supplier, cost, and reporting concepts; Model 2 omits most of these required operational components.
5. Rejected issues: I did not use notation-only differences such as `--` vs `--&gt;`, lowercase vs uppercase primitive types, comments, or abstractness in scoring, because those are explicitly forbidden as negative evidence.
6. Overall judgment: Model 1 covers substantially more of the requested domain and relationship structure, with fewer missing required classes and associations, so it is the better UML fit even though it is not perfectly exhaustive.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</si>
  <si>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</si>
  <si>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concerns into focused classes such as `ExperimentPlanner`, `PhaseDiagramCalculator`, `ProcessController`, `ThermalCycleSimulator`, `SafetyProtocol`, `QualityAssurance`, and `ReportGenerator`, with domain-specific links like `ThermalAnalysisRun ..&gt; ThermalCycleSimulator` and `ThermalAnalysisRun ..&gt; SafetyProtocol`. Model 2 has the same broad class list, but several classes are left behaviorless and the semantics are thinner, for example `PhaseDiagramCalculator` has no operations and only `PhaseDiagramCalculator -- PhaseDistribution`, while `ResearchProject`, `QualityAssurance`, and `ReportGenerator` are also empty.
2. Complexity: Model 1 = 4, Model 2 = 2; Evidence: Both models have a similar class count, but Model 1 distributes behavior across the model with concrete operations such as `generateProfile()`, `identifyStablePhases()`, `checkEquilibrium()`, `manageRun()`, `runAnalysis()`, `performTest()`, `calculateExpenses()`, and `compileReport()`. Model 2 is structurally flatter with almost no operations and several placeholder classes, so it is simpler but also less expressive for this requirement; both have no inheritance depth, so the main difference is that Model 1 better balances structural richness with domain workflow, while Model 2 is under-modeled.
3. Practicability: Model 1 = 5, Model 2 = 2; Evidence: Model 1 gives a workable end-to-end design for the required system: `AlloyBatch` contains `MaterialSpecimen`, specimens connect to `ElementComposition` and `PhaseDistribution`, planning flows through `ExperimentPlanner` to `HeatTreatmentProfile`, execution goes through `ProcessController` to `ThermalAnalysisRun`, and research/compliance/support features are also represented via `ExperimentalDataset`, `SpectroscopyData`, `MicrostructureAnalysis`, `StressTestRunner`, `OptimizationResult`, `ComplianceArchive`, `CostEstimator`, `SupplierNetwork`, `QualityAssurance`, and `ReportGenerator`. Model 2 omits or weakens several practical hooks needed for implementation and testing, such as no `BatchRecord`, no explicit `principalInvestigator`, no `designConstraints` link from `ResearchProject`, no `PerformanceMetric -&gt; OptimizationResult` flow, no `ThermalCycleSimulator` usage link, and no `QualityAssurance` or `ReportGenerator` relationships.
Total: Model 1 = 13, Model 2 = 6
Choice: A
Reason:
1. Cohesion and Decoupling: Model 1 keeps the major concerns in distinct domain classes and connects them with clearer responsibilities; Model 2 leaves too many empty shells, which makes the design less coherent even if it is not necessarily more coupled.
2. Complexity: Model 1 is richer but still controlled, with explicit operations that match the domain workflow; Model 2 is simpler on paper, but that simplicity comes from under-modeling key processes rather than a better-balanced design.
3. Practicability: Model 1 is materially more usable for real implementation, testing, and maintenance because it covers the planning, execution, research, compliance, and reporting pipeline with concrete class relationships; Model 2 is too sparse to support the stated system well.
4. Rejected or checked issues: I did not use association direction style, primitive type spelling, or equivalent multiplicity notation as negative evidence, per the instructions.
5. Overall judgment: Model 1 is the better UML design because it captures substantially more of the required system behavior and structure while remaining modular; Model 2 is a partial sketch that misses too many required semantics to be equally 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</si>
  <si>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</si>
  <si>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3; Evidence: Model 1 includes the main domain concepts explicitly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while Model 2 covers many of the same names but leaves several important classes under-specified or empty (`ElementComposition {}`, `ExperimentalDataset {}`, `OptimizationResult {}`, `ComplianceArchive {}`, `CostEstimator {}`, `SupplierNetwork {}`, `QualityAssurance {}`, `ReportGenerator {}`) and omits `BatchRecord` entirely.
2. Associations/Multiplicities between classes for domain reasoning: Model 1 = 4, Model 2 = 2; Evidence: Model 1 captures the key relationships and cardinalities, such as `AlloyBatch "1" *-- "0..*" MaterialSpecimen`, `MaterialSpecimen "1" *-- "1" ElementComposition`, `ResearchProject "1" *-- "0..*" ExperimentalDataset`, `ProcessController "1" --&gt; "0..*" ThermalAnalysisRun`, and `ThermalAnalysisRun "1" --&gt; "1" HeatTreatmentProfile`; Model 2 has some core links too (`AlloyBatch "1" -- "*" MaterialSpecimen`, `ProcessController "1" -- "*" ThermalAnalysisRun`, `ResearchProject "1" -- "*" ExperimentalDataset`), but it omits many required relationships, including any `BatchRecord` links, `MicrostructureAnalysis` to `PhaseDiagramCalculator`, `QualityAssurance` to batches, and the operational/support links for `CostEstimator`, `SupplierNetwork`, and `ReportGenerator`.
3. Model attributes with appropriate data types: Model 1 = 4, Model 2 = 3; Evidence: Model 1 models the main attributes with reasonable types, including `AlloyBatch.creationDate: Date`, `MaterialSpecimen.density: Float`, `surfaceFinish: String`, `PhaseDistribution` phase fractions, `HeatTreatmentProfile.name: String`, `quenchingStatus: Boolean`, `processingSteps: List`, `isValidated: Boolean`, `ResearchProject.principalInvestigator: String`, `budget: Decimal`, `RegulatoryStandard.effectiveDate: Date`, and `PerformanceMetric.incrementStep: Integer`; Model 2 preserves some of these typed attributes (`creationDate`, `density`, `surfaceFinish`, phase fraction fields, `name`, `quenchingStatus`, `budget`, `wavelength`, `emissionIntensity`, `limitValue`, `effectiveDate`) but omits many required attributes entirely, especially on `ElementComposition`, `ExperimentalDataset`, `OptimizationResult`, `ComplianceArchive`, `CostEstimator`, `SupplierNetwork`, `QualityAssurance`, and `ReportGenerator`, and it does not model `processingSteps` or validation on `HeatTreatmentProfile`.
4. Consistencies of Terminology with given context: Model 1 = 4, Model 2 = 3; Evidence: Model 1 uses the requirement’s vocabulary directly and consistently, with names like `PhaseDiagramCalculator`, `ThermalAnalysisRun`, `SafetyProtocol`, `SpectroscopyData`, `MicrostructureAnalysis`, `DesignConstraint`, `RegulatoryStandard`, `ComplianceArchive`, `BatchRecord`, `SupplierNetwork`, and `QualityAssurance`; Model 2 retains many of these terms too, but the terminology is weaker in several places because key context-bearing classes are empty (`RegulatoryStandard`, `ComplianceArchive`, `ExperimentalDataset`) or generalized (`ElementComposition` has no chemical makeup detail, `DesignConstraint` carries both limit value and effective date while `RegulatoryStandard` is left blank), which makes the domain terminology less faithful to the prompt.
5. Adherence of UML class diagram standards: Model 1 = 5, Model 2 = 5; Evidence: Both diagrams are valid PlantUML class diagrams with standard class declarations and associations, and neither shows invalid syntax or unreadable UML constructs.
Total: Model 1 = 21, Model 2 = 16
Choice: A
Reason:
1. Appropriate conceptual classes aligned with the domain: Model 1 covers the full alloy-research workflow more completely; Model 2 includes many names but leaves several major classes empty or under-defined and omits `BatchRecord`.
2. Associations/Multiplicity: Model 1 expresses the main production, planning, analysis, and archive relationships more completely; Model 2 omits several required domain links, especially around compliance, microstructure analysis, and operational support classes.
3. Attributes: Model 1 models the key typed attributes needed by the prompt more thoroughly, including project leadership, profile validation, and compliance fields; Model 2 drops many of those attributes.
4. Terminology: Model 1 stays closer to the prompt’s domain language overall, while Model 2 is more generic in several core places.
5. Rejected or checked issues: I did not use association style differences (`A -- B` vs `A --&gt; B`) or primitive type spellings (`int` vs `Integer`) as negative evidence, since they are semantically equivalent under the scoring rules.
6. Overall judgment: Both diagrams are syntactically valid, but Model 1 is materially stronger on domain coverage, relationship modeling, and attribute completeness, so it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</si>
  <si>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</si>
  <si>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Core batch/specimen structure: Model 1 = 4, Model 2 = 3; Evidence: Model 1 has `AlloyBatch "1" *-- "0..*" MaterialSpecimen`, `MaterialSpecimen "1" *-- "1" ElementComposition`, and `MaterialSpecimen "1" *-- "1" PhaseDistribution`, which matches the single base composition and current phase distribution per specimen more closely; Model 2 adds `grainStructure` and `defectAnnotation` on `MaterialSpecimen`, but its `MaterialSpecimen "1" *-- "1..*" ElementComposition` and `... PhaseDistribution` overstates the singular relationship implied by the requirement.
2. Specimen analysis outputs: Model 1 = 1, Model 2 = 5; Evidence: Model 1 has no class or association for analysis-driven grain classification or defect annotation beyond the raw specimen attributes; Model 2 explicitly adds `grainStructure` and `defectAnnotation` on `MaterialSpecimen`, plus `MicrostructureAnalysis` and `SpectroscopyData {detectedPhase}`, which directly supports the requested analysis outcomes.
3. Heat-treatment planning: Model 1 = 4, Model 2 = 5; Evidence: Model 1 has `ExperimentPlanner.generateProfile()`, `HeatTreatmentProfile {name, quenchingStatus, processingSteps, isValidated}`, and `HeatTreatmentProfile ..&gt; PhaseDiagramCalculator`; Model 2 keeps the planner/profile pair and adds `ProcessingStep` with `HeatTreatmentProfile "1" *-- "1..*" ProcessingStep`, which more explicitly models defined processing steps and validation.
4. Process control and safety: Model 1 = 5, Model 2 = 4; Evidence: Model 1 directly models `PhaseDiagramCalculator.identifyStablePhases()` and `checkEquilibrium()`, `ThermalCycleSimulator {coolingRate, peakTemperature}`, and `SafetyProtocol {emergencyStop, temperatureLimit}` with `ThermalAnalysisRun ..&gt; ThermalCycleSimulator` and `..&gt; SafetyProtocol`; Model 2 has `PhaseDiagramCalculator {equilibriumState, stablePhases}` and `SafetyProtocol {maxTemperatureLimit, minTemperatureLimit, emergencyStopEnabled}`, but it shifts the cooling/peak-temperature detail onto `ThermalAnalysisRun` instead of the simulator.
5. Research, spectroscopy, microstructure, stress testing, optimization: Model 1 = 3, Model 2 = 5; Evidence: Model 1 includes `ResearchProject {principalInvestigator, budget}`, `ExperimentalDataset {integrityVerified}`, `SpectroscopyData {wavelength, emissionIntensity}`, `MicrostructureAnalysis ..&gt; MaterialSpecimen/SpectroscopyData/PhaseDiagramCalculator`, `StressTestRunner ..&gt; PerformanceMetric`, and `OptimizationResult ..&gt; ElementComposition`; Model 2 covers the same pipeline with `ExperimentalDataset`, `SpectroscopyData {detectedPhase}`, `MicrostructureAnalysis`, `StressTestRun`, `PerformanceMetric`, and `OptimizationResult {recommendedComposition}`, so it is much more complete even though it omits the explicit calculator reference inside microstructure analysis.
6. Compliance and standards: Model 1 = 3, Model 2 = 5; Evidence: Model 1 has `DesignConstraint {limitValue}` and `RegulatoryStandard {limitValue, effectiveDate}`, plus `ComplianceArchive *-- BatchRecord` with `BatchRecord {primaryPhase, qualityStatus}` linked to `AlloyBatch` and `RegulatoryStandard`; Model 2 gives both `DesignConstraint` and `RegulatoryStandard` an `effectiveDate`, and its `BatchRecord {primaryPhase: PhaseType, qualityStatus: QualityStatus}` is a closer fit to the compliance archive requirement.
7. Cost, supplier, and QA operations: Model 1 = 3, Model 2 = 5; Evidence: Model 1 has `CostEstimator.calculateExpenses()` tied to `ElementComposition`, `SupplierNetwork.findVendors()` tied to `DesignConstraint`, and `QualityAssurance {inspector, isCertified, approveBatch()}`; Model 2 adds `CostEstimation`, `Supplier`, and `QualityAssuranceReview`, which better represent calculated expenses, vendors, and certified inspector approval as separate domain concepts.
8. Reporting: Model 1 = 2, Model 2 = 5; Evidence: Model 1 only has `ReportGenerator {format, compileReport()}` linked to `PerformanceMetric` and `QualityAssurance`, so report output is implicit; Model 2 adds `SummaryReport {title, format: ReportFormat, generationDate}` and `ReportGenerator --&gt; SummaryReport`, which directly matches summary reports in various formats.
Total: Model 1 = 25, Model 2 = 37
Choice: B
Reason:
1. Core structure: Model 1 is cleaner on the singular batch/specimen/composition/phase relationships, but Model 2 compensates with richer analysis-oriented specimen detail.
2. Downstream workflow: Model 2 is materially better on the research, compliance, operational support, and reporting parts of the requirement, where Model 1 is comparatively thin or incomplete.
3. Rejected or checked issues: I did not use association direction, primitive type aliases, or `*` vs `0..*` as scoring factors. I also did not penalize Model 2 for adding refinement classes like `ProcessingStep`, `StressTestRun`, `CostEstimation`, or `QualityAssuranceReview` because they support stated requirements.
4. Overall judgment: Model 2 covers more of the full system described in the requirement and models more of the required domain workflow, so it is the better diagram overall despite Model 1’s slight advantage on the most basic composition cardinalities.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</si>
  <si>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</si>
  <si>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collapses workflow concepts into broad fields such as `processingSteps: List` and `isValidated: Boolean` inside `HeatTreatmentProfile`, and `QualityAssurance` directly approves `AlloyBatch`; Model 2 separates those concerns into explicit concepts like `ProcessingStep`, `QualityAssuranceReview`, `CostEstimation`, `Supplier`, and `SummaryReport`, with clearer links such as `HeatTreatmentProfile *-- ProcessingStep` and `QualityAssurance --&gt; QualityAssuranceReview`.
2. Complexity: Model 1 = 3, Model 2 = 4; Evidence: Model 1 is flatter with 26 classes and no inheritance, but it compresses several required concepts into generic attributes like `List`, `String`, and `Map` instead of explicit domain objects; Model 2 has more classes and enums, but they are mostly traceable domain refinements (`ProcessingStep`, `StressTestRun`, `CostEstimation`, `Supplier`, `QualityAssuranceReview`, `SummaryReport`) that better match the breadth of the requirement.
3. Practicability: Model 1 = 3, Model 2 = 4; Evidence: Model 1 relies on weaker, less testable abstractions such as `surfaceFinish: String`, `qualityStatus: String`, `format: String`, and a direct `approveBatch()` on `QualityAssurance`; Model 2 adds clearer testing and validation structures like `RunState`, `QualityStatus`, `ReportFormat`, `CostEstimation`, `QualityAssuranceReview`, and `SummaryReport`, which makes unit and acceptance testing more straightforward.
Total: Model 1 = 9, Model 2 = 12
Choice: B
Reason:
1. Cohesion and Decoupling: Model 2 is better because it models more concerns as separate classes instead of flattening them into attributes or generic lists, especially around treatment steps, QA reviews, and reporting.
2. Complexity: Model 2 is better because its higher class count is mostly made of meaningful domain entities rather than arbitrary fragmentation, while Model 1 hides several required concepts inside broad fields.
3. Practicability: Model 2 is better because it provides more concrete, testable artifacts for planning, execution, QA, costs, suppliers, and reports.
4. Rejected or checked issues: I did not use opposite-direction-vs-bidirectional associations, lowercase primitive aliases, or abstractness differences as negative evidence, because those are forbidden or not decisive here.
5. Overall judgment: Model 2 is the stronger UML design for this requirement because it captures the workflow and supporting artifacts more explicitly without relying on vague placeholders, so it is more maintainable and more usable in real implementation and testing.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</si>
  <si>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</si>
  <si>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(`AlloyBatch`, `MaterialSpecimen`, `ElementComposition`, `PhaseDistribution`, `HeatTreatmentProfile`, `ThermalAnalysisRun`, `ResearchProject`, `ExperimentalDataset`, `ComplianceArchive`, `ReportGenerator`) but leaves several explicitly named supporting concepts only implicit or missing, such as `ProcessingStep`, `StressTestRun`, `CostEstimation`, `Supplier`, and `QualityAssuranceReview`. Model 2 includes those supporting concepts directly and matches the requirement more completely with `ProcessingStep`, `StressTestRun`, `CostEstimation`, `Supplier`, `QualityAssuranceReview`, and `SummaryReport`.
2. Associations/Multiplicities between classes for domain reasoning: Model 1 = 4, Model 2 = 5; Evidence: Model 1 captures major links like `AlloyBatch "1" *-- "0..*" MaterialSpecimen`, `ResearchProject "1" *-- "0..*" ExperimentalDataset`, `ComplianceArchive "1" *-- "0..*" BatchRecord`, and `ThermalAnalysisRun "1" --&gt; "1" HeatTreatmentProfile`. Model 2 adds more of the required workflow structure, including `HeatTreatmentProfile "1" *-- "1..*" ProcessingStep`, `StressTestRunner "1" --&gt; "1..*" StressTestRun`, `MaterialSpecimen "1" --&gt; "*" StressTestRun`, `QualityAssurance "1" --&gt; "*" QualityAssuranceReview`, and `ReportGenerator "1" --&gt; "*" SummaryReport`.
3. Model attributes with appropriate data types: Model 1 = 3, Model 2 = 5; Evidence: Model 1 has several reasonable typed attributes such as `creationDate: Date`, `density: Float`, `surfaceFinish: String`, `quenchingStatus: Boolean`, `budget: Decimal`, and `wavelength: Float`, but it omits key domain attributes like grain structure, defects, detected phases, safety-limit detail, and report/result metadata. Model 2 models those details with more appropriate typed fields and enums, such as `surfaceFinish: SurfaceFinish`, `grainStructure: String`, `defectAnnotation: String`, `phaseType: PhaseType`, `fraction: double`, `currentState: RunState`, `maxTemperatureLimit: double`, `effectiveDate: Date`, `qualityStatus: QualityStatus`, and `format: ReportFormat`.
4. Consistencies of Terminology with given context: Model 1 = 4, Model 2 = 5; Evidence: Model 1 largely uses the requirement’s vocabulary directly (`AlloyBatch`, `MaterialSpecimen`, `PhaseDiagramCalculator`, `SafetyProtocol`, `RegulatoryStandard`), but some terminology is less precise, such as `QualityAssurance` without a separate review/inspector concept and generic fields like `primaryPhase: String`. Model 2 mirrors the wording more closely with `PhaseType`, `QualityStatus`, `RunState`, `ReportFormat`, `BatchRecord`, `QualityAssuranceReview`, and `SummaryReport`, which keeps it tightly aligned to the prompt.
5. Adherence of UML class diagram standards: Model 1 = 5, Model 2 = 5; Evidence: Both diagrams are valid PlantUML class diagrams with standard class declarations, attributes, associations, multiplicities, and enums where used, and neither contains syntax or notation that makes the diagram unreadable or invalid.
Total: Model 1 = 20, Model 2 = 25
Choice: B
Reason:
1. Appropriate conceptual classes aligned with the domain: Model 2 covers more of the explicitly named domain entities and supporting abstractions, while Model 1 is missing several of them or only represents them indirectly.
2. Associations/Multiplicities between classes for domain reasoning: Model 2 expresses more of the required workflow and ownership structure, especially for processing steps, stress testing, quality review, and report generation.
3. Rejected or checked issues: I did not use association direction style, `*` versus `0..*`, or lowercase primitive aliases as negative evidence because they are semantically equivalent under the rules.
4. Overall judgment: Model 2 is stronger across the substantive domain criteria and is the better UML class diagram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</si>
  <si>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</si>
  <si>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batch/specimen model: Model 1 = 4, Model 2 = 5; Evidence: Model 1 covers the core objects with `AlloyBatch { creationDate }`, `MaterialSpecimen { density, surfaceFinish }`, `ElementComposition`, `PhaseDistribution { austeniteFraction, ferriteFraction, martensiteFraction, pearliteFraction }`, and `AlloyBatch "1" -- "*" MaterialSpecimen`; Model 2 covers the same core and adds analysis-oriented detail with `MaterialSpecimen { grainStructure, defectAnnotation }`, `ElementComposition { elementName, percentage }`, `PhaseDistribution { phaseType, fraction }`, plus `AlloyBatch "1" *-- "1..*" MaterialSpecimen`, `MaterialSpecimen "1" *-- "1..*" ElementComposition`, and `MaterialSpecimen "1" *-- "1..*" PhaseDistribution`.
2. Planning and thermal processing workflow: Model 1 = 2, Model 2 = 5; Evidence: Model 1 has `ExperimentPlanner "1" -- "*" HeatTreatmentProfile`, `HeatTreatmentProfile { name, quenchingStatus }`, `ProcessController "1" -- "*" ThermalAnalysisRun`, `ThermalAnalysisRun -- HeatTreatmentProfile`, and `ThermalAnalysisRun -- SafetyProtocol`, but it does not model processing steps, validation, the thermal simulator, or the phase-diagram planning link; Model 2 includes `HeatTreatmentProfile { quenchingStatus, isValidated }`, `ProcessingStep`, `PhaseDiagramCalculator { equilibriumState, stablePhases }`, `ProcessController "1" --&gt; "1" ThermalCycleSimulator`, `ProcessController "1" --&gt; "1..*" SafetyProtocol`, `ThermalAnalysisRun { peakTemperature, coolingRate, currentState }`, and `ThermalAnalysisRun "*" --&gt; "1" HeatTreatmentProfile`.
3. Research, testing, and optimization workflow: Model 1 = 2, Model 2 = 5; Evidence: Model 1 has the major entities `ResearchProject { budget }`, `ExperimentalDataset`, `SpectroscopyData { wavelength, emissionIntensity }`, `MicrostructureAnalysis`, `StressTestRunner`, `PerformanceMetric { load, incrementSteps }`, and `OptimizationResult`, with links such as `ResearchProject "1" -- "*" ExperimentalDataset`, `ExperimentalDataset -- SpectroscopyData`, `ExperimentalDataset -- MicrostructureAnalysis`, `StressTestRunner -- PerformanceMetric`, and `OptimizationResult -- ElementComposition`, but it omits the principal investigator, data integrity/filtering behavior, specimen-spectroscopy correlation, and a concrete stress-test run concept; Model 2 adds `ResearchProject { principalInvestigator, budget }`, `ExperimentalDataset { dataIntegrityVerified, filterCriteria, resultsFiltered }`, `SpectroscopyData { detectedPhase }`, `MicrostructureAnalysis { correlatedPhase, refinedFraction }` linked to both `MaterialSpecimen` and `SpectroscopyData`, `StressTestRun { testType, maxLoad, incrementStep }`, `MaterialSpecimen "1" --&gt; "*" StressTestRun`, `StressTestRun "1" *-- "1..*" PerformanceMetric`, and `OptimizationResult { convergenceTracked, recommendedComposition }`.
4. Compliance, cost, supplier, QA, and reporting coverage: Model 1 = 1, Model 2 = 5; Evidence: Model 1 only provides `DesignConstraint { limitValue, effectiveDate }`, `RegulatoryStandard`, `ComplianceArchive`, and `ComplianceArchive -- AlloyBatch`, so it misses batch records, cost estimation, supplier search, quality approval, and reporting; Model 2 covers the whole chain with `DesignConstraint { limitValue, effectiveDate }`, `RegulatoryStandard { limitValue, effectiveDate }`, `ComplianceArchive "1" *-- "1..*" BatchRecord`, `BatchRecord { primaryPhase, qualityStatus }` linked to `AlloyBatch` and `RegulatoryStandard`, `CostEstimator --&gt; CostEstimation` and `CostEstimator --&gt; ElementComposition`, `SupplierNetwork --&gt; Supplier` and `SupplierNetwork --&gt; DesignConstraint`, `QualityAssurance --&gt; QualityAssuranceReview` with `AlloyBatch "1" --&gt; "*" QualityAssuranceReview`, and `ReportGenerator --&gt; SummaryReport` plus links from `PerformanceMetric` and `QualityAssuranceReview`.
5. Restraint and semantic fidelity: Model 1 = 3, Model 2 = 4; Evidence: Model 1 is comparatively restrained because it introduces few extra structures beyond the named domain objects, but that restraint comes with large omissions in the required workflow; Model 2 is much more faithful overall, though it adds several explicit refinements not literally named in the requirement, such as `ProcessingStep`, `StressTestRun`, `CostEstimation`, `Supplier`, `QualityAssuranceReview`, `SummaryReport`, and enums like `RunState`, `TestType`, and `ReportFormat`, which are still largely traceable to the domain narrative.
Total: Model 1 = 12, Model 2 = 24
Choice: B
Reason:
1. Core batch/specimen model: both models capture the alloy batch/specimen foundation, but Model 2 is closer to the requirement because it also models the specimen analysis outputs (`grainStructure`, `defectAnnotation`) and makes the composition/phase structure more explicit.
2. Planning and thermal processing workflow: Model 1 has only the planner/profile/controller skeleton, while Model 2 represents validation, processing steps, phase-diagram support, simulator use, safety limits, and the run-to-profile link that the requirement calls for.
3. Research, testing, and optimization workflow: Model 1 names the right area but leaves the internal logic thin; Model 2 models the PI, dataset verification/filtering, specimen-spectroscopy correlation, tensile-test runs, metrics, and optimization feedback much more completely.
4. Compliance, cost, supplier, QA, and reporting coverage: this is the biggest gap. Model 1 stops at constraints and archive linkage, while Model 2 covers batch records, vendor discovery, inspector approval, and summary reporting.
5. Rejected or checked issues: I did not penalize Model 2 for using opposite-direction associations, composition-style links, or `*` versus `1..*`, because those are semantically equivalent under the instructions. I also treated Model 2’s extra helper classes as mostly acceptable refinements rather than invalid notation.
6. Overall judgment: Model 2 is substantially more requirement-complete while still staying semantically aligned with the domain. Model 1 is faithful in the fragments it includes, but it omits too many required subsystems to compete.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</si>
  <si>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</si>
  <si>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a few coherent links like `AlloyBatch "1" -- "*" MaterialSpecimen`, `ExperimentPlanner "1" -- "*" HeatTreatmentProfile`, and `ProcessController "1" -- "*" ThermalAnalysisRun`, but many classes are isolated stubs (`CostEstimator`, `SupplierNetwork`, `QualityAssurance`, `ReportGenerator`) with no supporting domain links. Model 2 decomposes the workflow more cleanly: `HeatTreatmentProfile *-- ProcessingStep`, `MicrostructureAnalysis` links `MaterialSpecimen` and `SpectroscopyData`, `BatchRecord` links `AlloyBatch` and `RegulatoryStandard`, and `QualityAssuranceReview` / `SummaryReport` give the support modules concrete responsibilities.
2. Complexity: Model 1 = 2, Model 2 = 4; Evidence: Model 1 is much flatter, with roughly two dozen classes, no inheritance, no workflow intermediates such as `ProcessingStep`, `StressTestRun`, `BatchRecord`, `Supplier`, or `SummaryReport`, and several high-level concepts left as empty shells. Model 2 is larger and deeper in domain structure, with additional classes and enums such as `ProcessingStep`, `StressTestRun`, `BatchRecord`, `CostEstimation`, `QualityAssuranceReview`, `SummaryReport`, `PhaseType`, `RunState`, and `QualityStatus`, which increases complexity but matches the requirement’s breadth more closely.
3. Practicability: Model 1 = 1, Model 2 = 4; Evidence: Model 1 is readable but weak for implementation and testing because key subsystems are under-specified or missing: `ReportGenerator` has no report artifact, `SupplierNetwork` has no supplier entity, `QualityAssurance` has no review/approval object, and `ComplianceArchive` lacks the required batch record structure. Model 2 is much more testable and operationally usable because it includes explicit artifacts like `HeatTreatmentProfile.isValidated`, `ExperimentalDataset.dataIntegrityVerified`, `QualityAssuranceReview.isApproved`, `CostEstimation`, and `SummaryReport.format`, plus traceable links from specimens through analysis to reporting.
Total: Model 1 = 5, Model 2 = 12
Choice: B
Reason:
1. Cohesion and Decoupling: Model 2 organizes the domain into tighter modules with explicit intermediate objects, while Model 1 leaves several major areas as disconnected placeholders.
2. Complexity: Model 2 has higher class count and more relation depth, but that added structure is justified by the requirement; Model 1 is simpler mainly because it omits important domain concepts rather than because it is well-balanced.
3. Practicability: Model 2 is far more implementable and testable because it models validation, review, reporting, and compliance artifacts explicitly; Model 1 does not.
4. Rejected or checked issues: I did not use association arrow direction/style, primitive type spelling (`int`, `float`, `boolean`), or optional abstractness as evidence, because those are forbidden penalties or requirement-neutral.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</si>
  <si>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</si>
  <si>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domain: Model 1 = 3, Model 2 = 5; Evidence: Model 1 includes several core concepts like `AlloyBatch`, `MaterialSpecimen`, `HeatTreatmentProfile`, `ThermalAnalysisRun`, `ResearchProject`, `ExperimentalDataset`, and `DesignConstraint`, but it omits major required concepts such as `ProcessingStep`, `BatchRecord`, `StressTestRun`, `CostEstimation`, `Supplier`, `QualityAssuranceReview`, and `SummaryReport`. Model 2 includes those missing domain concepts plus supporting classes and enums like `ProcessingStep`, `StressTestRun`, `BatchRecord`, `CostEstimation`, `Supplier`, `QualityAssuranceReview`, `SummaryReport`, `SurfaceFinish`, `PhaseType`, `QualityStatus`, and `ReportFormat`, so it is much more complete.
2. Associations/Multiplicities between classes for domain reasoning: Model 1 = 3, Model 2 = 5; Evidence: Model 1 correctly links `AlloyBatch "1" -- "*" MaterialSpecimen`, `ExperimentPlanner "1" -- "*" HeatTreatmentProfile`, `ProcessController "1" -- "*" ThermalAnalysisRun`, and `ResearchProject "1" -- "*" ExperimentalDataset`, but it leaves many required relations implicit or missing, such as `ProcessingStep`, `BatchRecord`, `Supplier`, `QualityAssuranceReview`, and `ReportGenerator` outputs. Model 2 covers the main workflow and governance links much more fully with `AlloyBatch *-- MaterialSpecimen`, `HeatTreatmentProfile *-- ProcessingStep`, `ProcessController --&gt; ThermalCycleSimulator` and `SafetyProtocol`, `ThermalAnalysisRun --&gt; HeatTreatmentProfile`, `ResearchProject *-- ExperimentalDataset` and `--&gt; DesignConstraint`, `StressTestRunner --&gt; StressTestRun`, `BatchRecord --&gt; AlloyBatch` and `RegulatoryStandard`, and `ReportGenerator --&gt; PerformanceMetric` and `QualityAssuranceReview`.
3. Model attributes with appropriate data types: Model 1 = 3, Model 2 = 4; Evidence: Model 1 has correct basic attributes like `creationDate: Date`, `density: float`, `surfaceFinish: String`, `austeniteFraction: float`, `name: String`, `quenchingStatus: Boolean`, `budget: float`, and `wavelength: float`, but it misses many required attributes such as grain structure, defect annotations, principal investigator, data integrity flags, batch record fields, report format, and quality status. Model 2 models many of those missing attributes explicitly, including `grainStructure`, `defectAnnotation`, `principalInvestigator`, `dataIntegrityVerified`, `filterCriteria`, `correlatedPhase`, `testType`, `loadValue`, `convergenceTracked`, `primaryPhase`, `qualityStatus`, `currency`, and `format`, with generally appropriate types; a few fields remain coarse, such as `stablePhases: String` and `recommendedComposition: String`.
4. Consistencies of Terminology with given context: Model 1 = 3, Model 2 = 5; Evidence: Model 1 uses several correct domain terms like `AlloyBatch`, `MaterialSpecimen`, `PhaseDistribution`, `HeatTreatmentProfile`, `PhaseDiagramCalculator`, `SpectroscopyData`, `MicrostructureAnalysis`, and `OptimizationResult`, but its terminology stays generic in places and omits requirement-specific terms like `BatchRecord`, `QualityStatus`, `SummaryReport`, and `ProcessingStep`. Model 2 tracks the prompt vocabulary much more closely with `PhaseType`, `ProcessingStep`, `ThermalCycleSimulator`, `StressTestRun`, `BatchRecord`, `QualityAssuranceReview`, `SummaryReport`, and `ReportFormat`, so the terminology is consistently aligned with the stated domain.
5. Adherence of UML class diagram standards: Model 1 = 5, Model 2 = 5; Evidence: Both models are valid PlantUML class diagrams with standard class declarations, enums or plain classes where appropriate, and syntactically valid associations and compositions. Model 1 is simpler but still readable and valid; Model 2 is also valid and uses standard UML constructs consistently.
Total: Model 1 = 17, Model 2 = 24
Choice: B
Reason:
1. Appropriate conceptual classes: Model 2 covers the full requirement set much better by adding missing domain entities like `ProcessingStep`, `BatchRecord`, `StressTestRun`, `Supplier`, `QualityAssuranceReview`, and `SummaryReport`, while Model 1 leaves those out.
2. Associations/Multiplicities: Model 2 captures the major domain flows and ownership relations more completely, especially around profiles, runs, batch records, standards, QA, and reporting; Model 1 only captures a smaller subset of the required relationships.
3. Rejected or checked issues: I did not use association direction style, common primitive aliases, or the extra helper classes in Model 2 as negative evidence. Those are either semantically equivalent or directly support the requirement.
4. Overall judgment: Model 2 is materially closer to the requested UML domain model across classes, links, and attributes, while still staying syntactically valid UML. Model 1 is acceptable only as a partial skeleton.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</si>
  <si>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</si>
  <si>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Core entity coverage and naming: Model 1 = 3, Model 2 = 5; Evidence: Model 1 includes the main nouns `AlloyBatch`, `MaterialSpecimen`, `ElementComposition`, `PhaseDistribution`, `HeatTreatmentProfile`, `ResearchProject`, `ExperimentalDataset`, `SpectroscopyData`, `PerformanceMetric`, and `RegulatoryStandard`, but it omits required domain objects such as `BatchRecord` and does not name several required roles like principal investigator. Model 2 includes the same core classes and also adds required identifiers/roles such as `HeatTreatmentProfile.name`, `ResearchProject.principalInvestigator`, `BatchRecord`, `QualityAssurance`, and `ReportGenerator`, so its class vocabulary maps more completely to the requirement.
2. Relationship and cardinality fidelity: Model 1 = 2, Model 2 = 5; Evidence: Model 1 correctly links `AlloyBatch "1" -- "*" MaterialSpecimen`, `MaterialSpecimen -- ElementComposition`, `MaterialSpecimen -- PhaseDistribution`, `ExperimentPlanner "1" -- "*" HeatTreatmentProfile`, `ProcessController "1" -- "*" ThermalAnalysisRun`, and `ResearchProject "1" -- "*" ExperimentalDataset`, but it leaves major required links unmodeled, such as `ThermalAnalysisRun` using `ThermalCycleSimulator`, `MicrostructureAnalysis` correlating specimens and spectroscopy data, and `ComplianceArchive` storing `BatchRecord`s. Model 2 models the full relationship chain much more explicitly: `AlloyBatch "1" *-- "0..*" MaterialSpecimen`, `ThermalAnalysisRun "1" --&gt; "1" HeatTreatmentProfile`, `ThermalAnalysisRun ..&gt; ThermalCycleSimulator`, `MicrostructureAnalysis ..&gt; MaterialSpecimen` and `..&gt; SpectroscopyData`, `ComplianceArchive "1" *-- "0..*" BatchRecord`, plus `BatchRecord` linked to both `AlloyBatch` and `RegulatoryStandard`.
3. Workflow and support-module coverage: Model 1 = 2, Model 2 = 5; Evidence: Model 1 has the broad module names `CostEstimator`, `SupplierNetwork`, `QualityAssurance`, and `ReportGenerator`, but they are isolated and do not show the required dependencies such as cost estimation from composition, vendor search by design constraints, batch approval by certified inspectors, or report compilation from metrics and QA sources. Model 2 connects `CostEstimator ..&gt; ElementComposition`, `SupplierNetwork ..&gt; DesignConstraint`, `QualityAssurance ..&gt; AlloyBatch`, and `ReportGenerator ..&gt; PerformanceMetric` and `..&gt; QualityAssurance`, and it also covers research/planning execution with `ExperimentPlanner`, `PhaseDiagramCalculator`, `ProcessController`, `ThermalCycleSimulator`, and `SafetyProtocol`.
4. Restraint from unsupported additions: Model 1 = 5, Model 2 = 3; Evidence: Model 1 stays relatively minimal, with mostly structural classes and a small number of attributes such as `creationDate`, `density`, `surfaceFinish`, `name`, and `quenchingStatus`. Model 2 adds several implementation-like methods and extra attributes not explicitly required, such as `generateProfile()`, `isValidated`, `processingSteps`, `manageRun()`, `runAnalysis()`, `performTest()`, `inspector`, and `format`; these are not invalid, but they go beyond the requirement more than Model 1 does.
Total: Model 1 = 12, Model 2 = 18
Choice: B
Reason:
1. Core entity coverage: Model 2 names and parameterizes more of the required domain model, especially `BatchRecord`, `principalInvestigator`, `QualityAssurance`, and `ReportGenerator`, while Model 1 leaves those roles unexpressed.
2. Relationship fidelity: Model 2 captures the required end-to-end associations more completely, especially the thermal analysis, microstructure correlation, compliance archive, and batch-record linkage paths that Model 1 either omits or leaves disconnected.
3. Support-module coverage: Model 2 ties together cost, supplier, QA, and reporting with the required upstream concepts; Model 1 lists those classes but does not connect them to the business flow.
4. Rejected or checked issues: I did not penalize either model for opposite-direction association styling, primitive type aliases, or equivalent multiplicity literals, since those are semantically equivalent under the instructions.
5. Overall judgment: Model 2 is the better UML fit because it models substantially more of the required system semantics and the key cross-class relationships, even though it includes some extra operational detail.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</si>
  <si>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</si>
  <si>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separates the main concepts into distinct classes (`AlloyBatch`, `MaterialSpecimen`, `ResearchProject`, `ComplianceArchive`) but many are empty shells (`ExperimentPlanner`, `ProcessController`, `ThermalAnalysisRun`, `OptimizationResult`), and compliance is only loosely modeled via `ComplianceArchive -- AlloyBatch` plus `DesignConstraint -- RegulatoryStandard`; Model 2 gives clearer responsibilities with behavior on the operational classes (`ExperimentPlanner.generateProfile()`, `PhaseDiagramCalculator.identifyStablePhases()/checkEquilibrium()`, `MicrostructureAnalysis.correlateData()/refinePhases()`) and adds `BatchRecord` so the archive can tie a batch to a standard more coherently.
2. Complexity: Model 1 = 2, Model 2 = 4; Evidence: Model 1 is flatter and lighter, with 25 classes and almost no methods, but that simplicity comes from under-modeling many workflow steps; Model 2 is only slightly larger with 26 classes, zero inheritance in both, and a modest number of methods concentrated in process classes (`manageRun()`, `runAnalysis()`, `performTest()`, `compileReport()`), which is a better balance for the requirement’s breadth.
3. Practicability: Model 1 = 2, Model 2 = 5; Evidence: Model 1 is understandable but leaves key execution and validation behavior implicit (`HeatTreatmentProfile` has only `name`/`quenchingStatus`, `ExperimentalDataset` has no integrity/filtering behavior, `ReportGenerator` has no report-format support), and its compliance model lacks a concrete record object; Model 2 is much more implementable and testable because it exposes the operational seams directly (`processingSteps`, `isValidated`, `integrityVerified`, `filterResults()`, `approveBatch()`, `format`, `compileReport()`), and `ComplianceArchive` stores explicit `BatchRecord` entries linking `AlloyBatch` and `RegulatoryStandard`.
Total: Model 1 = 7, Model 2 = 13
Choice: B
Reason:
1. Cohesion and Decoupling: Model 2 keeps the major workflow responsibilities more focused and models the archive boundary better with `BatchRecord`, while Model 1 leaves several classes as empty placeholders and splits compliance state across less precise links.
2. Complexity: Model 2 adds only a small amount of structure and behavior relative to the requirement’s scope, whereas Model 1 is simpler mainly because it omits many process details rather than because it is optimally balanced.
3. Practicability: Model 2 is easier to implement, test, and maintain because it makes validation, execution, and reporting behavior explicit; Model 1 is readable but too skeletal for the described system.
4. Rejected or checked issues: I did not use association direction/style differences or primitive-type spellings as negative evidence, per the rules.
5. Overall judgment: Model 2 is the better UML design because it captures the required processing and compliance workflows with clearer responsibilities and more testable structure, while staying within a reasonable complexity envelope.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</si>
  <si>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</si>
  <si>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classes `AlloyBatch`, `MaterialSpecimen`, `ElementComposition`, `PhaseDistribution`, `HeatTreatmentProfile`, `ResearchProject`, `ExperimentalDataset`, `StressTestRunner`, `ComplianceArchive`, and `ReportGenerator`, but it omits explicit domain objects like `BatchRecord` and does not represent several required analysis/support concepts. Model 2 includes those same core classes plus `BatchRecord`, `ThermalCycleSimulator`, `MicrostructureAnalysis`, `OptimizationResult`, and stronger support classes such as `QualityAssurance` and `ReportGenerator`, matching the requirement more completely.
2. Associations/Multiplicities between classes for domain reasoning: Model 1 = 3, Model 2 = 5; Evidence: Model 1 gets some key links right, such as `AlloyBatch "1" -- "*" MaterialSpecimen`, `ResearchProject "1" -- "*" ExperimentalDataset`, and `ProcessController "1" -- "*" ThermalAnalysisRun`, but it misses several essential relationships like `ThermalAnalysisRun` using `ThermalCycleSimulator`, `MicrostructureAnalysis` connecting to specimen/spectroscopy/calculator, `BatchRecord` linking batches and standards, and `QualityAssurance` approving batches. Model 2 adds those missing domain links, including `ThermalAnalysisRun "1" --&gt; "1" HeatTreatmentProfile`, `ThermalAnalysisRun ..&gt; ThermalCycleSimulator`, `MicrostructureAnalysis ..&gt; MaterialSpecimen` and `..&gt; SpectroscopyData`, `ComplianceArchive "1" *-- "0..*" BatchRecord`, `BatchRecord --&gt; AlloyBatch`, `BatchRecord --&gt; RegulatoryStandard`, and `QualityAssurance ..&gt; AlloyBatch`.
3. Model attributes with appropriate data types: Model 1 = 3, Model 2 = 4; Evidence: Model 1 has several appropriate attributes such as `creationDate: Date`, `density: float`, `surfaceFinish: String`, `austeniteFraction: float`, `budget: float`, `wavelength: float`, `emissionIntensity: float`, and `effectiveDate: Date`, but it leaves out many requirement-backed attributes like principal investigator, processing steps, cooling rate, peak temperature, batch-record fields, and QA fields. Model 2 covers more of those with `chemicalMakeup: Map`, `processingSteps: List`, `isValidated: Boolean`, `coolingRate: Float`, `peakTemperature: Float`, `principalInvestigator: String`, `integrityVerified: Boolean`, `primaryPhase: String`, `qualityStatus: String`, and `isCertified: Boolean`, though `DesignConstraint` still lacks an `effectiveDate`.
4. Consistencies of Terminology with given context: Model 1 = 4, Model 2 = 5; Evidence: Model 1 uses many direct domain terms like `AlloyBatch`, `MaterialSpecimen`, `PhaseDiagramCalculator`, `ThermalAnalysisRun`, `RegulatoryStandard`, and `QualityAssurance`, but it stays more generic in places and does not name concepts such as `BatchRecord` or `principalInvestigator`. Model 2 tracks the prompt more closely with terms like `processingSteps`, `quenchingStatus`, `MicrostructureAnalysis`, `PerformanceMetric`, `BatchRecord`, `primaryPhase`, `qualityStatus`, `SupplierNetwork`, and `ReportGenerator`, which are all closely aligned with the requirement wording.
5. Adherence of UML class diagram standards: Model 1 = 5, Model 2 = 5; Evidence: both diagrams are valid PlantUML class diagrams with class declarations, attributes, and associations that are syntactically understandable and conventionally expressed. Model 1 uses standard associations and multiplicities, while Model 2 also uses valid dependency/composition notation and class-member declarations without introducing UML-breaking syntax.
Total: Model 1 = 19, Model 2 = 24
Choice: B
Reason:
1. Conceptual coverage: Model 2 is more complete because it includes the required archive/recording and execution-support concepts (`BatchRecord`, `ThermalCycleSimulator`, `MicrostructureAnalysis`, `QualityAssurance`) that Model 1 omits.
2. Domain reasoning links: Model 2 captures more of the required workflow and data-flow relationships, especially around run execution, microstructure analysis, compliance archiving, and quality approval.
3. Attribute completeness: Model 2 models more of the required descriptive fields with appropriate types, even though both diagrams have a few omissions.
4. Rejected or checked issues: I did not use arrow direction style, lowercase primitive spellings, or equivalent multiplicity shorthand as negative evidence, because those are explicitly forbidden as scoring penalties.
5. Overall judgment: Model 2 is the better UML domain model because it covers more of the required business concepts, relationships, and data fields while remaining valid UML/PlantUML.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</si>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</sst>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7">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theme="1"/>
      <name val="宋体-简"/>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6">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NumberFormat="1" applyFont="1" applyFill="1" applyBorder="1"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5" customWidth="1"/>
  </cols>
  <sheetData>
    <row r="1" ht="13" customHeight="1" spans="1:13">
      <c r="A1" s="11" t="s">
        <v>0</v>
      </c>
      <c r="B1" s="11" t="s">
        <v>1</v>
      </c>
      <c r="C1" s="11" t="s">
        <v>2</v>
      </c>
      <c r="D1" s="11" t="s">
        <v>3</v>
      </c>
      <c r="E1" s="11" t="s">
        <v>4</v>
      </c>
      <c r="F1" s="12" t="s">
        <v>5</v>
      </c>
      <c r="G1" s="11" t="s">
        <v>6</v>
      </c>
      <c r="H1" s="11" t="s">
        <v>7</v>
      </c>
      <c r="I1" s="12" t="s">
        <v>8</v>
      </c>
      <c r="J1" s="11" t="s">
        <v>9</v>
      </c>
      <c r="K1" s="11" t="s">
        <v>10</v>
      </c>
      <c r="L1" s="11" t="s">
        <v>11</v>
      </c>
      <c r="M1" t="s">
        <v>12</v>
      </c>
    </row>
    <row r="2" ht="18" customHeight="1" spans="1:13">
      <c r="A2" t="s">
        <v>13</v>
      </c>
      <c r="B2" s="13" t="s">
        <v>14</v>
      </c>
      <c r="C2" t="s">
        <v>15</v>
      </c>
      <c r="D2" t="s">
        <v>16</v>
      </c>
      <c r="E2" t="s">
        <v>17</v>
      </c>
      <c r="F2" s="14" t="s">
        <v>18</v>
      </c>
      <c r="G2" t="s">
        <v>19</v>
      </c>
      <c r="H2" t="s">
        <v>20</v>
      </c>
      <c r="I2" s="15" t="s">
        <v>21</v>
      </c>
      <c r="J2" t="s">
        <v>22</v>
      </c>
      <c r="K2" t="str">
        <f t="shared" ref="K2:K65" si="0">IF(OR(J2="",C2="",E2=""),"",IF(J2="C","D(平局)",IF(J2=IF(E2="l2r","A","B"),LEFT(C2,1),RIGHT(C2,1))))</f>
        <v>D(平局)</v>
      </c>
      <c r="L2" t="s">
        <v>23</v>
      </c>
      <c r="M2">
        <f t="shared" ref="M2:M65" si="1">IF(OR(K2="",L2=""),"",--(K2=L2))</f>
        <v>1</v>
      </c>
    </row>
    <row r="3" ht="18" customHeight="1" spans="1:13">
      <c r="A3" t="s">
        <v>13</v>
      </c>
      <c r="B3" s="13" t="s">
        <v>14</v>
      </c>
      <c r="C3" t="s">
        <v>15</v>
      </c>
      <c r="D3" t="s">
        <v>24</v>
      </c>
      <c r="E3" t="s">
        <v>17</v>
      </c>
      <c r="F3" s="14" t="s">
        <v>25</v>
      </c>
      <c r="G3" t="s">
        <v>19</v>
      </c>
      <c r="H3" t="s">
        <v>20</v>
      </c>
      <c r="I3" s="15" t="s">
        <v>26</v>
      </c>
      <c r="J3" t="s">
        <v>22</v>
      </c>
      <c r="K3" t="str">
        <f t="shared" si="0"/>
        <v>D(平局)</v>
      </c>
      <c r="L3" t="s">
        <v>23</v>
      </c>
      <c r="M3">
        <f t="shared" si="1"/>
        <v>1</v>
      </c>
    </row>
    <row r="4" ht="18" customHeight="1" spans="1:13">
      <c r="A4" t="s">
        <v>13</v>
      </c>
      <c r="B4" s="13" t="s">
        <v>14</v>
      </c>
      <c r="C4" t="s">
        <v>15</v>
      </c>
      <c r="D4" t="s">
        <v>27</v>
      </c>
      <c r="E4" t="s">
        <v>17</v>
      </c>
      <c r="F4" s="14" t="s">
        <v>28</v>
      </c>
      <c r="G4" t="s">
        <v>19</v>
      </c>
      <c r="H4" t="s">
        <v>20</v>
      </c>
      <c r="I4" s="15" t="s">
        <v>29</v>
      </c>
      <c r="J4" t="s">
        <v>22</v>
      </c>
      <c r="K4" t="str">
        <f t="shared" si="0"/>
        <v>D(平局)</v>
      </c>
      <c r="L4" t="s">
        <v>23</v>
      </c>
      <c r="M4">
        <f t="shared" si="1"/>
        <v>1</v>
      </c>
    </row>
    <row r="5" ht="18" customHeight="1" spans="1:13">
      <c r="A5" t="s">
        <v>13</v>
      </c>
      <c r="B5" s="13" t="s">
        <v>14</v>
      </c>
      <c r="C5" t="s">
        <v>30</v>
      </c>
      <c r="D5" t="s">
        <v>16</v>
      </c>
      <c r="E5" t="s">
        <v>17</v>
      </c>
      <c r="F5" s="13" t="s">
        <v>31</v>
      </c>
      <c r="G5" t="s">
        <v>32</v>
      </c>
      <c r="H5" t="s">
        <v>20</v>
      </c>
      <c r="I5" t="s">
        <v>33</v>
      </c>
      <c r="J5" t="s">
        <v>34</v>
      </c>
      <c r="K5" t="str">
        <f t="shared" si="0"/>
        <v>A</v>
      </c>
      <c r="L5" t="s">
        <v>34</v>
      </c>
      <c r="M5">
        <f t="shared" si="1"/>
        <v>1</v>
      </c>
    </row>
    <row r="6" ht="18" customHeight="1" spans="1:13">
      <c r="A6" t="s">
        <v>13</v>
      </c>
      <c r="B6" s="13" t="s">
        <v>14</v>
      </c>
      <c r="C6" t="s">
        <v>30</v>
      </c>
      <c r="D6" t="s">
        <v>24</v>
      </c>
      <c r="E6" t="s">
        <v>17</v>
      </c>
      <c r="F6" s="14" t="s">
        <v>35</v>
      </c>
      <c r="G6" t="s">
        <v>19</v>
      </c>
      <c r="H6" t="s">
        <v>20</v>
      </c>
      <c r="I6" s="15" t="s">
        <v>36</v>
      </c>
      <c r="J6" t="s">
        <v>37</v>
      </c>
      <c r="K6" t="str">
        <f t="shared" si="0"/>
        <v>C</v>
      </c>
      <c r="L6" t="s">
        <v>34</v>
      </c>
      <c r="M6">
        <f t="shared" si="1"/>
        <v>0</v>
      </c>
    </row>
    <row r="7" ht="18" customHeight="1" spans="1:13">
      <c r="A7" t="s">
        <v>13</v>
      </c>
      <c r="B7" s="13" t="s">
        <v>14</v>
      </c>
      <c r="C7" t="s">
        <v>30</v>
      </c>
      <c r="D7" t="s">
        <v>27</v>
      </c>
      <c r="E7" t="s">
        <v>17</v>
      </c>
      <c r="F7" s="14" t="s">
        <v>38</v>
      </c>
      <c r="G7" t="s">
        <v>19</v>
      </c>
      <c r="H7" t="s">
        <v>20</v>
      </c>
      <c r="I7" s="15" t="s">
        <v>39</v>
      </c>
      <c r="J7" t="s">
        <v>22</v>
      </c>
      <c r="K7" t="str">
        <f t="shared" si="0"/>
        <v>D(平局)</v>
      </c>
      <c r="L7" t="s">
        <v>34</v>
      </c>
      <c r="M7">
        <f t="shared" si="1"/>
        <v>0</v>
      </c>
    </row>
    <row r="8" ht="18" customHeight="1" spans="1:13">
      <c r="A8" t="s">
        <v>13</v>
      </c>
      <c r="B8" s="13" t="s">
        <v>14</v>
      </c>
      <c r="C8" t="s">
        <v>40</v>
      </c>
      <c r="D8" t="s">
        <v>16</v>
      </c>
      <c r="E8" t="s">
        <v>17</v>
      </c>
      <c r="F8" s="13" t="s">
        <v>41</v>
      </c>
      <c r="G8" t="s">
        <v>32</v>
      </c>
      <c r="H8" t="s">
        <v>20</v>
      </c>
      <c r="I8" t="s">
        <v>42</v>
      </c>
      <c r="J8" t="s">
        <v>34</v>
      </c>
      <c r="K8" t="str">
        <f t="shared" si="0"/>
        <v>B</v>
      </c>
      <c r="L8" t="s">
        <v>37</v>
      </c>
      <c r="M8">
        <f t="shared" si="1"/>
        <v>1</v>
      </c>
    </row>
    <row r="9" ht="18" customHeight="1" spans="1:13">
      <c r="A9" t="s">
        <v>13</v>
      </c>
      <c r="B9" s="13" t="s">
        <v>14</v>
      </c>
      <c r="C9" t="s">
        <v>40</v>
      </c>
      <c r="D9" t="s">
        <v>24</v>
      </c>
      <c r="E9" t="s">
        <v>17</v>
      </c>
      <c r="F9" s="13" t="s">
        <v>43</v>
      </c>
      <c r="G9" t="s">
        <v>32</v>
      </c>
      <c r="H9" t="s">
        <v>20</v>
      </c>
      <c r="I9" t="s">
        <v>44</v>
      </c>
      <c r="J9" t="s">
        <v>34</v>
      </c>
      <c r="K9" t="str">
        <f t="shared" si="0"/>
        <v>B</v>
      </c>
      <c r="L9" t="s">
        <v>37</v>
      </c>
      <c r="M9">
        <f t="shared" si="1"/>
        <v>1</v>
      </c>
    </row>
    <row r="10" ht="18" customHeight="1" spans="1:13">
      <c r="A10" t="s">
        <v>13</v>
      </c>
      <c r="B10" s="13" t="s">
        <v>14</v>
      </c>
      <c r="C10" t="s">
        <v>40</v>
      </c>
      <c r="D10" t="s">
        <v>27</v>
      </c>
      <c r="E10" t="s">
        <v>17</v>
      </c>
      <c r="F10" s="13" t="s">
        <v>45</v>
      </c>
      <c r="G10" t="s">
        <v>32</v>
      </c>
      <c r="H10" t="s">
        <v>20</v>
      </c>
      <c r="I10" t="s">
        <v>46</v>
      </c>
      <c r="J10" t="s">
        <v>34</v>
      </c>
      <c r="K10" t="str">
        <f t="shared" si="0"/>
        <v>B</v>
      </c>
      <c r="L10" t="s">
        <v>37</v>
      </c>
      <c r="M10">
        <f t="shared" si="1"/>
        <v>1</v>
      </c>
    </row>
    <row r="11" ht="18" customHeight="1" spans="1:13">
      <c r="A11" t="s">
        <v>13</v>
      </c>
      <c r="B11" s="13" t="s">
        <v>14</v>
      </c>
      <c r="C11" t="s">
        <v>15</v>
      </c>
      <c r="D11" t="s">
        <v>16</v>
      </c>
      <c r="E11" t="s">
        <v>47</v>
      </c>
      <c r="F11" s="13" t="s">
        <v>48</v>
      </c>
      <c r="G11" t="s">
        <v>32</v>
      </c>
      <c r="H11" t="s">
        <v>20</v>
      </c>
      <c r="I11" t="s">
        <v>49</v>
      </c>
      <c r="J11" t="s">
        <v>34</v>
      </c>
      <c r="K11" t="str">
        <f t="shared" si="0"/>
        <v>B</v>
      </c>
      <c r="L11" t="s">
        <v>23</v>
      </c>
      <c r="M11">
        <f t="shared" si="1"/>
        <v>0</v>
      </c>
    </row>
    <row r="12" ht="18" customHeight="1" spans="1:13">
      <c r="A12" t="s">
        <v>13</v>
      </c>
      <c r="B12" s="13" t="s">
        <v>14</v>
      </c>
      <c r="C12" t="s">
        <v>15</v>
      </c>
      <c r="D12" t="s">
        <v>24</v>
      </c>
      <c r="E12" t="s">
        <v>47</v>
      </c>
      <c r="F12" s="13" t="s">
        <v>50</v>
      </c>
      <c r="G12" t="s">
        <v>32</v>
      </c>
      <c r="H12" t="s">
        <v>20</v>
      </c>
      <c r="I12" t="s">
        <v>51</v>
      </c>
      <c r="J12" t="s">
        <v>34</v>
      </c>
      <c r="K12" t="str">
        <f t="shared" si="0"/>
        <v>B</v>
      </c>
      <c r="L12" t="s">
        <v>23</v>
      </c>
      <c r="M12">
        <f t="shared" si="1"/>
        <v>0</v>
      </c>
    </row>
    <row r="13" ht="18" customHeight="1" spans="1:13">
      <c r="A13" t="s">
        <v>13</v>
      </c>
      <c r="B13" s="13" t="s">
        <v>14</v>
      </c>
      <c r="C13" t="s">
        <v>15</v>
      </c>
      <c r="D13" t="s">
        <v>27</v>
      </c>
      <c r="E13" t="s">
        <v>47</v>
      </c>
      <c r="F13" s="13" t="s">
        <v>52</v>
      </c>
      <c r="G13" t="s">
        <v>32</v>
      </c>
      <c r="H13" t="s">
        <v>20</v>
      </c>
      <c r="I13" t="s">
        <v>53</v>
      </c>
      <c r="J13" t="s">
        <v>34</v>
      </c>
      <c r="K13" t="str">
        <f t="shared" si="0"/>
        <v>B</v>
      </c>
      <c r="L13" t="s">
        <v>23</v>
      </c>
      <c r="M13">
        <f t="shared" si="1"/>
        <v>0</v>
      </c>
    </row>
    <row r="14" ht="18" customHeight="1" spans="1:13">
      <c r="A14" t="s">
        <v>13</v>
      </c>
      <c r="B14" s="13" t="s">
        <v>14</v>
      </c>
      <c r="C14" t="s">
        <v>30</v>
      </c>
      <c r="D14" t="s">
        <v>16</v>
      </c>
      <c r="E14" t="s">
        <v>47</v>
      </c>
      <c r="F14" s="13" t="s">
        <v>54</v>
      </c>
      <c r="G14" t="s">
        <v>32</v>
      </c>
      <c r="H14" t="s">
        <v>20</v>
      </c>
      <c r="I14" t="s">
        <v>55</v>
      </c>
      <c r="J14" t="s">
        <v>34</v>
      </c>
      <c r="K14" t="str">
        <f t="shared" si="0"/>
        <v>C</v>
      </c>
      <c r="L14" t="s">
        <v>34</v>
      </c>
      <c r="M14">
        <f t="shared" si="1"/>
        <v>0</v>
      </c>
    </row>
    <row r="15" ht="18" customHeight="1" spans="1:13">
      <c r="A15" t="s">
        <v>13</v>
      </c>
      <c r="B15" s="13" t="s">
        <v>14</v>
      </c>
      <c r="C15" t="s">
        <v>30</v>
      </c>
      <c r="D15" t="s">
        <v>24</v>
      </c>
      <c r="E15" t="s">
        <v>47</v>
      </c>
      <c r="F15" s="13" t="s">
        <v>56</v>
      </c>
      <c r="G15" t="s">
        <v>32</v>
      </c>
      <c r="H15" t="s">
        <v>20</v>
      </c>
      <c r="I15" t="s">
        <v>57</v>
      </c>
      <c r="J15" t="s">
        <v>34</v>
      </c>
      <c r="K15" t="str">
        <f t="shared" si="0"/>
        <v>C</v>
      </c>
      <c r="L15" t="s">
        <v>34</v>
      </c>
      <c r="M15">
        <f t="shared" si="1"/>
        <v>0</v>
      </c>
    </row>
    <row r="16" ht="18" customHeight="1" spans="1:13">
      <c r="A16" t="s">
        <v>13</v>
      </c>
      <c r="B16" s="13" t="s">
        <v>14</v>
      </c>
      <c r="C16" t="s">
        <v>30</v>
      </c>
      <c r="D16" t="s">
        <v>27</v>
      </c>
      <c r="E16" t="s">
        <v>47</v>
      </c>
      <c r="F16" s="13" t="s">
        <v>58</v>
      </c>
      <c r="G16" t="s">
        <v>32</v>
      </c>
      <c r="H16" t="s">
        <v>20</v>
      </c>
      <c r="I16" t="s">
        <v>59</v>
      </c>
      <c r="J16" t="s">
        <v>34</v>
      </c>
      <c r="K16" t="str">
        <f t="shared" si="0"/>
        <v>C</v>
      </c>
      <c r="L16" t="s">
        <v>34</v>
      </c>
      <c r="M16">
        <f t="shared" si="1"/>
        <v>0</v>
      </c>
    </row>
    <row r="17" ht="18" customHeight="1" spans="1:13">
      <c r="A17" t="s">
        <v>13</v>
      </c>
      <c r="B17" s="13" t="s">
        <v>14</v>
      </c>
      <c r="C17" t="s">
        <v>40</v>
      </c>
      <c r="D17" t="s">
        <v>16</v>
      </c>
      <c r="E17" t="s">
        <v>47</v>
      </c>
      <c r="F17" s="14" t="s">
        <v>60</v>
      </c>
      <c r="G17" t="s">
        <v>32</v>
      </c>
      <c r="H17" t="s">
        <v>20</v>
      </c>
      <c r="I17" s="15" t="s">
        <v>61</v>
      </c>
      <c r="J17" t="s">
        <v>37</v>
      </c>
      <c r="K17" t="str">
        <f t="shared" si="0"/>
        <v>B</v>
      </c>
      <c r="L17" t="s">
        <v>37</v>
      </c>
      <c r="M17">
        <f t="shared" si="1"/>
        <v>1</v>
      </c>
    </row>
    <row r="18" ht="18" customHeight="1" spans="1:13">
      <c r="A18" t="s">
        <v>13</v>
      </c>
      <c r="B18" s="13" t="s">
        <v>14</v>
      </c>
      <c r="C18" t="s">
        <v>40</v>
      </c>
      <c r="D18" t="s">
        <v>24</v>
      </c>
      <c r="E18" t="s">
        <v>47</v>
      </c>
      <c r="F18" s="14" t="s">
        <v>62</v>
      </c>
      <c r="G18" t="s">
        <v>32</v>
      </c>
      <c r="H18" t="s">
        <v>20</v>
      </c>
      <c r="I18" s="15" t="s">
        <v>63</v>
      </c>
      <c r="J18" t="s">
        <v>37</v>
      </c>
      <c r="K18" t="str">
        <f t="shared" si="0"/>
        <v>B</v>
      </c>
      <c r="L18" t="s">
        <v>37</v>
      </c>
      <c r="M18">
        <f t="shared" si="1"/>
        <v>1</v>
      </c>
    </row>
    <row r="19" ht="18" customHeight="1" spans="1:13">
      <c r="A19" t="s">
        <v>13</v>
      </c>
      <c r="B19" s="13" t="s">
        <v>14</v>
      </c>
      <c r="C19" t="s">
        <v>40</v>
      </c>
      <c r="D19" t="s">
        <v>27</v>
      </c>
      <c r="E19" t="s">
        <v>47</v>
      </c>
      <c r="F19" s="13" t="s">
        <v>64</v>
      </c>
      <c r="G19" t="s">
        <v>32</v>
      </c>
      <c r="H19" t="s">
        <v>20</v>
      </c>
      <c r="I19" t="s">
        <v>65</v>
      </c>
      <c r="J19" t="s">
        <v>37</v>
      </c>
      <c r="K19" t="str">
        <f t="shared" si="0"/>
        <v>B</v>
      </c>
      <c r="L19" t="s">
        <v>37</v>
      </c>
      <c r="M19">
        <f t="shared" si="1"/>
        <v>1</v>
      </c>
    </row>
    <row r="20" ht="18" customHeight="1" spans="1:13">
      <c r="A20" t="s">
        <v>66</v>
      </c>
      <c r="B20" s="13" t="s">
        <v>67</v>
      </c>
      <c r="C20" t="s">
        <v>15</v>
      </c>
      <c r="D20" t="s">
        <v>16</v>
      </c>
      <c r="E20" t="s">
        <v>17</v>
      </c>
      <c r="F20" s="13" t="s">
        <v>68</v>
      </c>
      <c r="G20" t="s">
        <v>32</v>
      </c>
      <c r="H20" t="s">
        <v>20</v>
      </c>
      <c r="I20" t="s">
        <v>69</v>
      </c>
      <c r="J20" t="s">
        <v>34</v>
      </c>
      <c r="K20" t="str">
        <f t="shared" si="0"/>
        <v>A</v>
      </c>
      <c r="L20" t="s">
        <v>34</v>
      </c>
      <c r="M20">
        <f t="shared" si="1"/>
        <v>1</v>
      </c>
    </row>
    <row r="21" ht="18" customHeight="1" spans="1:13">
      <c r="A21" t="s">
        <v>66</v>
      </c>
      <c r="B21" s="13" t="s">
        <v>67</v>
      </c>
      <c r="C21" t="s">
        <v>15</v>
      </c>
      <c r="D21" t="s">
        <v>24</v>
      </c>
      <c r="E21" t="s">
        <v>17</v>
      </c>
      <c r="F21" s="13" t="s">
        <v>70</v>
      </c>
      <c r="G21" t="s">
        <v>32</v>
      </c>
      <c r="H21" t="s">
        <v>20</v>
      </c>
      <c r="I21" t="s">
        <v>71</v>
      </c>
      <c r="J21" t="s">
        <v>34</v>
      </c>
      <c r="K21" t="str">
        <f t="shared" si="0"/>
        <v>A</v>
      </c>
      <c r="L21" t="s">
        <v>34</v>
      </c>
      <c r="M21">
        <f t="shared" si="1"/>
        <v>1</v>
      </c>
    </row>
    <row r="22" ht="18" customHeight="1" spans="1:13">
      <c r="A22" t="s">
        <v>66</v>
      </c>
      <c r="B22" s="13" t="s">
        <v>67</v>
      </c>
      <c r="C22" t="s">
        <v>15</v>
      </c>
      <c r="D22" t="s">
        <v>27</v>
      </c>
      <c r="E22" t="s">
        <v>17</v>
      </c>
      <c r="F22" s="13" t="s">
        <v>72</v>
      </c>
      <c r="G22" t="s">
        <v>32</v>
      </c>
      <c r="H22" t="s">
        <v>20</v>
      </c>
      <c r="I22" t="s">
        <v>73</v>
      </c>
      <c r="J22" t="s">
        <v>34</v>
      </c>
      <c r="K22" t="str">
        <f t="shared" si="0"/>
        <v>A</v>
      </c>
      <c r="L22" t="s">
        <v>34</v>
      </c>
      <c r="M22">
        <f t="shared" si="1"/>
        <v>1</v>
      </c>
    </row>
    <row r="23" ht="18" customHeight="1" spans="1:13">
      <c r="A23" t="s">
        <v>66</v>
      </c>
      <c r="B23" s="13" t="s">
        <v>67</v>
      </c>
      <c r="C23" t="s">
        <v>30</v>
      </c>
      <c r="D23" t="s">
        <v>16</v>
      </c>
      <c r="E23" t="s">
        <v>17</v>
      </c>
      <c r="F23" s="13" t="s">
        <v>74</v>
      </c>
      <c r="G23" t="s">
        <v>32</v>
      </c>
      <c r="H23" t="s">
        <v>20</v>
      </c>
      <c r="I23" t="s">
        <v>75</v>
      </c>
      <c r="J23" t="s">
        <v>34</v>
      </c>
      <c r="K23" t="str">
        <f t="shared" si="0"/>
        <v>A</v>
      </c>
      <c r="L23" t="s">
        <v>34</v>
      </c>
      <c r="M23">
        <f t="shared" si="1"/>
        <v>1</v>
      </c>
    </row>
    <row r="24" ht="18" customHeight="1" spans="1:13">
      <c r="A24" t="s">
        <v>66</v>
      </c>
      <c r="B24" s="13" t="s">
        <v>67</v>
      </c>
      <c r="C24" t="s">
        <v>30</v>
      </c>
      <c r="D24" t="s">
        <v>24</v>
      </c>
      <c r="E24" t="s">
        <v>17</v>
      </c>
      <c r="F24" s="13" t="s">
        <v>76</v>
      </c>
      <c r="G24" t="s">
        <v>32</v>
      </c>
      <c r="H24" t="s">
        <v>20</v>
      </c>
      <c r="I24" t="s">
        <v>77</v>
      </c>
      <c r="J24" t="s">
        <v>34</v>
      </c>
      <c r="K24" t="str">
        <f t="shared" si="0"/>
        <v>A</v>
      </c>
      <c r="L24" t="s">
        <v>34</v>
      </c>
      <c r="M24">
        <f t="shared" si="1"/>
        <v>1</v>
      </c>
    </row>
    <row r="25" ht="18" customHeight="1" spans="1:13">
      <c r="A25" t="s">
        <v>66</v>
      </c>
      <c r="B25" s="13" t="s">
        <v>67</v>
      </c>
      <c r="C25" t="s">
        <v>30</v>
      </c>
      <c r="D25" t="s">
        <v>27</v>
      </c>
      <c r="E25" t="s">
        <v>17</v>
      </c>
      <c r="F25" s="13" t="s">
        <v>78</v>
      </c>
      <c r="G25" t="s">
        <v>32</v>
      </c>
      <c r="H25" t="s">
        <v>20</v>
      </c>
      <c r="I25" t="s">
        <v>79</v>
      </c>
      <c r="J25" t="s">
        <v>34</v>
      </c>
      <c r="K25" t="str">
        <f t="shared" si="0"/>
        <v>A</v>
      </c>
      <c r="L25" t="s">
        <v>34</v>
      </c>
      <c r="M25">
        <f t="shared" si="1"/>
        <v>1</v>
      </c>
    </row>
    <row r="26" ht="18" customHeight="1" spans="1:13">
      <c r="A26" t="s">
        <v>66</v>
      </c>
      <c r="B26" s="13" t="s">
        <v>67</v>
      </c>
      <c r="C26" t="s">
        <v>40</v>
      </c>
      <c r="D26" t="s">
        <v>16</v>
      </c>
      <c r="E26" t="s">
        <v>17</v>
      </c>
      <c r="F26" s="13" t="s">
        <v>80</v>
      </c>
      <c r="G26" t="s">
        <v>32</v>
      </c>
      <c r="H26" t="s">
        <v>20</v>
      </c>
      <c r="I26" t="s">
        <v>81</v>
      </c>
      <c r="J26" t="s">
        <v>37</v>
      </c>
      <c r="K26" t="str">
        <f t="shared" si="0"/>
        <v>C</v>
      </c>
      <c r="L26" t="s">
        <v>22</v>
      </c>
      <c r="M26">
        <f t="shared" si="1"/>
        <v>1</v>
      </c>
    </row>
    <row r="27" ht="18" customHeight="1" spans="1:13">
      <c r="A27" t="s">
        <v>66</v>
      </c>
      <c r="B27" s="13" t="s">
        <v>67</v>
      </c>
      <c r="C27" t="s">
        <v>40</v>
      </c>
      <c r="D27" t="s">
        <v>24</v>
      </c>
      <c r="E27" t="s">
        <v>17</v>
      </c>
      <c r="F27" s="13" t="s">
        <v>82</v>
      </c>
      <c r="G27" t="s">
        <v>32</v>
      </c>
      <c r="H27" t="s">
        <v>20</v>
      </c>
      <c r="I27" t="s">
        <v>83</v>
      </c>
      <c r="J27" t="s">
        <v>37</v>
      </c>
      <c r="K27" t="str">
        <f t="shared" si="0"/>
        <v>C</v>
      </c>
      <c r="L27" t="s">
        <v>22</v>
      </c>
      <c r="M27">
        <f t="shared" si="1"/>
        <v>1</v>
      </c>
    </row>
    <row r="28" ht="18" customHeight="1" spans="1:13">
      <c r="A28" t="s">
        <v>66</v>
      </c>
      <c r="B28" s="13" t="s">
        <v>67</v>
      </c>
      <c r="C28" t="s">
        <v>40</v>
      </c>
      <c r="D28" t="s">
        <v>27</v>
      </c>
      <c r="E28" t="s">
        <v>17</v>
      </c>
      <c r="F28" s="14" t="s">
        <v>84</v>
      </c>
      <c r="G28" t="s">
        <v>19</v>
      </c>
      <c r="H28" t="s">
        <v>20</v>
      </c>
      <c r="I28" s="15" t="s">
        <v>85</v>
      </c>
      <c r="J28" t="s">
        <v>22</v>
      </c>
      <c r="K28" t="str">
        <f t="shared" si="0"/>
        <v>D(平局)</v>
      </c>
      <c r="L28" t="s">
        <v>22</v>
      </c>
      <c r="M28">
        <f t="shared" si="1"/>
        <v>0</v>
      </c>
    </row>
    <row r="29" ht="18" customHeight="1" spans="1:13">
      <c r="A29" t="s">
        <v>66</v>
      </c>
      <c r="B29" s="13" t="s">
        <v>67</v>
      </c>
      <c r="C29" t="s">
        <v>15</v>
      </c>
      <c r="D29" t="s">
        <v>16</v>
      </c>
      <c r="E29" t="s">
        <v>47</v>
      </c>
      <c r="F29" s="13" t="s">
        <v>86</v>
      </c>
      <c r="G29" t="s">
        <v>32</v>
      </c>
      <c r="H29" t="s">
        <v>20</v>
      </c>
      <c r="I29" t="s">
        <v>87</v>
      </c>
      <c r="J29" t="s">
        <v>37</v>
      </c>
      <c r="K29" t="str">
        <f t="shared" si="0"/>
        <v>A</v>
      </c>
      <c r="L29" t="s">
        <v>34</v>
      </c>
      <c r="M29">
        <f t="shared" si="1"/>
        <v>1</v>
      </c>
    </row>
    <row r="30" ht="18" customHeight="1" spans="1:13">
      <c r="A30" t="s">
        <v>66</v>
      </c>
      <c r="B30" s="13" t="s">
        <v>67</v>
      </c>
      <c r="C30" t="s">
        <v>15</v>
      </c>
      <c r="D30" t="s">
        <v>24</v>
      </c>
      <c r="E30" t="s">
        <v>47</v>
      </c>
      <c r="F30" s="13" t="s">
        <v>88</v>
      </c>
      <c r="G30" t="s">
        <v>32</v>
      </c>
      <c r="H30" t="s">
        <v>20</v>
      </c>
      <c r="I30" t="s">
        <v>89</v>
      </c>
      <c r="J30" t="s">
        <v>37</v>
      </c>
      <c r="K30" t="str">
        <f t="shared" si="0"/>
        <v>A</v>
      </c>
      <c r="L30" t="s">
        <v>34</v>
      </c>
      <c r="M30">
        <f t="shared" si="1"/>
        <v>1</v>
      </c>
    </row>
    <row r="31" ht="18" customHeight="1" spans="1:13">
      <c r="A31" t="s">
        <v>66</v>
      </c>
      <c r="B31" s="13" t="s">
        <v>67</v>
      </c>
      <c r="C31" t="s">
        <v>15</v>
      </c>
      <c r="D31" t="s">
        <v>27</v>
      </c>
      <c r="E31" t="s">
        <v>47</v>
      </c>
      <c r="F31" s="13" t="s">
        <v>90</v>
      </c>
      <c r="G31" t="s">
        <v>32</v>
      </c>
      <c r="H31" t="s">
        <v>20</v>
      </c>
      <c r="I31" t="s">
        <v>91</v>
      </c>
      <c r="J31" t="s">
        <v>37</v>
      </c>
      <c r="K31" t="str">
        <f t="shared" si="0"/>
        <v>A</v>
      </c>
      <c r="L31" t="s">
        <v>34</v>
      </c>
      <c r="M31">
        <f t="shared" si="1"/>
        <v>1</v>
      </c>
    </row>
    <row r="32" ht="18" customHeight="1" spans="1:13">
      <c r="A32" t="s">
        <v>66</v>
      </c>
      <c r="B32" s="13" t="s">
        <v>67</v>
      </c>
      <c r="C32" t="s">
        <v>30</v>
      </c>
      <c r="D32" t="s">
        <v>16</v>
      </c>
      <c r="E32" t="s">
        <v>47</v>
      </c>
      <c r="F32" s="13" t="s">
        <v>92</v>
      </c>
      <c r="G32" t="s">
        <v>32</v>
      </c>
      <c r="H32" t="s">
        <v>20</v>
      </c>
      <c r="I32" t="s">
        <v>93</v>
      </c>
      <c r="J32" t="s">
        <v>37</v>
      </c>
      <c r="K32" t="str">
        <f t="shared" si="0"/>
        <v>A</v>
      </c>
      <c r="L32" t="s">
        <v>34</v>
      </c>
      <c r="M32">
        <f t="shared" si="1"/>
        <v>1</v>
      </c>
    </row>
    <row r="33" ht="18" customHeight="1" spans="1:13">
      <c r="A33" t="s">
        <v>66</v>
      </c>
      <c r="B33" s="13" t="s">
        <v>67</v>
      </c>
      <c r="C33" t="s">
        <v>30</v>
      </c>
      <c r="D33" t="s">
        <v>24</v>
      </c>
      <c r="E33" t="s">
        <v>47</v>
      </c>
      <c r="F33" s="13" t="s">
        <v>94</v>
      </c>
      <c r="G33" t="s">
        <v>32</v>
      </c>
      <c r="H33" t="s">
        <v>20</v>
      </c>
      <c r="I33" t="s">
        <v>95</v>
      </c>
      <c r="J33" t="s">
        <v>37</v>
      </c>
      <c r="K33" t="str">
        <f t="shared" si="0"/>
        <v>A</v>
      </c>
      <c r="L33" t="s">
        <v>34</v>
      </c>
      <c r="M33">
        <f t="shared" si="1"/>
        <v>1</v>
      </c>
    </row>
    <row r="34" ht="18" customHeight="1" spans="1:13">
      <c r="A34" t="s">
        <v>66</v>
      </c>
      <c r="B34" s="13" t="s">
        <v>67</v>
      </c>
      <c r="C34" t="s">
        <v>30</v>
      </c>
      <c r="D34" t="s">
        <v>27</v>
      </c>
      <c r="E34" t="s">
        <v>47</v>
      </c>
      <c r="F34" s="13" t="s">
        <v>96</v>
      </c>
      <c r="G34" t="s">
        <v>32</v>
      </c>
      <c r="H34" t="s">
        <v>20</v>
      </c>
      <c r="I34" t="s">
        <v>97</v>
      </c>
      <c r="J34" t="s">
        <v>37</v>
      </c>
      <c r="K34" t="str">
        <f t="shared" si="0"/>
        <v>A</v>
      </c>
      <c r="L34" t="s">
        <v>34</v>
      </c>
      <c r="M34">
        <f t="shared" si="1"/>
        <v>1</v>
      </c>
    </row>
    <row r="35" ht="18" customHeight="1" spans="1:13">
      <c r="A35" t="s">
        <v>66</v>
      </c>
      <c r="B35" s="13" t="s">
        <v>67</v>
      </c>
      <c r="C35" t="s">
        <v>40</v>
      </c>
      <c r="D35" t="s">
        <v>16</v>
      </c>
      <c r="E35" t="s">
        <v>47</v>
      </c>
      <c r="F35" s="13" t="s">
        <v>98</v>
      </c>
      <c r="G35" t="s">
        <v>32</v>
      </c>
      <c r="H35" t="s">
        <v>20</v>
      </c>
      <c r="I35" t="s">
        <v>99</v>
      </c>
      <c r="J35" t="s">
        <v>34</v>
      </c>
      <c r="K35" t="str">
        <f t="shared" si="0"/>
        <v>C</v>
      </c>
      <c r="L35" t="s">
        <v>22</v>
      </c>
      <c r="M35">
        <f t="shared" si="1"/>
        <v>1</v>
      </c>
    </row>
    <row r="36" ht="18" customHeight="1" spans="1:13">
      <c r="A36" t="s">
        <v>66</v>
      </c>
      <c r="B36" s="13" t="s">
        <v>67</v>
      </c>
      <c r="C36" t="s">
        <v>40</v>
      </c>
      <c r="D36" t="s">
        <v>24</v>
      </c>
      <c r="E36" t="s">
        <v>47</v>
      </c>
      <c r="F36" s="13" t="s">
        <v>100</v>
      </c>
      <c r="G36" t="s">
        <v>32</v>
      </c>
      <c r="H36" t="s">
        <v>20</v>
      </c>
      <c r="I36" t="s">
        <v>101</v>
      </c>
      <c r="J36" t="s">
        <v>34</v>
      </c>
      <c r="K36" t="str">
        <f t="shared" si="0"/>
        <v>C</v>
      </c>
      <c r="L36" t="s">
        <v>22</v>
      </c>
      <c r="M36">
        <f t="shared" si="1"/>
        <v>1</v>
      </c>
    </row>
    <row r="37" ht="18" customHeight="1" spans="1:13">
      <c r="A37" t="s">
        <v>66</v>
      </c>
      <c r="B37" s="13" t="s">
        <v>67</v>
      </c>
      <c r="C37" t="s">
        <v>40</v>
      </c>
      <c r="D37" t="s">
        <v>27</v>
      </c>
      <c r="E37" t="s">
        <v>47</v>
      </c>
      <c r="F37" s="13" t="s">
        <v>102</v>
      </c>
      <c r="G37" t="s">
        <v>32</v>
      </c>
      <c r="H37" t="s">
        <v>20</v>
      </c>
      <c r="I37" t="s">
        <v>103</v>
      </c>
      <c r="J37" t="s">
        <v>34</v>
      </c>
      <c r="K37" t="str">
        <f t="shared" si="0"/>
        <v>C</v>
      </c>
      <c r="L37" t="s">
        <v>22</v>
      </c>
      <c r="M37">
        <f t="shared" si="1"/>
        <v>1</v>
      </c>
    </row>
    <row r="38" ht="18" customHeight="1" spans="1:13">
      <c r="A38" t="s">
        <v>104</v>
      </c>
      <c r="B38" s="13" t="s">
        <v>105</v>
      </c>
      <c r="C38" t="s">
        <v>15</v>
      </c>
      <c r="D38" t="s">
        <v>16</v>
      </c>
      <c r="E38" t="s">
        <v>17</v>
      </c>
      <c r="F38" s="13" t="s">
        <v>106</v>
      </c>
      <c r="G38" t="s">
        <v>19</v>
      </c>
      <c r="H38" t="s">
        <v>20</v>
      </c>
      <c r="I38" t="s">
        <v>107</v>
      </c>
      <c r="J38" t="s">
        <v>37</v>
      </c>
      <c r="K38" t="str">
        <f t="shared" si="0"/>
        <v>B</v>
      </c>
      <c r="L38" t="s">
        <v>34</v>
      </c>
      <c r="M38">
        <f t="shared" si="1"/>
        <v>0</v>
      </c>
    </row>
    <row r="39" ht="18" customHeight="1" spans="1:13">
      <c r="A39" t="s">
        <v>104</v>
      </c>
      <c r="B39" s="13" t="s">
        <v>105</v>
      </c>
      <c r="C39" t="s">
        <v>15</v>
      </c>
      <c r="D39" t="s">
        <v>24</v>
      </c>
      <c r="E39" t="s">
        <v>17</v>
      </c>
      <c r="F39" s="13" t="s">
        <v>108</v>
      </c>
      <c r="G39" t="s">
        <v>19</v>
      </c>
      <c r="H39" t="s">
        <v>20</v>
      </c>
      <c r="I39" t="s">
        <v>109</v>
      </c>
      <c r="J39" t="s">
        <v>37</v>
      </c>
      <c r="K39" t="str">
        <f t="shared" si="0"/>
        <v>B</v>
      </c>
      <c r="L39" t="s">
        <v>34</v>
      </c>
      <c r="M39">
        <f t="shared" si="1"/>
        <v>0</v>
      </c>
    </row>
    <row r="40" ht="18" customHeight="1" spans="1:13">
      <c r="A40" t="s">
        <v>104</v>
      </c>
      <c r="B40" s="13" t="s">
        <v>105</v>
      </c>
      <c r="C40" t="s">
        <v>15</v>
      </c>
      <c r="D40" t="s">
        <v>27</v>
      </c>
      <c r="E40" t="s">
        <v>17</v>
      </c>
      <c r="F40" s="13" t="s">
        <v>110</v>
      </c>
      <c r="G40" t="s">
        <v>32</v>
      </c>
      <c r="H40" t="s">
        <v>20</v>
      </c>
      <c r="I40" t="s">
        <v>111</v>
      </c>
      <c r="J40" t="s">
        <v>34</v>
      </c>
      <c r="K40" t="str">
        <f t="shared" si="0"/>
        <v>A</v>
      </c>
      <c r="L40" t="s">
        <v>34</v>
      </c>
      <c r="M40">
        <f t="shared" si="1"/>
        <v>1</v>
      </c>
    </row>
    <row r="41" ht="18" customHeight="1" spans="1:13">
      <c r="A41" t="s">
        <v>104</v>
      </c>
      <c r="B41" s="13" t="s">
        <v>105</v>
      </c>
      <c r="C41" t="s">
        <v>30</v>
      </c>
      <c r="D41" t="s">
        <v>16</v>
      </c>
      <c r="E41" t="s">
        <v>17</v>
      </c>
      <c r="F41" s="13" t="s">
        <v>112</v>
      </c>
      <c r="G41" t="s">
        <v>32</v>
      </c>
      <c r="H41" t="s">
        <v>20</v>
      </c>
      <c r="I41" t="s">
        <v>113</v>
      </c>
      <c r="J41" t="s">
        <v>34</v>
      </c>
      <c r="K41" t="str">
        <f t="shared" si="0"/>
        <v>A</v>
      </c>
      <c r="L41" t="s">
        <v>34</v>
      </c>
      <c r="M41">
        <f t="shared" si="1"/>
        <v>1</v>
      </c>
    </row>
    <row r="42" ht="18" customHeight="1" spans="1:13">
      <c r="A42" t="s">
        <v>104</v>
      </c>
      <c r="B42" s="13" t="s">
        <v>105</v>
      </c>
      <c r="C42" t="s">
        <v>30</v>
      </c>
      <c r="D42" t="s">
        <v>24</v>
      </c>
      <c r="E42" t="s">
        <v>17</v>
      </c>
      <c r="F42" s="13" t="s">
        <v>114</v>
      </c>
      <c r="G42" t="s">
        <v>32</v>
      </c>
      <c r="H42" t="s">
        <v>20</v>
      </c>
      <c r="I42" t="s">
        <v>115</v>
      </c>
      <c r="J42" t="s">
        <v>34</v>
      </c>
      <c r="K42" t="str">
        <f t="shared" si="0"/>
        <v>A</v>
      </c>
      <c r="L42" t="s">
        <v>34</v>
      </c>
      <c r="M42">
        <f t="shared" si="1"/>
        <v>1</v>
      </c>
    </row>
    <row r="43" ht="18" customHeight="1" spans="1:13">
      <c r="A43" t="s">
        <v>104</v>
      </c>
      <c r="B43" s="13" t="s">
        <v>105</v>
      </c>
      <c r="C43" t="s">
        <v>30</v>
      </c>
      <c r="D43" t="s">
        <v>27</v>
      </c>
      <c r="E43" t="s">
        <v>17</v>
      </c>
      <c r="F43" s="13" t="s">
        <v>116</v>
      </c>
      <c r="G43" t="s">
        <v>32</v>
      </c>
      <c r="H43" t="s">
        <v>20</v>
      </c>
      <c r="I43" t="s">
        <v>117</v>
      </c>
      <c r="J43" t="s">
        <v>34</v>
      </c>
      <c r="K43" t="str">
        <f t="shared" si="0"/>
        <v>A</v>
      </c>
      <c r="L43" t="s">
        <v>34</v>
      </c>
      <c r="M43">
        <f t="shared" si="1"/>
        <v>1</v>
      </c>
    </row>
    <row r="44" ht="18" customHeight="1" spans="1:13">
      <c r="A44" t="s">
        <v>104</v>
      </c>
      <c r="B44" s="13" t="s">
        <v>105</v>
      </c>
      <c r="C44" t="s">
        <v>40</v>
      </c>
      <c r="D44" t="s">
        <v>16</v>
      </c>
      <c r="E44" t="s">
        <v>17</v>
      </c>
      <c r="F44" s="13" t="s">
        <v>118</v>
      </c>
      <c r="G44" t="s">
        <v>32</v>
      </c>
      <c r="H44" t="s">
        <v>20</v>
      </c>
      <c r="I44" t="s">
        <v>119</v>
      </c>
      <c r="J44" t="s">
        <v>34</v>
      </c>
      <c r="K44" t="str">
        <f t="shared" si="0"/>
        <v>B</v>
      </c>
      <c r="L44" t="s">
        <v>37</v>
      </c>
      <c r="M44">
        <f t="shared" si="1"/>
        <v>1</v>
      </c>
    </row>
    <row r="45" ht="18" customHeight="1" spans="1:13">
      <c r="A45" t="s">
        <v>104</v>
      </c>
      <c r="B45" s="13" t="s">
        <v>105</v>
      </c>
      <c r="C45" t="s">
        <v>40</v>
      </c>
      <c r="D45" t="s">
        <v>24</v>
      </c>
      <c r="E45" t="s">
        <v>17</v>
      </c>
      <c r="F45" s="13" t="s">
        <v>120</v>
      </c>
      <c r="G45" t="s">
        <v>32</v>
      </c>
      <c r="H45" t="s">
        <v>20</v>
      </c>
      <c r="I45" t="s">
        <v>121</v>
      </c>
      <c r="J45" t="s">
        <v>34</v>
      </c>
      <c r="K45" t="str">
        <f t="shared" si="0"/>
        <v>B</v>
      </c>
      <c r="L45" t="s">
        <v>37</v>
      </c>
      <c r="M45">
        <f t="shared" si="1"/>
        <v>1</v>
      </c>
    </row>
    <row r="46" ht="18" customHeight="1" spans="1:13">
      <c r="A46" t="s">
        <v>104</v>
      </c>
      <c r="B46" s="13" t="s">
        <v>105</v>
      </c>
      <c r="C46" t="s">
        <v>40</v>
      </c>
      <c r="D46" t="s">
        <v>27</v>
      </c>
      <c r="E46" t="s">
        <v>17</v>
      </c>
      <c r="F46" s="13" t="s">
        <v>122</v>
      </c>
      <c r="G46" t="s">
        <v>32</v>
      </c>
      <c r="H46" t="s">
        <v>20</v>
      </c>
      <c r="I46" t="s">
        <v>123</v>
      </c>
      <c r="J46" t="s">
        <v>34</v>
      </c>
      <c r="K46" t="str">
        <f t="shared" si="0"/>
        <v>B</v>
      </c>
      <c r="L46" t="s">
        <v>37</v>
      </c>
      <c r="M46">
        <f t="shared" si="1"/>
        <v>1</v>
      </c>
    </row>
    <row r="47" ht="18" customHeight="1" spans="1:13">
      <c r="A47" t="s">
        <v>104</v>
      </c>
      <c r="B47" s="13" t="s">
        <v>105</v>
      </c>
      <c r="C47" t="s">
        <v>15</v>
      </c>
      <c r="D47" t="s">
        <v>16</v>
      </c>
      <c r="E47" t="s">
        <v>47</v>
      </c>
      <c r="F47" s="13" t="s">
        <v>124</v>
      </c>
      <c r="G47" t="s">
        <v>32</v>
      </c>
      <c r="H47" t="s">
        <v>20</v>
      </c>
      <c r="I47" t="s">
        <v>125</v>
      </c>
      <c r="J47" t="s">
        <v>34</v>
      </c>
      <c r="K47" t="str">
        <f t="shared" si="0"/>
        <v>B</v>
      </c>
      <c r="L47" t="s">
        <v>34</v>
      </c>
      <c r="M47">
        <f t="shared" si="1"/>
        <v>0</v>
      </c>
    </row>
    <row r="48" ht="18" customHeight="1" spans="1:13">
      <c r="A48" t="s">
        <v>104</v>
      </c>
      <c r="B48" s="13" t="s">
        <v>105</v>
      </c>
      <c r="C48" t="s">
        <v>15</v>
      </c>
      <c r="D48" t="s">
        <v>24</v>
      </c>
      <c r="E48" t="s">
        <v>47</v>
      </c>
      <c r="F48" s="13" t="s">
        <v>126</v>
      </c>
      <c r="G48" t="s">
        <v>32</v>
      </c>
      <c r="H48" t="s">
        <v>20</v>
      </c>
      <c r="I48" t="s">
        <v>127</v>
      </c>
      <c r="J48" t="s">
        <v>37</v>
      </c>
      <c r="K48" t="str">
        <f t="shared" si="0"/>
        <v>A</v>
      </c>
      <c r="L48" t="s">
        <v>34</v>
      </c>
      <c r="M48">
        <f t="shared" si="1"/>
        <v>1</v>
      </c>
    </row>
    <row r="49" ht="18" customHeight="1" spans="1:13">
      <c r="A49" t="s">
        <v>104</v>
      </c>
      <c r="B49" s="13" t="s">
        <v>105</v>
      </c>
      <c r="C49" t="s">
        <v>15</v>
      </c>
      <c r="D49" t="s">
        <v>27</v>
      </c>
      <c r="E49" t="s">
        <v>47</v>
      </c>
      <c r="F49" s="13" t="s">
        <v>128</v>
      </c>
      <c r="G49" t="s">
        <v>32</v>
      </c>
      <c r="H49" t="s">
        <v>20</v>
      </c>
      <c r="I49" t="s">
        <v>129</v>
      </c>
      <c r="J49" t="s">
        <v>22</v>
      </c>
      <c r="K49" t="str">
        <f t="shared" si="0"/>
        <v>D(平局)</v>
      </c>
      <c r="L49" t="s">
        <v>34</v>
      </c>
      <c r="M49">
        <f t="shared" si="1"/>
        <v>0</v>
      </c>
    </row>
    <row r="50" ht="18" customHeight="1" spans="1:13">
      <c r="A50" t="s">
        <v>104</v>
      </c>
      <c r="B50" s="13" t="s">
        <v>105</v>
      </c>
      <c r="C50" t="s">
        <v>30</v>
      </c>
      <c r="D50" t="s">
        <v>16</v>
      </c>
      <c r="E50" t="s">
        <v>47</v>
      </c>
      <c r="F50" s="13" t="s">
        <v>130</v>
      </c>
      <c r="G50" t="s">
        <v>32</v>
      </c>
      <c r="H50" t="s">
        <v>20</v>
      </c>
      <c r="I50" t="s">
        <v>131</v>
      </c>
      <c r="J50" t="s">
        <v>37</v>
      </c>
      <c r="K50" t="str">
        <f t="shared" si="0"/>
        <v>A</v>
      </c>
      <c r="L50" t="s">
        <v>34</v>
      </c>
      <c r="M50">
        <f t="shared" si="1"/>
        <v>1</v>
      </c>
    </row>
    <row r="51" ht="18" customHeight="1" spans="1:13">
      <c r="A51" t="s">
        <v>104</v>
      </c>
      <c r="B51" s="13" t="s">
        <v>105</v>
      </c>
      <c r="C51" t="s">
        <v>30</v>
      </c>
      <c r="D51" t="s">
        <v>24</v>
      </c>
      <c r="E51" t="s">
        <v>47</v>
      </c>
      <c r="F51" s="13" t="s">
        <v>132</v>
      </c>
      <c r="G51" t="s">
        <v>32</v>
      </c>
      <c r="H51" t="s">
        <v>20</v>
      </c>
      <c r="I51" t="s">
        <v>133</v>
      </c>
      <c r="J51" t="s">
        <v>37</v>
      </c>
      <c r="K51" t="str">
        <f t="shared" si="0"/>
        <v>A</v>
      </c>
      <c r="L51" t="s">
        <v>34</v>
      </c>
      <c r="M51">
        <f t="shared" si="1"/>
        <v>1</v>
      </c>
    </row>
    <row r="52" ht="18" customHeight="1" spans="1:13">
      <c r="A52" t="s">
        <v>104</v>
      </c>
      <c r="B52" s="13" t="s">
        <v>105</v>
      </c>
      <c r="C52" t="s">
        <v>30</v>
      </c>
      <c r="D52" t="s">
        <v>27</v>
      </c>
      <c r="E52" t="s">
        <v>47</v>
      </c>
      <c r="F52" s="13" t="s">
        <v>134</v>
      </c>
      <c r="G52" t="s">
        <v>32</v>
      </c>
      <c r="H52" t="s">
        <v>20</v>
      </c>
      <c r="I52" t="s">
        <v>135</v>
      </c>
      <c r="J52" t="s">
        <v>37</v>
      </c>
      <c r="K52" t="str">
        <f t="shared" si="0"/>
        <v>A</v>
      </c>
      <c r="L52" t="s">
        <v>34</v>
      </c>
      <c r="M52">
        <f t="shared" si="1"/>
        <v>1</v>
      </c>
    </row>
    <row r="53" ht="18" customHeight="1" spans="1:13">
      <c r="A53" t="s">
        <v>104</v>
      </c>
      <c r="B53" s="13" t="s">
        <v>105</v>
      </c>
      <c r="C53" t="s">
        <v>40</v>
      </c>
      <c r="D53" t="s">
        <v>16</v>
      </c>
      <c r="E53" t="s">
        <v>47</v>
      </c>
      <c r="F53" s="13" t="s">
        <v>136</v>
      </c>
      <c r="G53" t="s">
        <v>32</v>
      </c>
      <c r="H53" t="s">
        <v>20</v>
      </c>
      <c r="I53" t="s">
        <v>137</v>
      </c>
      <c r="J53" t="s">
        <v>37</v>
      </c>
      <c r="K53" t="str">
        <f t="shared" si="0"/>
        <v>B</v>
      </c>
      <c r="L53" t="s">
        <v>37</v>
      </c>
      <c r="M53">
        <f t="shared" si="1"/>
        <v>1</v>
      </c>
    </row>
    <row r="54" ht="18" customHeight="1" spans="1:13">
      <c r="A54" t="s">
        <v>104</v>
      </c>
      <c r="B54" s="13" t="s">
        <v>105</v>
      </c>
      <c r="C54" t="s">
        <v>40</v>
      </c>
      <c r="D54" t="s">
        <v>24</v>
      </c>
      <c r="E54" t="s">
        <v>47</v>
      </c>
      <c r="F54" s="13" t="s">
        <v>138</v>
      </c>
      <c r="G54" t="s">
        <v>32</v>
      </c>
      <c r="H54" t="s">
        <v>20</v>
      </c>
      <c r="I54" t="s">
        <v>139</v>
      </c>
      <c r="J54" t="s">
        <v>37</v>
      </c>
      <c r="K54" t="str">
        <f t="shared" si="0"/>
        <v>B</v>
      </c>
      <c r="L54" t="s">
        <v>37</v>
      </c>
      <c r="M54">
        <f t="shared" si="1"/>
        <v>1</v>
      </c>
    </row>
    <row r="55" ht="18" customHeight="1" spans="1:13">
      <c r="A55" t="s">
        <v>104</v>
      </c>
      <c r="B55" s="13" t="s">
        <v>105</v>
      </c>
      <c r="C55" t="s">
        <v>40</v>
      </c>
      <c r="D55" t="s">
        <v>27</v>
      </c>
      <c r="E55" t="s">
        <v>47</v>
      </c>
      <c r="F55" s="13" t="s">
        <v>140</v>
      </c>
      <c r="G55" t="s">
        <v>32</v>
      </c>
      <c r="H55" t="s">
        <v>20</v>
      </c>
      <c r="I55" t="s">
        <v>141</v>
      </c>
      <c r="J55" t="s">
        <v>37</v>
      </c>
      <c r="K55" t="str">
        <f t="shared" si="0"/>
        <v>B</v>
      </c>
      <c r="L55" t="s">
        <v>37</v>
      </c>
      <c r="M55">
        <f t="shared" si="1"/>
        <v>1</v>
      </c>
    </row>
    <row r="56" ht="18" customHeight="1" spans="1:13">
      <c r="A56" t="s">
        <v>142</v>
      </c>
      <c r="B56" s="13" t="s">
        <v>143</v>
      </c>
      <c r="C56" t="s">
        <v>15</v>
      </c>
      <c r="D56" t="s">
        <v>16</v>
      </c>
      <c r="E56" t="s">
        <v>17</v>
      </c>
      <c r="F56" s="14" t="s">
        <v>144</v>
      </c>
      <c r="G56" t="s">
        <v>19</v>
      </c>
      <c r="H56" t="s">
        <v>20</v>
      </c>
      <c r="I56" s="15" t="s">
        <v>145</v>
      </c>
      <c r="J56" t="s">
        <v>34</v>
      </c>
      <c r="K56" t="str">
        <f t="shared" si="0"/>
        <v>A</v>
      </c>
      <c r="L56" t="s">
        <v>34</v>
      </c>
      <c r="M56">
        <f t="shared" si="1"/>
        <v>1</v>
      </c>
    </row>
    <row r="57" ht="18" customHeight="1" spans="1:13">
      <c r="A57" t="s">
        <v>142</v>
      </c>
      <c r="B57" s="13" t="s">
        <v>143</v>
      </c>
      <c r="C57" t="s">
        <v>15</v>
      </c>
      <c r="D57" t="s">
        <v>24</v>
      </c>
      <c r="E57" t="s">
        <v>17</v>
      </c>
      <c r="F57" s="14" t="s">
        <v>146</v>
      </c>
      <c r="G57" t="s">
        <v>19</v>
      </c>
      <c r="H57" t="s">
        <v>20</v>
      </c>
      <c r="I57" t="s">
        <v>147</v>
      </c>
      <c r="J57" t="s">
        <v>37</v>
      </c>
      <c r="K57" t="str">
        <f t="shared" si="0"/>
        <v>B</v>
      </c>
      <c r="L57" t="s">
        <v>34</v>
      </c>
      <c r="M57">
        <f t="shared" si="1"/>
        <v>0</v>
      </c>
    </row>
    <row r="58" ht="18" customHeight="1" spans="1:13">
      <c r="A58" t="s">
        <v>142</v>
      </c>
      <c r="B58" s="13" t="s">
        <v>143</v>
      </c>
      <c r="C58" t="s">
        <v>15</v>
      </c>
      <c r="D58" t="s">
        <v>27</v>
      </c>
      <c r="E58" t="s">
        <v>17</v>
      </c>
      <c r="F58" s="13" t="s">
        <v>148</v>
      </c>
      <c r="G58" t="s">
        <v>19</v>
      </c>
      <c r="H58" t="s">
        <v>20</v>
      </c>
      <c r="I58" t="s">
        <v>149</v>
      </c>
      <c r="J58" t="s">
        <v>37</v>
      </c>
      <c r="K58" t="str">
        <f t="shared" si="0"/>
        <v>B</v>
      </c>
      <c r="L58" t="s">
        <v>34</v>
      </c>
      <c r="M58">
        <f t="shared" si="1"/>
        <v>0</v>
      </c>
    </row>
    <row r="59" ht="18" customHeight="1" spans="1:13">
      <c r="A59" t="s">
        <v>142</v>
      </c>
      <c r="B59" s="13" t="s">
        <v>143</v>
      </c>
      <c r="C59" t="s">
        <v>30</v>
      </c>
      <c r="D59" t="s">
        <v>16</v>
      </c>
      <c r="E59" t="s">
        <v>17</v>
      </c>
      <c r="F59" s="13" t="s">
        <v>150</v>
      </c>
      <c r="G59" t="s">
        <v>32</v>
      </c>
      <c r="H59" t="s">
        <v>20</v>
      </c>
      <c r="I59" t="s">
        <v>151</v>
      </c>
      <c r="J59" t="s">
        <v>34</v>
      </c>
      <c r="K59" t="str">
        <f t="shared" si="0"/>
        <v>A</v>
      </c>
      <c r="L59" t="s">
        <v>34</v>
      </c>
      <c r="M59">
        <f t="shared" si="1"/>
        <v>1</v>
      </c>
    </row>
    <row r="60" ht="18" customHeight="1" spans="1:13">
      <c r="A60" t="s">
        <v>142</v>
      </c>
      <c r="B60" s="13" t="s">
        <v>143</v>
      </c>
      <c r="C60" t="s">
        <v>30</v>
      </c>
      <c r="D60" t="s">
        <v>24</v>
      </c>
      <c r="E60" t="s">
        <v>17</v>
      </c>
      <c r="F60" s="13" t="s">
        <v>152</v>
      </c>
      <c r="G60" t="s">
        <v>32</v>
      </c>
      <c r="H60" t="s">
        <v>20</v>
      </c>
      <c r="I60" t="s">
        <v>153</v>
      </c>
      <c r="J60" t="s">
        <v>34</v>
      </c>
      <c r="K60" t="str">
        <f t="shared" si="0"/>
        <v>A</v>
      </c>
      <c r="L60" t="s">
        <v>34</v>
      </c>
      <c r="M60">
        <f t="shared" si="1"/>
        <v>1</v>
      </c>
    </row>
    <row r="61" ht="18" customHeight="1" spans="1:13">
      <c r="A61" t="s">
        <v>142</v>
      </c>
      <c r="B61" s="13" t="s">
        <v>143</v>
      </c>
      <c r="C61" t="s">
        <v>30</v>
      </c>
      <c r="D61" t="s">
        <v>27</v>
      </c>
      <c r="E61" t="s">
        <v>17</v>
      </c>
      <c r="F61" s="13" t="s">
        <v>154</v>
      </c>
      <c r="G61" t="s">
        <v>32</v>
      </c>
      <c r="H61" t="s">
        <v>20</v>
      </c>
      <c r="I61" t="s">
        <v>155</v>
      </c>
      <c r="J61" t="s">
        <v>34</v>
      </c>
      <c r="K61" t="str">
        <f t="shared" si="0"/>
        <v>A</v>
      </c>
      <c r="L61" t="s">
        <v>34</v>
      </c>
      <c r="M61">
        <f t="shared" si="1"/>
        <v>1</v>
      </c>
    </row>
    <row r="62" ht="18" customHeight="1" spans="1:13">
      <c r="A62" t="s">
        <v>142</v>
      </c>
      <c r="B62" s="13" t="s">
        <v>143</v>
      </c>
      <c r="C62" t="s">
        <v>40</v>
      </c>
      <c r="D62" t="s">
        <v>16</v>
      </c>
      <c r="E62" t="s">
        <v>17</v>
      </c>
      <c r="F62" s="13" t="s">
        <v>156</v>
      </c>
      <c r="G62" t="s">
        <v>32</v>
      </c>
      <c r="H62" t="s">
        <v>20</v>
      </c>
      <c r="I62" t="s">
        <v>157</v>
      </c>
      <c r="J62" t="s">
        <v>34</v>
      </c>
      <c r="K62" t="str">
        <f t="shared" si="0"/>
        <v>B</v>
      </c>
      <c r="L62" t="s">
        <v>37</v>
      </c>
      <c r="M62">
        <f t="shared" si="1"/>
        <v>1</v>
      </c>
    </row>
    <row r="63" ht="18" customHeight="1" spans="1:13">
      <c r="A63" t="s">
        <v>142</v>
      </c>
      <c r="B63" s="13" t="s">
        <v>143</v>
      </c>
      <c r="C63" t="s">
        <v>40</v>
      </c>
      <c r="D63" t="s">
        <v>24</v>
      </c>
      <c r="E63" t="s">
        <v>17</v>
      </c>
      <c r="F63" s="13" t="s">
        <v>158</v>
      </c>
      <c r="G63" t="s">
        <v>32</v>
      </c>
      <c r="H63" t="s">
        <v>20</v>
      </c>
      <c r="I63" t="s">
        <v>159</v>
      </c>
      <c r="J63" t="s">
        <v>34</v>
      </c>
      <c r="K63" t="str">
        <f t="shared" si="0"/>
        <v>B</v>
      </c>
      <c r="L63" t="s">
        <v>37</v>
      </c>
      <c r="M63">
        <f t="shared" si="1"/>
        <v>1</v>
      </c>
    </row>
    <row r="64" ht="18" customHeight="1" spans="1:13">
      <c r="A64" t="s">
        <v>142</v>
      </c>
      <c r="B64" s="13" t="s">
        <v>143</v>
      </c>
      <c r="C64" t="s">
        <v>40</v>
      </c>
      <c r="D64" t="s">
        <v>27</v>
      </c>
      <c r="E64" t="s">
        <v>17</v>
      </c>
      <c r="F64" s="13" t="s">
        <v>160</v>
      </c>
      <c r="G64" t="s">
        <v>32</v>
      </c>
      <c r="H64" t="s">
        <v>20</v>
      </c>
      <c r="I64" t="s">
        <v>161</v>
      </c>
      <c r="J64" t="s">
        <v>34</v>
      </c>
      <c r="K64" t="str">
        <f t="shared" si="0"/>
        <v>B</v>
      </c>
      <c r="L64" t="s">
        <v>37</v>
      </c>
      <c r="M64">
        <f t="shared" si="1"/>
        <v>1</v>
      </c>
    </row>
    <row r="65" ht="18" customHeight="1" spans="1:13">
      <c r="A65" t="s">
        <v>142</v>
      </c>
      <c r="B65" s="13" t="s">
        <v>143</v>
      </c>
      <c r="C65" t="s">
        <v>15</v>
      </c>
      <c r="D65" t="s">
        <v>16</v>
      </c>
      <c r="E65" t="s">
        <v>47</v>
      </c>
      <c r="F65" s="13" t="s">
        <v>162</v>
      </c>
      <c r="G65" t="s">
        <v>32</v>
      </c>
      <c r="H65" t="s">
        <v>20</v>
      </c>
      <c r="I65" t="s">
        <v>163</v>
      </c>
      <c r="J65" t="s">
        <v>37</v>
      </c>
      <c r="K65" t="str">
        <f t="shared" si="0"/>
        <v>A</v>
      </c>
      <c r="L65" t="s">
        <v>34</v>
      </c>
      <c r="M65">
        <f t="shared" si="1"/>
        <v>1</v>
      </c>
    </row>
    <row r="66" ht="18" customHeight="1" spans="1:13">
      <c r="A66" t="s">
        <v>142</v>
      </c>
      <c r="B66" s="13" t="s">
        <v>143</v>
      </c>
      <c r="C66" t="s">
        <v>15</v>
      </c>
      <c r="D66" t="s">
        <v>24</v>
      </c>
      <c r="E66" t="s">
        <v>47</v>
      </c>
      <c r="F66" s="13" t="s">
        <v>164</v>
      </c>
      <c r="G66" t="s">
        <v>32</v>
      </c>
      <c r="H66" t="s">
        <v>20</v>
      </c>
      <c r="I66" t="s">
        <v>165</v>
      </c>
      <c r="J66" t="s">
        <v>22</v>
      </c>
      <c r="K66" t="str">
        <f t="shared" ref="K66:K129" si="2">IF(OR(J66="",C66="",E66=""),"",IF(J66="C","D(平局)",IF(J66=IF(E66="l2r","A","B"),LEFT(C66,1),RIGHT(C66,1))))</f>
        <v>D(平局)</v>
      </c>
      <c r="L66" t="s">
        <v>34</v>
      </c>
      <c r="M66">
        <f t="shared" ref="M66:M129" si="3">IF(OR(K66="",L66=""),"",--(K66=L66))</f>
        <v>0</v>
      </c>
    </row>
    <row r="67" ht="18" customHeight="1" spans="1:13">
      <c r="A67" t="s">
        <v>142</v>
      </c>
      <c r="B67" s="13" t="s">
        <v>143</v>
      </c>
      <c r="C67" t="s">
        <v>15</v>
      </c>
      <c r="D67" t="s">
        <v>27</v>
      </c>
      <c r="E67" t="s">
        <v>47</v>
      </c>
      <c r="F67" s="13" t="s">
        <v>166</v>
      </c>
      <c r="G67" t="s">
        <v>32</v>
      </c>
      <c r="H67" t="s">
        <v>20</v>
      </c>
      <c r="I67" t="s">
        <v>167</v>
      </c>
      <c r="J67" t="s">
        <v>34</v>
      </c>
      <c r="K67" t="str">
        <f t="shared" si="2"/>
        <v>B</v>
      </c>
      <c r="L67" t="s">
        <v>34</v>
      </c>
      <c r="M67">
        <f t="shared" si="3"/>
        <v>0</v>
      </c>
    </row>
    <row r="68" ht="18" customHeight="1" spans="1:13">
      <c r="A68" t="s">
        <v>142</v>
      </c>
      <c r="B68" s="13" t="s">
        <v>143</v>
      </c>
      <c r="C68" t="s">
        <v>30</v>
      </c>
      <c r="D68" t="s">
        <v>16</v>
      </c>
      <c r="E68" t="s">
        <v>47</v>
      </c>
      <c r="F68" s="13" t="s">
        <v>168</v>
      </c>
      <c r="G68" t="s">
        <v>32</v>
      </c>
      <c r="H68" t="s">
        <v>20</v>
      </c>
      <c r="I68" t="s">
        <v>169</v>
      </c>
      <c r="J68" t="s">
        <v>37</v>
      </c>
      <c r="K68" t="str">
        <f t="shared" si="2"/>
        <v>A</v>
      </c>
      <c r="L68" t="s">
        <v>34</v>
      </c>
      <c r="M68">
        <f t="shared" si="3"/>
        <v>1</v>
      </c>
    </row>
    <row r="69" ht="18" customHeight="1" spans="1:13">
      <c r="A69" t="s">
        <v>142</v>
      </c>
      <c r="B69" s="13" t="s">
        <v>143</v>
      </c>
      <c r="C69" t="s">
        <v>30</v>
      </c>
      <c r="D69" t="s">
        <v>24</v>
      </c>
      <c r="E69" t="s">
        <v>47</v>
      </c>
      <c r="F69" s="13" t="s">
        <v>170</v>
      </c>
      <c r="G69" t="s">
        <v>32</v>
      </c>
      <c r="H69" t="s">
        <v>20</v>
      </c>
      <c r="I69" t="s">
        <v>171</v>
      </c>
      <c r="J69" t="s">
        <v>37</v>
      </c>
      <c r="K69" t="str">
        <f t="shared" si="2"/>
        <v>A</v>
      </c>
      <c r="L69" t="s">
        <v>34</v>
      </c>
      <c r="M69">
        <f t="shared" si="3"/>
        <v>1</v>
      </c>
    </row>
    <row r="70" ht="18" customHeight="1" spans="1:13">
      <c r="A70" t="s">
        <v>142</v>
      </c>
      <c r="B70" s="13" t="s">
        <v>143</v>
      </c>
      <c r="C70" t="s">
        <v>30</v>
      </c>
      <c r="D70" t="s">
        <v>27</v>
      </c>
      <c r="E70" t="s">
        <v>47</v>
      </c>
      <c r="F70" s="13" t="s">
        <v>172</v>
      </c>
      <c r="G70" t="s">
        <v>32</v>
      </c>
      <c r="H70" t="s">
        <v>20</v>
      </c>
      <c r="I70" t="s">
        <v>173</v>
      </c>
      <c r="J70" t="s">
        <v>37</v>
      </c>
      <c r="K70" t="str">
        <f t="shared" si="2"/>
        <v>A</v>
      </c>
      <c r="L70" t="s">
        <v>34</v>
      </c>
      <c r="M70">
        <f t="shared" si="3"/>
        <v>1</v>
      </c>
    </row>
    <row r="71" ht="18" customHeight="1" spans="1:13">
      <c r="A71" t="s">
        <v>142</v>
      </c>
      <c r="B71" s="13" t="s">
        <v>143</v>
      </c>
      <c r="C71" t="s">
        <v>40</v>
      </c>
      <c r="D71" t="s">
        <v>16</v>
      </c>
      <c r="E71" t="s">
        <v>47</v>
      </c>
      <c r="F71" s="13" t="s">
        <v>174</v>
      </c>
      <c r="G71" t="s">
        <v>32</v>
      </c>
      <c r="H71" t="s">
        <v>20</v>
      </c>
      <c r="I71" t="s">
        <v>175</v>
      </c>
      <c r="J71" t="s">
        <v>37</v>
      </c>
      <c r="K71" t="str">
        <f t="shared" si="2"/>
        <v>B</v>
      </c>
      <c r="L71" t="s">
        <v>37</v>
      </c>
      <c r="M71">
        <f t="shared" si="3"/>
        <v>1</v>
      </c>
    </row>
    <row r="72" ht="18" customHeight="1" spans="1:13">
      <c r="A72" t="s">
        <v>142</v>
      </c>
      <c r="B72" s="13" t="s">
        <v>143</v>
      </c>
      <c r="C72" t="s">
        <v>40</v>
      </c>
      <c r="D72" t="s">
        <v>24</v>
      </c>
      <c r="E72" t="s">
        <v>47</v>
      </c>
      <c r="F72" s="13" t="s">
        <v>176</v>
      </c>
      <c r="G72" t="s">
        <v>32</v>
      </c>
      <c r="H72" t="s">
        <v>20</v>
      </c>
      <c r="I72" t="s">
        <v>177</v>
      </c>
      <c r="J72" t="s">
        <v>37</v>
      </c>
      <c r="K72" t="str">
        <f t="shared" si="2"/>
        <v>B</v>
      </c>
      <c r="L72" t="s">
        <v>37</v>
      </c>
      <c r="M72">
        <f t="shared" si="3"/>
        <v>1</v>
      </c>
    </row>
    <row r="73" ht="18" customHeight="1" spans="1:13">
      <c r="A73" t="s">
        <v>142</v>
      </c>
      <c r="B73" s="13" t="s">
        <v>143</v>
      </c>
      <c r="C73" t="s">
        <v>40</v>
      </c>
      <c r="D73" t="s">
        <v>27</v>
      </c>
      <c r="E73" t="s">
        <v>47</v>
      </c>
      <c r="F73" s="13" t="s">
        <v>178</v>
      </c>
      <c r="G73" t="s">
        <v>32</v>
      </c>
      <c r="H73" t="s">
        <v>20</v>
      </c>
      <c r="I73" t="s">
        <v>179</v>
      </c>
      <c r="J73" t="s">
        <v>37</v>
      </c>
      <c r="K73" t="str">
        <f t="shared" si="2"/>
        <v>B</v>
      </c>
      <c r="L73" t="s">
        <v>37</v>
      </c>
      <c r="M73">
        <f t="shared" si="3"/>
        <v>1</v>
      </c>
    </row>
    <row r="74" ht="18" customHeight="1" spans="1:13">
      <c r="A74" t="s">
        <v>180</v>
      </c>
      <c r="B74" s="13" t="s">
        <v>181</v>
      </c>
      <c r="C74" t="s">
        <v>15</v>
      </c>
      <c r="D74" t="s">
        <v>16</v>
      </c>
      <c r="E74" t="s">
        <v>17</v>
      </c>
      <c r="F74" s="13" t="s">
        <v>182</v>
      </c>
      <c r="G74" t="s">
        <v>32</v>
      </c>
      <c r="H74" t="s">
        <v>20</v>
      </c>
      <c r="I74" t="s">
        <v>183</v>
      </c>
      <c r="J74" t="s">
        <v>37</v>
      </c>
      <c r="K74" t="str">
        <f t="shared" si="2"/>
        <v>B</v>
      </c>
      <c r="L74" t="s">
        <v>37</v>
      </c>
      <c r="M74">
        <f t="shared" si="3"/>
        <v>1</v>
      </c>
    </row>
    <row r="75" ht="18" customHeight="1" spans="1:13">
      <c r="A75" t="s">
        <v>180</v>
      </c>
      <c r="B75" s="13" t="s">
        <v>181</v>
      </c>
      <c r="C75" t="s">
        <v>15</v>
      </c>
      <c r="D75" t="s">
        <v>24</v>
      </c>
      <c r="E75" t="s">
        <v>17</v>
      </c>
      <c r="F75" s="13" t="s">
        <v>184</v>
      </c>
      <c r="G75" t="s">
        <v>32</v>
      </c>
      <c r="H75" t="s">
        <v>20</v>
      </c>
      <c r="I75" t="s">
        <v>185</v>
      </c>
      <c r="J75" t="s">
        <v>37</v>
      </c>
      <c r="K75" t="str">
        <f t="shared" si="2"/>
        <v>B</v>
      </c>
      <c r="L75" t="s">
        <v>37</v>
      </c>
      <c r="M75">
        <f t="shared" si="3"/>
        <v>1</v>
      </c>
    </row>
    <row r="76" ht="18" customHeight="1" spans="1:13">
      <c r="A76" t="s">
        <v>180</v>
      </c>
      <c r="B76" s="13" t="s">
        <v>181</v>
      </c>
      <c r="C76" t="s">
        <v>15</v>
      </c>
      <c r="D76" t="s">
        <v>27</v>
      </c>
      <c r="E76" t="s">
        <v>17</v>
      </c>
      <c r="F76" s="13" t="s">
        <v>186</v>
      </c>
      <c r="G76" t="s">
        <v>32</v>
      </c>
      <c r="H76" t="s">
        <v>20</v>
      </c>
      <c r="I76" t="s">
        <v>187</v>
      </c>
      <c r="J76" t="s">
        <v>37</v>
      </c>
      <c r="K76" t="str">
        <f t="shared" si="2"/>
        <v>B</v>
      </c>
      <c r="L76" t="s">
        <v>37</v>
      </c>
      <c r="M76">
        <f t="shared" si="3"/>
        <v>1</v>
      </c>
    </row>
    <row r="77" ht="18" customHeight="1" spans="1:13">
      <c r="A77" t="s">
        <v>180</v>
      </c>
      <c r="B77" s="13" t="s">
        <v>181</v>
      </c>
      <c r="C77" t="s">
        <v>30</v>
      </c>
      <c r="D77" t="s">
        <v>16</v>
      </c>
      <c r="E77" t="s">
        <v>17</v>
      </c>
      <c r="F77" s="13" t="s">
        <v>188</v>
      </c>
      <c r="G77" t="s">
        <v>19</v>
      </c>
      <c r="H77" t="s">
        <v>20</v>
      </c>
      <c r="I77" t="s">
        <v>189</v>
      </c>
      <c r="J77" t="s">
        <v>37</v>
      </c>
      <c r="K77" t="str">
        <f t="shared" si="2"/>
        <v>C</v>
      </c>
      <c r="L77" t="s">
        <v>34</v>
      </c>
      <c r="M77">
        <f t="shared" si="3"/>
        <v>0</v>
      </c>
    </row>
    <row r="78" ht="18" customHeight="1" spans="1:13">
      <c r="A78" t="s">
        <v>180</v>
      </c>
      <c r="B78" s="13" t="s">
        <v>181</v>
      </c>
      <c r="C78" t="s">
        <v>30</v>
      </c>
      <c r="D78" t="s">
        <v>24</v>
      </c>
      <c r="E78" t="s">
        <v>17</v>
      </c>
      <c r="F78" s="13" t="s">
        <v>190</v>
      </c>
      <c r="G78" t="s">
        <v>19</v>
      </c>
      <c r="H78" t="s">
        <v>20</v>
      </c>
      <c r="I78" t="s">
        <v>191</v>
      </c>
      <c r="J78" t="s">
        <v>37</v>
      </c>
      <c r="K78" t="str">
        <f t="shared" si="2"/>
        <v>C</v>
      </c>
      <c r="L78" t="s">
        <v>34</v>
      </c>
      <c r="M78">
        <f t="shared" si="3"/>
        <v>0</v>
      </c>
    </row>
    <row r="79" ht="18" customHeight="1" spans="1:13">
      <c r="A79" t="s">
        <v>180</v>
      </c>
      <c r="B79" s="13" t="s">
        <v>181</v>
      </c>
      <c r="C79" t="s">
        <v>30</v>
      </c>
      <c r="D79" t="s">
        <v>27</v>
      </c>
      <c r="E79" t="s">
        <v>17</v>
      </c>
      <c r="F79" s="13" t="s">
        <v>192</v>
      </c>
      <c r="G79" t="s">
        <v>19</v>
      </c>
      <c r="H79" t="s">
        <v>20</v>
      </c>
      <c r="I79" t="s">
        <v>193</v>
      </c>
      <c r="J79" t="s">
        <v>37</v>
      </c>
      <c r="K79" t="str">
        <f t="shared" si="2"/>
        <v>C</v>
      </c>
      <c r="L79" t="s">
        <v>34</v>
      </c>
      <c r="M79">
        <f t="shared" si="3"/>
        <v>0</v>
      </c>
    </row>
    <row r="80" ht="18" customHeight="1" spans="1:13">
      <c r="A80" t="s">
        <v>180</v>
      </c>
      <c r="B80" s="13" t="s">
        <v>181</v>
      </c>
      <c r="C80" t="s">
        <v>40</v>
      </c>
      <c r="D80" t="s">
        <v>16</v>
      </c>
      <c r="E80" t="s">
        <v>17</v>
      </c>
      <c r="F80" s="13" t="s">
        <v>194</v>
      </c>
      <c r="G80" t="s">
        <v>19</v>
      </c>
      <c r="H80" t="s">
        <v>20</v>
      </c>
      <c r="I80" t="s">
        <v>195</v>
      </c>
      <c r="J80" t="s">
        <v>37</v>
      </c>
      <c r="K80" t="str">
        <f t="shared" si="2"/>
        <v>C</v>
      </c>
      <c r="L80" t="s">
        <v>37</v>
      </c>
      <c r="M80">
        <f t="shared" si="3"/>
        <v>0</v>
      </c>
    </row>
    <row r="81" ht="18" customHeight="1" spans="1:13">
      <c r="A81" t="s">
        <v>180</v>
      </c>
      <c r="B81" s="13" t="s">
        <v>181</v>
      </c>
      <c r="C81" t="s">
        <v>40</v>
      </c>
      <c r="D81" t="s">
        <v>24</v>
      </c>
      <c r="E81" t="s">
        <v>17</v>
      </c>
      <c r="F81" s="13" t="s">
        <v>196</v>
      </c>
      <c r="G81" t="s">
        <v>19</v>
      </c>
      <c r="H81" t="s">
        <v>20</v>
      </c>
      <c r="I81" t="s">
        <v>197</v>
      </c>
      <c r="J81" t="s">
        <v>37</v>
      </c>
      <c r="K81" t="str">
        <f t="shared" si="2"/>
        <v>C</v>
      </c>
      <c r="L81" t="s">
        <v>37</v>
      </c>
      <c r="M81">
        <f t="shared" si="3"/>
        <v>0</v>
      </c>
    </row>
    <row r="82" ht="18" customHeight="1" spans="1:13">
      <c r="A82" t="s">
        <v>180</v>
      </c>
      <c r="B82" s="13" t="s">
        <v>181</v>
      </c>
      <c r="C82" t="s">
        <v>40</v>
      </c>
      <c r="D82" t="s">
        <v>27</v>
      </c>
      <c r="E82" t="s">
        <v>17</v>
      </c>
      <c r="F82" s="13" t="s">
        <v>198</v>
      </c>
      <c r="G82" t="s">
        <v>32</v>
      </c>
      <c r="H82" t="s">
        <v>20</v>
      </c>
      <c r="I82" t="s">
        <v>199</v>
      </c>
      <c r="J82" t="s">
        <v>34</v>
      </c>
      <c r="K82" t="str">
        <f t="shared" si="2"/>
        <v>B</v>
      </c>
      <c r="L82" t="s">
        <v>37</v>
      </c>
      <c r="M82">
        <f t="shared" si="3"/>
        <v>1</v>
      </c>
    </row>
    <row r="83" ht="18" customHeight="1" spans="1:13">
      <c r="A83" t="s">
        <v>180</v>
      </c>
      <c r="B83" s="13" t="s">
        <v>181</v>
      </c>
      <c r="C83" t="s">
        <v>15</v>
      </c>
      <c r="D83" t="s">
        <v>16</v>
      </c>
      <c r="E83" t="s">
        <v>47</v>
      </c>
      <c r="F83" s="13" t="s">
        <v>200</v>
      </c>
      <c r="G83" t="s">
        <v>32</v>
      </c>
      <c r="H83" t="s">
        <v>20</v>
      </c>
      <c r="I83" t="s">
        <v>201</v>
      </c>
      <c r="J83" t="s">
        <v>34</v>
      </c>
      <c r="K83" t="str">
        <f t="shared" si="2"/>
        <v>B</v>
      </c>
      <c r="L83" t="s">
        <v>37</v>
      </c>
      <c r="M83">
        <f t="shared" si="3"/>
        <v>1</v>
      </c>
    </row>
    <row r="84" ht="18" customHeight="1" spans="1:13">
      <c r="A84" t="s">
        <v>180</v>
      </c>
      <c r="B84" s="13" t="s">
        <v>181</v>
      </c>
      <c r="C84" t="s">
        <v>15</v>
      </c>
      <c r="D84" t="s">
        <v>24</v>
      </c>
      <c r="E84" t="s">
        <v>47</v>
      </c>
      <c r="F84" s="13" t="s">
        <v>202</v>
      </c>
      <c r="G84" t="s">
        <v>32</v>
      </c>
      <c r="H84" t="s">
        <v>20</v>
      </c>
      <c r="I84" t="s">
        <v>203</v>
      </c>
      <c r="J84" t="s">
        <v>34</v>
      </c>
      <c r="K84" t="str">
        <f t="shared" si="2"/>
        <v>B</v>
      </c>
      <c r="L84" t="s">
        <v>37</v>
      </c>
      <c r="M84">
        <f t="shared" si="3"/>
        <v>1</v>
      </c>
    </row>
    <row r="85" ht="18" customHeight="1" spans="1:13">
      <c r="A85" t="s">
        <v>180</v>
      </c>
      <c r="B85" s="13" t="s">
        <v>181</v>
      </c>
      <c r="C85" t="s">
        <v>15</v>
      </c>
      <c r="D85" t="s">
        <v>27</v>
      </c>
      <c r="E85" t="s">
        <v>47</v>
      </c>
      <c r="F85" s="13" t="s">
        <v>204</v>
      </c>
      <c r="G85" t="s">
        <v>32</v>
      </c>
      <c r="H85" t="s">
        <v>20</v>
      </c>
      <c r="I85" t="s">
        <v>205</v>
      </c>
      <c r="J85" t="s">
        <v>34</v>
      </c>
      <c r="K85" t="str">
        <f t="shared" si="2"/>
        <v>B</v>
      </c>
      <c r="L85" t="s">
        <v>37</v>
      </c>
      <c r="M85">
        <f t="shared" si="3"/>
        <v>1</v>
      </c>
    </row>
    <row r="86" ht="18" customHeight="1" spans="1:13">
      <c r="A86" t="s">
        <v>180</v>
      </c>
      <c r="B86" s="13" t="s">
        <v>181</v>
      </c>
      <c r="C86" t="s">
        <v>30</v>
      </c>
      <c r="D86" t="s">
        <v>16</v>
      </c>
      <c r="E86" t="s">
        <v>47</v>
      </c>
      <c r="F86" s="13" t="s">
        <v>206</v>
      </c>
      <c r="G86" t="s">
        <v>32</v>
      </c>
      <c r="H86" t="s">
        <v>20</v>
      </c>
      <c r="I86" t="s">
        <v>207</v>
      </c>
      <c r="J86" t="s">
        <v>34</v>
      </c>
      <c r="K86" t="str">
        <f t="shared" si="2"/>
        <v>C</v>
      </c>
      <c r="L86" t="s">
        <v>34</v>
      </c>
      <c r="M86">
        <f t="shared" si="3"/>
        <v>0</v>
      </c>
    </row>
    <row r="87" ht="18" customHeight="1" spans="1:13">
      <c r="A87" t="s">
        <v>180</v>
      </c>
      <c r="B87" s="13" t="s">
        <v>181</v>
      </c>
      <c r="C87" t="s">
        <v>30</v>
      </c>
      <c r="D87" t="s">
        <v>24</v>
      </c>
      <c r="E87" t="s">
        <v>47</v>
      </c>
      <c r="F87" s="13" t="s">
        <v>208</v>
      </c>
      <c r="G87" t="s">
        <v>32</v>
      </c>
      <c r="H87" t="s">
        <v>20</v>
      </c>
      <c r="I87" t="s">
        <v>209</v>
      </c>
      <c r="J87" t="s">
        <v>34</v>
      </c>
      <c r="K87" t="str">
        <f t="shared" si="2"/>
        <v>C</v>
      </c>
      <c r="L87" t="s">
        <v>34</v>
      </c>
      <c r="M87">
        <f t="shared" si="3"/>
        <v>0</v>
      </c>
    </row>
    <row r="88" ht="18" customHeight="1" spans="1:13">
      <c r="A88" t="s">
        <v>180</v>
      </c>
      <c r="B88" s="13" t="s">
        <v>181</v>
      </c>
      <c r="C88" t="s">
        <v>30</v>
      </c>
      <c r="D88" t="s">
        <v>27</v>
      </c>
      <c r="E88" t="s">
        <v>47</v>
      </c>
      <c r="F88" s="13" t="s">
        <v>210</v>
      </c>
      <c r="G88" t="s">
        <v>32</v>
      </c>
      <c r="H88" t="s">
        <v>20</v>
      </c>
      <c r="I88" t="s">
        <v>211</v>
      </c>
      <c r="J88" t="s">
        <v>34</v>
      </c>
      <c r="K88" t="str">
        <f t="shared" si="2"/>
        <v>C</v>
      </c>
      <c r="L88" t="s">
        <v>34</v>
      </c>
      <c r="M88">
        <f t="shared" si="3"/>
        <v>0</v>
      </c>
    </row>
    <row r="89" ht="18" customHeight="1" spans="1:13">
      <c r="A89" t="s">
        <v>180</v>
      </c>
      <c r="B89" s="13" t="s">
        <v>181</v>
      </c>
      <c r="C89" t="s">
        <v>40</v>
      </c>
      <c r="D89" t="s">
        <v>16</v>
      </c>
      <c r="E89" t="s">
        <v>47</v>
      </c>
      <c r="F89" s="13" t="s">
        <v>212</v>
      </c>
      <c r="G89" t="s">
        <v>32</v>
      </c>
      <c r="H89" t="s">
        <v>20</v>
      </c>
      <c r="I89" t="s">
        <v>213</v>
      </c>
      <c r="J89" t="s">
        <v>37</v>
      </c>
      <c r="K89" t="str">
        <f t="shared" si="2"/>
        <v>B</v>
      </c>
      <c r="L89" t="s">
        <v>37</v>
      </c>
      <c r="M89">
        <f t="shared" si="3"/>
        <v>1</v>
      </c>
    </row>
    <row r="90" ht="18" customHeight="1" spans="1:13">
      <c r="A90" t="s">
        <v>180</v>
      </c>
      <c r="B90" s="13" t="s">
        <v>181</v>
      </c>
      <c r="C90" t="s">
        <v>40</v>
      </c>
      <c r="D90" t="s">
        <v>24</v>
      </c>
      <c r="E90" t="s">
        <v>47</v>
      </c>
      <c r="F90" s="13" t="s">
        <v>214</v>
      </c>
      <c r="G90" t="s">
        <v>32</v>
      </c>
      <c r="H90" t="s">
        <v>20</v>
      </c>
      <c r="I90" t="s">
        <v>215</v>
      </c>
      <c r="J90" t="s">
        <v>37</v>
      </c>
      <c r="K90" t="str">
        <f t="shared" si="2"/>
        <v>B</v>
      </c>
      <c r="L90" t="s">
        <v>37</v>
      </c>
      <c r="M90">
        <f t="shared" si="3"/>
        <v>1</v>
      </c>
    </row>
    <row r="91" ht="18" customHeight="1" spans="1:13">
      <c r="A91" t="s">
        <v>180</v>
      </c>
      <c r="B91" s="13" t="s">
        <v>181</v>
      </c>
      <c r="C91" t="s">
        <v>40</v>
      </c>
      <c r="D91" t="s">
        <v>27</v>
      </c>
      <c r="E91" t="s">
        <v>47</v>
      </c>
      <c r="F91" s="13" t="s">
        <v>216</v>
      </c>
      <c r="G91" t="s">
        <v>32</v>
      </c>
      <c r="H91" t="s">
        <v>20</v>
      </c>
      <c r="I91" t="s">
        <v>217</v>
      </c>
      <c r="J91" t="s">
        <v>34</v>
      </c>
      <c r="K91" t="str">
        <f t="shared" si="2"/>
        <v>C</v>
      </c>
      <c r="L91" t="s">
        <v>37</v>
      </c>
      <c r="M91">
        <f t="shared" si="3"/>
        <v>0</v>
      </c>
    </row>
    <row r="92" ht="18" customHeight="1" spans="1:13">
      <c r="A92" t="s">
        <v>218</v>
      </c>
      <c r="B92" s="13" t="s">
        <v>219</v>
      </c>
      <c r="C92" t="s">
        <v>15</v>
      </c>
      <c r="D92" t="s">
        <v>16</v>
      </c>
      <c r="E92" t="s">
        <v>17</v>
      </c>
      <c r="F92" s="13" t="s">
        <v>220</v>
      </c>
      <c r="G92" t="s">
        <v>19</v>
      </c>
      <c r="H92" t="s">
        <v>20</v>
      </c>
      <c r="I92" t="s">
        <v>221</v>
      </c>
      <c r="J92" t="s">
        <v>37</v>
      </c>
      <c r="K92" t="str">
        <f t="shared" si="2"/>
        <v>B</v>
      </c>
      <c r="L92" t="s">
        <v>34</v>
      </c>
      <c r="M92">
        <f t="shared" si="3"/>
        <v>0</v>
      </c>
    </row>
    <row r="93" ht="18" customHeight="1" spans="1:13">
      <c r="A93" t="s">
        <v>218</v>
      </c>
      <c r="B93" s="13" t="s">
        <v>219</v>
      </c>
      <c r="C93" t="s">
        <v>15</v>
      </c>
      <c r="D93" t="s">
        <v>24</v>
      </c>
      <c r="E93" t="s">
        <v>17</v>
      </c>
      <c r="F93" s="13" t="s">
        <v>222</v>
      </c>
      <c r="G93" t="s">
        <v>19</v>
      </c>
      <c r="H93" t="s">
        <v>20</v>
      </c>
      <c r="I93" t="s">
        <v>223</v>
      </c>
      <c r="J93" t="s">
        <v>37</v>
      </c>
      <c r="K93" t="str">
        <f t="shared" si="2"/>
        <v>B</v>
      </c>
      <c r="L93" t="s">
        <v>34</v>
      </c>
      <c r="M93">
        <f t="shared" si="3"/>
        <v>0</v>
      </c>
    </row>
    <row r="94" ht="18" customHeight="1" spans="1:13">
      <c r="A94" t="s">
        <v>218</v>
      </c>
      <c r="B94" s="13" t="s">
        <v>219</v>
      </c>
      <c r="C94" t="s">
        <v>15</v>
      </c>
      <c r="D94" t="s">
        <v>27</v>
      </c>
      <c r="E94" t="s">
        <v>17</v>
      </c>
      <c r="F94" s="13" t="s">
        <v>224</v>
      </c>
      <c r="G94" t="s">
        <v>19</v>
      </c>
      <c r="H94" t="s">
        <v>20</v>
      </c>
      <c r="I94" t="s">
        <v>225</v>
      </c>
      <c r="J94" t="s">
        <v>37</v>
      </c>
      <c r="K94" t="str">
        <f t="shared" si="2"/>
        <v>B</v>
      </c>
      <c r="L94" t="s">
        <v>34</v>
      </c>
      <c r="M94">
        <f t="shared" si="3"/>
        <v>0</v>
      </c>
    </row>
    <row r="95" ht="18" customHeight="1" spans="1:13">
      <c r="A95" t="s">
        <v>218</v>
      </c>
      <c r="B95" s="13" t="s">
        <v>219</v>
      </c>
      <c r="C95" t="s">
        <v>30</v>
      </c>
      <c r="D95" t="s">
        <v>16</v>
      </c>
      <c r="E95" t="s">
        <v>17</v>
      </c>
      <c r="F95" s="13" t="s">
        <v>226</v>
      </c>
      <c r="G95" t="s">
        <v>32</v>
      </c>
      <c r="H95" t="s">
        <v>20</v>
      </c>
      <c r="I95" t="s">
        <v>227</v>
      </c>
      <c r="J95" t="s">
        <v>37</v>
      </c>
      <c r="K95" t="str">
        <f t="shared" si="2"/>
        <v>C</v>
      </c>
      <c r="L95" t="s">
        <v>22</v>
      </c>
      <c r="M95">
        <f t="shared" si="3"/>
        <v>1</v>
      </c>
    </row>
    <row r="96" ht="18" customHeight="1" spans="1:13">
      <c r="A96" t="s">
        <v>218</v>
      </c>
      <c r="B96" s="13" t="s">
        <v>219</v>
      </c>
      <c r="C96" t="s">
        <v>30</v>
      </c>
      <c r="D96" t="s">
        <v>24</v>
      </c>
      <c r="E96" t="s">
        <v>17</v>
      </c>
      <c r="F96" s="13" t="s">
        <v>228</v>
      </c>
      <c r="G96" t="s">
        <v>32</v>
      </c>
      <c r="H96" t="s">
        <v>20</v>
      </c>
      <c r="I96" t="s">
        <v>229</v>
      </c>
      <c r="J96" t="s">
        <v>37</v>
      </c>
      <c r="K96" t="str">
        <f t="shared" si="2"/>
        <v>C</v>
      </c>
      <c r="L96" t="s">
        <v>22</v>
      </c>
      <c r="M96">
        <f t="shared" si="3"/>
        <v>1</v>
      </c>
    </row>
    <row r="97" ht="18" customHeight="1" spans="1:13">
      <c r="A97" t="s">
        <v>218</v>
      </c>
      <c r="B97" s="13" t="s">
        <v>219</v>
      </c>
      <c r="C97" t="s">
        <v>30</v>
      </c>
      <c r="D97" t="s">
        <v>27</v>
      </c>
      <c r="E97" t="s">
        <v>17</v>
      </c>
      <c r="F97" s="13" t="s">
        <v>230</v>
      </c>
      <c r="G97" t="s">
        <v>32</v>
      </c>
      <c r="H97" t="s">
        <v>20</v>
      </c>
      <c r="I97" t="s">
        <v>231</v>
      </c>
      <c r="J97" t="s">
        <v>37</v>
      </c>
      <c r="K97" t="str">
        <f t="shared" si="2"/>
        <v>C</v>
      </c>
      <c r="L97" t="s">
        <v>22</v>
      </c>
      <c r="M97">
        <f t="shared" si="3"/>
        <v>1</v>
      </c>
    </row>
    <row r="98" ht="18" customHeight="1" spans="1:13">
      <c r="A98" t="s">
        <v>218</v>
      </c>
      <c r="B98" s="13" t="s">
        <v>219</v>
      </c>
      <c r="C98" t="s">
        <v>40</v>
      </c>
      <c r="D98" t="s">
        <v>16</v>
      </c>
      <c r="E98" t="s">
        <v>17</v>
      </c>
      <c r="F98" s="13" t="s">
        <v>232</v>
      </c>
      <c r="G98" t="s">
        <v>32</v>
      </c>
      <c r="H98" t="s">
        <v>20</v>
      </c>
      <c r="I98" t="s">
        <v>233</v>
      </c>
      <c r="J98" t="s">
        <v>37</v>
      </c>
      <c r="K98" t="str">
        <f t="shared" si="2"/>
        <v>C</v>
      </c>
      <c r="L98" t="s">
        <v>22</v>
      </c>
      <c r="M98">
        <f t="shared" si="3"/>
        <v>1</v>
      </c>
    </row>
    <row r="99" ht="18" customHeight="1" spans="1:13">
      <c r="A99" t="s">
        <v>218</v>
      </c>
      <c r="B99" s="13" t="s">
        <v>219</v>
      </c>
      <c r="C99" t="s">
        <v>40</v>
      </c>
      <c r="D99" t="s">
        <v>24</v>
      </c>
      <c r="E99" t="s">
        <v>17</v>
      </c>
      <c r="F99" s="13" t="s">
        <v>234</v>
      </c>
      <c r="G99" t="s">
        <v>32</v>
      </c>
      <c r="H99" t="s">
        <v>20</v>
      </c>
      <c r="I99" t="s">
        <v>235</v>
      </c>
      <c r="J99" t="s">
        <v>37</v>
      </c>
      <c r="K99" t="str">
        <f t="shared" si="2"/>
        <v>C</v>
      </c>
      <c r="L99" t="s">
        <v>22</v>
      </c>
      <c r="M99">
        <f t="shared" si="3"/>
        <v>1</v>
      </c>
    </row>
    <row r="100" ht="18" customHeight="1" spans="1:13">
      <c r="A100" t="s">
        <v>218</v>
      </c>
      <c r="B100" s="13" t="s">
        <v>219</v>
      </c>
      <c r="C100" t="s">
        <v>40</v>
      </c>
      <c r="D100" t="s">
        <v>27</v>
      </c>
      <c r="E100" t="s">
        <v>17</v>
      </c>
      <c r="F100" s="13" t="s">
        <v>236</v>
      </c>
      <c r="G100" t="s">
        <v>32</v>
      </c>
      <c r="H100" t="s">
        <v>20</v>
      </c>
      <c r="I100" t="s">
        <v>237</v>
      </c>
      <c r="J100" t="s">
        <v>37</v>
      </c>
      <c r="K100" t="str">
        <f t="shared" si="2"/>
        <v>C</v>
      </c>
      <c r="L100" t="s">
        <v>22</v>
      </c>
      <c r="M100">
        <f t="shared" si="3"/>
        <v>1</v>
      </c>
    </row>
    <row r="101" ht="18" customHeight="1" spans="1:13">
      <c r="A101" t="s">
        <v>218</v>
      </c>
      <c r="B101" s="13" t="s">
        <v>219</v>
      </c>
      <c r="C101" t="s">
        <v>15</v>
      </c>
      <c r="D101" t="s">
        <v>16</v>
      </c>
      <c r="E101" t="s">
        <v>47</v>
      </c>
      <c r="F101" s="13" t="s">
        <v>238</v>
      </c>
      <c r="G101" t="s">
        <v>32</v>
      </c>
      <c r="H101" t="s">
        <v>20</v>
      </c>
      <c r="I101" t="s">
        <v>239</v>
      </c>
      <c r="J101" t="s">
        <v>22</v>
      </c>
      <c r="K101" t="str">
        <f t="shared" si="2"/>
        <v>D(平局)</v>
      </c>
      <c r="L101" t="s">
        <v>34</v>
      </c>
      <c r="M101">
        <f t="shared" si="3"/>
        <v>0</v>
      </c>
    </row>
    <row r="102" ht="18" customHeight="1" spans="1:13">
      <c r="A102" t="s">
        <v>218</v>
      </c>
      <c r="B102" s="13" t="s">
        <v>219</v>
      </c>
      <c r="C102" t="s">
        <v>15</v>
      </c>
      <c r="D102" t="s">
        <v>24</v>
      </c>
      <c r="E102" t="s">
        <v>47</v>
      </c>
      <c r="F102" s="13" t="s">
        <v>240</v>
      </c>
      <c r="G102" t="s">
        <v>32</v>
      </c>
      <c r="H102" t="s">
        <v>20</v>
      </c>
      <c r="I102" t="s">
        <v>241</v>
      </c>
      <c r="J102" t="s">
        <v>34</v>
      </c>
      <c r="K102" t="str">
        <f t="shared" si="2"/>
        <v>B</v>
      </c>
      <c r="L102" t="s">
        <v>34</v>
      </c>
      <c r="M102">
        <f t="shared" si="3"/>
        <v>0</v>
      </c>
    </row>
    <row r="103" ht="18" customHeight="1" spans="1:13">
      <c r="A103" t="s">
        <v>218</v>
      </c>
      <c r="B103" s="13" t="s">
        <v>219</v>
      </c>
      <c r="C103" t="s">
        <v>15</v>
      </c>
      <c r="D103" t="s">
        <v>27</v>
      </c>
      <c r="E103" t="s">
        <v>47</v>
      </c>
      <c r="F103" s="13" t="s">
        <v>242</v>
      </c>
      <c r="G103" t="s">
        <v>32</v>
      </c>
      <c r="H103" t="s">
        <v>20</v>
      </c>
      <c r="I103" t="s">
        <v>243</v>
      </c>
      <c r="J103" t="s">
        <v>34</v>
      </c>
      <c r="K103" t="str">
        <f t="shared" si="2"/>
        <v>B</v>
      </c>
      <c r="L103" t="s">
        <v>34</v>
      </c>
      <c r="M103">
        <f t="shared" si="3"/>
        <v>0</v>
      </c>
    </row>
    <row r="104" ht="18" customHeight="1" spans="1:13">
      <c r="A104" t="s">
        <v>218</v>
      </c>
      <c r="B104" s="13" t="s">
        <v>219</v>
      </c>
      <c r="C104" t="s">
        <v>30</v>
      </c>
      <c r="D104" t="s">
        <v>16</v>
      </c>
      <c r="E104" t="s">
        <v>47</v>
      </c>
      <c r="F104" s="13" t="s">
        <v>244</v>
      </c>
      <c r="G104" t="s">
        <v>32</v>
      </c>
      <c r="H104" t="s">
        <v>20</v>
      </c>
      <c r="I104" t="s">
        <v>245</v>
      </c>
      <c r="J104" t="s">
        <v>34</v>
      </c>
      <c r="K104" t="str">
        <f t="shared" si="2"/>
        <v>C</v>
      </c>
      <c r="L104" t="s">
        <v>22</v>
      </c>
      <c r="M104">
        <f t="shared" si="3"/>
        <v>1</v>
      </c>
    </row>
    <row r="105" ht="18" customHeight="1" spans="1:13">
      <c r="A105" t="s">
        <v>218</v>
      </c>
      <c r="B105" s="13" t="s">
        <v>219</v>
      </c>
      <c r="C105" t="s">
        <v>30</v>
      </c>
      <c r="D105" t="s">
        <v>24</v>
      </c>
      <c r="E105" t="s">
        <v>47</v>
      </c>
      <c r="F105" s="13" t="s">
        <v>246</v>
      </c>
      <c r="G105" t="s">
        <v>32</v>
      </c>
      <c r="H105" t="s">
        <v>20</v>
      </c>
      <c r="I105" t="s">
        <v>247</v>
      </c>
      <c r="J105" t="s">
        <v>34</v>
      </c>
      <c r="K105" t="str">
        <f t="shared" si="2"/>
        <v>C</v>
      </c>
      <c r="L105" t="s">
        <v>22</v>
      </c>
      <c r="M105">
        <f t="shared" si="3"/>
        <v>1</v>
      </c>
    </row>
    <row r="106" ht="18" customHeight="1" spans="1:13">
      <c r="A106" t="s">
        <v>218</v>
      </c>
      <c r="B106" s="13" t="s">
        <v>219</v>
      </c>
      <c r="C106" t="s">
        <v>30</v>
      </c>
      <c r="D106" t="s">
        <v>27</v>
      </c>
      <c r="E106" t="s">
        <v>47</v>
      </c>
      <c r="F106" s="13" t="s">
        <v>248</v>
      </c>
      <c r="G106" t="s">
        <v>32</v>
      </c>
      <c r="H106" t="s">
        <v>20</v>
      </c>
      <c r="I106" t="s">
        <v>249</v>
      </c>
      <c r="J106" t="s">
        <v>34</v>
      </c>
      <c r="K106" t="str">
        <f t="shared" si="2"/>
        <v>C</v>
      </c>
      <c r="L106" t="s">
        <v>22</v>
      </c>
      <c r="M106">
        <f t="shared" si="3"/>
        <v>1</v>
      </c>
    </row>
    <row r="107" ht="18" customHeight="1" spans="1:13">
      <c r="A107" t="s">
        <v>218</v>
      </c>
      <c r="B107" s="13" t="s">
        <v>219</v>
      </c>
      <c r="C107" t="s">
        <v>40</v>
      </c>
      <c r="D107" t="s">
        <v>16</v>
      </c>
      <c r="E107" t="s">
        <v>47</v>
      </c>
      <c r="F107" s="13" t="s">
        <v>250</v>
      </c>
      <c r="G107" t="s">
        <v>32</v>
      </c>
      <c r="H107" t="s">
        <v>20</v>
      </c>
      <c r="I107" t="s">
        <v>251</v>
      </c>
      <c r="J107" t="s">
        <v>34</v>
      </c>
      <c r="K107" t="str">
        <f t="shared" si="2"/>
        <v>C</v>
      </c>
      <c r="L107" t="s">
        <v>22</v>
      </c>
      <c r="M107">
        <f t="shared" si="3"/>
        <v>1</v>
      </c>
    </row>
    <row r="108" ht="18" customHeight="1" spans="1:13">
      <c r="A108" t="s">
        <v>218</v>
      </c>
      <c r="B108" s="13" t="s">
        <v>219</v>
      </c>
      <c r="C108" t="s">
        <v>40</v>
      </c>
      <c r="D108" t="s">
        <v>24</v>
      </c>
      <c r="E108" t="s">
        <v>47</v>
      </c>
      <c r="F108" s="13" t="s">
        <v>252</v>
      </c>
      <c r="G108" t="s">
        <v>32</v>
      </c>
      <c r="H108" t="s">
        <v>20</v>
      </c>
      <c r="I108" t="s">
        <v>253</v>
      </c>
      <c r="J108" t="s">
        <v>34</v>
      </c>
      <c r="K108" t="str">
        <f t="shared" si="2"/>
        <v>C</v>
      </c>
      <c r="L108" t="s">
        <v>22</v>
      </c>
      <c r="M108">
        <f t="shared" si="3"/>
        <v>1</v>
      </c>
    </row>
    <row r="109" ht="18" customHeight="1" spans="1:13">
      <c r="A109" t="s">
        <v>218</v>
      </c>
      <c r="B109" s="13" t="s">
        <v>219</v>
      </c>
      <c r="C109" t="s">
        <v>40</v>
      </c>
      <c r="D109" t="s">
        <v>27</v>
      </c>
      <c r="E109" t="s">
        <v>47</v>
      </c>
      <c r="F109" s="13" t="s">
        <v>254</v>
      </c>
      <c r="G109" t="s">
        <v>32</v>
      </c>
      <c r="H109" t="s">
        <v>20</v>
      </c>
      <c r="I109" t="s">
        <v>255</v>
      </c>
      <c r="J109" t="s">
        <v>34</v>
      </c>
      <c r="K109" t="str">
        <f t="shared" si="2"/>
        <v>C</v>
      </c>
      <c r="L109" t="s">
        <v>22</v>
      </c>
      <c r="M109">
        <f t="shared" si="3"/>
        <v>1</v>
      </c>
    </row>
    <row r="110" ht="18" customHeight="1" spans="1:13">
      <c r="A110" t="s">
        <v>256</v>
      </c>
      <c r="B110" s="13" t="s">
        <v>257</v>
      </c>
      <c r="C110" t="s">
        <v>15</v>
      </c>
      <c r="D110" t="s">
        <v>16</v>
      </c>
      <c r="E110" t="s">
        <v>17</v>
      </c>
      <c r="F110" s="13" t="s">
        <v>258</v>
      </c>
      <c r="G110" t="s">
        <v>19</v>
      </c>
      <c r="H110" t="s">
        <v>20</v>
      </c>
      <c r="I110" t="s">
        <v>259</v>
      </c>
      <c r="J110" t="s">
        <v>37</v>
      </c>
      <c r="K110" t="str">
        <f t="shared" si="2"/>
        <v>B</v>
      </c>
      <c r="L110" t="s">
        <v>23</v>
      </c>
      <c r="M110">
        <f t="shared" si="3"/>
        <v>0</v>
      </c>
    </row>
    <row r="111" ht="18" customHeight="1" spans="1:13">
      <c r="A111" t="s">
        <v>256</v>
      </c>
      <c r="B111" s="13" t="s">
        <v>257</v>
      </c>
      <c r="C111" t="s">
        <v>15</v>
      </c>
      <c r="D111" t="s">
        <v>24</v>
      </c>
      <c r="E111" t="s">
        <v>17</v>
      </c>
      <c r="F111" s="13" t="s">
        <v>260</v>
      </c>
      <c r="G111" t="s">
        <v>19</v>
      </c>
      <c r="H111" t="s">
        <v>20</v>
      </c>
      <c r="I111" t="s">
        <v>261</v>
      </c>
      <c r="J111" t="s">
        <v>37</v>
      </c>
      <c r="K111" t="str">
        <f t="shared" si="2"/>
        <v>B</v>
      </c>
      <c r="L111" t="s">
        <v>23</v>
      </c>
      <c r="M111">
        <f t="shared" si="3"/>
        <v>0</v>
      </c>
    </row>
    <row r="112" ht="18" customHeight="1" spans="1:13">
      <c r="A112" t="s">
        <v>256</v>
      </c>
      <c r="B112" s="13" t="s">
        <v>257</v>
      </c>
      <c r="C112" t="s">
        <v>15</v>
      </c>
      <c r="D112" t="s">
        <v>27</v>
      </c>
      <c r="E112" t="s">
        <v>17</v>
      </c>
      <c r="F112" s="13" t="s">
        <v>262</v>
      </c>
      <c r="G112" t="s">
        <v>19</v>
      </c>
      <c r="H112" t="s">
        <v>20</v>
      </c>
      <c r="I112" t="s">
        <v>263</v>
      </c>
      <c r="J112" t="s">
        <v>34</v>
      </c>
      <c r="K112" t="str">
        <f t="shared" si="2"/>
        <v>A</v>
      </c>
      <c r="L112" t="s">
        <v>23</v>
      </c>
      <c r="M112">
        <f t="shared" si="3"/>
        <v>0</v>
      </c>
    </row>
    <row r="113" ht="18" customHeight="1" spans="1:13">
      <c r="A113" t="s">
        <v>256</v>
      </c>
      <c r="B113" s="13" t="s">
        <v>257</v>
      </c>
      <c r="C113" t="s">
        <v>30</v>
      </c>
      <c r="D113" t="s">
        <v>16</v>
      </c>
      <c r="E113" t="s">
        <v>17</v>
      </c>
      <c r="F113" s="13" t="s">
        <v>264</v>
      </c>
      <c r="G113" t="s">
        <v>19</v>
      </c>
      <c r="H113" t="s">
        <v>20</v>
      </c>
      <c r="I113" t="s">
        <v>265</v>
      </c>
      <c r="J113" t="s">
        <v>37</v>
      </c>
      <c r="K113" t="str">
        <f t="shared" si="2"/>
        <v>C</v>
      </c>
      <c r="L113" t="s">
        <v>34</v>
      </c>
      <c r="M113">
        <f t="shared" si="3"/>
        <v>0</v>
      </c>
    </row>
    <row r="114" ht="18" customHeight="1" spans="1:13">
      <c r="A114" t="s">
        <v>256</v>
      </c>
      <c r="B114" s="13" t="s">
        <v>257</v>
      </c>
      <c r="C114" t="s">
        <v>30</v>
      </c>
      <c r="D114" t="s">
        <v>24</v>
      </c>
      <c r="E114" t="s">
        <v>17</v>
      </c>
      <c r="F114" s="13" t="s">
        <v>266</v>
      </c>
      <c r="G114" t="s">
        <v>19</v>
      </c>
      <c r="H114" t="s">
        <v>20</v>
      </c>
      <c r="I114" t="s">
        <v>267</v>
      </c>
      <c r="J114" t="s">
        <v>37</v>
      </c>
      <c r="K114" t="str">
        <f t="shared" si="2"/>
        <v>C</v>
      </c>
      <c r="L114" t="s">
        <v>34</v>
      </c>
      <c r="M114">
        <f t="shared" si="3"/>
        <v>0</v>
      </c>
    </row>
    <row r="115" ht="18" customHeight="1" spans="1:13">
      <c r="A115" t="s">
        <v>256</v>
      </c>
      <c r="B115" s="13" t="s">
        <v>257</v>
      </c>
      <c r="C115" t="s">
        <v>30</v>
      </c>
      <c r="D115" t="s">
        <v>27</v>
      </c>
      <c r="E115" t="s">
        <v>17</v>
      </c>
      <c r="F115" s="13" t="s">
        <v>268</v>
      </c>
      <c r="G115" t="s">
        <v>32</v>
      </c>
      <c r="H115" t="s">
        <v>20</v>
      </c>
      <c r="I115" t="s">
        <v>269</v>
      </c>
      <c r="J115" t="s">
        <v>34</v>
      </c>
      <c r="K115" t="str">
        <f t="shared" si="2"/>
        <v>A</v>
      </c>
      <c r="L115" t="s">
        <v>34</v>
      </c>
      <c r="M115">
        <f t="shared" si="3"/>
        <v>1</v>
      </c>
    </row>
    <row r="116" ht="18" customHeight="1" spans="1:13">
      <c r="A116" t="s">
        <v>256</v>
      </c>
      <c r="B116" s="13" t="s">
        <v>257</v>
      </c>
      <c r="C116" t="s">
        <v>40</v>
      </c>
      <c r="D116" t="s">
        <v>16</v>
      </c>
      <c r="E116" t="s">
        <v>17</v>
      </c>
      <c r="F116" s="13" t="s">
        <v>270</v>
      </c>
      <c r="G116" t="s">
        <v>32</v>
      </c>
      <c r="H116" t="s">
        <v>20</v>
      </c>
      <c r="I116" t="s">
        <v>271</v>
      </c>
      <c r="J116" t="s">
        <v>34</v>
      </c>
      <c r="K116" t="str">
        <f t="shared" si="2"/>
        <v>B</v>
      </c>
      <c r="L116" t="s">
        <v>37</v>
      </c>
      <c r="M116">
        <f t="shared" si="3"/>
        <v>1</v>
      </c>
    </row>
    <row r="117" ht="18" customHeight="1" spans="1:13">
      <c r="A117" t="s">
        <v>256</v>
      </c>
      <c r="B117" s="13" t="s">
        <v>257</v>
      </c>
      <c r="C117" t="s">
        <v>40</v>
      </c>
      <c r="D117" t="s">
        <v>24</v>
      </c>
      <c r="E117" t="s">
        <v>17</v>
      </c>
      <c r="F117" s="13" t="s">
        <v>272</v>
      </c>
      <c r="G117" t="s">
        <v>32</v>
      </c>
      <c r="H117" t="s">
        <v>20</v>
      </c>
      <c r="I117" t="s">
        <v>273</v>
      </c>
      <c r="J117" t="s">
        <v>34</v>
      </c>
      <c r="K117" t="str">
        <f t="shared" si="2"/>
        <v>B</v>
      </c>
      <c r="L117" t="s">
        <v>37</v>
      </c>
      <c r="M117">
        <f t="shared" si="3"/>
        <v>1</v>
      </c>
    </row>
    <row r="118" ht="18" customHeight="1" spans="1:13">
      <c r="A118" t="s">
        <v>256</v>
      </c>
      <c r="B118" s="13" t="s">
        <v>257</v>
      </c>
      <c r="C118" t="s">
        <v>40</v>
      </c>
      <c r="D118" t="s">
        <v>27</v>
      </c>
      <c r="E118" t="s">
        <v>17</v>
      </c>
      <c r="F118" s="13" t="s">
        <v>274</v>
      </c>
      <c r="G118" t="s">
        <v>32</v>
      </c>
      <c r="H118" t="s">
        <v>20</v>
      </c>
      <c r="I118" t="s">
        <v>275</v>
      </c>
      <c r="J118" t="s">
        <v>34</v>
      </c>
      <c r="K118" t="str">
        <f t="shared" si="2"/>
        <v>B</v>
      </c>
      <c r="L118" t="s">
        <v>37</v>
      </c>
      <c r="M118">
        <f t="shared" si="3"/>
        <v>1</v>
      </c>
    </row>
    <row r="119" ht="18" customHeight="1" spans="1:13">
      <c r="A119" t="s">
        <v>256</v>
      </c>
      <c r="B119" s="13" t="s">
        <v>257</v>
      </c>
      <c r="C119" t="s">
        <v>15</v>
      </c>
      <c r="D119" t="s">
        <v>16</v>
      </c>
      <c r="E119" t="s">
        <v>47</v>
      </c>
      <c r="F119" s="13" t="s">
        <v>276</v>
      </c>
      <c r="G119" t="s">
        <v>32</v>
      </c>
      <c r="H119" t="s">
        <v>20</v>
      </c>
      <c r="I119" t="s">
        <v>277</v>
      </c>
      <c r="J119" t="s">
        <v>34</v>
      </c>
      <c r="K119" t="str">
        <f t="shared" si="2"/>
        <v>B</v>
      </c>
      <c r="L119" t="s">
        <v>23</v>
      </c>
      <c r="M119">
        <f t="shared" si="3"/>
        <v>0</v>
      </c>
    </row>
    <row r="120" ht="18" customHeight="1" spans="1:13">
      <c r="A120" t="s">
        <v>256</v>
      </c>
      <c r="B120" s="13" t="s">
        <v>257</v>
      </c>
      <c r="C120" t="s">
        <v>15</v>
      </c>
      <c r="D120" t="s">
        <v>24</v>
      </c>
      <c r="E120" t="s">
        <v>47</v>
      </c>
      <c r="F120" s="13" t="s">
        <v>278</v>
      </c>
      <c r="G120" t="s">
        <v>32</v>
      </c>
      <c r="H120" t="s">
        <v>20</v>
      </c>
      <c r="I120" t="s">
        <v>279</v>
      </c>
      <c r="J120" t="s">
        <v>37</v>
      </c>
      <c r="K120" t="str">
        <f t="shared" si="2"/>
        <v>A</v>
      </c>
      <c r="L120" t="s">
        <v>23</v>
      </c>
      <c r="M120">
        <f t="shared" si="3"/>
        <v>0</v>
      </c>
    </row>
    <row r="121" ht="18" customHeight="1" spans="1:13">
      <c r="A121" t="s">
        <v>256</v>
      </c>
      <c r="B121" s="13" t="s">
        <v>257</v>
      </c>
      <c r="C121" t="s">
        <v>15</v>
      </c>
      <c r="D121" t="s">
        <v>27</v>
      </c>
      <c r="E121" t="s">
        <v>47</v>
      </c>
      <c r="F121" s="13" t="s">
        <v>280</v>
      </c>
      <c r="G121" t="s">
        <v>32</v>
      </c>
      <c r="H121" t="s">
        <v>20</v>
      </c>
      <c r="I121" t="s">
        <v>281</v>
      </c>
      <c r="J121" t="s">
        <v>34</v>
      </c>
      <c r="K121" t="str">
        <f t="shared" si="2"/>
        <v>B</v>
      </c>
      <c r="L121" t="s">
        <v>23</v>
      </c>
      <c r="M121">
        <f t="shared" si="3"/>
        <v>0</v>
      </c>
    </row>
    <row r="122" ht="18" customHeight="1" spans="1:13">
      <c r="A122" t="s">
        <v>256</v>
      </c>
      <c r="B122" s="13" t="s">
        <v>257</v>
      </c>
      <c r="C122" t="s">
        <v>30</v>
      </c>
      <c r="D122" t="s">
        <v>16</v>
      </c>
      <c r="E122" t="s">
        <v>47</v>
      </c>
      <c r="F122" s="13" t="s">
        <v>282</v>
      </c>
      <c r="G122" t="s">
        <v>32</v>
      </c>
      <c r="H122" t="s">
        <v>20</v>
      </c>
      <c r="I122" t="s">
        <v>283</v>
      </c>
      <c r="J122" t="s">
        <v>37</v>
      </c>
      <c r="K122" t="str">
        <f t="shared" si="2"/>
        <v>A</v>
      </c>
      <c r="L122" t="s">
        <v>34</v>
      </c>
      <c r="M122">
        <f t="shared" si="3"/>
        <v>1</v>
      </c>
    </row>
    <row r="123" ht="18" customHeight="1" spans="1:13">
      <c r="A123" t="s">
        <v>256</v>
      </c>
      <c r="B123" s="13" t="s">
        <v>257</v>
      </c>
      <c r="C123" t="s">
        <v>30</v>
      </c>
      <c r="D123" t="s">
        <v>24</v>
      </c>
      <c r="E123" t="s">
        <v>47</v>
      </c>
      <c r="F123" s="13" t="s">
        <v>284</v>
      </c>
      <c r="G123" t="s">
        <v>32</v>
      </c>
      <c r="H123" t="s">
        <v>20</v>
      </c>
      <c r="I123" t="s">
        <v>285</v>
      </c>
      <c r="J123" t="s">
        <v>37</v>
      </c>
      <c r="K123" t="str">
        <f t="shared" si="2"/>
        <v>A</v>
      </c>
      <c r="L123" t="s">
        <v>34</v>
      </c>
      <c r="M123">
        <f t="shared" si="3"/>
        <v>1</v>
      </c>
    </row>
    <row r="124" ht="18" customHeight="1" spans="1:13">
      <c r="A124" t="s">
        <v>256</v>
      </c>
      <c r="B124" s="13" t="s">
        <v>257</v>
      </c>
      <c r="C124" t="s">
        <v>30</v>
      </c>
      <c r="D124" t="s">
        <v>27</v>
      </c>
      <c r="E124" t="s">
        <v>47</v>
      </c>
      <c r="F124" s="13" t="s">
        <v>286</v>
      </c>
      <c r="G124" t="s">
        <v>32</v>
      </c>
      <c r="H124" t="s">
        <v>20</v>
      </c>
      <c r="I124" t="s">
        <v>287</v>
      </c>
      <c r="J124" t="s">
        <v>37</v>
      </c>
      <c r="K124" t="str">
        <f t="shared" si="2"/>
        <v>A</v>
      </c>
      <c r="L124" t="s">
        <v>34</v>
      </c>
      <c r="M124">
        <f t="shared" si="3"/>
        <v>1</v>
      </c>
    </row>
    <row r="125" ht="18" customHeight="1" spans="1:13">
      <c r="A125" t="s">
        <v>256</v>
      </c>
      <c r="B125" s="13" t="s">
        <v>257</v>
      </c>
      <c r="C125" t="s">
        <v>40</v>
      </c>
      <c r="D125" t="s">
        <v>16</v>
      </c>
      <c r="E125" t="s">
        <v>47</v>
      </c>
      <c r="F125" s="13" t="s">
        <v>288</v>
      </c>
      <c r="G125" t="s">
        <v>32</v>
      </c>
      <c r="H125" t="s">
        <v>20</v>
      </c>
      <c r="I125" t="s">
        <v>289</v>
      </c>
      <c r="J125" t="s">
        <v>37</v>
      </c>
      <c r="K125" t="str">
        <f t="shared" si="2"/>
        <v>B</v>
      </c>
      <c r="L125" t="s">
        <v>37</v>
      </c>
      <c r="M125">
        <f t="shared" si="3"/>
        <v>1</v>
      </c>
    </row>
    <row r="126" ht="18" customHeight="1" spans="1:13">
      <c r="A126" t="s">
        <v>256</v>
      </c>
      <c r="B126" s="13" t="s">
        <v>257</v>
      </c>
      <c r="C126" t="s">
        <v>40</v>
      </c>
      <c r="D126" t="s">
        <v>24</v>
      </c>
      <c r="E126" t="s">
        <v>47</v>
      </c>
      <c r="F126" s="13" t="s">
        <v>290</v>
      </c>
      <c r="G126" t="s">
        <v>32</v>
      </c>
      <c r="H126" t="s">
        <v>20</v>
      </c>
      <c r="I126" t="s">
        <v>291</v>
      </c>
      <c r="J126" t="s">
        <v>37</v>
      </c>
      <c r="K126" t="str">
        <f t="shared" si="2"/>
        <v>B</v>
      </c>
      <c r="L126" t="s">
        <v>37</v>
      </c>
      <c r="M126">
        <f t="shared" si="3"/>
        <v>1</v>
      </c>
    </row>
    <row r="127" ht="18" customHeight="1" spans="1:13">
      <c r="A127" t="s">
        <v>256</v>
      </c>
      <c r="B127" s="13" t="s">
        <v>257</v>
      </c>
      <c r="C127" t="s">
        <v>40</v>
      </c>
      <c r="D127" t="s">
        <v>27</v>
      </c>
      <c r="E127" t="s">
        <v>47</v>
      </c>
      <c r="F127" s="13" t="s">
        <v>292</v>
      </c>
      <c r="G127" t="s">
        <v>32</v>
      </c>
      <c r="H127" t="s">
        <v>20</v>
      </c>
      <c r="I127" t="s">
        <v>293</v>
      </c>
      <c r="J127" t="s">
        <v>37</v>
      </c>
      <c r="K127" t="str">
        <f t="shared" si="2"/>
        <v>B</v>
      </c>
      <c r="L127" t="s">
        <v>37</v>
      </c>
      <c r="M127">
        <f t="shared" si="3"/>
        <v>1</v>
      </c>
    </row>
    <row r="128" ht="18" customHeight="1" spans="1:13">
      <c r="A128" t="s">
        <v>294</v>
      </c>
      <c r="B128" s="13" t="s">
        <v>295</v>
      </c>
      <c r="C128" t="s">
        <v>15</v>
      </c>
      <c r="D128" t="s">
        <v>16</v>
      </c>
      <c r="E128" t="s">
        <v>17</v>
      </c>
      <c r="F128" s="13" t="s">
        <v>296</v>
      </c>
      <c r="G128" t="s">
        <v>32</v>
      </c>
      <c r="H128" t="s">
        <v>20</v>
      </c>
      <c r="I128" t="s">
        <v>297</v>
      </c>
      <c r="J128" t="s">
        <v>34</v>
      </c>
      <c r="K128" t="str">
        <f t="shared" si="2"/>
        <v>A</v>
      </c>
      <c r="L128" t="s">
        <v>34</v>
      </c>
      <c r="M128">
        <f t="shared" si="3"/>
        <v>1</v>
      </c>
    </row>
    <row r="129" ht="18" customHeight="1" spans="1:13">
      <c r="A129" t="s">
        <v>294</v>
      </c>
      <c r="B129" s="13" t="s">
        <v>295</v>
      </c>
      <c r="C129" t="s">
        <v>15</v>
      </c>
      <c r="D129" t="s">
        <v>24</v>
      </c>
      <c r="E129" t="s">
        <v>17</v>
      </c>
      <c r="F129" s="13" t="s">
        <v>298</v>
      </c>
      <c r="G129" t="s">
        <v>32</v>
      </c>
      <c r="H129" t="s">
        <v>20</v>
      </c>
      <c r="I129" t="s">
        <v>299</v>
      </c>
      <c r="J129" t="s">
        <v>34</v>
      </c>
      <c r="K129" t="str">
        <f t="shared" si="2"/>
        <v>A</v>
      </c>
      <c r="L129" t="s">
        <v>34</v>
      </c>
      <c r="M129">
        <f t="shared" si="3"/>
        <v>1</v>
      </c>
    </row>
    <row r="130" ht="18" customHeight="1" spans="1:13">
      <c r="A130" t="s">
        <v>294</v>
      </c>
      <c r="B130" s="13" t="s">
        <v>295</v>
      </c>
      <c r="C130" t="s">
        <v>15</v>
      </c>
      <c r="D130" t="s">
        <v>27</v>
      </c>
      <c r="E130" t="s">
        <v>17</v>
      </c>
      <c r="F130" s="13" t="s">
        <v>300</v>
      </c>
      <c r="G130" t="s">
        <v>32</v>
      </c>
      <c r="H130" t="s">
        <v>20</v>
      </c>
      <c r="I130" t="s">
        <v>301</v>
      </c>
      <c r="J130" t="s">
        <v>34</v>
      </c>
      <c r="K130" t="str">
        <f t="shared" ref="K130:K193" si="4">IF(OR(J130="",C130="",E130=""),"",IF(J130="C","D(平局)",IF(J130=IF(E130="l2r","A","B"),LEFT(C130,1),RIGHT(C130,1))))</f>
        <v>A</v>
      </c>
      <c r="L130" t="s">
        <v>34</v>
      </c>
      <c r="M130">
        <f t="shared" ref="M130:M193" si="5">IF(OR(K130="",L130=""),"",--(K130=L130))</f>
        <v>1</v>
      </c>
    </row>
    <row r="131" ht="18" customHeight="1" spans="1:13">
      <c r="A131" t="s">
        <v>294</v>
      </c>
      <c r="B131" s="13" t="s">
        <v>295</v>
      </c>
      <c r="C131" t="s">
        <v>30</v>
      </c>
      <c r="D131" t="s">
        <v>16</v>
      </c>
      <c r="E131" t="s">
        <v>17</v>
      </c>
      <c r="F131" s="13" t="s">
        <v>302</v>
      </c>
      <c r="G131" t="s">
        <v>19</v>
      </c>
      <c r="H131" t="s">
        <v>20</v>
      </c>
      <c r="I131" t="s">
        <v>303</v>
      </c>
      <c r="J131" t="s">
        <v>34</v>
      </c>
      <c r="K131" t="str">
        <f t="shared" si="4"/>
        <v>A</v>
      </c>
      <c r="L131" t="s">
        <v>23</v>
      </c>
      <c r="M131">
        <f t="shared" si="5"/>
        <v>0</v>
      </c>
    </row>
    <row r="132" ht="18" customHeight="1" spans="1:13">
      <c r="A132" t="s">
        <v>294</v>
      </c>
      <c r="B132" s="13" t="s">
        <v>295</v>
      </c>
      <c r="C132" t="s">
        <v>30</v>
      </c>
      <c r="D132" t="s">
        <v>24</v>
      </c>
      <c r="E132" t="s">
        <v>17</v>
      </c>
      <c r="F132" s="13" t="s">
        <v>304</v>
      </c>
      <c r="G132" t="s">
        <v>19</v>
      </c>
      <c r="H132" t="s">
        <v>20</v>
      </c>
      <c r="I132" t="s">
        <v>305</v>
      </c>
      <c r="J132" t="s">
        <v>34</v>
      </c>
      <c r="K132" t="str">
        <f t="shared" si="4"/>
        <v>A</v>
      </c>
      <c r="L132" t="s">
        <v>23</v>
      </c>
      <c r="M132">
        <f t="shared" si="5"/>
        <v>0</v>
      </c>
    </row>
    <row r="133" ht="18" customHeight="1" spans="1:13">
      <c r="A133" t="s">
        <v>294</v>
      </c>
      <c r="B133" s="13" t="s">
        <v>295</v>
      </c>
      <c r="C133" t="s">
        <v>30</v>
      </c>
      <c r="D133" t="s">
        <v>27</v>
      </c>
      <c r="E133" t="s">
        <v>17</v>
      </c>
      <c r="F133" s="13" t="s">
        <v>306</v>
      </c>
      <c r="G133" t="s">
        <v>19</v>
      </c>
      <c r="H133" t="s">
        <v>20</v>
      </c>
      <c r="I133" t="s">
        <v>307</v>
      </c>
      <c r="J133" t="s">
        <v>34</v>
      </c>
      <c r="K133" t="str">
        <f t="shared" si="4"/>
        <v>A</v>
      </c>
      <c r="L133" t="s">
        <v>23</v>
      </c>
      <c r="M133">
        <f t="shared" si="5"/>
        <v>0</v>
      </c>
    </row>
    <row r="134" ht="18" customHeight="1" spans="1:13">
      <c r="A134" t="s">
        <v>294</v>
      </c>
      <c r="B134" s="13" t="s">
        <v>295</v>
      </c>
      <c r="C134" t="s">
        <v>40</v>
      </c>
      <c r="D134" t="s">
        <v>16</v>
      </c>
      <c r="E134" t="s">
        <v>17</v>
      </c>
      <c r="F134" s="13" t="s">
        <v>308</v>
      </c>
      <c r="G134" t="s">
        <v>32</v>
      </c>
      <c r="H134" t="s">
        <v>20</v>
      </c>
      <c r="I134" t="s">
        <v>309</v>
      </c>
      <c r="J134" t="s">
        <v>37</v>
      </c>
      <c r="K134" t="str">
        <f t="shared" si="4"/>
        <v>C</v>
      </c>
      <c r="L134" t="s">
        <v>22</v>
      </c>
      <c r="M134">
        <f t="shared" si="5"/>
        <v>1</v>
      </c>
    </row>
    <row r="135" ht="18" customHeight="1" spans="1:13">
      <c r="A135" t="s">
        <v>294</v>
      </c>
      <c r="B135" s="13" t="s">
        <v>295</v>
      </c>
      <c r="C135" t="s">
        <v>40</v>
      </c>
      <c r="D135" t="s">
        <v>24</v>
      </c>
      <c r="E135" t="s">
        <v>17</v>
      </c>
      <c r="F135" s="13" t="s">
        <v>310</v>
      </c>
      <c r="G135" t="s">
        <v>19</v>
      </c>
      <c r="H135" t="s">
        <v>20</v>
      </c>
      <c r="I135" t="s">
        <v>311</v>
      </c>
      <c r="J135" t="s">
        <v>34</v>
      </c>
      <c r="K135" t="str">
        <f t="shared" si="4"/>
        <v>B</v>
      </c>
      <c r="L135" t="s">
        <v>22</v>
      </c>
      <c r="M135">
        <f t="shared" si="5"/>
        <v>0</v>
      </c>
    </row>
    <row r="136" ht="18" customHeight="1" spans="1:13">
      <c r="A136" t="s">
        <v>294</v>
      </c>
      <c r="B136" s="13" t="s">
        <v>295</v>
      </c>
      <c r="C136" t="s">
        <v>40</v>
      </c>
      <c r="D136" t="s">
        <v>27</v>
      </c>
      <c r="E136" t="s">
        <v>17</v>
      </c>
      <c r="F136" s="13" t="s">
        <v>312</v>
      </c>
      <c r="G136" t="s">
        <v>32</v>
      </c>
      <c r="H136" t="s">
        <v>20</v>
      </c>
      <c r="I136" t="s">
        <v>313</v>
      </c>
      <c r="J136" t="s">
        <v>37</v>
      </c>
      <c r="K136" t="str">
        <f t="shared" si="4"/>
        <v>C</v>
      </c>
      <c r="L136" t="s">
        <v>22</v>
      </c>
      <c r="M136">
        <f t="shared" si="5"/>
        <v>1</v>
      </c>
    </row>
    <row r="137" ht="18" customHeight="1" spans="1:13">
      <c r="A137" t="s">
        <v>294</v>
      </c>
      <c r="B137" s="13" t="s">
        <v>295</v>
      </c>
      <c r="C137" t="s">
        <v>15</v>
      </c>
      <c r="D137" t="s">
        <v>16</v>
      </c>
      <c r="E137" t="s">
        <v>47</v>
      </c>
      <c r="F137" s="13" t="s">
        <v>314</v>
      </c>
      <c r="G137" t="s">
        <v>32</v>
      </c>
      <c r="H137" t="s">
        <v>20</v>
      </c>
      <c r="I137" t="s">
        <v>315</v>
      </c>
      <c r="J137" t="s">
        <v>37</v>
      </c>
      <c r="K137" t="str">
        <f t="shared" si="4"/>
        <v>A</v>
      </c>
      <c r="L137" t="s">
        <v>34</v>
      </c>
      <c r="M137">
        <f t="shared" si="5"/>
        <v>1</v>
      </c>
    </row>
    <row r="138" ht="18" customHeight="1" spans="1:13">
      <c r="A138" t="s">
        <v>294</v>
      </c>
      <c r="B138" s="13" t="s">
        <v>295</v>
      </c>
      <c r="C138" t="s">
        <v>15</v>
      </c>
      <c r="D138" t="s">
        <v>24</v>
      </c>
      <c r="E138" t="s">
        <v>47</v>
      </c>
      <c r="F138" s="13" t="s">
        <v>316</v>
      </c>
      <c r="G138" t="s">
        <v>32</v>
      </c>
      <c r="H138" t="s">
        <v>20</v>
      </c>
      <c r="I138" t="s">
        <v>317</v>
      </c>
      <c r="J138" t="s">
        <v>37</v>
      </c>
      <c r="K138" t="str">
        <f t="shared" si="4"/>
        <v>A</v>
      </c>
      <c r="L138" t="s">
        <v>34</v>
      </c>
      <c r="M138">
        <f t="shared" si="5"/>
        <v>1</v>
      </c>
    </row>
    <row r="139" ht="18" customHeight="1" spans="1:13">
      <c r="A139" t="s">
        <v>294</v>
      </c>
      <c r="B139" s="13" t="s">
        <v>295</v>
      </c>
      <c r="C139" t="s">
        <v>15</v>
      </c>
      <c r="D139" t="s">
        <v>27</v>
      </c>
      <c r="E139" t="s">
        <v>47</v>
      </c>
      <c r="F139" s="13" t="s">
        <v>318</v>
      </c>
      <c r="G139" t="s">
        <v>32</v>
      </c>
      <c r="H139" t="s">
        <v>20</v>
      </c>
      <c r="I139" t="s">
        <v>319</v>
      </c>
      <c r="J139" t="s">
        <v>37</v>
      </c>
      <c r="K139" t="str">
        <f t="shared" si="4"/>
        <v>A</v>
      </c>
      <c r="L139" t="s">
        <v>34</v>
      </c>
      <c r="M139">
        <f t="shared" si="5"/>
        <v>1</v>
      </c>
    </row>
    <row r="140" ht="18" customHeight="1" spans="1:13">
      <c r="A140" t="s">
        <v>294</v>
      </c>
      <c r="B140" s="13" t="s">
        <v>295</v>
      </c>
      <c r="C140" t="s">
        <v>30</v>
      </c>
      <c r="D140" t="s">
        <v>16</v>
      </c>
      <c r="E140" t="s">
        <v>47</v>
      </c>
      <c r="F140" s="13" t="s">
        <v>320</v>
      </c>
      <c r="G140" t="s">
        <v>32</v>
      </c>
      <c r="H140" t="s">
        <v>20</v>
      </c>
      <c r="I140" t="s">
        <v>321</v>
      </c>
      <c r="J140" t="s">
        <v>37</v>
      </c>
      <c r="K140" t="str">
        <f t="shared" si="4"/>
        <v>A</v>
      </c>
      <c r="L140" t="s">
        <v>23</v>
      </c>
      <c r="M140">
        <f t="shared" si="5"/>
        <v>0</v>
      </c>
    </row>
    <row r="141" ht="18" customHeight="1" spans="1:13">
      <c r="A141" t="s">
        <v>294</v>
      </c>
      <c r="B141" s="13" t="s">
        <v>295</v>
      </c>
      <c r="C141" t="s">
        <v>30</v>
      </c>
      <c r="D141" t="s">
        <v>24</v>
      </c>
      <c r="E141" t="s">
        <v>47</v>
      </c>
      <c r="F141" s="13" t="s">
        <v>322</v>
      </c>
      <c r="G141" t="s">
        <v>32</v>
      </c>
      <c r="H141" t="s">
        <v>20</v>
      </c>
      <c r="I141" t="s">
        <v>323</v>
      </c>
      <c r="J141" t="s">
        <v>37</v>
      </c>
      <c r="K141" t="str">
        <f t="shared" si="4"/>
        <v>A</v>
      </c>
      <c r="L141" t="s">
        <v>23</v>
      </c>
      <c r="M141">
        <f t="shared" si="5"/>
        <v>0</v>
      </c>
    </row>
    <row r="142" ht="18" customHeight="1" spans="1:13">
      <c r="A142" t="s">
        <v>294</v>
      </c>
      <c r="B142" s="13" t="s">
        <v>295</v>
      </c>
      <c r="C142" t="s">
        <v>30</v>
      </c>
      <c r="D142" t="s">
        <v>27</v>
      </c>
      <c r="E142" t="s">
        <v>47</v>
      </c>
      <c r="F142" s="13" t="s">
        <v>324</v>
      </c>
      <c r="G142" t="s">
        <v>32</v>
      </c>
      <c r="H142" t="s">
        <v>20</v>
      </c>
      <c r="I142" t="s">
        <v>325</v>
      </c>
      <c r="J142" t="s">
        <v>22</v>
      </c>
      <c r="K142" t="str">
        <f t="shared" si="4"/>
        <v>D(平局)</v>
      </c>
      <c r="L142" t="s">
        <v>23</v>
      </c>
      <c r="M142">
        <f t="shared" si="5"/>
        <v>1</v>
      </c>
    </row>
    <row r="143" ht="18" customHeight="1" spans="1:13">
      <c r="A143" t="s">
        <v>294</v>
      </c>
      <c r="B143" s="13" t="s">
        <v>295</v>
      </c>
      <c r="C143" t="s">
        <v>40</v>
      </c>
      <c r="D143" t="s">
        <v>16</v>
      </c>
      <c r="E143" t="s">
        <v>47</v>
      </c>
      <c r="F143" s="13" t="s">
        <v>326</v>
      </c>
      <c r="G143" t="s">
        <v>32</v>
      </c>
      <c r="H143" t="s">
        <v>20</v>
      </c>
      <c r="I143" t="s">
        <v>327</v>
      </c>
      <c r="J143" t="s">
        <v>34</v>
      </c>
      <c r="K143" t="str">
        <f t="shared" si="4"/>
        <v>C</v>
      </c>
      <c r="L143" t="s">
        <v>22</v>
      </c>
      <c r="M143">
        <f t="shared" si="5"/>
        <v>1</v>
      </c>
    </row>
    <row r="144" ht="18" customHeight="1" spans="1:13">
      <c r="A144" t="s">
        <v>294</v>
      </c>
      <c r="B144" s="13" t="s">
        <v>295</v>
      </c>
      <c r="C144" t="s">
        <v>40</v>
      </c>
      <c r="D144" t="s">
        <v>24</v>
      </c>
      <c r="E144" t="s">
        <v>47</v>
      </c>
      <c r="F144" s="13" t="s">
        <v>328</v>
      </c>
      <c r="G144" t="s">
        <v>32</v>
      </c>
      <c r="H144" t="s">
        <v>20</v>
      </c>
      <c r="I144" t="s">
        <v>329</v>
      </c>
      <c r="J144" t="s">
        <v>34</v>
      </c>
      <c r="K144" t="str">
        <f t="shared" si="4"/>
        <v>C</v>
      </c>
      <c r="L144" t="s">
        <v>22</v>
      </c>
      <c r="M144">
        <f t="shared" si="5"/>
        <v>1</v>
      </c>
    </row>
    <row r="145" ht="18" customHeight="1" spans="1:13">
      <c r="A145" t="s">
        <v>294</v>
      </c>
      <c r="B145" s="13" t="s">
        <v>295</v>
      </c>
      <c r="C145" t="s">
        <v>40</v>
      </c>
      <c r="D145" t="s">
        <v>27</v>
      </c>
      <c r="E145" t="s">
        <v>47</v>
      </c>
      <c r="F145" s="13" t="s">
        <v>330</v>
      </c>
      <c r="G145" t="s">
        <v>32</v>
      </c>
      <c r="H145" t="s">
        <v>20</v>
      </c>
      <c r="I145" t="s">
        <v>331</v>
      </c>
      <c r="J145" t="s">
        <v>34</v>
      </c>
      <c r="K145" t="str">
        <f t="shared" si="4"/>
        <v>C</v>
      </c>
      <c r="L145" t="s">
        <v>22</v>
      </c>
      <c r="M145">
        <f t="shared" si="5"/>
        <v>1</v>
      </c>
    </row>
    <row r="146" ht="18" customHeight="1" spans="1:13">
      <c r="A146" t="s">
        <v>332</v>
      </c>
      <c r="B146" s="13" t="s">
        <v>333</v>
      </c>
      <c r="C146" t="s">
        <v>15</v>
      </c>
      <c r="D146" t="s">
        <v>16</v>
      </c>
      <c r="E146" t="s">
        <v>17</v>
      </c>
      <c r="F146" s="13" t="s">
        <v>334</v>
      </c>
      <c r="G146" t="s">
        <v>32</v>
      </c>
      <c r="H146" t="s">
        <v>20</v>
      </c>
      <c r="I146" t="s">
        <v>335</v>
      </c>
      <c r="J146" t="s">
        <v>37</v>
      </c>
      <c r="K146" t="str">
        <f t="shared" si="4"/>
        <v>B</v>
      </c>
      <c r="L146" t="s">
        <v>37</v>
      </c>
      <c r="M146">
        <f t="shared" si="5"/>
        <v>1</v>
      </c>
    </row>
    <row r="147" ht="18" customHeight="1" spans="1:13">
      <c r="A147" t="s">
        <v>332</v>
      </c>
      <c r="B147" s="13" t="s">
        <v>333</v>
      </c>
      <c r="C147" t="s">
        <v>15</v>
      </c>
      <c r="D147" t="s">
        <v>24</v>
      </c>
      <c r="E147" t="s">
        <v>17</v>
      </c>
      <c r="F147" s="13" t="s">
        <v>336</v>
      </c>
      <c r="G147" t="s">
        <v>32</v>
      </c>
      <c r="H147" t="s">
        <v>20</v>
      </c>
      <c r="I147" t="s">
        <v>337</v>
      </c>
      <c r="J147" t="s">
        <v>37</v>
      </c>
      <c r="K147" t="str">
        <f t="shared" si="4"/>
        <v>B</v>
      </c>
      <c r="L147" t="s">
        <v>37</v>
      </c>
      <c r="M147">
        <f t="shared" si="5"/>
        <v>1</v>
      </c>
    </row>
    <row r="148" ht="18" customHeight="1" spans="1:13">
      <c r="A148" t="s">
        <v>332</v>
      </c>
      <c r="B148" s="13" t="s">
        <v>333</v>
      </c>
      <c r="C148" t="s">
        <v>15</v>
      </c>
      <c r="D148" t="s">
        <v>27</v>
      </c>
      <c r="E148" t="s">
        <v>17</v>
      </c>
      <c r="F148" s="13" t="s">
        <v>338</v>
      </c>
      <c r="G148" t="s">
        <v>32</v>
      </c>
      <c r="H148" t="s">
        <v>20</v>
      </c>
      <c r="I148" t="s">
        <v>339</v>
      </c>
      <c r="J148" t="s">
        <v>37</v>
      </c>
      <c r="K148" t="str">
        <f t="shared" si="4"/>
        <v>B</v>
      </c>
      <c r="L148" t="s">
        <v>37</v>
      </c>
      <c r="M148">
        <f t="shared" si="5"/>
        <v>1</v>
      </c>
    </row>
    <row r="149" ht="18" customHeight="1" spans="1:13">
      <c r="A149" t="s">
        <v>332</v>
      </c>
      <c r="B149" s="13" t="s">
        <v>333</v>
      </c>
      <c r="C149" t="s">
        <v>30</v>
      </c>
      <c r="D149" t="s">
        <v>16</v>
      </c>
      <c r="E149" t="s">
        <v>17</v>
      </c>
      <c r="F149" s="13" t="s">
        <v>340</v>
      </c>
      <c r="G149" t="s">
        <v>32</v>
      </c>
      <c r="H149" t="s">
        <v>20</v>
      </c>
      <c r="I149" t="s">
        <v>341</v>
      </c>
      <c r="J149" t="s">
        <v>34</v>
      </c>
      <c r="K149" t="str">
        <f t="shared" si="4"/>
        <v>A</v>
      </c>
      <c r="L149" t="s">
        <v>34</v>
      </c>
      <c r="M149">
        <f t="shared" si="5"/>
        <v>1</v>
      </c>
    </row>
    <row r="150" ht="18" customHeight="1" spans="1:13">
      <c r="A150" t="s">
        <v>332</v>
      </c>
      <c r="B150" s="13" t="s">
        <v>333</v>
      </c>
      <c r="C150" t="s">
        <v>30</v>
      </c>
      <c r="D150" t="s">
        <v>24</v>
      </c>
      <c r="E150" t="s">
        <v>17</v>
      </c>
      <c r="F150" s="13" t="s">
        <v>342</v>
      </c>
      <c r="G150" t="s">
        <v>32</v>
      </c>
      <c r="H150" t="s">
        <v>20</v>
      </c>
      <c r="I150" t="s">
        <v>343</v>
      </c>
      <c r="J150" t="s">
        <v>34</v>
      </c>
      <c r="K150" t="str">
        <f t="shared" si="4"/>
        <v>A</v>
      </c>
      <c r="L150" t="s">
        <v>34</v>
      </c>
      <c r="M150">
        <f t="shared" si="5"/>
        <v>1</v>
      </c>
    </row>
    <row r="151" ht="18" customHeight="1" spans="1:13">
      <c r="A151" t="s">
        <v>332</v>
      </c>
      <c r="B151" s="13" t="s">
        <v>333</v>
      </c>
      <c r="C151" t="s">
        <v>30</v>
      </c>
      <c r="D151" t="s">
        <v>27</v>
      </c>
      <c r="E151" t="s">
        <v>17</v>
      </c>
      <c r="F151" s="13" t="s">
        <v>344</v>
      </c>
      <c r="G151" t="s">
        <v>32</v>
      </c>
      <c r="H151" t="s">
        <v>20</v>
      </c>
      <c r="I151" t="s">
        <v>345</v>
      </c>
      <c r="J151" t="s">
        <v>34</v>
      </c>
      <c r="K151" t="str">
        <f t="shared" si="4"/>
        <v>A</v>
      </c>
      <c r="L151" t="s">
        <v>34</v>
      </c>
      <c r="M151">
        <f t="shared" si="5"/>
        <v>1</v>
      </c>
    </row>
    <row r="152" ht="18" customHeight="1" spans="1:13">
      <c r="A152" t="s">
        <v>332</v>
      </c>
      <c r="B152" s="13" t="s">
        <v>333</v>
      </c>
      <c r="C152" t="s">
        <v>40</v>
      </c>
      <c r="D152" t="s">
        <v>16</v>
      </c>
      <c r="E152" t="s">
        <v>17</v>
      </c>
      <c r="F152" s="13" t="s">
        <v>346</v>
      </c>
      <c r="G152" t="s">
        <v>32</v>
      </c>
      <c r="H152" t="s">
        <v>20</v>
      </c>
      <c r="I152" t="s">
        <v>347</v>
      </c>
      <c r="J152" t="s">
        <v>34</v>
      </c>
      <c r="K152" t="str">
        <f t="shared" si="4"/>
        <v>B</v>
      </c>
      <c r="L152" t="s">
        <v>37</v>
      </c>
      <c r="M152">
        <f t="shared" si="5"/>
        <v>1</v>
      </c>
    </row>
    <row r="153" ht="18" customHeight="1" spans="1:13">
      <c r="A153" t="s">
        <v>332</v>
      </c>
      <c r="B153" s="13" t="s">
        <v>333</v>
      </c>
      <c r="C153" t="s">
        <v>40</v>
      </c>
      <c r="D153" t="s">
        <v>24</v>
      </c>
      <c r="E153" t="s">
        <v>17</v>
      </c>
      <c r="F153" s="13" t="s">
        <v>348</v>
      </c>
      <c r="G153" t="s">
        <v>32</v>
      </c>
      <c r="H153" t="s">
        <v>20</v>
      </c>
      <c r="I153" t="s">
        <v>349</v>
      </c>
      <c r="J153" t="s">
        <v>34</v>
      </c>
      <c r="K153" t="str">
        <f t="shared" si="4"/>
        <v>B</v>
      </c>
      <c r="L153" t="s">
        <v>37</v>
      </c>
      <c r="M153">
        <f t="shared" si="5"/>
        <v>1</v>
      </c>
    </row>
    <row r="154" ht="18" customHeight="1" spans="1:13">
      <c r="A154" t="s">
        <v>332</v>
      </c>
      <c r="B154" s="13" t="s">
        <v>333</v>
      </c>
      <c r="C154" t="s">
        <v>40</v>
      </c>
      <c r="D154" t="s">
        <v>27</v>
      </c>
      <c r="E154" t="s">
        <v>17</v>
      </c>
      <c r="F154" s="13" t="s">
        <v>350</v>
      </c>
      <c r="G154" t="s">
        <v>32</v>
      </c>
      <c r="H154" t="s">
        <v>20</v>
      </c>
      <c r="I154" t="s">
        <v>351</v>
      </c>
      <c r="J154" t="s">
        <v>34</v>
      </c>
      <c r="K154" t="str">
        <f t="shared" si="4"/>
        <v>B</v>
      </c>
      <c r="L154" t="s">
        <v>37</v>
      </c>
      <c r="M154">
        <f t="shared" si="5"/>
        <v>1</v>
      </c>
    </row>
    <row r="155" ht="18" customHeight="1" spans="1:13">
      <c r="A155" t="s">
        <v>332</v>
      </c>
      <c r="B155" s="13" t="s">
        <v>333</v>
      </c>
      <c r="C155" t="s">
        <v>15</v>
      </c>
      <c r="D155" t="s">
        <v>16</v>
      </c>
      <c r="E155" t="s">
        <v>47</v>
      </c>
      <c r="F155" s="13" t="s">
        <v>352</v>
      </c>
      <c r="G155" t="s">
        <v>32</v>
      </c>
      <c r="H155" t="s">
        <v>20</v>
      </c>
      <c r="I155" t="s">
        <v>353</v>
      </c>
      <c r="J155" t="s">
        <v>34</v>
      </c>
      <c r="K155" t="str">
        <f t="shared" si="4"/>
        <v>B</v>
      </c>
      <c r="L155" t="s">
        <v>37</v>
      </c>
      <c r="M155">
        <f t="shared" si="5"/>
        <v>1</v>
      </c>
    </row>
    <row r="156" ht="18" customHeight="1" spans="1:13">
      <c r="A156" t="s">
        <v>332</v>
      </c>
      <c r="B156" s="13" t="s">
        <v>333</v>
      </c>
      <c r="C156" t="s">
        <v>15</v>
      </c>
      <c r="D156" t="s">
        <v>24</v>
      </c>
      <c r="E156" t="s">
        <v>47</v>
      </c>
      <c r="F156" s="13" t="s">
        <v>354</v>
      </c>
      <c r="G156" t="s">
        <v>32</v>
      </c>
      <c r="H156" t="s">
        <v>20</v>
      </c>
      <c r="I156" t="s">
        <v>355</v>
      </c>
      <c r="J156" t="s">
        <v>34</v>
      </c>
      <c r="K156" t="str">
        <f t="shared" si="4"/>
        <v>B</v>
      </c>
      <c r="L156" t="s">
        <v>37</v>
      </c>
      <c r="M156">
        <f t="shared" si="5"/>
        <v>1</v>
      </c>
    </row>
    <row r="157" ht="18" customHeight="1" spans="1:13">
      <c r="A157" t="s">
        <v>332</v>
      </c>
      <c r="B157" s="13" t="s">
        <v>333</v>
      </c>
      <c r="C157" t="s">
        <v>15</v>
      </c>
      <c r="D157" t="s">
        <v>27</v>
      </c>
      <c r="E157" t="s">
        <v>47</v>
      </c>
      <c r="F157" s="13" t="s">
        <v>356</v>
      </c>
      <c r="G157" t="s">
        <v>32</v>
      </c>
      <c r="H157" t="s">
        <v>20</v>
      </c>
      <c r="I157" t="s">
        <v>357</v>
      </c>
      <c r="J157" t="s">
        <v>34</v>
      </c>
      <c r="K157" t="str">
        <f t="shared" si="4"/>
        <v>B</v>
      </c>
      <c r="L157" t="s">
        <v>37</v>
      </c>
      <c r="M157">
        <f t="shared" si="5"/>
        <v>1</v>
      </c>
    </row>
    <row r="158" ht="18" customHeight="1" spans="1:13">
      <c r="A158" t="s">
        <v>332</v>
      </c>
      <c r="B158" s="13" t="s">
        <v>333</v>
      </c>
      <c r="C158" t="s">
        <v>30</v>
      </c>
      <c r="D158" t="s">
        <v>16</v>
      </c>
      <c r="E158" t="s">
        <v>47</v>
      </c>
      <c r="F158" s="13" t="s">
        <v>358</v>
      </c>
      <c r="G158" t="s">
        <v>32</v>
      </c>
      <c r="H158" t="s">
        <v>20</v>
      </c>
      <c r="I158" t="s">
        <v>359</v>
      </c>
      <c r="J158" t="s">
        <v>37</v>
      </c>
      <c r="K158" t="str">
        <f t="shared" si="4"/>
        <v>A</v>
      </c>
      <c r="L158" t="s">
        <v>34</v>
      </c>
      <c r="M158">
        <f t="shared" si="5"/>
        <v>1</v>
      </c>
    </row>
    <row r="159" ht="18" customHeight="1" spans="1:13">
      <c r="A159" t="s">
        <v>332</v>
      </c>
      <c r="B159" s="13" t="s">
        <v>333</v>
      </c>
      <c r="C159" t="s">
        <v>30</v>
      </c>
      <c r="D159" t="s">
        <v>24</v>
      </c>
      <c r="E159" t="s">
        <v>47</v>
      </c>
      <c r="F159" s="13" t="s">
        <v>360</v>
      </c>
      <c r="G159" t="s">
        <v>32</v>
      </c>
      <c r="H159" t="s">
        <v>20</v>
      </c>
      <c r="I159" t="s">
        <v>361</v>
      </c>
      <c r="J159" t="s">
        <v>37</v>
      </c>
      <c r="K159" t="str">
        <f t="shared" si="4"/>
        <v>A</v>
      </c>
      <c r="L159" t="s">
        <v>34</v>
      </c>
      <c r="M159">
        <f t="shared" si="5"/>
        <v>1</v>
      </c>
    </row>
    <row r="160" ht="18" customHeight="1" spans="1:13">
      <c r="A160" t="s">
        <v>332</v>
      </c>
      <c r="B160" s="13" t="s">
        <v>333</v>
      </c>
      <c r="C160" t="s">
        <v>30</v>
      </c>
      <c r="D160" t="s">
        <v>27</v>
      </c>
      <c r="E160" t="s">
        <v>47</v>
      </c>
      <c r="F160" s="13" t="s">
        <v>362</v>
      </c>
      <c r="G160" t="s">
        <v>32</v>
      </c>
      <c r="H160" t="s">
        <v>20</v>
      </c>
      <c r="I160" t="s">
        <v>363</v>
      </c>
      <c r="J160" t="s">
        <v>37</v>
      </c>
      <c r="K160" t="str">
        <f t="shared" si="4"/>
        <v>A</v>
      </c>
      <c r="L160" t="s">
        <v>34</v>
      </c>
      <c r="M160">
        <f t="shared" si="5"/>
        <v>1</v>
      </c>
    </row>
    <row r="161" ht="18" customHeight="1" spans="1:13">
      <c r="A161" t="s">
        <v>332</v>
      </c>
      <c r="B161" s="13" t="s">
        <v>333</v>
      </c>
      <c r="C161" t="s">
        <v>40</v>
      </c>
      <c r="D161" t="s">
        <v>16</v>
      </c>
      <c r="E161" t="s">
        <v>47</v>
      </c>
      <c r="F161" s="13" t="s">
        <v>364</v>
      </c>
      <c r="G161" t="s">
        <v>32</v>
      </c>
      <c r="H161" t="s">
        <v>20</v>
      </c>
      <c r="I161" t="s">
        <v>365</v>
      </c>
      <c r="J161" t="s">
        <v>37</v>
      </c>
      <c r="K161" t="str">
        <f t="shared" si="4"/>
        <v>B</v>
      </c>
      <c r="L161" t="s">
        <v>37</v>
      </c>
      <c r="M161">
        <f t="shared" si="5"/>
        <v>1</v>
      </c>
    </row>
    <row r="162" ht="18" customHeight="1" spans="1:13">
      <c r="A162" t="s">
        <v>332</v>
      </c>
      <c r="B162" s="13" t="s">
        <v>333</v>
      </c>
      <c r="C162" t="s">
        <v>40</v>
      </c>
      <c r="D162" t="s">
        <v>24</v>
      </c>
      <c r="E162" t="s">
        <v>47</v>
      </c>
      <c r="F162" s="13" t="s">
        <v>366</v>
      </c>
      <c r="G162" t="s">
        <v>32</v>
      </c>
      <c r="H162" t="s">
        <v>20</v>
      </c>
      <c r="I162" t="s">
        <v>367</v>
      </c>
      <c r="J162" t="s">
        <v>37</v>
      </c>
      <c r="K162" t="str">
        <f t="shared" si="4"/>
        <v>B</v>
      </c>
      <c r="L162" t="s">
        <v>37</v>
      </c>
      <c r="M162">
        <f t="shared" si="5"/>
        <v>1</v>
      </c>
    </row>
    <row r="163" ht="18" customHeight="1" spans="1:13">
      <c r="A163" t="s">
        <v>332</v>
      </c>
      <c r="B163" s="13" t="s">
        <v>333</v>
      </c>
      <c r="C163" t="s">
        <v>40</v>
      </c>
      <c r="D163" t="s">
        <v>27</v>
      </c>
      <c r="E163" t="s">
        <v>47</v>
      </c>
      <c r="F163" s="13" t="s">
        <v>368</v>
      </c>
      <c r="G163" t="s">
        <v>32</v>
      </c>
      <c r="H163" t="s">
        <v>20</v>
      </c>
      <c r="I163" t="s">
        <v>369</v>
      </c>
      <c r="J163" t="s">
        <v>37</v>
      </c>
      <c r="K163" t="str">
        <f t="shared" si="4"/>
        <v>B</v>
      </c>
      <c r="L163" t="s">
        <v>37</v>
      </c>
      <c r="M163">
        <f t="shared" si="5"/>
        <v>1</v>
      </c>
    </row>
    <row r="164" ht="18" customHeight="1" spans="1:13">
      <c r="A164" t="s">
        <v>370</v>
      </c>
      <c r="B164" s="13" t="s">
        <v>371</v>
      </c>
      <c r="C164" t="s">
        <v>15</v>
      </c>
      <c r="D164" t="s">
        <v>16</v>
      </c>
      <c r="E164" t="s">
        <v>17</v>
      </c>
      <c r="F164" s="13" t="s">
        <v>372</v>
      </c>
      <c r="G164" t="s">
        <v>19</v>
      </c>
      <c r="H164" t="s">
        <v>20</v>
      </c>
      <c r="I164" t="s">
        <v>373</v>
      </c>
      <c r="J164" t="s">
        <v>34</v>
      </c>
      <c r="K164" t="str">
        <f t="shared" si="4"/>
        <v>A</v>
      </c>
      <c r="L164" t="s">
        <v>23</v>
      </c>
      <c r="M164">
        <f t="shared" si="5"/>
        <v>0</v>
      </c>
    </row>
    <row r="165" ht="18" customHeight="1" spans="1:13">
      <c r="A165" t="s">
        <v>370</v>
      </c>
      <c r="B165" s="13" t="s">
        <v>371</v>
      </c>
      <c r="C165" t="s">
        <v>15</v>
      </c>
      <c r="D165" t="s">
        <v>24</v>
      </c>
      <c r="E165" t="s">
        <v>17</v>
      </c>
      <c r="F165" s="13" t="s">
        <v>374</v>
      </c>
      <c r="G165" t="s">
        <v>19</v>
      </c>
      <c r="H165" t="s">
        <v>20</v>
      </c>
      <c r="I165" t="s">
        <v>375</v>
      </c>
      <c r="J165" t="s">
        <v>34</v>
      </c>
      <c r="K165" t="str">
        <f t="shared" si="4"/>
        <v>A</v>
      </c>
      <c r="L165" t="s">
        <v>23</v>
      </c>
      <c r="M165">
        <f t="shared" si="5"/>
        <v>0</v>
      </c>
    </row>
    <row r="166" ht="18" customHeight="1" spans="1:13">
      <c r="A166" t="s">
        <v>370</v>
      </c>
      <c r="B166" s="13" t="s">
        <v>371</v>
      </c>
      <c r="C166" t="s">
        <v>15</v>
      </c>
      <c r="D166" t="s">
        <v>27</v>
      </c>
      <c r="E166" t="s">
        <v>17</v>
      </c>
      <c r="F166" s="13" t="s">
        <v>376</v>
      </c>
      <c r="G166" t="s">
        <v>19</v>
      </c>
      <c r="H166" t="s">
        <v>20</v>
      </c>
      <c r="I166" t="s">
        <v>377</v>
      </c>
      <c r="J166" t="s">
        <v>34</v>
      </c>
      <c r="K166" t="str">
        <f t="shared" si="4"/>
        <v>A</v>
      </c>
      <c r="L166" t="s">
        <v>23</v>
      </c>
      <c r="M166">
        <f t="shared" si="5"/>
        <v>0</v>
      </c>
    </row>
    <row r="167" ht="18" customHeight="1" spans="1:13">
      <c r="A167" t="s">
        <v>370</v>
      </c>
      <c r="B167" s="13" t="s">
        <v>371</v>
      </c>
      <c r="C167" t="s">
        <v>30</v>
      </c>
      <c r="D167" t="s">
        <v>16</v>
      </c>
      <c r="E167" t="s">
        <v>17</v>
      </c>
      <c r="F167" s="13" t="s">
        <v>378</v>
      </c>
      <c r="G167" t="s">
        <v>32</v>
      </c>
      <c r="H167" t="s">
        <v>20</v>
      </c>
      <c r="I167" t="s">
        <v>379</v>
      </c>
      <c r="J167" t="s">
        <v>34</v>
      </c>
      <c r="K167" t="str">
        <f t="shared" si="4"/>
        <v>A</v>
      </c>
      <c r="L167" t="s">
        <v>34</v>
      </c>
      <c r="M167">
        <f t="shared" si="5"/>
        <v>1</v>
      </c>
    </row>
    <row r="168" ht="18" customHeight="1" spans="1:13">
      <c r="A168" t="s">
        <v>370</v>
      </c>
      <c r="B168" s="13" t="s">
        <v>371</v>
      </c>
      <c r="C168" t="s">
        <v>30</v>
      </c>
      <c r="D168" t="s">
        <v>24</v>
      </c>
      <c r="E168" t="s">
        <v>17</v>
      </c>
      <c r="F168" s="13" t="s">
        <v>380</v>
      </c>
      <c r="G168" t="s">
        <v>32</v>
      </c>
      <c r="H168" t="s">
        <v>20</v>
      </c>
      <c r="I168" t="s">
        <v>381</v>
      </c>
      <c r="J168" t="s">
        <v>34</v>
      </c>
      <c r="K168" t="str">
        <f t="shared" si="4"/>
        <v>A</v>
      </c>
      <c r="L168" t="s">
        <v>34</v>
      </c>
      <c r="M168">
        <f t="shared" si="5"/>
        <v>1</v>
      </c>
    </row>
    <row r="169" ht="18" customHeight="1" spans="1:13">
      <c r="A169" t="s">
        <v>370</v>
      </c>
      <c r="B169" s="13" t="s">
        <v>371</v>
      </c>
      <c r="C169" t="s">
        <v>30</v>
      </c>
      <c r="D169" t="s">
        <v>27</v>
      </c>
      <c r="E169" t="s">
        <v>17</v>
      </c>
      <c r="F169" s="13" t="s">
        <v>382</v>
      </c>
      <c r="G169" t="s">
        <v>32</v>
      </c>
      <c r="H169" t="s">
        <v>20</v>
      </c>
      <c r="I169" t="s">
        <v>383</v>
      </c>
      <c r="J169" t="s">
        <v>34</v>
      </c>
      <c r="K169" t="str">
        <f t="shared" si="4"/>
        <v>A</v>
      </c>
      <c r="L169" t="s">
        <v>34</v>
      </c>
      <c r="M169">
        <f t="shared" si="5"/>
        <v>1</v>
      </c>
    </row>
    <row r="170" ht="18" customHeight="1" spans="1:13">
      <c r="A170" t="s">
        <v>370</v>
      </c>
      <c r="B170" s="13" t="s">
        <v>371</v>
      </c>
      <c r="C170" t="s">
        <v>40</v>
      </c>
      <c r="D170" t="s">
        <v>16</v>
      </c>
      <c r="E170" t="s">
        <v>17</v>
      </c>
      <c r="F170" s="13" t="s">
        <v>384</v>
      </c>
      <c r="G170" t="s">
        <v>32</v>
      </c>
      <c r="H170" t="s">
        <v>20</v>
      </c>
      <c r="I170" t="s">
        <v>385</v>
      </c>
      <c r="J170" t="s">
        <v>34</v>
      </c>
      <c r="K170" t="str">
        <f t="shared" si="4"/>
        <v>B</v>
      </c>
      <c r="L170" t="s">
        <v>37</v>
      </c>
      <c r="M170">
        <f t="shared" si="5"/>
        <v>1</v>
      </c>
    </row>
    <row r="171" ht="18" customHeight="1" spans="1:13">
      <c r="A171" t="s">
        <v>370</v>
      </c>
      <c r="B171" s="13" t="s">
        <v>371</v>
      </c>
      <c r="C171" t="s">
        <v>40</v>
      </c>
      <c r="D171" t="s">
        <v>24</v>
      </c>
      <c r="E171" t="s">
        <v>17</v>
      </c>
      <c r="F171" s="13" t="s">
        <v>386</v>
      </c>
      <c r="G171" t="s">
        <v>32</v>
      </c>
      <c r="H171" t="s">
        <v>20</v>
      </c>
      <c r="I171" t="s">
        <v>387</v>
      </c>
      <c r="J171" t="s">
        <v>34</v>
      </c>
      <c r="K171" t="str">
        <f t="shared" si="4"/>
        <v>B</v>
      </c>
      <c r="L171" t="s">
        <v>37</v>
      </c>
      <c r="M171">
        <f t="shared" si="5"/>
        <v>1</v>
      </c>
    </row>
    <row r="172" ht="18" customHeight="1" spans="1:13">
      <c r="A172" t="s">
        <v>370</v>
      </c>
      <c r="B172" s="13" t="s">
        <v>371</v>
      </c>
      <c r="C172" t="s">
        <v>40</v>
      </c>
      <c r="D172" t="s">
        <v>27</v>
      </c>
      <c r="E172" t="s">
        <v>17</v>
      </c>
      <c r="F172" s="13" t="s">
        <v>388</v>
      </c>
      <c r="G172" t="s">
        <v>32</v>
      </c>
      <c r="H172" t="s">
        <v>20</v>
      </c>
      <c r="I172" t="s">
        <v>389</v>
      </c>
      <c r="J172" t="s">
        <v>34</v>
      </c>
      <c r="K172" t="str">
        <f t="shared" si="4"/>
        <v>B</v>
      </c>
      <c r="L172" t="s">
        <v>37</v>
      </c>
      <c r="M172">
        <f t="shared" si="5"/>
        <v>1</v>
      </c>
    </row>
    <row r="173" ht="18" customHeight="1" spans="1:13">
      <c r="A173" t="s">
        <v>370</v>
      </c>
      <c r="B173" s="13" t="s">
        <v>371</v>
      </c>
      <c r="C173" t="s">
        <v>15</v>
      </c>
      <c r="D173" t="s">
        <v>16</v>
      </c>
      <c r="E173" t="s">
        <v>47</v>
      </c>
      <c r="F173" s="13" t="s">
        <v>390</v>
      </c>
      <c r="G173" t="s">
        <v>32</v>
      </c>
      <c r="H173" t="s">
        <v>20</v>
      </c>
      <c r="I173" t="s">
        <v>391</v>
      </c>
      <c r="J173" t="s">
        <v>22</v>
      </c>
      <c r="K173" t="str">
        <f t="shared" si="4"/>
        <v>D(平局)</v>
      </c>
      <c r="L173" t="s">
        <v>23</v>
      </c>
      <c r="M173">
        <f t="shared" si="5"/>
        <v>1</v>
      </c>
    </row>
    <row r="174" ht="18" customHeight="1" spans="1:13">
      <c r="A174" t="s">
        <v>370</v>
      </c>
      <c r="B174" s="13" t="s">
        <v>371</v>
      </c>
      <c r="C174" t="s">
        <v>15</v>
      </c>
      <c r="D174" t="s">
        <v>24</v>
      </c>
      <c r="E174" t="s">
        <v>47</v>
      </c>
      <c r="F174" s="13" t="s">
        <v>392</v>
      </c>
      <c r="G174" t="s">
        <v>32</v>
      </c>
      <c r="H174" t="s">
        <v>20</v>
      </c>
      <c r="I174" t="s">
        <v>393</v>
      </c>
      <c r="J174" t="s">
        <v>37</v>
      </c>
      <c r="K174" t="str">
        <f t="shared" si="4"/>
        <v>A</v>
      </c>
      <c r="L174" t="s">
        <v>23</v>
      </c>
      <c r="M174">
        <f t="shared" si="5"/>
        <v>0</v>
      </c>
    </row>
    <row r="175" ht="18" customHeight="1" spans="1:13">
      <c r="A175" t="s">
        <v>370</v>
      </c>
      <c r="B175" s="13" t="s">
        <v>371</v>
      </c>
      <c r="C175" t="s">
        <v>15</v>
      </c>
      <c r="D175" t="s">
        <v>27</v>
      </c>
      <c r="E175" t="s">
        <v>47</v>
      </c>
      <c r="F175" s="13" t="s">
        <v>394</v>
      </c>
      <c r="G175" t="s">
        <v>32</v>
      </c>
      <c r="H175" t="s">
        <v>20</v>
      </c>
      <c r="I175" t="s">
        <v>395</v>
      </c>
      <c r="J175" t="s">
        <v>37</v>
      </c>
      <c r="K175" t="str">
        <f t="shared" si="4"/>
        <v>A</v>
      </c>
      <c r="L175" t="s">
        <v>23</v>
      </c>
      <c r="M175">
        <f t="shared" si="5"/>
        <v>0</v>
      </c>
    </row>
    <row r="176" ht="18" customHeight="1" spans="1:13">
      <c r="A176" t="s">
        <v>370</v>
      </c>
      <c r="B176" s="13" t="s">
        <v>371</v>
      </c>
      <c r="C176" t="s">
        <v>30</v>
      </c>
      <c r="D176" t="s">
        <v>16</v>
      </c>
      <c r="E176" t="s">
        <v>47</v>
      </c>
      <c r="F176" s="13" t="s">
        <v>396</v>
      </c>
      <c r="G176" t="s">
        <v>32</v>
      </c>
      <c r="H176" t="s">
        <v>20</v>
      </c>
      <c r="I176" t="s">
        <v>397</v>
      </c>
      <c r="J176" t="s">
        <v>37</v>
      </c>
      <c r="K176" t="str">
        <f t="shared" si="4"/>
        <v>A</v>
      </c>
      <c r="L176" t="s">
        <v>34</v>
      </c>
      <c r="M176">
        <f t="shared" si="5"/>
        <v>1</v>
      </c>
    </row>
    <row r="177" ht="18" customHeight="1" spans="1:13">
      <c r="A177" t="s">
        <v>370</v>
      </c>
      <c r="B177" s="13" t="s">
        <v>371</v>
      </c>
      <c r="C177" t="s">
        <v>30</v>
      </c>
      <c r="D177" t="s">
        <v>24</v>
      </c>
      <c r="E177" t="s">
        <v>47</v>
      </c>
      <c r="F177" s="13" t="s">
        <v>398</v>
      </c>
      <c r="G177" t="s">
        <v>32</v>
      </c>
      <c r="H177" t="s">
        <v>20</v>
      </c>
      <c r="I177" t="s">
        <v>399</v>
      </c>
      <c r="J177" t="s">
        <v>37</v>
      </c>
      <c r="K177" t="str">
        <f t="shared" si="4"/>
        <v>A</v>
      </c>
      <c r="L177" t="s">
        <v>34</v>
      </c>
      <c r="M177">
        <f t="shared" si="5"/>
        <v>1</v>
      </c>
    </row>
    <row r="178" ht="18" customHeight="1" spans="1:13">
      <c r="A178" t="s">
        <v>370</v>
      </c>
      <c r="B178" s="13" t="s">
        <v>371</v>
      </c>
      <c r="C178" t="s">
        <v>30</v>
      </c>
      <c r="D178" t="s">
        <v>27</v>
      </c>
      <c r="E178" t="s">
        <v>47</v>
      </c>
      <c r="F178" s="13" t="s">
        <v>400</v>
      </c>
      <c r="G178" t="s">
        <v>32</v>
      </c>
      <c r="H178" t="s">
        <v>20</v>
      </c>
      <c r="I178" t="s">
        <v>401</v>
      </c>
      <c r="J178" t="s">
        <v>37</v>
      </c>
      <c r="K178" t="str">
        <f t="shared" si="4"/>
        <v>A</v>
      </c>
      <c r="L178" t="s">
        <v>34</v>
      </c>
      <c r="M178">
        <f t="shared" si="5"/>
        <v>1</v>
      </c>
    </row>
    <row r="179" ht="18" customHeight="1" spans="1:13">
      <c r="A179" t="s">
        <v>370</v>
      </c>
      <c r="B179" s="13" t="s">
        <v>371</v>
      </c>
      <c r="C179" t="s">
        <v>40</v>
      </c>
      <c r="D179" t="s">
        <v>16</v>
      </c>
      <c r="E179" t="s">
        <v>47</v>
      </c>
      <c r="F179" s="13" t="s">
        <v>402</v>
      </c>
      <c r="G179" t="s">
        <v>32</v>
      </c>
      <c r="H179" t="s">
        <v>20</v>
      </c>
      <c r="I179" t="s">
        <v>403</v>
      </c>
      <c r="J179" t="s">
        <v>37</v>
      </c>
      <c r="K179" t="str">
        <f t="shared" si="4"/>
        <v>B</v>
      </c>
      <c r="L179" t="s">
        <v>37</v>
      </c>
      <c r="M179">
        <f t="shared" si="5"/>
        <v>1</v>
      </c>
    </row>
    <row r="180" ht="18" customHeight="1" spans="1:13">
      <c r="A180" t="s">
        <v>370</v>
      </c>
      <c r="B180" s="13" t="s">
        <v>371</v>
      </c>
      <c r="C180" t="s">
        <v>40</v>
      </c>
      <c r="D180" t="s">
        <v>24</v>
      </c>
      <c r="E180" t="s">
        <v>47</v>
      </c>
      <c r="F180" s="13" t="s">
        <v>404</v>
      </c>
      <c r="G180" t="s">
        <v>32</v>
      </c>
      <c r="H180" t="s">
        <v>20</v>
      </c>
      <c r="I180" t="s">
        <v>405</v>
      </c>
      <c r="J180" t="s">
        <v>37</v>
      </c>
      <c r="K180" t="str">
        <f t="shared" si="4"/>
        <v>B</v>
      </c>
      <c r="L180" t="s">
        <v>37</v>
      </c>
      <c r="M180">
        <f t="shared" si="5"/>
        <v>1</v>
      </c>
    </row>
    <row r="181" ht="18" customHeight="1" spans="1:13">
      <c r="A181" t="s">
        <v>370</v>
      </c>
      <c r="B181" s="13" t="s">
        <v>371</v>
      </c>
      <c r="C181" t="s">
        <v>40</v>
      </c>
      <c r="D181" t="s">
        <v>27</v>
      </c>
      <c r="E181" t="s">
        <v>47</v>
      </c>
      <c r="F181" s="13" t="s">
        <v>406</v>
      </c>
      <c r="G181" t="s">
        <v>32</v>
      </c>
      <c r="H181" t="s">
        <v>20</v>
      </c>
      <c r="I181" t="s">
        <v>407</v>
      </c>
      <c r="J181" t="s">
        <v>37</v>
      </c>
      <c r="K181" t="str">
        <f t="shared" si="4"/>
        <v>B</v>
      </c>
      <c r="L181" t="s">
        <v>37</v>
      </c>
      <c r="M181">
        <f t="shared" si="5"/>
        <v>1</v>
      </c>
    </row>
    <row r="182" ht="18" customHeight="1" spans="1:13">
      <c r="A182" t="s">
        <v>408</v>
      </c>
      <c r="B182" s="13" t="s">
        <v>409</v>
      </c>
      <c r="C182" t="s">
        <v>15</v>
      </c>
      <c r="D182" t="s">
        <v>16</v>
      </c>
      <c r="E182" t="s">
        <v>17</v>
      </c>
      <c r="F182" s="13" t="s">
        <v>410</v>
      </c>
      <c r="G182" t="s">
        <v>32</v>
      </c>
      <c r="H182" t="s">
        <v>20</v>
      </c>
      <c r="I182" t="s">
        <v>411</v>
      </c>
      <c r="J182" t="s">
        <v>34</v>
      </c>
      <c r="K182" t="str">
        <f t="shared" si="4"/>
        <v>A</v>
      </c>
      <c r="L182" t="s">
        <v>34</v>
      </c>
      <c r="M182">
        <f t="shared" si="5"/>
        <v>1</v>
      </c>
    </row>
    <row r="183" ht="18" customHeight="1" spans="1:13">
      <c r="A183" t="s">
        <v>408</v>
      </c>
      <c r="B183" s="13" t="s">
        <v>409</v>
      </c>
      <c r="C183" t="s">
        <v>15</v>
      </c>
      <c r="D183" t="s">
        <v>24</v>
      </c>
      <c r="E183" t="s">
        <v>17</v>
      </c>
      <c r="F183" s="13" t="s">
        <v>412</v>
      </c>
      <c r="G183" t="s">
        <v>32</v>
      </c>
      <c r="H183" t="s">
        <v>20</v>
      </c>
      <c r="I183" t="s">
        <v>413</v>
      </c>
      <c r="J183" t="s">
        <v>34</v>
      </c>
      <c r="K183" t="str">
        <f t="shared" si="4"/>
        <v>A</v>
      </c>
      <c r="L183" t="s">
        <v>34</v>
      </c>
      <c r="M183">
        <f t="shared" si="5"/>
        <v>1</v>
      </c>
    </row>
    <row r="184" ht="18" customHeight="1" spans="1:13">
      <c r="A184" t="s">
        <v>408</v>
      </c>
      <c r="B184" s="13" t="s">
        <v>409</v>
      </c>
      <c r="C184" t="s">
        <v>15</v>
      </c>
      <c r="D184" t="s">
        <v>27</v>
      </c>
      <c r="E184" t="s">
        <v>17</v>
      </c>
      <c r="F184" s="13" t="s">
        <v>414</v>
      </c>
      <c r="G184" t="s">
        <v>32</v>
      </c>
      <c r="H184" t="s">
        <v>20</v>
      </c>
      <c r="I184" t="s">
        <v>415</v>
      </c>
      <c r="J184" t="s">
        <v>34</v>
      </c>
      <c r="K184" t="str">
        <f t="shared" si="4"/>
        <v>A</v>
      </c>
      <c r="L184" t="s">
        <v>34</v>
      </c>
      <c r="M184">
        <f t="shared" si="5"/>
        <v>1</v>
      </c>
    </row>
    <row r="185" ht="18" customHeight="1" spans="1:13">
      <c r="A185" t="s">
        <v>408</v>
      </c>
      <c r="B185" s="13" t="s">
        <v>409</v>
      </c>
      <c r="C185" t="s">
        <v>30</v>
      </c>
      <c r="D185" t="s">
        <v>16</v>
      </c>
      <c r="E185" t="s">
        <v>17</v>
      </c>
      <c r="F185" s="13" t="s">
        <v>416</v>
      </c>
      <c r="G185" t="s">
        <v>32</v>
      </c>
      <c r="H185" t="s">
        <v>20</v>
      </c>
      <c r="I185" t="s">
        <v>417</v>
      </c>
      <c r="J185" t="s">
        <v>34</v>
      </c>
      <c r="K185" t="str">
        <f t="shared" si="4"/>
        <v>A</v>
      </c>
      <c r="L185" t="s">
        <v>34</v>
      </c>
      <c r="M185">
        <f t="shared" si="5"/>
        <v>1</v>
      </c>
    </row>
    <row r="186" ht="18" customHeight="1" spans="1:13">
      <c r="A186" t="s">
        <v>408</v>
      </c>
      <c r="B186" s="13" t="s">
        <v>409</v>
      </c>
      <c r="C186" t="s">
        <v>30</v>
      </c>
      <c r="D186" t="s">
        <v>24</v>
      </c>
      <c r="E186" t="s">
        <v>17</v>
      </c>
      <c r="F186" s="13" t="s">
        <v>418</v>
      </c>
      <c r="G186" t="s">
        <v>32</v>
      </c>
      <c r="H186" t="s">
        <v>20</v>
      </c>
      <c r="I186" t="s">
        <v>419</v>
      </c>
      <c r="J186" t="s">
        <v>34</v>
      </c>
      <c r="K186" t="str">
        <f t="shared" si="4"/>
        <v>A</v>
      </c>
      <c r="L186" t="s">
        <v>34</v>
      </c>
      <c r="M186">
        <f t="shared" si="5"/>
        <v>1</v>
      </c>
    </row>
    <row r="187" ht="18" customHeight="1" spans="1:13">
      <c r="A187" t="s">
        <v>408</v>
      </c>
      <c r="B187" s="13" t="s">
        <v>409</v>
      </c>
      <c r="C187" t="s">
        <v>30</v>
      </c>
      <c r="D187" t="s">
        <v>27</v>
      </c>
      <c r="E187" t="s">
        <v>17</v>
      </c>
      <c r="F187" s="13" t="s">
        <v>420</v>
      </c>
      <c r="G187" t="s">
        <v>32</v>
      </c>
      <c r="H187" t="s">
        <v>20</v>
      </c>
      <c r="I187" t="s">
        <v>421</v>
      </c>
      <c r="J187" t="s">
        <v>34</v>
      </c>
      <c r="K187" t="str">
        <f t="shared" si="4"/>
        <v>A</v>
      </c>
      <c r="L187" t="s">
        <v>34</v>
      </c>
      <c r="M187">
        <f t="shared" si="5"/>
        <v>1</v>
      </c>
    </row>
    <row r="188" ht="18" customHeight="1" spans="1:13">
      <c r="A188" t="s">
        <v>408</v>
      </c>
      <c r="B188" s="13" t="s">
        <v>409</v>
      </c>
      <c r="C188" t="s">
        <v>40</v>
      </c>
      <c r="D188" t="s">
        <v>16</v>
      </c>
      <c r="E188" t="s">
        <v>17</v>
      </c>
      <c r="F188" s="13" t="s">
        <v>422</v>
      </c>
      <c r="G188" t="s">
        <v>32</v>
      </c>
      <c r="H188" t="s">
        <v>20</v>
      </c>
      <c r="I188" t="s">
        <v>423</v>
      </c>
      <c r="J188" t="s">
        <v>34</v>
      </c>
      <c r="K188" t="str">
        <f t="shared" si="4"/>
        <v>B</v>
      </c>
      <c r="L188" t="s">
        <v>37</v>
      </c>
      <c r="M188">
        <f t="shared" si="5"/>
        <v>1</v>
      </c>
    </row>
    <row r="189" ht="18" customHeight="1" spans="1:13">
      <c r="A189" t="s">
        <v>408</v>
      </c>
      <c r="B189" s="13" t="s">
        <v>409</v>
      </c>
      <c r="C189" t="s">
        <v>40</v>
      </c>
      <c r="D189" t="s">
        <v>24</v>
      </c>
      <c r="E189" t="s">
        <v>17</v>
      </c>
      <c r="F189" s="13" t="s">
        <v>424</v>
      </c>
      <c r="G189" t="s">
        <v>32</v>
      </c>
      <c r="H189" t="s">
        <v>20</v>
      </c>
      <c r="I189" t="s">
        <v>425</v>
      </c>
      <c r="J189" t="s">
        <v>34</v>
      </c>
      <c r="K189" t="str">
        <f t="shared" si="4"/>
        <v>B</v>
      </c>
      <c r="L189" t="s">
        <v>37</v>
      </c>
      <c r="M189">
        <f t="shared" si="5"/>
        <v>1</v>
      </c>
    </row>
    <row r="190" ht="18" customHeight="1" spans="1:13">
      <c r="A190" t="s">
        <v>408</v>
      </c>
      <c r="B190" s="13" t="s">
        <v>409</v>
      </c>
      <c r="C190" t="s">
        <v>40</v>
      </c>
      <c r="D190" t="s">
        <v>27</v>
      </c>
      <c r="E190" t="s">
        <v>17</v>
      </c>
      <c r="F190" s="13" t="s">
        <v>426</v>
      </c>
      <c r="G190" t="s">
        <v>32</v>
      </c>
      <c r="H190" t="s">
        <v>20</v>
      </c>
      <c r="I190" t="s">
        <v>427</v>
      </c>
      <c r="J190" t="s">
        <v>34</v>
      </c>
      <c r="K190" t="str">
        <f t="shared" si="4"/>
        <v>B</v>
      </c>
      <c r="L190" t="s">
        <v>37</v>
      </c>
      <c r="M190">
        <f t="shared" si="5"/>
        <v>1</v>
      </c>
    </row>
    <row r="191" ht="18" customHeight="1" spans="1:13">
      <c r="A191" t="s">
        <v>408</v>
      </c>
      <c r="B191" s="13" t="s">
        <v>409</v>
      </c>
      <c r="C191" t="s">
        <v>15</v>
      </c>
      <c r="D191" t="s">
        <v>16</v>
      </c>
      <c r="E191" t="s">
        <v>47</v>
      </c>
      <c r="F191" s="13" t="s">
        <v>428</v>
      </c>
      <c r="G191" t="s">
        <v>32</v>
      </c>
      <c r="H191" t="s">
        <v>20</v>
      </c>
      <c r="I191" t="s">
        <v>429</v>
      </c>
      <c r="J191" t="s">
        <v>37</v>
      </c>
      <c r="K191" t="str">
        <f t="shared" si="4"/>
        <v>A</v>
      </c>
      <c r="L191" t="s">
        <v>34</v>
      </c>
      <c r="M191">
        <f t="shared" si="5"/>
        <v>1</v>
      </c>
    </row>
    <row r="192" ht="18" customHeight="1" spans="1:13">
      <c r="A192" t="s">
        <v>408</v>
      </c>
      <c r="B192" s="13" t="s">
        <v>409</v>
      </c>
      <c r="C192" t="s">
        <v>15</v>
      </c>
      <c r="D192" t="s">
        <v>24</v>
      </c>
      <c r="E192" t="s">
        <v>47</v>
      </c>
      <c r="F192" s="13" t="s">
        <v>430</v>
      </c>
      <c r="G192" t="s">
        <v>32</v>
      </c>
      <c r="H192" t="s">
        <v>20</v>
      </c>
      <c r="I192" t="s">
        <v>431</v>
      </c>
      <c r="J192" t="s">
        <v>37</v>
      </c>
      <c r="K192" t="str">
        <f t="shared" si="4"/>
        <v>A</v>
      </c>
      <c r="L192" t="s">
        <v>34</v>
      </c>
      <c r="M192">
        <f t="shared" si="5"/>
        <v>1</v>
      </c>
    </row>
    <row r="193" ht="18" customHeight="1" spans="1:13">
      <c r="A193" t="s">
        <v>408</v>
      </c>
      <c r="B193" s="13" t="s">
        <v>409</v>
      </c>
      <c r="C193" t="s">
        <v>15</v>
      </c>
      <c r="D193" t="s">
        <v>27</v>
      </c>
      <c r="E193" t="s">
        <v>47</v>
      </c>
      <c r="F193" s="13" t="s">
        <v>432</v>
      </c>
      <c r="G193" t="s">
        <v>32</v>
      </c>
      <c r="H193" t="s">
        <v>20</v>
      </c>
      <c r="I193" t="s">
        <v>433</v>
      </c>
      <c r="J193" t="s">
        <v>37</v>
      </c>
      <c r="K193" t="str">
        <f t="shared" si="4"/>
        <v>A</v>
      </c>
      <c r="L193" t="s">
        <v>34</v>
      </c>
      <c r="M193">
        <f t="shared" si="5"/>
        <v>1</v>
      </c>
    </row>
    <row r="194" ht="18" customHeight="1" spans="1:13">
      <c r="A194" t="s">
        <v>408</v>
      </c>
      <c r="B194" s="13" t="s">
        <v>409</v>
      </c>
      <c r="C194" t="s">
        <v>30</v>
      </c>
      <c r="D194" t="s">
        <v>16</v>
      </c>
      <c r="E194" t="s">
        <v>47</v>
      </c>
      <c r="F194" s="13" t="s">
        <v>434</v>
      </c>
      <c r="G194" t="s">
        <v>32</v>
      </c>
      <c r="H194" t="s">
        <v>20</v>
      </c>
      <c r="I194" t="s">
        <v>435</v>
      </c>
      <c r="J194" t="s">
        <v>37</v>
      </c>
      <c r="K194" t="str">
        <f t="shared" ref="K194:K217" si="6">IF(OR(J194="",C194="",E194=""),"",IF(J194="C","D(平局)",IF(J194=IF(E194="l2r","A","B"),LEFT(C194,1),RIGHT(C194,1))))</f>
        <v>A</v>
      </c>
      <c r="L194" t="s">
        <v>34</v>
      </c>
      <c r="M194">
        <f t="shared" ref="M194:M217" si="7">IF(OR(K194="",L194=""),"",--(K194=L194))</f>
        <v>1</v>
      </c>
    </row>
    <row r="195" ht="18" customHeight="1" spans="1:13">
      <c r="A195" t="s">
        <v>408</v>
      </c>
      <c r="B195" s="13" t="s">
        <v>409</v>
      </c>
      <c r="C195" t="s">
        <v>30</v>
      </c>
      <c r="D195" t="s">
        <v>24</v>
      </c>
      <c r="E195" t="s">
        <v>47</v>
      </c>
      <c r="F195" s="13" t="s">
        <v>436</v>
      </c>
      <c r="G195" t="s">
        <v>32</v>
      </c>
      <c r="H195" t="s">
        <v>20</v>
      </c>
      <c r="I195" t="s">
        <v>437</v>
      </c>
      <c r="J195" t="s">
        <v>37</v>
      </c>
      <c r="K195" t="str">
        <f t="shared" si="6"/>
        <v>A</v>
      </c>
      <c r="L195" t="s">
        <v>34</v>
      </c>
      <c r="M195">
        <f t="shared" si="7"/>
        <v>1</v>
      </c>
    </row>
    <row r="196" ht="18" customHeight="1" spans="1:13">
      <c r="A196" t="s">
        <v>408</v>
      </c>
      <c r="B196" s="13" t="s">
        <v>409</v>
      </c>
      <c r="C196" t="s">
        <v>30</v>
      </c>
      <c r="D196" t="s">
        <v>27</v>
      </c>
      <c r="E196" t="s">
        <v>47</v>
      </c>
      <c r="F196" s="13" t="s">
        <v>438</v>
      </c>
      <c r="G196" t="s">
        <v>32</v>
      </c>
      <c r="H196" t="s">
        <v>20</v>
      </c>
      <c r="I196" t="s">
        <v>439</v>
      </c>
      <c r="J196" t="s">
        <v>37</v>
      </c>
      <c r="K196" t="str">
        <f t="shared" si="6"/>
        <v>A</v>
      </c>
      <c r="L196" t="s">
        <v>34</v>
      </c>
      <c r="M196">
        <f t="shared" si="7"/>
        <v>1</v>
      </c>
    </row>
    <row r="197" ht="18" customHeight="1" spans="1:13">
      <c r="A197" t="s">
        <v>408</v>
      </c>
      <c r="B197" s="13" t="s">
        <v>409</v>
      </c>
      <c r="C197" t="s">
        <v>40</v>
      </c>
      <c r="D197" t="s">
        <v>16</v>
      </c>
      <c r="E197" t="s">
        <v>47</v>
      </c>
      <c r="F197" s="13" t="s">
        <v>440</v>
      </c>
      <c r="G197" t="s">
        <v>32</v>
      </c>
      <c r="H197" t="s">
        <v>20</v>
      </c>
      <c r="I197" t="s">
        <v>441</v>
      </c>
      <c r="J197" t="s">
        <v>37</v>
      </c>
      <c r="K197" t="str">
        <f t="shared" si="6"/>
        <v>B</v>
      </c>
      <c r="L197" t="s">
        <v>37</v>
      </c>
      <c r="M197">
        <f t="shared" si="7"/>
        <v>1</v>
      </c>
    </row>
    <row r="198" ht="18" customHeight="1" spans="1:13">
      <c r="A198" t="s">
        <v>408</v>
      </c>
      <c r="B198" s="13" t="s">
        <v>409</v>
      </c>
      <c r="C198" t="s">
        <v>40</v>
      </c>
      <c r="D198" t="s">
        <v>24</v>
      </c>
      <c r="E198" t="s">
        <v>47</v>
      </c>
      <c r="F198" s="13" t="s">
        <v>442</v>
      </c>
      <c r="G198" t="s">
        <v>32</v>
      </c>
      <c r="H198" t="s">
        <v>20</v>
      </c>
      <c r="I198" t="s">
        <v>443</v>
      </c>
      <c r="J198" t="s">
        <v>37</v>
      </c>
      <c r="K198" t="str">
        <f t="shared" si="6"/>
        <v>B</v>
      </c>
      <c r="L198" t="s">
        <v>37</v>
      </c>
      <c r="M198">
        <f t="shared" si="7"/>
        <v>1</v>
      </c>
    </row>
    <row r="199" ht="18" customHeight="1" spans="1:13">
      <c r="A199" t="s">
        <v>408</v>
      </c>
      <c r="B199" s="13" t="s">
        <v>409</v>
      </c>
      <c r="C199" t="s">
        <v>40</v>
      </c>
      <c r="D199" t="s">
        <v>27</v>
      </c>
      <c r="E199" t="s">
        <v>47</v>
      </c>
      <c r="F199" s="13" t="s">
        <v>444</v>
      </c>
      <c r="G199" t="s">
        <v>32</v>
      </c>
      <c r="H199" t="s">
        <v>20</v>
      </c>
      <c r="I199" t="s">
        <v>445</v>
      </c>
      <c r="J199" t="s">
        <v>37</v>
      </c>
      <c r="K199" t="str">
        <f t="shared" si="6"/>
        <v>B</v>
      </c>
      <c r="L199" t="s">
        <v>37</v>
      </c>
      <c r="M199">
        <f t="shared" si="7"/>
        <v>1</v>
      </c>
    </row>
    <row r="200" ht="18" customHeight="1" spans="1:13">
      <c r="A200" t="s">
        <v>446</v>
      </c>
      <c r="B200" s="13" t="s">
        <v>447</v>
      </c>
      <c r="C200" t="s">
        <v>15</v>
      </c>
      <c r="D200" t="s">
        <v>16</v>
      </c>
      <c r="E200" t="s">
        <v>17</v>
      </c>
      <c r="F200" s="13" t="s">
        <v>448</v>
      </c>
      <c r="G200" t="s">
        <v>32</v>
      </c>
      <c r="H200" t="s">
        <v>20</v>
      </c>
      <c r="I200" t="s">
        <v>449</v>
      </c>
      <c r="J200" t="s">
        <v>34</v>
      </c>
      <c r="K200" t="str">
        <f t="shared" si="6"/>
        <v>A</v>
      </c>
      <c r="L200" t="s">
        <v>34</v>
      </c>
      <c r="M200">
        <f t="shared" si="7"/>
        <v>1</v>
      </c>
    </row>
    <row r="201" ht="18" customHeight="1" spans="1:13">
      <c r="A201" t="s">
        <v>446</v>
      </c>
      <c r="B201" s="13" t="s">
        <v>447</v>
      </c>
      <c r="C201" t="s">
        <v>15</v>
      </c>
      <c r="D201" t="s">
        <v>24</v>
      </c>
      <c r="E201" t="s">
        <v>17</v>
      </c>
      <c r="F201" s="13" t="s">
        <v>450</v>
      </c>
      <c r="G201" t="s">
        <v>32</v>
      </c>
      <c r="H201" t="s">
        <v>20</v>
      </c>
      <c r="I201" t="s">
        <v>451</v>
      </c>
      <c r="J201" t="s">
        <v>34</v>
      </c>
      <c r="K201" t="str">
        <f t="shared" si="6"/>
        <v>A</v>
      </c>
      <c r="L201" t="s">
        <v>34</v>
      </c>
      <c r="M201">
        <f t="shared" si="7"/>
        <v>1</v>
      </c>
    </row>
    <row r="202" ht="18" customHeight="1" spans="1:13">
      <c r="A202" t="s">
        <v>446</v>
      </c>
      <c r="B202" s="13" t="s">
        <v>447</v>
      </c>
      <c r="C202" t="s">
        <v>15</v>
      </c>
      <c r="D202" t="s">
        <v>27</v>
      </c>
      <c r="E202" t="s">
        <v>17</v>
      </c>
      <c r="F202" s="13" t="s">
        <v>452</v>
      </c>
      <c r="G202" t="s">
        <v>32</v>
      </c>
      <c r="H202" t="s">
        <v>20</v>
      </c>
      <c r="I202" t="s">
        <v>453</v>
      </c>
      <c r="J202" t="s">
        <v>34</v>
      </c>
      <c r="K202" t="str">
        <f t="shared" si="6"/>
        <v>A</v>
      </c>
      <c r="L202" t="s">
        <v>34</v>
      </c>
      <c r="M202">
        <f t="shared" si="7"/>
        <v>1</v>
      </c>
    </row>
    <row r="203" ht="18" customHeight="1" spans="1:13">
      <c r="A203" t="s">
        <v>446</v>
      </c>
      <c r="B203" s="13" t="s">
        <v>447</v>
      </c>
      <c r="C203" t="s">
        <v>30</v>
      </c>
      <c r="D203" t="s">
        <v>16</v>
      </c>
      <c r="E203" t="s">
        <v>17</v>
      </c>
      <c r="F203" s="13" t="s">
        <v>454</v>
      </c>
      <c r="G203" t="s">
        <v>32</v>
      </c>
      <c r="H203" t="s">
        <v>20</v>
      </c>
      <c r="I203" t="s">
        <v>455</v>
      </c>
      <c r="J203" t="s">
        <v>34</v>
      </c>
      <c r="K203" t="str">
        <f t="shared" si="6"/>
        <v>A</v>
      </c>
      <c r="L203" t="s">
        <v>34</v>
      </c>
      <c r="M203">
        <f t="shared" si="7"/>
        <v>1</v>
      </c>
    </row>
    <row r="204" ht="18" customHeight="1" spans="1:13">
      <c r="A204" t="s">
        <v>446</v>
      </c>
      <c r="B204" s="13" t="s">
        <v>447</v>
      </c>
      <c r="C204" t="s">
        <v>30</v>
      </c>
      <c r="D204" t="s">
        <v>24</v>
      </c>
      <c r="E204" t="s">
        <v>17</v>
      </c>
      <c r="F204" s="13" t="s">
        <v>456</v>
      </c>
      <c r="G204" t="s">
        <v>32</v>
      </c>
      <c r="H204" t="s">
        <v>20</v>
      </c>
      <c r="I204" t="s">
        <v>457</v>
      </c>
      <c r="J204" t="s">
        <v>34</v>
      </c>
      <c r="K204" t="str">
        <f t="shared" si="6"/>
        <v>A</v>
      </c>
      <c r="L204" t="s">
        <v>34</v>
      </c>
      <c r="M204">
        <f t="shared" si="7"/>
        <v>1</v>
      </c>
    </row>
    <row r="205" ht="18" customHeight="1" spans="1:13">
      <c r="A205" t="s">
        <v>446</v>
      </c>
      <c r="B205" s="13" t="s">
        <v>447</v>
      </c>
      <c r="C205" t="s">
        <v>30</v>
      </c>
      <c r="D205" t="s">
        <v>27</v>
      </c>
      <c r="E205" t="s">
        <v>17</v>
      </c>
      <c r="F205" s="13" t="s">
        <v>458</v>
      </c>
      <c r="G205" t="s">
        <v>32</v>
      </c>
      <c r="H205" t="s">
        <v>20</v>
      </c>
      <c r="I205" t="s">
        <v>459</v>
      </c>
      <c r="J205" t="s">
        <v>34</v>
      </c>
      <c r="K205" t="str">
        <f t="shared" si="6"/>
        <v>A</v>
      </c>
      <c r="L205" t="s">
        <v>34</v>
      </c>
      <c r="M205">
        <f t="shared" si="7"/>
        <v>1</v>
      </c>
    </row>
    <row r="206" ht="18" customHeight="1" spans="1:13">
      <c r="A206" t="s">
        <v>446</v>
      </c>
      <c r="B206" s="13" t="s">
        <v>447</v>
      </c>
      <c r="C206" t="s">
        <v>40</v>
      </c>
      <c r="D206" t="s">
        <v>16</v>
      </c>
      <c r="E206" t="s">
        <v>17</v>
      </c>
      <c r="F206" s="13" t="s">
        <v>460</v>
      </c>
      <c r="G206" t="s">
        <v>32</v>
      </c>
      <c r="H206" t="s">
        <v>20</v>
      </c>
      <c r="I206" t="s">
        <v>461</v>
      </c>
      <c r="J206" t="s">
        <v>34</v>
      </c>
      <c r="K206" t="str">
        <f t="shared" si="6"/>
        <v>B</v>
      </c>
      <c r="L206" t="s">
        <v>37</v>
      </c>
      <c r="M206">
        <f t="shared" si="7"/>
        <v>1</v>
      </c>
    </row>
    <row r="207" ht="18" customHeight="1" spans="1:13">
      <c r="A207" t="s">
        <v>446</v>
      </c>
      <c r="B207" s="13" t="s">
        <v>447</v>
      </c>
      <c r="C207" t="s">
        <v>40</v>
      </c>
      <c r="D207" t="s">
        <v>24</v>
      </c>
      <c r="E207" t="s">
        <v>17</v>
      </c>
      <c r="F207" s="13" t="s">
        <v>462</v>
      </c>
      <c r="G207" t="s">
        <v>32</v>
      </c>
      <c r="H207" t="s">
        <v>20</v>
      </c>
      <c r="I207" t="s">
        <v>463</v>
      </c>
      <c r="J207" t="s">
        <v>34</v>
      </c>
      <c r="K207" t="str">
        <f t="shared" si="6"/>
        <v>B</v>
      </c>
      <c r="L207" t="s">
        <v>37</v>
      </c>
      <c r="M207">
        <f t="shared" si="7"/>
        <v>1</v>
      </c>
    </row>
    <row r="208" ht="18" customHeight="1" spans="1:13">
      <c r="A208" t="s">
        <v>446</v>
      </c>
      <c r="B208" s="13" t="s">
        <v>447</v>
      </c>
      <c r="C208" t="s">
        <v>40</v>
      </c>
      <c r="D208" t="s">
        <v>27</v>
      </c>
      <c r="E208" t="s">
        <v>17</v>
      </c>
      <c r="F208" s="13" t="s">
        <v>464</v>
      </c>
      <c r="G208" t="s">
        <v>32</v>
      </c>
      <c r="H208" t="s">
        <v>20</v>
      </c>
      <c r="I208" t="s">
        <v>465</v>
      </c>
      <c r="J208" t="s">
        <v>34</v>
      </c>
      <c r="K208" t="str">
        <f t="shared" si="6"/>
        <v>B</v>
      </c>
      <c r="L208" t="s">
        <v>37</v>
      </c>
      <c r="M208">
        <f t="shared" si="7"/>
        <v>1</v>
      </c>
    </row>
    <row r="209" ht="18" customHeight="1" spans="1:13">
      <c r="A209" t="s">
        <v>446</v>
      </c>
      <c r="B209" s="13" t="s">
        <v>447</v>
      </c>
      <c r="C209" t="s">
        <v>15</v>
      </c>
      <c r="D209" t="s">
        <v>16</v>
      </c>
      <c r="E209" t="s">
        <v>47</v>
      </c>
      <c r="F209" s="13" t="s">
        <v>466</v>
      </c>
      <c r="G209" t="s">
        <v>32</v>
      </c>
      <c r="H209" t="s">
        <v>20</v>
      </c>
      <c r="I209" t="s">
        <v>467</v>
      </c>
      <c r="J209" t="s">
        <v>37</v>
      </c>
      <c r="K209" t="str">
        <f t="shared" si="6"/>
        <v>A</v>
      </c>
      <c r="L209" t="s">
        <v>34</v>
      </c>
      <c r="M209">
        <f t="shared" si="7"/>
        <v>1</v>
      </c>
    </row>
    <row r="210" ht="18" customHeight="1" spans="1:13">
      <c r="A210" t="s">
        <v>446</v>
      </c>
      <c r="B210" s="13" t="s">
        <v>447</v>
      </c>
      <c r="C210" t="s">
        <v>15</v>
      </c>
      <c r="D210" t="s">
        <v>24</v>
      </c>
      <c r="E210" t="s">
        <v>47</v>
      </c>
      <c r="F210" s="13" t="s">
        <v>468</v>
      </c>
      <c r="G210" t="s">
        <v>32</v>
      </c>
      <c r="H210" t="s">
        <v>20</v>
      </c>
      <c r="I210" t="s">
        <v>469</v>
      </c>
      <c r="J210" t="s">
        <v>37</v>
      </c>
      <c r="K210" t="str">
        <f t="shared" si="6"/>
        <v>A</v>
      </c>
      <c r="L210" t="s">
        <v>34</v>
      </c>
      <c r="M210">
        <f t="shared" si="7"/>
        <v>1</v>
      </c>
    </row>
    <row r="211" ht="18" customHeight="1" spans="1:13">
      <c r="A211" t="s">
        <v>446</v>
      </c>
      <c r="B211" s="13" t="s">
        <v>447</v>
      </c>
      <c r="C211" t="s">
        <v>15</v>
      </c>
      <c r="D211" t="s">
        <v>27</v>
      </c>
      <c r="E211" t="s">
        <v>47</v>
      </c>
      <c r="F211" s="13" t="s">
        <v>470</v>
      </c>
      <c r="G211" t="s">
        <v>32</v>
      </c>
      <c r="H211" t="s">
        <v>20</v>
      </c>
      <c r="I211" t="s">
        <v>471</v>
      </c>
      <c r="J211" t="s">
        <v>37</v>
      </c>
      <c r="K211" t="str">
        <f t="shared" si="6"/>
        <v>A</v>
      </c>
      <c r="L211" t="s">
        <v>34</v>
      </c>
      <c r="M211">
        <f t="shared" si="7"/>
        <v>1</v>
      </c>
    </row>
    <row r="212" ht="18" customHeight="1" spans="1:13">
      <c r="A212" t="s">
        <v>446</v>
      </c>
      <c r="B212" s="13" t="s">
        <v>447</v>
      </c>
      <c r="C212" t="s">
        <v>30</v>
      </c>
      <c r="D212" t="s">
        <v>16</v>
      </c>
      <c r="E212" t="s">
        <v>47</v>
      </c>
      <c r="F212" s="13" t="s">
        <v>472</v>
      </c>
      <c r="G212" t="s">
        <v>32</v>
      </c>
      <c r="H212" t="s">
        <v>20</v>
      </c>
      <c r="I212" t="s">
        <v>473</v>
      </c>
      <c r="J212" t="s">
        <v>37</v>
      </c>
      <c r="K212" t="str">
        <f t="shared" si="6"/>
        <v>A</v>
      </c>
      <c r="L212" t="s">
        <v>34</v>
      </c>
      <c r="M212">
        <f t="shared" si="7"/>
        <v>1</v>
      </c>
    </row>
    <row r="213" ht="18" customHeight="1" spans="1:13">
      <c r="A213" t="s">
        <v>446</v>
      </c>
      <c r="B213" s="13" t="s">
        <v>447</v>
      </c>
      <c r="C213" t="s">
        <v>30</v>
      </c>
      <c r="D213" t="s">
        <v>24</v>
      </c>
      <c r="E213" t="s">
        <v>47</v>
      </c>
      <c r="F213" s="13" t="s">
        <v>474</v>
      </c>
      <c r="G213" t="s">
        <v>32</v>
      </c>
      <c r="H213" t="s">
        <v>20</v>
      </c>
      <c r="I213" t="s">
        <v>475</v>
      </c>
      <c r="J213" t="s">
        <v>37</v>
      </c>
      <c r="K213" t="str">
        <f t="shared" si="6"/>
        <v>A</v>
      </c>
      <c r="L213" t="s">
        <v>34</v>
      </c>
      <c r="M213">
        <f t="shared" si="7"/>
        <v>1</v>
      </c>
    </row>
    <row r="214" ht="18" customHeight="1" spans="1:13">
      <c r="A214" t="s">
        <v>446</v>
      </c>
      <c r="B214" s="13" t="s">
        <v>447</v>
      </c>
      <c r="C214" t="s">
        <v>30</v>
      </c>
      <c r="D214" t="s">
        <v>27</v>
      </c>
      <c r="E214" t="s">
        <v>47</v>
      </c>
      <c r="F214" s="13" t="s">
        <v>476</v>
      </c>
      <c r="G214" t="s">
        <v>32</v>
      </c>
      <c r="H214" t="s">
        <v>20</v>
      </c>
      <c r="I214" t="s">
        <v>477</v>
      </c>
      <c r="J214" t="s">
        <v>37</v>
      </c>
      <c r="K214" t="str">
        <f t="shared" si="6"/>
        <v>A</v>
      </c>
      <c r="L214" t="s">
        <v>34</v>
      </c>
      <c r="M214">
        <f t="shared" si="7"/>
        <v>1</v>
      </c>
    </row>
    <row r="215" ht="18" customHeight="1" spans="1:13">
      <c r="A215" t="s">
        <v>446</v>
      </c>
      <c r="B215" s="13" t="s">
        <v>447</v>
      </c>
      <c r="C215" t="s">
        <v>40</v>
      </c>
      <c r="D215" t="s">
        <v>16</v>
      </c>
      <c r="E215" t="s">
        <v>47</v>
      </c>
      <c r="F215" s="13" t="s">
        <v>478</v>
      </c>
      <c r="G215" t="s">
        <v>32</v>
      </c>
      <c r="H215" t="s">
        <v>20</v>
      </c>
      <c r="I215" t="s">
        <v>479</v>
      </c>
      <c r="J215" t="s">
        <v>37</v>
      </c>
      <c r="K215" t="str">
        <f t="shared" si="6"/>
        <v>B</v>
      </c>
      <c r="L215" t="s">
        <v>37</v>
      </c>
      <c r="M215">
        <f t="shared" si="7"/>
        <v>1</v>
      </c>
    </row>
    <row r="216" ht="18" customHeight="1" spans="1:13">
      <c r="A216" t="s">
        <v>446</v>
      </c>
      <c r="B216" s="13" t="s">
        <v>447</v>
      </c>
      <c r="C216" t="s">
        <v>40</v>
      </c>
      <c r="D216" t="s">
        <v>24</v>
      </c>
      <c r="E216" t="s">
        <v>47</v>
      </c>
      <c r="F216" s="13" t="s">
        <v>480</v>
      </c>
      <c r="G216" t="s">
        <v>32</v>
      </c>
      <c r="H216" t="s">
        <v>20</v>
      </c>
      <c r="I216" t="s">
        <v>481</v>
      </c>
      <c r="J216" t="s">
        <v>37</v>
      </c>
      <c r="K216" t="str">
        <f t="shared" si="6"/>
        <v>B</v>
      </c>
      <c r="L216" t="s">
        <v>37</v>
      </c>
      <c r="M216">
        <f t="shared" si="7"/>
        <v>1</v>
      </c>
    </row>
    <row r="217" ht="18" customHeight="1" spans="1:13">
      <c r="A217" t="s">
        <v>446</v>
      </c>
      <c r="B217" s="13" t="s">
        <v>447</v>
      </c>
      <c r="C217" t="s">
        <v>40</v>
      </c>
      <c r="D217" t="s">
        <v>27</v>
      </c>
      <c r="E217" t="s">
        <v>47</v>
      </c>
      <c r="F217" s="13" t="s">
        <v>482</v>
      </c>
      <c r="G217" t="s">
        <v>32</v>
      </c>
      <c r="H217" t="s">
        <v>20</v>
      </c>
      <c r="I217" t="s">
        <v>483</v>
      </c>
      <c r="J217" t="s">
        <v>37</v>
      </c>
      <c r="K217" t="str">
        <f t="shared" si="6"/>
        <v>B</v>
      </c>
      <c r="L217" t="s">
        <v>37</v>
      </c>
      <c r="M217">
        <f t="shared" si="7"/>
        <v>1</v>
      </c>
    </row>
  </sheetData>
  <conditionalFormatting sqref="M2:M217">
    <cfRule type="cellIs" dxfId="0" priority="1" operator="equal">
      <formula>1</formula>
    </cfRule>
    <cfRule type="cellIs" dxfId="1" priority="2"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217">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484</v>
      </c>
      <c r="C1" s="5" t="s">
        <v>485</v>
      </c>
      <c r="D1" s="5" t="s">
        <v>486</v>
      </c>
      <c r="E1" s="5" t="s">
        <v>487</v>
      </c>
      <c r="F1" s="5" t="s">
        <v>488</v>
      </c>
      <c r="G1" s="5" t="s">
        <v>489</v>
      </c>
      <c r="H1" s="5" t="s">
        <v>490</v>
      </c>
      <c r="I1" s="5" t="s">
        <v>491</v>
      </c>
      <c r="J1" s="5" t="s">
        <v>492</v>
      </c>
      <c r="K1" s="5" t="s">
        <v>493</v>
      </c>
      <c r="L1" s="5" t="s">
        <v>10</v>
      </c>
      <c r="M1" s="5" t="s">
        <v>494</v>
      </c>
      <c r="N1" s="5" t="s">
        <v>495</v>
      </c>
      <c r="O1" s="5" t="s">
        <v>496</v>
      </c>
      <c r="P1" s="5" t="s">
        <v>497</v>
      </c>
    </row>
    <row r="2" ht="23" customHeight="1" spans="1:16">
      <c r="A2" s="6" t="s">
        <v>446</v>
      </c>
      <c r="B2" s="2" t="s">
        <v>15</v>
      </c>
      <c r="C2" s="2" t="s">
        <v>17</v>
      </c>
      <c r="D2" s="2">
        <v>1</v>
      </c>
      <c r="E2" s="6" t="s">
        <v>498</v>
      </c>
      <c r="F2" s="2" t="str">
        <f t="shared" ref="F2:F65" si="0">IF(C2="l2r",LEFT(B2,1),RIGHT(B2,1))</f>
        <v>A</v>
      </c>
      <c r="G2" s="2">
        <v>5</v>
      </c>
      <c r="H2" s="2" t="str">
        <f t="shared" ref="H2:H65" si="1">IF(C2="l2r",RIGHT(B2,1),LEFT(B2,1))</f>
        <v>B</v>
      </c>
      <c r="I2" s="2">
        <v>5</v>
      </c>
      <c r="J2" s="2">
        <f t="shared" ref="J2:J65" si="2">G2-I2</f>
        <v>0</v>
      </c>
      <c r="K2" s="2" t="str">
        <f t="shared" ref="K2:K65" si="3">IF(J2=0,"C",IF(J2&gt;0,"A","B"))</f>
        <v>C</v>
      </c>
      <c r="L2" s="2" t="str">
        <f t="shared" ref="L2:L65" si="4">IF(J2=0,"D(平局)",IF(J2&gt;0,F2,H2))</f>
        <v>D(平局)</v>
      </c>
      <c r="M2" s="2" t="s">
        <v>34</v>
      </c>
      <c r="N2" s="2">
        <f t="shared" ref="N2:N65" si="5">--(L2=M2)</f>
        <v>0</v>
      </c>
      <c r="O2" s="2" t="s">
        <v>34</v>
      </c>
      <c r="P2" s="2">
        <v>202</v>
      </c>
    </row>
    <row r="3" ht="23" customHeight="1" spans="1:16">
      <c r="A3" s="6" t="s">
        <v>446</v>
      </c>
      <c r="B3" s="2" t="s">
        <v>15</v>
      </c>
      <c r="C3" s="2" t="s">
        <v>47</v>
      </c>
      <c r="D3" s="2">
        <v>1</v>
      </c>
      <c r="E3" s="6" t="s">
        <v>498</v>
      </c>
      <c r="F3" s="2" t="str">
        <f t="shared" si="0"/>
        <v>B</v>
      </c>
      <c r="G3" s="2">
        <v>4</v>
      </c>
      <c r="H3" s="2" t="str">
        <f t="shared" si="1"/>
        <v>A</v>
      </c>
      <c r="I3" s="2">
        <v>5</v>
      </c>
      <c r="J3" s="2">
        <f t="shared" si="2"/>
        <v>-1</v>
      </c>
      <c r="K3" s="2" t="str">
        <f t="shared" si="3"/>
        <v>B</v>
      </c>
      <c r="L3" s="2" t="str">
        <f t="shared" si="4"/>
        <v>A</v>
      </c>
      <c r="M3" s="2" t="s">
        <v>34</v>
      </c>
      <c r="N3" s="2">
        <f t="shared" si="5"/>
        <v>1</v>
      </c>
      <c r="O3" s="2" t="s">
        <v>37</v>
      </c>
      <c r="P3" s="2">
        <v>211</v>
      </c>
    </row>
    <row r="4" ht="23" customHeight="1" spans="1:16">
      <c r="A4" s="6" t="s">
        <v>446</v>
      </c>
      <c r="B4" s="2" t="s">
        <v>15</v>
      </c>
      <c r="C4" s="2" t="s">
        <v>17</v>
      </c>
      <c r="D4" s="2">
        <v>2</v>
      </c>
      <c r="E4" s="6" t="s">
        <v>499</v>
      </c>
      <c r="F4" s="2" t="str">
        <f t="shared" si="0"/>
        <v>A</v>
      </c>
      <c r="G4" s="2">
        <v>4</v>
      </c>
      <c r="H4" s="2" t="str">
        <f t="shared" si="1"/>
        <v>B</v>
      </c>
      <c r="I4" s="2">
        <v>3</v>
      </c>
      <c r="J4" s="2">
        <f t="shared" si="2"/>
        <v>1</v>
      </c>
      <c r="K4" s="2" t="str">
        <f t="shared" si="3"/>
        <v>A</v>
      </c>
      <c r="L4" s="2" t="str">
        <f t="shared" si="4"/>
        <v>A</v>
      </c>
      <c r="M4" s="2" t="s">
        <v>34</v>
      </c>
      <c r="N4" s="2">
        <f t="shared" si="5"/>
        <v>1</v>
      </c>
      <c r="O4" s="2" t="s">
        <v>34</v>
      </c>
      <c r="P4" s="2">
        <v>202</v>
      </c>
    </row>
    <row r="5" ht="23" customHeight="1" spans="1:16">
      <c r="A5" s="6" t="s">
        <v>446</v>
      </c>
      <c r="B5" s="2" t="s">
        <v>15</v>
      </c>
      <c r="C5" s="2" t="s">
        <v>47</v>
      </c>
      <c r="D5" s="2">
        <v>2</v>
      </c>
      <c r="E5" s="6" t="s">
        <v>499</v>
      </c>
      <c r="F5" s="2" t="str">
        <f t="shared" si="0"/>
        <v>B</v>
      </c>
      <c r="G5" s="2">
        <v>4</v>
      </c>
      <c r="H5" s="2" t="str">
        <f t="shared" si="1"/>
        <v>A</v>
      </c>
      <c r="I5" s="2">
        <v>5</v>
      </c>
      <c r="J5" s="2">
        <f t="shared" si="2"/>
        <v>-1</v>
      </c>
      <c r="K5" s="2" t="str">
        <f t="shared" si="3"/>
        <v>B</v>
      </c>
      <c r="L5" s="2" t="str">
        <f t="shared" si="4"/>
        <v>A</v>
      </c>
      <c r="M5" s="2" t="s">
        <v>34</v>
      </c>
      <c r="N5" s="2">
        <f t="shared" si="5"/>
        <v>1</v>
      </c>
      <c r="O5" s="2" t="s">
        <v>37</v>
      </c>
      <c r="P5" s="2">
        <v>211</v>
      </c>
    </row>
    <row r="6" ht="23" customHeight="1" spans="1:16">
      <c r="A6" s="6" t="s">
        <v>446</v>
      </c>
      <c r="B6" s="2" t="s">
        <v>15</v>
      </c>
      <c r="C6" s="2" t="s">
        <v>17</v>
      </c>
      <c r="D6" s="2">
        <v>3</v>
      </c>
      <c r="E6" s="6" t="s">
        <v>500</v>
      </c>
      <c r="F6" s="2" t="str">
        <f t="shared" si="0"/>
        <v>A</v>
      </c>
      <c r="G6" s="2">
        <v>4</v>
      </c>
      <c r="H6" s="2" t="str">
        <f t="shared" si="1"/>
        <v>B</v>
      </c>
      <c r="I6" s="2">
        <v>3</v>
      </c>
      <c r="J6" s="2">
        <f t="shared" si="2"/>
        <v>1</v>
      </c>
      <c r="K6" s="2" t="str">
        <f t="shared" si="3"/>
        <v>A</v>
      </c>
      <c r="L6" s="2" t="str">
        <f t="shared" si="4"/>
        <v>A</v>
      </c>
      <c r="M6" s="2" t="s">
        <v>34</v>
      </c>
      <c r="N6" s="2">
        <f t="shared" si="5"/>
        <v>1</v>
      </c>
      <c r="O6" s="2" t="s">
        <v>34</v>
      </c>
      <c r="P6" s="2">
        <v>202</v>
      </c>
    </row>
    <row r="7" ht="23" customHeight="1" spans="1:16">
      <c r="A7" s="6" t="s">
        <v>446</v>
      </c>
      <c r="B7" s="2" t="s">
        <v>15</v>
      </c>
      <c r="C7" s="2" t="s">
        <v>47</v>
      </c>
      <c r="D7" s="2">
        <v>3</v>
      </c>
      <c r="E7" s="6" t="s">
        <v>500</v>
      </c>
      <c r="F7" s="2" t="str">
        <f t="shared" si="0"/>
        <v>B</v>
      </c>
      <c r="G7" s="2">
        <v>3</v>
      </c>
      <c r="H7" s="2" t="str">
        <f t="shared" si="1"/>
        <v>A</v>
      </c>
      <c r="I7" s="2">
        <v>5</v>
      </c>
      <c r="J7" s="2">
        <f t="shared" si="2"/>
        <v>-2</v>
      </c>
      <c r="K7" s="2" t="str">
        <f t="shared" si="3"/>
        <v>B</v>
      </c>
      <c r="L7" s="2" t="str">
        <f t="shared" si="4"/>
        <v>A</v>
      </c>
      <c r="M7" s="2" t="s">
        <v>34</v>
      </c>
      <c r="N7" s="2">
        <f t="shared" si="5"/>
        <v>1</v>
      </c>
      <c r="O7" s="2" t="s">
        <v>37</v>
      </c>
      <c r="P7" s="2">
        <v>211</v>
      </c>
    </row>
    <row r="8" ht="23" customHeight="1" spans="1:16">
      <c r="A8" s="6" t="s">
        <v>446</v>
      </c>
      <c r="B8" s="2" t="s">
        <v>15</v>
      </c>
      <c r="C8" s="2" t="s">
        <v>17</v>
      </c>
      <c r="D8" s="2">
        <v>4</v>
      </c>
      <c r="E8" s="6" t="s">
        <v>501</v>
      </c>
      <c r="F8" s="2" t="str">
        <f t="shared" si="0"/>
        <v>A</v>
      </c>
      <c r="G8" s="2">
        <v>5</v>
      </c>
      <c r="H8" s="2" t="str">
        <f t="shared" si="1"/>
        <v>B</v>
      </c>
      <c r="I8" s="2">
        <v>4</v>
      </c>
      <c r="J8" s="2">
        <f t="shared" si="2"/>
        <v>1</v>
      </c>
      <c r="K8" s="2" t="str">
        <f t="shared" si="3"/>
        <v>A</v>
      </c>
      <c r="L8" s="2" t="str">
        <f t="shared" si="4"/>
        <v>A</v>
      </c>
      <c r="M8" s="2" t="s">
        <v>34</v>
      </c>
      <c r="N8" s="2">
        <f t="shared" si="5"/>
        <v>1</v>
      </c>
      <c r="O8" s="2" t="s">
        <v>34</v>
      </c>
      <c r="P8" s="2">
        <v>202</v>
      </c>
    </row>
    <row r="9" ht="23" customHeight="1" spans="1:16">
      <c r="A9" s="6" t="s">
        <v>446</v>
      </c>
      <c r="B9" s="2" t="s">
        <v>15</v>
      </c>
      <c r="C9" s="2" t="s">
        <v>47</v>
      </c>
      <c r="D9" s="2">
        <v>4</v>
      </c>
      <c r="E9" s="6" t="s">
        <v>501</v>
      </c>
      <c r="F9" s="2" t="str">
        <f t="shared" si="0"/>
        <v>B</v>
      </c>
      <c r="G9" s="2">
        <v>4</v>
      </c>
      <c r="H9" s="2" t="str">
        <f t="shared" si="1"/>
        <v>A</v>
      </c>
      <c r="I9" s="2">
        <v>5</v>
      </c>
      <c r="J9" s="2">
        <f t="shared" si="2"/>
        <v>-1</v>
      </c>
      <c r="K9" s="2" t="str">
        <f t="shared" si="3"/>
        <v>B</v>
      </c>
      <c r="L9" s="2" t="str">
        <f t="shared" si="4"/>
        <v>A</v>
      </c>
      <c r="M9" s="2" t="s">
        <v>34</v>
      </c>
      <c r="N9" s="2">
        <f t="shared" si="5"/>
        <v>1</v>
      </c>
      <c r="O9" s="2" t="s">
        <v>37</v>
      </c>
      <c r="P9" s="2">
        <v>211</v>
      </c>
    </row>
    <row r="10" ht="23" customHeight="1" spans="1:16">
      <c r="A10" s="6" t="s">
        <v>446</v>
      </c>
      <c r="B10" s="2" t="s">
        <v>15</v>
      </c>
      <c r="C10" s="2" t="s">
        <v>17</v>
      </c>
      <c r="D10" s="2">
        <v>5</v>
      </c>
      <c r="E10" s="6" t="s">
        <v>502</v>
      </c>
      <c r="F10" s="2" t="str">
        <f t="shared" si="0"/>
        <v>A</v>
      </c>
      <c r="G10" s="2">
        <v>5</v>
      </c>
      <c r="H10" s="2" t="str">
        <f t="shared" si="1"/>
        <v>B</v>
      </c>
      <c r="I10" s="2">
        <v>5</v>
      </c>
      <c r="J10" s="2">
        <f t="shared" si="2"/>
        <v>0</v>
      </c>
      <c r="K10" s="2" t="str">
        <f t="shared" si="3"/>
        <v>C</v>
      </c>
      <c r="L10" s="2" t="str">
        <f t="shared" si="4"/>
        <v>D(平局)</v>
      </c>
      <c r="M10" s="2" t="s">
        <v>34</v>
      </c>
      <c r="N10" s="2">
        <f t="shared" si="5"/>
        <v>0</v>
      </c>
      <c r="O10" s="2" t="s">
        <v>34</v>
      </c>
      <c r="P10" s="2">
        <v>202</v>
      </c>
    </row>
    <row r="11" ht="23" customHeight="1" spans="1:16">
      <c r="A11" s="6" t="s">
        <v>446</v>
      </c>
      <c r="B11" s="2" t="s">
        <v>15</v>
      </c>
      <c r="C11" s="2" t="s">
        <v>47</v>
      </c>
      <c r="D11" s="2">
        <v>5</v>
      </c>
      <c r="E11" s="6" t="s">
        <v>502</v>
      </c>
      <c r="F11" s="2" t="str">
        <f t="shared" si="0"/>
        <v>B</v>
      </c>
      <c r="G11" s="2">
        <v>5</v>
      </c>
      <c r="H11" s="2" t="str">
        <f t="shared" si="1"/>
        <v>A</v>
      </c>
      <c r="I11" s="2">
        <v>5</v>
      </c>
      <c r="J11" s="2">
        <f t="shared" si="2"/>
        <v>0</v>
      </c>
      <c r="K11" s="2" t="str">
        <f t="shared" si="3"/>
        <v>C</v>
      </c>
      <c r="L11" s="2" t="str">
        <f t="shared" si="4"/>
        <v>D(平局)</v>
      </c>
      <c r="M11" s="2" t="s">
        <v>34</v>
      </c>
      <c r="N11" s="2">
        <f t="shared" si="5"/>
        <v>0</v>
      </c>
      <c r="O11" s="2" t="s">
        <v>37</v>
      </c>
      <c r="P11" s="2">
        <v>211</v>
      </c>
    </row>
    <row r="12" ht="23" customHeight="1" spans="1:16">
      <c r="A12" s="6" t="s">
        <v>446</v>
      </c>
      <c r="B12" s="2" t="s">
        <v>30</v>
      </c>
      <c r="C12" s="2" t="s">
        <v>17</v>
      </c>
      <c r="D12" s="2">
        <v>1</v>
      </c>
      <c r="E12" s="6" t="s">
        <v>498</v>
      </c>
      <c r="F12" s="2" t="str">
        <f t="shared" si="0"/>
        <v>A</v>
      </c>
      <c r="G12" s="2">
        <v>5</v>
      </c>
      <c r="H12" s="2" t="str">
        <f t="shared" si="1"/>
        <v>C</v>
      </c>
      <c r="I12" s="2">
        <v>3</v>
      </c>
      <c r="J12" s="2">
        <f t="shared" si="2"/>
        <v>2</v>
      </c>
      <c r="K12" s="2" t="str">
        <f t="shared" si="3"/>
        <v>A</v>
      </c>
      <c r="L12" s="2" t="str">
        <f t="shared" si="4"/>
        <v>A</v>
      </c>
      <c r="M12" s="2" t="s">
        <v>34</v>
      </c>
      <c r="N12" s="2">
        <f t="shared" si="5"/>
        <v>1</v>
      </c>
      <c r="O12" s="2" t="s">
        <v>34</v>
      </c>
      <c r="P12" s="2">
        <v>205</v>
      </c>
    </row>
    <row r="13" ht="23" customHeight="1" spans="1:16">
      <c r="A13" s="6" t="s">
        <v>446</v>
      </c>
      <c r="B13" s="2" t="s">
        <v>30</v>
      </c>
      <c r="C13" s="2" t="s">
        <v>47</v>
      </c>
      <c r="D13" s="2">
        <v>1</v>
      </c>
      <c r="E13" s="6" t="s">
        <v>498</v>
      </c>
      <c r="F13" s="2" t="str">
        <f t="shared" si="0"/>
        <v>C</v>
      </c>
      <c r="G13" s="2">
        <v>3</v>
      </c>
      <c r="H13" s="2" t="str">
        <f t="shared" si="1"/>
        <v>A</v>
      </c>
      <c r="I13" s="2">
        <v>5</v>
      </c>
      <c r="J13" s="2">
        <f t="shared" si="2"/>
        <v>-2</v>
      </c>
      <c r="K13" s="2" t="str">
        <f t="shared" si="3"/>
        <v>B</v>
      </c>
      <c r="L13" s="2" t="str">
        <f t="shared" si="4"/>
        <v>A</v>
      </c>
      <c r="M13" s="2" t="s">
        <v>34</v>
      </c>
      <c r="N13" s="2">
        <f t="shared" si="5"/>
        <v>1</v>
      </c>
      <c r="O13" s="2" t="s">
        <v>37</v>
      </c>
      <c r="P13" s="2">
        <v>214</v>
      </c>
    </row>
    <row r="14" ht="23" customHeight="1" spans="1:16">
      <c r="A14" s="6" t="s">
        <v>446</v>
      </c>
      <c r="B14" s="2" t="s">
        <v>30</v>
      </c>
      <c r="C14" s="2" t="s">
        <v>17</v>
      </c>
      <c r="D14" s="2">
        <v>2</v>
      </c>
      <c r="E14" s="6" t="s">
        <v>499</v>
      </c>
      <c r="F14" s="2" t="str">
        <f t="shared" si="0"/>
        <v>A</v>
      </c>
      <c r="G14" s="2">
        <v>4</v>
      </c>
      <c r="H14" s="2" t="str">
        <f t="shared" si="1"/>
        <v>C</v>
      </c>
      <c r="I14" s="2">
        <v>2</v>
      </c>
      <c r="J14" s="2">
        <f t="shared" si="2"/>
        <v>2</v>
      </c>
      <c r="K14" s="2" t="str">
        <f t="shared" si="3"/>
        <v>A</v>
      </c>
      <c r="L14" s="2" t="str">
        <f t="shared" si="4"/>
        <v>A</v>
      </c>
      <c r="M14" s="2" t="s">
        <v>34</v>
      </c>
      <c r="N14" s="2">
        <f t="shared" si="5"/>
        <v>1</v>
      </c>
      <c r="O14" s="2" t="s">
        <v>34</v>
      </c>
      <c r="P14" s="2">
        <v>205</v>
      </c>
    </row>
    <row r="15" ht="23" customHeight="1" spans="1:16">
      <c r="A15" s="6" t="s">
        <v>446</v>
      </c>
      <c r="B15" s="2" t="s">
        <v>30</v>
      </c>
      <c r="C15" s="2" t="s">
        <v>47</v>
      </c>
      <c r="D15" s="2">
        <v>2</v>
      </c>
      <c r="E15" s="6" t="s">
        <v>499</v>
      </c>
      <c r="F15" s="2" t="str">
        <f t="shared" si="0"/>
        <v>C</v>
      </c>
      <c r="G15" s="2">
        <v>3</v>
      </c>
      <c r="H15" s="2" t="str">
        <f t="shared" si="1"/>
        <v>A</v>
      </c>
      <c r="I15" s="2">
        <v>5</v>
      </c>
      <c r="J15" s="2">
        <f t="shared" si="2"/>
        <v>-2</v>
      </c>
      <c r="K15" s="2" t="str">
        <f t="shared" si="3"/>
        <v>B</v>
      </c>
      <c r="L15" s="2" t="str">
        <f t="shared" si="4"/>
        <v>A</v>
      </c>
      <c r="M15" s="2" t="s">
        <v>34</v>
      </c>
      <c r="N15" s="2">
        <f t="shared" si="5"/>
        <v>1</v>
      </c>
      <c r="O15" s="2" t="s">
        <v>37</v>
      </c>
      <c r="P15" s="2">
        <v>214</v>
      </c>
    </row>
    <row r="16" ht="23" customHeight="1" spans="1:16">
      <c r="A16" s="6" t="s">
        <v>446</v>
      </c>
      <c r="B16" s="2" t="s">
        <v>30</v>
      </c>
      <c r="C16" s="2" t="s">
        <v>17</v>
      </c>
      <c r="D16" s="2">
        <v>3</v>
      </c>
      <c r="E16" s="6" t="s">
        <v>500</v>
      </c>
      <c r="F16" s="2" t="str">
        <f t="shared" si="0"/>
        <v>A</v>
      </c>
      <c r="G16" s="2">
        <v>5</v>
      </c>
      <c r="H16" s="2" t="str">
        <f t="shared" si="1"/>
        <v>C</v>
      </c>
      <c r="I16" s="2">
        <v>2</v>
      </c>
      <c r="J16" s="2">
        <f t="shared" si="2"/>
        <v>3</v>
      </c>
      <c r="K16" s="2" t="str">
        <f t="shared" si="3"/>
        <v>A</v>
      </c>
      <c r="L16" s="2" t="str">
        <f t="shared" si="4"/>
        <v>A</v>
      </c>
      <c r="M16" s="2" t="s">
        <v>34</v>
      </c>
      <c r="N16" s="2">
        <f t="shared" si="5"/>
        <v>1</v>
      </c>
      <c r="O16" s="2" t="s">
        <v>34</v>
      </c>
      <c r="P16" s="2">
        <v>205</v>
      </c>
    </row>
    <row r="17" ht="23" customHeight="1" spans="1:16">
      <c r="A17" s="6" t="s">
        <v>446</v>
      </c>
      <c r="B17" s="2" t="s">
        <v>30</v>
      </c>
      <c r="C17" s="2" t="s">
        <v>47</v>
      </c>
      <c r="D17" s="2">
        <v>3</v>
      </c>
      <c r="E17" s="6" t="s">
        <v>500</v>
      </c>
      <c r="F17" s="2" t="str">
        <f t="shared" si="0"/>
        <v>C</v>
      </c>
      <c r="G17" s="2">
        <v>3</v>
      </c>
      <c r="H17" s="2" t="str">
        <f t="shared" si="1"/>
        <v>A</v>
      </c>
      <c r="I17" s="2">
        <v>4</v>
      </c>
      <c r="J17" s="2">
        <f t="shared" si="2"/>
        <v>-1</v>
      </c>
      <c r="K17" s="2" t="str">
        <f t="shared" si="3"/>
        <v>B</v>
      </c>
      <c r="L17" s="2" t="str">
        <f t="shared" si="4"/>
        <v>A</v>
      </c>
      <c r="M17" s="2" t="s">
        <v>34</v>
      </c>
      <c r="N17" s="2">
        <f t="shared" si="5"/>
        <v>1</v>
      </c>
      <c r="O17" s="2" t="s">
        <v>37</v>
      </c>
      <c r="P17" s="2">
        <v>214</v>
      </c>
    </row>
    <row r="18" ht="23" customHeight="1" spans="1:16">
      <c r="A18" s="6" t="s">
        <v>446</v>
      </c>
      <c r="B18" s="2" t="s">
        <v>30</v>
      </c>
      <c r="C18" s="2" t="s">
        <v>17</v>
      </c>
      <c r="D18" s="2">
        <v>4</v>
      </c>
      <c r="E18" s="6" t="s">
        <v>501</v>
      </c>
      <c r="F18" s="2" t="str">
        <f t="shared" si="0"/>
        <v>A</v>
      </c>
      <c r="G18" s="2">
        <v>5</v>
      </c>
      <c r="H18" s="2" t="str">
        <f t="shared" si="1"/>
        <v>C</v>
      </c>
      <c r="I18" s="2">
        <v>4</v>
      </c>
      <c r="J18" s="2">
        <f t="shared" si="2"/>
        <v>1</v>
      </c>
      <c r="K18" s="2" t="str">
        <f t="shared" si="3"/>
        <v>A</v>
      </c>
      <c r="L18" s="2" t="str">
        <f t="shared" si="4"/>
        <v>A</v>
      </c>
      <c r="M18" s="2" t="s">
        <v>34</v>
      </c>
      <c r="N18" s="2">
        <f t="shared" si="5"/>
        <v>1</v>
      </c>
      <c r="O18" s="2" t="s">
        <v>34</v>
      </c>
      <c r="P18" s="2">
        <v>205</v>
      </c>
    </row>
    <row r="19" ht="23" customHeight="1" spans="1:16">
      <c r="A19" s="6" t="s">
        <v>446</v>
      </c>
      <c r="B19" s="2" t="s">
        <v>30</v>
      </c>
      <c r="C19" s="2" t="s">
        <v>47</v>
      </c>
      <c r="D19" s="2">
        <v>4</v>
      </c>
      <c r="E19" s="6" t="s">
        <v>501</v>
      </c>
      <c r="F19" s="2" t="str">
        <f t="shared" si="0"/>
        <v>C</v>
      </c>
      <c r="G19" s="2">
        <v>3</v>
      </c>
      <c r="H19" s="2" t="str">
        <f t="shared" si="1"/>
        <v>A</v>
      </c>
      <c r="I19" s="2">
        <v>5</v>
      </c>
      <c r="J19" s="2">
        <f t="shared" si="2"/>
        <v>-2</v>
      </c>
      <c r="K19" s="2" t="str">
        <f t="shared" si="3"/>
        <v>B</v>
      </c>
      <c r="L19" s="2" t="str">
        <f t="shared" si="4"/>
        <v>A</v>
      </c>
      <c r="M19" s="2" t="s">
        <v>34</v>
      </c>
      <c r="N19" s="2">
        <f t="shared" si="5"/>
        <v>1</v>
      </c>
      <c r="O19" s="2" t="s">
        <v>37</v>
      </c>
      <c r="P19" s="2">
        <v>214</v>
      </c>
    </row>
    <row r="20" ht="23" customHeight="1" spans="1:16">
      <c r="A20" s="6" t="s">
        <v>446</v>
      </c>
      <c r="B20" s="2" t="s">
        <v>30</v>
      </c>
      <c r="C20" s="2" t="s">
        <v>17</v>
      </c>
      <c r="D20" s="2">
        <v>5</v>
      </c>
      <c r="E20" s="6" t="s">
        <v>502</v>
      </c>
      <c r="F20" s="2" t="str">
        <f t="shared" si="0"/>
        <v>A</v>
      </c>
      <c r="G20" s="2">
        <v>5</v>
      </c>
      <c r="H20" s="2" t="str">
        <f t="shared" si="1"/>
        <v>C</v>
      </c>
      <c r="I20" s="2">
        <v>5</v>
      </c>
      <c r="J20" s="2">
        <f t="shared" si="2"/>
        <v>0</v>
      </c>
      <c r="K20" s="2" t="str">
        <f t="shared" si="3"/>
        <v>C</v>
      </c>
      <c r="L20" s="2" t="str">
        <f t="shared" si="4"/>
        <v>D(平局)</v>
      </c>
      <c r="M20" s="2" t="s">
        <v>34</v>
      </c>
      <c r="N20" s="2">
        <f t="shared" si="5"/>
        <v>0</v>
      </c>
      <c r="O20" s="2" t="s">
        <v>34</v>
      </c>
      <c r="P20" s="2">
        <v>205</v>
      </c>
    </row>
    <row r="21" ht="23" customHeight="1" spans="1:16">
      <c r="A21" s="6" t="s">
        <v>446</v>
      </c>
      <c r="B21" s="2" t="s">
        <v>30</v>
      </c>
      <c r="C21" s="2" t="s">
        <v>47</v>
      </c>
      <c r="D21" s="2">
        <v>5</v>
      </c>
      <c r="E21" s="6" t="s">
        <v>502</v>
      </c>
      <c r="F21" s="2" t="str">
        <f t="shared" si="0"/>
        <v>C</v>
      </c>
      <c r="G21" s="2">
        <v>5</v>
      </c>
      <c r="H21" s="2" t="str">
        <f t="shared" si="1"/>
        <v>A</v>
      </c>
      <c r="I21" s="2">
        <v>5</v>
      </c>
      <c r="J21" s="2">
        <f t="shared" si="2"/>
        <v>0</v>
      </c>
      <c r="K21" s="2" t="str">
        <f t="shared" si="3"/>
        <v>C</v>
      </c>
      <c r="L21" s="2" t="str">
        <f t="shared" si="4"/>
        <v>D(平局)</v>
      </c>
      <c r="M21" s="2" t="s">
        <v>34</v>
      </c>
      <c r="N21" s="2">
        <f t="shared" si="5"/>
        <v>0</v>
      </c>
      <c r="O21" s="2" t="s">
        <v>37</v>
      </c>
      <c r="P21" s="2">
        <v>214</v>
      </c>
    </row>
    <row r="22" ht="23" customHeight="1" spans="1:16">
      <c r="A22" s="6" t="s">
        <v>446</v>
      </c>
      <c r="B22" s="2" t="s">
        <v>40</v>
      </c>
      <c r="C22" s="2" t="s">
        <v>17</v>
      </c>
      <c r="D22" s="2">
        <v>1</v>
      </c>
      <c r="E22" s="6" t="s">
        <v>498</v>
      </c>
      <c r="F22" s="2" t="str">
        <f t="shared" si="0"/>
        <v>B</v>
      </c>
      <c r="G22" s="2">
        <v>4</v>
      </c>
      <c r="H22" s="2" t="str">
        <f t="shared" si="1"/>
        <v>C</v>
      </c>
      <c r="I22" s="2">
        <v>3</v>
      </c>
      <c r="J22" s="2">
        <f t="shared" si="2"/>
        <v>1</v>
      </c>
      <c r="K22" s="2" t="str">
        <f t="shared" si="3"/>
        <v>A</v>
      </c>
      <c r="L22" s="2" t="str">
        <f t="shared" si="4"/>
        <v>B</v>
      </c>
      <c r="M22" s="2" t="s">
        <v>37</v>
      </c>
      <c r="N22" s="2">
        <f t="shared" si="5"/>
        <v>1</v>
      </c>
      <c r="O22" s="2" t="s">
        <v>34</v>
      </c>
      <c r="P22" s="2">
        <v>208</v>
      </c>
    </row>
    <row r="23" ht="23" customHeight="1" spans="1:16">
      <c r="A23" s="6" t="s">
        <v>446</v>
      </c>
      <c r="B23" s="2" t="s">
        <v>40</v>
      </c>
      <c r="C23" s="2" t="s">
        <v>47</v>
      </c>
      <c r="D23" s="2">
        <v>1</v>
      </c>
      <c r="E23" s="6" t="s">
        <v>498</v>
      </c>
      <c r="F23" s="2" t="str">
        <f t="shared" si="0"/>
        <v>C</v>
      </c>
      <c r="G23" s="2">
        <v>4</v>
      </c>
      <c r="H23" s="2" t="str">
        <f t="shared" si="1"/>
        <v>B</v>
      </c>
      <c r="I23" s="2">
        <v>5</v>
      </c>
      <c r="J23" s="2">
        <f t="shared" si="2"/>
        <v>-1</v>
      </c>
      <c r="K23" s="2" t="str">
        <f t="shared" si="3"/>
        <v>B</v>
      </c>
      <c r="L23" s="2" t="str">
        <f t="shared" si="4"/>
        <v>B</v>
      </c>
      <c r="M23" s="2" t="s">
        <v>37</v>
      </c>
      <c r="N23" s="2">
        <f t="shared" si="5"/>
        <v>1</v>
      </c>
      <c r="O23" s="2" t="s">
        <v>37</v>
      </c>
      <c r="P23" s="2">
        <v>217</v>
      </c>
    </row>
    <row r="24" ht="23" customHeight="1" spans="1:16">
      <c r="A24" s="6" t="s">
        <v>446</v>
      </c>
      <c r="B24" s="2" t="s">
        <v>40</v>
      </c>
      <c r="C24" s="2" t="s">
        <v>17</v>
      </c>
      <c r="D24" s="2">
        <v>2</v>
      </c>
      <c r="E24" s="6" t="s">
        <v>499</v>
      </c>
      <c r="F24" s="2" t="str">
        <f t="shared" si="0"/>
        <v>B</v>
      </c>
      <c r="G24" s="2">
        <v>4</v>
      </c>
      <c r="H24" s="2" t="str">
        <f t="shared" si="1"/>
        <v>C</v>
      </c>
      <c r="I24" s="2">
        <v>2</v>
      </c>
      <c r="J24" s="2">
        <f t="shared" si="2"/>
        <v>2</v>
      </c>
      <c r="K24" s="2" t="str">
        <f t="shared" si="3"/>
        <v>A</v>
      </c>
      <c r="L24" s="2" t="str">
        <f t="shared" si="4"/>
        <v>B</v>
      </c>
      <c r="M24" s="2" t="s">
        <v>37</v>
      </c>
      <c r="N24" s="2">
        <f t="shared" si="5"/>
        <v>1</v>
      </c>
      <c r="O24" s="2" t="s">
        <v>34</v>
      </c>
      <c r="P24" s="2">
        <v>208</v>
      </c>
    </row>
    <row r="25" ht="23" customHeight="1" spans="1:16">
      <c r="A25" s="6" t="s">
        <v>446</v>
      </c>
      <c r="B25" s="2" t="s">
        <v>40</v>
      </c>
      <c r="C25" s="2" t="s">
        <v>47</v>
      </c>
      <c r="D25" s="2">
        <v>2</v>
      </c>
      <c r="E25" s="6" t="s">
        <v>499</v>
      </c>
      <c r="F25" s="2" t="str">
        <f t="shared" si="0"/>
        <v>C</v>
      </c>
      <c r="G25" s="2">
        <v>3</v>
      </c>
      <c r="H25" s="2" t="str">
        <f t="shared" si="1"/>
        <v>B</v>
      </c>
      <c r="I25" s="2">
        <v>5</v>
      </c>
      <c r="J25" s="2">
        <f t="shared" si="2"/>
        <v>-2</v>
      </c>
      <c r="K25" s="2" t="str">
        <f t="shared" si="3"/>
        <v>B</v>
      </c>
      <c r="L25" s="2" t="str">
        <f t="shared" si="4"/>
        <v>B</v>
      </c>
      <c r="M25" s="2" t="s">
        <v>37</v>
      </c>
      <c r="N25" s="2">
        <f t="shared" si="5"/>
        <v>1</v>
      </c>
      <c r="O25" s="2" t="s">
        <v>37</v>
      </c>
      <c r="P25" s="2">
        <v>217</v>
      </c>
    </row>
    <row r="26" ht="23" customHeight="1" spans="1:16">
      <c r="A26" s="6" t="s">
        <v>446</v>
      </c>
      <c r="B26" s="2" t="s">
        <v>40</v>
      </c>
      <c r="C26" s="2" t="s">
        <v>17</v>
      </c>
      <c r="D26" s="2">
        <v>3</v>
      </c>
      <c r="E26" s="6" t="s">
        <v>500</v>
      </c>
      <c r="F26" s="2" t="str">
        <f t="shared" si="0"/>
        <v>B</v>
      </c>
      <c r="G26" s="2">
        <v>4</v>
      </c>
      <c r="H26" s="2" t="str">
        <f t="shared" si="1"/>
        <v>C</v>
      </c>
      <c r="I26" s="2">
        <v>3</v>
      </c>
      <c r="J26" s="2">
        <f t="shared" si="2"/>
        <v>1</v>
      </c>
      <c r="K26" s="2" t="str">
        <f t="shared" si="3"/>
        <v>A</v>
      </c>
      <c r="L26" s="2" t="str">
        <f t="shared" si="4"/>
        <v>B</v>
      </c>
      <c r="M26" s="2" t="s">
        <v>37</v>
      </c>
      <c r="N26" s="2">
        <f t="shared" si="5"/>
        <v>1</v>
      </c>
      <c r="O26" s="2" t="s">
        <v>34</v>
      </c>
      <c r="P26" s="2">
        <v>208</v>
      </c>
    </row>
    <row r="27" ht="23" customHeight="1" spans="1:16">
      <c r="A27" s="6" t="s">
        <v>446</v>
      </c>
      <c r="B27" s="2" t="s">
        <v>40</v>
      </c>
      <c r="C27" s="2" t="s">
        <v>47</v>
      </c>
      <c r="D27" s="2">
        <v>3</v>
      </c>
      <c r="E27" s="6" t="s">
        <v>500</v>
      </c>
      <c r="F27" s="2" t="str">
        <f t="shared" si="0"/>
        <v>C</v>
      </c>
      <c r="G27" s="2">
        <v>3</v>
      </c>
      <c r="H27" s="2" t="str">
        <f t="shared" si="1"/>
        <v>B</v>
      </c>
      <c r="I27" s="2">
        <v>4</v>
      </c>
      <c r="J27" s="2">
        <f t="shared" si="2"/>
        <v>-1</v>
      </c>
      <c r="K27" s="2" t="str">
        <f t="shared" si="3"/>
        <v>B</v>
      </c>
      <c r="L27" s="2" t="str">
        <f t="shared" si="4"/>
        <v>B</v>
      </c>
      <c r="M27" s="2" t="s">
        <v>37</v>
      </c>
      <c r="N27" s="2">
        <f t="shared" si="5"/>
        <v>1</v>
      </c>
      <c r="O27" s="2" t="s">
        <v>37</v>
      </c>
      <c r="P27" s="2">
        <v>217</v>
      </c>
    </row>
    <row r="28" ht="23" customHeight="1" spans="1:16">
      <c r="A28" s="6" t="s">
        <v>446</v>
      </c>
      <c r="B28" s="2" t="s">
        <v>40</v>
      </c>
      <c r="C28" s="2" t="s">
        <v>17</v>
      </c>
      <c r="D28" s="2">
        <v>4</v>
      </c>
      <c r="E28" s="6" t="s">
        <v>501</v>
      </c>
      <c r="F28" s="2" t="str">
        <f t="shared" si="0"/>
        <v>B</v>
      </c>
      <c r="G28" s="2">
        <v>4</v>
      </c>
      <c r="H28" s="2" t="str">
        <f t="shared" si="1"/>
        <v>C</v>
      </c>
      <c r="I28" s="2">
        <v>3</v>
      </c>
      <c r="J28" s="2">
        <f t="shared" si="2"/>
        <v>1</v>
      </c>
      <c r="K28" s="2" t="str">
        <f t="shared" si="3"/>
        <v>A</v>
      </c>
      <c r="L28" s="2" t="str">
        <f t="shared" si="4"/>
        <v>B</v>
      </c>
      <c r="M28" s="2" t="s">
        <v>37</v>
      </c>
      <c r="N28" s="2">
        <f t="shared" si="5"/>
        <v>1</v>
      </c>
      <c r="O28" s="2" t="s">
        <v>34</v>
      </c>
      <c r="P28" s="2">
        <v>208</v>
      </c>
    </row>
    <row r="29" ht="23" customHeight="1" spans="1:16">
      <c r="A29" s="6" t="s">
        <v>446</v>
      </c>
      <c r="B29" s="2" t="s">
        <v>40</v>
      </c>
      <c r="C29" s="2" t="s">
        <v>47</v>
      </c>
      <c r="D29" s="2">
        <v>4</v>
      </c>
      <c r="E29" s="6" t="s">
        <v>501</v>
      </c>
      <c r="F29" s="2" t="str">
        <f t="shared" si="0"/>
        <v>C</v>
      </c>
      <c r="G29" s="2">
        <v>4</v>
      </c>
      <c r="H29" s="2" t="str">
        <f t="shared" si="1"/>
        <v>B</v>
      </c>
      <c r="I29" s="2">
        <v>5</v>
      </c>
      <c r="J29" s="2">
        <f t="shared" si="2"/>
        <v>-1</v>
      </c>
      <c r="K29" s="2" t="str">
        <f t="shared" si="3"/>
        <v>B</v>
      </c>
      <c r="L29" s="2" t="str">
        <f t="shared" si="4"/>
        <v>B</v>
      </c>
      <c r="M29" s="2" t="s">
        <v>37</v>
      </c>
      <c r="N29" s="2">
        <f t="shared" si="5"/>
        <v>1</v>
      </c>
      <c r="O29" s="2" t="s">
        <v>37</v>
      </c>
      <c r="P29" s="2">
        <v>217</v>
      </c>
    </row>
    <row r="30" ht="23" customHeight="1" spans="1:16">
      <c r="A30" s="6" t="s">
        <v>446</v>
      </c>
      <c r="B30" s="2" t="s">
        <v>40</v>
      </c>
      <c r="C30" s="2" t="s">
        <v>17</v>
      </c>
      <c r="D30" s="2">
        <v>5</v>
      </c>
      <c r="E30" s="6" t="s">
        <v>502</v>
      </c>
      <c r="F30" s="2" t="str">
        <f t="shared" si="0"/>
        <v>B</v>
      </c>
      <c r="G30" s="2">
        <v>5</v>
      </c>
      <c r="H30" s="2" t="str">
        <f t="shared" si="1"/>
        <v>C</v>
      </c>
      <c r="I30" s="2">
        <v>5</v>
      </c>
      <c r="J30" s="2">
        <f t="shared" si="2"/>
        <v>0</v>
      </c>
      <c r="K30" s="2" t="str">
        <f t="shared" si="3"/>
        <v>C</v>
      </c>
      <c r="L30" s="2" t="str">
        <f t="shared" si="4"/>
        <v>D(平局)</v>
      </c>
      <c r="M30" s="2" t="s">
        <v>37</v>
      </c>
      <c r="N30" s="2">
        <f t="shared" si="5"/>
        <v>0</v>
      </c>
      <c r="O30" s="2" t="s">
        <v>34</v>
      </c>
      <c r="P30" s="2">
        <v>208</v>
      </c>
    </row>
    <row r="31" ht="23" customHeight="1" spans="1:16">
      <c r="A31" s="6" t="s">
        <v>446</v>
      </c>
      <c r="B31" s="2" t="s">
        <v>40</v>
      </c>
      <c r="C31" s="2" t="s">
        <v>47</v>
      </c>
      <c r="D31" s="2">
        <v>5</v>
      </c>
      <c r="E31" s="6" t="s">
        <v>502</v>
      </c>
      <c r="F31" s="2" t="str">
        <f t="shared" si="0"/>
        <v>C</v>
      </c>
      <c r="G31" s="2">
        <v>5</v>
      </c>
      <c r="H31" s="2" t="str">
        <f t="shared" si="1"/>
        <v>B</v>
      </c>
      <c r="I31" s="2">
        <v>5</v>
      </c>
      <c r="J31" s="2">
        <f t="shared" si="2"/>
        <v>0</v>
      </c>
      <c r="K31" s="2" t="str">
        <f t="shared" si="3"/>
        <v>C</v>
      </c>
      <c r="L31" s="2" t="str">
        <f t="shared" si="4"/>
        <v>D(平局)</v>
      </c>
      <c r="M31" s="2" t="s">
        <v>37</v>
      </c>
      <c r="N31" s="2">
        <f t="shared" si="5"/>
        <v>0</v>
      </c>
      <c r="O31" s="2" t="s">
        <v>37</v>
      </c>
      <c r="P31" s="2">
        <v>217</v>
      </c>
    </row>
    <row r="32" ht="23" customHeight="1" spans="1:16">
      <c r="A32" s="6" t="s">
        <v>408</v>
      </c>
      <c r="B32" s="2" t="s">
        <v>15</v>
      </c>
      <c r="C32" s="2" t="s">
        <v>17</v>
      </c>
      <c r="D32" s="2">
        <v>1</v>
      </c>
      <c r="E32" s="6" t="s">
        <v>498</v>
      </c>
      <c r="F32" s="2" t="str">
        <f t="shared" si="0"/>
        <v>A</v>
      </c>
      <c r="G32" s="2">
        <v>5</v>
      </c>
      <c r="H32" s="2" t="str">
        <f t="shared" si="1"/>
        <v>B</v>
      </c>
      <c r="I32" s="2">
        <v>4</v>
      </c>
      <c r="J32" s="2">
        <f t="shared" si="2"/>
        <v>1</v>
      </c>
      <c r="K32" s="2" t="str">
        <f t="shared" si="3"/>
        <v>A</v>
      </c>
      <c r="L32" s="2" t="str">
        <f t="shared" si="4"/>
        <v>A</v>
      </c>
      <c r="M32" s="2" t="s">
        <v>34</v>
      </c>
      <c r="N32" s="2">
        <f t="shared" si="5"/>
        <v>1</v>
      </c>
      <c r="O32" s="2" t="s">
        <v>34</v>
      </c>
      <c r="P32" s="2">
        <v>184</v>
      </c>
    </row>
    <row r="33" ht="23" customHeight="1" spans="1:16">
      <c r="A33" s="6" t="s">
        <v>408</v>
      </c>
      <c r="B33" s="2" t="s">
        <v>15</v>
      </c>
      <c r="C33" s="2" t="s">
        <v>47</v>
      </c>
      <c r="D33" s="2">
        <v>1</v>
      </c>
      <c r="E33" s="6" t="s">
        <v>498</v>
      </c>
      <c r="F33" s="2" t="str">
        <f t="shared" si="0"/>
        <v>B</v>
      </c>
      <c r="G33" s="2">
        <v>4</v>
      </c>
      <c r="H33" s="2" t="str">
        <f t="shared" si="1"/>
        <v>A</v>
      </c>
      <c r="I33" s="2">
        <v>5</v>
      </c>
      <c r="J33" s="2">
        <f t="shared" si="2"/>
        <v>-1</v>
      </c>
      <c r="K33" s="2" t="str">
        <f t="shared" si="3"/>
        <v>B</v>
      </c>
      <c r="L33" s="2" t="str">
        <f t="shared" si="4"/>
        <v>A</v>
      </c>
      <c r="M33" s="2" t="s">
        <v>34</v>
      </c>
      <c r="N33" s="2">
        <f t="shared" si="5"/>
        <v>1</v>
      </c>
      <c r="O33" s="2" t="s">
        <v>37</v>
      </c>
      <c r="P33" s="2">
        <v>193</v>
      </c>
    </row>
    <row r="34" ht="23" customHeight="1" spans="1:16">
      <c r="A34" s="6" t="s">
        <v>408</v>
      </c>
      <c r="B34" s="2" t="s">
        <v>15</v>
      </c>
      <c r="C34" s="2" t="s">
        <v>17</v>
      </c>
      <c r="D34" s="2">
        <v>2</v>
      </c>
      <c r="E34" s="6" t="s">
        <v>499</v>
      </c>
      <c r="F34" s="2" t="str">
        <f t="shared" si="0"/>
        <v>A</v>
      </c>
      <c r="G34" s="2">
        <v>4</v>
      </c>
      <c r="H34" s="2" t="str">
        <f t="shared" si="1"/>
        <v>B</v>
      </c>
      <c r="I34" s="2">
        <v>3</v>
      </c>
      <c r="J34" s="2">
        <f t="shared" si="2"/>
        <v>1</v>
      </c>
      <c r="K34" s="2" t="str">
        <f t="shared" si="3"/>
        <v>A</v>
      </c>
      <c r="L34" s="2" t="str">
        <f t="shared" si="4"/>
        <v>A</v>
      </c>
      <c r="M34" s="2" t="s">
        <v>34</v>
      </c>
      <c r="N34" s="2">
        <f t="shared" si="5"/>
        <v>1</v>
      </c>
      <c r="O34" s="2" t="s">
        <v>34</v>
      </c>
      <c r="P34" s="2">
        <v>184</v>
      </c>
    </row>
    <row r="35" ht="23" customHeight="1" spans="1:16">
      <c r="A35" s="6" t="s">
        <v>408</v>
      </c>
      <c r="B35" s="2" t="s">
        <v>15</v>
      </c>
      <c r="C35" s="2" t="s">
        <v>47</v>
      </c>
      <c r="D35" s="2">
        <v>2</v>
      </c>
      <c r="E35" s="6" t="s">
        <v>499</v>
      </c>
      <c r="F35" s="2" t="str">
        <f t="shared" si="0"/>
        <v>B</v>
      </c>
      <c r="G35" s="2">
        <v>4</v>
      </c>
      <c r="H35" s="2" t="str">
        <f t="shared" si="1"/>
        <v>A</v>
      </c>
      <c r="I35" s="2">
        <v>5</v>
      </c>
      <c r="J35" s="2">
        <f t="shared" si="2"/>
        <v>-1</v>
      </c>
      <c r="K35" s="2" t="str">
        <f t="shared" si="3"/>
        <v>B</v>
      </c>
      <c r="L35" s="2" t="str">
        <f t="shared" si="4"/>
        <v>A</v>
      </c>
      <c r="M35" s="2" t="s">
        <v>34</v>
      </c>
      <c r="N35" s="2">
        <f t="shared" si="5"/>
        <v>1</v>
      </c>
      <c r="O35" s="2" t="s">
        <v>37</v>
      </c>
      <c r="P35" s="2">
        <v>193</v>
      </c>
    </row>
    <row r="36" ht="23" customHeight="1" spans="1:16">
      <c r="A36" s="6" t="s">
        <v>408</v>
      </c>
      <c r="B36" s="2" t="s">
        <v>15</v>
      </c>
      <c r="C36" s="2" t="s">
        <v>17</v>
      </c>
      <c r="D36" s="2">
        <v>3</v>
      </c>
      <c r="E36" s="6" t="s">
        <v>500</v>
      </c>
      <c r="F36" s="2" t="str">
        <f t="shared" si="0"/>
        <v>A</v>
      </c>
      <c r="G36" s="2">
        <v>5</v>
      </c>
      <c r="H36" s="2" t="str">
        <f t="shared" si="1"/>
        <v>B</v>
      </c>
      <c r="I36" s="2">
        <v>3</v>
      </c>
      <c r="J36" s="2">
        <f t="shared" si="2"/>
        <v>2</v>
      </c>
      <c r="K36" s="2" t="str">
        <f t="shared" si="3"/>
        <v>A</v>
      </c>
      <c r="L36" s="2" t="str">
        <f t="shared" si="4"/>
        <v>A</v>
      </c>
      <c r="M36" s="2" t="s">
        <v>34</v>
      </c>
      <c r="N36" s="2">
        <f t="shared" si="5"/>
        <v>1</v>
      </c>
      <c r="O36" s="2" t="s">
        <v>34</v>
      </c>
      <c r="P36" s="2">
        <v>184</v>
      </c>
    </row>
    <row r="37" ht="23" customHeight="1" spans="1:16">
      <c r="A37" s="6" t="s">
        <v>408</v>
      </c>
      <c r="B37" s="2" t="s">
        <v>15</v>
      </c>
      <c r="C37" s="2" t="s">
        <v>47</v>
      </c>
      <c r="D37" s="2">
        <v>3</v>
      </c>
      <c r="E37" s="6" t="s">
        <v>500</v>
      </c>
      <c r="F37" s="2" t="str">
        <f t="shared" si="0"/>
        <v>B</v>
      </c>
      <c r="G37" s="2">
        <v>4</v>
      </c>
      <c r="H37" s="2" t="str">
        <f t="shared" si="1"/>
        <v>A</v>
      </c>
      <c r="I37" s="2">
        <v>5</v>
      </c>
      <c r="J37" s="2">
        <f t="shared" si="2"/>
        <v>-1</v>
      </c>
      <c r="K37" s="2" t="str">
        <f t="shared" si="3"/>
        <v>B</v>
      </c>
      <c r="L37" s="2" t="str">
        <f t="shared" si="4"/>
        <v>A</v>
      </c>
      <c r="M37" s="2" t="s">
        <v>34</v>
      </c>
      <c r="N37" s="2">
        <f t="shared" si="5"/>
        <v>1</v>
      </c>
      <c r="O37" s="2" t="s">
        <v>37</v>
      </c>
      <c r="P37" s="2">
        <v>193</v>
      </c>
    </row>
    <row r="38" ht="23" customHeight="1" spans="1:16">
      <c r="A38" s="6" t="s">
        <v>408</v>
      </c>
      <c r="B38" s="2" t="s">
        <v>15</v>
      </c>
      <c r="C38" s="2" t="s">
        <v>17</v>
      </c>
      <c r="D38" s="2">
        <v>4</v>
      </c>
      <c r="E38" s="6" t="s">
        <v>501</v>
      </c>
      <c r="F38" s="2" t="str">
        <f t="shared" si="0"/>
        <v>A</v>
      </c>
      <c r="G38" s="2">
        <v>5</v>
      </c>
      <c r="H38" s="2" t="str">
        <f t="shared" si="1"/>
        <v>B</v>
      </c>
      <c r="I38" s="2">
        <v>3</v>
      </c>
      <c r="J38" s="2">
        <f t="shared" si="2"/>
        <v>2</v>
      </c>
      <c r="K38" s="2" t="str">
        <f t="shared" si="3"/>
        <v>A</v>
      </c>
      <c r="L38" s="2" t="str">
        <f t="shared" si="4"/>
        <v>A</v>
      </c>
      <c r="M38" s="2" t="s">
        <v>34</v>
      </c>
      <c r="N38" s="2">
        <f t="shared" si="5"/>
        <v>1</v>
      </c>
      <c r="O38" s="2" t="s">
        <v>34</v>
      </c>
      <c r="P38" s="2">
        <v>184</v>
      </c>
    </row>
    <row r="39" ht="23" customHeight="1" spans="1:16">
      <c r="A39" s="6" t="s">
        <v>408</v>
      </c>
      <c r="B39" s="2" t="s">
        <v>15</v>
      </c>
      <c r="C39" s="2" t="s">
        <v>47</v>
      </c>
      <c r="D39" s="2">
        <v>4</v>
      </c>
      <c r="E39" s="6" t="s">
        <v>501</v>
      </c>
      <c r="F39" s="2" t="str">
        <f t="shared" si="0"/>
        <v>B</v>
      </c>
      <c r="G39" s="2">
        <v>4</v>
      </c>
      <c r="H39" s="2" t="str">
        <f t="shared" si="1"/>
        <v>A</v>
      </c>
      <c r="I39" s="2">
        <v>5</v>
      </c>
      <c r="J39" s="2">
        <f t="shared" si="2"/>
        <v>-1</v>
      </c>
      <c r="K39" s="2" t="str">
        <f t="shared" si="3"/>
        <v>B</v>
      </c>
      <c r="L39" s="2" t="str">
        <f t="shared" si="4"/>
        <v>A</v>
      </c>
      <c r="M39" s="2" t="s">
        <v>34</v>
      </c>
      <c r="N39" s="2">
        <f t="shared" si="5"/>
        <v>1</v>
      </c>
      <c r="O39" s="2" t="s">
        <v>37</v>
      </c>
      <c r="P39" s="2">
        <v>193</v>
      </c>
    </row>
    <row r="40" ht="23" customHeight="1" spans="1:16">
      <c r="A40" s="6" t="s">
        <v>408</v>
      </c>
      <c r="B40" s="2" t="s">
        <v>15</v>
      </c>
      <c r="C40" s="2" t="s">
        <v>17</v>
      </c>
      <c r="D40" s="2">
        <v>5</v>
      </c>
      <c r="E40" s="6" t="s">
        <v>502</v>
      </c>
      <c r="F40" s="2" t="str">
        <f t="shared" si="0"/>
        <v>A</v>
      </c>
      <c r="G40" s="2">
        <v>5</v>
      </c>
      <c r="H40" s="2" t="str">
        <f t="shared" si="1"/>
        <v>B</v>
      </c>
      <c r="I40" s="2">
        <v>5</v>
      </c>
      <c r="J40" s="2">
        <f t="shared" si="2"/>
        <v>0</v>
      </c>
      <c r="K40" s="2" t="str">
        <f t="shared" si="3"/>
        <v>C</v>
      </c>
      <c r="L40" s="2" t="str">
        <f t="shared" si="4"/>
        <v>D(平局)</v>
      </c>
      <c r="M40" s="2" t="s">
        <v>34</v>
      </c>
      <c r="N40" s="2">
        <f t="shared" si="5"/>
        <v>0</v>
      </c>
      <c r="O40" s="2" t="s">
        <v>34</v>
      </c>
      <c r="P40" s="2">
        <v>184</v>
      </c>
    </row>
    <row r="41" ht="23" customHeight="1" spans="1:16">
      <c r="A41" s="6" t="s">
        <v>408</v>
      </c>
      <c r="B41" s="2" t="s">
        <v>15</v>
      </c>
      <c r="C41" s="2" t="s">
        <v>47</v>
      </c>
      <c r="D41" s="2">
        <v>5</v>
      </c>
      <c r="E41" s="6" t="s">
        <v>502</v>
      </c>
      <c r="F41" s="2" t="str">
        <f t="shared" si="0"/>
        <v>B</v>
      </c>
      <c r="G41" s="2">
        <v>5</v>
      </c>
      <c r="H41" s="2" t="str">
        <f t="shared" si="1"/>
        <v>A</v>
      </c>
      <c r="I41" s="2">
        <v>5</v>
      </c>
      <c r="J41" s="2">
        <f t="shared" si="2"/>
        <v>0</v>
      </c>
      <c r="K41" s="2" t="str">
        <f t="shared" si="3"/>
        <v>C</v>
      </c>
      <c r="L41" s="2" t="str">
        <f t="shared" si="4"/>
        <v>D(平局)</v>
      </c>
      <c r="M41" s="2" t="s">
        <v>34</v>
      </c>
      <c r="N41" s="2">
        <f t="shared" si="5"/>
        <v>0</v>
      </c>
      <c r="O41" s="2" t="s">
        <v>37</v>
      </c>
      <c r="P41" s="2">
        <v>193</v>
      </c>
    </row>
    <row r="42" ht="23" customHeight="1" spans="1:16">
      <c r="A42" s="6" t="s">
        <v>408</v>
      </c>
      <c r="B42" s="2" t="s">
        <v>30</v>
      </c>
      <c r="C42" s="2" t="s">
        <v>17</v>
      </c>
      <c r="D42" s="2">
        <v>1</v>
      </c>
      <c r="E42" s="6" t="s">
        <v>498</v>
      </c>
      <c r="F42" s="2" t="str">
        <f t="shared" si="0"/>
        <v>A</v>
      </c>
      <c r="G42" s="2">
        <v>5</v>
      </c>
      <c r="H42" s="2" t="str">
        <f t="shared" si="1"/>
        <v>C</v>
      </c>
      <c r="I42" s="2">
        <v>2</v>
      </c>
      <c r="J42" s="2">
        <f t="shared" si="2"/>
        <v>3</v>
      </c>
      <c r="K42" s="2" t="str">
        <f t="shared" si="3"/>
        <v>A</v>
      </c>
      <c r="L42" s="2" t="str">
        <f t="shared" si="4"/>
        <v>A</v>
      </c>
      <c r="M42" s="2" t="s">
        <v>34</v>
      </c>
      <c r="N42" s="2">
        <f t="shared" si="5"/>
        <v>1</v>
      </c>
      <c r="O42" s="2" t="s">
        <v>34</v>
      </c>
      <c r="P42" s="2">
        <v>187</v>
      </c>
    </row>
    <row r="43" ht="23" customHeight="1" spans="1:16">
      <c r="A43" s="6" t="s">
        <v>408</v>
      </c>
      <c r="B43" s="2" t="s">
        <v>30</v>
      </c>
      <c r="C43" s="2" t="s">
        <v>47</v>
      </c>
      <c r="D43" s="2">
        <v>1</v>
      </c>
      <c r="E43" s="6" t="s">
        <v>498</v>
      </c>
      <c r="F43" s="2" t="str">
        <f t="shared" si="0"/>
        <v>C</v>
      </c>
      <c r="G43" s="2">
        <v>2</v>
      </c>
      <c r="H43" s="2" t="str">
        <f t="shared" si="1"/>
        <v>A</v>
      </c>
      <c r="I43" s="2">
        <v>5</v>
      </c>
      <c r="J43" s="2">
        <f t="shared" si="2"/>
        <v>-3</v>
      </c>
      <c r="K43" s="2" t="str">
        <f t="shared" si="3"/>
        <v>B</v>
      </c>
      <c r="L43" s="2" t="str">
        <f t="shared" si="4"/>
        <v>A</v>
      </c>
      <c r="M43" s="2" t="s">
        <v>34</v>
      </c>
      <c r="N43" s="2">
        <f t="shared" si="5"/>
        <v>1</v>
      </c>
      <c r="O43" s="2" t="s">
        <v>37</v>
      </c>
      <c r="P43" s="2">
        <v>196</v>
      </c>
    </row>
    <row r="44" ht="23" customHeight="1" spans="1:16">
      <c r="A44" s="6" t="s">
        <v>408</v>
      </c>
      <c r="B44" s="2" t="s">
        <v>30</v>
      </c>
      <c r="C44" s="2" t="s">
        <v>17</v>
      </c>
      <c r="D44" s="2">
        <v>2</v>
      </c>
      <c r="E44" s="6" t="s">
        <v>499</v>
      </c>
      <c r="F44" s="2" t="str">
        <f t="shared" si="0"/>
        <v>A</v>
      </c>
      <c r="G44" s="2">
        <v>4</v>
      </c>
      <c r="H44" s="2" t="str">
        <f t="shared" si="1"/>
        <v>C</v>
      </c>
      <c r="I44" s="2">
        <v>2</v>
      </c>
      <c r="J44" s="2">
        <f t="shared" si="2"/>
        <v>2</v>
      </c>
      <c r="K44" s="2" t="str">
        <f t="shared" si="3"/>
        <v>A</v>
      </c>
      <c r="L44" s="2" t="str">
        <f t="shared" si="4"/>
        <v>A</v>
      </c>
      <c r="M44" s="2" t="s">
        <v>34</v>
      </c>
      <c r="N44" s="2">
        <f t="shared" si="5"/>
        <v>1</v>
      </c>
      <c r="O44" s="2" t="s">
        <v>34</v>
      </c>
      <c r="P44" s="2">
        <v>187</v>
      </c>
    </row>
    <row r="45" ht="23" customHeight="1" spans="1:16">
      <c r="A45" s="6" t="s">
        <v>408</v>
      </c>
      <c r="B45" s="2" t="s">
        <v>30</v>
      </c>
      <c r="C45" s="2" t="s">
        <v>47</v>
      </c>
      <c r="D45" s="2">
        <v>2</v>
      </c>
      <c r="E45" s="6" t="s">
        <v>499</v>
      </c>
      <c r="F45" s="2" t="str">
        <f t="shared" si="0"/>
        <v>C</v>
      </c>
      <c r="G45" s="2">
        <v>2</v>
      </c>
      <c r="H45" s="2" t="str">
        <f t="shared" si="1"/>
        <v>A</v>
      </c>
      <c r="I45" s="2">
        <v>4</v>
      </c>
      <c r="J45" s="2">
        <f t="shared" si="2"/>
        <v>-2</v>
      </c>
      <c r="K45" s="2" t="str">
        <f t="shared" si="3"/>
        <v>B</v>
      </c>
      <c r="L45" s="2" t="str">
        <f t="shared" si="4"/>
        <v>A</v>
      </c>
      <c r="M45" s="2" t="s">
        <v>34</v>
      </c>
      <c r="N45" s="2">
        <f t="shared" si="5"/>
        <v>1</v>
      </c>
      <c r="O45" s="2" t="s">
        <v>37</v>
      </c>
      <c r="P45" s="2">
        <v>196</v>
      </c>
    </row>
    <row r="46" ht="23" customHeight="1" spans="1:16">
      <c r="A46" s="6" t="s">
        <v>408</v>
      </c>
      <c r="B46" s="2" t="s">
        <v>30</v>
      </c>
      <c r="C46" s="2" t="s">
        <v>17</v>
      </c>
      <c r="D46" s="2">
        <v>3</v>
      </c>
      <c r="E46" s="6" t="s">
        <v>500</v>
      </c>
      <c r="F46" s="2" t="str">
        <f t="shared" si="0"/>
        <v>A</v>
      </c>
      <c r="G46" s="2">
        <v>4</v>
      </c>
      <c r="H46" s="2" t="str">
        <f t="shared" si="1"/>
        <v>C</v>
      </c>
      <c r="I46" s="2">
        <v>2</v>
      </c>
      <c r="J46" s="2">
        <f t="shared" si="2"/>
        <v>2</v>
      </c>
      <c r="K46" s="2" t="str">
        <f t="shared" si="3"/>
        <v>A</v>
      </c>
      <c r="L46" s="2" t="str">
        <f t="shared" si="4"/>
        <v>A</v>
      </c>
      <c r="M46" s="2" t="s">
        <v>34</v>
      </c>
      <c r="N46" s="2">
        <f t="shared" si="5"/>
        <v>1</v>
      </c>
      <c r="O46" s="2" t="s">
        <v>34</v>
      </c>
      <c r="P46" s="2">
        <v>187</v>
      </c>
    </row>
    <row r="47" ht="23" customHeight="1" spans="1:16">
      <c r="A47" s="6" t="s">
        <v>408</v>
      </c>
      <c r="B47" s="2" t="s">
        <v>30</v>
      </c>
      <c r="C47" s="2" t="s">
        <v>47</v>
      </c>
      <c r="D47" s="2">
        <v>3</v>
      </c>
      <c r="E47" s="6" t="s">
        <v>500</v>
      </c>
      <c r="F47" s="2" t="str">
        <f t="shared" si="0"/>
        <v>C</v>
      </c>
      <c r="G47" s="2">
        <v>2</v>
      </c>
      <c r="H47" s="2" t="str">
        <f t="shared" si="1"/>
        <v>A</v>
      </c>
      <c r="I47" s="2">
        <v>4</v>
      </c>
      <c r="J47" s="2">
        <f t="shared" si="2"/>
        <v>-2</v>
      </c>
      <c r="K47" s="2" t="str">
        <f t="shared" si="3"/>
        <v>B</v>
      </c>
      <c r="L47" s="2" t="str">
        <f t="shared" si="4"/>
        <v>A</v>
      </c>
      <c r="M47" s="2" t="s">
        <v>34</v>
      </c>
      <c r="N47" s="2">
        <f t="shared" si="5"/>
        <v>1</v>
      </c>
      <c r="O47" s="2" t="s">
        <v>37</v>
      </c>
      <c r="P47" s="2">
        <v>196</v>
      </c>
    </row>
    <row r="48" ht="23" customHeight="1" spans="1:16">
      <c r="A48" s="6" t="s">
        <v>408</v>
      </c>
      <c r="B48" s="2" t="s">
        <v>30</v>
      </c>
      <c r="C48" s="2" t="s">
        <v>17</v>
      </c>
      <c r="D48" s="2">
        <v>4</v>
      </c>
      <c r="E48" s="6" t="s">
        <v>501</v>
      </c>
      <c r="F48" s="2" t="str">
        <f t="shared" si="0"/>
        <v>A</v>
      </c>
      <c r="G48" s="2">
        <v>4</v>
      </c>
      <c r="H48" s="2" t="str">
        <f t="shared" si="1"/>
        <v>C</v>
      </c>
      <c r="I48" s="2">
        <v>2</v>
      </c>
      <c r="J48" s="2">
        <f t="shared" si="2"/>
        <v>2</v>
      </c>
      <c r="K48" s="2" t="str">
        <f t="shared" si="3"/>
        <v>A</v>
      </c>
      <c r="L48" s="2" t="str">
        <f t="shared" si="4"/>
        <v>A</v>
      </c>
      <c r="M48" s="2" t="s">
        <v>34</v>
      </c>
      <c r="N48" s="2">
        <f t="shared" si="5"/>
        <v>1</v>
      </c>
      <c r="O48" s="2" t="s">
        <v>34</v>
      </c>
      <c r="P48" s="2">
        <v>187</v>
      </c>
    </row>
    <row r="49" ht="23" customHeight="1" spans="1:16">
      <c r="A49" s="6" t="s">
        <v>408</v>
      </c>
      <c r="B49" s="2" t="s">
        <v>30</v>
      </c>
      <c r="C49" s="2" t="s">
        <v>47</v>
      </c>
      <c r="D49" s="2">
        <v>4</v>
      </c>
      <c r="E49" s="6" t="s">
        <v>501</v>
      </c>
      <c r="F49" s="2" t="str">
        <f t="shared" si="0"/>
        <v>C</v>
      </c>
      <c r="G49" s="2">
        <v>3</v>
      </c>
      <c r="H49" s="2" t="str">
        <f t="shared" si="1"/>
        <v>A</v>
      </c>
      <c r="I49" s="2">
        <v>5</v>
      </c>
      <c r="J49" s="2">
        <f t="shared" si="2"/>
        <v>-2</v>
      </c>
      <c r="K49" s="2" t="str">
        <f t="shared" si="3"/>
        <v>B</v>
      </c>
      <c r="L49" s="2" t="str">
        <f t="shared" si="4"/>
        <v>A</v>
      </c>
      <c r="M49" s="2" t="s">
        <v>34</v>
      </c>
      <c r="N49" s="2">
        <f t="shared" si="5"/>
        <v>1</v>
      </c>
      <c r="O49" s="2" t="s">
        <v>37</v>
      </c>
      <c r="P49" s="2">
        <v>196</v>
      </c>
    </row>
    <row r="50" ht="23" customHeight="1" spans="1:16">
      <c r="A50" s="6" t="s">
        <v>408</v>
      </c>
      <c r="B50" s="2" t="s">
        <v>30</v>
      </c>
      <c r="C50" s="2" t="s">
        <v>17</v>
      </c>
      <c r="D50" s="2">
        <v>5</v>
      </c>
      <c r="E50" s="6" t="s">
        <v>502</v>
      </c>
      <c r="F50" s="2" t="str">
        <f t="shared" si="0"/>
        <v>A</v>
      </c>
      <c r="G50" s="2">
        <v>5</v>
      </c>
      <c r="H50" s="2" t="str">
        <f t="shared" si="1"/>
        <v>C</v>
      </c>
      <c r="I50" s="2">
        <v>4</v>
      </c>
      <c r="J50" s="2">
        <f t="shared" si="2"/>
        <v>1</v>
      </c>
      <c r="K50" s="2" t="str">
        <f t="shared" si="3"/>
        <v>A</v>
      </c>
      <c r="L50" s="2" t="str">
        <f t="shared" si="4"/>
        <v>A</v>
      </c>
      <c r="M50" s="2" t="s">
        <v>34</v>
      </c>
      <c r="N50" s="2">
        <f t="shared" si="5"/>
        <v>1</v>
      </c>
      <c r="O50" s="2" t="s">
        <v>34</v>
      </c>
      <c r="P50" s="2">
        <v>187</v>
      </c>
    </row>
    <row r="51" ht="23" customHeight="1" spans="1:16">
      <c r="A51" s="6" t="s">
        <v>408</v>
      </c>
      <c r="B51" s="2" t="s">
        <v>30</v>
      </c>
      <c r="C51" s="2" t="s">
        <v>47</v>
      </c>
      <c r="D51" s="2">
        <v>5</v>
      </c>
      <c r="E51" s="6" t="s">
        <v>502</v>
      </c>
      <c r="F51" s="2" t="str">
        <f t="shared" si="0"/>
        <v>C</v>
      </c>
      <c r="G51" s="2">
        <v>5</v>
      </c>
      <c r="H51" s="2" t="str">
        <f t="shared" si="1"/>
        <v>A</v>
      </c>
      <c r="I51" s="2">
        <v>5</v>
      </c>
      <c r="J51" s="2">
        <f t="shared" si="2"/>
        <v>0</v>
      </c>
      <c r="K51" s="2" t="str">
        <f t="shared" si="3"/>
        <v>C</v>
      </c>
      <c r="L51" s="2" t="str">
        <f t="shared" si="4"/>
        <v>D(平局)</v>
      </c>
      <c r="M51" s="2" t="s">
        <v>34</v>
      </c>
      <c r="N51" s="2">
        <f t="shared" si="5"/>
        <v>0</v>
      </c>
      <c r="O51" s="2" t="s">
        <v>37</v>
      </c>
      <c r="P51" s="2">
        <v>196</v>
      </c>
    </row>
    <row r="52" ht="23" customHeight="1" spans="1:16">
      <c r="A52" s="6" t="s">
        <v>408</v>
      </c>
      <c r="B52" s="2" t="s">
        <v>40</v>
      </c>
      <c r="C52" s="2" t="s">
        <v>17</v>
      </c>
      <c r="D52" s="2">
        <v>1</v>
      </c>
      <c r="E52" s="6" t="s">
        <v>498</v>
      </c>
      <c r="F52" s="2" t="str">
        <f t="shared" si="0"/>
        <v>B</v>
      </c>
      <c r="G52" s="2">
        <v>5</v>
      </c>
      <c r="H52" s="2" t="str">
        <f t="shared" si="1"/>
        <v>C</v>
      </c>
      <c r="I52" s="2">
        <v>3</v>
      </c>
      <c r="J52" s="2">
        <f t="shared" si="2"/>
        <v>2</v>
      </c>
      <c r="K52" s="2" t="str">
        <f t="shared" si="3"/>
        <v>A</v>
      </c>
      <c r="L52" s="2" t="str">
        <f t="shared" si="4"/>
        <v>B</v>
      </c>
      <c r="M52" s="2" t="s">
        <v>37</v>
      </c>
      <c r="N52" s="2">
        <f t="shared" si="5"/>
        <v>1</v>
      </c>
      <c r="O52" s="2" t="s">
        <v>34</v>
      </c>
      <c r="P52" s="2">
        <v>190</v>
      </c>
    </row>
    <row r="53" ht="23" customHeight="1" spans="1:16">
      <c r="A53" s="6" t="s">
        <v>408</v>
      </c>
      <c r="B53" s="2" t="s">
        <v>40</v>
      </c>
      <c r="C53" s="2" t="s">
        <v>47</v>
      </c>
      <c r="D53" s="2">
        <v>1</v>
      </c>
      <c r="E53" s="6" t="s">
        <v>498</v>
      </c>
      <c r="F53" s="2" t="str">
        <f t="shared" si="0"/>
        <v>C</v>
      </c>
      <c r="G53" s="2">
        <v>2</v>
      </c>
      <c r="H53" s="2" t="str">
        <f t="shared" si="1"/>
        <v>B</v>
      </c>
      <c r="I53" s="2">
        <v>4</v>
      </c>
      <c r="J53" s="2">
        <f t="shared" si="2"/>
        <v>-2</v>
      </c>
      <c r="K53" s="2" t="str">
        <f t="shared" si="3"/>
        <v>B</v>
      </c>
      <c r="L53" s="2" t="str">
        <f t="shared" si="4"/>
        <v>B</v>
      </c>
      <c r="M53" s="2" t="s">
        <v>37</v>
      </c>
      <c r="N53" s="2">
        <f t="shared" si="5"/>
        <v>1</v>
      </c>
      <c r="O53" s="2" t="s">
        <v>37</v>
      </c>
      <c r="P53" s="2">
        <v>199</v>
      </c>
    </row>
    <row r="54" ht="23" customHeight="1" spans="1:16">
      <c r="A54" s="6" t="s">
        <v>408</v>
      </c>
      <c r="B54" s="2" t="s">
        <v>40</v>
      </c>
      <c r="C54" s="2" t="s">
        <v>17</v>
      </c>
      <c r="D54" s="2">
        <v>2</v>
      </c>
      <c r="E54" s="6" t="s">
        <v>499</v>
      </c>
      <c r="F54" s="2" t="str">
        <f t="shared" si="0"/>
        <v>B</v>
      </c>
      <c r="G54" s="2">
        <v>4</v>
      </c>
      <c r="H54" s="2" t="str">
        <f t="shared" si="1"/>
        <v>C</v>
      </c>
      <c r="I54" s="2">
        <v>2</v>
      </c>
      <c r="J54" s="2">
        <f t="shared" si="2"/>
        <v>2</v>
      </c>
      <c r="K54" s="2" t="str">
        <f t="shared" si="3"/>
        <v>A</v>
      </c>
      <c r="L54" s="2" t="str">
        <f t="shared" si="4"/>
        <v>B</v>
      </c>
      <c r="M54" s="2" t="s">
        <v>37</v>
      </c>
      <c r="N54" s="2">
        <f t="shared" si="5"/>
        <v>1</v>
      </c>
      <c r="O54" s="2" t="s">
        <v>34</v>
      </c>
      <c r="P54" s="2">
        <v>190</v>
      </c>
    </row>
    <row r="55" ht="23" customHeight="1" spans="1:16">
      <c r="A55" s="6" t="s">
        <v>408</v>
      </c>
      <c r="B55" s="2" t="s">
        <v>40</v>
      </c>
      <c r="C55" s="2" t="s">
        <v>47</v>
      </c>
      <c r="D55" s="2">
        <v>2</v>
      </c>
      <c r="E55" s="6" t="s">
        <v>499</v>
      </c>
      <c r="F55" s="2" t="str">
        <f t="shared" si="0"/>
        <v>C</v>
      </c>
      <c r="G55" s="2">
        <v>2</v>
      </c>
      <c r="H55" s="2" t="str">
        <f t="shared" si="1"/>
        <v>B</v>
      </c>
      <c r="I55" s="2">
        <v>4</v>
      </c>
      <c r="J55" s="2">
        <f t="shared" si="2"/>
        <v>-2</v>
      </c>
      <c r="K55" s="2" t="str">
        <f t="shared" si="3"/>
        <v>B</v>
      </c>
      <c r="L55" s="2" t="str">
        <f t="shared" si="4"/>
        <v>B</v>
      </c>
      <c r="M55" s="2" t="s">
        <v>37</v>
      </c>
      <c r="N55" s="2">
        <f t="shared" si="5"/>
        <v>1</v>
      </c>
      <c r="O55" s="2" t="s">
        <v>37</v>
      </c>
      <c r="P55" s="2">
        <v>199</v>
      </c>
    </row>
    <row r="56" ht="23" customHeight="1" spans="1:16">
      <c r="A56" s="6" t="s">
        <v>408</v>
      </c>
      <c r="B56" s="2" t="s">
        <v>40</v>
      </c>
      <c r="C56" s="2" t="s">
        <v>17</v>
      </c>
      <c r="D56" s="2">
        <v>3</v>
      </c>
      <c r="E56" s="6" t="s">
        <v>500</v>
      </c>
      <c r="F56" s="2" t="str">
        <f t="shared" si="0"/>
        <v>B</v>
      </c>
      <c r="G56" s="2">
        <v>4</v>
      </c>
      <c r="H56" s="2" t="str">
        <f t="shared" si="1"/>
        <v>C</v>
      </c>
      <c r="I56" s="2">
        <v>2</v>
      </c>
      <c r="J56" s="2">
        <f t="shared" si="2"/>
        <v>2</v>
      </c>
      <c r="K56" s="2" t="str">
        <f t="shared" si="3"/>
        <v>A</v>
      </c>
      <c r="L56" s="2" t="str">
        <f t="shared" si="4"/>
        <v>B</v>
      </c>
      <c r="M56" s="2" t="s">
        <v>37</v>
      </c>
      <c r="N56" s="2">
        <f t="shared" si="5"/>
        <v>1</v>
      </c>
      <c r="O56" s="2" t="s">
        <v>34</v>
      </c>
      <c r="P56" s="2">
        <v>190</v>
      </c>
    </row>
    <row r="57" ht="23" customHeight="1" spans="1:16">
      <c r="A57" s="6" t="s">
        <v>408</v>
      </c>
      <c r="B57" s="2" t="s">
        <v>40</v>
      </c>
      <c r="C57" s="2" t="s">
        <v>47</v>
      </c>
      <c r="D57" s="2">
        <v>3</v>
      </c>
      <c r="E57" s="6" t="s">
        <v>500</v>
      </c>
      <c r="F57" s="2" t="str">
        <f t="shared" si="0"/>
        <v>C</v>
      </c>
      <c r="G57" s="2">
        <v>2</v>
      </c>
      <c r="H57" s="2" t="str">
        <f t="shared" si="1"/>
        <v>B</v>
      </c>
      <c r="I57" s="2">
        <v>4</v>
      </c>
      <c r="J57" s="2">
        <f t="shared" si="2"/>
        <v>-2</v>
      </c>
      <c r="K57" s="2" t="str">
        <f t="shared" si="3"/>
        <v>B</v>
      </c>
      <c r="L57" s="2" t="str">
        <f t="shared" si="4"/>
        <v>B</v>
      </c>
      <c r="M57" s="2" t="s">
        <v>37</v>
      </c>
      <c r="N57" s="2">
        <f t="shared" si="5"/>
        <v>1</v>
      </c>
      <c r="O57" s="2" t="s">
        <v>37</v>
      </c>
      <c r="P57" s="2">
        <v>199</v>
      </c>
    </row>
    <row r="58" ht="23" customHeight="1" spans="1:16">
      <c r="A58" s="6" t="s">
        <v>408</v>
      </c>
      <c r="B58" s="2" t="s">
        <v>40</v>
      </c>
      <c r="C58" s="2" t="s">
        <v>17</v>
      </c>
      <c r="D58" s="2">
        <v>4</v>
      </c>
      <c r="E58" s="6" t="s">
        <v>501</v>
      </c>
      <c r="F58" s="2" t="str">
        <f t="shared" si="0"/>
        <v>B</v>
      </c>
      <c r="G58" s="2">
        <v>5</v>
      </c>
      <c r="H58" s="2" t="str">
        <f t="shared" si="1"/>
        <v>C</v>
      </c>
      <c r="I58" s="2">
        <v>3</v>
      </c>
      <c r="J58" s="2">
        <f t="shared" si="2"/>
        <v>2</v>
      </c>
      <c r="K58" s="2" t="str">
        <f t="shared" si="3"/>
        <v>A</v>
      </c>
      <c r="L58" s="2" t="str">
        <f t="shared" si="4"/>
        <v>B</v>
      </c>
      <c r="M58" s="2" t="s">
        <v>37</v>
      </c>
      <c r="N58" s="2">
        <f t="shared" si="5"/>
        <v>1</v>
      </c>
      <c r="O58" s="2" t="s">
        <v>34</v>
      </c>
      <c r="P58" s="2">
        <v>190</v>
      </c>
    </row>
    <row r="59" ht="23" customHeight="1" spans="1:16">
      <c r="A59" s="6" t="s">
        <v>408</v>
      </c>
      <c r="B59" s="2" t="s">
        <v>40</v>
      </c>
      <c r="C59" s="2" t="s">
        <v>47</v>
      </c>
      <c r="D59" s="2">
        <v>4</v>
      </c>
      <c r="E59" s="6" t="s">
        <v>501</v>
      </c>
      <c r="F59" s="2" t="str">
        <f t="shared" si="0"/>
        <v>C</v>
      </c>
      <c r="G59" s="2">
        <v>2</v>
      </c>
      <c r="H59" s="2" t="str">
        <f t="shared" si="1"/>
        <v>B</v>
      </c>
      <c r="I59" s="2">
        <v>5</v>
      </c>
      <c r="J59" s="2">
        <f t="shared" si="2"/>
        <v>-3</v>
      </c>
      <c r="K59" s="2" t="str">
        <f t="shared" si="3"/>
        <v>B</v>
      </c>
      <c r="L59" s="2" t="str">
        <f t="shared" si="4"/>
        <v>B</v>
      </c>
      <c r="M59" s="2" t="s">
        <v>37</v>
      </c>
      <c r="N59" s="2">
        <f t="shared" si="5"/>
        <v>1</v>
      </c>
      <c r="O59" s="2" t="s">
        <v>37</v>
      </c>
      <c r="P59" s="2">
        <v>199</v>
      </c>
    </row>
    <row r="60" ht="23" customHeight="1" spans="1:16">
      <c r="A60" s="6" t="s">
        <v>408</v>
      </c>
      <c r="B60" s="2" t="s">
        <v>40</v>
      </c>
      <c r="C60" s="2" t="s">
        <v>17</v>
      </c>
      <c r="D60" s="2">
        <v>5</v>
      </c>
      <c r="E60" s="6" t="s">
        <v>502</v>
      </c>
      <c r="F60" s="2" t="str">
        <f t="shared" si="0"/>
        <v>B</v>
      </c>
      <c r="G60" s="2">
        <v>5</v>
      </c>
      <c r="H60" s="2" t="str">
        <f t="shared" si="1"/>
        <v>C</v>
      </c>
      <c r="I60" s="2">
        <v>5</v>
      </c>
      <c r="J60" s="2">
        <f t="shared" si="2"/>
        <v>0</v>
      </c>
      <c r="K60" s="2" t="str">
        <f t="shared" si="3"/>
        <v>C</v>
      </c>
      <c r="L60" s="2" t="str">
        <f t="shared" si="4"/>
        <v>D(平局)</v>
      </c>
      <c r="M60" s="2" t="s">
        <v>37</v>
      </c>
      <c r="N60" s="2">
        <f t="shared" si="5"/>
        <v>0</v>
      </c>
      <c r="O60" s="2" t="s">
        <v>34</v>
      </c>
      <c r="P60" s="2">
        <v>190</v>
      </c>
    </row>
    <row r="61" ht="23" customHeight="1" spans="1:16">
      <c r="A61" s="6" t="s">
        <v>408</v>
      </c>
      <c r="B61" s="2" t="s">
        <v>40</v>
      </c>
      <c r="C61" s="2" t="s">
        <v>47</v>
      </c>
      <c r="D61" s="2">
        <v>5</v>
      </c>
      <c r="E61" s="6" t="s">
        <v>502</v>
      </c>
      <c r="F61" s="2" t="str">
        <f t="shared" si="0"/>
        <v>C</v>
      </c>
      <c r="G61" s="2">
        <v>5</v>
      </c>
      <c r="H61" s="2" t="str">
        <f t="shared" si="1"/>
        <v>B</v>
      </c>
      <c r="I61" s="2">
        <v>5</v>
      </c>
      <c r="J61" s="2">
        <f t="shared" si="2"/>
        <v>0</v>
      </c>
      <c r="K61" s="2" t="str">
        <f t="shared" si="3"/>
        <v>C</v>
      </c>
      <c r="L61" s="2" t="str">
        <f t="shared" si="4"/>
        <v>D(平局)</v>
      </c>
      <c r="M61" s="2" t="s">
        <v>37</v>
      </c>
      <c r="N61" s="2">
        <f t="shared" si="5"/>
        <v>0</v>
      </c>
      <c r="O61" s="2" t="s">
        <v>37</v>
      </c>
      <c r="P61" s="2">
        <v>199</v>
      </c>
    </row>
    <row r="62" ht="23" customHeight="1" spans="1:16">
      <c r="A62" s="6" t="s">
        <v>370</v>
      </c>
      <c r="B62" s="2" t="s">
        <v>15</v>
      </c>
      <c r="C62" s="2" t="s">
        <v>17</v>
      </c>
      <c r="D62" s="2">
        <v>1</v>
      </c>
      <c r="E62" s="6" t="s">
        <v>498</v>
      </c>
      <c r="F62" s="2" t="str">
        <f t="shared" si="0"/>
        <v>A</v>
      </c>
      <c r="G62" s="2">
        <v>5</v>
      </c>
      <c r="H62" s="2" t="str">
        <f t="shared" si="1"/>
        <v>B</v>
      </c>
      <c r="I62" s="2">
        <v>4</v>
      </c>
      <c r="J62" s="2">
        <f t="shared" si="2"/>
        <v>1</v>
      </c>
      <c r="K62" s="2" t="str">
        <f t="shared" si="3"/>
        <v>A</v>
      </c>
      <c r="L62" s="2" t="str">
        <f t="shared" si="4"/>
        <v>A</v>
      </c>
      <c r="M62" s="2" t="s">
        <v>23</v>
      </c>
      <c r="N62" s="2">
        <f t="shared" si="5"/>
        <v>0</v>
      </c>
      <c r="O62" s="2" t="s">
        <v>34</v>
      </c>
      <c r="P62" s="2">
        <v>166</v>
      </c>
    </row>
    <row r="63" ht="23" customHeight="1" spans="1:16">
      <c r="A63" s="6" t="s">
        <v>370</v>
      </c>
      <c r="B63" s="2" t="s">
        <v>15</v>
      </c>
      <c r="C63" s="2" t="s">
        <v>47</v>
      </c>
      <c r="D63" s="2">
        <v>1</v>
      </c>
      <c r="E63" s="6" t="s">
        <v>498</v>
      </c>
      <c r="F63" s="2" t="str">
        <f t="shared" si="0"/>
        <v>B</v>
      </c>
      <c r="G63" s="2">
        <v>4</v>
      </c>
      <c r="H63" s="2" t="str">
        <f t="shared" si="1"/>
        <v>A</v>
      </c>
      <c r="I63" s="2">
        <v>5</v>
      </c>
      <c r="J63" s="2">
        <f t="shared" si="2"/>
        <v>-1</v>
      </c>
      <c r="K63" s="2" t="str">
        <f t="shared" si="3"/>
        <v>B</v>
      </c>
      <c r="L63" s="2" t="str">
        <f t="shared" si="4"/>
        <v>A</v>
      </c>
      <c r="M63" s="2" t="s">
        <v>23</v>
      </c>
      <c r="N63" s="2">
        <f t="shared" si="5"/>
        <v>0</v>
      </c>
      <c r="O63" s="2" t="s">
        <v>37</v>
      </c>
      <c r="P63" s="2">
        <v>175</v>
      </c>
    </row>
    <row r="64" ht="23" customHeight="1" spans="1:16">
      <c r="A64" s="6" t="s">
        <v>370</v>
      </c>
      <c r="B64" s="2" t="s">
        <v>15</v>
      </c>
      <c r="C64" s="2" t="s">
        <v>17</v>
      </c>
      <c r="D64" s="2">
        <v>2</v>
      </c>
      <c r="E64" s="6" t="s">
        <v>499</v>
      </c>
      <c r="F64" s="2" t="str">
        <f t="shared" si="0"/>
        <v>A</v>
      </c>
      <c r="G64" s="2">
        <v>5</v>
      </c>
      <c r="H64" s="2" t="str">
        <f t="shared" si="1"/>
        <v>B</v>
      </c>
      <c r="I64" s="2">
        <v>4</v>
      </c>
      <c r="J64" s="2">
        <f t="shared" si="2"/>
        <v>1</v>
      </c>
      <c r="K64" s="2" t="str">
        <f t="shared" si="3"/>
        <v>A</v>
      </c>
      <c r="L64" s="2" t="str">
        <f t="shared" si="4"/>
        <v>A</v>
      </c>
      <c r="M64" s="2" t="s">
        <v>23</v>
      </c>
      <c r="N64" s="2">
        <f t="shared" si="5"/>
        <v>0</v>
      </c>
      <c r="O64" s="2" t="s">
        <v>34</v>
      </c>
      <c r="P64" s="2">
        <v>166</v>
      </c>
    </row>
    <row r="65" ht="23" customHeight="1" spans="1:16">
      <c r="A65" s="6" t="s">
        <v>370</v>
      </c>
      <c r="B65" s="2" t="s">
        <v>15</v>
      </c>
      <c r="C65" s="2" t="s">
        <v>47</v>
      </c>
      <c r="D65" s="2">
        <v>2</v>
      </c>
      <c r="E65" s="6" t="s">
        <v>499</v>
      </c>
      <c r="F65" s="2" t="str">
        <f t="shared" si="0"/>
        <v>B</v>
      </c>
      <c r="G65" s="2">
        <v>3</v>
      </c>
      <c r="H65" s="2" t="str">
        <f t="shared" si="1"/>
        <v>A</v>
      </c>
      <c r="I65" s="2">
        <v>4</v>
      </c>
      <c r="J65" s="2">
        <f t="shared" si="2"/>
        <v>-1</v>
      </c>
      <c r="K65" s="2" t="str">
        <f t="shared" si="3"/>
        <v>B</v>
      </c>
      <c r="L65" s="2" t="str">
        <f t="shared" si="4"/>
        <v>A</v>
      </c>
      <c r="M65" s="2" t="s">
        <v>23</v>
      </c>
      <c r="N65" s="2">
        <f t="shared" si="5"/>
        <v>0</v>
      </c>
      <c r="O65" s="2" t="s">
        <v>37</v>
      </c>
      <c r="P65" s="2">
        <v>175</v>
      </c>
    </row>
    <row r="66" ht="23" customHeight="1" spans="1:16">
      <c r="A66" s="6" t="s">
        <v>370</v>
      </c>
      <c r="B66" s="2" t="s">
        <v>15</v>
      </c>
      <c r="C66" s="2" t="s">
        <v>17</v>
      </c>
      <c r="D66" s="2">
        <v>3</v>
      </c>
      <c r="E66" s="6" t="s">
        <v>500</v>
      </c>
      <c r="F66" s="2" t="str">
        <f t="shared" ref="F66:F129" si="6">IF(C66="l2r",LEFT(B66,1),RIGHT(B66,1))</f>
        <v>A</v>
      </c>
      <c r="G66" s="2">
        <v>4</v>
      </c>
      <c r="H66" s="2" t="str">
        <f t="shared" ref="H66:H129" si="7">IF(C66="l2r",RIGHT(B66,1),LEFT(B66,1))</f>
        <v>B</v>
      </c>
      <c r="I66" s="2">
        <v>3</v>
      </c>
      <c r="J66" s="2">
        <f t="shared" ref="J66:J129" si="8">G66-I66</f>
        <v>1</v>
      </c>
      <c r="K66" s="2" t="str">
        <f t="shared" ref="K66:K129" si="9">IF(J66=0,"C",IF(J66&gt;0,"A","B"))</f>
        <v>A</v>
      </c>
      <c r="L66" s="2" t="str">
        <f t="shared" ref="L66:L129" si="10">IF(J66=0,"D(平局)",IF(J66&gt;0,F66,H66))</f>
        <v>A</v>
      </c>
      <c r="M66" s="2" t="s">
        <v>23</v>
      </c>
      <c r="N66" s="2">
        <f t="shared" ref="N66:N129" si="11">--(L66=M66)</f>
        <v>0</v>
      </c>
      <c r="O66" s="2" t="s">
        <v>34</v>
      </c>
      <c r="P66" s="2">
        <v>166</v>
      </c>
    </row>
    <row r="67" ht="23" customHeight="1" spans="1:16">
      <c r="A67" s="6" t="s">
        <v>370</v>
      </c>
      <c r="B67" s="2" t="s">
        <v>15</v>
      </c>
      <c r="C67" s="2" t="s">
        <v>47</v>
      </c>
      <c r="D67" s="2">
        <v>3</v>
      </c>
      <c r="E67" s="6" t="s">
        <v>500</v>
      </c>
      <c r="F67" s="2" t="str">
        <f t="shared" si="6"/>
        <v>B</v>
      </c>
      <c r="G67" s="2">
        <v>3</v>
      </c>
      <c r="H67" s="2" t="str">
        <f t="shared" si="7"/>
        <v>A</v>
      </c>
      <c r="I67" s="2">
        <v>4</v>
      </c>
      <c r="J67" s="2">
        <f t="shared" si="8"/>
        <v>-1</v>
      </c>
      <c r="K67" s="2" t="str">
        <f t="shared" si="9"/>
        <v>B</v>
      </c>
      <c r="L67" s="2" t="str">
        <f t="shared" si="10"/>
        <v>A</v>
      </c>
      <c r="M67" s="2" t="s">
        <v>23</v>
      </c>
      <c r="N67" s="2">
        <f t="shared" si="11"/>
        <v>0</v>
      </c>
      <c r="O67" s="2" t="s">
        <v>37</v>
      </c>
      <c r="P67" s="2">
        <v>175</v>
      </c>
    </row>
    <row r="68" ht="23" customHeight="1" spans="1:16">
      <c r="A68" s="6" t="s">
        <v>370</v>
      </c>
      <c r="B68" s="2" t="s">
        <v>15</v>
      </c>
      <c r="C68" s="2" t="s">
        <v>17</v>
      </c>
      <c r="D68" s="2">
        <v>4</v>
      </c>
      <c r="E68" s="6" t="s">
        <v>501</v>
      </c>
      <c r="F68" s="2" t="str">
        <f t="shared" si="6"/>
        <v>A</v>
      </c>
      <c r="G68" s="2">
        <v>5</v>
      </c>
      <c r="H68" s="2" t="str">
        <f t="shared" si="7"/>
        <v>B</v>
      </c>
      <c r="I68" s="2">
        <v>3</v>
      </c>
      <c r="J68" s="2">
        <f t="shared" si="8"/>
        <v>2</v>
      </c>
      <c r="K68" s="2" t="str">
        <f t="shared" si="9"/>
        <v>A</v>
      </c>
      <c r="L68" s="2" t="str">
        <f t="shared" si="10"/>
        <v>A</v>
      </c>
      <c r="M68" s="2" t="s">
        <v>23</v>
      </c>
      <c r="N68" s="2">
        <f t="shared" si="11"/>
        <v>0</v>
      </c>
      <c r="O68" s="2" t="s">
        <v>34</v>
      </c>
      <c r="P68" s="2">
        <v>166</v>
      </c>
    </row>
    <row r="69" ht="23" customHeight="1" spans="1:16">
      <c r="A69" s="6" t="s">
        <v>370</v>
      </c>
      <c r="B69" s="2" t="s">
        <v>15</v>
      </c>
      <c r="C69" s="2" t="s">
        <v>47</v>
      </c>
      <c r="D69" s="2">
        <v>4</v>
      </c>
      <c r="E69" s="6" t="s">
        <v>501</v>
      </c>
      <c r="F69" s="2" t="str">
        <f t="shared" si="6"/>
        <v>B</v>
      </c>
      <c r="G69" s="2">
        <v>5</v>
      </c>
      <c r="H69" s="2" t="str">
        <f t="shared" si="7"/>
        <v>A</v>
      </c>
      <c r="I69" s="2">
        <v>4</v>
      </c>
      <c r="J69" s="2">
        <f t="shared" si="8"/>
        <v>1</v>
      </c>
      <c r="K69" s="2" t="str">
        <f t="shared" si="9"/>
        <v>A</v>
      </c>
      <c r="L69" s="2" t="str">
        <f t="shared" si="10"/>
        <v>B</v>
      </c>
      <c r="M69" s="2" t="s">
        <v>23</v>
      </c>
      <c r="N69" s="2">
        <f t="shared" si="11"/>
        <v>0</v>
      </c>
      <c r="O69" s="2" t="s">
        <v>37</v>
      </c>
      <c r="P69" s="2">
        <v>175</v>
      </c>
    </row>
    <row r="70" ht="23" customHeight="1" spans="1:16">
      <c r="A70" s="6" t="s">
        <v>370</v>
      </c>
      <c r="B70" s="2" t="s">
        <v>15</v>
      </c>
      <c r="C70" s="2" t="s">
        <v>17</v>
      </c>
      <c r="D70" s="2">
        <v>5</v>
      </c>
      <c r="E70" s="6" t="s">
        <v>502</v>
      </c>
      <c r="F70" s="2" t="str">
        <f t="shared" si="6"/>
        <v>A</v>
      </c>
      <c r="G70" s="2">
        <v>5</v>
      </c>
      <c r="H70" s="2" t="str">
        <f t="shared" si="7"/>
        <v>B</v>
      </c>
      <c r="I70" s="2">
        <v>5</v>
      </c>
      <c r="J70" s="2">
        <f t="shared" si="8"/>
        <v>0</v>
      </c>
      <c r="K70" s="2" t="str">
        <f t="shared" si="9"/>
        <v>C</v>
      </c>
      <c r="L70" s="2" t="str">
        <f t="shared" si="10"/>
        <v>D(平局)</v>
      </c>
      <c r="M70" s="2" t="s">
        <v>23</v>
      </c>
      <c r="N70" s="2">
        <f t="shared" si="11"/>
        <v>1</v>
      </c>
      <c r="O70" s="2" t="s">
        <v>34</v>
      </c>
      <c r="P70" s="2">
        <v>166</v>
      </c>
    </row>
    <row r="71" ht="23" customHeight="1" spans="1:16">
      <c r="A71" s="6" t="s">
        <v>370</v>
      </c>
      <c r="B71" s="2" t="s">
        <v>15</v>
      </c>
      <c r="C71" s="2" t="s">
        <v>47</v>
      </c>
      <c r="D71" s="2">
        <v>5</v>
      </c>
      <c r="E71" s="6" t="s">
        <v>502</v>
      </c>
      <c r="F71" s="2" t="str">
        <f t="shared" si="6"/>
        <v>B</v>
      </c>
      <c r="G71" s="2">
        <v>5</v>
      </c>
      <c r="H71" s="2" t="str">
        <f t="shared" si="7"/>
        <v>A</v>
      </c>
      <c r="I71" s="2">
        <v>5</v>
      </c>
      <c r="J71" s="2">
        <f t="shared" si="8"/>
        <v>0</v>
      </c>
      <c r="K71" s="2" t="str">
        <f t="shared" si="9"/>
        <v>C</v>
      </c>
      <c r="L71" s="2" t="str">
        <f t="shared" si="10"/>
        <v>D(平局)</v>
      </c>
      <c r="M71" s="2" t="s">
        <v>23</v>
      </c>
      <c r="N71" s="2">
        <f t="shared" si="11"/>
        <v>1</v>
      </c>
      <c r="O71" s="2" t="s">
        <v>37</v>
      </c>
      <c r="P71" s="2">
        <v>175</v>
      </c>
    </row>
    <row r="72" ht="23" customHeight="1" spans="1:16">
      <c r="A72" s="6" t="s">
        <v>370</v>
      </c>
      <c r="B72" s="2" t="s">
        <v>30</v>
      </c>
      <c r="C72" s="2" t="s">
        <v>17</v>
      </c>
      <c r="D72" s="2">
        <v>1</v>
      </c>
      <c r="E72" s="6" t="s">
        <v>498</v>
      </c>
      <c r="F72" s="2" t="str">
        <f t="shared" si="6"/>
        <v>A</v>
      </c>
      <c r="G72" s="2">
        <v>5</v>
      </c>
      <c r="H72" s="2" t="str">
        <f t="shared" si="7"/>
        <v>C</v>
      </c>
      <c r="I72" s="2">
        <v>3</v>
      </c>
      <c r="J72" s="2">
        <f t="shared" si="8"/>
        <v>2</v>
      </c>
      <c r="K72" s="2" t="str">
        <f t="shared" si="9"/>
        <v>A</v>
      </c>
      <c r="L72" s="2" t="str">
        <f t="shared" si="10"/>
        <v>A</v>
      </c>
      <c r="M72" s="2" t="s">
        <v>34</v>
      </c>
      <c r="N72" s="2">
        <f t="shared" si="11"/>
        <v>1</v>
      </c>
      <c r="O72" s="2" t="s">
        <v>34</v>
      </c>
      <c r="P72" s="2">
        <v>169</v>
      </c>
    </row>
    <row r="73" ht="23" customHeight="1" spans="1:16">
      <c r="A73" s="6" t="s">
        <v>370</v>
      </c>
      <c r="B73" s="2" t="s">
        <v>30</v>
      </c>
      <c r="C73" s="2" t="s">
        <v>47</v>
      </c>
      <c r="D73" s="2">
        <v>1</v>
      </c>
      <c r="E73" s="6" t="s">
        <v>498</v>
      </c>
      <c r="F73" s="2" t="str">
        <f t="shared" si="6"/>
        <v>C</v>
      </c>
      <c r="G73" s="2">
        <v>3</v>
      </c>
      <c r="H73" s="2" t="str">
        <f t="shared" si="7"/>
        <v>A</v>
      </c>
      <c r="I73" s="2">
        <v>5</v>
      </c>
      <c r="J73" s="2">
        <f t="shared" si="8"/>
        <v>-2</v>
      </c>
      <c r="K73" s="2" t="str">
        <f t="shared" si="9"/>
        <v>B</v>
      </c>
      <c r="L73" s="2" t="str">
        <f t="shared" si="10"/>
        <v>A</v>
      </c>
      <c r="M73" s="2" t="s">
        <v>34</v>
      </c>
      <c r="N73" s="2">
        <f t="shared" si="11"/>
        <v>1</v>
      </c>
      <c r="O73" s="2" t="s">
        <v>37</v>
      </c>
      <c r="P73" s="2">
        <v>178</v>
      </c>
    </row>
    <row r="74" ht="23" customHeight="1" spans="1:16">
      <c r="A74" s="6" t="s">
        <v>370</v>
      </c>
      <c r="B74" s="2" t="s">
        <v>30</v>
      </c>
      <c r="C74" s="2" t="s">
        <v>17</v>
      </c>
      <c r="D74" s="2">
        <v>2</v>
      </c>
      <c r="E74" s="6" t="s">
        <v>499</v>
      </c>
      <c r="F74" s="2" t="str">
        <f t="shared" si="6"/>
        <v>A</v>
      </c>
      <c r="G74" s="2">
        <v>4</v>
      </c>
      <c r="H74" s="2" t="str">
        <f t="shared" si="7"/>
        <v>C</v>
      </c>
      <c r="I74" s="2">
        <v>2</v>
      </c>
      <c r="J74" s="2">
        <f t="shared" si="8"/>
        <v>2</v>
      </c>
      <c r="K74" s="2" t="str">
        <f t="shared" si="9"/>
        <v>A</v>
      </c>
      <c r="L74" s="2" t="str">
        <f t="shared" si="10"/>
        <v>A</v>
      </c>
      <c r="M74" s="2" t="s">
        <v>34</v>
      </c>
      <c r="N74" s="2">
        <f t="shared" si="11"/>
        <v>1</v>
      </c>
      <c r="O74" s="2" t="s">
        <v>34</v>
      </c>
      <c r="P74" s="2">
        <v>169</v>
      </c>
    </row>
    <row r="75" ht="23" customHeight="1" spans="1:16">
      <c r="A75" s="6" t="s">
        <v>370</v>
      </c>
      <c r="B75" s="2" t="s">
        <v>30</v>
      </c>
      <c r="C75" s="2" t="s">
        <v>47</v>
      </c>
      <c r="D75" s="2">
        <v>2</v>
      </c>
      <c r="E75" s="6" t="s">
        <v>499</v>
      </c>
      <c r="F75" s="2" t="str">
        <f t="shared" si="6"/>
        <v>C</v>
      </c>
      <c r="G75" s="2">
        <v>2</v>
      </c>
      <c r="H75" s="2" t="str">
        <f t="shared" si="7"/>
        <v>A</v>
      </c>
      <c r="I75" s="2">
        <v>5</v>
      </c>
      <c r="J75" s="2">
        <f t="shared" si="8"/>
        <v>-3</v>
      </c>
      <c r="K75" s="2" t="str">
        <f t="shared" si="9"/>
        <v>B</v>
      </c>
      <c r="L75" s="2" t="str">
        <f t="shared" si="10"/>
        <v>A</v>
      </c>
      <c r="M75" s="2" t="s">
        <v>34</v>
      </c>
      <c r="N75" s="2">
        <f t="shared" si="11"/>
        <v>1</v>
      </c>
      <c r="O75" s="2" t="s">
        <v>37</v>
      </c>
      <c r="P75" s="2">
        <v>178</v>
      </c>
    </row>
    <row r="76" ht="23" customHeight="1" spans="1:16">
      <c r="A76" s="6" t="s">
        <v>370</v>
      </c>
      <c r="B76" s="2" t="s">
        <v>30</v>
      </c>
      <c r="C76" s="2" t="s">
        <v>17</v>
      </c>
      <c r="D76" s="2">
        <v>3</v>
      </c>
      <c r="E76" s="6" t="s">
        <v>500</v>
      </c>
      <c r="F76" s="2" t="str">
        <f t="shared" si="6"/>
        <v>A</v>
      </c>
      <c r="G76" s="2">
        <v>4</v>
      </c>
      <c r="H76" s="2" t="str">
        <f t="shared" si="7"/>
        <v>C</v>
      </c>
      <c r="I76" s="2">
        <v>2</v>
      </c>
      <c r="J76" s="2">
        <f t="shared" si="8"/>
        <v>2</v>
      </c>
      <c r="K76" s="2" t="str">
        <f t="shared" si="9"/>
        <v>A</v>
      </c>
      <c r="L76" s="2" t="str">
        <f t="shared" si="10"/>
        <v>A</v>
      </c>
      <c r="M76" s="2" t="s">
        <v>34</v>
      </c>
      <c r="N76" s="2">
        <f t="shared" si="11"/>
        <v>1</v>
      </c>
      <c r="O76" s="2" t="s">
        <v>34</v>
      </c>
      <c r="P76" s="2">
        <v>169</v>
      </c>
    </row>
    <row r="77" ht="23" customHeight="1" spans="1:16">
      <c r="A77" s="6" t="s">
        <v>370</v>
      </c>
      <c r="B77" s="2" t="s">
        <v>30</v>
      </c>
      <c r="C77" s="2" t="s">
        <v>47</v>
      </c>
      <c r="D77" s="2">
        <v>3</v>
      </c>
      <c r="E77" s="6" t="s">
        <v>500</v>
      </c>
      <c r="F77" s="2" t="str">
        <f t="shared" si="6"/>
        <v>C</v>
      </c>
      <c r="G77" s="2">
        <v>2</v>
      </c>
      <c r="H77" s="2" t="str">
        <f t="shared" si="7"/>
        <v>A</v>
      </c>
      <c r="I77" s="2">
        <v>4</v>
      </c>
      <c r="J77" s="2">
        <f t="shared" si="8"/>
        <v>-2</v>
      </c>
      <c r="K77" s="2" t="str">
        <f t="shared" si="9"/>
        <v>B</v>
      </c>
      <c r="L77" s="2" t="str">
        <f t="shared" si="10"/>
        <v>A</v>
      </c>
      <c r="M77" s="2" t="s">
        <v>34</v>
      </c>
      <c r="N77" s="2">
        <f t="shared" si="11"/>
        <v>1</v>
      </c>
      <c r="O77" s="2" t="s">
        <v>37</v>
      </c>
      <c r="P77" s="2">
        <v>178</v>
      </c>
    </row>
    <row r="78" ht="23" customHeight="1" spans="1:16">
      <c r="A78" s="6" t="s">
        <v>370</v>
      </c>
      <c r="B78" s="2" t="s">
        <v>30</v>
      </c>
      <c r="C78" s="2" t="s">
        <v>17</v>
      </c>
      <c r="D78" s="2">
        <v>4</v>
      </c>
      <c r="E78" s="6" t="s">
        <v>501</v>
      </c>
      <c r="F78" s="2" t="str">
        <f t="shared" si="6"/>
        <v>A</v>
      </c>
      <c r="G78" s="2">
        <v>4</v>
      </c>
      <c r="H78" s="2" t="str">
        <f t="shared" si="7"/>
        <v>C</v>
      </c>
      <c r="I78" s="2">
        <v>3</v>
      </c>
      <c r="J78" s="2">
        <f t="shared" si="8"/>
        <v>1</v>
      </c>
      <c r="K78" s="2" t="str">
        <f t="shared" si="9"/>
        <v>A</v>
      </c>
      <c r="L78" s="2" t="str">
        <f t="shared" si="10"/>
        <v>A</v>
      </c>
      <c r="M78" s="2" t="s">
        <v>34</v>
      </c>
      <c r="N78" s="2">
        <f t="shared" si="11"/>
        <v>1</v>
      </c>
      <c r="O78" s="2" t="s">
        <v>34</v>
      </c>
      <c r="P78" s="2">
        <v>169</v>
      </c>
    </row>
    <row r="79" ht="23" customHeight="1" spans="1:16">
      <c r="A79" s="6" t="s">
        <v>370</v>
      </c>
      <c r="B79" s="2" t="s">
        <v>30</v>
      </c>
      <c r="C79" s="2" t="s">
        <v>47</v>
      </c>
      <c r="D79" s="2">
        <v>4</v>
      </c>
      <c r="E79" s="6" t="s">
        <v>501</v>
      </c>
      <c r="F79" s="2" t="str">
        <f t="shared" si="6"/>
        <v>C</v>
      </c>
      <c r="G79" s="2">
        <v>3</v>
      </c>
      <c r="H79" s="2" t="str">
        <f t="shared" si="7"/>
        <v>A</v>
      </c>
      <c r="I79" s="2">
        <v>5</v>
      </c>
      <c r="J79" s="2">
        <f t="shared" si="8"/>
        <v>-2</v>
      </c>
      <c r="K79" s="2" t="str">
        <f t="shared" si="9"/>
        <v>B</v>
      </c>
      <c r="L79" s="2" t="str">
        <f t="shared" si="10"/>
        <v>A</v>
      </c>
      <c r="M79" s="2" t="s">
        <v>34</v>
      </c>
      <c r="N79" s="2">
        <f t="shared" si="11"/>
        <v>1</v>
      </c>
      <c r="O79" s="2" t="s">
        <v>37</v>
      </c>
      <c r="P79" s="2">
        <v>178</v>
      </c>
    </row>
    <row r="80" ht="23" customHeight="1" spans="1:16">
      <c r="A80" s="6" t="s">
        <v>370</v>
      </c>
      <c r="B80" s="2" t="s">
        <v>30</v>
      </c>
      <c r="C80" s="2" t="s">
        <v>17</v>
      </c>
      <c r="D80" s="2">
        <v>5</v>
      </c>
      <c r="E80" s="6" t="s">
        <v>502</v>
      </c>
      <c r="F80" s="2" t="str">
        <f t="shared" si="6"/>
        <v>A</v>
      </c>
      <c r="G80" s="2">
        <v>5</v>
      </c>
      <c r="H80" s="2" t="str">
        <f t="shared" si="7"/>
        <v>C</v>
      </c>
      <c r="I80" s="2">
        <v>4</v>
      </c>
      <c r="J80" s="2">
        <f t="shared" si="8"/>
        <v>1</v>
      </c>
      <c r="K80" s="2" t="str">
        <f t="shared" si="9"/>
        <v>A</v>
      </c>
      <c r="L80" s="2" t="str">
        <f t="shared" si="10"/>
        <v>A</v>
      </c>
      <c r="M80" s="2" t="s">
        <v>34</v>
      </c>
      <c r="N80" s="2">
        <f t="shared" si="11"/>
        <v>1</v>
      </c>
      <c r="O80" s="2" t="s">
        <v>34</v>
      </c>
      <c r="P80" s="2">
        <v>169</v>
      </c>
    </row>
    <row r="81" ht="23" customHeight="1" spans="1:16">
      <c r="A81" s="6" t="s">
        <v>370</v>
      </c>
      <c r="B81" s="2" t="s">
        <v>30</v>
      </c>
      <c r="C81" s="2" t="s">
        <v>47</v>
      </c>
      <c r="D81" s="2">
        <v>5</v>
      </c>
      <c r="E81" s="6" t="s">
        <v>502</v>
      </c>
      <c r="F81" s="2" t="str">
        <f t="shared" si="6"/>
        <v>C</v>
      </c>
      <c r="G81" s="2">
        <v>2</v>
      </c>
      <c r="H81" s="2" t="str">
        <f t="shared" si="7"/>
        <v>A</v>
      </c>
      <c r="I81" s="2">
        <v>5</v>
      </c>
      <c r="J81" s="2">
        <f t="shared" si="8"/>
        <v>-3</v>
      </c>
      <c r="K81" s="2" t="str">
        <f t="shared" si="9"/>
        <v>B</v>
      </c>
      <c r="L81" s="2" t="str">
        <f t="shared" si="10"/>
        <v>A</v>
      </c>
      <c r="M81" s="2" t="s">
        <v>34</v>
      </c>
      <c r="N81" s="2">
        <f t="shared" si="11"/>
        <v>1</v>
      </c>
      <c r="O81" s="2" t="s">
        <v>37</v>
      </c>
      <c r="P81" s="2">
        <v>178</v>
      </c>
    </row>
    <row r="82" ht="23" customHeight="1" spans="1:16">
      <c r="A82" s="6" t="s">
        <v>370</v>
      </c>
      <c r="B82" s="2" t="s">
        <v>40</v>
      </c>
      <c r="C82" s="2" t="s">
        <v>17</v>
      </c>
      <c r="D82" s="2">
        <v>1</v>
      </c>
      <c r="E82" s="6" t="s">
        <v>498</v>
      </c>
      <c r="F82" s="2" t="str">
        <f t="shared" si="6"/>
        <v>B</v>
      </c>
      <c r="G82" s="2">
        <v>5</v>
      </c>
      <c r="H82" s="2" t="str">
        <f t="shared" si="7"/>
        <v>C</v>
      </c>
      <c r="I82" s="2">
        <v>3</v>
      </c>
      <c r="J82" s="2">
        <f t="shared" si="8"/>
        <v>2</v>
      </c>
      <c r="K82" s="2" t="str">
        <f t="shared" si="9"/>
        <v>A</v>
      </c>
      <c r="L82" s="2" t="str">
        <f t="shared" si="10"/>
        <v>B</v>
      </c>
      <c r="M82" s="2" t="s">
        <v>37</v>
      </c>
      <c r="N82" s="2">
        <f t="shared" si="11"/>
        <v>1</v>
      </c>
      <c r="O82" s="2" t="s">
        <v>34</v>
      </c>
      <c r="P82" s="2">
        <v>172</v>
      </c>
    </row>
    <row r="83" ht="23" customHeight="1" spans="1:16">
      <c r="A83" s="6" t="s">
        <v>370</v>
      </c>
      <c r="B83" s="2" t="s">
        <v>40</v>
      </c>
      <c r="C83" s="2" t="s">
        <v>47</v>
      </c>
      <c r="D83" s="2">
        <v>1</v>
      </c>
      <c r="E83" s="6" t="s">
        <v>498</v>
      </c>
      <c r="F83" s="2" t="str">
        <f t="shared" si="6"/>
        <v>C</v>
      </c>
      <c r="G83" s="2">
        <v>4</v>
      </c>
      <c r="H83" s="2" t="str">
        <f t="shared" si="7"/>
        <v>B</v>
      </c>
      <c r="I83" s="2">
        <v>5</v>
      </c>
      <c r="J83" s="2">
        <f t="shared" si="8"/>
        <v>-1</v>
      </c>
      <c r="K83" s="2" t="str">
        <f t="shared" si="9"/>
        <v>B</v>
      </c>
      <c r="L83" s="2" t="str">
        <f t="shared" si="10"/>
        <v>B</v>
      </c>
      <c r="M83" s="2" t="s">
        <v>37</v>
      </c>
      <c r="N83" s="2">
        <f t="shared" si="11"/>
        <v>1</v>
      </c>
      <c r="O83" s="2" t="s">
        <v>37</v>
      </c>
      <c r="P83" s="2">
        <v>181</v>
      </c>
    </row>
    <row r="84" ht="23" customHeight="1" spans="1:16">
      <c r="A84" s="6" t="s">
        <v>370</v>
      </c>
      <c r="B84" s="2" t="s">
        <v>40</v>
      </c>
      <c r="C84" s="2" t="s">
        <v>17</v>
      </c>
      <c r="D84" s="2">
        <v>2</v>
      </c>
      <c r="E84" s="6" t="s">
        <v>499</v>
      </c>
      <c r="F84" s="2" t="str">
        <f t="shared" si="6"/>
        <v>B</v>
      </c>
      <c r="G84" s="2">
        <v>5</v>
      </c>
      <c r="H84" s="2" t="str">
        <f t="shared" si="7"/>
        <v>C</v>
      </c>
      <c r="I84" s="2">
        <v>2</v>
      </c>
      <c r="J84" s="2">
        <f t="shared" si="8"/>
        <v>3</v>
      </c>
      <c r="K84" s="2" t="str">
        <f t="shared" si="9"/>
        <v>A</v>
      </c>
      <c r="L84" s="2" t="str">
        <f t="shared" si="10"/>
        <v>B</v>
      </c>
      <c r="M84" s="2" t="s">
        <v>37</v>
      </c>
      <c r="N84" s="2">
        <f t="shared" si="11"/>
        <v>1</v>
      </c>
      <c r="O84" s="2" t="s">
        <v>34</v>
      </c>
      <c r="P84" s="2">
        <v>172</v>
      </c>
    </row>
    <row r="85" ht="23" customHeight="1" spans="1:16">
      <c r="A85" s="6" t="s">
        <v>370</v>
      </c>
      <c r="B85" s="2" t="s">
        <v>40</v>
      </c>
      <c r="C85" s="2" t="s">
        <v>47</v>
      </c>
      <c r="D85" s="2">
        <v>2</v>
      </c>
      <c r="E85" s="6" t="s">
        <v>499</v>
      </c>
      <c r="F85" s="2" t="str">
        <f t="shared" si="6"/>
        <v>C</v>
      </c>
      <c r="G85" s="2">
        <v>2</v>
      </c>
      <c r="H85" s="2" t="str">
        <f t="shared" si="7"/>
        <v>B</v>
      </c>
      <c r="I85" s="2">
        <v>5</v>
      </c>
      <c r="J85" s="2">
        <f t="shared" si="8"/>
        <v>-3</v>
      </c>
      <c r="K85" s="2" t="str">
        <f t="shared" si="9"/>
        <v>B</v>
      </c>
      <c r="L85" s="2" t="str">
        <f t="shared" si="10"/>
        <v>B</v>
      </c>
      <c r="M85" s="2" t="s">
        <v>37</v>
      </c>
      <c r="N85" s="2">
        <f t="shared" si="11"/>
        <v>1</v>
      </c>
      <c r="O85" s="2" t="s">
        <v>37</v>
      </c>
      <c r="P85" s="2">
        <v>181</v>
      </c>
    </row>
    <row r="86" ht="23" customHeight="1" spans="1:16">
      <c r="A86" s="6" t="s">
        <v>370</v>
      </c>
      <c r="B86" s="2" t="s">
        <v>40</v>
      </c>
      <c r="C86" s="2" t="s">
        <v>17</v>
      </c>
      <c r="D86" s="2">
        <v>3</v>
      </c>
      <c r="E86" s="6" t="s">
        <v>500</v>
      </c>
      <c r="F86" s="2" t="str">
        <f t="shared" si="6"/>
        <v>B</v>
      </c>
      <c r="G86" s="2">
        <v>4</v>
      </c>
      <c r="H86" s="2" t="str">
        <f t="shared" si="7"/>
        <v>C</v>
      </c>
      <c r="I86" s="2">
        <v>2</v>
      </c>
      <c r="J86" s="2">
        <f t="shared" si="8"/>
        <v>2</v>
      </c>
      <c r="K86" s="2" t="str">
        <f t="shared" si="9"/>
        <v>A</v>
      </c>
      <c r="L86" s="2" t="str">
        <f t="shared" si="10"/>
        <v>B</v>
      </c>
      <c r="M86" s="2" t="s">
        <v>37</v>
      </c>
      <c r="N86" s="2">
        <f t="shared" si="11"/>
        <v>1</v>
      </c>
      <c r="O86" s="2" t="s">
        <v>34</v>
      </c>
      <c r="P86" s="2">
        <v>172</v>
      </c>
    </row>
    <row r="87" ht="23" customHeight="1" spans="1:16">
      <c r="A87" s="6" t="s">
        <v>370</v>
      </c>
      <c r="B87" s="2" t="s">
        <v>40</v>
      </c>
      <c r="C87" s="2" t="s">
        <v>47</v>
      </c>
      <c r="D87" s="2">
        <v>3</v>
      </c>
      <c r="E87" s="6" t="s">
        <v>500</v>
      </c>
      <c r="F87" s="2" t="str">
        <f t="shared" si="6"/>
        <v>C</v>
      </c>
      <c r="G87" s="2">
        <v>2</v>
      </c>
      <c r="H87" s="2" t="str">
        <f t="shared" si="7"/>
        <v>B</v>
      </c>
      <c r="I87" s="2">
        <v>4</v>
      </c>
      <c r="J87" s="2">
        <f t="shared" si="8"/>
        <v>-2</v>
      </c>
      <c r="K87" s="2" t="str">
        <f t="shared" si="9"/>
        <v>B</v>
      </c>
      <c r="L87" s="2" t="str">
        <f t="shared" si="10"/>
        <v>B</v>
      </c>
      <c r="M87" s="2" t="s">
        <v>37</v>
      </c>
      <c r="N87" s="2">
        <f t="shared" si="11"/>
        <v>1</v>
      </c>
      <c r="O87" s="2" t="s">
        <v>37</v>
      </c>
      <c r="P87" s="2">
        <v>181</v>
      </c>
    </row>
    <row r="88" ht="23" customHeight="1" spans="1:16">
      <c r="A88" s="6" t="s">
        <v>370</v>
      </c>
      <c r="B88" s="2" t="s">
        <v>40</v>
      </c>
      <c r="C88" s="2" t="s">
        <v>17</v>
      </c>
      <c r="D88" s="2">
        <v>4</v>
      </c>
      <c r="E88" s="6" t="s">
        <v>501</v>
      </c>
      <c r="F88" s="2" t="str">
        <f t="shared" si="6"/>
        <v>B</v>
      </c>
      <c r="G88" s="2">
        <v>5</v>
      </c>
      <c r="H88" s="2" t="str">
        <f t="shared" si="7"/>
        <v>C</v>
      </c>
      <c r="I88" s="2">
        <v>3</v>
      </c>
      <c r="J88" s="2">
        <f t="shared" si="8"/>
        <v>2</v>
      </c>
      <c r="K88" s="2" t="str">
        <f t="shared" si="9"/>
        <v>A</v>
      </c>
      <c r="L88" s="2" t="str">
        <f t="shared" si="10"/>
        <v>B</v>
      </c>
      <c r="M88" s="2" t="s">
        <v>37</v>
      </c>
      <c r="N88" s="2">
        <f t="shared" si="11"/>
        <v>1</v>
      </c>
      <c r="O88" s="2" t="s">
        <v>34</v>
      </c>
      <c r="P88" s="2">
        <v>172</v>
      </c>
    </row>
    <row r="89" ht="23" customHeight="1" spans="1:16">
      <c r="A89" s="6" t="s">
        <v>370</v>
      </c>
      <c r="B89" s="2" t="s">
        <v>40</v>
      </c>
      <c r="C89" s="2" t="s">
        <v>47</v>
      </c>
      <c r="D89" s="2">
        <v>4</v>
      </c>
      <c r="E89" s="6" t="s">
        <v>501</v>
      </c>
      <c r="F89" s="2" t="str">
        <f t="shared" si="6"/>
        <v>C</v>
      </c>
      <c r="G89" s="2">
        <v>3</v>
      </c>
      <c r="H89" s="2" t="str">
        <f t="shared" si="7"/>
        <v>B</v>
      </c>
      <c r="I89" s="2">
        <v>5</v>
      </c>
      <c r="J89" s="2">
        <f t="shared" si="8"/>
        <v>-2</v>
      </c>
      <c r="K89" s="2" t="str">
        <f t="shared" si="9"/>
        <v>B</v>
      </c>
      <c r="L89" s="2" t="str">
        <f t="shared" si="10"/>
        <v>B</v>
      </c>
      <c r="M89" s="2" t="s">
        <v>37</v>
      </c>
      <c r="N89" s="2">
        <f t="shared" si="11"/>
        <v>1</v>
      </c>
      <c r="O89" s="2" t="s">
        <v>37</v>
      </c>
      <c r="P89" s="2">
        <v>181</v>
      </c>
    </row>
    <row r="90" ht="23" customHeight="1" spans="1:16">
      <c r="A90" s="6" t="s">
        <v>370</v>
      </c>
      <c r="B90" s="2" t="s">
        <v>40</v>
      </c>
      <c r="C90" s="2" t="s">
        <v>17</v>
      </c>
      <c r="D90" s="2">
        <v>5</v>
      </c>
      <c r="E90" s="6" t="s">
        <v>502</v>
      </c>
      <c r="F90" s="2" t="str">
        <f t="shared" si="6"/>
        <v>B</v>
      </c>
      <c r="G90" s="2">
        <v>5</v>
      </c>
      <c r="H90" s="2" t="str">
        <f t="shared" si="7"/>
        <v>C</v>
      </c>
      <c r="I90" s="2">
        <v>4</v>
      </c>
      <c r="J90" s="2">
        <f t="shared" si="8"/>
        <v>1</v>
      </c>
      <c r="K90" s="2" t="str">
        <f t="shared" si="9"/>
        <v>A</v>
      </c>
      <c r="L90" s="2" t="str">
        <f t="shared" si="10"/>
        <v>B</v>
      </c>
      <c r="M90" s="2" t="s">
        <v>37</v>
      </c>
      <c r="N90" s="2">
        <f t="shared" si="11"/>
        <v>1</v>
      </c>
      <c r="O90" s="2" t="s">
        <v>34</v>
      </c>
      <c r="P90" s="2">
        <v>172</v>
      </c>
    </row>
    <row r="91" ht="23" customHeight="1" spans="1:16">
      <c r="A91" s="6" t="s">
        <v>370</v>
      </c>
      <c r="B91" s="2" t="s">
        <v>40</v>
      </c>
      <c r="C91" s="2" t="s">
        <v>47</v>
      </c>
      <c r="D91" s="2">
        <v>5</v>
      </c>
      <c r="E91" s="6" t="s">
        <v>502</v>
      </c>
      <c r="F91" s="2" t="str">
        <f t="shared" si="6"/>
        <v>C</v>
      </c>
      <c r="G91" s="2">
        <v>4</v>
      </c>
      <c r="H91" s="2" t="str">
        <f t="shared" si="7"/>
        <v>B</v>
      </c>
      <c r="I91" s="2">
        <v>5</v>
      </c>
      <c r="J91" s="2">
        <f t="shared" si="8"/>
        <v>-1</v>
      </c>
      <c r="K91" s="2" t="str">
        <f t="shared" si="9"/>
        <v>B</v>
      </c>
      <c r="L91" s="2" t="str">
        <f t="shared" si="10"/>
        <v>B</v>
      </c>
      <c r="M91" s="2" t="s">
        <v>37</v>
      </c>
      <c r="N91" s="2">
        <f t="shared" si="11"/>
        <v>1</v>
      </c>
      <c r="O91" s="2" t="s">
        <v>37</v>
      </c>
      <c r="P91" s="2">
        <v>181</v>
      </c>
    </row>
    <row r="92" ht="23" customHeight="1" spans="1:16">
      <c r="A92" s="6" t="s">
        <v>13</v>
      </c>
      <c r="B92" s="2" t="s">
        <v>15</v>
      </c>
      <c r="C92" s="2" t="s">
        <v>17</v>
      </c>
      <c r="D92" s="2">
        <v>1</v>
      </c>
      <c r="E92" s="6" t="s">
        <v>498</v>
      </c>
      <c r="F92" s="2" t="str">
        <f t="shared" si="6"/>
        <v>A</v>
      </c>
      <c r="G92" s="2">
        <v>4</v>
      </c>
      <c r="H92" s="2" t="str">
        <f t="shared" si="7"/>
        <v>B</v>
      </c>
      <c r="I92" s="2">
        <v>4</v>
      </c>
      <c r="J92" s="2">
        <f t="shared" si="8"/>
        <v>0</v>
      </c>
      <c r="K92" s="2" t="str">
        <f t="shared" si="9"/>
        <v>C</v>
      </c>
      <c r="L92" s="2" t="str">
        <f t="shared" si="10"/>
        <v>D(平局)</v>
      </c>
      <c r="M92" s="2" t="s">
        <v>23</v>
      </c>
      <c r="N92" s="2">
        <f t="shared" si="11"/>
        <v>1</v>
      </c>
      <c r="O92" s="2" t="s">
        <v>22</v>
      </c>
      <c r="P92" s="2">
        <v>4</v>
      </c>
    </row>
    <row r="93" ht="23" customHeight="1" spans="1:16">
      <c r="A93" s="6" t="s">
        <v>13</v>
      </c>
      <c r="B93" s="2" t="s">
        <v>15</v>
      </c>
      <c r="C93" s="2" t="s">
        <v>47</v>
      </c>
      <c r="D93" s="2">
        <v>1</v>
      </c>
      <c r="E93" s="6" t="s">
        <v>498</v>
      </c>
      <c r="F93" s="2" t="str">
        <f t="shared" si="6"/>
        <v>B</v>
      </c>
      <c r="G93" s="2">
        <v>5</v>
      </c>
      <c r="H93" s="2" t="str">
        <f t="shared" si="7"/>
        <v>A</v>
      </c>
      <c r="I93" s="2">
        <v>5</v>
      </c>
      <c r="J93" s="2">
        <f t="shared" si="8"/>
        <v>0</v>
      </c>
      <c r="K93" s="2" t="str">
        <f t="shared" si="9"/>
        <v>C</v>
      </c>
      <c r="L93" s="2" t="str">
        <f t="shared" si="10"/>
        <v>D(平局)</v>
      </c>
      <c r="M93" s="2" t="s">
        <v>23</v>
      </c>
      <c r="N93" s="2">
        <f t="shared" si="11"/>
        <v>1</v>
      </c>
      <c r="O93" s="2" t="s">
        <v>34</v>
      </c>
      <c r="P93" s="2">
        <v>13</v>
      </c>
    </row>
    <row r="94" ht="23" customHeight="1" spans="1:16">
      <c r="A94" s="6" t="s">
        <v>13</v>
      </c>
      <c r="B94" s="2" t="s">
        <v>15</v>
      </c>
      <c r="C94" s="2" t="s">
        <v>17</v>
      </c>
      <c r="D94" s="2">
        <v>2</v>
      </c>
      <c r="E94" s="6" t="s">
        <v>499</v>
      </c>
      <c r="F94" s="2" t="str">
        <f t="shared" si="6"/>
        <v>A</v>
      </c>
      <c r="G94" s="2">
        <v>4</v>
      </c>
      <c r="H94" s="2" t="str">
        <f t="shared" si="7"/>
        <v>B</v>
      </c>
      <c r="I94" s="2">
        <v>4</v>
      </c>
      <c r="J94" s="2">
        <f t="shared" si="8"/>
        <v>0</v>
      </c>
      <c r="K94" s="2" t="str">
        <f t="shared" si="9"/>
        <v>C</v>
      </c>
      <c r="L94" s="2" t="str">
        <f t="shared" si="10"/>
        <v>D(平局)</v>
      </c>
      <c r="M94" s="2" t="s">
        <v>23</v>
      </c>
      <c r="N94" s="2">
        <f t="shared" si="11"/>
        <v>1</v>
      </c>
      <c r="O94" s="2" t="s">
        <v>22</v>
      </c>
      <c r="P94" s="2">
        <v>4</v>
      </c>
    </row>
    <row r="95" ht="23" customHeight="1" spans="1:16">
      <c r="A95" s="6" t="s">
        <v>13</v>
      </c>
      <c r="B95" s="2" t="s">
        <v>15</v>
      </c>
      <c r="C95" s="2" t="s">
        <v>47</v>
      </c>
      <c r="D95" s="2">
        <v>2</v>
      </c>
      <c r="E95" s="6" t="s">
        <v>499</v>
      </c>
      <c r="F95" s="2" t="str">
        <f t="shared" si="6"/>
        <v>B</v>
      </c>
      <c r="G95" s="2">
        <v>5</v>
      </c>
      <c r="H95" s="2" t="str">
        <f t="shared" si="7"/>
        <v>A</v>
      </c>
      <c r="I95" s="2">
        <v>5</v>
      </c>
      <c r="J95" s="2">
        <f t="shared" si="8"/>
        <v>0</v>
      </c>
      <c r="K95" s="2" t="str">
        <f t="shared" si="9"/>
        <v>C</v>
      </c>
      <c r="L95" s="2" t="str">
        <f t="shared" si="10"/>
        <v>D(平局)</v>
      </c>
      <c r="M95" s="2" t="s">
        <v>23</v>
      </c>
      <c r="N95" s="2">
        <f t="shared" si="11"/>
        <v>1</v>
      </c>
      <c r="O95" s="2" t="s">
        <v>34</v>
      </c>
      <c r="P95" s="2">
        <v>13</v>
      </c>
    </row>
    <row r="96" ht="23" customHeight="1" spans="1:16">
      <c r="A96" s="6" t="s">
        <v>13</v>
      </c>
      <c r="B96" s="2" t="s">
        <v>15</v>
      </c>
      <c r="C96" s="2" t="s">
        <v>17</v>
      </c>
      <c r="D96" s="2">
        <v>3</v>
      </c>
      <c r="E96" s="6" t="s">
        <v>500</v>
      </c>
      <c r="F96" s="2" t="str">
        <f t="shared" si="6"/>
        <v>A</v>
      </c>
      <c r="G96" s="2">
        <v>4</v>
      </c>
      <c r="H96" s="2" t="str">
        <f t="shared" si="7"/>
        <v>B</v>
      </c>
      <c r="I96" s="2">
        <v>4</v>
      </c>
      <c r="J96" s="2">
        <f t="shared" si="8"/>
        <v>0</v>
      </c>
      <c r="K96" s="2" t="str">
        <f t="shared" si="9"/>
        <v>C</v>
      </c>
      <c r="L96" s="2" t="str">
        <f t="shared" si="10"/>
        <v>D(平局)</v>
      </c>
      <c r="M96" s="2" t="s">
        <v>23</v>
      </c>
      <c r="N96" s="2">
        <f t="shared" si="11"/>
        <v>1</v>
      </c>
      <c r="O96" s="2" t="s">
        <v>22</v>
      </c>
      <c r="P96" s="2">
        <v>4</v>
      </c>
    </row>
    <row r="97" ht="23" customHeight="1" spans="1:16">
      <c r="A97" s="6" t="s">
        <v>13</v>
      </c>
      <c r="B97" s="2" t="s">
        <v>15</v>
      </c>
      <c r="C97" s="2" t="s">
        <v>47</v>
      </c>
      <c r="D97" s="2">
        <v>3</v>
      </c>
      <c r="E97" s="6" t="s">
        <v>500</v>
      </c>
      <c r="F97" s="2" t="str">
        <f t="shared" si="6"/>
        <v>B</v>
      </c>
      <c r="G97" s="2">
        <v>5</v>
      </c>
      <c r="H97" s="2" t="str">
        <f t="shared" si="7"/>
        <v>A</v>
      </c>
      <c r="I97" s="2">
        <v>4</v>
      </c>
      <c r="J97" s="2">
        <f t="shared" si="8"/>
        <v>1</v>
      </c>
      <c r="K97" s="2" t="str">
        <f t="shared" si="9"/>
        <v>A</v>
      </c>
      <c r="L97" s="2" t="str">
        <f t="shared" si="10"/>
        <v>B</v>
      </c>
      <c r="M97" s="2" t="s">
        <v>23</v>
      </c>
      <c r="N97" s="2">
        <f t="shared" si="11"/>
        <v>0</v>
      </c>
      <c r="O97" s="2" t="s">
        <v>34</v>
      </c>
      <c r="P97" s="2">
        <v>13</v>
      </c>
    </row>
    <row r="98" ht="23" customHeight="1" spans="1:16">
      <c r="A98" s="6" t="s">
        <v>13</v>
      </c>
      <c r="B98" s="2" t="s">
        <v>15</v>
      </c>
      <c r="C98" s="2" t="s">
        <v>17</v>
      </c>
      <c r="D98" s="2">
        <v>4</v>
      </c>
      <c r="E98" s="6" t="s">
        <v>501</v>
      </c>
      <c r="F98" s="2" t="str">
        <f t="shared" si="6"/>
        <v>A</v>
      </c>
      <c r="G98" s="2">
        <v>4</v>
      </c>
      <c r="H98" s="2" t="str">
        <f t="shared" si="7"/>
        <v>B</v>
      </c>
      <c r="I98" s="2">
        <v>4</v>
      </c>
      <c r="J98" s="2">
        <f t="shared" si="8"/>
        <v>0</v>
      </c>
      <c r="K98" s="2" t="str">
        <f t="shared" si="9"/>
        <v>C</v>
      </c>
      <c r="L98" s="2" t="str">
        <f t="shared" si="10"/>
        <v>D(平局)</v>
      </c>
      <c r="M98" s="2" t="s">
        <v>23</v>
      </c>
      <c r="N98" s="2">
        <f t="shared" si="11"/>
        <v>1</v>
      </c>
      <c r="O98" s="2" t="s">
        <v>22</v>
      </c>
      <c r="P98" s="2">
        <v>4</v>
      </c>
    </row>
    <row r="99" ht="23" customHeight="1" spans="1:16">
      <c r="A99" s="6" t="s">
        <v>13</v>
      </c>
      <c r="B99" s="2" t="s">
        <v>15</v>
      </c>
      <c r="C99" s="2" t="s">
        <v>47</v>
      </c>
      <c r="D99" s="2">
        <v>4</v>
      </c>
      <c r="E99" s="6" t="s">
        <v>501</v>
      </c>
      <c r="F99" s="2" t="str">
        <f t="shared" si="6"/>
        <v>B</v>
      </c>
      <c r="G99" s="2">
        <v>5</v>
      </c>
      <c r="H99" s="2" t="str">
        <f t="shared" si="7"/>
        <v>A</v>
      </c>
      <c r="I99" s="2">
        <v>4</v>
      </c>
      <c r="J99" s="2">
        <f t="shared" si="8"/>
        <v>1</v>
      </c>
      <c r="K99" s="2" t="str">
        <f t="shared" si="9"/>
        <v>A</v>
      </c>
      <c r="L99" s="2" t="str">
        <f t="shared" si="10"/>
        <v>B</v>
      </c>
      <c r="M99" s="2" t="s">
        <v>23</v>
      </c>
      <c r="N99" s="2">
        <f t="shared" si="11"/>
        <v>0</v>
      </c>
      <c r="O99" s="2" t="s">
        <v>34</v>
      </c>
      <c r="P99" s="2">
        <v>13</v>
      </c>
    </row>
    <row r="100" ht="23" customHeight="1" spans="1:16">
      <c r="A100" s="6" t="s">
        <v>13</v>
      </c>
      <c r="B100" s="2" t="s">
        <v>15</v>
      </c>
      <c r="C100" s="2" t="s">
        <v>17</v>
      </c>
      <c r="D100" s="2">
        <v>5</v>
      </c>
      <c r="E100" s="6" t="s">
        <v>502</v>
      </c>
      <c r="F100" s="2" t="str">
        <f t="shared" si="6"/>
        <v>A</v>
      </c>
      <c r="G100" s="2">
        <v>4</v>
      </c>
      <c r="H100" s="2" t="str">
        <f t="shared" si="7"/>
        <v>B</v>
      </c>
      <c r="I100" s="2">
        <v>4</v>
      </c>
      <c r="J100" s="2">
        <f t="shared" si="8"/>
        <v>0</v>
      </c>
      <c r="K100" s="2" t="str">
        <f t="shared" si="9"/>
        <v>C</v>
      </c>
      <c r="L100" s="2" t="str">
        <f t="shared" si="10"/>
        <v>D(平局)</v>
      </c>
      <c r="M100" s="2" t="s">
        <v>23</v>
      </c>
      <c r="N100" s="2">
        <f t="shared" si="11"/>
        <v>1</v>
      </c>
      <c r="O100" s="2" t="s">
        <v>22</v>
      </c>
      <c r="P100" s="2">
        <v>4</v>
      </c>
    </row>
    <row r="101" ht="23" customHeight="1" spans="1:16">
      <c r="A101" s="6" t="s">
        <v>13</v>
      </c>
      <c r="B101" s="2" t="s">
        <v>15</v>
      </c>
      <c r="C101" s="2" t="s">
        <v>47</v>
      </c>
      <c r="D101" s="2">
        <v>5</v>
      </c>
      <c r="E101" s="6" t="s">
        <v>502</v>
      </c>
      <c r="F101" s="2" t="str">
        <f t="shared" si="6"/>
        <v>B</v>
      </c>
      <c r="G101" s="2">
        <v>5</v>
      </c>
      <c r="H101" s="2" t="str">
        <f t="shared" si="7"/>
        <v>A</v>
      </c>
      <c r="I101" s="2">
        <v>5</v>
      </c>
      <c r="J101" s="2">
        <f t="shared" si="8"/>
        <v>0</v>
      </c>
      <c r="K101" s="2" t="str">
        <f t="shared" si="9"/>
        <v>C</v>
      </c>
      <c r="L101" s="2" t="str">
        <f t="shared" si="10"/>
        <v>D(平局)</v>
      </c>
      <c r="M101" s="2" t="s">
        <v>23</v>
      </c>
      <c r="N101" s="2">
        <f t="shared" si="11"/>
        <v>1</v>
      </c>
      <c r="O101" s="2" t="s">
        <v>34</v>
      </c>
      <c r="P101" s="2">
        <v>13</v>
      </c>
    </row>
    <row r="102" ht="23" customHeight="1" spans="1:16">
      <c r="A102" s="6" t="s">
        <v>13</v>
      </c>
      <c r="B102" s="2" t="s">
        <v>30</v>
      </c>
      <c r="C102" s="2" t="s">
        <v>17</v>
      </c>
      <c r="D102" s="2">
        <v>1</v>
      </c>
      <c r="E102" s="6" t="s">
        <v>498</v>
      </c>
      <c r="F102" s="2" t="str">
        <f t="shared" si="6"/>
        <v>A</v>
      </c>
      <c r="G102" s="2">
        <v>5</v>
      </c>
      <c r="H102" s="2" t="str">
        <f t="shared" si="7"/>
        <v>C</v>
      </c>
      <c r="I102" s="2">
        <v>5</v>
      </c>
      <c r="J102" s="2">
        <f t="shared" si="8"/>
        <v>0</v>
      </c>
      <c r="K102" s="2" t="str">
        <f t="shared" si="9"/>
        <v>C</v>
      </c>
      <c r="L102" s="2" t="str">
        <f t="shared" si="10"/>
        <v>D(平局)</v>
      </c>
      <c r="M102" s="2" t="s">
        <v>34</v>
      </c>
      <c r="N102" s="2">
        <f t="shared" si="11"/>
        <v>0</v>
      </c>
      <c r="O102" s="2" t="s">
        <v>22</v>
      </c>
      <c r="P102" s="2">
        <v>7</v>
      </c>
    </row>
    <row r="103" ht="23" customHeight="1" spans="1:16">
      <c r="A103" s="6" t="s">
        <v>13</v>
      </c>
      <c r="B103" s="2" t="s">
        <v>30</v>
      </c>
      <c r="C103" s="2" t="s">
        <v>47</v>
      </c>
      <c r="D103" s="2">
        <v>1</v>
      </c>
      <c r="E103" s="6" t="s">
        <v>498</v>
      </c>
      <c r="F103" s="2" t="str">
        <f t="shared" si="6"/>
        <v>C</v>
      </c>
      <c r="G103" s="2">
        <v>5</v>
      </c>
      <c r="H103" s="2" t="str">
        <f t="shared" si="7"/>
        <v>A</v>
      </c>
      <c r="I103" s="2">
        <v>5</v>
      </c>
      <c r="J103" s="2">
        <f t="shared" si="8"/>
        <v>0</v>
      </c>
      <c r="K103" s="2" t="str">
        <f t="shared" si="9"/>
        <v>C</v>
      </c>
      <c r="L103" s="2" t="str">
        <f t="shared" si="10"/>
        <v>D(平局)</v>
      </c>
      <c r="M103" s="2" t="s">
        <v>34</v>
      </c>
      <c r="N103" s="2">
        <f t="shared" si="11"/>
        <v>0</v>
      </c>
      <c r="O103" s="2" t="s">
        <v>34</v>
      </c>
      <c r="P103" s="2">
        <v>16</v>
      </c>
    </row>
    <row r="104" ht="23" customHeight="1" spans="1:16">
      <c r="A104" s="6" t="s">
        <v>13</v>
      </c>
      <c r="B104" s="2" t="s">
        <v>30</v>
      </c>
      <c r="C104" s="2" t="s">
        <v>17</v>
      </c>
      <c r="D104" s="2">
        <v>2</v>
      </c>
      <c r="E104" s="6" t="s">
        <v>499</v>
      </c>
      <c r="F104" s="2" t="str">
        <f t="shared" si="6"/>
        <v>A</v>
      </c>
      <c r="G104" s="2">
        <v>4</v>
      </c>
      <c r="H104" s="2" t="str">
        <f t="shared" si="7"/>
        <v>C</v>
      </c>
      <c r="I104" s="2">
        <v>4</v>
      </c>
      <c r="J104" s="2">
        <f t="shared" si="8"/>
        <v>0</v>
      </c>
      <c r="K104" s="2" t="str">
        <f t="shared" si="9"/>
        <v>C</v>
      </c>
      <c r="L104" s="2" t="str">
        <f t="shared" si="10"/>
        <v>D(平局)</v>
      </c>
      <c r="M104" s="2" t="s">
        <v>34</v>
      </c>
      <c r="N104" s="2">
        <f t="shared" si="11"/>
        <v>0</v>
      </c>
      <c r="O104" s="2" t="s">
        <v>22</v>
      </c>
      <c r="P104" s="2">
        <v>7</v>
      </c>
    </row>
    <row r="105" ht="23" customHeight="1" spans="1:16">
      <c r="A105" s="6" t="s">
        <v>13</v>
      </c>
      <c r="B105" s="2" t="s">
        <v>30</v>
      </c>
      <c r="C105" s="2" t="s">
        <v>47</v>
      </c>
      <c r="D105" s="2">
        <v>2</v>
      </c>
      <c r="E105" s="6" t="s">
        <v>499</v>
      </c>
      <c r="F105" s="2" t="str">
        <f t="shared" si="6"/>
        <v>C</v>
      </c>
      <c r="G105" s="2">
        <v>4</v>
      </c>
      <c r="H105" s="2" t="str">
        <f t="shared" si="7"/>
        <v>A</v>
      </c>
      <c r="I105" s="2">
        <v>5</v>
      </c>
      <c r="J105" s="2">
        <f t="shared" si="8"/>
        <v>-1</v>
      </c>
      <c r="K105" s="2" t="str">
        <f t="shared" si="9"/>
        <v>B</v>
      </c>
      <c r="L105" s="2" t="str">
        <f t="shared" si="10"/>
        <v>A</v>
      </c>
      <c r="M105" s="2" t="s">
        <v>34</v>
      </c>
      <c r="N105" s="2">
        <f t="shared" si="11"/>
        <v>1</v>
      </c>
      <c r="O105" s="2" t="s">
        <v>34</v>
      </c>
      <c r="P105" s="2">
        <v>16</v>
      </c>
    </row>
    <row r="106" ht="23" customHeight="1" spans="1:16">
      <c r="A106" s="6" t="s">
        <v>13</v>
      </c>
      <c r="B106" s="2" t="s">
        <v>30</v>
      </c>
      <c r="C106" s="2" t="s">
        <v>17</v>
      </c>
      <c r="D106" s="2">
        <v>3</v>
      </c>
      <c r="E106" s="6" t="s">
        <v>500</v>
      </c>
      <c r="F106" s="2" t="str">
        <f t="shared" si="6"/>
        <v>A</v>
      </c>
      <c r="G106" s="2">
        <v>4</v>
      </c>
      <c r="H106" s="2" t="str">
        <f t="shared" si="7"/>
        <v>C</v>
      </c>
      <c r="I106" s="2">
        <v>4</v>
      </c>
      <c r="J106" s="2">
        <f t="shared" si="8"/>
        <v>0</v>
      </c>
      <c r="K106" s="2" t="str">
        <f t="shared" si="9"/>
        <v>C</v>
      </c>
      <c r="L106" s="2" t="str">
        <f t="shared" si="10"/>
        <v>D(平局)</v>
      </c>
      <c r="M106" s="2" t="s">
        <v>34</v>
      </c>
      <c r="N106" s="2">
        <f t="shared" si="11"/>
        <v>0</v>
      </c>
      <c r="O106" s="2" t="s">
        <v>22</v>
      </c>
      <c r="P106" s="2">
        <v>7</v>
      </c>
    </row>
    <row r="107" ht="23" customHeight="1" spans="1:16">
      <c r="A107" s="6" t="s">
        <v>13</v>
      </c>
      <c r="B107" s="2" t="s">
        <v>30</v>
      </c>
      <c r="C107" s="2" t="s">
        <v>47</v>
      </c>
      <c r="D107" s="2">
        <v>3</v>
      </c>
      <c r="E107" s="6" t="s">
        <v>500</v>
      </c>
      <c r="F107" s="2" t="str">
        <f t="shared" si="6"/>
        <v>C</v>
      </c>
      <c r="G107" s="2">
        <v>5</v>
      </c>
      <c r="H107" s="2" t="str">
        <f t="shared" si="7"/>
        <v>A</v>
      </c>
      <c r="I107" s="2">
        <v>4</v>
      </c>
      <c r="J107" s="2">
        <f t="shared" si="8"/>
        <v>1</v>
      </c>
      <c r="K107" s="2" t="str">
        <f t="shared" si="9"/>
        <v>A</v>
      </c>
      <c r="L107" s="2" t="str">
        <f t="shared" si="10"/>
        <v>C</v>
      </c>
      <c r="M107" s="2" t="s">
        <v>34</v>
      </c>
      <c r="N107" s="2">
        <f t="shared" si="11"/>
        <v>0</v>
      </c>
      <c r="O107" s="2" t="s">
        <v>34</v>
      </c>
      <c r="P107" s="2">
        <v>16</v>
      </c>
    </row>
    <row r="108" ht="23" customHeight="1" spans="1:16">
      <c r="A108" s="6" t="s">
        <v>13</v>
      </c>
      <c r="B108" s="2" t="s">
        <v>30</v>
      </c>
      <c r="C108" s="2" t="s">
        <v>17</v>
      </c>
      <c r="D108" s="2">
        <v>4</v>
      </c>
      <c r="E108" s="6" t="s">
        <v>501</v>
      </c>
      <c r="F108" s="2" t="str">
        <f t="shared" si="6"/>
        <v>A</v>
      </c>
      <c r="G108" s="2">
        <v>4</v>
      </c>
      <c r="H108" s="2" t="str">
        <f t="shared" si="7"/>
        <v>C</v>
      </c>
      <c r="I108" s="2">
        <v>4</v>
      </c>
      <c r="J108" s="2">
        <f t="shared" si="8"/>
        <v>0</v>
      </c>
      <c r="K108" s="2" t="str">
        <f t="shared" si="9"/>
        <v>C</v>
      </c>
      <c r="L108" s="2" t="str">
        <f t="shared" si="10"/>
        <v>D(平局)</v>
      </c>
      <c r="M108" s="2" t="s">
        <v>34</v>
      </c>
      <c r="N108" s="2">
        <f t="shared" si="11"/>
        <v>0</v>
      </c>
      <c r="O108" s="2" t="s">
        <v>22</v>
      </c>
      <c r="P108" s="2">
        <v>7</v>
      </c>
    </row>
    <row r="109" ht="23" customHeight="1" spans="1:16">
      <c r="A109" s="6" t="s">
        <v>13</v>
      </c>
      <c r="B109" s="2" t="s">
        <v>30</v>
      </c>
      <c r="C109" s="2" t="s">
        <v>47</v>
      </c>
      <c r="D109" s="2">
        <v>4</v>
      </c>
      <c r="E109" s="6" t="s">
        <v>501</v>
      </c>
      <c r="F109" s="2" t="str">
        <f t="shared" si="6"/>
        <v>C</v>
      </c>
      <c r="G109" s="2">
        <v>5</v>
      </c>
      <c r="H109" s="2" t="str">
        <f t="shared" si="7"/>
        <v>A</v>
      </c>
      <c r="I109" s="2">
        <v>4</v>
      </c>
      <c r="J109" s="2">
        <f t="shared" si="8"/>
        <v>1</v>
      </c>
      <c r="K109" s="2" t="str">
        <f t="shared" si="9"/>
        <v>A</v>
      </c>
      <c r="L109" s="2" t="str">
        <f t="shared" si="10"/>
        <v>C</v>
      </c>
      <c r="M109" s="2" t="s">
        <v>34</v>
      </c>
      <c r="N109" s="2">
        <f t="shared" si="11"/>
        <v>0</v>
      </c>
      <c r="O109" s="2" t="s">
        <v>34</v>
      </c>
      <c r="P109" s="2">
        <v>16</v>
      </c>
    </row>
    <row r="110" ht="23" customHeight="1" spans="1:16">
      <c r="A110" s="6" t="s">
        <v>13</v>
      </c>
      <c r="B110" s="2" t="s">
        <v>30</v>
      </c>
      <c r="C110" s="2" t="s">
        <v>17</v>
      </c>
      <c r="D110" s="2">
        <v>5</v>
      </c>
      <c r="E110" s="6" t="s">
        <v>502</v>
      </c>
      <c r="F110" s="2" t="str">
        <f t="shared" si="6"/>
        <v>A</v>
      </c>
      <c r="G110" s="2">
        <v>4</v>
      </c>
      <c r="H110" s="2" t="str">
        <f t="shared" si="7"/>
        <v>C</v>
      </c>
      <c r="I110" s="2">
        <v>4</v>
      </c>
      <c r="J110" s="2">
        <f t="shared" si="8"/>
        <v>0</v>
      </c>
      <c r="K110" s="2" t="str">
        <f t="shared" si="9"/>
        <v>C</v>
      </c>
      <c r="L110" s="2" t="str">
        <f t="shared" si="10"/>
        <v>D(平局)</v>
      </c>
      <c r="M110" s="2" t="s">
        <v>34</v>
      </c>
      <c r="N110" s="2">
        <f t="shared" si="11"/>
        <v>0</v>
      </c>
      <c r="O110" s="2" t="s">
        <v>22</v>
      </c>
      <c r="P110" s="2">
        <v>7</v>
      </c>
    </row>
    <row r="111" ht="23" customHeight="1" spans="1:16">
      <c r="A111" s="6" t="s">
        <v>13</v>
      </c>
      <c r="B111" s="2" t="s">
        <v>30</v>
      </c>
      <c r="C111" s="2" t="s">
        <v>47</v>
      </c>
      <c r="D111" s="2">
        <v>5</v>
      </c>
      <c r="E111" s="6" t="s">
        <v>502</v>
      </c>
      <c r="F111" s="2" t="str">
        <f t="shared" si="6"/>
        <v>C</v>
      </c>
      <c r="G111" s="2">
        <v>5</v>
      </c>
      <c r="H111" s="2" t="str">
        <f t="shared" si="7"/>
        <v>A</v>
      </c>
      <c r="I111" s="2">
        <v>5</v>
      </c>
      <c r="J111" s="2">
        <f t="shared" si="8"/>
        <v>0</v>
      </c>
      <c r="K111" s="2" t="str">
        <f t="shared" si="9"/>
        <v>C</v>
      </c>
      <c r="L111" s="2" t="str">
        <f t="shared" si="10"/>
        <v>D(平局)</v>
      </c>
      <c r="M111" s="2" t="s">
        <v>34</v>
      </c>
      <c r="N111" s="2">
        <f t="shared" si="11"/>
        <v>0</v>
      </c>
      <c r="O111" s="2" t="s">
        <v>34</v>
      </c>
      <c r="P111" s="2">
        <v>16</v>
      </c>
    </row>
    <row r="112" ht="23" customHeight="1" spans="1:16">
      <c r="A112" s="6" t="s">
        <v>13</v>
      </c>
      <c r="B112" s="2" t="s">
        <v>40</v>
      </c>
      <c r="C112" s="2" t="s">
        <v>17</v>
      </c>
      <c r="D112" s="2">
        <v>1</v>
      </c>
      <c r="E112" s="6" t="s">
        <v>498</v>
      </c>
      <c r="F112" s="2" t="str">
        <f t="shared" si="6"/>
        <v>B</v>
      </c>
      <c r="G112" s="2">
        <v>5</v>
      </c>
      <c r="H112" s="2" t="str">
        <f t="shared" si="7"/>
        <v>C</v>
      </c>
      <c r="I112" s="2">
        <v>5</v>
      </c>
      <c r="J112" s="2">
        <f t="shared" si="8"/>
        <v>0</v>
      </c>
      <c r="K112" s="2" t="str">
        <f t="shared" si="9"/>
        <v>C</v>
      </c>
      <c r="L112" s="2" t="str">
        <f t="shared" si="10"/>
        <v>D(平局)</v>
      </c>
      <c r="M112" s="2" t="s">
        <v>37</v>
      </c>
      <c r="N112" s="2">
        <f t="shared" si="11"/>
        <v>0</v>
      </c>
      <c r="O112" s="2" t="s">
        <v>34</v>
      </c>
      <c r="P112" s="2">
        <v>10</v>
      </c>
    </row>
    <row r="113" ht="23" customHeight="1" spans="1:16">
      <c r="A113" s="6" t="s">
        <v>13</v>
      </c>
      <c r="B113" s="2" t="s">
        <v>40</v>
      </c>
      <c r="C113" s="2" t="s">
        <v>47</v>
      </c>
      <c r="D113" s="2">
        <v>1</v>
      </c>
      <c r="E113" s="6" t="s">
        <v>498</v>
      </c>
      <c r="F113" s="2" t="str">
        <f t="shared" si="6"/>
        <v>C</v>
      </c>
      <c r="G113" s="2">
        <v>5</v>
      </c>
      <c r="H113" s="2" t="str">
        <f t="shared" si="7"/>
        <v>B</v>
      </c>
      <c r="I113" s="2">
        <v>5</v>
      </c>
      <c r="J113" s="2">
        <f t="shared" si="8"/>
        <v>0</v>
      </c>
      <c r="K113" s="2" t="str">
        <f t="shared" si="9"/>
        <v>C</v>
      </c>
      <c r="L113" s="2" t="str">
        <f t="shared" si="10"/>
        <v>D(平局)</v>
      </c>
      <c r="M113" s="2" t="s">
        <v>37</v>
      </c>
      <c r="N113" s="2">
        <f t="shared" si="11"/>
        <v>0</v>
      </c>
      <c r="O113" s="2" t="s">
        <v>37</v>
      </c>
      <c r="P113" s="2">
        <v>19</v>
      </c>
    </row>
    <row r="114" ht="23" customHeight="1" spans="1:16">
      <c r="A114" s="6" t="s">
        <v>13</v>
      </c>
      <c r="B114" s="2" t="s">
        <v>40</v>
      </c>
      <c r="C114" s="2" t="s">
        <v>17</v>
      </c>
      <c r="D114" s="2">
        <v>2</v>
      </c>
      <c r="E114" s="6" t="s">
        <v>499</v>
      </c>
      <c r="F114" s="2" t="str">
        <f t="shared" si="6"/>
        <v>B</v>
      </c>
      <c r="G114" s="2">
        <v>5</v>
      </c>
      <c r="H114" s="2" t="str">
        <f t="shared" si="7"/>
        <v>C</v>
      </c>
      <c r="I114" s="2">
        <v>4</v>
      </c>
      <c r="J114" s="2">
        <f t="shared" si="8"/>
        <v>1</v>
      </c>
      <c r="K114" s="2" t="str">
        <f t="shared" si="9"/>
        <v>A</v>
      </c>
      <c r="L114" s="2" t="str">
        <f t="shared" si="10"/>
        <v>B</v>
      </c>
      <c r="M114" s="2" t="s">
        <v>37</v>
      </c>
      <c r="N114" s="2">
        <f t="shared" si="11"/>
        <v>1</v>
      </c>
      <c r="O114" s="2" t="s">
        <v>34</v>
      </c>
      <c r="P114" s="2">
        <v>10</v>
      </c>
    </row>
    <row r="115" ht="23" customHeight="1" spans="1:16">
      <c r="A115" s="6" t="s">
        <v>13</v>
      </c>
      <c r="B115" s="2" t="s">
        <v>40</v>
      </c>
      <c r="C115" s="2" t="s">
        <v>47</v>
      </c>
      <c r="D115" s="2">
        <v>2</v>
      </c>
      <c r="E115" s="6" t="s">
        <v>499</v>
      </c>
      <c r="F115" s="2" t="str">
        <f t="shared" si="6"/>
        <v>C</v>
      </c>
      <c r="G115" s="2">
        <v>3</v>
      </c>
      <c r="H115" s="2" t="str">
        <f t="shared" si="7"/>
        <v>B</v>
      </c>
      <c r="I115" s="2">
        <v>4</v>
      </c>
      <c r="J115" s="2">
        <f t="shared" si="8"/>
        <v>-1</v>
      </c>
      <c r="K115" s="2" t="str">
        <f t="shared" si="9"/>
        <v>B</v>
      </c>
      <c r="L115" s="2" t="str">
        <f t="shared" si="10"/>
        <v>B</v>
      </c>
      <c r="M115" s="2" t="s">
        <v>37</v>
      </c>
      <c r="N115" s="2">
        <f t="shared" si="11"/>
        <v>1</v>
      </c>
      <c r="O115" s="2" t="s">
        <v>37</v>
      </c>
      <c r="P115" s="2">
        <v>19</v>
      </c>
    </row>
    <row r="116" ht="23" customHeight="1" spans="1:16">
      <c r="A116" s="6" t="s">
        <v>13</v>
      </c>
      <c r="B116" s="2" t="s">
        <v>40</v>
      </c>
      <c r="C116" s="2" t="s">
        <v>17</v>
      </c>
      <c r="D116" s="2">
        <v>3</v>
      </c>
      <c r="E116" s="6" t="s">
        <v>500</v>
      </c>
      <c r="F116" s="2" t="str">
        <f t="shared" si="6"/>
        <v>B</v>
      </c>
      <c r="G116" s="2">
        <v>5</v>
      </c>
      <c r="H116" s="2" t="str">
        <f t="shared" si="7"/>
        <v>C</v>
      </c>
      <c r="I116" s="2">
        <v>5</v>
      </c>
      <c r="J116" s="2">
        <f t="shared" si="8"/>
        <v>0</v>
      </c>
      <c r="K116" s="2" t="str">
        <f t="shared" si="9"/>
        <v>C</v>
      </c>
      <c r="L116" s="2" t="str">
        <f t="shared" si="10"/>
        <v>D(平局)</v>
      </c>
      <c r="M116" s="2" t="s">
        <v>37</v>
      </c>
      <c r="N116" s="2">
        <f t="shared" si="11"/>
        <v>0</v>
      </c>
      <c r="O116" s="2" t="s">
        <v>34</v>
      </c>
      <c r="P116" s="2">
        <v>10</v>
      </c>
    </row>
    <row r="117" ht="23" customHeight="1" spans="1:16">
      <c r="A117" s="6" t="s">
        <v>13</v>
      </c>
      <c r="B117" s="2" t="s">
        <v>40</v>
      </c>
      <c r="C117" s="2" t="s">
        <v>47</v>
      </c>
      <c r="D117" s="2">
        <v>3</v>
      </c>
      <c r="E117" s="6" t="s">
        <v>500</v>
      </c>
      <c r="F117" s="2" t="str">
        <f t="shared" si="6"/>
        <v>C</v>
      </c>
      <c r="G117" s="2">
        <v>5</v>
      </c>
      <c r="H117" s="2" t="str">
        <f t="shared" si="7"/>
        <v>B</v>
      </c>
      <c r="I117" s="2">
        <v>5</v>
      </c>
      <c r="J117" s="2">
        <f t="shared" si="8"/>
        <v>0</v>
      </c>
      <c r="K117" s="2" t="str">
        <f t="shared" si="9"/>
        <v>C</v>
      </c>
      <c r="L117" s="2" t="str">
        <f t="shared" si="10"/>
        <v>D(平局)</v>
      </c>
      <c r="M117" s="2" t="s">
        <v>37</v>
      </c>
      <c r="N117" s="2">
        <f t="shared" si="11"/>
        <v>0</v>
      </c>
      <c r="O117" s="2" t="s">
        <v>37</v>
      </c>
      <c r="P117" s="2">
        <v>19</v>
      </c>
    </row>
    <row r="118" ht="23" customHeight="1" spans="1:16">
      <c r="A118" s="6" t="s">
        <v>13</v>
      </c>
      <c r="B118" s="2" t="s">
        <v>40</v>
      </c>
      <c r="C118" s="2" t="s">
        <v>17</v>
      </c>
      <c r="D118" s="2">
        <v>4</v>
      </c>
      <c r="E118" s="6" t="s">
        <v>501</v>
      </c>
      <c r="F118" s="2" t="str">
        <f t="shared" si="6"/>
        <v>B</v>
      </c>
      <c r="G118" s="2">
        <v>5</v>
      </c>
      <c r="H118" s="2" t="str">
        <f t="shared" si="7"/>
        <v>C</v>
      </c>
      <c r="I118" s="2">
        <v>5</v>
      </c>
      <c r="J118" s="2">
        <f t="shared" si="8"/>
        <v>0</v>
      </c>
      <c r="K118" s="2" t="str">
        <f t="shared" si="9"/>
        <v>C</v>
      </c>
      <c r="L118" s="2" t="str">
        <f t="shared" si="10"/>
        <v>D(平局)</v>
      </c>
      <c r="M118" s="2" t="s">
        <v>37</v>
      </c>
      <c r="N118" s="2">
        <f t="shared" si="11"/>
        <v>0</v>
      </c>
      <c r="O118" s="2" t="s">
        <v>34</v>
      </c>
      <c r="P118" s="2">
        <v>10</v>
      </c>
    </row>
    <row r="119" ht="23" customHeight="1" spans="1:16">
      <c r="A119" s="6" t="s">
        <v>13</v>
      </c>
      <c r="B119" s="2" t="s">
        <v>40</v>
      </c>
      <c r="C119" s="2" t="s">
        <v>47</v>
      </c>
      <c r="D119" s="2">
        <v>4</v>
      </c>
      <c r="E119" s="6" t="s">
        <v>501</v>
      </c>
      <c r="F119" s="2" t="str">
        <f t="shared" si="6"/>
        <v>C</v>
      </c>
      <c r="G119" s="2">
        <v>5</v>
      </c>
      <c r="H119" s="2" t="str">
        <f t="shared" si="7"/>
        <v>B</v>
      </c>
      <c r="I119" s="2">
        <v>5</v>
      </c>
      <c r="J119" s="2">
        <f t="shared" si="8"/>
        <v>0</v>
      </c>
      <c r="K119" s="2" t="str">
        <f t="shared" si="9"/>
        <v>C</v>
      </c>
      <c r="L119" s="2" t="str">
        <f t="shared" si="10"/>
        <v>D(平局)</v>
      </c>
      <c r="M119" s="2" t="s">
        <v>37</v>
      </c>
      <c r="N119" s="2">
        <f t="shared" si="11"/>
        <v>0</v>
      </c>
      <c r="O119" s="2" t="s">
        <v>37</v>
      </c>
      <c r="P119" s="2">
        <v>19</v>
      </c>
    </row>
    <row r="120" ht="23" customHeight="1" spans="1:16">
      <c r="A120" s="6" t="s">
        <v>13</v>
      </c>
      <c r="B120" s="2" t="s">
        <v>40</v>
      </c>
      <c r="C120" s="2" t="s">
        <v>17</v>
      </c>
      <c r="D120" s="2">
        <v>5</v>
      </c>
      <c r="E120" s="6" t="s">
        <v>502</v>
      </c>
      <c r="F120" s="2" t="str">
        <f t="shared" si="6"/>
        <v>B</v>
      </c>
      <c r="G120" s="2">
        <v>5</v>
      </c>
      <c r="H120" s="2" t="str">
        <f t="shared" si="7"/>
        <v>C</v>
      </c>
      <c r="I120" s="2">
        <v>4</v>
      </c>
      <c r="J120" s="2">
        <f t="shared" si="8"/>
        <v>1</v>
      </c>
      <c r="K120" s="2" t="str">
        <f t="shared" si="9"/>
        <v>A</v>
      </c>
      <c r="L120" s="2" t="str">
        <f t="shared" si="10"/>
        <v>B</v>
      </c>
      <c r="M120" s="2" t="s">
        <v>37</v>
      </c>
      <c r="N120" s="2">
        <f t="shared" si="11"/>
        <v>1</v>
      </c>
      <c r="O120" s="2" t="s">
        <v>34</v>
      </c>
      <c r="P120" s="2">
        <v>10</v>
      </c>
    </row>
    <row r="121" ht="23" customHeight="1" spans="1:16">
      <c r="A121" s="6" t="s">
        <v>13</v>
      </c>
      <c r="B121" s="2" t="s">
        <v>40</v>
      </c>
      <c r="C121" s="2" t="s">
        <v>47</v>
      </c>
      <c r="D121" s="2">
        <v>5</v>
      </c>
      <c r="E121" s="6" t="s">
        <v>502</v>
      </c>
      <c r="F121" s="2" t="str">
        <f t="shared" si="6"/>
        <v>C</v>
      </c>
      <c r="G121" s="2">
        <v>4</v>
      </c>
      <c r="H121" s="2" t="str">
        <f t="shared" si="7"/>
        <v>B</v>
      </c>
      <c r="I121" s="2">
        <v>5</v>
      </c>
      <c r="J121" s="2">
        <f t="shared" si="8"/>
        <v>-1</v>
      </c>
      <c r="K121" s="2" t="str">
        <f t="shared" si="9"/>
        <v>B</v>
      </c>
      <c r="L121" s="2" t="str">
        <f t="shared" si="10"/>
        <v>B</v>
      </c>
      <c r="M121" s="2" t="s">
        <v>37</v>
      </c>
      <c r="N121" s="2">
        <f t="shared" si="11"/>
        <v>1</v>
      </c>
      <c r="O121" s="2" t="s">
        <v>37</v>
      </c>
      <c r="P121" s="2">
        <v>19</v>
      </c>
    </row>
    <row r="122" ht="23" customHeight="1" spans="1:16">
      <c r="A122" s="6" t="s">
        <v>180</v>
      </c>
      <c r="B122" s="2" t="s">
        <v>15</v>
      </c>
      <c r="C122" s="2" t="s">
        <v>17</v>
      </c>
      <c r="D122" s="2">
        <v>1</v>
      </c>
      <c r="E122" s="6" t="s">
        <v>498</v>
      </c>
      <c r="F122" s="2" t="str">
        <f t="shared" si="6"/>
        <v>A</v>
      </c>
      <c r="G122" s="2">
        <v>5</v>
      </c>
      <c r="H122" s="2" t="str">
        <f t="shared" si="7"/>
        <v>B</v>
      </c>
      <c r="I122" s="2">
        <v>5</v>
      </c>
      <c r="J122" s="2">
        <f t="shared" si="8"/>
        <v>0</v>
      </c>
      <c r="K122" s="2" t="str">
        <f t="shared" si="9"/>
        <v>C</v>
      </c>
      <c r="L122" s="2" t="str">
        <f t="shared" si="10"/>
        <v>D(平局)</v>
      </c>
      <c r="M122" s="2" t="s">
        <v>37</v>
      </c>
      <c r="N122" s="2">
        <f t="shared" si="11"/>
        <v>0</v>
      </c>
      <c r="O122" s="2" t="s">
        <v>37</v>
      </c>
      <c r="P122" s="2">
        <v>76</v>
      </c>
    </row>
    <row r="123" ht="23" customHeight="1" spans="1:16">
      <c r="A123" s="6" t="s">
        <v>180</v>
      </c>
      <c r="B123" s="2" t="s">
        <v>15</v>
      </c>
      <c r="C123" s="2" t="s">
        <v>47</v>
      </c>
      <c r="D123" s="2">
        <v>1</v>
      </c>
      <c r="E123" s="6" t="s">
        <v>498</v>
      </c>
      <c r="F123" s="2" t="str">
        <f t="shared" si="6"/>
        <v>B</v>
      </c>
      <c r="G123" s="2">
        <v>5</v>
      </c>
      <c r="H123" s="2" t="str">
        <f t="shared" si="7"/>
        <v>A</v>
      </c>
      <c r="I123" s="2">
        <v>4</v>
      </c>
      <c r="J123" s="2">
        <f t="shared" si="8"/>
        <v>1</v>
      </c>
      <c r="K123" s="2" t="str">
        <f t="shared" si="9"/>
        <v>A</v>
      </c>
      <c r="L123" s="2" t="str">
        <f t="shared" si="10"/>
        <v>B</v>
      </c>
      <c r="M123" s="2" t="s">
        <v>37</v>
      </c>
      <c r="N123" s="2">
        <f t="shared" si="11"/>
        <v>1</v>
      </c>
      <c r="O123" s="2" t="s">
        <v>34</v>
      </c>
      <c r="P123" s="2">
        <v>85</v>
      </c>
    </row>
    <row r="124" ht="23" customHeight="1" spans="1:16">
      <c r="A124" s="6" t="s">
        <v>180</v>
      </c>
      <c r="B124" s="2" t="s">
        <v>15</v>
      </c>
      <c r="C124" s="2" t="s">
        <v>17</v>
      </c>
      <c r="D124" s="2">
        <v>2</v>
      </c>
      <c r="E124" s="6" t="s">
        <v>499</v>
      </c>
      <c r="F124" s="2" t="str">
        <f t="shared" si="6"/>
        <v>A</v>
      </c>
      <c r="G124" s="2">
        <v>3</v>
      </c>
      <c r="H124" s="2" t="str">
        <f t="shared" si="7"/>
        <v>B</v>
      </c>
      <c r="I124" s="2">
        <v>3</v>
      </c>
      <c r="J124" s="2">
        <f t="shared" si="8"/>
        <v>0</v>
      </c>
      <c r="K124" s="2" t="str">
        <f t="shared" si="9"/>
        <v>C</v>
      </c>
      <c r="L124" s="2" t="str">
        <f t="shared" si="10"/>
        <v>D(平局)</v>
      </c>
      <c r="M124" s="2" t="s">
        <v>37</v>
      </c>
      <c r="N124" s="2">
        <f t="shared" si="11"/>
        <v>0</v>
      </c>
      <c r="O124" s="2" t="s">
        <v>37</v>
      </c>
      <c r="P124" s="2">
        <v>76</v>
      </c>
    </row>
    <row r="125" ht="23" customHeight="1" spans="1:16">
      <c r="A125" s="6" t="s">
        <v>180</v>
      </c>
      <c r="B125" s="2" t="s">
        <v>15</v>
      </c>
      <c r="C125" s="2" t="s">
        <v>47</v>
      </c>
      <c r="D125" s="2">
        <v>2</v>
      </c>
      <c r="E125" s="6" t="s">
        <v>499</v>
      </c>
      <c r="F125" s="2" t="str">
        <f t="shared" si="6"/>
        <v>B</v>
      </c>
      <c r="G125" s="2">
        <v>4</v>
      </c>
      <c r="H125" s="2" t="str">
        <f t="shared" si="7"/>
        <v>A</v>
      </c>
      <c r="I125" s="2">
        <v>3</v>
      </c>
      <c r="J125" s="2">
        <f t="shared" si="8"/>
        <v>1</v>
      </c>
      <c r="K125" s="2" t="str">
        <f t="shared" si="9"/>
        <v>A</v>
      </c>
      <c r="L125" s="2" t="str">
        <f t="shared" si="10"/>
        <v>B</v>
      </c>
      <c r="M125" s="2" t="s">
        <v>37</v>
      </c>
      <c r="N125" s="2">
        <f t="shared" si="11"/>
        <v>1</v>
      </c>
      <c r="O125" s="2" t="s">
        <v>34</v>
      </c>
      <c r="P125" s="2">
        <v>85</v>
      </c>
    </row>
    <row r="126" ht="23" customHeight="1" spans="1:16">
      <c r="A126" s="6" t="s">
        <v>180</v>
      </c>
      <c r="B126" s="2" t="s">
        <v>15</v>
      </c>
      <c r="C126" s="2" t="s">
        <v>17</v>
      </c>
      <c r="D126" s="2">
        <v>3</v>
      </c>
      <c r="E126" s="6" t="s">
        <v>500</v>
      </c>
      <c r="F126" s="2" t="str">
        <f t="shared" si="6"/>
        <v>A</v>
      </c>
      <c r="G126" s="2">
        <v>3</v>
      </c>
      <c r="H126" s="2" t="str">
        <f t="shared" si="7"/>
        <v>B</v>
      </c>
      <c r="I126" s="2">
        <v>4</v>
      </c>
      <c r="J126" s="2">
        <f t="shared" si="8"/>
        <v>-1</v>
      </c>
      <c r="K126" s="2" t="str">
        <f t="shared" si="9"/>
        <v>B</v>
      </c>
      <c r="L126" s="2" t="str">
        <f t="shared" si="10"/>
        <v>B</v>
      </c>
      <c r="M126" s="2" t="s">
        <v>37</v>
      </c>
      <c r="N126" s="2">
        <f t="shared" si="11"/>
        <v>1</v>
      </c>
      <c r="O126" s="2" t="s">
        <v>37</v>
      </c>
      <c r="P126" s="2">
        <v>76</v>
      </c>
    </row>
    <row r="127" ht="23" customHeight="1" spans="1:16">
      <c r="A127" s="6" t="s">
        <v>180</v>
      </c>
      <c r="B127" s="2" t="s">
        <v>15</v>
      </c>
      <c r="C127" s="2" t="s">
        <v>47</v>
      </c>
      <c r="D127" s="2">
        <v>3</v>
      </c>
      <c r="E127" s="6" t="s">
        <v>500</v>
      </c>
      <c r="F127" s="2" t="str">
        <f t="shared" si="6"/>
        <v>B</v>
      </c>
      <c r="G127" s="2">
        <v>5</v>
      </c>
      <c r="H127" s="2" t="str">
        <f t="shared" si="7"/>
        <v>A</v>
      </c>
      <c r="I127" s="2">
        <v>4</v>
      </c>
      <c r="J127" s="2">
        <f t="shared" si="8"/>
        <v>1</v>
      </c>
      <c r="K127" s="2" t="str">
        <f t="shared" si="9"/>
        <v>A</v>
      </c>
      <c r="L127" s="2" t="str">
        <f t="shared" si="10"/>
        <v>B</v>
      </c>
      <c r="M127" s="2" t="s">
        <v>37</v>
      </c>
      <c r="N127" s="2">
        <f t="shared" si="11"/>
        <v>1</v>
      </c>
      <c r="O127" s="2" t="s">
        <v>34</v>
      </c>
      <c r="P127" s="2">
        <v>85</v>
      </c>
    </row>
    <row r="128" ht="23" customHeight="1" spans="1:16">
      <c r="A128" s="6" t="s">
        <v>180</v>
      </c>
      <c r="B128" s="2" t="s">
        <v>15</v>
      </c>
      <c r="C128" s="2" t="s">
        <v>17</v>
      </c>
      <c r="D128" s="2">
        <v>4</v>
      </c>
      <c r="E128" s="6" t="s">
        <v>501</v>
      </c>
      <c r="F128" s="2" t="str">
        <f t="shared" si="6"/>
        <v>A</v>
      </c>
      <c r="G128" s="2">
        <v>4</v>
      </c>
      <c r="H128" s="2" t="str">
        <f t="shared" si="7"/>
        <v>B</v>
      </c>
      <c r="I128" s="2">
        <v>5</v>
      </c>
      <c r="J128" s="2">
        <f t="shared" si="8"/>
        <v>-1</v>
      </c>
      <c r="K128" s="2" t="str">
        <f t="shared" si="9"/>
        <v>B</v>
      </c>
      <c r="L128" s="2" t="str">
        <f t="shared" si="10"/>
        <v>B</v>
      </c>
      <c r="M128" s="2" t="s">
        <v>37</v>
      </c>
      <c r="N128" s="2">
        <f t="shared" si="11"/>
        <v>1</v>
      </c>
      <c r="O128" s="2" t="s">
        <v>37</v>
      </c>
      <c r="P128" s="2">
        <v>76</v>
      </c>
    </row>
    <row r="129" ht="23" customHeight="1" spans="1:16">
      <c r="A129" s="6" t="s">
        <v>180</v>
      </c>
      <c r="B129" s="2" t="s">
        <v>15</v>
      </c>
      <c r="C129" s="2" t="s">
        <v>47</v>
      </c>
      <c r="D129" s="2">
        <v>4</v>
      </c>
      <c r="E129" s="6" t="s">
        <v>501</v>
      </c>
      <c r="F129" s="2" t="str">
        <f t="shared" si="6"/>
        <v>B</v>
      </c>
      <c r="G129" s="2">
        <v>5</v>
      </c>
      <c r="H129" s="2" t="str">
        <f t="shared" si="7"/>
        <v>A</v>
      </c>
      <c r="I129" s="2">
        <v>4</v>
      </c>
      <c r="J129" s="2">
        <f t="shared" si="8"/>
        <v>1</v>
      </c>
      <c r="K129" s="2" t="str">
        <f t="shared" si="9"/>
        <v>A</v>
      </c>
      <c r="L129" s="2" t="str">
        <f t="shared" si="10"/>
        <v>B</v>
      </c>
      <c r="M129" s="2" t="s">
        <v>37</v>
      </c>
      <c r="N129" s="2">
        <f t="shared" si="11"/>
        <v>1</v>
      </c>
      <c r="O129" s="2" t="s">
        <v>34</v>
      </c>
      <c r="P129" s="2">
        <v>85</v>
      </c>
    </row>
    <row r="130" ht="23" customHeight="1" spans="1:16">
      <c r="A130" s="6" t="s">
        <v>180</v>
      </c>
      <c r="B130" s="2" t="s">
        <v>15</v>
      </c>
      <c r="C130" s="2" t="s">
        <v>17</v>
      </c>
      <c r="D130" s="2">
        <v>5</v>
      </c>
      <c r="E130" s="6" t="s">
        <v>502</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37</v>
      </c>
      <c r="N130" s="2">
        <f t="shared" ref="N130:N193" si="17">--(L130=M130)</f>
        <v>0</v>
      </c>
      <c r="O130" s="2" t="s">
        <v>37</v>
      </c>
      <c r="P130" s="2">
        <v>76</v>
      </c>
    </row>
    <row r="131" ht="23" customHeight="1" spans="1:16">
      <c r="A131" s="6" t="s">
        <v>180</v>
      </c>
      <c r="B131" s="2" t="s">
        <v>15</v>
      </c>
      <c r="C131" s="2" t="s">
        <v>47</v>
      </c>
      <c r="D131" s="2">
        <v>5</v>
      </c>
      <c r="E131" s="6" t="s">
        <v>502</v>
      </c>
      <c r="F131" s="2" t="str">
        <f t="shared" si="12"/>
        <v>B</v>
      </c>
      <c r="G131" s="2">
        <v>5</v>
      </c>
      <c r="H131" s="2" t="str">
        <f t="shared" si="13"/>
        <v>A</v>
      </c>
      <c r="I131" s="2">
        <v>5</v>
      </c>
      <c r="J131" s="2">
        <f t="shared" si="14"/>
        <v>0</v>
      </c>
      <c r="K131" s="2" t="str">
        <f t="shared" si="15"/>
        <v>C</v>
      </c>
      <c r="L131" s="2" t="str">
        <f t="shared" si="16"/>
        <v>D(平局)</v>
      </c>
      <c r="M131" s="2" t="s">
        <v>37</v>
      </c>
      <c r="N131" s="2">
        <f t="shared" si="17"/>
        <v>0</v>
      </c>
      <c r="O131" s="2" t="s">
        <v>34</v>
      </c>
      <c r="P131" s="2">
        <v>85</v>
      </c>
    </row>
    <row r="132" ht="23" customHeight="1" spans="1:16">
      <c r="A132" s="6" t="s">
        <v>180</v>
      </c>
      <c r="B132" s="2" t="s">
        <v>30</v>
      </c>
      <c r="C132" s="2" t="s">
        <v>17</v>
      </c>
      <c r="D132" s="2">
        <v>1</v>
      </c>
      <c r="E132" s="6" t="s">
        <v>498</v>
      </c>
      <c r="F132" s="2" t="str">
        <f t="shared" si="12"/>
        <v>A</v>
      </c>
      <c r="G132" s="2">
        <v>4</v>
      </c>
      <c r="H132" s="2" t="str">
        <f t="shared" si="13"/>
        <v>C</v>
      </c>
      <c r="I132" s="2">
        <v>5</v>
      </c>
      <c r="J132" s="2">
        <f t="shared" si="14"/>
        <v>-1</v>
      </c>
      <c r="K132" s="2" t="str">
        <f t="shared" si="15"/>
        <v>B</v>
      </c>
      <c r="L132" s="2" t="str">
        <f t="shared" si="16"/>
        <v>C</v>
      </c>
      <c r="M132" s="2" t="s">
        <v>34</v>
      </c>
      <c r="N132" s="2">
        <f t="shared" si="17"/>
        <v>0</v>
      </c>
      <c r="O132" s="2" t="s">
        <v>37</v>
      </c>
      <c r="P132" s="2">
        <v>79</v>
      </c>
    </row>
    <row r="133" ht="23" customHeight="1" spans="1:16">
      <c r="A133" s="6" t="s">
        <v>180</v>
      </c>
      <c r="B133" s="2" t="s">
        <v>30</v>
      </c>
      <c r="C133" s="2" t="s">
        <v>47</v>
      </c>
      <c r="D133" s="2">
        <v>1</v>
      </c>
      <c r="E133" s="6" t="s">
        <v>498</v>
      </c>
      <c r="F133" s="2" t="str">
        <f t="shared" si="12"/>
        <v>C</v>
      </c>
      <c r="G133" s="2">
        <v>5</v>
      </c>
      <c r="H133" s="2" t="str">
        <f t="shared" si="13"/>
        <v>A</v>
      </c>
      <c r="I133" s="2">
        <v>4</v>
      </c>
      <c r="J133" s="2">
        <f t="shared" si="14"/>
        <v>1</v>
      </c>
      <c r="K133" s="2" t="str">
        <f t="shared" si="15"/>
        <v>A</v>
      </c>
      <c r="L133" s="2" t="str">
        <f t="shared" si="16"/>
        <v>C</v>
      </c>
      <c r="M133" s="2" t="s">
        <v>34</v>
      </c>
      <c r="N133" s="2">
        <f t="shared" si="17"/>
        <v>0</v>
      </c>
      <c r="O133" s="2" t="s">
        <v>34</v>
      </c>
      <c r="P133" s="2">
        <v>88</v>
      </c>
    </row>
    <row r="134" ht="23" customHeight="1" spans="1:16">
      <c r="A134" s="6" t="s">
        <v>180</v>
      </c>
      <c r="B134" s="2" t="s">
        <v>30</v>
      </c>
      <c r="C134" s="2" t="s">
        <v>17</v>
      </c>
      <c r="D134" s="2">
        <v>2</v>
      </c>
      <c r="E134" s="6" t="s">
        <v>499</v>
      </c>
      <c r="F134" s="2" t="str">
        <f t="shared" si="12"/>
        <v>A</v>
      </c>
      <c r="G134" s="2">
        <v>3</v>
      </c>
      <c r="H134" s="2" t="str">
        <f t="shared" si="13"/>
        <v>C</v>
      </c>
      <c r="I134" s="2">
        <v>4</v>
      </c>
      <c r="J134" s="2">
        <f t="shared" si="14"/>
        <v>-1</v>
      </c>
      <c r="K134" s="2" t="str">
        <f t="shared" si="15"/>
        <v>B</v>
      </c>
      <c r="L134" s="2" t="str">
        <f t="shared" si="16"/>
        <v>C</v>
      </c>
      <c r="M134" s="2" t="s">
        <v>34</v>
      </c>
      <c r="N134" s="2">
        <f t="shared" si="17"/>
        <v>0</v>
      </c>
      <c r="O134" s="2" t="s">
        <v>37</v>
      </c>
      <c r="P134" s="2">
        <v>79</v>
      </c>
    </row>
    <row r="135" ht="23" customHeight="1" spans="1:16">
      <c r="A135" s="6" t="s">
        <v>180</v>
      </c>
      <c r="B135" s="2" t="s">
        <v>30</v>
      </c>
      <c r="C135" s="2" t="s">
        <v>47</v>
      </c>
      <c r="D135" s="2">
        <v>2</v>
      </c>
      <c r="E135" s="6" t="s">
        <v>499</v>
      </c>
      <c r="F135" s="2" t="str">
        <f t="shared" si="12"/>
        <v>C</v>
      </c>
      <c r="G135" s="2">
        <v>4</v>
      </c>
      <c r="H135" s="2" t="str">
        <f t="shared" si="13"/>
        <v>A</v>
      </c>
      <c r="I135" s="2">
        <v>3</v>
      </c>
      <c r="J135" s="2">
        <f t="shared" si="14"/>
        <v>1</v>
      </c>
      <c r="K135" s="2" t="str">
        <f t="shared" si="15"/>
        <v>A</v>
      </c>
      <c r="L135" s="2" t="str">
        <f t="shared" si="16"/>
        <v>C</v>
      </c>
      <c r="M135" s="2" t="s">
        <v>34</v>
      </c>
      <c r="N135" s="2">
        <f t="shared" si="17"/>
        <v>0</v>
      </c>
      <c r="O135" s="2" t="s">
        <v>34</v>
      </c>
      <c r="P135" s="2">
        <v>88</v>
      </c>
    </row>
    <row r="136" ht="23" customHeight="1" spans="1:16">
      <c r="A136" s="6" t="s">
        <v>180</v>
      </c>
      <c r="B136" s="2" t="s">
        <v>30</v>
      </c>
      <c r="C136" s="2" t="s">
        <v>17</v>
      </c>
      <c r="D136" s="2">
        <v>3</v>
      </c>
      <c r="E136" s="6" t="s">
        <v>500</v>
      </c>
      <c r="F136" s="2" t="str">
        <f t="shared" si="12"/>
        <v>A</v>
      </c>
      <c r="G136" s="2">
        <v>4</v>
      </c>
      <c r="H136" s="2" t="str">
        <f t="shared" si="13"/>
        <v>C</v>
      </c>
      <c r="I136" s="2">
        <v>5</v>
      </c>
      <c r="J136" s="2">
        <f t="shared" si="14"/>
        <v>-1</v>
      </c>
      <c r="K136" s="2" t="str">
        <f t="shared" si="15"/>
        <v>B</v>
      </c>
      <c r="L136" s="2" t="str">
        <f t="shared" si="16"/>
        <v>C</v>
      </c>
      <c r="M136" s="2" t="s">
        <v>34</v>
      </c>
      <c r="N136" s="2">
        <f t="shared" si="17"/>
        <v>0</v>
      </c>
      <c r="O136" s="2" t="s">
        <v>37</v>
      </c>
      <c r="P136" s="2">
        <v>79</v>
      </c>
    </row>
    <row r="137" ht="23" customHeight="1" spans="1:16">
      <c r="A137" s="6" t="s">
        <v>180</v>
      </c>
      <c r="B137" s="2" t="s">
        <v>30</v>
      </c>
      <c r="C137" s="2" t="s">
        <v>47</v>
      </c>
      <c r="D137" s="2">
        <v>3</v>
      </c>
      <c r="E137" s="6" t="s">
        <v>500</v>
      </c>
      <c r="F137" s="2" t="str">
        <f t="shared" si="12"/>
        <v>C</v>
      </c>
      <c r="G137" s="2">
        <v>5</v>
      </c>
      <c r="H137" s="2" t="str">
        <f t="shared" si="13"/>
        <v>A</v>
      </c>
      <c r="I137" s="2">
        <v>4</v>
      </c>
      <c r="J137" s="2">
        <f t="shared" si="14"/>
        <v>1</v>
      </c>
      <c r="K137" s="2" t="str">
        <f t="shared" si="15"/>
        <v>A</v>
      </c>
      <c r="L137" s="2" t="str">
        <f t="shared" si="16"/>
        <v>C</v>
      </c>
      <c r="M137" s="2" t="s">
        <v>34</v>
      </c>
      <c r="N137" s="2">
        <f t="shared" si="17"/>
        <v>0</v>
      </c>
      <c r="O137" s="2" t="s">
        <v>34</v>
      </c>
      <c r="P137" s="2">
        <v>88</v>
      </c>
    </row>
    <row r="138" ht="23" customHeight="1" spans="1:16">
      <c r="A138" s="6" t="s">
        <v>180</v>
      </c>
      <c r="B138" s="2" t="s">
        <v>30</v>
      </c>
      <c r="C138" s="2" t="s">
        <v>17</v>
      </c>
      <c r="D138" s="2">
        <v>4</v>
      </c>
      <c r="E138" s="6" t="s">
        <v>501</v>
      </c>
      <c r="F138" s="2" t="str">
        <f t="shared" si="12"/>
        <v>A</v>
      </c>
      <c r="G138" s="2">
        <v>4</v>
      </c>
      <c r="H138" s="2" t="str">
        <f t="shared" si="13"/>
        <v>C</v>
      </c>
      <c r="I138" s="2">
        <v>5</v>
      </c>
      <c r="J138" s="2">
        <f t="shared" si="14"/>
        <v>-1</v>
      </c>
      <c r="K138" s="2" t="str">
        <f t="shared" si="15"/>
        <v>B</v>
      </c>
      <c r="L138" s="2" t="str">
        <f t="shared" si="16"/>
        <v>C</v>
      </c>
      <c r="M138" s="2" t="s">
        <v>34</v>
      </c>
      <c r="N138" s="2">
        <f t="shared" si="17"/>
        <v>0</v>
      </c>
      <c r="O138" s="2" t="s">
        <v>37</v>
      </c>
      <c r="P138" s="2">
        <v>79</v>
      </c>
    </row>
    <row r="139" ht="23" customHeight="1" spans="1:16">
      <c r="A139" s="6" t="s">
        <v>180</v>
      </c>
      <c r="B139" s="2" t="s">
        <v>30</v>
      </c>
      <c r="C139" s="2" t="s">
        <v>47</v>
      </c>
      <c r="D139" s="2">
        <v>4</v>
      </c>
      <c r="E139" s="6" t="s">
        <v>501</v>
      </c>
      <c r="F139" s="2" t="str">
        <f t="shared" si="12"/>
        <v>C</v>
      </c>
      <c r="G139" s="2">
        <v>5</v>
      </c>
      <c r="H139" s="2" t="str">
        <f t="shared" si="13"/>
        <v>A</v>
      </c>
      <c r="I139" s="2">
        <v>4</v>
      </c>
      <c r="J139" s="2">
        <f t="shared" si="14"/>
        <v>1</v>
      </c>
      <c r="K139" s="2" t="str">
        <f t="shared" si="15"/>
        <v>A</v>
      </c>
      <c r="L139" s="2" t="str">
        <f t="shared" si="16"/>
        <v>C</v>
      </c>
      <c r="M139" s="2" t="s">
        <v>34</v>
      </c>
      <c r="N139" s="2">
        <f t="shared" si="17"/>
        <v>0</v>
      </c>
      <c r="O139" s="2" t="s">
        <v>34</v>
      </c>
      <c r="P139" s="2">
        <v>88</v>
      </c>
    </row>
    <row r="140" ht="23" customHeight="1" spans="1:16">
      <c r="A140" s="6" t="s">
        <v>180</v>
      </c>
      <c r="B140" s="2" t="s">
        <v>30</v>
      </c>
      <c r="C140" s="2" t="s">
        <v>17</v>
      </c>
      <c r="D140" s="2">
        <v>5</v>
      </c>
      <c r="E140" s="6" t="s">
        <v>502</v>
      </c>
      <c r="F140" s="2" t="str">
        <f t="shared" si="12"/>
        <v>A</v>
      </c>
      <c r="G140" s="2">
        <v>5</v>
      </c>
      <c r="H140" s="2" t="str">
        <f t="shared" si="13"/>
        <v>C</v>
      </c>
      <c r="I140" s="2">
        <v>3</v>
      </c>
      <c r="J140" s="2">
        <f t="shared" si="14"/>
        <v>2</v>
      </c>
      <c r="K140" s="2" t="str">
        <f t="shared" si="15"/>
        <v>A</v>
      </c>
      <c r="L140" s="2" t="str">
        <f t="shared" si="16"/>
        <v>A</v>
      </c>
      <c r="M140" s="2" t="s">
        <v>34</v>
      </c>
      <c r="N140" s="2">
        <f t="shared" si="17"/>
        <v>1</v>
      </c>
      <c r="O140" s="2" t="s">
        <v>37</v>
      </c>
      <c r="P140" s="2">
        <v>79</v>
      </c>
    </row>
    <row r="141" ht="23" customHeight="1" spans="1:16">
      <c r="A141" s="6" t="s">
        <v>180</v>
      </c>
      <c r="B141" s="2" t="s">
        <v>30</v>
      </c>
      <c r="C141" s="2" t="s">
        <v>47</v>
      </c>
      <c r="D141" s="2">
        <v>5</v>
      </c>
      <c r="E141" s="6" t="s">
        <v>502</v>
      </c>
      <c r="F141" s="2" t="str">
        <f t="shared" si="12"/>
        <v>C</v>
      </c>
      <c r="G141" s="2">
        <v>5</v>
      </c>
      <c r="H141" s="2" t="str">
        <f t="shared" si="13"/>
        <v>A</v>
      </c>
      <c r="I141" s="2">
        <v>5</v>
      </c>
      <c r="J141" s="2">
        <f t="shared" si="14"/>
        <v>0</v>
      </c>
      <c r="K141" s="2" t="str">
        <f t="shared" si="15"/>
        <v>C</v>
      </c>
      <c r="L141" s="2" t="str">
        <f t="shared" si="16"/>
        <v>D(平局)</v>
      </c>
      <c r="M141" s="2" t="s">
        <v>34</v>
      </c>
      <c r="N141" s="2">
        <f t="shared" si="17"/>
        <v>0</v>
      </c>
      <c r="O141" s="2" t="s">
        <v>34</v>
      </c>
      <c r="P141" s="2">
        <v>88</v>
      </c>
    </row>
    <row r="142" ht="23" customHeight="1" spans="1:16">
      <c r="A142" s="6" t="s">
        <v>180</v>
      </c>
      <c r="B142" s="2" t="s">
        <v>40</v>
      </c>
      <c r="C142" s="2" t="s">
        <v>17</v>
      </c>
      <c r="D142" s="2">
        <v>1</v>
      </c>
      <c r="E142" s="6" t="s">
        <v>498</v>
      </c>
      <c r="F142" s="2" t="str">
        <f t="shared" si="12"/>
        <v>B</v>
      </c>
      <c r="G142" s="2">
        <v>4</v>
      </c>
      <c r="H142" s="2" t="str">
        <f t="shared" si="13"/>
        <v>C</v>
      </c>
      <c r="I142" s="2">
        <v>4</v>
      </c>
      <c r="J142" s="2">
        <f t="shared" si="14"/>
        <v>0</v>
      </c>
      <c r="K142" s="2" t="str">
        <f t="shared" si="15"/>
        <v>C</v>
      </c>
      <c r="L142" s="2" t="str">
        <f t="shared" si="16"/>
        <v>D(平局)</v>
      </c>
      <c r="M142" s="2" t="s">
        <v>37</v>
      </c>
      <c r="N142" s="2">
        <f t="shared" si="17"/>
        <v>0</v>
      </c>
      <c r="O142" s="2" t="s">
        <v>34</v>
      </c>
      <c r="P142" s="2">
        <v>82</v>
      </c>
    </row>
    <row r="143" ht="23" customHeight="1" spans="1:16">
      <c r="A143" s="6" t="s">
        <v>180</v>
      </c>
      <c r="B143" s="2" t="s">
        <v>40</v>
      </c>
      <c r="C143" s="2" t="s">
        <v>47</v>
      </c>
      <c r="D143" s="2">
        <v>1</v>
      </c>
      <c r="E143" s="6" t="s">
        <v>498</v>
      </c>
      <c r="F143" s="2" t="str">
        <f t="shared" si="12"/>
        <v>C</v>
      </c>
      <c r="G143" s="2">
        <v>5</v>
      </c>
      <c r="H143" s="2" t="str">
        <f t="shared" si="13"/>
        <v>B</v>
      </c>
      <c r="I143" s="2">
        <v>5</v>
      </c>
      <c r="J143" s="2">
        <f t="shared" si="14"/>
        <v>0</v>
      </c>
      <c r="K143" s="2" t="str">
        <f t="shared" si="15"/>
        <v>C</v>
      </c>
      <c r="L143" s="2" t="str">
        <f t="shared" si="16"/>
        <v>D(平局)</v>
      </c>
      <c r="M143" s="2" t="s">
        <v>37</v>
      </c>
      <c r="N143" s="2">
        <f t="shared" si="17"/>
        <v>0</v>
      </c>
      <c r="O143" s="2" t="s">
        <v>34</v>
      </c>
      <c r="P143" s="2">
        <v>91</v>
      </c>
    </row>
    <row r="144" ht="23" customHeight="1" spans="1:16">
      <c r="A144" s="6" t="s">
        <v>180</v>
      </c>
      <c r="B144" s="2" t="s">
        <v>40</v>
      </c>
      <c r="C144" s="2" t="s">
        <v>17</v>
      </c>
      <c r="D144" s="2">
        <v>2</v>
      </c>
      <c r="E144" s="6" t="s">
        <v>499</v>
      </c>
      <c r="F144" s="2" t="str">
        <f t="shared" si="12"/>
        <v>B</v>
      </c>
      <c r="G144" s="2">
        <v>4</v>
      </c>
      <c r="H144" s="2" t="str">
        <f t="shared" si="13"/>
        <v>C</v>
      </c>
      <c r="I144" s="2">
        <v>3</v>
      </c>
      <c r="J144" s="2">
        <f t="shared" si="14"/>
        <v>1</v>
      </c>
      <c r="K144" s="2" t="str">
        <f t="shared" si="15"/>
        <v>A</v>
      </c>
      <c r="L144" s="2" t="str">
        <f t="shared" si="16"/>
        <v>B</v>
      </c>
      <c r="M144" s="2" t="s">
        <v>37</v>
      </c>
      <c r="N144" s="2">
        <f t="shared" si="17"/>
        <v>1</v>
      </c>
      <c r="O144" s="2" t="s">
        <v>34</v>
      </c>
      <c r="P144" s="2">
        <v>82</v>
      </c>
    </row>
    <row r="145" ht="23" customHeight="1" spans="1:16">
      <c r="A145" s="6" t="s">
        <v>180</v>
      </c>
      <c r="B145" s="2" t="s">
        <v>40</v>
      </c>
      <c r="C145" s="2" t="s">
        <v>47</v>
      </c>
      <c r="D145" s="2">
        <v>2</v>
      </c>
      <c r="E145" s="6" t="s">
        <v>499</v>
      </c>
      <c r="F145" s="2" t="str">
        <f t="shared" si="12"/>
        <v>C</v>
      </c>
      <c r="G145" s="2">
        <v>4</v>
      </c>
      <c r="H145" s="2" t="str">
        <f t="shared" si="13"/>
        <v>B</v>
      </c>
      <c r="I145" s="2">
        <v>3</v>
      </c>
      <c r="J145" s="2">
        <f t="shared" si="14"/>
        <v>1</v>
      </c>
      <c r="K145" s="2" t="str">
        <f t="shared" si="15"/>
        <v>A</v>
      </c>
      <c r="L145" s="2" t="str">
        <f t="shared" si="16"/>
        <v>C</v>
      </c>
      <c r="M145" s="2" t="s">
        <v>37</v>
      </c>
      <c r="N145" s="2">
        <f t="shared" si="17"/>
        <v>0</v>
      </c>
      <c r="O145" s="2" t="s">
        <v>34</v>
      </c>
      <c r="P145" s="2">
        <v>91</v>
      </c>
    </row>
    <row r="146" ht="23" customHeight="1" spans="1:16">
      <c r="A146" s="6" t="s">
        <v>180</v>
      </c>
      <c r="B146" s="2" t="s">
        <v>40</v>
      </c>
      <c r="C146" s="2" t="s">
        <v>17</v>
      </c>
      <c r="D146" s="2">
        <v>3</v>
      </c>
      <c r="E146" s="6" t="s">
        <v>500</v>
      </c>
      <c r="F146" s="2" t="str">
        <f t="shared" si="12"/>
        <v>B</v>
      </c>
      <c r="G146" s="2">
        <v>4</v>
      </c>
      <c r="H146" s="2" t="str">
        <f t="shared" si="13"/>
        <v>C</v>
      </c>
      <c r="I146" s="2">
        <v>4</v>
      </c>
      <c r="J146" s="2">
        <f t="shared" si="14"/>
        <v>0</v>
      </c>
      <c r="K146" s="2" t="str">
        <f t="shared" si="15"/>
        <v>C</v>
      </c>
      <c r="L146" s="2" t="str">
        <f t="shared" si="16"/>
        <v>D(平局)</v>
      </c>
      <c r="M146" s="2" t="s">
        <v>37</v>
      </c>
      <c r="N146" s="2">
        <f t="shared" si="17"/>
        <v>0</v>
      </c>
      <c r="O146" s="2" t="s">
        <v>34</v>
      </c>
      <c r="P146" s="2">
        <v>82</v>
      </c>
    </row>
    <row r="147" ht="23" customHeight="1" spans="1:16">
      <c r="A147" s="6" t="s">
        <v>180</v>
      </c>
      <c r="B147" s="2" t="s">
        <v>40</v>
      </c>
      <c r="C147" s="2" t="s">
        <v>47</v>
      </c>
      <c r="D147" s="2">
        <v>3</v>
      </c>
      <c r="E147" s="6" t="s">
        <v>500</v>
      </c>
      <c r="F147" s="2" t="str">
        <f t="shared" si="12"/>
        <v>C</v>
      </c>
      <c r="G147" s="2">
        <v>4</v>
      </c>
      <c r="H147" s="2" t="str">
        <f t="shared" si="13"/>
        <v>B</v>
      </c>
      <c r="I147" s="2">
        <v>4</v>
      </c>
      <c r="J147" s="2">
        <f t="shared" si="14"/>
        <v>0</v>
      </c>
      <c r="K147" s="2" t="str">
        <f t="shared" si="15"/>
        <v>C</v>
      </c>
      <c r="L147" s="2" t="str">
        <f t="shared" si="16"/>
        <v>D(平局)</v>
      </c>
      <c r="M147" s="2" t="s">
        <v>37</v>
      </c>
      <c r="N147" s="2">
        <f t="shared" si="17"/>
        <v>0</v>
      </c>
      <c r="O147" s="2" t="s">
        <v>34</v>
      </c>
      <c r="P147" s="2">
        <v>91</v>
      </c>
    </row>
    <row r="148" ht="23" customHeight="1" spans="1:16">
      <c r="A148" s="6" t="s">
        <v>180</v>
      </c>
      <c r="B148" s="2" t="s">
        <v>40</v>
      </c>
      <c r="C148" s="2" t="s">
        <v>17</v>
      </c>
      <c r="D148" s="2">
        <v>4</v>
      </c>
      <c r="E148" s="6" t="s">
        <v>501</v>
      </c>
      <c r="F148" s="2" t="str">
        <f t="shared" si="12"/>
        <v>B</v>
      </c>
      <c r="G148" s="2">
        <v>4</v>
      </c>
      <c r="H148" s="2" t="str">
        <f t="shared" si="13"/>
        <v>C</v>
      </c>
      <c r="I148" s="2">
        <v>4</v>
      </c>
      <c r="J148" s="2">
        <f t="shared" si="14"/>
        <v>0</v>
      </c>
      <c r="K148" s="2" t="str">
        <f t="shared" si="15"/>
        <v>C</v>
      </c>
      <c r="L148" s="2" t="str">
        <f t="shared" si="16"/>
        <v>D(平局)</v>
      </c>
      <c r="M148" s="2" t="s">
        <v>37</v>
      </c>
      <c r="N148" s="2">
        <f t="shared" si="17"/>
        <v>0</v>
      </c>
      <c r="O148" s="2" t="s">
        <v>34</v>
      </c>
      <c r="P148" s="2">
        <v>82</v>
      </c>
    </row>
    <row r="149" ht="23" customHeight="1" spans="1:16">
      <c r="A149" s="6" t="s">
        <v>180</v>
      </c>
      <c r="B149" s="2" t="s">
        <v>40</v>
      </c>
      <c r="C149" s="2" t="s">
        <v>47</v>
      </c>
      <c r="D149" s="2">
        <v>4</v>
      </c>
      <c r="E149" s="6" t="s">
        <v>501</v>
      </c>
      <c r="F149" s="2" t="str">
        <f t="shared" si="12"/>
        <v>C</v>
      </c>
      <c r="G149" s="2">
        <v>5</v>
      </c>
      <c r="H149" s="2" t="str">
        <f t="shared" si="13"/>
        <v>B</v>
      </c>
      <c r="I149" s="2">
        <v>4</v>
      </c>
      <c r="J149" s="2">
        <f t="shared" si="14"/>
        <v>1</v>
      </c>
      <c r="K149" s="2" t="str">
        <f t="shared" si="15"/>
        <v>A</v>
      </c>
      <c r="L149" s="2" t="str">
        <f t="shared" si="16"/>
        <v>C</v>
      </c>
      <c r="M149" s="2" t="s">
        <v>37</v>
      </c>
      <c r="N149" s="2">
        <f t="shared" si="17"/>
        <v>0</v>
      </c>
      <c r="O149" s="2" t="s">
        <v>34</v>
      </c>
      <c r="P149" s="2">
        <v>91</v>
      </c>
    </row>
    <row r="150" ht="23" customHeight="1" spans="1:16">
      <c r="A150" s="6" t="s">
        <v>180</v>
      </c>
      <c r="B150" s="2" t="s">
        <v>40</v>
      </c>
      <c r="C150" s="2" t="s">
        <v>17</v>
      </c>
      <c r="D150" s="2">
        <v>5</v>
      </c>
      <c r="E150" s="6" t="s">
        <v>502</v>
      </c>
      <c r="F150" s="2" t="str">
        <f t="shared" si="12"/>
        <v>B</v>
      </c>
      <c r="G150" s="2">
        <v>5</v>
      </c>
      <c r="H150" s="2" t="str">
        <f t="shared" si="13"/>
        <v>C</v>
      </c>
      <c r="I150" s="2">
        <v>5</v>
      </c>
      <c r="J150" s="2">
        <f t="shared" si="14"/>
        <v>0</v>
      </c>
      <c r="K150" s="2" t="str">
        <f t="shared" si="15"/>
        <v>C</v>
      </c>
      <c r="L150" s="2" t="str">
        <f t="shared" si="16"/>
        <v>D(平局)</v>
      </c>
      <c r="M150" s="2" t="s">
        <v>37</v>
      </c>
      <c r="N150" s="2">
        <f t="shared" si="17"/>
        <v>0</v>
      </c>
      <c r="O150" s="2" t="s">
        <v>34</v>
      </c>
      <c r="P150" s="2">
        <v>82</v>
      </c>
    </row>
    <row r="151" ht="23" customHeight="1" spans="1:16">
      <c r="A151" s="6" t="s">
        <v>180</v>
      </c>
      <c r="B151" s="2" t="s">
        <v>40</v>
      </c>
      <c r="C151" s="2" t="s">
        <v>47</v>
      </c>
      <c r="D151" s="2">
        <v>5</v>
      </c>
      <c r="E151" s="6" t="s">
        <v>502</v>
      </c>
      <c r="F151" s="2" t="str">
        <f t="shared" si="12"/>
        <v>C</v>
      </c>
      <c r="G151" s="2">
        <v>5</v>
      </c>
      <c r="H151" s="2" t="str">
        <f t="shared" si="13"/>
        <v>B</v>
      </c>
      <c r="I151" s="2">
        <v>5</v>
      </c>
      <c r="J151" s="2">
        <f t="shared" si="14"/>
        <v>0</v>
      </c>
      <c r="K151" s="2" t="str">
        <f t="shared" si="15"/>
        <v>C</v>
      </c>
      <c r="L151" s="2" t="str">
        <f t="shared" si="16"/>
        <v>D(平局)</v>
      </c>
      <c r="M151" s="2" t="s">
        <v>37</v>
      </c>
      <c r="N151" s="2">
        <f t="shared" si="17"/>
        <v>0</v>
      </c>
      <c r="O151" s="2" t="s">
        <v>34</v>
      </c>
      <c r="P151" s="2">
        <v>91</v>
      </c>
    </row>
    <row r="152" ht="23" customHeight="1" spans="1:16">
      <c r="A152" s="6" t="s">
        <v>104</v>
      </c>
      <c r="B152" s="2" t="s">
        <v>15</v>
      </c>
      <c r="C152" s="2" t="s">
        <v>17</v>
      </c>
      <c r="D152" s="2">
        <v>1</v>
      </c>
      <c r="E152" s="6" t="s">
        <v>498</v>
      </c>
      <c r="F152" s="2" t="str">
        <f t="shared" si="12"/>
        <v>A</v>
      </c>
      <c r="G152" s="2">
        <v>5</v>
      </c>
      <c r="H152" s="2" t="str">
        <f t="shared" si="13"/>
        <v>B</v>
      </c>
      <c r="I152" s="2">
        <v>5</v>
      </c>
      <c r="J152" s="2">
        <f t="shared" si="14"/>
        <v>0</v>
      </c>
      <c r="K152" s="2" t="str">
        <f t="shared" si="15"/>
        <v>C</v>
      </c>
      <c r="L152" s="2" t="str">
        <f t="shared" si="16"/>
        <v>D(平局)</v>
      </c>
      <c r="M152" s="2" t="s">
        <v>34</v>
      </c>
      <c r="N152" s="2">
        <f t="shared" si="17"/>
        <v>0</v>
      </c>
      <c r="O152" s="2" t="s">
        <v>34</v>
      </c>
      <c r="P152" s="2">
        <v>40</v>
      </c>
    </row>
    <row r="153" ht="23" customHeight="1" spans="1:16">
      <c r="A153" s="6" t="s">
        <v>104</v>
      </c>
      <c r="B153" s="2" t="s">
        <v>15</v>
      </c>
      <c r="C153" s="2" t="s">
        <v>47</v>
      </c>
      <c r="D153" s="2">
        <v>1</v>
      </c>
      <c r="E153" s="6" t="s">
        <v>498</v>
      </c>
      <c r="F153" s="2" t="str">
        <f t="shared" si="12"/>
        <v>B</v>
      </c>
      <c r="G153" s="2">
        <v>5</v>
      </c>
      <c r="H153" s="2" t="str">
        <f t="shared" si="13"/>
        <v>A</v>
      </c>
      <c r="I153" s="2">
        <v>5</v>
      </c>
      <c r="J153" s="2">
        <f t="shared" si="14"/>
        <v>0</v>
      </c>
      <c r="K153" s="2" t="str">
        <f t="shared" si="15"/>
        <v>C</v>
      </c>
      <c r="L153" s="2" t="str">
        <f t="shared" si="16"/>
        <v>D(平局)</v>
      </c>
      <c r="M153" s="2" t="s">
        <v>34</v>
      </c>
      <c r="N153" s="2">
        <f t="shared" si="17"/>
        <v>0</v>
      </c>
      <c r="O153" s="2" t="s">
        <v>22</v>
      </c>
      <c r="P153" s="2">
        <v>49</v>
      </c>
    </row>
    <row r="154" ht="23" customHeight="1" spans="1:16">
      <c r="A154" s="6" t="s">
        <v>104</v>
      </c>
      <c r="B154" s="2" t="s">
        <v>15</v>
      </c>
      <c r="C154" s="2" t="s">
        <v>17</v>
      </c>
      <c r="D154" s="2">
        <v>2</v>
      </c>
      <c r="E154" s="6" t="s">
        <v>499</v>
      </c>
      <c r="F154" s="2" t="str">
        <f t="shared" si="12"/>
        <v>A</v>
      </c>
      <c r="G154" s="2">
        <v>4</v>
      </c>
      <c r="H154" s="2" t="str">
        <f t="shared" si="13"/>
        <v>B</v>
      </c>
      <c r="I154" s="2">
        <v>3</v>
      </c>
      <c r="J154" s="2">
        <f t="shared" si="14"/>
        <v>1</v>
      </c>
      <c r="K154" s="2" t="str">
        <f t="shared" si="15"/>
        <v>A</v>
      </c>
      <c r="L154" s="2" t="str">
        <f t="shared" si="16"/>
        <v>A</v>
      </c>
      <c r="M154" s="2" t="s">
        <v>34</v>
      </c>
      <c r="N154" s="2">
        <f t="shared" si="17"/>
        <v>1</v>
      </c>
      <c r="O154" s="2" t="s">
        <v>34</v>
      </c>
      <c r="P154" s="2">
        <v>40</v>
      </c>
    </row>
    <row r="155" ht="23" customHeight="1" spans="1:16">
      <c r="A155" s="6" t="s">
        <v>104</v>
      </c>
      <c r="B155" s="2" t="s">
        <v>15</v>
      </c>
      <c r="C155" s="2" t="s">
        <v>47</v>
      </c>
      <c r="D155" s="2">
        <v>2</v>
      </c>
      <c r="E155" s="6" t="s">
        <v>499</v>
      </c>
      <c r="F155" s="2" t="str">
        <f t="shared" si="12"/>
        <v>B</v>
      </c>
      <c r="G155" s="2">
        <v>3</v>
      </c>
      <c r="H155" s="2" t="str">
        <f t="shared" si="13"/>
        <v>A</v>
      </c>
      <c r="I155" s="2">
        <v>4</v>
      </c>
      <c r="J155" s="2">
        <f t="shared" si="14"/>
        <v>-1</v>
      </c>
      <c r="K155" s="2" t="str">
        <f t="shared" si="15"/>
        <v>B</v>
      </c>
      <c r="L155" s="2" t="str">
        <f t="shared" si="16"/>
        <v>A</v>
      </c>
      <c r="M155" s="2" t="s">
        <v>34</v>
      </c>
      <c r="N155" s="2">
        <f t="shared" si="17"/>
        <v>1</v>
      </c>
      <c r="O155" s="2" t="s">
        <v>22</v>
      </c>
      <c r="P155" s="2">
        <v>49</v>
      </c>
    </row>
    <row r="156" ht="23" customHeight="1" spans="1:16">
      <c r="A156" s="6" t="s">
        <v>104</v>
      </c>
      <c r="B156" s="2" t="s">
        <v>15</v>
      </c>
      <c r="C156" s="2" t="s">
        <v>17</v>
      </c>
      <c r="D156" s="2">
        <v>3</v>
      </c>
      <c r="E156" s="6" t="s">
        <v>500</v>
      </c>
      <c r="F156" s="2" t="str">
        <f t="shared" si="12"/>
        <v>A</v>
      </c>
      <c r="G156" s="2">
        <v>4</v>
      </c>
      <c r="H156" s="2" t="str">
        <f t="shared" si="13"/>
        <v>B</v>
      </c>
      <c r="I156" s="2">
        <v>4</v>
      </c>
      <c r="J156" s="2">
        <f t="shared" si="14"/>
        <v>0</v>
      </c>
      <c r="K156" s="2" t="str">
        <f t="shared" si="15"/>
        <v>C</v>
      </c>
      <c r="L156" s="2" t="str">
        <f t="shared" si="16"/>
        <v>D(平局)</v>
      </c>
      <c r="M156" s="2" t="s">
        <v>34</v>
      </c>
      <c r="N156" s="2">
        <f t="shared" si="17"/>
        <v>0</v>
      </c>
      <c r="O156" s="2" t="s">
        <v>34</v>
      </c>
      <c r="P156" s="2">
        <v>40</v>
      </c>
    </row>
    <row r="157" ht="23" customHeight="1" spans="1:16">
      <c r="A157" s="6" t="s">
        <v>104</v>
      </c>
      <c r="B157" s="2" t="s">
        <v>15</v>
      </c>
      <c r="C157" s="2" t="s">
        <v>47</v>
      </c>
      <c r="D157" s="2">
        <v>3</v>
      </c>
      <c r="E157" s="6" t="s">
        <v>500</v>
      </c>
      <c r="F157" s="2" t="str">
        <f t="shared" si="12"/>
        <v>B</v>
      </c>
      <c r="G157" s="2">
        <v>4</v>
      </c>
      <c r="H157" s="2" t="str">
        <f t="shared" si="13"/>
        <v>A</v>
      </c>
      <c r="I157" s="2">
        <v>4</v>
      </c>
      <c r="J157" s="2">
        <f t="shared" si="14"/>
        <v>0</v>
      </c>
      <c r="K157" s="2" t="str">
        <f t="shared" si="15"/>
        <v>C</v>
      </c>
      <c r="L157" s="2" t="str">
        <f t="shared" si="16"/>
        <v>D(平局)</v>
      </c>
      <c r="M157" s="2" t="s">
        <v>34</v>
      </c>
      <c r="N157" s="2">
        <f t="shared" si="17"/>
        <v>0</v>
      </c>
      <c r="O157" s="2" t="s">
        <v>22</v>
      </c>
      <c r="P157" s="2">
        <v>49</v>
      </c>
    </row>
    <row r="158" ht="23" customHeight="1" spans="1:16">
      <c r="A158" s="6" t="s">
        <v>104</v>
      </c>
      <c r="B158" s="2" t="s">
        <v>15</v>
      </c>
      <c r="C158" s="2" t="s">
        <v>17</v>
      </c>
      <c r="D158" s="2">
        <v>4</v>
      </c>
      <c r="E158" s="6" t="s">
        <v>501</v>
      </c>
      <c r="F158" s="2" t="str">
        <f t="shared" si="12"/>
        <v>A</v>
      </c>
      <c r="G158" s="2">
        <v>5</v>
      </c>
      <c r="H158" s="2" t="str">
        <f t="shared" si="13"/>
        <v>B</v>
      </c>
      <c r="I158" s="2">
        <v>4</v>
      </c>
      <c r="J158" s="2">
        <f t="shared" si="14"/>
        <v>1</v>
      </c>
      <c r="K158" s="2" t="str">
        <f t="shared" si="15"/>
        <v>A</v>
      </c>
      <c r="L158" s="2" t="str">
        <f t="shared" si="16"/>
        <v>A</v>
      </c>
      <c r="M158" s="2" t="s">
        <v>34</v>
      </c>
      <c r="N158" s="2">
        <f t="shared" si="17"/>
        <v>1</v>
      </c>
      <c r="O158" s="2" t="s">
        <v>34</v>
      </c>
      <c r="P158" s="2">
        <v>40</v>
      </c>
    </row>
    <row r="159" ht="23" customHeight="1" spans="1:16">
      <c r="A159" s="6" t="s">
        <v>104</v>
      </c>
      <c r="B159" s="2" t="s">
        <v>15</v>
      </c>
      <c r="C159" s="2" t="s">
        <v>47</v>
      </c>
      <c r="D159" s="2">
        <v>4</v>
      </c>
      <c r="E159" s="6" t="s">
        <v>501</v>
      </c>
      <c r="F159" s="2" t="str">
        <f t="shared" si="12"/>
        <v>B</v>
      </c>
      <c r="G159" s="2">
        <v>4</v>
      </c>
      <c r="H159" s="2" t="str">
        <f t="shared" si="13"/>
        <v>A</v>
      </c>
      <c r="I159" s="2">
        <v>3</v>
      </c>
      <c r="J159" s="2">
        <f t="shared" si="14"/>
        <v>1</v>
      </c>
      <c r="K159" s="2" t="str">
        <f t="shared" si="15"/>
        <v>A</v>
      </c>
      <c r="L159" s="2" t="str">
        <f t="shared" si="16"/>
        <v>B</v>
      </c>
      <c r="M159" s="2" t="s">
        <v>34</v>
      </c>
      <c r="N159" s="2">
        <f t="shared" si="17"/>
        <v>0</v>
      </c>
      <c r="O159" s="2" t="s">
        <v>22</v>
      </c>
      <c r="P159" s="2">
        <v>49</v>
      </c>
    </row>
    <row r="160" ht="23" customHeight="1" spans="1:16">
      <c r="A160" s="6" t="s">
        <v>104</v>
      </c>
      <c r="B160" s="2" t="s">
        <v>15</v>
      </c>
      <c r="C160" s="2" t="s">
        <v>17</v>
      </c>
      <c r="D160" s="2">
        <v>5</v>
      </c>
      <c r="E160" s="6" t="s">
        <v>502</v>
      </c>
      <c r="F160" s="2" t="str">
        <f t="shared" si="12"/>
        <v>A</v>
      </c>
      <c r="G160" s="2">
        <v>5</v>
      </c>
      <c r="H160" s="2" t="str">
        <f t="shared" si="13"/>
        <v>B</v>
      </c>
      <c r="I160" s="2">
        <v>5</v>
      </c>
      <c r="J160" s="2">
        <f t="shared" si="14"/>
        <v>0</v>
      </c>
      <c r="K160" s="2" t="str">
        <f t="shared" si="15"/>
        <v>C</v>
      </c>
      <c r="L160" s="2" t="str">
        <f t="shared" si="16"/>
        <v>D(平局)</v>
      </c>
      <c r="M160" s="2" t="s">
        <v>34</v>
      </c>
      <c r="N160" s="2">
        <f t="shared" si="17"/>
        <v>0</v>
      </c>
      <c r="O160" s="2" t="s">
        <v>34</v>
      </c>
      <c r="P160" s="2">
        <v>40</v>
      </c>
    </row>
    <row r="161" ht="23" customHeight="1" spans="1:16">
      <c r="A161" s="6" t="s">
        <v>104</v>
      </c>
      <c r="B161" s="2" t="s">
        <v>15</v>
      </c>
      <c r="C161" s="2" t="s">
        <v>47</v>
      </c>
      <c r="D161" s="2">
        <v>5</v>
      </c>
      <c r="E161" s="6" t="s">
        <v>502</v>
      </c>
      <c r="F161" s="2" t="str">
        <f t="shared" si="12"/>
        <v>B</v>
      </c>
      <c r="G161" s="2">
        <v>5</v>
      </c>
      <c r="H161" s="2" t="str">
        <f t="shared" si="13"/>
        <v>A</v>
      </c>
      <c r="I161" s="2">
        <v>5</v>
      </c>
      <c r="J161" s="2">
        <f t="shared" si="14"/>
        <v>0</v>
      </c>
      <c r="K161" s="2" t="str">
        <f t="shared" si="15"/>
        <v>C</v>
      </c>
      <c r="L161" s="2" t="str">
        <f t="shared" si="16"/>
        <v>D(平局)</v>
      </c>
      <c r="M161" s="2" t="s">
        <v>34</v>
      </c>
      <c r="N161" s="2">
        <f t="shared" si="17"/>
        <v>0</v>
      </c>
      <c r="O161" s="2" t="s">
        <v>22</v>
      </c>
      <c r="P161" s="2">
        <v>49</v>
      </c>
    </row>
    <row r="162" ht="23" customHeight="1" spans="1:16">
      <c r="A162" s="6" t="s">
        <v>104</v>
      </c>
      <c r="B162" s="2" t="s">
        <v>30</v>
      </c>
      <c r="C162" s="2" t="s">
        <v>17</v>
      </c>
      <c r="D162" s="2">
        <v>1</v>
      </c>
      <c r="E162" s="6" t="s">
        <v>498</v>
      </c>
      <c r="F162" s="2" t="str">
        <f t="shared" si="12"/>
        <v>A</v>
      </c>
      <c r="G162" s="2">
        <v>5</v>
      </c>
      <c r="H162" s="2" t="str">
        <f t="shared" si="13"/>
        <v>C</v>
      </c>
      <c r="I162" s="2">
        <v>5</v>
      </c>
      <c r="J162" s="2">
        <f t="shared" si="14"/>
        <v>0</v>
      </c>
      <c r="K162" s="2" t="str">
        <f t="shared" si="15"/>
        <v>C</v>
      </c>
      <c r="L162" s="2" t="str">
        <f t="shared" si="16"/>
        <v>D(平局)</v>
      </c>
      <c r="M162" s="2" t="s">
        <v>34</v>
      </c>
      <c r="N162" s="2">
        <f t="shared" si="17"/>
        <v>0</v>
      </c>
      <c r="O162" s="2" t="s">
        <v>34</v>
      </c>
      <c r="P162" s="2">
        <v>43</v>
      </c>
    </row>
    <row r="163" ht="23" customHeight="1" spans="1:16">
      <c r="A163" s="6" t="s">
        <v>104</v>
      </c>
      <c r="B163" s="2" t="s">
        <v>30</v>
      </c>
      <c r="C163" s="2" t="s">
        <v>47</v>
      </c>
      <c r="D163" s="2">
        <v>1</v>
      </c>
      <c r="E163" s="6" t="s">
        <v>498</v>
      </c>
      <c r="F163" s="2" t="str">
        <f t="shared" si="12"/>
        <v>C</v>
      </c>
      <c r="G163" s="2">
        <v>5</v>
      </c>
      <c r="H163" s="2" t="str">
        <f t="shared" si="13"/>
        <v>A</v>
      </c>
      <c r="I163" s="2">
        <v>5</v>
      </c>
      <c r="J163" s="2">
        <f t="shared" si="14"/>
        <v>0</v>
      </c>
      <c r="K163" s="2" t="str">
        <f t="shared" si="15"/>
        <v>C</v>
      </c>
      <c r="L163" s="2" t="str">
        <f t="shared" si="16"/>
        <v>D(平局)</v>
      </c>
      <c r="M163" s="2" t="s">
        <v>34</v>
      </c>
      <c r="N163" s="2">
        <f t="shared" si="17"/>
        <v>0</v>
      </c>
      <c r="O163" s="2" t="s">
        <v>37</v>
      </c>
      <c r="P163" s="2">
        <v>52</v>
      </c>
    </row>
    <row r="164" ht="23" customHeight="1" spans="1:16">
      <c r="A164" s="6" t="s">
        <v>104</v>
      </c>
      <c r="B164" s="2" t="s">
        <v>30</v>
      </c>
      <c r="C164" s="2" t="s">
        <v>17</v>
      </c>
      <c r="D164" s="2">
        <v>2</v>
      </c>
      <c r="E164" s="6" t="s">
        <v>499</v>
      </c>
      <c r="F164" s="2" t="str">
        <f t="shared" si="12"/>
        <v>A</v>
      </c>
      <c r="G164" s="2">
        <v>4</v>
      </c>
      <c r="H164" s="2" t="str">
        <f t="shared" si="13"/>
        <v>C</v>
      </c>
      <c r="I164" s="2">
        <v>3</v>
      </c>
      <c r="J164" s="2">
        <f t="shared" si="14"/>
        <v>1</v>
      </c>
      <c r="K164" s="2" t="str">
        <f t="shared" si="15"/>
        <v>A</v>
      </c>
      <c r="L164" s="2" t="str">
        <f t="shared" si="16"/>
        <v>A</v>
      </c>
      <c r="M164" s="2" t="s">
        <v>34</v>
      </c>
      <c r="N164" s="2">
        <f t="shared" si="17"/>
        <v>1</v>
      </c>
      <c r="O164" s="2" t="s">
        <v>34</v>
      </c>
      <c r="P164" s="2">
        <v>43</v>
      </c>
    </row>
    <row r="165" ht="23" customHeight="1" spans="1:16">
      <c r="A165" s="6" t="s">
        <v>104</v>
      </c>
      <c r="B165" s="2" t="s">
        <v>30</v>
      </c>
      <c r="C165" s="2" t="s">
        <v>47</v>
      </c>
      <c r="D165" s="2">
        <v>2</v>
      </c>
      <c r="E165" s="6" t="s">
        <v>499</v>
      </c>
      <c r="F165" s="2" t="str">
        <f t="shared" si="12"/>
        <v>C</v>
      </c>
      <c r="G165" s="2">
        <v>3</v>
      </c>
      <c r="H165" s="2" t="str">
        <f t="shared" si="13"/>
        <v>A</v>
      </c>
      <c r="I165" s="2">
        <v>4</v>
      </c>
      <c r="J165" s="2">
        <f t="shared" si="14"/>
        <v>-1</v>
      </c>
      <c r="K165" s="2" t="str">
        <f t="shared" si="15"/>
        <v>B</v>
      </c>
      <c r="L165" s="2" t="str">
        <f t="shared" si="16"/>
        <v>A</v>
      </c>
      <c r="M165" s="2" t="s">
        <v>34</v>
      </c>
      <c r="N165" s="2">
        <f t="shared" si="17"/>
        <v>1</v>
      </c>
      <c r="O165" s="2" t="s">
        <v>37</v>
      </c>
      <c r="P165" s="2">
        <v>52</v>
      </c>
    </row>
    <row r="166" ht="23" customHeight="1" spans="1:16">
      <c r="A166" s="6" t="s">
        <v>104</v>
      </c>
      <c r="B166" s="2" t="s">
        <v>30</v>
      </c>
      <c r="C166" s="2" t="s">
        <v>17</v>
      </c>
      <c r="D166" s="2">
        <v>3</v>
      </c>
      <c r="E166" s="6" t="s">
        <v>500</v>
      </c>
      <c r="F166" s="2" t="str">
        <f t="shared" si="12"/>
        <v>A</v>
      </c>
      <c r="G166" s="2">
        <v>5</v>
      </c>
      <c r="H166" s="2" t="str">
        <f t="shared" si="13"/>
        <v>C</v>
      </c>
      <c r="I166" s="2">
        <v>4</v>
      </c>
      <c r="J166" s="2">
        <f t="shared" si="14"/>
        <v>1</v>
      </c>
      <c r="K166" s="2" t="str">
        <f t="shared" si="15"/>
        <v>A</v>
      </c>
      <c r="L166" s="2" t="str">
        <f t="shared" si="16"/>
        <v>A</v>
      </c>
      <c r="M166" s="2" t="s">
        <v>34</v>
      </c>
      <c r="N166" s="2">
        <f t="shared" si="17"/>
        <v>1</v>
      </c>
      <c r="O166" s="2" t="s">
        <v>34</v>
      </c>
      <c r="P166" s="2">
        <v>43</v>
      </c>
    </row>
    <row r="167" ht="23" customHeight="1" spans="1:16">
      <c r="A167" s="6" t="s">
        <v>104</v>
      </c>
      <c r="B167" s="2" t="s">
        <v>30</v>
      </c>
      <c r="C167" s="2" t="s">
        <v>47</v>
      </c>
      <c r="D167" s="2">
        <v>3</v>
      </c>
      <c r="E167" s="6" t="s">
        <v>500</v>
      </c>
      <c r="F167" s="2" t="str">
        <f t="shared" si="12"/>
        <v>C</v>
      </c>
      <c r="G167" s="2">
        <v>5</v>
      </c>
      <c r="H167" s="2" t="str">
        <f t="shared" si="13"/>
        <v>A</v>
      </c>
      <c r="I167" s="2">
        <v>5</v>
      </c>
      <c r="J167" s="2">
        <f t="shared" si="14"/>
        <v>0</v>
      </c>
      <c r="K167" s="2" t="str">
        <f t="shared" si="15"/>
        <v>C</v>
      </c>
      <c r="L167" s="2" t="str">
        <f t="shared" si="16"/>
        <v>D(平局)</v>
      </c>
      <c r="M167" s="2" t="s">
        <v>34</v>
      </c>
      <c r="N167" s="2">
        <f t="shared" si="17"/>
        <v>0</v>
      </c>
      <c r="O167" s="2" t="s">
        <v>37</v>
      </c>
      <c r="P167" s="2">
        <v>52</v>
      </c>
    </row>
    <row r="168" ht="23" customHeight="1" spans="1:16">
      <c r="A168" s="6" t="s">
        <v>104</v>
      </c>
      <c r="B168" s="2" t="s">
        <v>30</v>
      </c>
      <c r="C168" s="2" t="s">
        <v>17</v>
      </c>
      <c r="D168" s="2">
        <v>4</v>
      </c>
      <c r="E168" s="6" t="s">
        <v>501</v>
      </c>
      <c r="F168" s="2" t="str">
        <f t="shared" si="12"/>
        <v>A</v>
      </c>
      <c r="G168" s="2">
        <v>5</v>
      </c>
      <c r="H168" s="2" t="str">
        <f t="shared" si="13"/>
        <v>C</v>
      </c>
      <c r="I168" s="2">
        <v>5</v>
      </c>
      <c r="J168" s="2">
        <f t="shared" si="14"/>
        <v>0</v>
      </c>
      <c r="K168" s="2" t="str">
        <f t="shared" si="15"/>
        <v>C</v>
      </c>
      <c r="L168" s="2" t="str">
        <f t="shared" si="16"/>
        <v>D(平局)</v>
      </c>
      <c r="M168" s="2" t="s">
        <v>34</v>
      </c>
      <c r="N168" s="2">
        <f t="shared" si="17"/>
        <v>0</v>
      </c>
      <c r="O168" s="2" t="s">
        <v>34</v>
      </c>
      <c r="P168" s="2">
        <v>43</v>
      </c>
    </row>
    <row r="169" ht="23" customHeight="1" spans="1:16">
      <c r="A169" s="6" t="s">
        <v>104</v>
      </c>
      <c r="B169" s="2" t="s">
        <v>30</v>
      </c>
      <c r="C169" s="2" t="s">
        <v>47</v>
      </c>
      <c r="D169" s="2">
        <v>4</v>
      </c>
      <c r="E169" s="6" t="s">
        <v>501</v>
      </c>
      <c r="F169" s="2" t="str">
        <f t="shared" si="12"/>
        <v>C</v>
      </c>
      <c r="G169" s="2">
        <v>4</v>
      </c>
      <c r="H169" s="2" t="str">
        <f t="shared" si="13"/>
        <v>A</v>
      </c>
      <c r="I169" s="2">
        <v>4</v>
      </c>
      <c r="J169" s="2">
        <f t="shared" si="14"/>
        <v>0</v>
      </c>
      <c r="K169" s="2" t="str">
        <f t="shared" si="15"/>
        <v>C</v>
      </c>
      <c r="L169" s="2" t="str">
        <f t="shared" si="16"/>
        <v>D(平局)</v>
      </c>
      <c r="M169" s="2" t="s">
        <v>34</v>
      </c>
      <c r="N169" s="2">
        <f t="shared" si="17"/>
        <v>0</v>
      </c>
      <c r="O169" s="2" t="s">
        <v>37</v>
      </c>
      <c r="P169" s="2">
        <v>52</v>
      </c>
    </row>
    <row r="170" ht="23" customHeight="1" spans="1:16">
      <c r="A170" s="6" t="s">
        <v>104</v>
      </c>
      <c r="B170" s="2" t="s">
        <v>30</v>
      </c>
      <c r="C170" s="2" t="s">
        <v>17</v>
      </c>
      <c r="D170" s="2">
        <v>5</v>
      </c>
      <c r="E170" s="6" t="s">
        <v>502</v>
      </c>
      <c r="F170" s="2" t="str">
        <f t="shared" si="12"/>
        <v>A</v>
      </c>
      <c r="G170" s="2">
        <v>5</v>
      </c>
      <c r="H170" s="2" t="str">
        <f t="shared" si="13"/>
        <v>C</v>
      </c>
      <c r="I170" s="2">
        <v>5</v>
      </c>
      <c r="J170" s="2">
        <f t="shared" si="14"/>
        <v>0</v>
      </c>
      <c r="K170" s="2" t="str">
        <f t="shared" si="15"/>
        <v>C</v>
      </c>
      <c r="L170" s="2" t="str">
        <f t="shared" si="16"/>
        <v>D(平局)</v>
      </c>
      <c r="M170" s="2" t="s">
        <v>34</v>
      </c>
      <c r="N170" s="2">
        <f t="shared" si="17"/>
        <v>0</v>
      </c>
      <c r="O170" s="2" t="s">
        <v>34</v>
      </c>
      <c r="P170" s="2">
        <v>43</v>
      </c>
    </row>
    <row r="171" ht="23" customHeight="1" spans="1:16">
      <c r="A171" s="6" t="s">
        <v>104</v>
      </c>
      <c r="B171" s="2" t="s">
        <v>30</v>
      </c>
      <c r="C171" s="2" t="s">
        <v>47</v>
      </c>
      <c r="D171" s="2">
        <v>5</v>
      </c>
      <c r="E171" s="6" t="s">
        <v>502</v>
      </c>
      <c r="F171" s="2" t="str">
        <f t="shared" si="12"/>
        <v>C</v>
      </c>
      <c r="G171" s="2">
        <v>5</v>
      </c>
      <c r="H171" s="2" t="str">
        <f t="shared" si="13"/>
        <v>A</v>
      </c>
      <c r="I171" s="2">
        <v>5</v>
      </c>
      <c r="J171" s="2">
        <f t="shared" si="14"/>
        <v>0</v>
      </c>
      <c r="K171" s="2" t="str">
        <f t="shared" si="15"/>
        <v>C</v>
      </c>
      <c r="L171" s="2" t="str">
        <f t="shared" si="16"/>
        <v>D(平局)</v>
      </c>
      <c r="M171" s="2" t="s">
        <v>34</v>
      </c>
      <c r="N171" s="2">
        <f t="shared" si="17"/>
        <v>0</v>
      </c>
      <c r="O171" s="2" t="s">
        <v>37</v>
      </c>
      <c r="P171" s="2">
        <v>52</v>
      </c>
    </row>
    <row r="172" ht="23" customHeight="1" spans="1:16">
      <c r="A172" s="6" t="s">
        <v>104</v>
      </c>
      <c r="B172" s="2" t="s">
        <v>40</v>
      </c>
      <c r="C172" s="2" t="s">
        <v>17</v>
      </c>
      <c r="D172" s="2">
        <v>1</v>
      </c>
      <c r="E172" s="6" t="s">
        <v>498</v>
      </c>
      <c r="F172" s="2" t="str">
        <f t="shared" si="12"/>
        <v>B</v>
      </c>
      <c r="G172" s="2">
        <v>5</v>
      </c>
      <c r="H172" s="2" t="str">
        <f t="shared" si="13"/>
        <v>C</v>
      </c>
      <c r="I172" s="2">
        <v>5</v>
      </c>
      <c r="J172" s="2">
        <f t="shared" si="14"/>
        <v>0</v>
      </c>
      <c r="K172" s="2" t="str">
        <f t="shared" si="15"/>
        <v>C</v>
      </c>
      <c r="L172" s="2" t="str">
        <f t="shared" si="16"/>
        <v>D(平局)</v>
      </c>
      <c r="M172" s="2" t="s">
        <v>37</v>
      </c>
      <c r="N172" s="2">
        <f t="shared" si="17"/>
        <v>0</v>
      </c>
      <c r="O172" s="2" t="s">
        <v>34</v>
      </c>
      <c r="P172" s="2">
        <v>46</v>
      </c>
    </row>
    <row r="173" ht="23" customHeight="1" spans="1:16">
      <c r="A173" s="6" t="s">
        <v>104</v>
      </c>
      <c r="B173" s="2" t="s">
        <v>40</v>
      </c>
      <c r="C173" s="2" t="s">
        <v>47</v>
      </c>
      <c r="D173" s="2">
        <v>1</v>
      </c>
      <c r="E173" s="6" t="s">
        <v>498</v>
      </c>
      <c r="F173" s="2" t="str">
        <f t="shared" si="12"/>
        <v>C</v>
      </c>
      <c r="G173" s="2">
        <v>5</v>
      </c>
      <c r="H173" s="2" t="str">
        <f t="shared" si="13"/>
        <v>B</v>
      </c>
      <c r="I173" s="2">
        <v>5</v>
      </c>
      <c r="J173" s="2">
        <f t="shared" si="14"/>
        <v>0</v>
      </c>
      <c r="K173" s="2" t="str">
        <f t="shared" si="15"/>
        <v>C</v>
      </c>
      <c r="L173" s="2" t="str">
        <f t="shared" si="16"/>
        <v>D(平局)</v>
      </c>
      <c r="M173" s="2" t="s">
        <v>37</v>
      </c>
      <c r="N173" s="2">
        <f t="shared" si="17"/>
        <v>0</v>
      </c>
      <c r="O173" s="2" t="s">
        <v>37</v>
      </c>
      <c r="P173" s="2">
        <v>55</v>
      </c>
    </row>
    <row r="174" ht="23" customHeight="1" spans="1:16">
      <c r="A174" s="6" t="s">
        <v>104</v>
      </c>
      <c r="B174" s="2" t="s">
        <v>40</v>
      </c>
      <c r="C174" s="2" t="s">
        <v>17</v>
      </c>
      <c r="D174" s="2">
        <v>2</v>
      </c>
      <c r="E174" s="6" t="s">
        <v>499</v>
      </c>
      <c r="F174" s="2" t="str">
        <f t="shared" si="12"/>
        <v>B</v>
      </c>
      <c r="G174" s="2">
        <v>4</v>
      </c>
      <c r="H174" s="2" t="str">
        <f t="shared" si="13"/>
        <v>C</v>
      </c>
      <c r="I174" s="2">
        <v>3</v>
      </c>
      <c r="J174" s="2">
        <f t="shared" si="14"/>
        <v>1</v>
      </c>
      <c r="K174" s="2" t="str">
        <f t="shared" si="15"/>
        <v>A</v>
      </c>
      <c r="L174" s="2" t="str">
        <f t="shared" si="16"/>
        <v>B</v>
      </c>
      <c r="M174" s="2" t="s">
        <v>37</v>
      </c>
      <c r="N174" s="2">
        <f t="shared" si="17"/>
        <v>1</v>
      </c>
      <c r="O174" s="2" t="s">
        <v>34</v>
      </c>
      <c r="P174" s="2">
        <v>46</v>
      </c>
    </row>
    <row r="175" ht="23" customHeight="1" spans="1:16">
      <c r="A175" s="6" t="s">
        <v>104</v>
      </c>
      <c r="B175" s="2" t="s">
        <v>40</v>
      </c>
      <c r="C175" s="2" t="s">
        <v>47</v>
      </c>
      <c r="D175" s="2">
        <v>2</v>
      </c>
      <c r="E175" s="6" t="s">
        <v>499</v>
      </c>
      <c r="F175" s="2" t="str">
        <f t="shared" si="12"/>
        <v>C</v>
      </c>
      <c r="G175" s="2">
        <v>3</v>
      </c>
      <c r="H175" s="2" t="str">
        <f t="shared" si="13"/>
        <v>B</v>
      </c>
      <c r="I175" s="2">
        <v>4</v>
      </c>
      <c r="J175" s="2">
        <f t="shared" si="14"/>
        <v>-1</v>
      </c>
      <c r="K175" s="2" t="str">
        <f t="shared" si="15"/>
        <v>B</v>
      </c>
      <c r="L175" s="2" t="str">
        <f t="shared" si="16"/>
        <v>B</v>
      </c>
      <c r="M175" s="2" t="s">
        <v>37</v>
      </c>
      <c r="N175" s="2">
        <f t="shared" si="17"/>
        <v>1</v>
      </c>
      <c r="O175" s="2" t="s">
        <v>37</v>
      </c>
      <c r="P175" s="2">
        <v>55</v>
      </c>
    </row>
    <row r="176" ht="23" customHeight="1" spans="1:16">
      <c r="A176" s="6" t="s">
        <v>104</v>
      </c>
      <c r="B176" s="2" t="s">
        <v>40</v>
      </c>
      <c r="C176" s="2" t="s">
        <v>17</v>
      </c>
      <c r="D176" s="2">
        <v>3</v>
      </c>
      <c r="E176" s="6" t="s">
        <v>500</v>
      </c>
      <c r="F176" s="2" t="str">
        <f t="shared" si="12"/>
        <v>B</v>
      </c>
      <c r="G176" s="2">
        <v>4</v>
      </c>
      <c r="H176" s="2" t="str">
        <f t="shared" si="13"/>
        <v>C</v>
      </c>
      <c r="I176" s="2">
        <v>4</v>
      </c>
      <c r="J176" s="2">
        <f t="shared" si="14"/>
        <v>0</v>
      </c>
      <c r="K176" s="2" t="str">
        <f t="shared" si="15"/>
        <v>C</v>
      </c>
      <c r="L176" s="2" t="str">
        <f t="shared" si="16"/>
        <v>D(平局)</v>
      </c>
      <c r="M176" s="2" t="s">
        <v>37</v>
      </c>
      <c r="N176" s="2">
        <f t="shared" si="17"/>
        <v>0</v>
      </c>
      <c r="O176" s="2" t="s">
        <v>34</v>
      </c>
      <c r="P176" s="2">
        <v>46</v>
      </c>
    </row>
    <row r="177" ht="23" customHeight="1" spans="1:16">
      <c r="A177" s="6" t="s">
        <v>104</v>
      </c>
      <c r="B177" s="2" t="s">
        <v>40</v>
      </c>
      <c r="C177" s="2" t="s">
        <v>47</v>
      </c>
      <c r="D177" s="2">
        <v>3</v>
      </c>
      <c r="E177" s="6" t="s">
        <v>500</v>
      </c>
      <c r="F177" s="2" t="str">
        <f t="shared" si="12"/>
        <v>C</v>
      </c>
      <c r="G177" s="2">
        <v>4</v>
      </c>
      <c r="H177" s="2" t="str">
        <f t="shared" si="13"/>
        <v>B</v>
      </c>
      <c r="I177" s="2">
        <v>5</v>
      </c>
      <c r="J177" s="2">
        <f t="shared" si="14"/>
        <v>-1</v>
      </c>
      <c r="K177" s="2" t="str">
        <f t="shared" si="15"/>
        <v>B</v>
      </c>
      <c r="L177" s="2" t="str">
        <f t="shared" si="16"/>
        <v>B</v>
      </c>
      <c r="M177" s="2" t="s">
        <v>37</v>
      </c>
      <c r="N177" s="2">
        <f t="shared" si="17"/>
        <v>1</v>
      </c>
      <c r="O177" s="2" t="s">
        <v>37</v>
      </c>
      <c r="P177" s="2">
        <v>55</v>
      </c>
    </row>
    <row r="178" ht="23" customHeight="1" spans="1:16">
      <c r="A178" s="6" t="s">
        <v>104</v>
      </c>
      <c r="B178" s="2" t="s">
        <v>40</v>
      </c>
      <c r="C178" s="2" t="s">
        <v>17</v>
      </c>
      <c r="D178" s="2">
        <v>4</v>
      </c>
      <c r="E178" s="6" t="s">
        <v>501</v>
      </c>
      <c r="F178" s="2" t="str">
        <f t="shared" si="12"/>
        <v>B</v>
      </c>
      <c r="G178" s="2">
        <v>4</v>
      </c>
      <c r="H178" s="2" t="str">
        <f t="shared" si="13"/>
        <v>C</v>
      </c>
      <c r="I178" s="2">
        <v>4</v>
      </c>
      <c r="J178" s="2">
        <f t="shared" si="14"/>
        <v>0</v>
      </c>
      <c r="K178" s="2" t="str">
        <f t="shared" si="15"/>
        <v>C</v>
      </c>
      <c r="L178" s="2" t="str">
        <f t="shared" si="16"/>
        <v>D(平局)</v>
      </c>
      <c r="M178" s="2" t="s">
        <v>37</v>
      </c>
      <c r="N178" s="2">
        <f t="shared" si="17"/>
        <v>0</v>
      </c>
      <c r="O178" s="2" t="s">
        <v>34</v>
      </c>
      <c r="P178" s="2">
        <v>46</v>
      </c>
    </row>
    <row r="179" ht="23" customHeight="1" spans="1:16">
      <c r="A179" s="6" t="s">
        <v>104</v>
      </c>
      <c r="B179" s="2" t="s">
        <v>40</v>
      </c>
      <c r="C179" s="2" t="s">
        <v>47</v>
      </c>
      <c r="D179" s="2">
        <v>4</v>
      </c>
      <c r="E179" s="6" t="s">
        <v>501</v>
      </c>
      <c r="F179" s="2" t="str">
        <f t="shared" si="12"/>
        <v>C</v>
      </c>
      <c r="G179" s="2">
        <v>5</v>
      </c>
      <c r="H179" s="2" t="str">
        <f t="shared" si="13"/>
        <v>B</v>
      </c>
      <c r="I179" s="2">
        <v>4</v>
      </c>
      <c r="J179" s="2">
        <f t="shared" si="14"/>
        <v>1</v>
      </c>
      <c r="K179" s="2" t="str">
        <f t="shared" si="15"/>
        <v>A</v>
      </c>
      <c r="L179" s="2" t="str">
        <f t="shared" si="16"/>
        <v>C</v>
      </c>
      <c r="M179" s="2" t="s">
        <v>37</v>
      </c>
      <c r="N179" s="2">
        <f t="shared" si="17"/>
        <v>0</v>
      </c>
      <c r="O179" s="2" t="s">
        <v>37</v>
      </c>
      <c r="P179" s="2">
        <v>55</v>
      </c>
    </row>
    <row r="180" ht="23" customHeight="1" spans="1:16">
      <c r="A180" s="6" t="s">
        <v>104</v>
      </c>
      <c r="B180" s="2" t="s">
        <v>40</v>
      </c>
      <c r="C180" s="2" t="s">
        <v>17</v>
      </c>
      <c r="D180" s="2">
        <v>5</v>
      </c>
      <c r="E180" s="6" t="s">
        <v>502</v>
      </c>
      <c r="F180" s="2" t="str">
        <f t="shared" si="12"/>
        <v>B</v>
      </c>
      <c r="G180" s="2">
        <v>5</v>
      </c>
      <c r="H180" s="2" t="str">
        <f t="shared" si="13"/>
        <v>C</v>
      </c>
      <c r="I180" s="2">
        <v>5</v>
      </c>
      <c r="J180" s="2">
        <f t="shared" si="14"/>
        <v>0</v>
      </c>
      <c r="K180" s="2" t="str">
        <f t="shared" si="15"/>
        <v>C</v>
      </c>
      <c r="L180" s="2" t="str">
        <f t="shared" si="16"/>
        <v>D(平局)</v>
      </c>
      <c r="M180" s="2" t="s">
        <v>37</v>
      </c>
      <c r="N180" s="2">
        <f t="shared" si="17"/>
        <v>0</v>
      </c>
      <c r="O180" s="2" t="s">
        <v>34</v>
      </c>
      <c r="P180" s="2">
        <v>46</v>
      </c>
    </row>
    <row r="181" ht="23" customHeight="1" spans="1:16">
      <c r="A181" s="6" t="s">
        <v>104</v>
      </c>
      <c r="B181" s="2" t="s">
        <v>40</v>
      </c>
      <c r="C181" s="2" t="s">
        <v>47</v>
      </c>
      <c r="D181" s="2">
        <v>5</v>
      </c>
      <c r="E181" s="6" t="s">
        <v>502</v>
      </c>
      <c r="F181" s="2" t="str">
        <f t="shared" si="12"/>
        <v>C</v>
      </c>
      <c r="G181" s="2">
        <v>5</v>
      </c>
      <c r="H181" s="2" t="str">
        <f t="shared" si="13"/>
        <v>B</v>
      </c>
      <c r="I181" s="2">
        <v>5</v>
      </c>
      <c r="J181" s="2">
        <f t="shared" si="14"/>
        <v>0</v>
      </c>
      <c r="K181" s="2" t="str">
        <f t="shared" si="15"/>
        <v>C</v>
      </c>
      <c r="L181" s="2" t="str">
        <f t="shared" si="16"/>
        <v>D(平局)</v>
      </c>
      <c r="M181" s="2" t="s">
        <v>37</v>
      </c>
      <c r="N181" s="2">
        <f t="shared" si="17"/>
        <v>0</v>
      </c>
      <c r="O181" s="2" t="s">
        <v>37</v>
      </c>
      <c r="P181" s="2">
        <v>55</v>
      </c>
    </row>
    <row r="182" ht="23" customHeight="1" spans="1:16">
      <c r="A182" s="6" t="s">
        <v>66</v>
      </c>
      <c r="B182" s="2" t="s">
        <v>15</v>
      </c>
      <c r="C182" s="2" t="s">
        <v>17</v>
      </c>
      <c r="D182" s="2">
        <v>1</v>
      </c>
      <c r="E182" s="6" t="s">
        <v>498</v>
      </c>
      <c r="F182" s="2" t="str">
        <f t="shared" si="12"/>
        <v>A</v>
      </c>
      <c r="G182" s="2">
        <v>5</v>
      </c>
      <c r="H182" s="2" t="str">
        <f t="shared" si="13"/>
        <v>B</v>
      </c>
      <c r="I182" s="2">
        <v>5</v>
      </c>
      <c r="J182" s="2">
        <f t="shared" si="14"/>
        <v>0</v>
      </c>
      <c r="K182" s="2" t="str">
        <f t="shared" si="15"/>
        <v>C</v>
      </c>
      <c r="L182" s="2" t="str">
        <f t="shared" si="16"/>
        <v>D(平局)</v>
      </c>
      <c r="M182" s="2" t="s">
        <v>34</v>
      </c>
      <c r="N182" s="2">
        <f t="shared" si="17"/>
        <v>0</v>
      </c>
      <c r="O182" s="2" t="s">
        <v>34</v>
      </c>
      <c r="P182" s="2">
        <v>22</v>
      </c>
    </row>
    <row r="183" ht="23" customHeight="1" spans="1:16">
      <c r="A183" s="6" t="s">
        <v>66</v>
      </c>
      <c r="B183" s="2" t="s">
        <v>15</v>
      </c>
      <c r="C183" s="2" t="s">
        <v>47</v>
      </c>
      <c r="D183" s="2">
        <v>1</v>
      </c>
      <c r="E183" s="6" t="s">
        <v>498</v>
      </c>
      <c r="F183" s="2" t="str">
        <f t="shared" si="12"/>
        <v>B</v>
      </c>
      <c r="G183" s="2">
        <v>5</v>
      </c>
      <c r="H183" s="2" t="str">
        <f t="shared" si="13"/>
        <v>A</v>
      </c>
      <c r="I183" s="2">
        <v>5</v>
      </c>
      <c r="J183" s="2">
        <f t="shared" si="14"/>
        <v>0</v>
      </c>
      <c r="K183" s="2" t="str">
        <f t="shared" si="15"/>
        <v>C</v>
      </c>
      <c r="L183" s="2" t="str">
        <f t="shared" si="16"/>
        <v>D(平局)</v>
      </c>
      <c r="M183" s="2" t="s">
        <v>34</v>
      </c>
      <c r="N183" s="2">
        <f t="shared" si="17"/>
        <v>0</v>
      </c>
      <c r="O183" s="2" t="s">
        <v>37</v>
      </c>
      <c r="P183" s="2">
        <v>31</v>
      </c>
    </row>
    <row r="184" ht="23" customHeight="1" spans="1:16">
      <c r="A184" s="6" t="s">
        <v>66</v>
      </c>
      <c r="B184" s="2" t="s">
        <v>15</v>
      </c>
      <c r="C184" s="2" t="s">
        <v>17</v>
      </c>
      <c r="D184" s="2">
        <v>2</v>
      </c>
      <c r="E184" s="6" t="s">
        <v>499</v>
      </c>
      <c r="F184" s="2" t="str">
        <f t="shared" si="12"/>
        <v>A</v>
      </c>
      <c r="G184" s="2">
        <v>5</v>
      </c>
      <c r="H184" s="2" t="str">
        <f t="shared" si="13"/>
        <v>B</v>
      </c>
      <c r="I184" s="2">
        <v>2</v>
      </c>
      <c r="J184" s="2">
        <f t="shared" si="14"/>
        <v>3</v>
      </c>
      <c r="K184" s="2" t="str">
        <f t="shared" si="15"/>
        <v>A</v>
      </c>
      <c r="L184" s="2" t="str">
        <f t="shared" si="16"/>
        <v>A</v>
      </c>
      <c r="M184" s="2" t="s">
        <v>34</v>
      </c>
      <c r="N184" s="2">
        <f t="shared" si="17"/>
        <v>1</v>
      </c>
      <c r="O184" s="2" t="s">
        <v>34</v>
      </c>
      <c r="P184" s="2">
        <v>22</v>
      </c>
    </row>
    <row r="185" ht="23" customHeight="1" spans="1:16">
      <c r="A185" s="6" t="s">
        <v>66</v>
      </c>
      <c r="B185" s="2" t="s">
        <v>15</v>
      </c>
      <c r="C185" s="2" t="s">
        <v>47</v>
      </c>
      <c r="D185" s="2">
        <v>2</v>
      </c>
      <c r="E185" s="6" t="s">
        <v>499</v>
      </c>
      <c r="F185" s="2" t="str">
        <f t="shared" si="12"/>
        <v>B</v>
      </c>
      <c r="G185" s="2">
        <v>3</v>
      </c>
      <c r="H185" s="2" t="str">
        <f t="shared" si="13"/>
        <v>A</v>
      </c>
      <c r="I185" s="2">
        <v>5</v>
      </c>
      <c r="J185" s="2">
        <f t="shared" si="14"/>
        <v>-2</v>
      </c>
      <c r="K185" s="2" t="str">
        <f t="shared" si="15"/>
        <v>B</v>
      </c>
      <c r="L185" s="2" t="str">
        <f t="shared" si="16"/>
        <v>A</v>
      </c>
      <c r="M185" s="2" t="s">
        <v>34</v>
      </c>
      <c r="N185" s="2">
        <f t="shared" si="17"/>
        <v>1</v>
      </c>
      <c r="O185" s="2" t="s">
        <v>37</v>
      </c>
      <c r="P185" s="2">
        <v>31</v>
      </c>
    </row>
    <row r="186" ht="23" customHeight="1" spans="1:16">
      <c r="A186" s="6" t="s">
        <v>66</v>
      </c>
      <c r="B186" s="2" t="s">
        <v>15</v>
      </c>
      <c r="C186" s="2" t="s">
        <v>17</v>
      </c>
      <c r="D186" s="2">
        <v>3</v>
      </c>
      <c r="E186" s="6" t="s">
        <v>500</v>
      </c>
      <c r="F186" s="2" t="str">
        <f t="shared" si="12"/>
        <v>A</v>
      </c>
      <c r="G186" s="2">
        <v>5</v>
      </c>
      <c r="H186" s="2" t="str">
        <f t="shared" si="13"/>
        <v>B</v>
      </c>
      <c r="I186" s="2">
        <v>5</v>
      </c>
      <c r="J186" s="2">
        <f t="shared" si="14"/>
        <v>0</v>
      </c>
      <c r="K186" s="2" t="str">
        <f t="shared" si="15"/>
        <v>C</v>
      </c>
      <c r="L186" s="2" t="str">
        <f t="shared" si="16"/>
        <v>D(平局)</v>
      </c>
      <c r="M186" s="2" t="s">
        <v>34</v>
      </c>
      <c r="N186" s="2">
        <f t="shared" si="17"/>
        <v>0</v>
      </c>
      <c r="O186" s="2" t="s">
        <v>34</v>
      </c>
      <c r="P186" s="2">
        <v>22</v>
      </c>
    </row>
    <row r="187" ht="23" customHeight="1" spans="1:16">
      <c r="A187" s="6" t="s">
        <v>66</v>
      </c>
      <c r="B187" s="2" t="s">
        <v>15</v>
      </c>
      <c r="C187" s="2" t="s">
        <v>47</v>
      </c>
      <c r="D187" s="2">
        <v>3</v>
      </c>
      <c r="E187" s="6" t="s">
        <v>500</v>
      </c>
      <c r="F187" s="2" t="str">
        <f t="shared" si="12"/>
        <v>B</v>
      </c>
      <c r="G187" s="2">
        <v>5</v>
      </c>
      <c r="H187" s="2" t="str">
        <f t="shared" si="13"/>
        <v>A</v>
      </c>
      <c r="I187" s="2">
        <v>5</v>
      </c>
      <c r="J187" s="2">
        <f t="shared" si="14"/>
        <v>0</v>
      </c>
      <c r="K187" s="2" t="str">
        <f t="shared" si="15"/>
        <v>C</v>
      </c>
      <c r="L187" s="2" t="str">
        <f t="shared" si="16"/>
        <v>D(平局)</v>
      </c>
      <c r="M187" s="2" t="s">
        <v>34</v>
      </c>
      <c r="N187" s="2">
        <f t="shared" si="17"/>
        <v>0</v>
      </c>
      <c r="O187" s="2" t="s">
        <v>37</v>
      </c>
      <c r="P187" s="2">
        <v>31</v>
      </c>
    </row>
    <row r="188" ht="23" customHeight="1" spans="1:16">
      <c r="A188" s="6" t="s">
        <v>66</v>
      </c>
      <c r="B188" s="2" t="s">
        <v>15</v>
      </c>
      <c r="C188" s="2" t="s">
        <v>17</v>
      </c>
      <c r="D188" s="2">
        <v>4</v>
      </c>
      <c r="E188" s="6" t="s">
        <v>501</v>
      </c>
      <c r="F188" s="2" t="str">
        <f t="shared" si="12"/>
        <v>A</v>
      </c>
      <c r="G188" s="2">
        <v>5</v>
      </c>
      <c r="H188" s="2" t="str">
        <f t="shared" si="13"/>
        <v>B</v>
      </c>
      <c r="I188" s="2">
        <v>4</v>
      </c>
      <c r="J188" s="2">
        <f t="shared" si="14"/>
        <v>1</v>
      </c>
      <c r="K188" s="2" t="str">
        <f t="shared" si="15"/>
        <v>A</v>
      </c>
      <c r="L188" s="2" t="str">
        <f t="shared" si="16"/>
        <v>A</v>
      </c>
      <c r="M188" s="2" t="s">
        <v>34</v>
      </c>
      <c r="N188" s="2">
        <f t="shared" si="17"/>
        <v>1</v>
      </c>
      <c r="O188" s="2" t="s">
        <v>34</v>
      </c>
      <c r="P188" s="2">
        <v>22</v>
      </c>
    </row>
    <row r="189" ht="23" customHeight="1" spans="1:16">
      <c r="A189" s="6" t="s">
        <v>66</v>
      </c>
      <c r="B189" s="2" t="s">
        <v>15</v>
      </c>
      <c r="C189" s="2" t="s">
        <v>47</v>
      </c>
      <c r="D189" s="2">
        <v>4</v>
      </c>
      <c r="E189" s="6" t="s">
        <v>501</v>
      </c>
      <c r="F189" s="2" t="str">
        <f t="shared" si="12"/>
        <v>B</v>
      </c>
      <c r="G189" s="2">
        <v>4</v>
      </c>
      <c r="H189" s="2" t="str">
        <f t="shared" si="13"/>
        <v>A</v>
      </c>
      <c r="I189" s="2">
        <v>4</v>
      </c>
      <c r="J189" s="2">
        <f t="shared" si="14"/>
        <v>0</v>
      </c>
      <c r="K189" s="2" t="str">
        <f t="shared" si="15"/>
        <v>C</v>
      </c>
      <c r="L189" s="2" t="str">
        <f t="shared" si="16"/>
        <v>D(平局)</v>
      </c>
      <c r="M189" s="2" t="s">
        <v>34</v>
      </c>
      <c r="N189" s="2">
        <f t="shared" si="17"/>
        <v>0</v>
      </c>
      <c r="O189" s="2" t="s">
        <v>37</v>
      </c>
      <c r="P189" s="2">
        <v>31</v>
      </c>
    </row>
    <row r="190" ht="23" customHeight="1" spans="1:16">
      <c r="A190" s="6" t="s">
        <v>66</v>
      </c>
      <c r="B190" s="2" t="s">
        <v>15</v>
      </c>
      <c r="C190" s="2" t="s">
        <v>17</v>
      </c>
      <c r="D190" s="2">
        <v>5</v>
      </c>
      <c r="E190" s="6" t="s">
        <v>502</v>
      </c>
      <c r="F190" s="2" t="str">
        <f t="shared" si="12"/>
        <v>A</v>
      </c>
      <c r="G190" s="2">
        <v>5</v>
      </c>
      <c r="H190" s="2" t="str">
        <f t="shared" si="13"/>
        <v>B</v>
      </c>
      <c r="I190" s="2">
        <v>5</v>
      </c>
      <c r="J190" s="2">
        <f t="shared" si="14"/>
        <v>0</v>
      </c>
      <c r="K190" s="2" t="str">
        <f t="shared" si="15"/>
        <v>C</v>
      </c>
      <c r="L190" s="2" t="str">
        <f t="shared" si="16"/>
        <v>D(平局)</v>
      </c>
      <c r="M190" s="2" t="s">
        <v>34</v>
      </c>
      <c r="N190" s="2">
        <f t="shared" si="17"/>
        <v>0</v>
      </c>
      <c r="O190" s="2" t="s">
        <v>34</v>
      </c>
      <c r="P190" s="2">
        <v>22</v>
      </c>
    </row>
    <row r="191" ht="23" customHeight="1" spans="1:16">
      <c r="A191" s="6" t="s">
        <v>66</v>
      </c>
      <c r="B191" s="2" t="s">
        <v>15</v>
      </c>
      <c r="C191" s="2" t="s">
        <v>47</v>
      </c>
      <c r="D191" s="2">
        <v>5</v>
      </c>
      <c r="E191" s="6" t="s">
        <v>502</v>
      </c>
      <c r="F191" s="2" t="str">
        <f t="shared" si="12"/>
        <v>B</v>
      </c>
      <c r="G191" s="2">
        <v>5</v>
      </c>
      <c r="H191" s="2" t="str">
        <f t="shared" si="13"/>
        <v>A</v>
      </c>
      <c r="I191" s="2">
        <v>5</v>
      </c>
      <c r="J191" s="2">
        <f t="shared" si="14"/>
        <v>0</v>
      </c>
      <c r="K191" s="2" t="str">
        <f t="shared" si="15"/>
        <v>C</v>
      </c>
      <c r="L191" s="2" t="str">
        <f t="shared" si="16"/>
        <v>D(平局)</v>
      </c>
      <c r="M191" s="2" t="s">
        <v>34</v>
      </c>
      <c r="N191" s="2">
        <f t="shared" si="17"/>
        <v>0</v>
      </c>
      <c r="O191" s="2" t="s">
        <v>37</v>
      </c>
      <c r="P191" s="2">
        <v>31</v>
      </c>
    </row>
    <row r="192" ht="23" customHeight="1" spans="1:16">
      <c r="A192" s="6" t="s">
        <v>66</v>
      </c>
      <c r="B192" s="2" t="s">
        <v>30</v>
      </c>
      <c r="C192" s="2" t="s">
        <v>17</v>
      </c>
      <c r="D192" s="2">
        <v>1</v>
      </c>
      <c r="E192" s="6" t="s">
        <v>498</v>
      </c>
      <c r="F192" s="2" t="str">
        <f t="shared" si="12"/>
        <v>A</v>
      </c>
      <c r="G192" s="2">
        <v>5</v>
      </c>
      <c r="H192" s="2" t="str">
        <f t="shared" si="13"/>
        <v>C</v>
      </c>
      <c r="I192" s="2">
        <v>5</v>
      </c>
      <c r="J192" s="2">
        <f t="shared" si="14"/>
        <v>0</v>
      </c>
      <c r="K192" s="2" t="str">
        <f t="shared" si="15"/>
        <v>C</v>
      </c>
      <c r="L192" s="2" t="str">
        <f t="shared" si="16"/>
        <v>D(平局)</v>
      </c>
      <c r="M192" s="2" t="s">
        <v>34</v>
      </c>
      <c r="N192" s="2">
        <f t="shared" si="17"/>
        <v>0</v>
      </c>
      <c r="O192" s="2" t="s">
        <v>34</v>
      </c>
      <c r="P192" s="2">
        <v>25</v>
      </c>
    </row>
    <row r="193" ht="23" customHeight="1" spans="1:16">
      <c r="A193" s="6" t="s">
        <v>66</v>
      </c>
      <c r="B193" s="2" t="s">
        <v>30</v>
      </c>
      <c r="C193" s="2" t="s">
        <v>47</v>
      </c>
      <c r="D193" s="2">
        <v>1</v>
      </c>
      <c r="E193" s="6" t="s">
        <v>498</v>
      </c>
      <c r="F193" s="2" t="str">
        <f t="shared" si="12"/>
        <v>C</v>
      </c>
      <c r="G193" s="2">
        <v>5</v>
      </c>
      <c r="H193" s="2" t="str">
        <f t="shared" si="13"/>
        <v>A</v>
      </c>
      <c r="I193" s="2">
        <v>5</v>
      </c>
      <c r="J193" s="2">
        <f t="shared" si="14"/>
        <v>0</v>
      </c>
      <c r="K193" s="2" t="str">
        <f t="shared" si="15"/>
        <v>C</v>
      </c>
      <c r="L193" s="2" t="str">
        <f t="shared" si="16"/>
        <v>D(平局)</v>
      </c>
      <c r="M193" s="2" t="s">
        <v>34</v>
      </c>
      <c r="N193" s="2">
        <f t="shared" si="17"/>
        <v>0</v>
      </c>
      <c r="O193" s="2" t="s">
        <v>37</v>
      </c>
      <c r="P193" s="2">
        <v>34</v>
      </c>
    </row>
    <row r="194" ht="23" customHeight="1" spans="1:16">
      <c r="A194" s="6" t="s">
        <v>66</v>
      </c>
      <c r="B194" s="2" t="s">
        <v>30</v>
      </c>
      <c r="C194" s="2" t="s">
        <v>17</v>
      </c>
      <c r="D194" s="2">
        <v>2</v>
      </c>
      <c r="E194" s="6" t="s">
        <v>499</v>
      </c>
      <c r="F194" s="2" t="str">
        <f t="shared" ref="F194:F257" si="18">IF(C194="l2r",LEFT(B194,1),RIGHT(B194,1))</f>
        <v>A</v>
      </c>
      <c r="G194" s="2">
        <v>5</v>
      </c>
      <c r="H194" s="2" t="str">
        <f t="shared" ref="H194:H257" si="19">IF(C194="l2r",RIGHT(B194,1),LEFT(B194,1))</f>
        <v>C</v>
      </c>
      <c r="I194" s="2">
        <v>3</v>
      </c>
      <c r="J194" s="2">
        <f t="shared" ref="J194:J257" si="20">G194-I194</f>
        <v>2</v>
      </c>
      <c r="K194" s="2" t="str">
        <f t="shared" ref="K194:K257" si="21">IF(J194=0,"C",IF(J194&gt;0,"A","B"))</f>
        <v>A</v>
      </c>
      <c r="L194" s="2" t="str">
        <f t="shared" ref="L194:L257" si="22">IF(J194=0,"D(平局)",IF(J194&gt;0,F194,H194))</f>
        <v>A</v>
      </c>
      <c r="M194" s="2" t="s">
        <v>34</v>
      </c>
      <c r="N194" s="2">
        <f t="shared" ref="N194:N257" si="23">--(L194=M194)</f>
        <v>1</v>
      </c>
      <c r="O194" s="2" t="s">
        <v>34</v>
      </c>
      <c r="P194" s="2">
        <v>25</v>
      </c>
    </row>
    <row r="195" ht="23" customHeight="1" spans="1:16">
      <c r="A195" s="6" t="s">
        <v>66</v>
      </c>
      <c r="B195" s="2" t="s">
        <v>30</v>
      </c>
      <c r="C195" s="2" t="s">
        <v>47</v>
      </c>
      <c r="D195" s="2">
        <v>2</v>
      </c>
      <c r="E195" s="6" t="s">
        <v>499</v>
      </c>
      <c r="F195" s="2" t="str">
        <f t="shared" si="18"/>
        <v>C</v>
      </c>
      <c r="G195" s="2">
        <v>4</v>
      </c>
      <c r="H195" s="2" t="str">
        <f t="shared" si="19"/>
        <v>A</v>
      </c>
      <c r="I195" s="2">
        <v>5</v>
      </c>
      <c r="J195" s="2">
        <f t="shared" si="20"/>
        <v>-1</v>
      </c>
      <c r="K195" s="2" t="str">
        <f t="shared" si="21"/>
        <v>B</v>
      </c>
      <c r="L195" s="2" t="str">
        <f t="shared" si="22"/>
        <v>A</v>
      </c>
      <c r="M195" s="2" t="s">
        <v>34</v>
      </c>
      <c r="N195" s="2">
        <f t="shared" si="23"/>
        <v>1</v>
      </c>
      <c r="O195" s="2" t="s">
        <v>37</v>
      </c>
      <c r="P195" s="2">
        <v>34</v>
      </c>
    </row>
    <row r="196" ht="23" customHeight="1" spans="1:16">
      <c r="A196" s="6" t="s">
        <v>66</v>
      </c>
      <c r="B196" s="2" t="s">
        <v>30</v>
      </c>
      <c r="C196" s="2" t="s">
        <v>17</v>
      </c>
      <c r="D196" s="2">
        <v>3</v>
      </c>
      <c r="E196" s="6" t="s">
        <v>500</v>
      </c>
      <c r="F196" s="2" t="str">
        <f t="shared" si="18"/>
        <v>A</v>
      </c>
      <c r="G196" s="2">
        <v>5</v>
      </c>
      <c r="H196" s="2" t="str">
        <f t="shared" si="19"/>
        <v>C</v>
      </c>
      <c r="I196" s="2">
        <v>4</v>
      </c>
      <c r="J196" s="2">
        <f t="shared" si="20"/>
        <v>1</v>
      </c>
      <c r="K196" s="2" t="str">
        <f t="shared" si="21"/>
        <v>A</v>
      </c>
      <c r="L196" s="2" t="str">
        <f t="shared" si="22"/>
        <v>A</v>
      </c>
      <c r="M196" s="2" t="s">
        <v>34</v>
      </c>
      <c r="N196" s="2">
        <f t="shared" si="23"/>
        <v>1</v>
      </c>
      <c r="O196" s="2" t="s">
        <v>34</v>
      </c>
      <c r="P196" s="2">
        <v>25</v>
      </c>
    </row>
    <row r="197" ht="23" customHeight="1" spans="1:16">
      <c r="A197" s="6" t="s">
        <v>66</v>
      </c>
      <c r="B197" s="2" t="s">
        <v>30</v>
      </c>
      <c r="C197" s="2" t="s">
        <v>47</v>
      </c>
      <c r="D197" s="2">
        <v>3</v>
      </c>
      <c r="E197" s="6" t="s">
        <v>500</v>
      </c>
      <c r="F197" s="2" t="str">
        <f t="shared" si="18"/>
        <v>C</v>
      </c>
      <c r="G197" s="2">
        <v>4</v>
      </c>
      <c r="H197" s="2" t="str">
        <f t="shared" si="19"/>
        <v>A</v>
      </c>
      <c r="I197" s="2">
        <v>5</v>
      </c>
      <c r="J197" s="2">
        <f t="shared" si="20"/>
        <v>-1</v>
      </c>
      <c r="K197" s="2" t="str">
        <f t="shared" si="21"/>
        <v>B</v>
      </c>
      <c r="L197" s="2" t="str">
        <f t="shared" si="22"/>
        <v>A</v>
      </c>
      <c r="M197" s="2" t="s">
        <v>34</v>
      </c>
      <c r="N197" s="2">
        <f t="shared" si="23"/>
        <v>1</v>
      </c>
      <c r="O197" s="2" t="s">
        <v>37</v>
      </c>
      <c r="P197" s="2">
        <v>34</v>
      </c>
    </row>
    <row r="198" ht="23" customHeight="1" spans="1:16">
      <c r="A198" s="6" t="s">
        <v>66</v>
      </c>
      <c r="B198" s="2" t="s">
        <v>30</v>
      </c>
      <c r="C198" s="2" t="s">
        <v>17</v>
      </c>
      <c r="D198" s="2">
        <v>4</v>
      </c>
      <c r="E198" s="6" t="s">
        <v>501</v>
      </c>
      <c r="F198" s="2" t="str">
        <f t="shared" si="18"/>
        <v>A</v>
      </c>
      <c r="G198" s="2">
        <v>5</v>
      </c>
      <c r="H198" s="2" t="str">
        <f t="shared" si="19"/>
        <v>C</v>
      </c>
      <c r="I198" s="2">
        <v>4</v>
      </c>
      <c r="J198" s="2">
        <f t="shared" si="20"/>
        <v>1</v>
      </c>
      <c r="K198" s="2" t="str">
        <f t="shared" si="21"/>
        <v>A</v>
      </c>
      <c r="L198" s="2" t="str">
        <f t="shared" si="22"/>
        <v>A</v>
      </c>
      <c r="M198" s="2" t="s">
        <v>34</v>
      </c>
      <c r="N198" s="2">
        <f t="shared" si="23"/>
        <v>1</v>
      </c>
      <c r="O198" s="2" t="s">
        <v>34</v>
      </c>
      <c r="P198" s="2">
        <v>25</v>
      </c>
    </row>
    <row r="199" ht="23" customHeight="1" spans="1:16">
      <c r="A199" s="6" t="s">
        <v>66</v>
      </c>
      <c r="B199" s="2" t="s">
        <v>30</v>
      </c>
      <c r="C199" s="2" t="s">
        <v>47</v>
      </c>
      <c r="D199" s="2">
        <v>4</v>
      </c>
      <c r="E199" s="6" t="s">
        <v>501</v>
      </c>
      <c r="F199" s="2" t="str">
        <f t="shared" si="18"/>
        <v>C</v>
      </c>
      <c r="G199" s="2">
        <v>5</v>
      </c>
      <c r="H199" s="2" t="str">
        <f t="shared" si="19"/>
        <v>A</v>
      </c>
      <c r="I199" s="2">
        <v>5</v>
      </c>
      <c r="J199" s="2">
        <f t="shared" si="20"/>
        <v>0</v>
      </c>
      <c r="K199" s="2" t="str">
        <f t="shared" si="21"/>
        <v>C</v>
      </c>
      <c r="L199" s="2" t="str">
        <f t="shared" si="22"/>
        <v>D(平局)</v>
      </c>
      <c r="M199" s="2" t="s">
        <v>34</v>
      </c>
      <c r="N199" s="2">
        <f t="shared" si="23"/>
        <v>0</v>
      </c>
      <c r="O199" s="2" t="s">
        <v>37</v>
      </c>
      <c r="P199" s="2">
        <v>34</v>
      </c>
    </row>
    <row r="200" ht="23" customHeight="1" spans="1:16">
      <c r="A200" s="6" t="s">
        <v>66</v>
      </c>
      <c r="B200" s="2" t="s">
        <v>30</v>
      </c>
      <c r="C200" s="2" t="s">
        <v>17</v>
      </c>
      <c r="D200" s="2">
        <v>5</v>
      </c>
      <c r="E200" s="6" t="s">
        <v>502</v>
      </c>
      <c r="F200" s="2" t="str">
        <f t="shared" si="18"/>
        <v>A</v>
      </c>
      <c r="G200" s="2">
        <v>5</v>
      </c>
      <c r="H200" s="2" t="str">
        <f t="shared" si="19"/>
        <v>C</v>
      </c>
      <c r="I200" s="2">
        <v>5</v>
      </c>
      <c r="J200" s="2">
        <f t="shared" si="20"/>
        <v>0</v>
      </c>
      <c r="K200" s="2" t="str">
        <f t="shared" si="21"/>
        <v>C</v>
      </c>
      <c r="L200" s="2" t="str">
        <f t="shared" si="22"/>
        <v>D(平局)</v>
      </c>
      <c r="M200" s="2" t="s">
        <v>34</v>
      </c>
      <c r="N200" s="2">
        <f t="shared" si="23"/>
        <v>0</v>
      </c>
      <c r="O200" s="2" t="s">
        <v>34</v>
      </c>
      <c r="P200" s="2">
        <v>25</v>
      </c>
    </row>
    <row r="201" ht="23" customHeight="1" spans="1:16">
      <c r="A201" s="6" t="s">
        <v>66</v>
      </c>
      <c r="B201" s="2" t="s">
        <v>30</v>
      </c>
      <c r="C201" s="2" t="s">
        <v>47</v>
      </c>
      <c r="D201" s="2">
        <v>5</v>
      </c>
      <c r="E201" s="6" t="s">
        <v>502</v>
      </c>
      <c r="F201" s="2" t="str">
        <f t="shared" si="18"/>
        <v>C</v>
      </c>
      <c r="G201" s="2">
        <v>5</v>
      </c>
      <c r="H201" s="2" t="str">
        <f t="shared" si="19"/>
        <v>A</v>
      </c>
      <c r="I201" s="2">
        <v>5</v>
      </c>
      <c r="J201" s="2">
        <f t="shared" si="20"/>
        <v>0</v>
      </c>
      <c r="K201" s="2" t="str">
        <f t="shared" si="21"/>
        <v>C</v>
      </c>
      <c r="L201" s="2" t="str">
        <f t="shared" si="22"/>
        <v>D(平局)</v>
      </c>
      <c r="M201" s="2" t="s">
        <v>34</v>
      </c>
      <c r="N201" s="2">
        <f t="shared" si="23"/>
        <v>0</v>
      </c>
      <c r="O201" s="2" t="s">
        <v>37</v>
      </c>
      <c r="P201" s="2">
        <v>34</v>
      </c>
    </row>
    <row r="202" ht="23" customHeight="1" spans="1:16">
      <c r="A202" s="6" t="s">
        <v>66</v>
      </c>
      <c r="B202" s="2" t="s">
        <v>40</v>
      </c>
      <c r="C202" s="2" t="s">
        <v>17</v>
      </c>
      <c r="D202" s="2">
        <v>1</v>
      </c>
      <c r="E202" s="6" t="s">
        <v>498</v>
      </c>
      <c r="F202" s="2" t="str">
        <f t="shared" si="18"/>
        <v>B</v>
      </c>
      <c r="G202" s="2">
        <v>5</v>
      </c>
      <c r="H202" s="2" t="str">
        <f t="shared" si="19"/>
        <v>C</v>
      </c>
      <c r="I202" s="2">
        <v>5</v>
      </c>
      <c r="J202" s="2">
        <f t="shared" si="20"/>
        <v>0</v>
      </c>
      <c r="K202" s="2" t="str">
        <f t="shared" si="21"/>
        <v>C</v>
      </c>
      <c r="L202" s="2" t="str">
        <f t="shared" si="22"/>
        <v>D(平局)</v>
      </c>
      <c r="M202" s="2" t="s">
        <v>22</v>
      </c>
      <c r="N202" s="2">
        <f t="shared" si="23"/>
        <v>0</v>
      </c>
      <c r="O202" s="2" t="s">
        <v>22</v>
      </c>
      <c r="P202" s="2">
        <v>28</v>
      </c>
    </row>
    <row r="203" ht="23" customHeight="1" spans="1:16">
      <c r="A203" s="6" t="s">
        <v>66</v>
      </c>
      <c r="B203" s="2" t="s">
        <v>40</v>
      </c>
      <c r="C203" s="2" t="s">
        <v>47</v>
      </c>
      <c r="D203" s="2">
        <v>1</v>
      </c>
      <c r="E203" s="6" t="s">
        <v>498</v>
      </c>
      <c r="F203" s="2" t="str">
        <f t="shared" si="18"/>
        <v>C</v>
      </c>
      <c r="G203" s="2">
        <v>5</v>
      </c>
      <c r="H203" s="2" t="str">
        <f t="shared" si="19"/>
        <v>B</v>
      </c>
      <c r="I203" s="2">
        <v>5</v>
      </c>
      <c r="J203" s="2">
        <f t="shared" si="20"/>
        <v>0</v>
      </c>
      <c r="K203" s="2" t="str">
        <f t="shared" si="21"/>
        <v>C</v>
      </c>
      <c r="L203" s="2" t="str">
        <f t="shared" si="22"/>
        <v>D(平局)</v>
      </c>
      <c r="M203" s="2" t="s">
        <v>22</v>
      </c>
      <c r="N203" s="2">
        <f t="shared" si="23"/>
        <v>0</v>
      </c>
      <c r="O203" s="2" t="s">
        <v>34</v>
      </c>
      <c r="P203" s="2">
        <v>37</v>
      </c>
    </row>
    <row r="204" ht="23" customHeight="1" spans="1:16">
      <c r="A204" s="6" t="s">
        <v>66</v>
      </c>
      <c r="B204" s="2" t="s">
        <v>40</v>
      </c>
      <c r="C204" s="2" t="s">
        <v>17</v>
      </c>
      <c r="D204" s="2">
        <v>2</v>
      </c>
      <c r="E204" s="6" t="s">
        <v>499</v>
      </c>
      <c r="F204" s="2" t="str">
        <f t="shared" si="18"/>
        <v>B</v>
      </c>
      <c r="G204" s="2">
        <v>3</v>
      </c>
      <c r="H204" s="2" t="str">
        <f t="shared" si="19"/>
        <v>C</v>
      </c>
      <c r="I204" s="2">
        <v>3</v>
      </c>
      <c r="J204" s="2">
        <f t="shared" si="20"/>
        <v>0</v>
      </c>
      <c r="K204" s="2" t="str">
        <f t="shared" si="21"/>
        <v>C</v>
      </c>
      <c r="L204" s="2" t="str">
        <f t="shared" si="22"/>
        <v>D(平局)</v>
      </c>
      <c r="M204" s="2" t="s">
        <v>22</v>
      </c>
      <c r="N204" s="2">
        <f t="shared" si="23"/>
        <v>0</v>
      </c>
      <c r="O204" s="2" t="s">
        <v>22</v>
      </c>
      <c r="P204" s="2">
        <v>28</v>
      </c>
    </row>
    <row r="205" ht="23" customHeight="1" spans="1:16">
      <c r="A205" s="6" t="s">
        <v>66</v>
      </c>
      <c r="B205" s="2" t="s">
        <v>40</v>
      </c>
      <c r="C205" s="2" t="s">
        <v>47</v>
      </c>
      <c r="D205" s="2">
        <v>2</v>
      </c>
      <c r="E205" s="6" t="s">
        <v>499</v>
      </c>
      <c r="F205" s="2" t="str">
        <f t="shared" si="18"/>
        <v>C</v>
      </c>
      <c r="G205" s="2">
        <v>4</v>
      </c>
      <c r="H205" s="2" t="str">
        <f t="shared" si="19"/>
        <v>B</v>
      </c>
      <c r="I205" s="2">
        <v>3</v>
      </c>
      <c r="J205" s="2">
        <f t="shared" si="20"/>
        <v>1</v>
      </c>
      <c r="K205" s="2" t="str">
        <f t="shared" si="21"/>
        <v>A</v>
      </c>
      <c r="L205" s="2" t="str">
        <f t="shared" si="22"/>
        <v>C</v>
      </c>
      <c r="M205" s="2" t="s">
        <v>22</v>
      </c>
      <c r="N205" s="2">
        <f t="shared" si="23"/>
        <v>1</v>
      </c>
      <c r="O205" s="2" t="s">
        <v>34</v>
      </c>
      <c r="P205" s="2">
        <v>37</v>
      </c>
    </row>
    <row r="206" ht="23" customHeight="1" spans="1:16">
      <c r="A206" s="6" t="s">
        <v>66</v>
      </c>
      <c r="B206" s="2" t="s">
        <v>40</v>
      </c>
      <c r="C206" s="2" t="s">
        <v>17</v>
      </c>
      <c r="D206" s="2">
        <v>3</v>
      </c>
      <c r="E206" s="6" t="s">
        <v>500</v>
      </c>
      <c r="F206" s="2" t="str">
        <f t="shared" si="18"/>
        <v>B</v>
      </c>
      <c r="G206" s="2">
        <v>5</v>
      </c>
      <c r="H206" s="2" t="str">
        <f t="shared" si="19"/>
        <v>C</v>
      </c>
      <c r="I206" s="2">
        <v>4</v>
      </c>
      <c r="J206" s="2">
        <f t="shared" si="20"/>
        <v>1</v>
      </c>
      <c r="K206" s="2" t="str">
        <f t="shared" si="21"/>
        <v>A</v>
      </c>
      <c r="L206" s="2" t="str">
        <f t="shared" si="22"/>
        <v>B</v>
      </c>
      <c r="M206" s="2" t="s">
        <v>22</v>
      </c>
      <c r="N206" s="2">
        <f t="shared" si="23"/>
        <v>0</v>
      </c>
      <c r="O206" s="2" t="s">
        <v>22</v>
      </c>
      <c r="P206" s="2">
        <v>28</v>
      </c>
    </row>
    <row r="207" ht="23" customHeight="1" spans="1:16">
      <c r="A207" s="6" t="s">
        <v>66</v>
      </c>
      <c r="B207" s="2" t="s">
        <v>40</v>
      </c>
      <c r="C207" s="2" t="s">
        <v>47</v>
      </c>
      <c r="D207" s="2">
        <v>3</v>
      </c>
      <c r="E207" s="6" t="s">
        <v>500</v>
      </c>
      <c r="F207" s="2" t="str">
        <f t="shared" si="18"/>
        <v>C</v>
      </c>
      <c r="G207" s="2">
        <v>4</v>
      </c>
      <c r="H207" s="2" t="str">
        <f t="shared" si="19"/>
        <v>B</v>
      </c>
      <c r="I207" s="2">
        <v>5</v>
      </c>
      <c r="J207" s="2">
        <f t="shared" si="20"/>
        <v>-1</v>
      </c>
      <c r="K207" s="2" t="str">
        <f t="shared" si="21"/>
        <v>B</v>
      </c>
      <c r="L207" s="2" t="str">
        <f t="shared" si="22"/>
        <v>B</v>
      </c>
      <c r="M207" s="2" t="s">
        <v>22</v>
      </c>
      <c r="N207" s="2">
        <f t="shared" si="23"/>
        <v>0</v>
      </c>
      <c r="O207" s="2" t="s">
        <v>34</v>
      </c>
      <c r="P207" s="2">
        <v>37</v>
      </c>
    </row>
    <row r="208" ht="23" customHeight="1" spans="1:16">
      <c r="A208" s="6" t="s">
        <v>66</v>
      </c>
      <c r="B208" s="2" t="s">
        <v>40</v>
      </c>
      <c r="C208" s="2" t="s">
        <v>17</v>
      </c>
      <c r="D208" s="2">
        <v>4</v>
      </c>
      <c r="E208" s="6" t="s">
        <v>501</v>
      </c>
      <c r="F208" s="2" t="str">
        <f t="shared" si="18"/>
        <v>B</v>
      </c>
      <c r="G208" s="2">
        <v>4</v>
      </c>
      <c r="H208" s="2" t="str">
        <f t="shared" si="19"/>
        <v>C</v>
      </c>
      <c r="I208" s="2">
        <v>5</v>
      </c>
      <c r="J208" s="2">
        <f t="shared" si="20"/>
        <v>-1</v>
      </c>
      <c r="K208" s="2" t="str">
        <f t="shared" si="21"/>
        <v>B</v>
      </c>
      <c r="L208" s="2" t="str">
        <f t="shared" si="22"/>
        <v>C</v>
      </c>
      <c r="M208" s="2" t="s">
        <v>22</v>
      </c>
      <c r="N208" s="2">
        <f t="shared" si="23"/>
        <v>1</v>
      </c>
      <c r="O208" s="2" t="s">
        <v>22</v>
      </c>
      <c r="P208" s="2">
        <v>28</v>
      </c>
    </row>
    <row r="209" ht="23" customHeight="1" spans="1:16">
      <c r="A209" s="6" t="s">
        <v>66</v>
      </c>
      <c r="B209" s="2" t="s">
        <v>40</v>
      </c>
      <c r="C209" s="2" t="s">
        <v>47</v>
      </c>
      <c r="D209" s="2">
        <v>4</v>
      </c>
      <c r="E209" s="6" t="s">
        <v>501</v>
      </c>
      <c r="F209" s="2" t="str">
        <f t="shared" si="18"/>
        <v>C</v>
      </c>
      <c r="G209" s="2">
        <v>5</v>
      </c>
      <c r="H209" s="2" t="str">
        <f t="shared" si="19"/>
        <v>B</v>
      </c>
      <c r="I209" s="2">
        <v>4</v>
      </c>
      <c r="J209" s="2">
        <f t="shared" si="20"/>
        <v>1</v>
      </c>
      <c r="K209" s="2" t="str">
        <f t="shared" si="21"/>
        <v>A</v>
      </c>
      <c r="L209" s="2" t="str">
        <f t="shared" si="22"/>
        <v>C</v>
      </c>
      <c r="M209" s="2" t="s">
        <v>22</v>
      </c>
      <c r="N209" s="2">
        <f t="shared" si="23"/>
        <v>1</v>
      </c>
      <c r="O209" s="2" t="s">
        <v>34</v>
      </c>
      <c r="P209" s="2">
        <v>37</v>
      </c>
    </row>
    <row r="210" ht="23" customHeight="1" spans="1:16">
      <c r="A210" s="6" t="s">
        <v>66</v>
      </c>
      <c r="B210" s="2" t="s">
        <v>40</v>
      </c>
      <c r="C210" s="2" t="s">
        <v>17</v>
      </c>
      <c r="D210" s="2">
        <v>5</v>
      </c>
      <c r="E210" s="6" t="s">
        <v>502</v>
      </c>
      <c r="F210" s="2" t="str">
        <f t="shared" si="18"/>
        <v>B</v>
      </c>
      <c r="G210" s="2">
        <v>5</v>
      </c>
      <c r="H210" s="2" t="str">
        <f t="shared" si="19"/>
        <v>C</v>
      </c>
      <c r="I210" s="2">
        <v>5</v>
      </c>
      <c r="J210" s="2">
        <f t="shared" si="20"/>
        <v>0</v>
      </c>
      <c r="K210" s="2" t="str">
        <f t="shared" si="21"/>
        <v>C</v>
      </c>
      <c r="L210" s="2" t="str">
        <f t="shared" si="22"/>
        <v>D(平局)</v>
      </c>
      <c r="M210" s="2" t="s">
        <v>22</v>
      </c>
      <c r="N210" s="2">
        <f t="shared" si="23"/>
        <v>0</v>
      </c>
      <c r="O210" s="2" t="s">
        <v>22</v>
      </c>
      <c r="P210" s="2">
        <v>28</v>
      </c>
    </row>
    <row r="211" ht="23" customHeight="1" spans="1:16">
      <c r="A211" s="6" t="s">
        <v>66</v>
      </c>
      <c r="B211" s="2" t="s">
        <v>40</v>
      </c>
      <c r="C211" s="2" t="s">
        <v>47</v>
      </c>
      <c r="D211" s="2">
        <v>5</v>
      </c>
      <c r="E211" s="6" t="s">
        <v>502</v>
      </c>
      <c r="F211" s="2" t="str">
        <f t="shared" si="18"/>
        <v>C</v>
      </c>
      <c r="G211" s="2">
        <v>5</v>
      </c>
      <c r="H211" s="2" t="str">
        <f t="shared" si="19"/>
        <v>B</v>
      </c>
      <c r="I211" s="2">
        <v>5</v>
      </c>
      <c r="J211" s="2">
        <f t="shared" si="20"/>
        <v>0</v>
      </c>
      <c r="K211" s="2" t="str">
        <f t="shared" si="21"/>
        <v>C</v>
      </c>
      <c r="L211" s="2" t="str">
        <f t="shared" si="22"/>
        <v>D(平局)</v>
      </c>
      <c r="M211" s="2" t="s">
        <v>22</v>
      </c>
      <c r="N211" s="2">
        <f t="shared" si="23"/>
        <v>0</v>
      </c>
      <c r="O211" s="2" t="s">
        <v>34</v>
      </c>
      <c r="P211" s="2">
        <v>37</v>
      </c>
    </row>
    <row r="212" ht="23" customHeight="1" spans="1:16">
      <c r="A212" s="6" t="s">
        <v>142</v>
      </c>
      <c r="B212" s="2" t="s">
        <v>15</v>
      </c>
      <c r="C212" s="2" t="s">
        <v>17</v>
      </c>
      <c r="D212" s="2">
        <v>1</v>
      </c>
      <c r="E212" s="6" t="s">
        <v>498</v>
      </c>
      <c r="F212" s="2" t="str">
        <f t="shared" si="18"/>
        <v>A</v>
      </c>
      <c r="G212" s="2">
        <v>4</v>
      </c>
      <c r="H212" s="2" t="str">
        <f t="shared" si="19"/>
        <v>B</v>
      </c>
      <c r="I212" s="2">
        <v>5</v>
      </c>
      <c r="J212" s="2">
        <f t="shared" si="20"/>
        <v>-1</v>
      </c>
      <c r="K212" s="2" t="str">
        <f t="shared" si="21"/>
        <v>B</v>
      </c>
      <c r="L212" s="2" t="str">
        <f t="shared" si="22"/>
        <v>B</v>
      </c>
      <c r="M212" s="2" t="s">
        <v>34</v>
      </c>
      <c r="N212" s="2">
        <f t="shared" si="23"/>
        <v>0</v>
      </c>
      <c r="O212" s="2" t="s">
        <v>37</v>
      </c>
      <c r="P212" s="2">
        <v>58</v>
      </c>
    </row>
    <row r="213" ht="23" customHeight="1" spans="1:16">
      <c r="A213" s="6" t="s">
        <v>142</v>
      </c>
      <c r="B213" s="2" t="s">
        <v>15</v>
      </c>
      <c r="C213" s="2" t="s">
        <v>47</v>
      </c>
      <c r="D213" s="2">
        <v>1</v>
      </c>
      <c r="E213" s="6" t="s">
        <v>498</v>
      </c>
      <c r="F213" s="2" t="str">
        <f t="shared" si="18"/>
        <v>B</v>
      </c>
      <c r="G213" s="2">
        <v>4</v>
      </c>
      <c r="H213" s="2" t="str">
        <f t="shared" si="19"/>
        <v>A</v>
      </c>
      <c r="I213" s="2">
        <v>4</v>
      </c>
      <c r="J213" s="2">
        <f t="shared" si="20"/>
        <v>0</v>
      </c>
      <c r="K213" s="2" t="str">
        <f t="shared" si="21"/>
        <v>C</v>
      </c>
      <c r="L213" s="2" t="str">
        <f t="shared" si="22"/>
        <v>D(平局)</v>
      </c>
      <c r="M213" s="2" t="s">
        <v>34</v>
      </c>
      <c r="N213" s="2">
        <f t="shared" si="23"/>
        <v>0</v>
      </c>
      <c r="O213" s="2" t="s">
        <v>34</v>
      </c>
      <c r="P213" s="2">
        <v>67</v>
      </c>
    </row>
    <row r="214" ht="23" customHeight="1" spans="1:16">
      <c r="A214" s="6" t="s">
        <v>142</v>
      </c>
      <c r="B214" s="2" t="s">
        <v>15</v>
      </c>
      <c r="C214" s="2" t="s">
        <v>17</v>
      </c>
      <c r="D214" s="2">
        <v>2</v>
      </c>
      <c r="E214" s="6" t="s">
        <v>499</v>
      </c>
      <c r="F214" s="2" t="str">
        <f t="shared" si="18"/>
        <v>A</v>
      </c>
      <c r="G214" s="2">
        <v>3</v>
      </c>
      <c r="H214" s="2" t="str">
        <f t="shared" si="19"/>
        <v>B</v>
      </c>
      <c r="I214" s="2">
        <v>4</v>
      </c>
      <c r="J214" s="2">
        <f t="shared" si="20"/>
        <v>-1</v>
      </c>
      <c r="K214" s="2" t="str">
        <f t="shared" si="21"/>
        <v>B</v>
      </c>
      <c r="L214" s="2" t="str">
        <f t="shared" si="22"/>
        <v>B</v>
      </c>
      <c r="M214" s="2" t="s">
        <v>34</v>
      </c>
      <c r="N214" s="2">
        <f t="shared" si="23"/>
        <v>0</v>
      </c>
      <c r="O214" s="2" t="s">
        <v>37</v>
      </c>
      <c r="P214" s="2">
        <v>58</v>
      </c>
    </row>
    <row r="215" ht="23" customHeight="1" spans="1:16">
      <c r="A215" s="6" t="s">
        <v>142</v>
      </c>
      <c r="B215" s="2" t="s">
        <v>15</v>
      </c>
      <c r="C215" s="2" t="s">
        <v>47</v>
      </c>
      <c r="D215" s="2">
        <v>2</v>
      </c>
      <c r="E215" s="6" t="s">
        <v>499</v>
      </c>
      <c r="F215" s="2" t="str">
        <f t="shared" si="18"/>
        <v>B</v>
      </c>
      <c r="G215" s="2">
        <v>3</v>
      </c>
      <c r="H215" s="2" t="str">
        <f t="shared" si="19"/>
        <v>A</v>
      </c>
      <c r="I215" s="2">
        <v>4</v>
      </c>
      <c r="J215" s="2">
        <f t="shared" si="20"/>
        <v>-1</v>
      </c>
      <c r="K215" s="2" t="str">
        <f t="shared" si="21"/>
        <v>B</v>
      </c>
      <c r="L215" s="2" t="str">
        <f t="shared" si="22"/>
        <v>A</v>
      </c>
      <c r="M215" s="2" t="s">
        <v>34</v>
      </c>
      <c r="N215" s="2">
        <f t="shared" si="23"/>
        <v>1</v>
      </c>
      <c r="O215" s="2" t="s">
        <v>34</v>
      </c>
      <c r="P215" s="2">
        <v>67</v>
      </c>
    </row>
    <row r="216" ht="23" customHeight="1" spans="1:16">
      <c r="A216" s="6" t="s">
        <v>142</v>
      </c>
      <c r="B216" s="2" t="s">
        <v>15</v>
      </c>
      <c r="C216" s="2" t="s">
        <v>17</v>
      </c>
      <c r="D216" s="2">
        <v>3</v>
      </c>
      <c r="E216" s="6" t="s">
        <v>500</v>
      </c>
      <c r="F216" s="2" t="str">
        <f t="shared" si="18"/>
        <v>A</v>
      </c>
      <c r="G216" s="2">
        <v>5</v>
      </c>
      <c r="H216" s="2" t="str">
        <f t="shared" si="19"/>
        <v>B</v>
      </c>
      <c r="I216" s="2">
        <v>5</v>
      </c>
      <c r="J216" s="2">
        <f t="shared" si="20"/>
        <v>0</v>
      </c>
      <c r="K216" s="2" t="str">
        <f t="shared" si="21"/>
        <v>C</v>
      </c>
      <c r="L216" s="2" t="str">
        <f t="shared" si="22"/>
        <v>D(平局)</v>
      </c>
      <c r="M216" s="2" t="s">
        <v>34</v>
      </c>
      <c r="N216" s="2">
        <f t="shared" si="23"/>
        <v>0</v>
      </c>
      <c r="O216" s="2" t="s">
        <v>37</v>
      </c>
      <c r="P216" s="2">
        <v>58</v>
      </c>
    </row>
    <row r="217" ht="23" customHeight="1" spans="1:16">
      <c r="A217" s="6" t="s">
        <v>142</v>
      </c>
      <c r="B217" s="2" t="s">
        <v>15</v>
      </c>
      <c r="C217" s="2" t="s">
        <v>47</v>
      </c>
      <c r="D217" s="2">
        <v>3</v>
      </c>
      <c r="E217" s="6" t="s">
        <v>500</v>
      </c>
      <c r="F217" s="2" t="str">
        <f t="shared" si="18"/>
        <v>B</v>
      </c>
      <c r="G217" s="2">
        <v>5</v>
      </c>
      <c r="H217" s="2" t="str">
        <f t="shared" si="19"/>
        <v>A</v>
      </c>
      <c r="I217" s="2">
        <v>4</v>
      </c>
      <c r="J217" s="2">
        <f t="shared" si="20"/>
        <v>1</v>
      </c>
      <c r="K217" s="2" t="str">
        <f t="shared" si="21"/>
        <v>A</v>
      </c>
      <c r="L217" s="2" t="str">
        <f t="shared" si="22"/>
        <v>B</v>
      </c>
      <c r="M217" s="2" t="s">
        <v>34</v>
      </c>
      <c r="N217" s="2">
        <f t="shared" si="23"/>
        <v>0</v>
      </c>
      <c r="O217" s="2" t="s">
        <v>34</v>
      </c>
      <c r="P217" s="2">
        <v>67</v>
      </c>
    </row>
    <row r="218" ht="23" customHeight="1" spans="1:16">
      <c r="A218" s="6" t="s">
        <v>142</v>
      </c>
      <c r="B218" s="2" t="s">
        <v>15</v>
      </c>
      <c r="C218" s="2" t="s">
        <v>17</v>
      </c>
      <c r="D218" s="2">
        <v>4</v>
      </c>
      <c r="E218" s="6" t="s">
        <v>501</v>
      </c>
      <c r="F218" s="2" t="str">
        <f t="shared" si="18"/>
        <v>A</v>
      </c>
      <c r="G218" s="2">
        <v>3</v>
      </c>
      <c r="H218" s="2" t="str">
        <f t="shared" si="19"/>
        <v>B</v>
      </c>
      <c r="I218" s="2">
        <v>5</v>
      </c>
      <c r="J218" s="2">
        <f t="shared" si="20"/>
        <v>-2</v>
      </c>
      <c r="K218" s="2" t="str">
        <f t="shared" si="21"/>
        <v>B</v>
      </c>
      <c r="L218" s="2" t="str">
        <f t="shared" si="22"/>
        <v>B</v>
      </c>
      <c r="M218" s="2" t="s">
        <v>34</v>
      </c>
      <c r="N218" s="2">
        <f t="shared" si="23"/>
        <v>0</v>
      </c>
      <c r="O218" s="2" t="s">
        <v>37</v>
      </c>
      <c r="P218" s="2">
        <v>58</v>
      </c>
    </row>
    <row r="219" ht="23" customHeight="1" spans="1:16">
      <c r="A219" s="6" t="s">
        <v>142</v>
      </c>
      <c r="B219" s="2" t="s">
        <v>15</v>
      </c>
      <c r="C219" s="2" t="s">
        <v>47</v>
      </c>
      <c r="D219" s="2">
        <v>4</v>
      </c>
      <c r="E219" s="6" t="s">
        <v>501</v>
      </c>
      <c r="F219" s="2" t="str">
        <f t="shared" si="18"/>
        <v>B</v>
      </c>
      <c r="G219" s="2">
        <v>5</v>
      </c>
      <c r="H219" s="2" t="str">
        <f t="shared" si="19"/>
        <v>A</v>
      </c>
      <c r="I219" s="2">
        <v>4</v>
      </c>
      <c r="J219" s="2">
        <f t="shared" si="20"/>
        <v>1</v>
      </c>
      <c r="K219" s="2" t="str">
        <f t="shared" si="21"/>
        <v>A</v>
      </c>
      <c r="L219" s="2" t="str">
        <f t="shared" si="22"/>
        <v>B</v>
      </c>
      <c r="M219" s="2" t="s">
        <v>34</v>
      </c>
      <c r="N219" s="2">
        <f t="shared" si="23"/>
        <v>0</v>
      </c>
      <c r="O219" s="2" t="s">
        <v>34</v>
      </c>
      <c r="P219" s="2">
        <v>67</v>
      </c>
    </row>
    <row r="220" ht="23" customHeight="1" spans="1:16">
      <c r="A220" s="6" t="s">
        <v>142</v>
      </c>
      <c r="B220" s="2" t="s">
        <v>15</v>
      </c>
      <c r="C220" s="2" t="s">
        <v>17</v>
      </c>
      <c r="D220" s="2">
        <v>5</v>
      </c>
      <c r="E220" s="6" t="s">
        <v>502</v>
      </c>
      <c r="F220" s="2" t="str">
        <f t="shared" si="18"/>
        <v>A</v>
      </c>
      <c r="G220" s="2">
        <v>5</v>
      </c>
      <c r="H220" s="2" t="str">
        <f t="shared" si="19"/>
        <v>B</v>
      </c>
      <c r="I220" s="2">
        <v>5</v>
      </c>
      <c r="J220" s="2">
        <f t="shared" si="20"/>
        <v>0</v>
      </c>
      <c r="K220" s="2" t="str">
        <f t="shared" si="21"/>
        <v>C</v>
      </c>
      <c r="L220" s="2" t="str">
        <f t="shared" si="22"/>
        <v>D(平局)</v>
      </c>
      <c r="M220" s="2" t="s">
        <v>34</v>
      </c>
      <c r="N220" s="2">
        <f t="shared" si="23"/>
        <v>0</v>
      </c>
      <c r="O220" s="2" t="s">
        <v>37</v>
      </c>
      <c r="P220" s="2">
        <v>58</v>
      </c>
    </row>
    <row r="221" ht="23" customHeight="1" spans="1:16">
      <c r="A221" s="6" t="s">
        <v>142</v>
      </c>
      <c r="B221" s="2" t="s">
        <v>15</v>
      </c>
      <c r="C221" s="2" t="s">
        <v>47</v>
      </c>
      <c r="D221" s="2">
        <v>5</v>
      </c>
      <c r="E221" s="6" t="s">
        <v>502</v>
      </c>
      <c r="F221" s="2" t="str">
        <f t="shared" si="18"/>
        <v>B</v>
      </c>
      <c r="G221" s="2">
        <v>5</v>
      </c>
      <c r="H221" s="2" t="str">
        <f t="shared" si="19"/>
        <v>A</v>
      </c>
      <c r="I221" s="2">
        <v>5</v>
      </c>
      <c r="J221" s="2">
        <f t="shared" si="20"/>
        <v>0</v>
      </c>
      <c r="K221" s="2" t="str">
        <f t="shared" si="21"/>
        <v>C</v>
      </c>
      <c r="L221" s="2" t="str">
        <f t="shared" si="22"/>
        <v>D(平局)</v>
      </c>
      <c r="M221" s="2" t="s">
        <v>34</v>
      </c>
      <c r="N221" s="2">
        <f t="shared" si="23"/>
        <v>0</v>
      </c>
      <c r="O221" s="2" t="s">
        <v>34</v>
      </c>
      <c r="P221" s="2">
        <v>67</v>
      </c>
    </row>
    <row r="222" ht="23" customHeight="1" spans="1:16">
      <c r="A222" s="6" t="s">
        <v>142</v>
      </c>
      <c r="B222" s="2" t="s">
        <v>30</v>
      </c>
      <c r="C222" s="2" t="s">
        <v>17</v>
      </c>
      <c r="D222" s="2">
        <v>1</v>
      </c>
      <c r="E222" s="6" t="s">
        <v>498</v>
      </c>
      <c r="F222" s="2" t="str">
        <f t="shared" si="18"/>
        <v>A</v>
      </c>
      <c r="G222" s="2">
        <v>5</v>
      </c>
      <c r="H222" s="2" t="str">
        <f t="shared" si="19"/>
        <v>C</v>
      </c>
      <c r="I222" s="2">
        <v>4</v>
      </c>
      <c r="J222" s="2">
        <f t="shared" si="20"/>
        <v>1</v>
      </c>
      <c r="K222" s="2" t="str">
        <f t="shared" si="21"/>
        <v>A</v>
      </c>
      <c r="L222" s="2" t="str">
        <f t="shared" si="22"/>
        <v>A</v>
      </c>
      <c r="M222" s="2" t="s">
        <v>34</v>
      </c>
      <c r="N222" s="2">
        <f t="shared" si="23"/>
        <v>1</v>
      </c>
      <c r="O222" s="2" t="s">
        <v>34</v>
      </c>
      <c r="P222" s="2">
        <v>61</v>
      </c>
    </row>
    <row r="223" ht="23" customHeight="1" spans="1:16">
      <c r="A223" s="6" t="s">
        <v>142</v>
      </c>
      <c r="B223" s="2" t="s">
        <v>30</v>
      </c>
      <c r="C223" s="2" t="s">
        <v>47</v>
      </c>
      <c r="D223" s="2">
        <v>1</v>
      </c>
      <c r="E223" s="6" t="s">
        <v>498</v>
      </c>
      <c r="F223" s="2" t="str">
        <f t="shared" si="18"/>
        <v>C</v>
      </c>
      <c r="G223" s="2">
        <v>4</v>
      </c>
      <c r="H223" s="2" t="str">
        <f t="shared" si="19"/>
        <v>A</v>
      </c>
      <c r="I223" s="2">
        <v>4</v>
      </c>
      <c r="J223" s="2">
        <f t="shared" si="20"/>
        <v>0</v>
      </c>
      <c r="K223" s="2" t="str">
        <f t="shared" si="21"/>
        <v>C</v>
      </c>
      <c r="L223" s="2" t="str">
        <f t="shared" si="22"/>
        <v>D(平局)</v>
      </c>
      <c r="M223" s="2" t="s">
        <v>34</v>
      </c>
      <c r="N223" s="2">
        <f t="shared" si="23"/>
        <v>0</v>
      </c>
      <c r="O223" s="2" t="s">
        <v>37</v>
      </c>
      <c r="P223" s="2">
        <v>70</v>
      </c>
    </row>
    <row r="224" ht="23" customHeight="1" spans="1:16">
      <c r="A224" s="6" t="s">
        <v>142</v>
      </c>
      <c r="B224" s="2" t="s">
        <v>30</v>
      </c>
      <c r="C224" s="2" t="s">
        <v>17</v>
      </c>
      <c r="D224" s="2">
        <v>2</v>
      </c>
      <c r="E224" s="6" t="s">
        <v>499</v>
      </c>
      <c r="F224" s="2" t="str">
        <f t="shared" si="18"/>
        <v>A</v>
      </c>
      <c r="G224" s="2">
        <v>4</v>
      </c>
      <c r="H224" s="2" t="str">
        <f t="shared" si="19"/>
        <v>C</v>
      </c>
      <c r="I224" s="2">
        <v>2</v>
      </c>
      <c r="J224" s="2">
        <f t="shared" si="20"/>
        <v>2</v>
      </c>
      <c r="K224" s="2" t="str">
        <f t="shared" si="21"/>
        <v>A</v>
      </c>
      <c r="L224" s="2" t="str">
        <f t="shared" si="22"/>
        <v>A</v>
      </c>
      <c r="M224" s="2" t="s">
        <v>34</v>
      </c>
      <c r="N224" s="2">
        <f t="shared" si="23"/>
        <v>1</v>
      </c>
      <c r="O224" s="2" t="s">
        <v>34</v>
      </c>
      <c r="P224" s="2">
        <v>61</v>
      </c>
    </row>
    <row r="225" ht="23" customHeight="1" spans="1:16">
      <c r="A225" s="6" t="s">
        <v>142</v>
      </c>
      <c r="B225" s="2" t="s">
        <v>30</v>
      </c>
      <c r="C225" s="2" t="s">
        <v>47</v>
      </c>
      <c r="D225" s="2">
        <v>2</v>
      </c>
      <c r="E225" s="6" t="s">
        <v>499</v>
      </c>
      <c r="F225" s="2" t="str">
        <f t="shared" si="18"/>
        <v>C</v>
      </c>
      <c r="G225" s="2">
        <v>2</v>
      </c>
      <c r="H225" s="2" t="str">
        <f t="shared" si="19"/>
        <v>A</v>
      </c>
      <c r="I225" s="2">
        <v>4</v>
      </c>
      <c r="J225" s="2">
        <f t="shared" si="20"/>
        <v>-2</v>
      </c>
      <c r="K225" s="2" t="str">
        <f t="shared" si="21"/>
        <v>B</v>
      </c>
      <c r="L225" s="2" t="str">
        <f t="shared" si="22"/>
        <v>A</v>
      </c>
      <c r="M225" s="2" t="s">
        <v>34</v>
      </c>
      <c r="N225" s="2">
        <f t="shared" si="23"/>
        <v>1</v>
      </c>
      <c r="O225" s="2" t="s">
        <v>37</v>
      </c>
      <c r="P225" s="2">
        <v>70</v>
      </c>
    </row>
    <row r="226" ht="23" customHeight="1" spans="1:16">
      <c r="A226" s="6" t="s">
        <v>142</v>
      </c>
      <c r="B226" s="2" t="s">
        <v>30</v>
      </c>
      <c r="C226" s="2" t="s">
        <v>17</v>
      </c>
      <c r="D226" s="2">
        <v>3</v>
      </c>
      <c r="E226" s="6" t="s">
        <v>500</v>
      </c>
      <c r="F226" s="2" t="str">
        <f t="shared" si="18"/>
        <v>A</v>
      </c>
      <c r="G226" s="2">
        <v>5</v>
      </c>
      <c r="H226" s="2" t="str">
        <f t="shared" si="19"/>
        <v>C</v>
      </c>
      <c r="I226" s="2">
        <v>3</v>
      </c>
      <c r="J226" s="2">
        <f t="shared" si="20"/>
        <v>2</v>
      </c>
      <c r="K226" s="2" t="str">
        <f t="shared" si="21"/>
        <v>A</v>
      </c>
      <c r="L226" s="2" t="str">
        <f t="shared" si="22"/>
        <v>A</v>
      </c>
      <c r="M226" s="2" t="s">
        <v>34</v>
      </c>
      <c r="N226" s="2">
        <f t="shared" si="23"/>
        <v>1</v>
      </c>
      <c r="O226" s="2" t="s">
        <v>34</v>
      </c>
      <c r="P226" s="2">
        <v>61</v>
      </c>
    </row>
    <row r="227" ht="23" customHeight="1" spans="1:16">
      <c r="A227" s="6" t="s">
        <v>142</v>
      </c>
      <c r="B227" s="2" t="s">
        <v>30</v>
      </c>
      <c r="C227" s="2" t="s">
        <v>47</v>
      </c>
      <c r="D227" s="2">
        <v>3</v>
      </c>
      <c r="E227" s="6" t="s">
        <v>500</v>
      </c>
      <c r="F227" s="2" t="str">
        <f t="shared" si="18"/>
        <v>C</v>
      </c>
      <c r="G227" s="2">
        <v>3</v>
      </c>
      <c r="H227" s="2" t="str">
        <f t="shared" si="19"/>
        <v>A</v>
      </c>
      <c r="I227" s="2">
        <v>4</v>
      </c>
      <c r="J227" s="2">
        <f t="shared" si="20"/>
        <v>-1</v>
      </c>
      <c r="K227" s="2" t="str">
        <f t="shared" si="21"/>
        <v>B</v>
      </c>
      <c r="L227" s="2" t="str">
        <f t="shared" si="22"/>
        <v>A</v>
      </c>
      <c r="M227" s="2" t="s">
        <v>34</v>
      </c>
      <c r="N227" s="2">
        <f t="shared" si="23"/>
        <v>1</v>
      </c>
      <c r="O227" s="2" t="s">
        <v>37</v>
      </c>
      <c r="P227" s="2">
        <v>70</v>
      </c>
    </row>
    <row r="228" ht="23" customHeight="1" spans="1:16">
      <c r="A228" s="6" t="s">
        <v>142</v>
      </c>
      <c r="B228" s="2" t="s">
        <v>30</v>
      </c>
      <c r="C228" s="2" t="s">
        <v>17</v>
      </c>
      <c r="D228" s="2">
        <v>4</v>
      </c>
      <c r="E228" s="6" t="s">
        <v>501</v>
      </c>
      <c r="F228" s="2" t="str">
        <f t="shared" si="18"/>
        <v>A</v>
      </c>
      <c r="G228" s="2">
        <v>4</v>
      </c>
      <c r="H228" s="2" t="str">
        <f t="shared" si="19"/>
        <v>C</v>
      </c>
      <c r="I228" s="2">
        <v>5</v>
      </c>
      <c r="J228" s="2">
        <f t="shared" si="20"/>
        <v>-1</v>
      </c>
      <c r="K228" s="2" t="str">
        <f t="shared" si="21"/>
        <v>B</v>
      </c>
      <c r="L228" s="2" t="str">
        <f t="shared" si="22"/>
        <v>C</v>
      </c>
      <c r="M228" s="2" t="s">
        <v>34</v>
      </c>
      <c r="N228" s="2">
        <f t="shared" si="23"/>
        <v>0</v>
      </c>
      <c r="O228" s="2" t="s">
        <v>34</v>
      </c>
      <c r="P228" s="2">
        <v>61</v>
      </c>
    </row>
    <row r="229" ht="23" customHeight="1" spans="1:16">
      <c r="A229" s="6" t="s">
        <v>142</v>
      </c>
      <c r="B229" s="2" t="s">
        <v>30</v>
      </c>
      <c r="C229" s="2" t="s">
        <v>47</v>
      </c>
      <c r="D229" s="2">
        <v>4</v>
      </c>
      <c r="E229" s="6" t="s">
        <v>501</v>
      </c>
      <c r="F229" s="2" t="str">
        <f t="shared" si="18"/>
        <v>C</v>
      </c>
      <c r="G229" s="2">
        <v>4</v>
      </c>
      <c r="H229" s="2" t="str">
        <f t="shared" si="19"/>
        <v>A</v>
      </c>
      <c r="I229" s="2">
        <v>3</v>
      </c>
      <c r="J229" s="2">
        <f t="shared" si="20"/>
        <v>1</v>
      </c>
      <c r="K229" s="2" t="str">
        <f t="shared" si="21"/>
        <v>A</v>
      </c>
      <c r="L229" s="2" t="str">
        <f t="shared" si="22"/>
        <v>C</v>
      </c>
      <c r="M229" s="2" t="s">
        <v>34</v>
      </c>
      <c r="N229" s="2">
        <f t="shared" si="23"/>
        <v>0</v>
      </c>
      <c r="O229" s="2" t="s">
        <v>37</v>
      </c>
      <c r="P229" s="2">
        <v>70</v>
      </c>
    </row>
    <row r="230" ht="23" customHeight="1" spans="1:16">
      <c r="A230" s="6" t="s">
        <v>142</v>
      </c>
      <c r="B230" s="2" t="s">
        <v>30</v>
      </c>
      <c r="C230" s="2" t="s">
        <v>17</v>
      </c>
      <c r="D230" s="2">
        <v>5</v>
      </c>
      <c r="E230" s="6" t="s">
        <v>502</v>
      </c>
      <c r="F230" s="2" t="str">
        <f t="shared" si="18"/>
        <v>A</v>
      </c>
      <c r="G230" s="2">
        <v>5</v>
      </c>
      <c r="H230" s="2" t="str">
        <f t="shared" si="19"/>
        <v>C</v>
      </c>
      <c r="I230" s="2">
        <v>4</v>
      </c>
      <c r="J230" s="2">
        <f t="shared" si="20"/>
        <v>1</v>
      </c>
      <c r="K230" s="2" t="str">
        <f t="shared" si="21"/>
        <v>A</v>
      </c>
      <c r="L230" s="2" t="str">
        <f t="shared" si="22"/>
        <v>A</v>
      </c>
      <c r="M230" s="2" t="s">
        <v>34</v>
      </c>
      <c r="N230" s="2">
        <f t="shared" si="23"/>
        <v>1</v>
      </c>
      <c r="O230" s="2" t="s">
        <v>34</v>
      </c>
      <c r="P230" s="2">
        <v>61</v>
      </c>
    </row>
    <row r="231" ht="23" customHeight="1" spans="1:16">
      <c r="A231" s="6" t="s">
        <v>142</v>
      </c>
      <c r="B231" s="2" t="s">
        <v>30</v>
      </c>
      <c r="C231" s="2" t="s">
        <v>47</v>
      </c>
      <c r="D231" s="2">
        <v>5</v>
      </c>
      <c r="E231" s="6" t="s">
        <v>502</v>
      </c>
      <c r="F231" s="2" t="str">
        <f t="shared" si="18"/>
        <v>C</v>
      </c>
      <c r="G231" s="2">
        <v>5</v>
      </c>
      <c r="H231" s="2" t="str">
        <f t="shared" si="19"/>
        <v>A</v>
      </c>
      <c r="I231" s="2">
        <v>5</v>
      </c>
      <c r="J231" s="2">
        <f t="shared" si="20"/>
        <v>0</v>
      </c>
      <c r="K231" s="2" t="str">
        <f t="shared" si="21"/>
        <v>C</v>
      </c>
      <c r="L231" s="2" t="str">
        <f t="shared" si="22"/>
        <v>D(平局)</v>
      </c>
      <c r="M231" s="2" t="s">
        <v>34</v>
      </c>
      <c r="N231" s="2">
        <f t="shared" si="23"/>
        <v>0</v>
      </c>
      <c r="O231" s="2" t="s">
        <v>37</v>
      </c>
      <c r="P231" s="2">
        <v>70</v>
      </c>
    </row>
    <row r="232" ht="23" customHeight="1" spans="1:16">
      <c r="A232" s="6" t="s">
        <v>142</v>
      </c>
      <c r="B232" s="2" t="s">
        <v>40</v>
      </c>
      <c r="C232" s="2" t="s">
        <v>17</v>
      </c>
      <c r="D232" s="2">
        <v>1</v>
      </c>
      <c r="E232" s="6" t="s">
        <v>498</v>
      </c>
      <c r="F232" s="2" t="str">
        <f t="shared" si="18"/>
        <v>B</v>
      </c>
      <c r="G232" s="2">
        <v>5</v>
      </c>
      <c r="H232" s="2" t="str">
        <f t="shared" si="19"/>
        <v>C</v>
      </c>
      <c r="I232" s="2">
        <v>5</v>
      </c>
      <c r="J232" s="2">
        <f t="shared" si="20"/>
        <v>0</v>
      </c>
      <c r="K232" s="2" t="str">
        <f t="shared" si="21"/>
        <v>C</v>
      </c>
      <c r="L232" s="2" t="str">
        <f t="shared" si="22"/>
        <v>D(平局)</v>
      </c>
      <c r="M232" s="2" t="s">
        <v>37</v>
      </c>
      <c r="N232" s="2">
        <f t="shared" si="23"/>
        <v>0</v>
      </c>
      <c r="O232" s="2" t="s">
        <v>34</v>
      </c>
      <c r="P232" s="2">
        <v>64</v>
      </c>
    </row>
    <row r="233" ht="23" customHeight="1" spans="1:16">
      <c r="A233" s="6" t="s">
        <v>142</v>
      </c>
      <c r="B233" s="2" t="s">
        <v>40</v>
      </c>
      <c r="C233" s="2" t="s">
        <v>47</v>
      </c>
      <c r="D233" s="2">
        <v>1</v>
      </c>
      <c r="E233" s="6" t="s">
        <v>498</v>
      </c>
      <c r="F233" s="2" t="str">
        <f t="shared" si="18"/>
        <v>C</v>
      </c>
      <c r="G233" s="2">
        <v>4</v>
      </c>
      <c r="H233" s="2" t="str">
        <f t="shared" si="19"/>
        <v>B</v>
      </c>
      <c r="I233" s="2">
        <v>5</v>
      </c>
      <c r="J233" s="2">
        <f t="shared" si="20"/>
        <v>-1</v>
      </c>
      <c r="K233" s="2" t="str">
        <f t="shared" si="21"/>
        <v>B</v>
      </c>
      <c r="L233" s="2" t="str">
        <f t="shared" si="22"/>
        <v>B</v>
      </c>
      <c r="M233" s="2" t="s">
        <v>37</v>
      </c>
      <c r="N233" s="2">
        <f t="shared" si="23"/>
        <v>1</v>
      </c>
      <c r="O233" s="2" t="s">
        <v>37</v>
      </c>
      <c r="P233" s="2">
        <v>73</v>
      </c>
    </row>
    <row r="234" ht="23" customHeight="1" spans="1:16">
      <c r="A234" s="6" t="s">
        <v>142</v>
      </c>
      <c r="B234" s="2" t="s">
        <v>40</v>
      </c>
      <c r="C234" s="2" t="s">
        <v>17</v>
      </c>
      <c r="D234" s="2">
        <v>2</v>
      </c>
      <c r="E234" s="6" t="s">
        <v>499</v>
      </c>
      <c r="F234" s="2" t="str">
        <f t="shared" si="18"/>
        <v>B</v>
      </c>
      <c r="G234" s="2">
        <v>4</v>
      </c>
      <c r="H234" s="2" t="str">
        <f t="shared" si="19"/>
        <v>C</v>
      </c>
      <c r="I234" s="2">
        <v>2</v>
      </c>
      <c r="J234" s="2">
        <f t="shared" si="20"/>
        <v>2</v>
      </c>
      <c r="K234" s="2" t="str">
        <f t="shared" si="21"/>
        <v>A</v>
      </c>
      <c r="L234" s="2" t="str">
        <f t="shared" si="22"/>
        <v>B</v>
      </c>
      <c r="M234" s="2" t="s">
        <v>37</v>
      </c>
      <c r="N234" s="2">
        <f t="shared" si="23"/>
        <v>1</v>
      </c>
      <c r="O234" s="2" t="s">
        <v>34</v>
      </c>
      <c r="P234" s="2">
        <v>64</v>
      </c>
    </row>
    <row r="235" ht="23" customHeight="1" spans="1:16">
      <c r="A235" s="6" t="s">
        <v>142</v>
      </c>
      <c r="B235" s="2" t="s">
        <v>40</v>
      </c>
      <c r="C235" s="2" t="s">
        <v>47</v>
      </c>
      <c r="D235" s="2">
        <v>2</v>
      </c>
      <c r="E235" s="6" t="s">
        <v>499</v>
      </c>
      <c r="F235" s="2" t="str">
        <f t="shared" si="18"/>
        <v>C</v>
      </c>
      <c r="G235" s="2">
        <v>2</v>
      </c>
      <c r="H235" s="2" t="str">
        <f t="shared" si="19"/>
        <v>B</v>
      </c>
      <c r="I235" s="2">
        <v>4</v>
      </c>
      <c r="J235" s="2">
        <f t="shared" si="20"/>
        <v>-2</v>
      </c>
      <c r="K235" s="2" t="str">
        <f t="shared" si="21"/>
        <v>B</v>
      </c>
      <c r="L235" s="2" t="str">
        <f t="shared" si="22"/>
        <v>B</v>
      </c>
      <c r="M235" s="2" t="s">
        <v>37</v>
      </c>
      <c r="N235" s="2">
        <f t="shared" si="23"/>
        <v>1</v>
      </c>
      <c r="O235" s="2" t="s">
        <v>37</v>
      </c>
      <c r="P235" s="2">
        <v>73</v>
      </c>
    </row>
    <row r="236" ht="23" customHeight="1" spans="1:16">
      <c r="A236" s="6" t="s">
        <v>142</v>
      </c>
      <c r="B236" s="2" t="s">
        <v>40</v>
      </c>
      <c r="C236" s="2" t="s">
        <v>17</v>
      </c>
      <c r="D236" s="2">
        <v>3</v>
      </c>
      <c r="E236" s="6" t="s">
        <v>500</v>
      </c>
      <c r="F236" s="2" t="str">
        <f t="shared" si="18"/>
        <v>B</v>
      </c>
      <c r="G236" s="2">
        <v>5</v>
      </c>
      <c r="H236" s="2" t="str">
        <f t="shared" si="19"/>
        <v>C</v>
      </c>
      <c r="I236" s="2">
        <v>3</v>
      </c>
      <c r="J236" s="2">
        <f t="shared" si="20"/>
        <v>2</v>
      </c>
      <c r="K236" s="2" t="str">
        <f t="shared" si="21"/>
        <v>A</v>
      </c>
      <c r="L236" s="2" t="str">
        <f t="shared" si="22"/>
        <v>B</v>
      </c>
      <c r="M236" s="2" t="s">
        <v>37</v>
      </c>
      <c r="N236" s="2">
        <f t="shared" si="23"/>
        <v>1</v>
      </c>
      <c r="O236" s="2" t="s">
        <v>34</v>
      </c>
      <c r="P236" s="2">
        <v>64</v>
      </c>
    </row>
    <row r="237" ht="23" customHeight="1" spans="1:16">
      <c r="A237" s="6" t="s">
        <v>142</v>
      </c>
      <c r="B237" s="2" t="s">
        <v>40</v>
      </c>
      <c r="C237" s="2" t="s">
        <v>47</v>
      </c>
      <c r="D237" s="2">
        <v>3</v>
      </c>
      <c r="E237" s="6" t="s">
        <v>500</v>
      </c>
      <c r="F237" s="2" t="str">
        <f t="shared" si="18"/>
        <v>C</v>
      </c>
      <c r="G237" s="2">
        <v>3</v>
      </c>
      <c r="H237" s="2" t="str">
        <f t="shared" si="19"/>
        <v>B</v>
      </c>
      <c r="I237" s="2">
        <v>5</v>
      </c>
      <c r="J237" s="2">
        <f t="shared" si="20"/>
        <v>-2</v>
      </c>
      <c r="K237" s="2" t="str">
        <f t="shared" si="21"/>
        <v>B</v>
      </c>
      <c r="L237" s="2" t="str">
        <f t="shared" si="22"/>
        <v>B</v>
      </c>
      <c r="M237" s="2" t="s">
        <v>37</v>
      </c>
      <c r="N237" s="2">
        <f t="shared" si="23"/>
        <v>1</v>
      </c>
      <c r="O237" s="2" t="s">
        <v>37</v>
      </c>
      <c r="P237" s="2">
        <v>73</v>
      </c>
    </row>
    <row r="238" ht="23" customHeight="1" spans="1:16">
      <c r="A238" s="6" t="s">
        <v>142</v>
      </c>
      <c r="B238" s="2" t="s">
        <v>40</v>
      </c>
      <c r="C238" s="2" t="s">
        <v>17</v>
      </c>
      <c r="D238" s="2">
        <v>4</v>
      </c>
      <c r="E238" s="6" t="s">
        <v>501</v>
      </c>
      <c r="F238" s="2" t="str">
        <f t="shared" si="18"/>
        <v>B</v>
      </c>
      <c r="G238" s="2">
        <v>5</v>
      </c>
      <c r="H238" s="2" t="str">
        <f t="shared" si="19"/>
        <v>C</v>
      </c>
      <c r="I238" s="2">
        <v>4</v>
      </c>
      <c r="J238" s="2">
        <f t="shared" si="20"/>
        <v>1</v>
      </c>
      <c r="K238" s="2" t="str">
        <f t="shared" si="21"/>
        <v>A</v>
      </c>
      <c r="L238" s="2" t="str">
        <f t="shared" si="22"/>
        <v>B</v>
      </c>
      <c r="M238" s="2" t="s">
        <v>37</v>
      </c>
      <c r="N238" s="2">
        <f t="shared" si="23"/>
        <v>1</v>
      </c>
      <c r="O238" s="2" t="s">
        <v>34</v>
      </c>
      <c r="P238" s="2">
        <v>64</v>
      </c>
    </row>
    <row r="239" ht="23" customHeight="1" spans="1:16">
      <c r="A239" s="6" t="s">
        <v>142</v>
      </c>
      <c r="B239" s="2" t="s">
        <v>40</v>
      </c>
      <c r="C239" s="2" t="s">
        <v>47</v>
      </c>
      <c r="D239" s="2">
        <v>4</v>
      </c>
      <c r="E239" s="6" t="s">
        <v>501</v>
      </c>
      <c r="F239" s="2" t="str">
        <f t="shared" si="18"/>
        <v>C</v>
      </c>
      <c r="G239" s="2">
        <v>3</v>
      </c>
      <c r="H239" s="2" t="str">
        <f t="shared" si="19"/>
        <v>B</v>
      </c>
      <c r="I239" s="2">
        <v>4</v>
      </c>
      <c r="J239" s="2">
        <f t="shared" si="20"/>
        <v>-1</v>
      </c>
      <c r="K239" s="2" t="str">
        <f t="shared" si="21"/>
        <v>B</v>
      </c>
      <c r="L239" s="2" t="str">
        <f t="shared" si="22"/>
        <v>B</v>
      </c>
      <c r="M239" s="2" t="s">
        <v>37</v>
      </c>
      <c r="N239" s="2">
        <f t="shared" si="23"/>
        <v>1</v>
      </c>
      <c r="O239" s="2" t="s">
        <v>37</v>
      </c>
      <c r="P239" s="2">
        <v>73</v>
      </c>
    </row>
    <row r="240" ht="23" customHeight="1" spans="1:16">
      <c r="A240" s="6" t="s">
        <v>142</v>
      </c>
      <c r="B240" s="2" t="s">
        <v>40</v>
      </c>
      <c r="C240" s="2" t="s">
        <v>17</v>
      </c>
      <c r="D240" s="2">
        <v>5</v>
      </c>
      <c r="E240" s="6" t="s">
        <v>502</v>
      </c>
      <c r="F240" s="2" t="str">
        <f t="shared" si="18"/>
        <v>B</v>
      </c>
      <c r="G240" s="2">
        <v>5</v>
      </c>
      <c r="H240" s="2" t="str">
        <f t="shared" si="19"/>
        <v>C</v>
      </c>
      <c r="I240" s="2">
        <v>5</v>
      </c>
      <c r="J240" s="2">
        <f t="shared" si="20"/>
        <v>0</v>
      </c>
      <c r="K240" s="2" t="str">
        <f t="shared" si="21"/>
        <v>C</v>
      </c>
      <c r="L240" s="2" t="str">
        <f t="shared" si="22"/>
        <v>D(平局)</v>
      </c>
      <c r="M240" s="2" t="s">
        <v>37</v>
      </c>
      <c r="N240" s="2">
        <f t="shared" si="23"/>
        <v>0</v>
      </c>
      <c r="O240" s="2" t="s">
        <v>34</v>
      </c>
      <c r="P240" s="2">
        <v>64</v>
      </c>
    </row>
    <row r="241" ht="23" customHeight="1" spans="1:16">
      <c r="A241" s="6" t="s">
        <v>142</v>
      </c>
      <c r="B241" s="2" t="s">
        <v>40</v>
      </c>
      <c r="C241" s="2" t="s">
        <v>47</v>
      </c>
      <c r="D241" s="2">
        <v>5</v>
      </c>
      <c r="E241" s="6" t="s">
        <v>502</v>
      </c>
      <c r="F241" s="2" t="str">
        <f t="shared" si="18"/>
        <v>C</v>
      </c>
      <c r="G241" s="2">
        <v>5</v>
      </c>
      <c r="H241" s="2" t="str">
        <f t="shared" si="19"/>
        <v>B</v>
      </c>
      <c r="I241" s="2">
        <v>5</v>
      </c>
      <c r="J241" s="2">
        <f t="shared" si="20"/>
        <v>0</v>
      </c>
      <c r="K241" s="2" t="str">
        <f t="shared" si="21"/>
        <v>C</v>
      </c>
      <c r="L241" s="2" t="str">
        <f t="shared" si="22"/>
        <v>D(平局)</v>
      </c>
      <c r="M241" s="2" t="s">
        <v>37</v>
      </c>
      <c r="N241" s="2">
        <f t="shared" si="23"/>
        <v>0</v>
      </c>
      <c r="O241" s="2" t="s">
        <v>37</v>
      </c>
      <c r="P241" s="2">
        <v>73</v>
      </c>
    </row>
    <row r="242" ht="23" customHeight="1" spans="1:16">
      <c r="A242" s="6" t="s">
        <v>256</v>
      </c>
      <c r="B242" s="2" t="s">
        <v>15</v>
      </c>
      <c r="C242" s="2" t="s">
        <v>17</v>
      </c>
      <c r="D242" s="2">
        <v>1</v>
      </c>
      <c r="E242" s="6" t="s">
        <v>498</v>
      </c>
      <c r="F242" s="2" t="str">
        <f t="shared" si="18"/>
        <v>A</v>
      </c>
      <c r="G242" s="2">
        <v>4</v>
      </c>
      <c r="H242" s="2" t="str">
        <f t="shared" si="19"/>
        <v>B</v>
      </c>
      <c r="I242" s="2">
        <v>3</v>
      </c>
      <c r="J242" s="2">
        <f t="shared" si="20"/>
        <v>1</v>
      </c>
      <c r="K242" s="2" t="str">
        <f t="shared" si="21"/>
        <v>A</v>
      </c>
      <c r="L242" s="2" t="str">
        <f t="shared" si="22"/>
        <v>A</v>
      </c>
      <c r="M242" s="2" t="s">
        <v>23</v>
      </c>
      <c r="N242" s="2">
        <f t="shared" si="23"/>
        <v>0</v>
      </c>
      <c r="O242" s="2" t="s">
        <v>34</v>
      </c>
      <c r="P242" s="2">
        <v>112</v>
      </c>
    </row>
    <row r="243" ht="23" customHeight="1" spans="1:16">
      <c r="A243" s="6" t="s">
        <v>256</v>
      </c>
      <c r="B243" s="2" t="s">
        <v>15</v>
      </c>
      <c r="C243" s="2" t="s">
        <v>47</v>
      </c>
      <c r="D243" s="2">
        <v>1</v>
      </c>
      <c r="E243" s="6" t="s">
        <v>498</v>
      </c>
      <c r="F243" s="2" t="str">
        <f t="shared" si="18"/>
        <v>B</v>
      </c>
      <c r="G243" s="2">
        <v>4</v>
      </c>
      <c r="H243" s="2" t="str">
        <f t="shared" si="19"/>
        <v>A</v>
      </c>
      <c r="I243" s="2">
        <v>4</v>
      </c>
      <c r="J243" s="2">
        <f t="shared" si="20"/>
        <v>0</v>
      </c>
      <c r="K243" s="2" t="str">
        <f t="shared" si="21"/>
        <v>C</v>
      </c>
      <c r="L243" s="2" t="str">
        <f t="shared" si="22"/>
        <v>D(平局)</v>
      </c>
      <c r="M243" s="2" t="s">
        <v>23</v>
      </c>
      <c r="N243" s="2">
        <f t="shared" si="23"/>
        <v>1</v>
      </c>
      <c r="O243" s="2" t="s">
        <v>34</v>
      </c>
      <c r="P243" s="2">
        <v>121</v>
      </c>
    </row>
    <row r="244" ht="23" customHeight="1" spans="1:16">
      <c r="A244" s="6" t="s">
        <v>256</v>
      </c>
      <c r="B244" s="2" t="s">
        <v>15</v>
      </c>
      <c r="C244" s="2" t="s">
        <v>17</v>
      </c>
      <c r="D244" s="2">
        <v>2</v>
      </c>
      <c r="E244" s="6" t="s">
        <v>499</v>
      </c>
      <c r="F244" s="2" t="str">
        <f t="shared" si="18"/>
        <v>A</v>
      </c>
      <c r="G244" s="2">
        <v>3</v>
      </c>
      <c r="H244" s="2" t="str">
        <f t="shared" si="19"/>
        <v>B</v>
      </c>
      <c r="I244" s="2">
        <v>4</v>
      </c>
      <c r="J244" s="2">
        <f t="shared" si="20"/>
        <v>-1</v>
      </c>
      <c r="K244" s="2" t="str">
        <f t="shared" si="21"/>
        <v>B</v>
      </c>
      <c r="L244" s="2" t="str">
        <f t="shared" si="22"/>
        <v>B</v>
      </c>
      <c r="M244" s="2" t="s">
        <v>23</v>
      </c>
      <c r="N244" s="2">
        <f t="shared" si="23"/>
        <v>0</v>
      </c>
      <c r="O244" s="2" t="s">
        <v>34</v>
      </c>
      <c r="P244" s="2">
        <v>112</v>
      </c>
    </row>
    <row r="245" ht="23" customHeight="1" spans="1:16">
      <c r="A245" s="6" t="s">
        <v>256</v>
      </c>
      <c r="B245" s="2" t="s">
        <v>15</v>
      </c>
      <c r="C245" s="2" t="s">
        <v>47</v>
      </c>
      <c r="D245" s="2">
        <v>2</v>
      </c>
      <c r="E245" s="6" t="s">
        <v>499</v>
      </c>
      <c r="F245" s="2" t="str">
        <f t="shared" si="18"/>
        <v>B</v>
      </c>
      <c r="G245" s="2">
        <v>4</v>
      </c>
      <c r="H245" s="2" t="str">
        <f t="shared" si="19"/>
        <v>A</v>
      </c>
      <c r="I245" s="2">
        <v>3</v>
      </c>
      <c r="J245" s="2">
        <f t="shared" si="20"/>
        <v>1</v>
      </c>
      <c r="K245" s="2" t="str">
        <f t="shared" si="21"/>
        <v>A</v>
      </c>
      <c r="L245" s="2" t="str">
        <f t="shared" si="22"/>
        <v>B</v>
      </c>
      <c r="M245" s="2" t="s">
        <v>23</v>
      </c>
      <c r="N245" s="2">
        <f t="shared" si="23"/>
        <v>0</v>
      </c>
      <c r="O245" s="2" t="s">
        <v>34</v>
      </c>
      <c r="P245" s="2">
        <v>121</v>
      </c>
    </row>
    <row r="246" ht="23" customHeight="1" spans="1:16">
      <c r="A246" s="6" t="s">
        <v>256</v>
      </c>
      <c r="B246" s="2" t="s">
        <v>15</v>
      </c>
      <c r="C246" s="2" t="s">
        <v>17</v>
      </c>
      <c r="D246" s="2">
        <v>3</v>
      </c>
      <c r="E246" s="6" t="s">
        <v>500</v>
      </c>
      <c r="F246" s="2" t="str">
        <f t="shared" si="18"/>
        <v>A</v>
      </c>
      <c r="G246" s="2">
        <v>4</v>
      </c>
      <c r="H246" s="2" t="str">
        <f t="shared" si="19"/>
        <v>B</v>
      </c>
      <c r="I246" s="2">
        <v>2</v>
      </c>
      <c r="J246" s="2">
        <f t="shared" si="20"/>
        <v>2</v>
      </c>
      <c r="K246" s="2" t="str">
        <f t="shared" si="21"/>
        <v>A</v>
      </c>
      <c r="L246" s="2" t="str">
        <f t="shared" si="22"/>
        <v>A</v>
      </c>
      <c r="M246" s="2" t="s">
        <v>23</v>
      </c>
      <c r="N246" s="2">
        <f t="shared" si="23"/>
        <v>0</v>
      </c>
      <c r="O246" s="2" t="s">
        <v>34</v>
      </c>
      <c r="P246" s="2">
        <v>112</v>
      </c>
    </row>
    <row r="247" ht="23" customHeight="1" spans="1:16">
      <c r="A247" s="6" t="s">
        <v>256</v>
      </c>
      <c r="B247" s="2" t="s">
        <v>15</v>
      </c>
      <c r="C247" s="2" t="s">
        <v>47</v>
      </c>
      <c r="D247" s="2">
        <v>3</v>
      </c>
      <c r="E247" s="6" t="s">
        <v>500</v>
      </c>
      <c r="F247" s="2" t="str">
        <f t="shared" si="18"/>
        <v>B</v>
      </c>
      <c r="G247" s="2">
        <v>3</v>
      </c>
      <c r="H247" s="2" t="str">
        <f t="shared" si="19"/>
        <v>A</v>
      </c>
      <c r="I247" s="2">
        <v>4</v>
      </c>
      <c r="J247" s="2">
        <f t="shared" si="20"/>
        <v>-1</v>
      </c>
      <c r="K247" s="2" t="str">
        <f t="shared" si="21"/>
        <v>B</v>
      </c>
      <c r="L247" s="2" t="str">
        <f t="shared" si="22"/>
        <v>A</v>
      </c>
      <c r="M247" s="2" t="s">
        <v>23</v>
      </c>
      <c r="N247" s="2">
        <f t="shared" si="23"/>
        <v>0</v>
      </c>
      <c r="O247" s="2" t="s">
        <v>34</v>
      </c>
      <c r="P247" s="2">
        <v>121</v>
      </c>
    </row>
    <row r="248" ht="23" customHeight="1" spans="1:16">
      <c r="A248" s="6" t="s">
        <v>256</v>
      </c>
      <c r="B248" s="2" t="s">
        <v>15</v>
      </c>
      <c r="C248" s="2" t="s">
        <v>17</v>
      </c>
      <c r="D248" s="2">
        <v>4</v>
      </c>
      <c r="E248" s="6" t="s">
        <v>501</v>
      </c>
      <c r="F248" s="2" t="str">
        <f t="shared" si="18"/>
        <v>A</v>
      </c>
      <c r="G248" s="2">
        <v>3</v>
      </c>
      <c r="H248" s="2" t="str">
        <f t="shared" si="19"/>
        <v>B</v>
      </c>
      <c r="I248" s="2">
        <v>4</v>
      </c>
      <c r="J248" s="2">
        <f t="shared" si="20"/>
        <v>-1</v>
      </c>
      <c r="K248" s="2" t="str">
        <f t="shared" si="21"/>
        <v>B</v>
      </c>
      <c r="L248" s="2" t="str">
        <f t="shared" si="22"/>
        <v>B</v>
      </c>
      <c r="M248" s="2" t="s">
        <v>23</v>
      </c>
      <c r="N248" s="2">
        <f t="shared" si="23"/>
        <v>0</v>
      </c>
      <c r="O248" s="2" t="s">
        <v>34</v>
      </c>
      <c r="P248" s="2">
        <v>112</v>
      </c>
    </row>
    <row r="249" ht="23" customHeight="1" spans="1:16">
      <c r="A249" s="6" t="s">
        <v>256</v>
      </c>
      <c r="B249" s="2" t="s">
        <v>15</v>
      </c>
      <c r="C249" s="2" t="s">
        <v>47</v>
      </c>
      <c r="D249" s="2">
        <v>4</v>
      </c>
      <c r="E249" s="6" t="s">
        <v>501</v>
      </c>
      <c r="F249" s="2" t="str">
        <f t="shared" si="18"/>
        <v>B</v>
      </c>
      <c r="G249" s="2">
        <v>4</v>
      </c>
      <c r="H249" s="2" t="str">
        <f t="shared" si="19"/>
        <v>A</v>
      </c>
      <c r="I249" s="2">
        <v>3</v>
      </c>
      <c r="J249" s="2">
        <f t="shared" si="20"/>
        <v>1</v>
      </c>
      <c r="K249" s="2" t="str">
        <f t="shared" si="21"/>
        <v>A</v>
      </c>
      <c r="L249" s="2" t="str">
        <f t="shared" si="22"/>
        <v>B</v>
      </c>
      <c r="M249" s="2" t="s">
        <v>23</v>
      </c>
      <c r="N249" s="2">
        <f t="shared" si="23"/>
        <v>0</v>
      </c>
      <c r="O249" s="2" t="s">
        <v>34</v>
      </c>
      <c r="P249" s="2">
        <v>121</v>
      </c>
    </row>
    <row r="250" ht="23" customHeight="1" spans="1:16">
      <c r="A250" s="6" t="s">
        <v>256</v>
      </c>
      <c r="B250" s="2" t="s">
        <v>15</v>
      </c>
      <c r="C250" s="2" t="s">
        <v>17</v>
      </c>
      <c r="D250" s="2">
        <v>5</v>
      </c>
      <c r="E250" s="6" t="s">
        <v>502</v>
      </c>
      <c r="F250" s="2" t="str">
        <f t="shared" si="18"/>
        <v>A</v>
      </c>
      <c r="G250" s="2">
        <v>5</v>
      </c>
      <c r="H250" s="2" t="str">
        <f t="shared" si="19"/>
        <v>B</v>
      </c>
      <c r="I250" s="2">
        <v>5</v>
      </c>
      <c r="J250" s="2">
        <f t="shared" si="20"/>
        <v>0</v>
      </c>
      <c r="K250" s="2" t="str">
        <f t="shared" si="21"/>
        <v>C</v>
      </c>
      <c r="L250" s="2" t="str">
        <f t="shared" si="22"/>
        <v>D(平局)</v>
      </c>
      <c r="M250" s="2" t="s">
        <v>23</v>
      </c>
      <c r="N250" s="2">
        <f t="shared" si="23"/>
        <v>1</v>
      </c>
      <c r="O250" s="2" t="s">
        <v>34</v>
      </c>
      <c r="P250" s="2">
        <v>112</v>
      </c>
    </row>
    <row r="251" ht="23" customHeight="1" spans="1:16">
      <c r="A251" s="6" t="s">
        <v>256</v>
      </c>
      <c r="B251" s="2" t="s">
        <v>15</v>
      </c>
      <c r="C251" s="2" t="s">
        <v>47</v>
      </c>
      <c r="D251" s="2">
        <v>5</v>
      </c>
      <c r="E251" s="6" t="s">
        <v>502</v>
      </c>
      <c r="F251" s="2" t="str">
        <f t="shared" si="18"/>
        <v>B</v>
      </c>
      <c r="G251" s="2">
        <v>5</v>
      </c>
      <c r="H251" s="2" t="str">
        <f t="shared" si="19"/>
        <v>A</v>
      </c>
      <c r="I251" s="2">
        <v>5</v>
      </c>
      <c r="J251" s="2">
        <f t="shared" si="20"/>
        <v>0</v>
      </c>
      <c r="K251" s="2" t="str">
        <f t="shared" si="21"/>
        <v>C</v>
      </c>
      <c r="L251" s="2" t="str">
        <f t="shared" si="22"/>
        <v>D(平局)</v>
      </c>
      <c r="M251" s="2" t="s">
        <v>23</v>
      </c>
      <c r="N251" s="2">
        <f t="shared" si="23"/>
        <v>1</v>
      </c>
      <c r="O251" s="2" t="s">
        <v>34</v>
      </c>
      <c r="P251" s="2">
        <v>121</v>
      </c>
    </row>
    <row r="252" ht="23" customHeight="1" spans="1:16">
      <c r="A252" s="6" t="s">
        <v>256</v>
      </c>
      <c r="B252" s="2" t="s">
        <v>30</v>
      </c>
      <c r="C252" s="2" t="s">
        <v>17</v>
      </c>
      <c r="D252" s="2">
        <v>1</v>
      </c>
      <c r="E252" s="6" t="s">
        <v>498</v>
      </c>
      <c r="F252" s="2" t="str">
        <f t="shared" si="18"/>
        <v>A</v>
      </c>
      <c r="G252" s="2">
        <v>4</v>
      </c>
      <c r="H252" s="2" t="str">
        <f t="shared" si="19"/>
        <v>C</v>
      </c>
      <c r="I252" s="2">
        <v>3</v>
      </c>
      <c r="J252" s="2">
        <f t="shared" si="20"/>
        <v>1</v>
      </c>
      <c r="K252" s="2" t="str">
        <f t="shared" si="21"/>
        <v>A</v>
      </c>
      <c r="L252" s="2" t="str">
        <f t="shared" si="22"/>
        <v>A</v>
      </c>
      <c r="M252" s="2" t="s">
        <v>34</v>
      </c>
      <c r="N252" s="2">
        <f t="shared" si="23"/>
        <v>1</v>
      </c>
      <c r="O252" s="2" t="s">
        <v>34</v>
      </c>
      <c r="P252" s="2">
        <v>115</v>
      </c>
    </row>
    <row r="253" ht="23" customHeight="1" spans="1:16">
      <c r="A253" s="6" t="s">
        <v>256</v>
      </c>
      <c r="B253" s="2" t="s">
        <v>30</v>
      </c>
      <c r="C253" s="2" t="s">
        <v>47</v>
      </c>
      <c r="D253" s="2">
        <v>1</v>
      </c>
      <c r="E253" s="6" t="s">
        <v>498</v>
      </c>
      <c r="F253" s="2" t="str">
        <f t="shared" si="18"/>
        <v>C</v>
      </c>
      <c r="G253" s="2">
        <v>3</v>
      </c>
      <c r="H253" s="2" t="str">
        <f t="shared" si="19"/>
        <v>A</v>
      </c>
      <c r="I253" s="2">
        <v>4</v>
      </c>
      <c r="J253" s="2">
        <f t="shared" si="20"/>
        <v>-1</v>
      </c>
      <c r="K253" s="2" t="str">
        <f t="shared" si="21"/>
        <v>B</v>
      </c>
      <c r="L253" s="2" t="str">
        <f t="shared" si="22"/>
        <v>A</v>
      </c>
      <c r="M253" s="2" t="s">
        <v>34</v>
      </c>
      <c r="N253" s="2">
        <f t="shared" si="23"/>
        <v>1</v>
      </c>
      <c r="O253" s="2" t="s">
        <v>37</v>
      </c>
      <c r="P253" s="2">
        <v>124</v>
      </c>
    </row>
    <row r="254" ht="23" customHeight="1" spans="1:16">
      <c r="A254" s="6" t="s">
        <v>256</v>
      </c>
      <c r="B254" s="2" t="s">
        <v>30</v>
      </c>
      <c r="C254" s="2" t="s">
        <v>17</v>
      </c>
      <c r="D254" s="2">
        <v>2</v>
      </c>
      <c r="E254" s="6" t="s">
        <v>499</v>
      </c>
      <c r="F254" s="2" t="str">
        <f t="shared" si="18"/>
        <v>A</v>
      </c>
      <c r="G254" s="2">
        <v>4</v>
      </c>
      <c r="H254" s="2" t="str">
        <f t="shared" si="19"/>
        <v>C</v>
      </c>
      <c r="I254" s="2">
        <v>3</v>
      </c>
      <c r="J254" s="2">
        <f t="shared" si="20"/>
        <v>1</v>
      </c>
      <c r="K254" s="2" t="str">
        <f t="shared" si="21"/>
        <v>A</v>
      </c>
      <c r="L254" s="2" t="str">
        <f t="shared" si="22"/>
        <v>A</v>
      </c>
      <c r="M254" s="2" t="s">
        <v>34</v>
      </c>
      <c r="N254" s="2">
        <f t="shared" si="23"/>
        <v>1</v>
      </c>
      <c r="O254" s="2" t="s">
        <v>34</v>
      </c>
      <c r="P254" s="2">
        <v>115</v>
      </c>
    </row>
    <row r="255" ht="23" customHeight="1" spans="1:16">
      <c r="A255" s="6" t="s">
        <v>256</v>
      </c>
      <c r="B255" s="2" t="s">
        <v>30</v>
      </c>
      <c r="C255" s="2" t="s">
        <v>47</v>
      </c>
      <c r="D255" s="2">
        <v>2</v>
      </c>
      <c r="E255" s="6" t="s">
        <v>499</v>
      </c>
      <c r="F255" s="2" t="str">
        <f t="shared" si="18"/>
        <v>C</v>
      </c>
      <c r="G255" s="2">
        <v>3</v>
      </c>
      <c r="H255" s="2" t="str">
        <f t="shared" si="19"/>
        <v>A</v>
      </c>
      <c r="I255" s="2">
        <v>4</v>
      </c>
      <c r="J255" s="2">
        <f t="shared" si="20"/>
        <v>-1</v>
      </c>
      <c r="K255" s="2" t="str">
        <f t="shared" si="21"/>
        <v>B</v>
      </c>
      <c r="L255" s="2" t="str">
        <f t="shared" si="22"/>
        <v>A</v>
      </c>
      <c r="M255" s="2" t="s">
        <v>34</v>
      </c>
      <c r="N255" s="2">
        <f t="shared" si="23"/>
        <v>1</v>
      </c>
      <c r="O255" s="2" t="s">
        <v>37</v>
      </c>
      <c r="P255" s="2">
        <v>124</v>
      </c>
    </row>
    <row r="256" ht="23" customHeight="1" spans="1:16">
      <c r="A256" s="6" t="s">
        <v>256</v>
      </c>
      <c r="B256" s="2" t="s">
        <v>30</v>
      </c>
      <c r="C256" s="2" t="s">
        <v>17</v>
      </c>
      <c r="D256" s="2">
        <v>3</v>
      </c>
      <c r="E256" s="6" t="s">
        <v>500</v>
      </c>
      <c r="F256" s="2" t="str">
        <f t="shared" si="18"/>
        <v>A</v>
      </c>
      <c r="G256" s="2">
        <v>4</v>
      </c>
      <c r="H256" s="2" t="str">
        <f t="shared" si="19"/>
        <v>C</v>
      </c>
      <c r="I256" s="2">
        <v>3</v>
      </c>
      <c r="J256" s="2">
        <f t="shared" si="20"/>
        <v>1</v>
      </c>
      <c r="K256" s="2" t="str">
        <f t="shared" si="21"/>
        <v>A</v>
      </c>
      <c r="L256" s="2" t="str">
        <f t="shared" si="22"/>
        <v>A</v>
      </c>
      <c r="M256" s="2" t="s">
        <v>34</v>
      </c>
      <c r="N256" s="2">
        <f t="shared" si="23"/>
        <v>1</v>
      </c>
      <c r="O256" s="2" t="s">
        <v>34</v>
      </c>
      <c r="P256" s="2">
        <v>115</v>
      </c>
    </row>
    <row r="257" ht="23" customHeight="1" spans="1:16">
      <c r="A257" s="6" t="s">
        <v>256</v>
      </c>
      <c r="B257" s="2" t="s">
        <v>30</v>
      </c>
      <c r="C257" s="2" t="s">
        <v>47</v>
      </c>
      <c r="D257" s="2">
        <v>3</v>
      </c>
      <c r="E257" s="6" t="s">
        <v>500</v>
      </c>
      <c r="F257" s="2" t="str">
        <f t="shared" si="18"/>
        <v>C</v>
      </c>
      <c r="G257" s="2">
        <v>3</v>
      </c>
      <c r="H257" s="2" t="str">
        <f t="shared" si="19"/>
        <v>A</v>
      </c>
      <c r="I257" s="2">
        <v>4</v>
      </c>
      <c r="J257" s="2">
        <f t="shared" si="20"/>
        <v>-1</v>
      </c>
      <c r="K257" s="2" t="str">
        <f t="shared" si="21"/>
        <v>B</v>
      </c>
      <c r="L257" s="2" t="str">
        <f t="shared" si="22"/>
        <v>A</v>
      </c>
      <c r="M257" s="2" t="s">
        <v>34</v>
      </c>
      <c r="N257" s="2">
        <f t="shared" si="23"/>
        <v>1</v>
      </c>
      <c r="O257" s="2" t="s">
        <v>37</v>
      </c>
      <c r="P257" s="2">
        <v>124</v>
      </c>
    </row>
    <row r="258" ht="23" customHeight="1" spans="1:16">
      <c r="A258" s="6" t="s">
        <v>256</v>
      </c>
      <c r="B258" s="2" t="s">
        <v>30</v>
      </c>
      <c r="C258" s="2" t="s">
        <v>17</v>
      </c>
      <c r="D258" s="2">
        <v>4</v>
      </c>
      <c r="E258" s="6" t="s">
        <v>501</v>
      </c>
      <c r="F258" s="2" t="str">
        <f t="shared" ref="F258:F321" si="24">IF(C258="l2r",LEFT(B258,1),RIGHT(B258,1))</f>
        <v>A</v>
      </c>
      <c r="G258" s="2">
        <v>4</v>
      </c>
      <c r="H258" s="2" t="str">
        <f t="shared" ref="H258:H321" si="25">IF(C258="l2r",RIGHT(B258,1),LEFT(B258,1))</f>
        <v>C</v>
      </c>
      <c r="I258" s="2">
        <v>3</v>
      </c>
      <c r="J258" s="2">
        <f t="shared" ref="J258:J321" si="26">G258-I258</f>
        <v>1</v>
      </c>
      <c r="K258" s="2" t="str">
        <f t="shared" ref="K258:K321" si="27">IF(J258=0,"C",IF(J258&gt;0,"A","B"))</f>
        <v>A</v>
      </c>
      <c r="L258" s="2" t="str">
        <f t="shared" ref="L258:L321" si="28">IF(J258=0,"D(平局)",IF(J258&gt;0,F258,H258))</f>
        <v>A</v>
      </c>
      <c r="M258" s="2" t="s">
        <v>34</v>
      </c>
      <c r="N258" s="2">
        <f t="shared" ref="N258:N321" si="29">--(L258=M258)</f>
        <v>1</v>
      </c>
      <c r="O258" s="2" t="s">
        <v>34</v>
      </c>
      <c r="P258" s="2">
        <v>115</v>
      </c>
    </row>
    <row r="259" ht="23" customHeight="1" spans="1:16">
      <c r="A259" s="6" t="s">
        <v>256</v>
      </c>
      <c r="B259" s="2" t="s">
        <v>30</v>
      </c>
      <c r="C259" s="2" t="s">
        <v>47</v>
      </c>
      <c r="D259" s="2">
        <v>4</v>
      </c>
      <c r="E259" s="6" t="s">
        <v>501</v>
      </c>
      <c r="F259" s="2" t="str">
        <f t="shared" si="24"/>
        <v>C</v>
      </c>
      <c r="G259" s="2">
        <v>3</v>
      </c>
      <c r="H259" s="2" t="str">
        <f t="shared" si="25"/>
        <v>A</v>
      </c>
      <c r="I259" s="2">
        <v>4</v>
      </c>
      <c r="J259" s="2">
        <f t="shared" si="26"/>
        <v>-1</v>
      </c>
      <c r="K259" s="2" t="str">
        <f t="shared" si="27"/>
        <v>B</v>
      </c>
      <c r="L259" s="2" t="str">
        <f t="shared" si="28"/>
        <v>A</v>
      </c>
      <c r="M259" s="2" t="s">
        <v>34</v>
      </c>
      <c r="N259" s="2">
        <f t="shared" si="29"/>
        <v>1</v>
      </c>
      <c r="O259" s="2" t="s">
        <v>37</v>
      </c>
      <c r="P259" s="2">
        <v>124</v>
      </c>
    </row>
    <row r="260" ht="23" customHeight="1" spans="1:16">
      <c r="A260" s="6" t="s">
        <v>256</v>
      </c>
      <c r="B260" s="2" t="s">
        <v>30</v>
      </c>
      <c r="C260" s="2" t="s">
        <v>17</v>
      </c>
      <c r="D260" s="2">
        <v>5</v>
      </c>
      <c r="E260" s="6" t="s">
        <v>502</v>
      </c>
      <c r="F260" s="2" t="str">
        <f t="shared" si="24"/>
        <v>A</v>
      </c>
      <c r="G260" s="2">
        <v>4</v>
      </c>
      <c r="H260" s="2" t="str">
        <f t="shared" si="25"/>
        <v>C</v>
      </c>
      <c r="I260" s="2">
        <v>4</v>
      </c>
      <c r="J260" s="2">
        <f t="shared" si="26"/>
        <v>0</v>
      </c>
      <c r="K260" s="2" t="str">
        <f t="shared" si="27"/>
        <v>C</v>
      </c>
      <c r="L260" s="2" t="str">
        <f t="shared" si="28"/>
        <v>D(平局)</v>
      </c>
      <c r="M260" s="2" t="s">
        <v>34</v>
      </c>
      <c r="N260" s="2">
        <f t="shared" si="29"/>
        <v>0</v>
      </c>
      <c r="O260" s="2" t="s">
        <v>34</v>
      </c>
      <c r="P260" s="2">
        <v>115</v>
      </c>
    </row>
    <row r="261" ht="23" customHeight="1" spans="1:16">
      <c r="A261" s="6" t="s">
        <v>256</v>
      </c>
      <c r="B261" s="2" t="s">
        <v>30</v>
      </c>
      <c r="C261" s="2" t="s">
        <v>47</v>
      </c>
      <c r="D261" s="2">
        <v>5</v>
      </c>
      <c r="E261" s="6" t="s">
        <v>502</v>
      </c>
      <c r="F261" s="2" t="str">
        <f t="shared" si="24"/>
        <v>C</v>
      </c>
      <c r="G261" s="2">
        <v>5</v>
      </c>
      <c r="H261" s="2" t="str">
        <f t="shared" si="25"/>
        <v>A</v>
      </c>
      <c r="I261" s="2">
        <v>5</v>
      </c>
      <c r="J261" s="2">
        <f t="shared" si="26"/>
        <v>0</v>
      </c>
      <c r="K261" s="2" t="str">
        <f t="shared" si="27"/>
        <v>C</v>
      </c>
      <c r="L261" s="2" t="str">
        <f t="shared" si="28"/>
        <v>D(平局)</v>
      </c>
      <c r="M261" s="2" t="s">
        <v>34</v>
      </c>
      <c r="N261" s="2">
        <f t="shared" si="29"/>
        <v>0</v>
      </c>
      <c r="O261" s="2" t="s">
        <v>37</v>
      </c>
      <c r="P261" s="2">
        <v>124</v>
      </c>
    </row>
    <row r="262" ht="23" customHeight="1" spans="1:16">
      <c r="A262" s="6" t="s">
        <v>256</v>
      </c>
      <c r="B262" s="2" t="s">
        <v>40</v>
      </c>
      <c r="C262" s="2" t="s">
        <v>17</v>
      </c>
      <c r="D262" s="2">
        <v>1</v>
      </c>
      <c r="E262" s="6" t="s">
        <v>498</v>
      </c>
      <c r="F262" s="2" t="str">
        <f t="shared" si="24"/>
        <v>B</v>
      </c>
      <c r="G262" s="2">
        <v>4</v>
      </c>
      <c r="H262" s="2" t="str">
        <f t="shared" si="25"/>
        <v>C</v>
      </c>
      <c r="I262" s="2">
        <v>3</v>
      </c>
      <c r="J262" s="2">
        <f t="shared" si="26"/>
        <v>1</v>
      </c>
      <c r="K262" s="2" t="str">
        <f t="shared" si="27"/>
        <v>A</v>
      </c>
      <c r="L262" s="2" t="str">
        <f t="shared" si="28"/>
        <v>B</v>
      </c>
      <c r="M262" s="2" t="s">
        <v>37</v>
      </c>
      <c r="N262" s="2">
        <f t="shared" si="29"/>
        <v>1</v>
      </c>
      <c r="O262" s="2" t="s">
        <v>34</v>
      </c>
      <c r="P262" s="2">
        <v>118</v>
      </c>
    </row>
    <row r="263" ht="23" customHeight="1" spans="1:16">
      <c r="A263" s="6" t="s">
        <v>256</v>
      </c>
      <c r="B263" s="2" t="s">
        <v>40</v>
      </c>
      <c r="C263" s="2" t="s">
        <v>47</v>
      </c>
      <c r="D263" s="2">
        <v>1</v>
      </c>
      <c r="E263" s="6" t="s">
        <v>498</v>
      </c>
      <c r="F263" s="2" t="str">
        <f t="shared" si="24"/>
        <v>C</v>
      </c>
      <c r="G263" s="2">
        <v>4</v>
      </c>
      <c r="H263" s="2" t="str">
        <f t="shared" si="25"/>
        <v>B</v>
      </c>
      <c r="I263" s="2">
        <v>5</v>
      </c>
      <c r="J263" s="2">
        <f t="shared" si="26"/>
        <v>-1</v>
      </c>
      <c r="K263" s="2" t="str">
        <f t="shared" si="27"/>
        <v>B</v>
      </c>
      <c r="L263" s="2" t="str">
        <f t="shared" si="28"/>
        <v>B</v>
      </c>
      <c r="M263" s="2" t="s">
        <v>37</v>
      </c>
      <c r="N263" s="2">
        <f t="shared" si="29"/>
        <v>1</v>
      </c>
      <c r="O263" s="2" t="s">
        <v>37</v>
      </c>
      <c r="P263" s="2">
        <v>127</v>
      </c>
    </row>
    <row r="264" ht="23" customHeight="1" spans="1:16">
      <c r="A264" s="6" t="s">
        <v>256</v>
      </c>
      <c r="B264" s="2" t="s">
        <v>40</v>
      </c>
      <c r="C264" s="2" t="s">
        <v>17</v>
      </c>
      <c r="D264" s="2">
        <v>2</v>
      </c>
      <c r="E264" s="6" t="s">
        <v>499</v>
      </c>
      <c r="F264" s="2" t="str">
        <f t="shared" si="24"/>
        <v>B</v>
      </c>
      <c r="G264" s="2">
        <v>4</v>
      </c>
      <c r="H264" s="2" t="str">
        <f t="shared" si="25"/>
        <v>C</v>
      </c>
      <c r="I264" s="2">
        <v>3</v>
      </c>
      <c r="J264" s="2">
        <f t="shared" si="26"/>
        <v>1</v>
      </c>
      <c r="K264" s="2" t="str">
        <f t="shared" si="27"/>
        <v>A</v>
      </c>
      <c r="L264" s="2" t="str">
        <f t="shared" si="28"/>
        <v>B</v>
      </c>
      <c r="M264" s="2" t="s">
        <v>37</v>
      </c>
      <c r="N264" s="2">
        <f t="shared" si="29"/>
        <v>1</v>
      </c>
      <c r="O264" s="2" t="s">
        <v>34</v>
      </c>
      <c r="P264" s="2">
        <v>118</v>
      </c>
    </row>
    <row r="265" ht="23" customHeight="1" spans="1:16">
      <c r="A265" s="6" t="s">
        <v>256</v>
      </c>
      <c r="B265" s="2" t="s">
        <v>40</v>
      </c>
      <c r="C265" s="2" t="s">
        <v>47</v>
      </c>
      <c r="D265" s="2">
        <v>2</v>
      </c>
      <c r="E265" s="6" t="s">
        <v>499</v>
      </c>
      <c r="F265" s="2" t="str">
        <f t="shared" si="24"/>
        <v>C</v>
      </c>
      <c r="G265" s="2">
        <v>3</v>
      </c>
      <c r="H265" s="2" t="str">
        <f t="shared" si="25"/>
        <v>B</v>
      </c>
      <c r="I265" s="2">
        <v>5</v>
      </c>
      <c r="J265" s="2">
        <f t="shared" si="26"/>
        <v>-2</v>
      </c>
      <c r="K265" s="2" t="str">
        <f t="shared" si="27"/>
        <v>B</v>
      </c>
      <c r="L265" s="2" t="str">
        <f t="shared" si="28"/>
        <v>B</v>
      </c>
      <c r="M265" s="2" t="s">
        <v>37</v>
      </c>
      <c r="N265" s="2">
        <f t="shared" si="29"/>
        <v>1</v>
      </c>
      <c r="O265" s="2" t="s">
        <v>37</v>
      </c>
      <c r="P265" s="2">
        <v>127</v>
      </c>
    </row>
    <row r="266" ht="23" customHeight="1" spans="1:16">
      <c r="A266" s="6" t="s">
        <v>256</v>
      </c>
      <c r="B266" s="2" t="s">
        <v>40</v>
      </c>
      <c r="C266" s="2" t="s">
        <v>17</v>
      </c>
      <c r="D266" s="2">
        <v>3</v>
      </c>
      <c r="E266" s="6" t="s">
        <v>500</v>
      </c>
      <c r="F266" s="2" t="str">
        <f t="shared" si="24"/>
        <v>B</v>
      </c>
      <c r="G266" s="2">
        <v>4</v>
      </c>
      <c r="H266" s="2" t="str">
        <f t="shared" si="25"/>
        <v>C</v>
      </c>
      <c r="I266" s="2">
        <v>3</v>
      </c>
      <c r="J266" s="2">
        <f t="shared" si="26"/>
        <v>1</v>
      </c>
      <c r="K266" s="2" t="str">
        <f t="shared" si="27"/>
        <v>A</v>
      </c>
      <c r="L266" s="2" t="str">
        <f t="shared" si="28"/>
        <v>B</v>
      </c>
      <c r="M266" s="2" t="s">
        <v>37</v>
      </c>
      <c r="N266" s="2">
        <f t="shared" si="29"/>
        <v>1</v>
      </c>
      <c r="O266" s="2" t="s">
        <v>34</v>
      </c>
      <c r="P266" s="2">
        <v>118</v>
      </c>
    </row>
    <row r="267" ht="23" customHeight="1" spans="1:16">
      <c r="A267" s="6" t="s">
        <v>256</v>
      </c>
      <c r="B267" s="2" t="s">
        <v>40</v>
      </c>
      <c r="C267" s="2" t="s">
        <v>47</v>
      </c>
      <c r="D267" s="2">
        <v>3</v>
      </c>
      <c r="E267" s="6" t="s">
        <v>500</v>
      </c>
      <c r="F267" s="2" t="str">
        <f t="shared" si="24"/>
        <v>C</v>
      </c>
      <c r="G267" s="2">
        <v>3</v>
      </c>
      <c r="H267" s="2" t="str">
        <f t="shared" si="25"/>
        <v>B</v>
      </c>
      <c r="I267" s="2">
        <v>4</v>
      </c>
      <c r="J267" s="2">
        <f t="shared" si="26"/>
        <v>-1</v>
      </c>
      <c r="K267" s="2" t="str">
        <f t="shared" si="27"/>
        <v>B</v>
      </c>
      <c r="L267" s="2" t="str">
        <f t="shared" si="28"/>
        <v>B</v>
      </c>
      <c r="M267" s="2" t="s">
        <v>37</v>
      </c>
      <c r="N267" s="2">
        <f t="shared" si="29"/>
        <v>1</v>
      </c>
      <c r="O267" s="2" t="s">
        <v>37</v>
      </c>
      <c r="P267" s="2">
        <v>127</v>
      </c>
    </row>
    <row r="268" ht="23" customHeight="1" spans="1:16">
      <c r="A268" s="6" t="s">
        <v>256</v>
      </c>
      <c r="B268" s="2" t="s">
        <v>40</v>
      </c>
      <c r="C268" s="2" t="s">
        <v>17</v>
      </c>
      <c r="D268" s="2">
        <v>4</v>
      </c>
      <c r="E268" s="6" t="s">
        <v>501</v>
      </c>
      <c r="F268" s="2" t="str">
        <f t="shared" si="24"/>
        <v>B</v>
      </c>
      <c r="G268" s="2">
        <v>4</v>
      </c>
      <c r="H268" s="2" t="str">
        <f t="shared" si="25"/>
        <v>C</v>
      </c>
      <c r="I268" s="2">
        <v>3</v>
      </c>
      <c r="J268" s="2">
        <f t="shared" si="26"/>
        <v>1</v>
      </c>
      <c r="K268" s="2" t="str">
        <f t="shared" si="27"/>
        <v>A</v>
      </c>
      <c r="L268" s="2" t="str">
        <f t="shared" si="28"/>
        <v>B</v>
      </c>
      <c r="M268" s="2" t="s">
        <v>37</v>
      </c>
      <c r="N268" s="2">
        <f t="shared" si="29"/>
        <v>1</v>
      </c>
      <c r="O268" s="2" t="s">
        <v>34</v>
      </c>
      <c r="P268" s="2">
        <v>118</v>
      </c>
    </row>
    <row r="269" ht="23" customHeight="1" spans="1:16">
      <c r="A269" s="6" t="s">
        <v>256</v>
      </c>
      <c r="B269" s="2" t="s">
        <v>40</v>
      </c>
      <c r="C269" s="2" t="s">
        <v>47</v>
      </c>
      <c r="D269" s="2">
        <v>4</v>
      </c>
      <c r="E269" s="6" t="s">
        <v>501</v>
      </c>
      <c r="F269" s="2" t="str">
        <f t="shared" si="24"/>
        <v>C</v>
      </c>
      <c r="G269" s="2">
        <v>3</v>
      </c>
      <c r="H269" s="2" t="str">
        <f t="shared" si="25"/>
        <v>B</v>
      </c>
      <c r="I269" s="2">
        <v>5</v>
      </c>
      <c r="J269" s="2">
        <f t="shared" si="26"/>
        <v>-2</v>
      </c>
      <c r="K269" s="2" t="str">
        <f t="shared" si="27"/>
        <v>B</v>
      </c>
      <c r="L269" s="2" t="str">
        <f t="shared" si="28"/>
        <v>B</v>
      </c>
      <c r="M269" s="2" t="s">
        <v>37</v>
      </c>
      <c r="N269" s="2">
        <f t="shared" si="29"/>
        <v>1</v>
      </c>
      <c r="O269" s="2" t="s">
        <v>37</v>
      </c>
      <c r="P269" s="2">
        <v>127</v>
      </c>
    </row>
    <row r="270" ht="23" customHeight="1" spans="1:16">
      <c r="A270" s="6" t="s">
        <v>256</v>
      </c>
      <c r="B270" s="2" t="s">
        <v>40</v>
      </c>
      <c r="C270" s="2" t="s">
        <v>17</v>
      </c>
      <c r="D270" s="2">
        <v>5</v>
      </c>
      <c r="E270" s="6" t="s">
        <v>502</v>
      </c>
      <c r="F270" s="2" t="str">
        <f t="shared" si="24"/>
        <v>B</v>
      </c>
      <c r="G270" s="2">
        <v>5</v>
      </c>
      <c r="H270" s="2" t="str">
        <f t="shared" si="25"/>
        <v>C</v>
      </c>
      <c r="I270" s="2">
        <v>5</v>
      </c>
      <c r="J270" s="2">
        <f t="shared" si="26"/>
        <v>0</v>
      </c>
      <c r="K270" s="2" t="str">
        <f t="shared" si="27"/>
        <v>C</v>
      </c>
      <c r="L270" s="2" t="str">
        <f t="shared" si="28"/>
        <v>D(平局)</v>
      </c>
      <c r="M270" s="2" t="s">
        <v>37</v>
      </c>
      <c r="N270" s="2">
        <f t="shared" si="29"/>
        <v>0</v>
      </c>
      <c r="O270" s="2" t="s">
        <v>34</v>
      </c>
      <c r="P270" s="2">
        <v>118</v>
      </c>
    </row>
    <row r="271" ht="23" customHeight="1" spans="1:16">
      <c r="A271" s="6" t="s">
        <v>256</v>
      </c>
      <c r="B271" s="2" t="s">
        <v>40</v>
      </c>
      <c r="C271" s="2" t="s">
        <v>47</v>
      </c>
      <c r="D271" s="2">
        <v>5</v>
      </c>
      <c r="E271" s="6" t="s">
        <v>502</v>
      </c>
      <c r="F271" s="2" t="str">
        <f t="shared" si="24"/>
        <v>C</v>
      </c>
      <c r="G271" s="2">
        <v>5</v>
      </c>
      <c r="H271" s="2" t="str">
        <f t="shared" si="25"/>
        <v>B</v>
      </c>
      <c r="I271" s="2">
        <v>5</v>
      </c>
      <c r="J271" s="2">
        <f t="shared" si="26"/>
        <v>0</v>
      </c>
      <c r="K271" s="2" t="str">
        <f t="shared" si="27"/>
        <v>C</v>
      </c>
      <c r="L271" s="2" t="str">
        <f t="shared" si="28"/>
        <v>D(平局)</v>
      </c>
      <c r="M271" s="2" t="s">
        <v>37</v>
      </c>
      <c r="N271" s="2">
        <f t="shared" si="29"/>
        <v>0</v>
      </c>
      <c r="O271" s="2" t="s">
        <v>37</v>
      </c>
      <c r="P271" s="2">
        <v>127</v>
      </c>
    </row>
    <row r="272" ht="23" customHeight="1" spans="1:16">
      <c r="A272" s="6" t="s">
        <v>332</v>
      </c>
      <c r="B272" s="2" t="s">
        <v>15</v>
      </c>
      <c r="C272" s="2" t="s">
        <v>17</v>
      </c>
      <c r="D272" s="2">
        <v>1</v>
      </c>
      <c r="E272" s="6" t="s">
        <v>498</v>
      </c>
      <c r="F272" s="2" t="str">
        <f t="shared" si="24"/>
        <v>A</v>
      </c>
      <c r="G272" s="2">
        <v>4</v>
      </c>
      <c r="H272" s="2" t="str">
        <f t="shared" si="25"/>
        <v>B</v>
      </c>
      <c r="I272" s="2">
        <v>5</v>
      </c>
      <c r="J272" s="2">
        <f t="shared" si="26"/>
        <v>-1</v>
      </c>
      <c r="K272" s="2" t="str">
        <f t="shared" si="27"/>
        <v>B</v>
      </c>
      <c r="L272" s="2" t="str">
        <f t="shared" si="28"/>
        <v>B</v>
      </c>
      <c r="M272" s="2" t="s">
        <v>37</v>
      </c>
      <c r="N272" s="2">
        <f t="shared" si="29"/>
        <v>1</v>
      </c>
      <c r="O272" s="2" t="s">
        <v>37</v>
      </c>
      <c r="P272" s="2">
        <v>148</v>
      </c>
    </row>
    <row r="273" ht="23" customHeight="1" spans="1:16">
      <c r="A273" s="6" t="s">
        <v>332</v>
      </c>
      <c r="B273" s="2" t="s">
        <v>15</v>
      </c>
      <c r="C273" s="2" t="s">
        <v>47</v>
      </c>
      <c r="D273" s="2">
        <v>1</v>
      </c>
      <c r="E273" s="6" t="s">
        <v>498</v>
      </c>
      <c r="F273" s="2" t="str">
        <f t="shared" si="24"/>
        <v>B</v>
      </c>
      <c r="G273" s="2">
        <v>5</v>
      </c>
      <c r="H273" s="2" t="str">
        <f t="shared" si="25"/>
        <v>A</v>
      </c>
      <c r="I273" s="2">
        <v>4</v>
      </c>
      <c r="J273" s="2">
        <f t="shared" si="26"/>
        <v>1</v>
      </c>
      <c r="K273" s="2" t="str">
        <f t="shared" si="27"/>
        <v>A</v>
      </c>
      <c r="L273" s="2" t="str">
        <f t="shared" si="28"/>
        <v>B</v>
      </c>
      <c r="M273" s="2" t="s">
        <v>37</v>
      </c>
      <c r="N273" s="2">
        <f t="shared" si="29"/>
        <v>1</v>
      </c>
      <c r="O273" s="2" t="s">
        <v>34</v>
      </c>
      <c r="P273" s="2">
        <v>157</v>
      </c>
    </row>
    <row r="274" ht="23" customHeight="1" spans="1:16">
      <c r="A274" s="6" t="s">
        <v>332</v>
      </c>
      <c r="B274" s="2" t="s">
        <v>15</v>
      </c>
      <c r="C274" s="2" t="s">
        <v>17</v>
      </c>
      <c r="D274" s="2">
        <v>2</v>
      </c>
      <c r="E274" s="6" t="s">
        <v>499</v>
      </c>
      <c r="F274" s="2" t="str">
        <f t="shared" si="24"/>
        <v>A</v>
      </c>
      <c r="G274" s="2">
        <v>3</v>
      </c>
      <c r="H274" s="2" t="str">
        <f t="shared" si="25"/>
        <v>B</v>
      </c>
      <c r="I274" s="2">
        <v>4</v>
      </c>
      <c r="J274" s="2">
        <f t="shared" si="26"/>
        <v>-1</v>
      </c>
      <c r="K274" s="2" t="str">
        <f t="shared" si="27"/>
        <v>B</v>
      </c>
      <c r="L274" s="2" t="str">
        <f t="shared" si="28"/>
        <v>B</v>
      </c>
      <c r="M274" s="2" t="s">
        <v>37</v>
      </c>
      <c r="N274" s="2">
        <f t="shared" si="29"/>
        <v>1</v>
      </c>
      <c r="O274" s="2" t="s">
        <v>37</v>
      </c>
      <c r="P274" s="2">
        <v>148</v>
      </c>
    </row>
    <row r="275" ht="23" customHeight="1" spans="1:16">
      <c r="A275" s="6" t="s">
        <v>332</v>
      </c>
      <c r="B275" s="2" t="s">
        <v>15</v>
      </c>
      <c r="C275" s="2" t="s">
        <v>47</v>
      </c>
      <c r="D275" s="2">
        <v>2</v>
      </c>
      <c r="E275" s="6" t="s">
        <v>499</v>
      </c>
      <c r="F275" s="2" t="str">
        <f t="shared" si="24"/>
        <v>B</v>
      </c>
      <c r="G275" s="2">
        <v>4</v>
      </c>
      <c r="H275" s="2" t="str">
        <f t="shared" si="25"/>
        <v>A</v>
      </c>
      <c r="I275" s="2">
        <v>3</v>
      </c>
      <c r="J275" s="2">
        <f t="shared" si="26"/>
        <v>1</v>
      </c>
      <c r="K275" s="2" t="str">
        <f t="shared" si="27"/>
        <v>A</v>
      </c>
      <c r="L275" s="2" t="str">
        <f t="shared" si="28"/>
        <v>B</v>
      </c>
      <c r="M275" s="2" t="s">
        <v>37</v>
      </c>
      <c r="N275" s="2">
        <f t="shared" si="29"/>
        <v>1</v>
      </c>
      <c r="O275" s="2" t="s">
        <v>34</v>
      </c>
      <c r="P275" s="2">
        <v>157</v>
      </c>
    </row>
    <row r="276" ht="23" customHeight="1" spans="1:16">
      <c r="A276" s="6" t="s">
        <v>332</v>
      </c>
      <c r="B276" s="2" t="s">
        <v>15</v>
      </c>
      <c r="C276" s="2" t="s">
        <v>17</v>
      </c>
      <c r="D276" s="2">
        <v>3</v>
      </c>
      <c r="E276" s="6" t="s">
        <v>500</v>
      </c>
      <c r="F276" s="2" t="str">
        <f t="shared" si="24"/>
        <v>A</v>
      </c>
      <c r="G276" s="2">
        <v>4</v>
      </c>
      <c r="H276" s="2" t="str">
        <f t="shared" si="25"/>
        <v>B</v>
      </c>
      <c r="I276" s="2">
        <v>5</v>
      </c>
      <c r="J276" s="2">
        <f t="shared" si="26"/>
        <v>-1</v>
      </c>
      <c r="K276" s="2" t="str">
        <f t="shared" si="27"/>
        <v>B</v>
      </c>
      <c r="L276" s="2" t="str">
        <f t="shared" si="28"/>
        <v>B</v>
      </c>
      <c r="M276" s="2" t="s">
        <v>37</v>
      </c>
      <c r="N276" s="2">
        <f t="shared" si="29"/>
        <v>1</v>
      </c>
      <c r="O276" s="2" t="s">
        <v>37</v>
      </c>
      <c r="P276" s="2">
        <v>148</v>
      </c>
    </row>
    <row r="277" ht="23" customHeight="1" spans="1:16">
      <c r="A277" s="6" t="s">
        <v>332</v>
      </c>
      <c r="B277" s="2" t="s">
        <v>15</v>
      </c>
      <c r="C277" s="2" t="s">
        <v>47</v>
      </c>
      <c r="D277" s="2">
        <v>3</v>
      </c>
      <c r="E277" s="6" t="s">
        <v>500</v>
      </c>
      <c r="F277" s="2" t="str">
        <f t="shared" si="24"/>
        <v>B</v>
      </c>
      <c r="G277" s="2">
        <v>5</v>
      </c>
      <c r="H277" s="2" t="str">
        <f t="shared" si="25"/>
        <v>A</v>
      </c>
      <c r="I277" s="2">
        <v>4</v>
      </c>
      <c r="J277" s="2">
        <f t="shared" si="26"/>
        <v>1</v>
      </c>
      <c r="K277" s="2" t="str">
        <f t="shared" si="27"/>
        <v>A</v>
      </c>
      <c r="L277" s="2" t="str">
        <f t="shared" si="28"/>
        <v>B</v>
      </c>
      <c r="M277" s="2" t="s">
        <v>37</v>
      </c>
      <c r="N277" s="2">
        <f t="shared" si="29"/>
        <v>1</v>
      </c>
      <c r="O277" s="2" t="s">
        <v>34</v>
      </c>
      <c r="P277" s="2">
        <v>157</v>
      </c>
    </row>
    <row r="278" ht="23" customHeight="1" spans="1:16">
      <c r="A278" s="6" t="s">
        <v>332</v>
      </c>
      <c r="B278" s="2" t="s">
        <v>15</v>
      </c>
      <c r="C278" s="2" t="s">
        <v>17</v>
      </c>
      <c r="D278" s="2">
        <v>4</v>
      </c>
      <c r="E278" s="6" t="s">
        <v>501</v>
      </c>
      <c r="F278" s="2" t="str">
        <f t="shared" si="24"/>
        <v>A</v>
      </c>
      <c r="G278" s="2">
        <v>4</v>
      </c>
      <c r="H278" s="2" t="str">
        <f t="shared" si="25"/>
        <v>B</v>
      </c>
      <c r="I278" s="2">
        <v>5</v>
      </c>
      <c r="J278" s="2">
        <f t="shared" si="26"/>
        <v>-1</v>
      </c>
      <c r="K278" s="2" t="str">
        <f t="shared" si="27"/>
        <v>B</v>
      </c>
      <c r="L278" s="2" t="str">
        <f t="shared" si="28"/>
        <v>B</v>
      </c>
      <c r="M278" s="2" t="s">
        <v>37</v>
      </c>
      <c r="N278" s="2">
        <f t="shared" si="29"/>
        <v>1</v>
      </c>
      <c r="O278" s="2" t="s">
        <v>37</v>
      </c>
      <c r="P278" s="2">
        <v>148</v>
      </c>
    </row>
    <row r="279" ht="23" customHeight="1" spans="1:16">
      <c r="A279" s="6" t="s">
        <v>332</v>
      </c>
      <c r="B279" s="2" t="s">
        <v>15</v>
      </c>
      <c r="C279" s="2" t="s">
        <v>47</v>
      </c>
      <c r="D279" s="2">
        <v>4</v>
      </c>
      <c r="E279" s="6" t="s">
        <v>501</v>
      </c>
      <c r="F279" s="2" t="str">
        <f t="shared" si="24"/>
        <v>B</v>
      </c>
      <c r="G279" s="2">
        <v>5</v>
      </c>
      <c r="H279" s="2" t="str">
        <f t="shared" si="25"/>
        <v>A</v>
      </c>
      <c r="I279" s="2">
        <v>3</v>
      </c>
      <c r="J279" s="2">
        <f t="shared" si="26"/>
        <v>2</v>
      </c>
      <c r="K279" s="2" t="str">
        <f t="shared" si="27"/>
        <v>A</v>
      </c>
      <c r="L279" s="2" t="str">
        <f t="shared" si="28"/>
        <v>B</v>
      </c>
      <c r="M279" s="2" t="s">
        <v>37</v>
      </c>
      <c r="N279" s="2">
        <f t="shared" si="29"/>
        <v>1</v>
      </c>
      <c r="O279" s="2" t="s">
        <v>34</v>
      </c>
      <c r="P279" s="2">
        <v>157</v>
      </c>
    </row>
    <row r="280" ht="23" customHeight="1" spans="1:16">
      <c r="A280" s="6" t="s">
        <v>332</v>
      </c>
      <c r="B280" s="2" t="s">
        <v>15</v>
      </c>
      <c r="C280" s="2" t="s">
        <v>17</v>
      </c>
      <c r="D280" s="2">
        <v>5</v>
      </c>
      <c r="E280" s="6" t="s">
        <v>502</v>
      </c>
      <c r="F280" s="2" t="str">
        <f t="shared" si="24"/>
        <v>A</v>
      </c>
      <c r="G280" s="2">
        <v>4</v>
      </c>
      <c r="H280" s="2" t="str">
        <f t="shared" si="25"/>
        <v>B</v>
      </c>
      <c r="I280" s="2">
        <v>5</v>
      </c>
      <c r="J280" s="2">
        <f t="shared" si="26"/>
        <v>-1</v>
      </c>
      <c r="K280" s="2" t="str">
        <f t="shared" si="27"/>
        <v>B</v>
      </c>
      <c r="L280" s="2" t="str">
        <f t="shared" si="28"/>
        <v>B</v>
      </c>
      <c r="M280" s="2" t="s">
        <v>37</v>
      </c>
      <c r="N280" s="2">
        <f t="shared" si="29"/>
        <v>1</v>
      </c>
      <c r="O280" s="2" t="s">
        <v>37</v>
      </c>
      <c r="P280" s="2">
        <v>148</v>
      </c>
    </row>
    <row r="281" ht="23" customHeight="1" spans="1:16">
      <c r="A281" s="6" t="s">
        <v>332</v>
      </c>
      <c r="B281" s="2" t="s">
        <v>15</v>
      </c>
      <c r="C281" s="2" t="s">
        <v>47</v>
      </c>
      <c r="D281" s="2">
        <v>5</v>
      </c>
      <c r="E281" s="6" t="s">
        <v>502</v>
      </c>
      <c r="F281" s="2" t="str">
        <f t="shared" si="24"/>
        <v>B</v>
      </c>
      <c r="G281" s="2">
        <v>5</v>
      </c>
      <c r="H281" s="2" t="str">
        <f t="shared" si="25"/>
        <v>A</v>
      </c>
      <c r="I281" s="2">
        <v>5</v>
      </c>
      <c r="J281" s="2">
        <f t="shared" si="26"/>
        <v>0</v>
      </c>
      <c r="K281" s="2" t="str">
        <f t="shared" si="27"/>
        <v>C</v>
      </c>
      <c r="L281" s="2" t="str">
        <f t="shared" si="28"/>
        <v>D(平局)</v>
      </c>
      <c r="M281" s="2" t="s">
        <v>37</v>
      </c>
      <c r="N281" s="2">
        <f t="shared" si="29"/>
        <v>0</v>
      </c>
      <c r="O281" s="2" t="s">
        <v>34</v>
      </c>
      <c r="P281" s="2">
        <v>157</v>
      </c>
    </row>
    <row r="282" ht="23" customHeight="1" spans="1:16">
      <c r="A282" s="6" t="s">
        <v>332</v>
      </c>
      <c r="B282" s="2" t="s">
        <v>30</v>
      </c>
      <c r="C282" s="2" t="s">
        <v>17</v>
      </c>
      <c r="D282" s="2">
        <v>1</v>
      </c>
      <c r="E282" s="6" t="s">
        <v>498</v>
      </c>
      <c r="F282" s="2" t="str">
        <f t="shared" si="24"/>
        <v>A</v>
      </c>
      <c r="G282" s="2">
        <v>4</v>
      </c>
      <c r="H282" s="2" t="str">
        <f t="shared" si="25"/>
        <v>C</v>
      </c>
      <c r="I282" s="2">
        <v>3</v>
      </c>
      <c r="J282" s="2">
        <f t="shared" si="26"/>
        <v>1</v>
      </c>
      <c r="K282" s="2" t="str">
        <f t="shared" si="27"/>
        <v>A</v>
      </c>
      <c r="L282" s="2" t="str">
        <f t="shared" si="28"/>
        <v>A</v>
      </c>
      <c r="M282" s="2" t="s">
        <v>34</v>
      </c>
      <c r="N282" s="2">
        <f t="shared" si="29"/>
        <v>1</v>
      </c>
      <c r="O282" s="2" t="s">
        <v>34</v>
      </c>
      <c r="P282" s="2">
        <v>151</v>
      </c>
    </row>
    <row r="283" ht="23" customHeight="1" spans="1:16">
      <c r="A283" s="6" t="s">
        <v>332</v>
      </c>
      <c r="B283" s="2" t="s">
        <v>30</v>
      </c>
      <c r="C283" s="2" t="s">
        <v>47</v>
      </c>
      <c r="D283" s="2">
        <v>1</v>
      </c>
      <c r="E283" s="6" t="s">
        <v>498</v>
      </c>
      <c r="F283" s="2" t="str">
        <f t="shared" si="24"/>
        <v>C</v>
      </c>
      <c r="G283" s="2">
        <v>4</v>
      </c>
      <c r="H283" s="2" t="str">
        <f t="shared" si="25"/>
        <v>A</v>
      </c>
      <c r="I283" s="2">
        <v>5</v>
      </c>
      <c r="J283" s="2">
        <f t="shared" si="26"/>
        <v>-1</v>
      </c>
      <c r="K283" s="2" t="str">
        <f t="shared" si="27"/>
        <v>B</v>
      </c>
      <c r="L283" s="2" t="str">
        <f t="shared" si="28"/>
        <v>A</v>
      </c>
      <c r="M283" s="2" t="s">
        <v>34</v>
      </c>
      <c r="N283" s="2">
        <f t="shared" si="29"/>
        <v>1</v>
      </c>
      <c r="O283" s="2" t="s">
        <v>37</v>
      </c>
      <c r="P283" s="2">
        <v>160</v>
      </c>
    </row>
    <row r="284" ht="23" customHeight="1" spans="1:16">
      <c r="A284" s="6" t="s">
        <v>332</v>
      </c>
      <c r="B284" s="2" t="s">
        <v>30</v>
      </c>
      <c r="C284" s="2" t="s">
        <v>17</v>
      </c>
      <c r="D284" s="2">
        <v>2</v>
      </c>
      <c r="E284" s="6" t="s">
        <v>499</v>
      </c>
      <c r="F284" s="2" t="str">
        <f t="shared" si="24"/>
        <v>A</v>
      </c>
      <c r="G284" s="2">
        <v>4</v>
      </c>
      <c r="H284" s="2" t="str">
        <f t="shared" si="25"/>
        <v>C</v>
      </c>
      <c r="I284" s="2">
        <v>2</v>
      </c>
      <c r="J284" s="2">
        <f t="shared" si="26"/>
        <v>2</v>
      </c>
      <c r="K284" s="2" t="str">
        <f t="shared" si="27"/>
        <v>A</v>
      </c>
      <c r="L284" s="2" t="str">
        <f t="shared" si="28"/>
        <v>A</v>
      </c>
      <c r="M284" s="2" t="s">
        <v>34</v>
      </c>
      <c r="N284" s="2">
        <f t="shared" si="29"/>
        <v>1</v>
      </c>
      <c r="O284" s="2" t="s">
        <v>34</v>
      </c>
      <c r="P284" s="2">
        <v>151</v>
      </c>
    </row>
    <row r="285" ht="23" customHeight="1" spans="1:16">
      <c r="A285" s="6" t="s">
        <v>332</v>
      </c>
      <c r="B285" s="2" t="s">
        <v>30</v>
      </c>
      <c r="C285" s="2" t="s">
        <v>47</v>
      </c>
      <c r="D285" s="2">
        <v>2</v>
      </c>
      <c r="E285" s="6" t="s">
        <v>499</v>
      </c>
      <c r="F285" s="2" t="str">
        <f t="shared" si="24"/>
        <v>C</v>
      </c>
      <c r="G285" s="2">
        <v>2</v>
      </c>
      <c r="H285" s="2" t="str">
        <f t="shared" si="25"/>
        <v>A</v>
      </c>
      <c r="I285" s="2">
        <v>4</v>
      </c>
      <c r="J285" s="2">
        <f t="shared" si="26"/>
        <v>-2</v>
      </c>
      <c r="K285" s="2" t="str">
        <f t="shared" si="27"/>
        <v>B</v>
      </c>
      <c r="L285" s="2" t="str">
        <f t="shared" si="28"/>
        <v>A</v>
      </c>
      <c r="M285" s="2" t="s">
        <v>34</v>
      </c>
      <c r="N285" s="2">
        <f t="shared" si="29"/>
        <v>1</v>
      </c>
      <c r="O285" s="2" t="s">
        <v>37</v>
      </c>
      <c r="P285" s="2">
        <v>160</v>
      </c>
    </row>
    <row r="286" ht="23" customHeight="1" spans="1:16">
      <c r="A286" s="6" t="s">
        <v>332</v>
      </c>
      <c r="B286" s="2" t="s">
        <v>30</v>
      </c>
      <c r="C286" s="2" t="s">
        <v>17</v>
      </c>
      <c r="D286" s="2">
        <v>3</v>
      </c>
      <c r="E286" s="6" t="s">
        <v>500</v>
      </c>
      <c r="F286" s="2" t="str">
        <f t="shared" si="24"/>
        <v>A</v>
      </c>
      <c r="G286" s="2">
        <v>4</v>
      </c>
      <c r="H286" s="2" t="str">
        <f t="shared" si="25"/>
        <v>C</v>
      </c>
      <c r="I286" s="2">
        <v>3</v>
      </c>
      <c r="J286" s="2">
        <f t="shared" si="26"/>
        <v>1</v>
      </c>
      <c r="K286" s="2" t="str">
        <f t="shared" si="27"/>
        <v>A</v>
      </c>
      <c r="L286" s="2" t="str">
        <f t="shared" si="28"/>
        <v>A</v>
      </c>
      <c r="M286" s="2" t="s">
        <v>34</v>
      </c>
      <c r="N286" s="2">
        <f t="shared" si="29"/>
        <v>1</v>
      </c>
      <c r="O286" s="2" t="s">
        <v>34</v>
      </c>
      <c r="P286" s="2">
        <v>151</v>
      </c>
    </row>
    <row r="287" ht="23" customHeight="1" spans="1:16">
      <c r="A287" s="6" t="s">
        <v>332</v>
      </c>
      <c r="B287" s="2" t="s">
        <v>30</v>
      </c>
      <c r="C287" s="2" t="s">
        <v>47</v>
      </c>
      <c r="D287" s="2">
        <v>3</v>
      </c>
      <c r="E287" s="6" t="s">
        <v>500</v>
      </c>
      <c r="F287" s="2" t="str">
        <f t="shared" si="24"/>
        <v>C</v>
      </c>
      <c r="G287" s="2">
        <v>3</v>
      </c>
      <c r="H287" s="2" t="str">
        <f t="shared" si="25"/>
        <v>A</v>
      </c>
      <c r="I287" s="2">
        <v>4</v>
      </c>
      <c r="J287" s="2">
        <f t="shared" si="26"/>
        <v>-1</v>
      </c>
      <c r="K287" s="2" t="str">
        <f t="shared" si="27"/>
        <v>B</v>
      </c>
      <c r="L287" s="2" t="str">
        <f t="shared" si="28"/>
        <v>A</v>
      </c>
      <c r="M287" s="2" t="s">
        <v>34</v>
      </c>
      <c r="N287" s="2">
        <f t="shared" si="29"/>
        <v>1</v>
      </c>
      <c r="O287" s="2" t="s">
        <v>37</v>
      </c>
      <c r="P287" s="2">
        <v>160</v>
      </c>
    </row>
    <row r="288" ht="23" customHeight="1" spans="1:16">
      <c r="A288" s="6" t="s">
        <v>332</v>
      </c>
      <c r="B288" s="2" t="s">
        <v>30</v>
      </c>
      <c r="C288" s="2" t="s">
        <v>17</v>
      </c>
      <c r="D288" s="2">
        <v>4</v>
      </c>
      <c r="E288" s="6" t="s">
        <v>501</v>
      </c>
      <c r="F288" s="2" t="str">
        <f t="shared" si="24"/>
        <v>A</v>
      </c>
      <c r="G288" s="2">
        <v>4</v>
      </c>
      <c r="H288" s="2" t="str">
        <f t="shared" si="25"/>
        <v>C</v>
      </c>
      <c r="I288" s="2">
        <v>3</v>
      </c>
      <c r="J288" s="2">
        <f t="shared" si="26"/>
        <v>1</v>
      </c>
      <c r="K288" s="2" t="str">
        <f t="shared" si="27"/>
        <v>A</v>
      </c>
      <c r="L288" s="2" t="str">
        <f t="shared" si="28"/>
        <v>A</v>
      </c>
      <c r="M288" s="2" t="s">
        <v>34</v>
      </c>
      <c r="N288" s="2">
        <f t="shared" si="29"/>
        <v>1</v>
      </c>
      <c r="O288" s="2" t="s">
        <v>34</v>
      </c>
      <c r="P288" s="2">
        <v>151</v>
      </c>
    </row>
    <row r="289" ht="23" customHeight="1" spans="1:16">
      <c r="A289" s="6" t="s">
        <v>332</v>
      </c>
      <c r="B289" s="2" t="s">
        <v>30</v>
      </c>
      <c r="C289" s="2" t="s">
        <v>47</v>
      </c>
      <c r="D289" s="2">
        <v>4</v>
      </c>
      <c r="E289" s="6" t="s">
        <v>501</v>
      </c>
      <c r="F289" s="2" t="str">
        <f t="shared" si="24"/>
        <v>C</v>
      </c>
      <c r="G289" s="2">
        <v>3</v>
      </c>
      <c r="H289" s="2" t="str">
        <f t="shared" si="25"/>
        <v>A</v>
      </c>
      <c r="I289" s="2">
        <v>5</v>
      </c>
      <c r="J289" s="2">
        <f t="shared" si="26"/>
        <v>-2</v>
      </c>
      <c r="K289" s="2" t="str">
        <f t="shared" si="27"/>
        <v>B</v>
      </c>
      <c r="L289" s="2" t="str">
        <f t="shared" si="28"/>
        <v>A</v>
      </c>
      <c r="M289" s="2" t="s">
        <v>34</v>
      </c>
      <c r="N289" s="2">
        <f t="shared" si="29"/>
        <v>1</v>
      </c>
      <c r="O289" s="2" t="s">
        <v>37</v>
      </c>
      <c r="P289" s="2">
        <v>160</v>
      </c>
    </row>
    <row r="290" ht="23" customHeight="1" spans="1:16">
      <c r="A290" s="6" t="s">
        <v>332</v>
      </c>
      <c r="B290" s="2" t="s">
        <v>30</v>
      </c>
      <c r="C290" s="2" t="s">
        <v>17</v>
      </c>
      <c r="D290" s="2">
        <v>5</v>
      </c>
      <c r="E290" s="6" t="s">
        <v>502</v>
      </c>
      <c r="F290" s="2" t="str">
        <f t="shared" si="24"/>
        <v>A</v>
      </c>
      <c r="G290" s="2">
        <v>4</v>
      </c>
      <c r="H290" s="2" t="str">
        <f t="shared" si="25"/>
        <v>C</v>
      </c>
      <c r="I290" s="2">
        <v>2</v>
      </c>
      <c r="J290" s="2">
        <f t="shared" si="26"/>
        <v>2</v>
      </c>
      <c r="K290" s="2" t="str">
        <f t="shared" si="27"/>
        <v>A</v>
      </c>
      <c r="L290" s="2" t="str">
        <f t="shared" si="28"/>
        <v>A</v>
      </c>
      <c r="M290" s="2" t="s">
        <v>34</v>
      </c>
      <c r="N290" s="2">
        <f t="shared" si="29"/>
        <v>1</v>
      </c>
      <c r="O290" s="2" t="s">
        <v>34</v>
      </c>
      <c r="P290" s="2">
        <v>151</v>
      </c>
    </row>
    <row r="291" ht="23" customHeight="1" spans="1:16">
      <c r="A291" s="6" t="s">
        <v>332</v>
      </c>
      <c r="B291" s="2" t="s">
        <v>30</v>
      </c>
      <c r="C291" s="2" t="s">
        <v>47</v>
      </c>
      <c r="D291" s="2">
        <v>5</v>
      </c>
      <c r="E291" s="6" t="s">
        <v>502</v>
      </c>
      <c r="F291" s="2" t="str">
        <f t="shared" si="24"/>
        <v>C</v>
      </c>
      <c r="G291" s="2">
        <v>3</v>
      </c>
      <c r="H291" s="2" t="str">
        <f t="shared" si="25"/>
        <v>A</v>
      </c>
      <c r="I291" s="2">
        <v>5</v>
      </c>
      <c r="J291" s="2">
        <f t="shared" si="26"/>
        <v>-2</v>
      </c>
      <c r="K291" s="2" t="str">
        <f t="shared" si="27"/>
        <v>B</v>
      </c>
      <c r="L291" s="2" t="str">
        <f t="shared" si="28"/>
        <v>A</v>
      </c>
      <c r="M291" s="2" t="s">
        <v>34</v>
      </c>
      <c r="N291" s="2">
        <f t="shared" si="29"/>
        <v>1</v>
      </c>
      <c r="O291" s="2" t="s">
        <v>37</v>
      </c>
      <c r="P291" s="2">
        <v>160</v>
      </c>
    </row>
    <row r="292" ht="23" customHeight="1" spans="1:16">
      <c r="A292" s="6" t="s">
        <v>332</v>
      </c>
      <c r="B292" s="2" t="s">
        <v>40</v>
      </c>
      <c r="C292" s="2" t="s">
        <v>17</v>
      </c>
      <c r="D292" s="2">
        <v>1</v>
      </c>
      <c r="E292" s="6" t="s">
        <v>498</v>
      </c>
      <c r="F292" s="2" t="str">
        <f t="shared" si="24"/>
        <v>B</v>
      </c>
      <c r="G292" s="2">
        <v>5</v>
      </c>
      <c r="H292" s="2" t="str">
        <f t="shared" si="25"/>
        <v>C</v>
      </c>
      <c r="I292" s="2">
        <v>3</v>
      </c>
      <c r="J292" s="2">
        <f t="shared" si="26"/>
        <v>2</v>
      </c>
      <c r="K292" s="2" t="str">
        <f t="shared" si="27"/>
        <v>A</v>
      </c>
      <c r="L292" s="2" t="str">
        <f t="shared" si="28"/>
        <v>B</v>
      </c>
      <c r="M292" s="2" t="s">
        <v>37</v>
      </c>
      <c r="N292" s="2">
        <f t="shared" si="29"/>
        <v>1</v>
      </c>
      <c r="O292" s="2" t="s">
        <v>34</v>
      </c>
      <c r="P292" s="2">
        <v>154</v>
      </c>
    </row>
    <row r="293" ht="23" customHeight="1" spans="1:16">
      <c r="A293" s="6" t="s">
        <v>332</v>
      </c>
      <c r="B293" s="2" t="s">
        <v>40</v>
      </c>
      <c r="C293" s="2" t="s">
        <v>47</v>
      </c>
      <c r="D293" s="2">
        <v>1</v>
      </c>
      <c r="E293" s="6" t="s">
        <v>498</v>
      </c>
      <c r="F293" s="2" t="str">
        <f t="shared" si="24"/>
        <v>C</v>
      </c>
      <c r="G293" s="2">
        <v>3</v>
      </c>
      <c r="H293" s="2" t="str">
        <f t="shared" si="25"/>
        <v>B</v>
      </c>
      <c r="I293" s="2">
        <v>5</v>
      </c>
      <c r="J293" s="2">
        <f t="shared" si="26"/>
        <v>-2</v>
      </c>
      <c r="K293" s="2" t="str">
        <f t="shared" si="27"/>
        <v>B</v>
      </c>
      <c r="L293" s="2" t="str">
        <f t="shared" si="28"/>
        <v>B</v>
      </c>
      <c r="M293" s="2" t="s">
        <v>37</v>
      </c>
      <c r="N293" s="2">
        <f t="shared" si="29"/>
        <v>1</v>
      </c>
      <c r="O293" s="2" t="s">
        <v>37</v>
      </c>
      <c r="P293" s="2">
        <v>163</v>
      </c>
    </row>
    <row r="294" ht="23" customHeight="1" spans="1:16">
      <c r="A294" s="6" t="s">
        <v>332</v>
      </c>
      <c r="B294" s="2" t="s">
        <v>40</v>
      </c>
      <c r="C294" s="2" t="s">
        <v>17</v>
      </c>
      <c r="D294" s="2">
        <v>2</v>
      </c>
      <c r="E294" s="6" t="s">
        <v>499</v>
      </c>
      <c r="F294" s="2" t="str">
        <f t="shared" si="24"/>
        <v>B</v>
      </c>
      <c r="G294" s="2">
        <v>4</v>
      </c>
      <c r="H294" s="2" t="str">
        <f t="shared" si="25"/>
        <v>C</v>
      </c>
      <c r="I294" s="2">
        <v>2</v>
      </c>
      <c r="J294" s="2">
        <f t="shared" si="26"/>
        <v>2</v>
      </c>
      <c r="K294" s="2" t="str">
        <f t="shared" si="27"/>
        <v>A</v>
      </c>
      <c r="L294" s="2" t="str">
        <f t="shared" si="28"/>
        <v>B</v>
      </c>
      <c r="M294" s="2" t="s">
        <v>37</v>
      </c>
      <c r="N294" s="2">
        <f t="shared" si="29"/>
        <v>1</v>
      </c>
      <c r="O294" s="2" t="s">
        <v>34</v>
      </c>
      <c r="P294" s="2">
        <v>154</v>
      </c>
    </row>
    <row r="295" ht="23" customHeight="1" spans="1:16">
      <c r="A295" s="6" t="s">
        <v>332</v>
      </c>
      <c r="B295" s="2" t="s">
        <v>40</v>
      </c>
      <c r="C295" s="2" t="s">
        <v>47</v>
      </c>
      <c r="D295" s="2">
        <v>2</v>
      </c>
      <c r="E295" s="6" t="s">
        <v>499</v>
      </c>
      <c r="F295" s="2" t="str">
        <f t="shared" si="24"/>
        <v>C</v>
      </c>
      <c r="G295" s="2">
        <v>2</v>
      </c>
      <c r="H295" s="2" t="str">
        <f t="shared" si="25"/>
        <v>B</v>
      </c>
      <c r="I295" s="2">
        <v>4</v>
      </c>
      <c r="J295" s="2">
        <f t="shared" si="26"/>
        <v>-2</v>
      </c>
      <c r="K295" s="2" t="str">
        <f t="shared" si="27"/>
        <v>B</v>
      </c>
      <c r="L295" s="2" t="str">
        <f t="shared" si="28"/>
        <v>B</v>
      </c>
      <c r="M295" s="2" t="s">
        <v>37</v>
      </c>
      <c r="N295" s="2">
        <f t="shared" si="29"/>
        <v>1</v>
      </c>
      <c r="O295" s="2" t="s">
        <v>37</v>
      </c>
      <c r="P295" s="2">
        <v>163</v>
      </c>
    </row>
    <row r="296" ht="23" customHeight="1" spans="1:16">
      <c r="A296" s="6" t="s">
        <v>332</v>
      </c>
      <c r="B296" s="2" t="s">
        <v>40</v>
      </c>
      <c r="C296" s="2" t="s">
        <v>17</v>
      </c>
      <c r="D296" s="2">
        <v>3</v>
      </c>
      <c r="E296" s="6" t="s">
        <v>500</v>
      </c>
      <c r="F296" s="2" t="str">
        <f t="shared" si="24"/>
        <v>B</v>
      </c>
      <c r="G296" s="2">
        <v>5</v>
      </c>
      <c r="H296" s="2" t="str">
        <f t="shared" si="25"/>
        <v>C</v>
      </c>
      <c r="I296" s="2">
        <v>3</v>
      </c>
      <c r="J296" s="2">
        <f t="shared" si="26"/>
        <v>2</v>
      </c>
      <c r="K296" s="2" t="str">
        <f t="shared" si="27"/>
        <v>A</v>
      </c>
      <c r="L296" s="2" t="str">
        <f t="shared" si="28"/>
        <v>B</v>
      </c>
      <c r="M296" s="2" t="s">
        <v>37</v>
      </c>
      <c r="N296" s="2">
        <f t="shared" si="29"/>
        <v>1</v>
      </c>
      <c r="O296" s="2" t="s">
        <v>34</v>
      </c>
      <c r="P296" s="2">
        <v>154</v>
      </c>
    </row>
    <row r="297" ht="23" customHeight="1" spans="1:16">
      <c r="A297" s="6" t="s">
        <v>332</v>
      </c>
      <c r="B297" s="2" t="s">
        <v>40</v>
      </c>
      <c r="C297" s="2" t="s">
        <v>47</v>
      </c>
      <c r="D297" s="2">
        <v>3</v>
      </c>
      <c r="E297" s="6" t="s">
        <v>500</v>
      </c>
      <c r="F297" s="2" t="str">
        <f t="shared" si="24"/>
        <v>C</v>
      </c>
      <c r="G297" s="2">
        <v>3</v>
      </c>
      <c r="H297" s="2" t="str">
        <f t="shared" si="25"/>
        <v>B</v>
      </c>
      <c r="I297" s="2">
        <v>4</v>
      </c>
      <c r="J297" s="2">
        <f t="shared" si="26"/>
        <v>-1</v>
      </c>
      <c r="K297" s="2" t="str">
        <f t="shared" si="27"/>
        <v>B</v>
      </c>
      <c r="L297" s="2" t="str">
        <f t="shared" si="28"/>
        <v>B</v>
      </c>
      <c r="M297" s="2" t="s">
        <v>37</v>
      </c>
      <c r="N297" s="2">
        <f t="shared" si="29"/>
        <v>1</v>
      </c>
      <c r="O297" s="2" t="s">
        <v>37</v>
      </c>
      <c r="P297" s="2">
        <v>163</v>
      </c>
    </row>
    <row r="298" ht="23" customHeight="1" spans="1:16">
      <c r="A298" s="6" t="s">
        <v>332</v>
      </c>
      <c r="B298" s="2" t="s">
        <v>40</v>
      </c>
      <c r="C298" s="2" t="s">
        <v>17</v>
      </c>
      <c r="D298" s="2">
        <v>4</v>
      </c>
      <c r="E298" s="6" t="s">
        <v>501</v>
      </c>
      <c r="F298" s="2" t="str">
        <f t="shared" si="24"/>
        <v>B</v>
      </c>
      <c r="G298" s="2">
        <v>5</v>
      </c>
      <c r="H298" s="2" t="str">
        <f t="shared" si="25"/>
        <v>C</v>
      </c>
      <c r="I298" s="2">
        <v>2</v>
      </c>
      <c r="J298" s="2">
        <f t="shared" si="26"/>
        <v>3</v>
      </c>
      <c r="K298" s="2" t="str">
        <f t="shared" si="27"/>
        <v>A</v>
      </c>
      <c r="L298" s="2" t="str">
        <f t="shared" si="28"/>
        <v>B</v>
      </c>
      <c r="M298" s="2" t="s">
        <v>37</v>
      </c>
      <c r="N298" s="2">
        <f t="shared" si="29"/>
        <v>1</v>
      </c>
      <c r="O298" s="2" t="s">
        <v>34</v>
      </c>
      <c r="P298" s="2">
        <v>154</v>
      </c>
    </row>
    <row r="299" ht="23" customHeight="1" spans="1:16">
      <c r="A299" s="6" t="s">
        <v>332</v>
      </c>
      <c r="B299" s="2" t="s">
        <v>40</v>
      </c>
      <c r="C299" s="2" t="s">
        <v>47</v>
      </c>
      <c r="D299" s="2">
        <v>4</v>
      </c>
      <c r="E299" s="6" t="s">
        <v>501</v>
      </c>
      <c r="F299" s="2" t="str">
        <f t="shared" si="24"/>
        <v>C</v>
      </c>
      <c r="G299" s="2">
        <v>3</v>
      </c>
      <c r="H299" s="2" t="str">
        <f t="shared" si="25"/>
        <v>B</v>
      </c>
      <c r="I299" s="2">
        <v>5</v>
      </c>
      <c r="J299" s="2">
        <f t="shared" si="26"/>
        <v>-2</v>
      </c>
      <c r="K299" s="2" t="str">
        <f t="shared" si="27"/>
        <v>B</v>
      </c>
      <c r="L299" s="2" t="str">
        <f t="shared" si="28"/>
        <v>B</v>
      </c>
      <c r="M299" s="2" t="s">
        <v>37</v>
      </c>
      <c r="N299" s="2">
        <f t="shared" si="29"/>
        <v>1</v>
      </c>
      <c r="O299" s="2" t="s">
        <v>37</v>
      </c>
      <c r="P299" s="2">
        <v>163</v>
      </c>
    </row>
    <row r="300" ht="23" customHeight="1" spans="1:16">
      <c r="A300" s="6" t="s">
        <v>332</v>
      </c>
      <c r="B300" s="2" t="s">
        <v>40</v>
      </c>
      <c r="C300" s="2" t="s">
        <v>17</v>
      </c>
      <c r="D300" s="2">
        <v>5</v>
      </c>
      <c r="E300" s="6" t="s">
        <v>502</v>
      </c>
      <c r="F300" s="2" t="str">
        <f t="shared" si="24"/>
        <v>B</v>
      </c>
      <c r="G300" s="2">
        <v>5</v>
      </c>
      <c r="H300" s="2" t="str">
        <f t="shared" si="25"/>
        <v>C</v>
      </c>
      <c r="I300" s="2">
        <v>3</v>
      </c>
      <c r="J300" s="2">
        <f t="shared" si="26"/>
        <v>2</v>
      </c>
      <c r="K300" s="2" t="str">
        <f t="shared" si="27"/>
        <v>A</v>
      </c>
      <c r="L300" s="2" t="str">
        <f t="shared" si="28"/>
        <v>B</v>
      </c>
      <c r="M300" s="2" t="s">
        <v>37</v>
      </c>
      <c r="N300" s="2">
        <f t="shared" si="29"/>
        <v>1</v>
      </c>
      <c r="O300" s="2" t="s">
        <v>34</v>
      </c>
      <c r="P300" s="2">
        <v>154</v>
      </c>
    </row>
    <row r="301" ht="23" customHeight="1" spans="1:16">
      <c r="A301" s="6" t="s">
        <v>332</v>
      </c>
      <c r="B301" s="2" t="s">
        <v>40</v>
      </c>
      <c r="C301" s="2" t="s">
        <v>47</v>
      </c>
      <c r="D301" s="2">
        <v>5</v>
      </c>
      <c r="E301" s="6" t="s">
        <v>502</v>
      </c>
      <c r="F301" s="2" t="str">
        <f t="shared" si="24"/>
        <v>C</v>
      </c>
      <c r="G301" s="2">
        <v>2</v>
      </c>
      <c r="H301" s="2" t="str">
        <f t="shared" si="25"/>
        <v>B</v>
      </c>
      <c r="I301" s="2">
        <v>5</v>
      </c>
      <c r="J301" s="2">
        <f t="shared" si="26"/>
        <v>-3</v>
      </c>
      <c r="K301" s="2" t="str">
        <f t="shared" si="27"/>
        <v>B</v>
      </c>
      <c r="L301" s="2" t="str">
        <f t="shared" si="28"/>
        <v>B</v>
      </c>
      <c r="M301" s="2" t="s">
        <v>37</v>
      </c>
      <c r="N301" s="2">
        <f t="shared" si="29"/>
        <v>1</v>
      </c>
      <c r="O301" s="2" t="s">
        <v>37</v>
      </c>
      <c r="P301" s="2">
        <v>163</v>
      </c>
    </row>
    <row r="302" ht="23" customHeight="1" spans="1:16">
      <c r="A302" s="6" t="s">
        <v>218</v>
      </c>
      <c r="B302" s="2" t="s">
        <v>15</v>
      </c>
      <c r="C302" s="2" t="s">
        <v>17</v>
      </c>
      <c r="D302" s="2">
        <v>1</v>
      </c>
      <c r="E302" s="6" t="s">
        <v>498</v>
      </c>
      <c r="F302" s="2" t="str">
        <f t="shared" si="24"/>
        <v>A</v>
      </c>
      <c r="G302" s="2">
        <v>4</v>
      </c>
      <c r="H302" s="2" t="str">
        <f t="shared" si="25"/>
        <v>B</v>
      </c>
      <c r="I302" s="2">
        <v>5</v>
      </c>
      <c r="J302" s="2">
        <f t="shared" si="26"/>
        <v>-1</v>
      </c>
      <c r="K302" s="2" t="str">
        <f t="shared" si="27"/>
        <v>B</v>
      </c>
      <c r="L302" s="2" t="str">
        <f t="shared" si="28"/>
        <v>B</v>
      </c>
      <c r="M302" s="2" t="s">
        <v>34</v>
      </c>
      <c r="N302" s="2">
        <f t="shared" si="29"/>
        <v>0</v>
      </c>
      <c r="O302" s="2" t="s">
        <v>37</v>
      </c>
      <c r="P302" s="2">
        <v>94</v>
      </c>
    </row>
    <row r="303" ht="23" customHeight="1" spans="1:16">
      <c r="A303" s="6" t="s">
        <v>218</v>
      </c>
      <c r="B303" s="2" t="s">
        <v>15</v>
      </c>
      <c r="C303" s="2" t="s">
        <v>47</v>
      </c>
      <c r="D303" s="2">
        <v>1</v>
      </c>
      <c r="E303" s="6" t="s">
        <v>498</v>
      </c>
      <c r="F303" s="2" t="str">
        <f t="shared" si="24"/>
        <v>B</v>
      </c>
      <c r="G303" s="2">
        <v>5</v>
      </c>
      <c r="H303" s="2" t="str">
        <f t="shared" si="25"/>
        <v>A</v>
      </c>
      <c r="I303" s="2">
        <v>3</v>
      </c>
      <c r="J303" s="2">
        <f t="shared" si="26"/>
        <v>2</v>
      </c>
      <c r="K303" s="2" t="str">
        <f t="shared" si="27"/>
        <v>A</v>
      </c>
      <c r="L303" s="2" t="str">
        <f t="shared" si="28"/>
        <v>B</v>
      </c>
      <c r="M303" s="2" t="s">
        <v>34</v>
      </c>
      <c r="N303" s="2">
        <f t="shared" si="29"/>
        <v>0</v>
      </c>
      <c r="O303" s="2" t="s">
        <v>34</v>
      </c>
      <c r="P303" s="2">
        <v>103</v>
      </c>
    </row>
    <row r="304" ht="23" customHeight="1" spans="1:16">
      <c r="A304" s="6" t="s">
        <v>218</v>
      </c>
      <c r="B304" s="2" t="s">
        <v>15</v>
      </c>
      <c r="C304" s="2" t="s">
        <v>17</v>
      </c>
      <c r="D304" s="2">
        <v>2</v>
      </c>
      <c r="E304" s="6" t="s">
        <v>499</v>
      </c>
      <c r="F304" s="2" t="str">
        <f t="shared" si="24"/>
        <v>A</v>
      </c>
      <c r="G304" s="2">
        <v>4</v>
      </c>
      <c r="H304" s="2" t="str">
        <f t="shared" si="25"/>
        <v>B</v>
      </c>
      <c r="I304" s="2">
        <v>3</v>
      </c>
      <c r="J304" s="2">
        <f t="shared" si="26"/>
        <v>1</v>
      </c>
      <c r="K304" s="2" t="str">
        <f t="shared" si="27"/>
        <v>A</v>
      </c>
      <c r="L304" s="2" t="str">
        <f t="shared" si="28"/>
        <v>A</v>
      </c>
      <c r="M304" s="2" t="s">
        <v>34</v>
      </c>
      <c r="N304" s="2">
        <f t="shared" si="29"/>
        <v>1</v>
      </c>
      <c r="O304" s="2" t="s">
        <v>37</v>
      </c>
      <c r="P304" s="2">
        <v>94</v>
      </c>
    </row>
    <row r="305" ht="23" customHeight="1" spans="1:16">
      <c r="A305" s="6" t="s">
        <v>218</v>
      </c>
      <c r="B305" s="2" t="s">
        <v>15</v>
      </c>
      <c r="C305" s="2" t="s">
        <v>47</v>
      </c>
      <c r="D305" s="2">
        <v>2</v>
      </c>
      <c r="E305" s="6" t="s">
        <v>499</v>
      </c>
      <c r="F305" s="2" t="str">
        <f t="shared" si="24"/>
        <v>B</v>
      </c>
      <c r="G305" s="2">
        <v>3</v>
      </c>
      <c r="H305" s="2" t="str">
        <f t="shared" si="25"/>
        <v>A</v>
      </c>
      <c r="I305" s="2">
        <v>4</v>
      </c>
      <c r="J305" s="2">
        <f t="shared" si="26"/>
        <v>-1</v>
      </c>
      <c r="K305" s="2" t="str">
        <f t="shared" si="27"/>
        <v>B</v>
      </c>
      <c r="L305" s="2" t="str">
        <f t="shared" si="28"/>
        <v>A</v>
      </c>
      <c r="M305" s="2" t="s">
        <v>34</v>
      </c>
      <c r="N305" s="2">
        <f t="shared" si="29"/>
        <v>1</v>
      </c>
      <c r="O305" s="2" t="s">
        <v>34</v>
      </c>
      <c r="P305" s="2">
        <v>103</v>
      </c>
    </row>
    <row r="306" ht="23" customHeight="1" spans="1:16">
      <c r="A306" s="6" t="s">
        <v>218</v>
      </c>
      <c r="B306" s="2" t="s">
        <v>15</v>
      </c>
      <c r="C306" s="2" t="s">
        <v>17</v>
      </c>
      <c r="D306" s="2">
        <v>3</v>
      </c>
      <c r="E306" s="6" t="s">
        <v>500</v>
      </c>
      <c r="F306" s="2" t="str">
        <f t="shared" si="24"/>
        <v>A</v>
      </c>
      <c r="G306" s="2">
        <v>4</v>
      </c>
      <c r="H306" s="2" t="str">
        <f t="shared" si="25"/>
        <v>B</v>
      </c>
      <c r="I306" s="2">
        <v>5</v>
      </c>
      <c r="J306" s="2">
        <f t="shared" si="26"/>
        <v>-1</v>
      </c>
      <c r="K306" s="2" t="str">
        <f t="shared" si="27"/>
        <v>B</v>
      </c>
      <c r="L306" s="2" t="str">
        <f t="shared" si="28"/>
        <v>B</v>
      </c>
      <c r="M306" s="2" t="s">
        <v>34</v>
      </c>
      <c r="N306" s="2">
        <f t="shared" si="29"/>
        <v>0</v>
      </c>
      <c r="O306" s="2" t="s">
        <v>37</v>
      </c>
      <c r="P306" s="2">
        <v>94</v>
      </c>
    </row>
    <row r="307" ht="23" customHeight="1" spans="1:16">
      <c r="A307" s="6" t="s">
        <v>218</v>
      </c>
      <c r="B307" s="2" t="s">
        <v>15</v>
      </c>
      <c r="C307" s="2" t="s">
        <v>47</v>
      </c>
      <c r="D307" s="2">
        <v>3</v>
      </c>
      <c r="E307" s="6" t="s">
        <v>500</v>
      </c>
      <c r="F307" s="2" t="str">
        <f t="shared" si="24"/>
        <v>B</v>
      </c>
      <c r="G307" s="2">
        <v>4</v>
      </c>
      <c r="H307" s="2" t="str">
        <f t="shared" si="25"/>
        <v>A</v>
      </c>
      <c r="I307" s="2">
        <v>3</v>
      </c>
      <c r="J307" s="2">
        <f t="shared" si="26"/>
        <v>1</v>
      </c>
      <c r="K307" s="2" t="str">
        <f t="shared" si="27"/>
        <v>A</v>
      </c>
      <c r="L307" s="2" t="str">
        <f t="shared" si="28"/>
        <v>B</v>
      </c>
      <c r="M307" s="2" t="s">
        <v>34</v>
      </c>
      <c r="N307" s="2">
        <f t="shared" si="29"/>
        <v>0</v>
      </c>
      <c r="O307" s="2" t="s">
        <v>34</v>
      </c>
      <c r="P307" s="2">
        <v>103</v>
      </c>
    </row>
    <row r="308" ht="23" customHeight="1" spans="1:16">
      <c r="A308" s="6" t="s">
        <v>218</v>
      </c>
      <c r="B308" s="2" t="s">
        <v>15</v>
      </c>
      <c r="C308" s="2" t="s">
        <v>17</v>
      </c>
      <c r="D308" s="2">
        <v>4</v>
      </c>
      <c r="E308" s="6" t="s">
        <v>501</v>
      </c>
      <c r="F308" s="2" t="str">
        <f t="shared" si="24"/>
        <v>A</v>
      </c>
      <c r="G308" s="2">
        <v>4</v>
      </c>
      <c r="H308" s="2" t="str">
        <f t="shared" si="25"/>
        <v>B</v>
      </c>
      <c r="I308" s="2">
        <v>5</v>
      </c>
      <c r="J308" s="2">
        <f t="shared" si="26"/>
        <v>-1</v>
      </c>
      <c r="K308" s="2" t="str">
        <f t="shared" si="27"/>
        <v>B</v>
      </c>
      <c r="L308" s="2" t="str">
        <f t="shared" si="28"/>
        <v>B</v>
      </c>
      <c r="M308" s="2" t="s">
        <v>34</v>
      </c>
      <c r="N308" s="2">
        <f t="shared" si="29"/>
        <v>0</v>
      </c>
      <c r="O308" s="2" t="s">
        <v>37</v>
      </c>
      <c r="P308" s="2">
        <v>94</v>
      </c>
    </row>
    <row r="309" ht="23" customHeight="1" spans="1:16">
      <c r="A309" s="6" t="s">
        <v>218</v>
      </c>
      <c r="B309" s="2" t="s">
        <v>15</v>
      </c>
      <c r="C309" s="2" t="s">
        <v>47</v>
      </c>
      <c r="D309" s="2">
        <v>4</v>
      </c>
      <c r="E309" s="6" t="s">
        <v>501</v>
      </c>
      <c r="F309" s="2" t="str">
        <f t="shared" si="24"/>
        <v>B</v>
      </c>
      <c r="G309" s="2">
        <v>5</v>
      </c>
      <c r="H309" s="2" t="str">
        <f t="shared" si="25"/>
        <v>A</v>
      </c>
      <c r="I309" s="2">
        <v>3</v>
      </c>
      <c r="J309" s="2">
        <f t="shared" si="26"/>
        <v>2</v>
      </c>
      <c r="K309" s="2" t="str">
        <f t="shared" si="27"/>
        <v>A</v>
      </c>
      <c r="L309" s="2" t="str">
        <f t="shared" si="28"/>
        <v>B</v>
      </c>
      <c r="M309" s="2" t="s">
        <v>34</v>
      </c>
      <c r="N309" s="2">
        <f t="shared" si="29"/>
        <v>0</v>
      </c>
      <c r="O309" s="2" t="s">
        <v>34</v>
      </c>
      <c r="P309" s="2">
        <v>103</v>
      </c>
    </row>
    <row r="310" ht="23" customHeight="1" spans="1:16">
      <c r="A310" s="6" t="s">
        <v>218</v>
      </c>
      <c r="B310" s="2" t="s">
        <v>15</v>
      </c>
      <c r="C310" s="2" t="s">
        <v>17</v>
      </c>
      <c r="D310" s="2">
        <v>5</v>
      </c>
      <c r="E310" s="6" t="s">
        <v>502</v>
      </c>
      <c r="F310" s="2" t="str">
        <f t="shared" si="24"/>
        <v>A</v>
      </c>
      <c r="G310" s="2">
        <v>5</v>
      </c>
      <c r="H310" s="2" t="str">
        <f t="shared" si="25"/>
        <v>B</v>
      </c>
      <c r="I310" s="2">
        <v>5</v>
      </c>
      <c r="J310" s="2">
        <f t="shared" si="26"/>
        <v>0</v>
      </c>
      <c r="K310" s="2" t="str">
        <f t="shared" si="27"/>
        <v>C</v>
      </c>
      <c r="L310" s="2" t="str">
        <f t="shared" si="28"/>
        <v>D(平局)</v>
      </c>
      <c r="M310" s="2" t="s">
        <v>34</v>
      </c>
      <c r="N310" s="2">
        <f t="shared" si="29"/>
        <v>0</v>
      </c>
      <c r="O310" s="2" t="s">
        <v>37</v>
      </c>
      <c r="P310" s="2">
        <v>94</v>
      </c>
    </row>
    <row r="311" ht="23" customHeight="1" spans="1:16">
      <c r="A311" s="6" t="s">
        <v>218</v>
      </c>
      <c r="B311" s="2" t="s">
        <v>15</v>
      </c>
      <c r="C311" s="2" t="s">
        <v>47</v>
      </c>
      <c r="D311" s="2">
        <v>5</v>
      </c>
      <c r="E311" s="6" t="s">
        <v>502</v>
      </c>
      <c r="F311" s="2" t="str">
        <f t="shared" si="24"/>
        <v>B</v>
      </c>
      <c r="G311" s="2">
        <v>4</v>
      </c>
      <c r="H311" s="2" t="str">
        <f t="shared" si="25"/>
        <v>A</v>
      </c>
      <c r="I311" s="2">
        <v>4</v>
      </c>
      <c r="J311" s="2">
        <f t="shared" si="26"/>
        <v>0</v>
      </c>
      <c r="K311" s="2" t="str">
        <f t="shared" si="27"/>
        <v>C</v>
      </c>
      <c r="L311" s="2" t="str">
        <f t="shared" si="28"/>
        <v>D(平局)</v>
      </c>
      <c r="M311" s="2" t="s">
        <v>34</v>
      </c>
      <c r="N311" s="2">
        <f t="shared" si="29"/>
        <v>0</v>
      </c>
      <c r="O311" s="2" t="s">
        <v>34</v>
      </c>
      <c r="P311" s="2">
        <v>103</v>
      </c>
    </row>
    <row r="312" ht="23" customHeight="1" spans="1:16">
      <c r="A312" s="6" t="s">
        <v>218</v>
      </c>
      <c r="B312" s="2" t="s">
        <v>30</v>
      </c>
      <c r="C312" s="2" t="s">
        <v>17</v>
      </c>
      <c r="D312" s="2">
        <v>1</v>
      </c>
      <c r="E312" s="6" t="s">
        <v>498</v>
      </c>
      <c r="F312" s="2" t="str">
        <f t="shared" si="24"/>
        <v>A</v>
      </c>
      <c r="G312" s="2">
        <v>3</v>
      </c>
      <c r="H312" s="2" t="str">
        <f t="shared" si="25"/>
        <v>C</v>
      </c>
      <c r="I312" s="2">
        <v>5</v>
      </c>
      <c r="J312" s="2">
        <f t="shared" si="26"/>
        <v>-2</v>
      </c>
      <c r="K312" s="2" t="str">
        <f t="shared" si="27"/>
        <v>B</v>
      </c>
      <c r="L312" s="2" t="str">
        <f t="shared" si="28"/>
        <v>C</v>
      </c>
      <c r="M312" s="2" t="s">
        <v>22</v>
      </c>
      <c r="N312" s="2">
        <f t="shared" si="29"/>
        <v>1</v>
      </c>
      <c r="O312" s="2" t="s">
        <v>37</v>
      </c>
      <c r="P312" s="2">
        <v>97</v>
      </c>
    </row>
    <row r="313" ht="23" customHeight="1" spans="1:16">
      <c r="A313" s="6" t="s">
        <v>218</v>
      </c>
      <c r="B313" s="2" t="s">
        <v>30</v>
      </c>
      <c r="C313" s="2" t="s">
        <v>47</v>
      </c>
      <c r="D313" s="2">
        <v>1</v>
      </c>
      <c r="E313" s="6" t="s">
        <v>498</v>
      </c>
      <c r="F313" s="2" t="str">
        <f t="shared" si="24"/>
        <v>C</v>
      </c>
      <c r="G313" s="2">
        <v>5</v>
      </c>
      <c r="H313" s="2" t="str">
        <f t="shared" si="25"/>
        <v>A</v>
      </c>
      <c r="I313" s="2">
        <v>4</v>
      </c>
      <c r="J313" s="2">
        <f t="shared" si="26"/>
        <v>1</v>
      </c>
      <c r="K313" s="2" t="str">
        <f t="shared" si="27"/>
        <v>A</v>
      </c>
      <c r="L313" s="2" t="str">
        <f t="shared" si="28"/>
        <v>C</v>
      </c>
      <c r="M313" s="2" t="s">
        <v>22</v>
      </c>
      <c r="N313" s="2">
        <f t="shared" si="29"/>
        <v>1</v>
      </c>
      <c r="O313" s="2" t="s">
        <v>34</v>
      </c>
      <c r="P313" s="2">
        <v>106</v>
      </c>
    </row>
    <row r="314" ht="23" customHeight="1" spans="1:16">
      <c r="A314" s="6" t="s">
        <v>218</v>
      </c>
      <c r="B314" s="2" t="s">
        <v>30</v>
      </c>
      <c r="C314" s="2" t="s">
        <v>17</v>
      </c>
      <c r="D314" s="2">
        <v>2</v>
      </c>
      <c r="E314" s="6" t="s">
        <v>499</v>
      </c>
      <c r="F314" s="2" t="str">
        <f t="shared" si="24"/>
        <v>A</v>
      </c>
      <c r="G314" s="2">
        <v>3</v>
      </c>
      <c r="H314" s="2" t="str">
        <f t="shared" si="25"/>
        <v>C</v>
      </c>
      <c r="I314" s="2">
        <v>5</v>
      </c>
      <c r="J314" s="2">
        <f t="shared" si="26"/>
        <v>-2</v>
      </c>
      <c r="K314" s="2" t="str">
        <f t="shared" si="27"/>
        <v>B</v>
      </c>
      <c r="L314" s="2" t="str">
        <f t="shared" si="28"/>
        <v>C</v>
      </c>
      <c r="M314" s="2" t="s">
        <v>22</v>
      </c>
      <c r="N314" s="2">
        <f t="shared" si="29"/>
        <v>1</v>
      </c>
      <c r="O314" s="2" t="s">
        <v>37</v>
      </c>
      <c r="P314" s="2">
        <v>97</v>
      </c>
    </row>
    <row r="315" ht="23" customHeight="1" spans="1:16">
      <c r="A315" s="6" t="s">
        <v>218</v>
      </c>
      <c r="B315" s="2" t="s">
        <v>30</v>
      </c>
      <c r="C315" s="2" t="s">
        <v>47</v>
      </c>
      <c r="D315" s="2">
        <v>2</v>
      </c>
      <c r="E315" s="6" t="s">
        <v>499</v>
      </c>
      <c r="F315" s="2" t="str">
        <f t="shared" si="24"/>
        <v>C</v>
      </c>
      <c r="G315" s="2">
        <v>4</v>
      </c>
      <c r="H315" s="2" t="str">
        <f t="shared" si="25"/>
        <v>A</v>
      </c>
      <c r="I315" s="2">
        <v>2</v>
      </c>
      <c r="J315" s="2">
        <f t="shared" si="26"/>
        <v>2</v>
      </c>
      <c r="K315" s="2" t="str">
        <f t="shared" si="27"/>
        <v>A</v>
      </c>
      <c r="L315" s="2" t="str">
        <f t="shared" si="28"/>
        <v>C</v>
      </c>
      <c r="M315" s="2" t="s">
        <v>22</v>
      </c>
      <c r="N315" s="2">
        <f t="shared" si="29"/>
        <v>1</v>
      </c>
      <c r="O315" s="2" t="s">
        <v>34</v>
      </c>
      <c r="P315" s="2">
        <v>106</v>
      </c>
    </row>
    <row r="316" ht="23" customHeight="1" spans="1:16">
      <c r="A316" s="6" t="s">
        <v>218</v>
      </c>
      <c r="B316" s="2" t="s">
        <v>30</v>
      </c>
      <c r="C316" s="2" t="s">
        <v>17</v>
      </c>
      <c r="D316" s="2">
        <v>3</v>
      </c>
      <c r="E316" s="6" t="s">
        <v>500</v>
      </c>
      <c r="F316" s="2" t="str">
        <f t="shared" si="24"/>
        <v>A</v>
      </c>
      <c r="G316" s="2">
        <v>4</v>
      </c>
      <c r="H316" s="2" t="str">
        <f t="shared" si="25"/>
        <v>C</v>
      </c>
      <c r="I316" s="2">
        <v>5</v>
      </c>
      <c r="J316" s="2">
        <f t="shared" si="26"/>
        <v>-1</v>
      </c>
      <c r="K316" s="2" t="str">
        <f t="shared" si="27"/>
        <v>B</v>
      </c>
      <c r="L316" s="2" t="str">
        <f t="shared" si="28"/>
        <v>C</v>
      </c>
      <c r="M316" s="2" t="s">
        <v>22</v>
      </c>
      <c r="N316" s="2">
        <f t="shared" si="29"/>
        <v>1</v>
      </c>
      <c r="O316" s="2" t="s">
        <v>37</v>
      </c>
      <c r="P316" s="2">
        <v>97</v>
      </c>
    </row>
    <row r="317" ht="23" customHeight="1" spans="1:16">
      <c r="A317" s="6" t="s">
        <v>218</v>
      </c>
      <c r="B317" s="2" t="s">
        <v>30</v>
      </c>
      <c r="C317" s="2" t="s">
        <v>47</v>
      </c>
      <c r="D317" s="2">
        <v>3</v>
      </c>
      <c r="E317" s="6" t="s">
        <v>500</v>
      </c>
      <c r="F317" s="2" t="str">
        <f t="shared" si="24"/>
        <v>C</v>
      </c>
      <c r="G317" s="2">
        <v>4</v>
      </c>
      <c r="H317" s="2" t="str">
        <f t="shared" si="25"/>
        <v>A</v>
      </c>
      <c r="I317" s="2">
        <v>3</v>
      </c>
      <c r="J317" s="2">
        <f t="shared" si="26"/>
        <v>1</v>
      </c>
      <c r="K317" s="2" t="str">
        <f t="shared" si="27"/>
        <v>A</v>
      </c>
      <c r="L317" s="2" t="str">
        <f t="shared" si="28"/>
        <v>C</v>
      </c>
      <c r="M317" s="2" t="s">
        <v>22</v>
      </c>
      <c r="N317" s="2">
        <f t="shared" si="29"/>
        <v>1</v>
      </c>
      <c r="O317" s="2" t="s">
        <v>34</v>
      </c>
      <c r="P317" s="2">
        <v>106</v>
      </c>
    </row>
    <row r="318" ht="23" customHeight="1" spans="1:16">
      <c r="A318" s="6" t="s">
        <v>218</v>
      </c>
      <c r="B318" s="2" t="s">
        <v>30</v>
      </c>
      <c r="C318" s="2" t="s">
        <v>17</v>
      </c>
      <c r="D318" s="2">
        <v>4</v>
      </c>
      <c r="E318" s="6" t="s">
        <v>501</v>
      </c>
      <c r="F318" s="2" t="str">
        <f t="shared" si="24"/>
        <v>A</v>
      </c>
      <c r="G318" s="2">
        <v>4</v>
      </c>
      <c r="H318" s="2" t="str">
        <f t="shared" si="25"/>
        <v>C</v>
      </c>
      <c r="I318" s="2">
        <v>5</v>
      </c>
      <c r="J318" s="2">
        <f t="shared" si="26"/>
        <v>-1</v>
      </c>
      <c r="K318" s="2" t="str">
        <f t="shared" si="27"/>
        <v>B</v>
      </c>
      <c r="L318" s="2" t="str">
        <f t="shared" si="28"/>
        <v>C</v>
      </c>
      <c r="M318" s="2" t="s">
        <v>22</v>
      </c>
      <c r="N318" s="2">
        <f t="shared" si="29"/>
        <v>1</v>
      </c>
      <c r="O318" s="2" t="s">
        <v>37</v>
      </c>
      <c r="P318" s="2">
        <v>97</v>
      </c>
    </row>
    <row r="319" ht="23" customHeight="1" spans="1:16">
      <c r="A319" s="6" t="s">
        <v>218</v>
      </c>
      <c r="B319" s="2" t="s">
        <v>30</v>
      </c>
      <c r="C319" s="2" t="s">
        <v>47</v>
      </c>
      <c r="D319" s="2">
        <v>4</v>
      </c>
      <c r="E319" s="6" t="s">
        <v>501</v>
      </c>
      <c r="F319" s="2" t="str">
        <f t="shared" si="24"/>
        <v>C</v>
      </c>
      <c r="G319" s="2">
        <v>5</v>
      </c>
      <c r="H319" s="2" t="str">
        <f t="shared" si="25"/>
        <v>A</v>
      </c>
      <c r="I319" s="2">
        <v>3</v>
      </c>
      <c r="J319" s="2">
        <f t="shared" si="26"/>
        <v>2</v>
      </c>
      <c r="K319" s="2" t="str">
        <f t="shared" si="27"/>
        <v>A</v>
      </c>
      <c r="L319" s="2" t="str">
        <f t="shared" si="28"/>
        <v>C</v>
      </c>
      <c r="M319" s="2" t="s">
        <v>22</v>
      </c>
      <c r="N319" s="2">
        <f t="shared" si="29"/>
        <v>1</v>
      </c>
      <c r="O319" s="2" t="s">
        <v>34</v>
      </c>
      <c r="P319" s="2">
        <v>106</v>
      </c>
    </row>
    <row r="320" ht="23" customHeight="1" spans="1:16">
      <c r="A320" s="6" t="s">
        <v>218</v>
      </c>
      <c r="B320" s="2" t="s">
        <v>30</v>
      </c>
      <c r="C320" s="2" t="s">
        <v>17</v>
      </c>
      <c r="D320" s="2">
        <v>5</v>
      </c>
      <c r="E320" s="6" t="s">
        <v>502</v>
      </c>
      <c r="F320" s="2" t="str">
        <f t="shared" si="24"/>
        <v>A</v>
      </c>
      <c r="G320" s="2">
        <v>5</v>
      </c>
      <c r="H320" s="2" t="str">
        <f t="shared" si="25"/>
        <v>C</v>
      </c>
      <c r="I320" s="2">
        <v>5</v>
      </c>
      <c r="J320" s="2">
        <f t="shared" si="26"/>
        <v>0</v>
      </c>
      <c r="K320" s="2" t="str">
        <f t="shared" si="27"/>
        <v>C</v>
      </c>
      <c r="L320" s="2" t="str">
        <f t="shared" si="28"/>
        <v>D(平局)</v>
      </c>
      <c r="M320" s="2" t="s">
        <v>22</v>
      </c>
      <c r="N320" s="2">
        <f t="shared" si="29"/>
        <v>0</v>
      </c>
      <c r="O320" s="2" t="s">
        <v>37</v>
      </c>
      <c r="P320" s="2">
        <v>97</v>
      </c>
    </row>
    <row r="321" ht="23" customHeight="1" spans="1:16">
      <c r="A321" s="6" t="s">
        <v>218</v>
      </c>
      <c r="B321" s="2" t="s">
        <v>30</v>
      </c>
      <c r="C321" s="2" t="s">
        <v>47</v>
      </c>
      <c r="D321" s="2">
        <v>5</v>
      </c>
      <c r="E321" s="6" t="s">
        <v>502</v>
      </c>
      <c r="F321" s="2" t="str">
        <f t="shared" si="24"/>
        <v>C</v>
      </c>
      <c r="G321" s="2">
        <v>5</v>
      </c>
      <c r="H321" s="2" t="str">
        <f t="shared" si="25"/>
        <v>A</v>
      </c>
      <c r="I321" s="2">
        <v>5</v>
      </c>
      <c r="J321" s="2">
        <f t="shared" si="26"/>
        <v>0</v>
      </c>
      <c r="K321" s="2" t="str">
        <f t="shared" si="27"/>
        <v>C</v>
      </c>
      <c r="L321" s="2" t="str">
        <f t="shared" si="28"/>
        <v>D(平局)</v>
      </c>
      <c r="M321" s="2" t="s">
        <v>22</v>
      </c>
      <c r="N321" s="2">
        <f t="shared" si="29"/>
        <v>0</v>
      </c>
      <c r="O321" s="2" t="s">
        <v>34</v>
      </c>
      <c r="P321" s="2">
        <v>106</v>
      </c>
    </row>
    <row r="322" ht="23" customHeight="1" spans="1:16">
      <c r="A322" s="6" t="s">
        <v>218</v>
      </c>
      <c r="B322" s="2" t="s">
        <v>40</v>
      </c>
      <c r="C322" s="2" t="s">
        <v>17</v>
      </c>
      <c r="D322" s="2">
        <v>1</v>
      </c>
      <c r="E322" s="6" t="s">
        <v>498</v>
      </c>
      <c r="F322" s="2" t="str">
        <f t="shared" ref="F322:F361" si="30">IF(C322="l2r",LEFT(B322,1),RIGHT(B322,1))</f>
        <v>B</v>
      </c>
      <c r="G322" s="2">
        <v>4</v>
      </c>
      <c r="H322" s="2" t="str">
        <f t="shared" ref="H322:H361" si="31">IF(C322="l2r",RIGHT(B322,1),LEFT(B322,1))</f>
        <v>C</v>
      </c>
      <c r="I322" s="2">
        <v>4</v>
      </c>
      <c r="J322" s="2">
        <f t="shared" ref="J322:J361" si="32">G322-I322</f>
        <v>0</v>
      </c>
      <c r="K322" s="2" t="str">
        <f t="shared" ref="K322:K361" si="33">IF(J322=0,"C",IF(J322&gt;0,"A","B"))</f>
        <v>C</v>
      </c>
      <c r="L322" s="2" t="str">
        <f t="shared" ref="L322:L361" si="34">IF(J322=0,"D(平局)",IF(J322&gt;0,F322,H322))</f>
        <v>D(平局)</v>
      </c>
      <c r="M322" s="2" t="s">
        <v>22</v>
      </c>
      <c r="N322" s="2">
        <f t="shared" ref="N322:N361" si="35">--(L322=M322)</f>
        <v>0</v>
      </c>
      <c r="O322" s="2" t="s">
        <v>37</v>
      </c>
      <c r="P322" s="2">
        <v>100</v>
      </c>
    </row>
    <row r="323" ht="23" customHeight="1" spans="1:16">
      <c r="A323" s="6" t="s">
        <v>218</v>
      </c>
      <c r="B323" s="2" t="s">
        <v>40</v>
      </c>
      <c r="C323" s="2" t="s">
        <v>47</v>
      </c>
      <c r="D323" s="2">
        <v>1</v>
      </c>
      <c r="E323" s="6" t="s">
        <v>498</v>
      </c>
      <c r="F323" s="2" t="str">
        <f t="shared" si="30"/>
        <v>C</v>
      </c>
      <c r="G323" s="2">
        <v>5</v>
      </c>
      <c r="H323" s="2" t="str">
        <f t="shared" si="31"/>
        <v>B</v>
      </c>
      <c r="I323" s="2">
        <v>4</v>
      </c>
      <c r="J323" s="2">
        <f t="shared" si="32"/>
        <v>1</v>
      </c>
      <c r="K323" s="2" t="str">
        <f t="shared" si="33"/>
        <v>A</v>
      </c>
      <c r="L323" s="2" t="str">
        <f t="shared" si="34"/>
        <v>C</v>
      </c>
      <c r="M323" s="2" t="s">
        <v>22</v>
      </c>
      <c r="N323" s="2">
        <f t="shared" si="35"/>
        <v>1</v>
      </c>
      <c r="O323" s="2" t="s">
        <v>34</v>
      </c>
      <c r="P323" s="2">
        <v>109</v>
      </c>
    </row>
    <row r="324" ht="23" customHeight="1" spans="1:16">
      <c r="A324" s="6" t="s">
        <v>218</v>
      </c>
      <c r="B324" s="2" t="s">
        <v>40</v>
      </c>
      <c r="C324" s="2" t="s">
        <v>17</v>
      </c>
      <c r="D324" s="2">
        <v>2</v>
      </c>
      <c r="E324" s="6" t="s">
        <v>499</v>
      </c>
      <c r="F324" s="2" t="str">
        <f t="shared" si="30"/>
        <v>B</v>
      </c>
      <c r="G324" s="2">
        <v>2</v>
      </c>
      <c r="H324" s="2" t="str">
        <f t="shared" si="31"/>
        <v>C</v>
      </c>
      <c r="I324" s="2">
        <v>4</v>
      </c>
      <c r="J324" s="2">
        <f t="shared" si="32"/>
        <v>-2</v>
      </c>
      <c r="K324" s="2" t="str">
        <f t="shared" si="33"/>
        <v>B</v>
      </c>
      <c r="L324" s="2" t="str">
        <f t="shared" si="34"/>
        <v>C</v>
      </c>
      <c r="M324" s="2" t="s">
        <v>22</v>
      </c>
      <c r="N324" s="2">
        <f t="shared" si="35"/>
        <v>1</v>
      </c>
      <c r="O324" s="2" t="s">
        <v>37</v>
      </c>
      <c r="P324" s="2">
        <v>100</v>
      </c>
    </row>
    <row r="325" ht="23" customHeight="1" spans="1:16">
      <c r="A325" s="6" t="s">
        <v>218</v>
      </c>
      <c r="B325" s="2" t="s">
        <v>40</v>
      </c>
      <c r="C325" s="2" t="s">
        <v>47</v>
      </c>
      <c r="D325" s="2">
        <v>2</v>
      </c>
      <c r="E325" s="6" t="s">
        <v>499</v>
      </c>
      <c r="F325" s="2" t="str">
        <f t="shared" si="30"/>
        <v>C</v>
      </c>
      <c r="G325" s="2">
        <v>4</v>
      </c>
      <c r="H325" s="2" t="str">
        <f t="shared" si="31"/>
        <v>B</v>
      </c>
      <c r="I325" s="2">
        <v>3</v>
      </c>
      <c r="J325" s="2">
        <f t="shared" si="32"/>
        <v>1</v>
      </c>
      <c r="K325" s="2" t="str">
        <f t="shared" si="33"/>
        <v>A</v>
      </c>
      <c r="L325" s="2" t="str">
        <f t="shared" si="34"/>
        <v>C</v>
      </c>
      <c r="M325" s="2" t="s">
        <v>22</v>
      </c>
      <c r="N325" s="2">
        <f t="shared" si="35"/>
        <v>1</v>
      </c>
      <c r="O325" s="2" t="s">
        <v>34</v>
      </c>
      <c r="P325" s="2">
        <v>109</v>
      </c>
    </row>
    <row r="326" ht="23" customHeight="1" spans="1:16">
      <c r="A326" s="6" t="s">
        <v>218</v>
      </c>
      <c r="B326" s="2" t="s">
        <v>40</v>
      </c>
      <c r="C326" s="2" t="s">
        <v>17</v>
      </c>
      <c r="D326" s="2">
        <v>3</v>
      </c>
      <c r="E326" s="6" t="s">
        <v>500</v>
      </c>
      <c r="F326" s="2" t="str">
        <f t="shared" si="30"/>
        <v>B</v>
      </c>
      <c r="G326" s="2">
        <v>4</v>
      </c>
      <c r="H326" s="2" t="str">
        <f t="shared" si="31"/>
        <v>C</v>
      </c>
      <c r="I326" s="2">
        <v>3</v>
      </c>
      <c r="J326" s="2">
        <f t="shared" si="32"/>
        <v>1</v>
      </c>
      <c r="K326" s="2" t="str">
        <f t="shared" si="33"/>
        <v>A</v>
      </c>
      <c r="L326" s="2" t="str">
        <f t="shared" si="34"/>
        <v>B</v>
      </c>
      <c r="M326" s="2" t="s">
        <v>22</v>
      </c>
      <c r="N326" s="2">
        <f t="shared" si="35"/>
        <v>0</v>
      </c>
      <c r="O326" s="2" t="s">
        <v>37</v>
      </c>
      <c r="P326" s="2">
        <v>100</v>
      </c>
    </row>
    <row r="327" ht="23" customHeight="1" spans="1:16">
      <c r="A327" s="6" t="s">
        <v>218</v>
      </c>
      <c r="B327" s="2" t="s">
        <v>40</v>
      </c>
      <c r="C327" s="2" t="s">
        <v>47</v>
      </c>
      <c r="D327" s="2">
        <v>3</v>
      </c>
      <c r="E327" s="6" t="s">
        <v>500</v>
      </c>
      <c r="F327" s="2" t="str">
        <f t="shared" si="30"/>
        <v>C</v>
      </c>
      <c r="G327" s="2">
        <v>4</v>
      </c>
      <c r="H327" s="2" t="str">
        <f t="shared" si="31"/>
        <v>B</v>
      </c>
      <c r="I327" s="2">
        <v>5</v>
      </c>
      <c r="J327" s="2">
        <f t="shared" si="32"/>
        <v>-1</v>
      </c>
      <c r="K327" s="2" t="str">
        <f t="shared" si="33"/>
        <v>B</v>
      </c>
      <c r="L327" s="2" t="str">
        <f t="shared" si="34"/>
        <v>B</v>
      </c>
      <c r="M327" s="2" t="s">
        <v>22</v>
      </c>
      <c r="N327" s="2">
        <f t="shared" si="35"/>
        <v>0</v>
      </c>
      <c r="O327" s="2" t="s">
        <v>34</v>
      </c>
      <c r="P327" s="2">
        <v>109</v>
      </c>
    </row>
    <row r="328" ht="23" customHeight="1" spans="1:16">
      <c r="A328" s="6" t="s">
        <v>218</v>
      </c>
      <c r="B328" s="2" t="s">
        <v>40</v>
      </c>
      <c r="C328" s="2" t="s">
        <v>17</v>
      </c>
      <c r="D328" s="2">
        <v>4</v>
      </c>
      <c r="E328" s="6" t="s">
        <v>501</v>
      </c>
      <c r="F328" s="2" t="str">
        <f t="shared" si="30"/>
        <v>B</v>
      </c>
      <c r="G328" s="2">
        <v>4</v>
      </c>
      <c r="H328" s="2" t="str">
        <f t="shared" si="31"/>
        <v>C</v>
      </c>
      <c r="I328" s="2">
        <v>4</v>
      </c>
      <c r="J328" s="2">
        <f t="shared" si="32"/>
        <v>0</v>
      </c>
      <c r="K328" s="2" t="str">
        <f t="shared" si="33"/>
        <v>C</v>
      </c>
      <c r="L328" s="2" t="str">
        <f t="shared" si="34"/>
        <v>D(平局)</v>
      </c>
      <c r="M328" s="2" t="s">
        <v>22</v>
      </c>
      <c r="N328" s="2">
        <f t="shared" si="35"/>
        <v>0</v>
      </c>
      <c r="O328" s="2" t="s">
        <v>37</v>
      </c>
      <c r="P328" s="2">
        <v>100</v>
      </c>
    </row>
    <row r="329" ht="23" customHeight="1" spans="1:16">
      <c r="A329" s="6" t="s">
        <v>218</v>
      </c>
      <c r="B329" s="2" t="s">
        <v>40</v>
      </c>
      <c r="C329" s="2" t="s">
        <v>47</v>
      </c>
      <c r="D329" s="2">
        <v>4</v>
      </c>
      <c r="E329" s="6" t="s">
        <v>501</v>
      </c>
      <c r="F329" s="2" t="str">
        <f t="shared" si="30"/>
        <v>C</v>
      </c>
      <c r="G329" s="2">
        <v>5</v>
      </c>
      <c r="H329" s="2" t="str">
        <f t="shared" si="31"/>
        <v>B</v>
      </c>
      <c r="I329" s="2">
        <v>4</v>
      </c>
      <c r="J329" s="2">
        <f t="shared" si="32"/>
        <v>1</v>
      </c>
      <c r="K329" s="2" t="str">
        <f t="shared" si="33"/>
        <v>A</v>
      </c>
      <c r="L329" s="2" t="str">
        <f t="shared" si="34"/>
        <v>C</v>
      </c>
      <c r="M329" s="2" t="s">
        <v>22</v>
      </c>
      <c r="N329" s="2">
        <f t="shared" si="35"/>
        <v>1</v>
      </c>
      <c r="O329" s="2" t="s">
        <v>34</v>
      </c>
      <c r="P329" s="2">
        <v>109</v>
      </c>
    </row>
    <row r="330" ht="23" customHeight="1" spans="1:16">
      <c r="A330" s="6" t="s">
        <v>218</v>
      </c>
      <c r="B330" s="2" t="s">
        <v>40</v>
      </c>
      <c r="C330" s="2" t="s">
        <v>17</v>
      </c>
      <c r="D330" s="2">
        <v>5</v>
      </c>
      <c r="E330" s="6" t="s">
        <v>502</v>
      </c>
      <c r="F330" s="2" t="str">
        <f t="shared" si="30"/>
        <v>B</v>
      </c>
      <c r="G330" s="2">
        <v>5</v>
      </c>
      <c r="H330" s="2" t="str">
        <f t="shared" si="31"/>
        <v>C</v>
      </c>
      <c r="I330" s="2">
        <v>5</v>
      </c>
      <c r="J330" s="2">
        <f t="shared" si="32"/>
        <v>0</v>
      </c>
      <c r="K330" s="2" t="str">
        <f t="shared" si="33"/>
        <v>C</v>
      </c>
      <c r="L330" s="2" t="str">
        <f t="shared" si="34"/>
        <v>D(平局)</v>
      </c>
      <c r="M330" s="2" t="s">
        <v>22</v>
      </c>
      <c r="N330" s="2">
        <f t="shared" si="35"/>
        <v>0</v>
      </c>
      <c r="O330" s="2" t="s">
        <v>37</v>
      </c>
      <c r="P330" s="2">
        <v>100</v>
      </c>
    </row>
    <row r="331" ht="23" customHeight="1" spans="1:16">
      <c r="A331" s="6" t="s">
        <v>218</v>
      </c>
      <c r="B331" s="2" t="s">
        <v>40</v>
      </c>
      <c r="C331" s="2" t="s">
        <v>47</v>
      </c>
      <c r="D331" s="2">
        <v>5</v>
      </c>
      <c r="E331" s="6" t="s">
        <v>502</v>
      </c>
      <c r="F331" s="2" t="str">
        <f t="shared" si="30"/>
        <v>C</v>
      </c>
      <c r="G331" s="2">
        <v>5</v>
      </c>
      <c r="H331" s="2" t="str">
        <f t="shared" si="31"/>
        <v>B</v>
      </c>
      <c r="I331" s="2">
        <v>4</v>
      </c>
      <c r="J331" s="2">
        <f t="shared" si="32"/>
        <v>1</v>
      </c>
      <c r="K331" s="2" t="str">
        <f t="shared" si="33"/>
        <v>A</v>
      </c>
      <c r="L331" s="2" t="str">
        <f t="shared" si="34"/>
        <v>C</v>
      </c>
      <c r="M331" s="2" t="s">
        <v>22</v>
      </c>
      <c r="N331" s="2">
        <f t="shared" si="35"/>
        <v>1</v>
      </c>
      <c r="O331" s="2" t="s">
        <v>34</v>
      </c>
      <c r="P331" s="2">
        <v>109</v>
      </c>
    </row>
    <row r="332" ht="23" customHeight="1" spans="1:16">
      <c r="A332" s="6" t="s">
        <v>294</v>
      </c>
      <c r="B332" s="2" t="s">
        <v>15</v>
      </c>
      <c r="C332" s="2" t="s">
        <v>17</v>
      </c>
      <c r="D332" s="2">
        <v>1</v>
      </c>
      <c r="E332" s="6" t="s">
        <v>498</v>
      </c>
      <c r="F332" s="2" t="str">
        <f t="shared" si="30"/>
        <v>A</v>
      </c>
      <c r="G332" s="2">
        <v>5</v>
      </c>
      <c r="H332" s="2" t="str">
        <f t="shared" si="31"/>
        <v>B</v>
      </c>
      <c r="I332" s="2">
        <v>3</v>
      </c>
      <c r="J332" s="2">
        <f t="shared" si="32"/>
        <v>2</v>
      </c>
      <c r="K332" s="2" t="str">
        <f t="shared" si="33"/>
        <v>A</v>
      </c>
      <c r="L332" s="2" t="str">
        <f t="shared" si="34"/>
        <v>A</v>
      </c>
      <c r="M332" s="2" t="s">
        <v>34</v>
      </c>
      <c r="N332" s="2">
        <f t="shared" si="35"/>
        <v>1</v>
      </c>
      <c r="O332" s="2" t="s">
        <v>34</v>
      </c>
      <c r="P332" s="2">
        <v>130</v>
      </c>
    </row>
    <row r="333" ht="23" customHeight="1" spans="1:16">
      <c r="A333" s="6" t="s">
        <v>294</v>
      </c>
      <c r="B333" s="2" t="s">
        <v>15</v>
      </c>
      <c r="C333" s="2" t="s">
        <v>47</v>
      </c>
      <c r="D333" s="2">
        <v>1</v>
      </c>
      <c r="E333" s="6" t="s">
        <v>498</v>
      </c>
      <c r="F333" s="2" t="str">
        <f t="shared" si="30"/>
        <v>B</v>
      </c>
      <c r="G333" s="2">
        <v>4</v>
      </c>
      <c r="H333" s="2" t="str">
        <f t="shared" si="31"/>
        <v>A</v>
      </c>
      <c r="I333" s="2">
        <v>5</v>
      </c>
      <c r="J333" s="2">
        <f t="shared" si="32"/>
        <v>-1</v>
      </c>
      <c r="K333" s="2" t="str">
        <f t="shared" si="33"/>
        <v>B</v>
      </c>
      <c r="L333" s="2" t="str">
        <f t="shared" si="34"/>
        <v>A</v>
      </c>
      <c r="M333" s="2" t="s">
        <v>34</v>
      </c>
      <c r="N333" s="2">
        <f t="shared" si="35"/>
        <v>1</v>
      </c>
      <c r="O333" s="2" t="s">
        <v>37</v>
      </c>
      <c r="P333" s="2">
        <v>139</v>
      </c>
    </row>
    <row r="334" ht="23" customHeight="1" spans="1:16">
      <c r="A334" s="6" t="s">
        <v>294</v>
      </c>
      <c r="B334" s="2" t="s">
        <v>15</v>
      </c>
      <c r="C334" s="2" t="s">
        <v>17</v>
      </c>
      <c r="D334" s="2">
        <v>2</v>
      </c>
      <c r="E334" s="6" t="s">
        <v>499</v>
      </c>
      <c r="F334" s="2" t="str">
        <f t="shared" si="30"/>
        <v>A</v>
      </c>
      <c r="G334" s="2">
        <v>5</v>
      </c>
      <c r="H334" s="2" t="str">
        <f t="shared" si="31"/>
        <v>B</v>
      </c>
      <c r="I334" s="2">
        <v>3</v>
      </c>
      <c r="J334" s="2">
        <f t="shared" si="32"/>
        <v>2</v>
      </c>
      <c r="K334" s="2" t="str">
        <f t="shared" si="33"/>
        <v>A</v>
      </c>
      <c r="L334" s="2" t="str">
        <f t="shared" si="34"/>
        <v>A</v>
      </c>
      <c r="M334" s="2" t="s">
        <v>34</v>
      </c>
      <c r="N334" s="2">
        <f t="shared" si="35"/>
        <v>1</v>
      </c>
      <c r="O334" s="2" t="s">
        <v>34</v>
      </c>
      <c r="P334" s="2">
        <v>130</v>
      </c>
    </row>
    <row r="335" ht="23" customHeight="1" spans="1:16">
      <c r="A335" s="6" t="s">
        <v>294</v>
      </c>
      <c r="B335" s="2" t="s">
        <v>15</v>
      </c>
      <c r="C335" s="2" t="s">
        <v>47</v>
      </c>
      <c r="D335" s="2">
        <v>2</v>
      </c>
      <c r="E335" s="6" t="s">
        <v>499</v>
      </c>
      <c r="F335" s="2" t="str">
        <f t="shared" si="30"/>
        <v>B</v>
      </c>
      <c r="G335" s="2">
        <v>4</v>
      </c>
      <c r="H335" s="2" t="str">
        <f t="shared" si="31"/>
        <v>A</v>
      </c>
      <c r="I335" s="2">
        <v>5</v>
      </c>
      <c r="J335" s="2">
        <f t="shared" si="32"/>
        <v>-1</v>
      </c>
      <c r="K335" s="2" t="str">
        <f t="shared" si="33"/>
        <v>B</v>
      </c>
      <c r="L335" s="2" t="str">
        <f t="shared" si="34"/>
        <v>A</v>
      </c>
      <c r="M335" s="2" t="s">
        <v>34</v>
      </c>
      <c r="N335" s="2">
        <f t="shared" si="35"/>
        <v>1</v>
      </c>
      <c r="O335" s="2" t="s">
        <v>37</v>
      </c>
      <c r="P335" s="2">
        <v>139</v>
      </c>
    </row>
    <row r="336" ht="23" customHeight="1" spans="1:16">
      <c r="A336" s="6" t="s">
        <v>294</v>
      </c>
      <c r="B336" s="2" t="s">
        <v>15</v>
      </c>
      <c r="C336" s="2" t="s">
        <v>17</v>
      </c>
      <c r="D336" s="2">
        <v>3</v>
      </c>
      <c r="E336" s="6" t="s">
        <v>500</v>
      </c>
      <c r="F336" s="2" t="str">
        <f t="shared" si="30"/>
        <v>A</v>
      </c>
      <c r="G336" s="2">
        <v>5</v>
      </c>
      <c r="H336" s="2" t="str">
        <f t="shared" si="31"/>
        <v>B</v>
      </c>
      <c r="I336" s="2">
        <v>3</v>
      </c>
      <c r="J336" s="2">
        <f t="shared" si="32"/>
        <v>2</v>
      </c>
      <c r="K336" s="2" t="str">
        <f t="shared" si="33"/>
        <v>A</v>
      </c>
      <c r="L336" s="2" t="str">
        <f t="shared" si="34"/>
        <v>A</v>
      </c>
      <c r="M336" s="2" t="s">
        <v>34</v>
      </c>
      <c r="N336" s="2">
        <f t="shared" si="35"/>
        <v>1</v>
      </c>
      <c r="O336" s="2" t="s">
        <v>34</v>
      </c>
      <c r="P336" s="2">
        <v>130</v>
      </c>
    </row>
    <row r="337" ht="23" customHeight="1" spans="1:16">
      <c r="A337" s="6" t="s">
        <v>294</v>
      </c>
      <c r="B337" s="2" t="s">
        <v>15</v>
      </c>
      <c r="C337" s="2" t="s">
        <v>47</v>
      </c>
      <c r="D337" s="2">
        <v>3</v>
      </c>
      <c r="E337" s="6" t="s">
        <v>500</v>
      </c>
      <c r="F337" s="2" t="str">
        <f t="shared" si="30"/>
        <v>B</v>
      </c>
      <c r="G337" s="2">
        <v>4</v>
      </c>
      <c r="H337" s="2" t="str">
        <f t="shared" si="31"/>
        <v>A</v>
      </c>
      <c r="I337" s="2">
        <v>5</v>
      </c>
      <c r="J337" s="2">
        <f t="shared" si="32"/>
        <v>-1</v>
      </c>
      <c r="K337" s="2" t="str">
        <f t="shared" si="33"/>
        <v>B</v>
      </c>
      <c r="L337" s="2" t="str">
        <f t="shared" si="34"/>
        <v>A</v>
      </c>
      <c r="M337" s="2" t="s">
        <v>34</v>
      </c>
      <c r="N337" s="2">
        <f t="shared" si="35"/>
        <v>1</v>
      </c>
      <c r="O337" s="2" t="s">
        <v>37</v>
      </c>
      <c r="P337" s="2">
        <v>139</v>
      </c>
    </row>
    <row r="338" ht="23" customHeight="1" spans="1:16">
      <c r="A338" s="6" t="s">
        <v>294</v>
      </c>
      <c r="B338" s="2" t="s">
        <v>15</v>
      </c>
      <c r="C338" s="2" t="s">
        <v>17</v>
      </c>
      <c r="D338" s="2">
        <v>4</v>
      </c>
      <c r="E338" s="6" t="s">
        <v>501</v>
      </c>
      <c r="F338" s="2" t="str">
        <f t="shared" si="30"/>
        <v>A</v>
      </c>
      <c r="G338" s="2">
        <v>5</v>
      </c>
      <c r="H338" s="2" t="str">
        <f t="shared" si="31"/>
        <v>B</v>
      </c>
      <c r="I338" s="2">
        <v>3</v>
      </c>
      <c r="J338" s="2">
        <f t="shared" si="32"/>
        <v>2</v>
      </c>
      <c r="K338" s="2" t="str">
        <f t="shared" si="33"/>
        <v>A</v>
      </c>
      <c r="L338" s="2" t="str">
        <f t="shared" si="34"/>
        <v>A</v>
      </c>
      <c r="M338" s="2" t="s">
        <v>34</v>
      </c>
      <c r="N338" s="2">
        <f t="shared" si="35"/>
        <v>1</v>
      </c>
      <c r="O338" s="2" t="s">
        <v>34</v>
      </c>
      <c r="P338" s="2">
        <v>130</v>
      </c>
    </row>
    <row r="339" ht="23" customHeight="1" spans="1:16">
      <c r="A339" s="6" t="s">
        <v>294</v>
      </c>
      <c r="B339" s="2" t="s">
        <v>15</v>
      </c>
      <c r="C339" s="2" t="s">
        <v>47</v>
      </c>
      <c r="D339" s="2">
        <v>4</v>
      </c>
      <c r="E339" s="6" t="s">
        <v>501</v>
      </c>
      <c r="F339" s="2" t="str">
        <f t="shared" si="30"/>
        <v>B</v>
      </c>
      <c r="G339" s="2">
        <v>3</v>
      </c>
      <c r="H339" s="2" t="str">
        <f t="shared" si="31"/>
        <v>A</v>
      </c>
      <c r="I339" s="2">
        <v>5</v>
      </c>
      <c r="J339" s="2">
        <f t="shared" si="32"/>
        <v>-2</v>
      </c>
      <c r="K339" s="2" t="str">
        <f t="shared" si="33"/>
        <v>B</v>
      </c>
      <c r="L339" s="2" t="str">
        <f t="shared" si="34"/>
        <v>A</v>
      </c>
      <c r="M339" s="2" t="s">
        <v>34</v>
      </c>
      <c r="N339" s="2">
        <f t="shared" si="35"/>
        <v>1</v>
      </c>
      <c r="O339" s="2" t="s">
        <v>37</v>
      </c>
      <c r="P339" s="2">
        <v>139</v>
      </c>
    </row>
    <row r="340" ht="23" customHeight="1" spans="1:16">
      <c r="A340" s="6" t="s">
        <v>294</v>
      </c>
      <c r="B340" s="2" t="s">
        <v>15</v>
      </c>
      <c r="C340" s="2" t="s">
        <v>17</v>
      </c>
      <c r="D340" s="2">
        <v>5</v>
      </c>
      <c r="E340" s="6" t="s">
        <v>502</v>
      </c>
      <c r="F340" s="2" t="str">
        <f t="shared" si="30"/>
        <v>A</v>
      </c>
      <c r="G340" s="2">
        <v>5</v>
      </c>
      <c r="H340" s="2" t="str">
        <f t="shared" si="31"/>
        <v>B</v>
      </c>
      <c r="I340" s="2">
        <v>4</v>
      </c>
      <c r="J340" s="2">
        <f t="shared" si="32"/>
        <v>1</v>
      </c>
      <c r="K340" s="2" t="str">
        <f t="shared" si="33"/>
        <v>A</v>
      </c>
      <c r="L340" s="2" t="str">
        <f t="shared" si="34"/>
        <v>A</v>
      </c>
      <c r="M340" s="2" t="s">
        <v>34</v>
      </c>
      <c r="N340" s="2">
        <f t="shared" si="35"/>
        <v>1</v>
      </c>
      <c r="O340" s="2" t="s">
        <v>34</v>
      </c>
      <c r="P340" s="2">
        <v>130</v>
      </c>
    </row>
    <row r="341" ht="23" customHeight="1" spans="1:16">
      <c r="A341" s="6" t="s">
        <v>294</v>
      </c>
      <c r="B341" s="2" t="s">
        <v>15</v>
      </c>
      <c r="C341" s="2" t="s">
        <v>47</v>
      </c>
      <c r="D341" s="2">
        <v>5</v>
      </c>
      <c r="E341" s="6" t="s">
        <v>502</v>
      </c>
      <c r="F341" s="2" t="str">
        <f t="shared" si="30"/>
        <v>B</v>
      </c>
      <c r="G341" s="2">
        <v>4</v>
      </c>
      <c r="H341" s="2" t="str">
        <f t="shared" si="31"/>
        <v>A</v>
      </c>
      <c r="I341" s="2">
        <v>5</v>
      </c>
      <c r="J341" s="2">
        <f t="shared" si="32"/>
        <v>-1</v>
      </c>
      <c r="K341" s="2" t="str">
        <f t="shared" si="33"/>
        <v>B</v>
      </c>
      <c r="L341" s="2" t="str">
        <f t="shared" si="34"/>
        <v>A</v>
      </c>
      <c r="M341" s="2" t="s">
        <v>34</v>
      </c>
      <c r="N341" s="2">
        <f t="shared" si="35"/>
        <v>1</v>
      </c>
      <c r="O341" s="2" t="s">
        <v>37</v>
      </c>
      <c r="P341" s="2">
        <v>139</v>
      </c>
    </row>
    <row r="342" ht="23" customHeight="1" spans="1:16">
      <c r="A342" s="6" t="s">
        <v>294</v>
      </c>
      <c r="B342" s="2" t="s">
        <v>30</v>
      </c>
      <c r="C342" s="2" t="s">
        <v>17</v>
      </c>
      <c r="D342" s="2">
        <v>1</v>
      </c>
      <c r="E342" s="6" t="s">
        <v>498</v>
      </c>
      <c r="F342" s="2" t="str">
        <f t="shared" si="30"/>
        <v>A</v>
      </c>
      <c r="G342" s="2">
        <v>5</v>
      </c>
      <c r="H342" s="2" t="str">
        <f t="shared" si="31"/>
        <v>C</v>
      </c>
      <c r="I342" s="2">
        <v>5</v>
      </c>
      <c r="J342" s="2">
        <f t="shared" si="32"/>
        <v>0</v>
      </c>
      <c r="K342" s="2" t="str">
        <f t="shared" si="33"/>
        <v>C</v>
      </c>
      <c r="L342" s="2" t="str">
        <f t="shared" si="34"/>
        <v>D(平局)</v>
      </c>
      <c r="M342" s="2" t="s">
        <v>23</v>
      </c>
      <c r="N342" s="2">
        <f t="shared" si="35"/>
        <v>1</v>
      </c>
      <c r="O342" s="2" t="s">
        <v>34</v>
      </c>
      <c r="P342" s="2">
        <v>133</v>
      </c>
    </row>
    <row r="343" ht="23" customHeight="1" spans="1:16">
      <c r="A343" s="6" t="s">
        <v>294</v>
      </c>
      <c r="B343" s="2" t="s">
        <v>30</v>
      </c>
      <c r="C343" s="2" t="s">
        <v>47</v>
      </c>
      <c r="D343" s="2">
        <v>1</v>
      </c>
      <c r="E343" s="6" t="s">
        <v>498</v>
      </c>
      <c r="F343" s="2" t="str">
        <f t="shared" si="30"/>
        <v>C</v>
      </c>
      <c r="G343" s="2">
        <v>5</v>
      </c>
      <c r="H343" s="2" t="str">
        <f t="shared" si="31"/>
        <v>A</v>
      </c>
      <c r="I343" s="2">
        <v>5</v>
      </c>
      <c r="J343" s="2">
        <f t="shared" si="32"/>
        <v>0</v>
      </c>
      <c r="K343" s="2" t="str">
        <f t="shared" si="33"/>
        <v>C</v>
      </c>
      <c r="L343" s="2" t="str">
        <f t="shared" si="34"/>
        <v>D(平局)</v>
      </c>
      <c r="M343" s="2" t="s">
        <v>23</v>
      </c>
      <c r="N343" s="2">
        <f t="shared" si="35"/>
        <v>1</v>
      </c>
      <c r="O343" s="2" t="s">
        <v>22</v>
      </c>
      <c r="P343" s="2">
        <v>142</v>
      </c>
    </row>
    <row r="344" ht="23" customHeight="1" spans="1:16">
      <c r="A344" s="6" t="s">
        <v>294</v>
      </c>
      <c r="B344" s="2" t="s">
        <v>30</v>
      </c>
      <c r="C344" s="2" t="s">
        <v>17</v>
      </c>
      <c r="D344" s="2">
        <v>2</v>
      </c>
      <c r="E344" s="6" t="s">
        <v>499</v>
      </c>
      <c r="F344" s="2" t="str">
        <f t="shared" si="30"/>
        <v>A</v>
      </c>
      <c r="G344" s="2">
        <v>5</v>
      </c>
      <c r="H344" s="2" t="str">
        <f t="shared" si="31"/>
        <v>C</v>
      </c>
      <c r="I344" s="2">
        <v>4</v>
      </c>
      <c r="J344" s="2">
        <f t="shared" si="32"/>
        <v>1</v>
      </c>
      <c r="K344" s="2" t="str">
        <f t="shared" si="33"/>
        <v>A</v>
      </c>
      <c r="L344" s="2" t="str">
        <f t="shared" si="34"/>
        <v>A</v>
      </c>
      <c r="M344" s="2" t="s">
        <v>23</v>
      </c>
      <c r="N344" s="2">
        <f t="shared" si="35"/>
        <v>0</v>
      </c>
      <c r="O344" s="2" t="s">
        <v>34</v>
      </c>
      <c r="P344" s="2">
        <v>133</v>
      </c>
    </row>
    <row r="345" ht="23" customHeight="1" spans="1:16">
      <c r="A345" s="6" t="s">
        <v>294</v>
      </c>
      <c r="B345" s="2" t="s">
        <v>30</v>
      </c>
      <c r="C345" s="2" t="s">
        <v>47</v>
      </c>
      <c r="D345" s="2">
        <v>2</v>
      </c>
      <c r="E345" s="6" t="s">
        <v>499</v>
      </c>
      <c r="F345" s="2" t="str">
        <f t="shared" si="30"/>
        <v>C</v>
      </c>
      <c r="G345" s="2">
        <v>4</v>
      </c>
      <c r="H345" s="2" t="str">
        <f t="shared" si="31"/>
        <v>A</v>
      </c>
      <c r="I345" s="2">
        <v>5</v>
      </c>
      <c r="J345" s="2">
        <f t="shared" si="32"/>
        <v>-1</v>
      </c>
      <c r="K345" s="2" t="str">
        <f t="shared" si="33"/>
        <v>B</v>
      </c>
      <c r="L345" s="2" t="str">
        <f t="shared" si="34"/>
        <v>A</v>
      </c>
      <c r="M345" s="2" t="s">
        <v>23</v>
      </c>
      <c r="N345" s="2">
        <f t="shared" si="35"/>
        <v>0</v>
      </c>
      <c r="O345" s="2" t="s">
        <v>22</v>
      </c>
      <c r="P345" s="2">
        <v>142</v>
      </c>
    </row>
    <row r="346" ht="23" customHeight="1" spans="1:16">
      <c r="A346" s="6" t="s">
        <v>294</v>
      </c>
      <c r="B346" s="2" t="s">
        <v>30</v>
      </c>
      <c r="C346" s="2" t="s">
        <v>17</v>
      </c>
      <c r="D346" s="2">
        <v>3</v>
      </c>
      <c r="E346" s="6" t="s">
        <v>500</v>
      </c>
      <c r="F346" s="2" t="str">
        <f t="shared" si="30"/>
        <v>A</v>
      </c>
      <c r="G346" s="2">
        <v>5</v>
      </c>
      <c r="H346" s="2" t="str">
        <f t="shared" si="31"/>
        <v>C</v>
      </c>
      <c r="I346" s="2">
        <v>4</v>
      </c>
      <c r="J346" s="2">
        <f t="shared" si="32"/>
        <v>1</v>
      </c>
      <c r="K346" s="2" t="str">
        <f t="shared" si="33"/>
        <v>A</v>
      </c>
      <c r="L346" s="2" t="str">
        <f t="shared" si="34"/>
        <v>A</v>
      </c>
      <c r="M346" s="2" t="s">
        <v>23</v>
      </c>
      <c r="N346" s="2">
        <f t="shared" si="35"/>
        <v>0</v>
      </c>
      <c r="O346" s="2" t="s">
        <v>34</v>
      </c>
      <c r="P346" s="2">
        <v>133</v>
      </c>
    </row>
    <row r="347" ht="23" customHeight="1" spans="1:16">
      <c r="A347" s="6" t="s">
        <v>294</v>
      </c>
      <c r="B347" s="2" t="s">
        <v>30</v>
      </c>
      <c r="C347" s="2" t="s">
        <v>47</v>
      </c>
      <c r="D347" s="2">
        <v>3</v>
      </c>
      <c r="E347" s="6" t="s">
        <v>500</v>
      </c>
      <c r="F347" s="2" t="str">
        <f t="shared" si="30"/>
        <v>C</v>
      </c>
      <c r="G347" s="2">
        <v>5</v>
      </c>
      <c r="H347" s="2" t="str">
        <f t="shared" si="31"/>
        <v>A</v>
      </c>
      <c r="I347" s="2">
        <v>4</v>
      </c>
      <c r="J347" s="2">
        <f t="shared" si="32"/>
        <v>1</v>
      </c>
      <c r="K347" s="2" t="str">
        <f t="shared" si="33"/>
        <v>A</v>
      </c>
      <c r="L347" s="2" t="str">
        <f t="shared" si="34"/>
        <v>C</v>
      </c>
      <c r="M347" s="2" t="s">
        <v>23</v>
      </c>
      <c r="N347" s="2">
        <f t="shared" si="35"/>
        <v>0</v>
      </c>
      <c r="O347" s="2" t="s">
        <v>22</v>
      </c>
      <c r="P347" s="2">
        <v>142</v>
      </c>
    </row>
    <row r="348" ht="23" customHeight="1" spans="1:16">
      <c r="A348" s="6" t="s">
        <v>294</v>
      </c>
      <c r="B348" s="2" t="s">
        <v>30</v>
      </c>
      <c r="C348" s="2" t="s">
        <v>17</v>
      </c>
      <c r="D348" s="2">
        <v>4</v>
      </c>
      <c r="E348" s="6" t="s">
        <v>501</v>
      </c>
      <c r="F348" s="2" t="str">
        <f t="shared" si="30"/>
        <v>A</v>
      </c>
      <c r="G348" s="2">
        <v>5</v>
      </c>
      <c r="H348" s="2" t="str">
        <f t="shared" si="31"/>
        <v>C</v>
      </c>
      <c r="I348" s="2">
        <v>5</v>
      </c>
      <c r="J348" s="2">
        <f t="shared" si="32"/>
        <v>0</v>
      </c>
      <c r="K348" s="2" t="str">
        <f t="shared" si="33"/>
        <v>C</v>
      </c>
      <c r="L348" s="2" t="str">
        <f t="shared" si="34"/>
        <v>D(平局)</v>
      </c>
      <c r="M348" s="2" t="s">
        <v>23</v>
      </c>
      <c r="N348" s="2">
        <f t="shared" si="35"/>
        <v>1</v>
      </c>
      <c r="O348" s="2" t="s">
        <v>34</v>
      </c>
      <c r="P348" s="2">
        <v>133</v>
      </c>
    </row>
    <row r="349" ht="23" customHeight="1" spans="1:16">
      <c r="A349" s="6" t="s">
        <v>294</v>
      </c>
      <c r="B349" s="2" t="s">
        <v>30</v>
      </c>
      <c r="C349" s="2" t="s">
        <v>47</v>
      </c>
      <c r="D349" s="2">
        <v>4</v>
      </c>
      <c r="E349" s="6" t="s">
        <v>501</v>
      </c>
      <c r="F349" s="2" t="str">
        <f t="shared" si="30"/>
        <v>C</v>
      </c>
      <c r="G349" s="2">
        <v>5</v>
      </c>
      <c r="H349" s="2" t="str">
        <f t="shared" si="31"/>
        <v>A</v>
      </c>
      <c r="I349" s="2">
        <v>5</v>
      </c>
      <c r="J349" s="2">
        <f t="shared" si="32"/>
        <v>0</v>
      </c>
      <c r="K349" s="2" t="str">
        <f t="shared" si="33"/>
        <v>C</v>
      </c>
      <c r="L349" s="2" t="str">
        <f t="shared" si="34"/>
        <v>D(平局)</v>
      </c>
      <c r="M349" s="2" t="s">
        <v>23</v>
      </c>
      <c r="N349" s="2">
        <f t="shared" si="35"/>
        <v>1</v>
      </c>
      <c r="O349" s="2" t="s">
        <v>22</v>
      </c>
      <c r="P349" s="2">
        <v>142</v>
      </c>
    </row>
    <row r="350" ht="23" customHeight="1" spans="1:16">
      <c r="A350" s="6" t="s">
        <v>294</v>
      </c>
      <c r="B350" s="2" t="s">
        <v>30</v>
      </c>
      <c r="C350" s="2" t="s">
        <v>17</v>
      </c>
      <c r="D350" s="2">
        <v>5</v>
      </c>
      <c r="E350" s="6" t="s">
        <v>502</v>
      </c>
      <c r="F350" s="2" t="str">
        <f t="shared" si="30"/>
        <v>A</v>
      </c>
      <c r="G350" s="2">
        <v>5</v>
      </c>
      <c r="H350" s="2" t="str">
        <f t="shared" si="31"/>
        <v>C</v>
      </c>
      <c r="I350" s="2">
        <v>5</v>
      </c>
      <c r="J350" s="2">
        <f t="shared" si="32"/>
        <v>0</v>
      </c>
      <c r="K350" s="2" t="str">
        <f t="shared" si="33"/>
        <v>C</v>
      </c>
      <c r="L350" s="2" t="str">
        <f t="shared" si="34"/>
        <v>D(平局)</v>
      </c>
      <c r="M350" s="2" t="s">
        <v>23</v>
      </c>
      <c r="N350" s="2">
        <f t="shared" si="35"/>
        <v>1</v>
      </c>
      <c r="O350" s="2" t="s">
        <v>34</v>
      </c>
      <c r="P350" s="2">
        <v>133</v>
      </c>
    </row>
    <row r="351" ht="23" customHeight="1" spans="1:16">
      <c r="A351" s="6" t="s">
        <v>294</v>
      </c>
      <c r="B351" s="2" t="s">
        <v>30</v>
      </c>
      <c r="C351" s="2" t="s">
        <v>47</v>
      </c>
      <c r="D351" s="2">
        <v>5</v>
      </c>
      <c r="E351" s="6" t="s">
        <v>502</v>
      </c>
      <c r="F351" s="2" t="str">
        <f t="shared" si="30"/>
        <v>C</v>
      </c>
      <c r="G351" s="2">
        <v>5</v>
      </c>
      <c r="H351" s="2" t="str">
        <f t="shared" si="31"/>
        <v>A</v>
      </c>
      <c r="I351" s="2">
        <v>5</v>
      </c>
      <c r="J351" s="2">
        <f t="shared" si="32"/>
        <v>0</v>
      </c>
      <c r="K351" s="2" t="str">
        <f t="shared" si="33"/>
        <v>C</v>
      </c>
      <c r="L351" s="2" t="str">
        <f t="shared" si="34"/>
        <v>D(平局)</v>
      </c>
      <c r="M351" s="2" t="s">
        <v>23</v>
      </c>
      <c r="N351" s="2">
        <f t="shared" si="35"/>
        <v>1</v>
      </c>
      <c r="O351" s="2" t="s">
        <v>22</v>
      </c>
      <c r="P351" s="2">
        <v>142</v>
      </c>
    </row>
    <row r="352" ht="23" customHeight="1" spans="1:16">
      <c r="A352" s="6" t="s">
        <v>294</v>
      </c>
      <c r="B352" s="2" t="s">
        <v>40</v>
      </c>
      <c r="C352" s="2" t="s">
        <v>17</v>
      </c>
      <c r="D352" s="2">
        <v>1</v>
      </c>
      <c r="E352" s="6" t="s">
        <v>498</v>
      </c>
      <c r="F352" s="2" t="str">
        <f t="shared" si="30"/>
        <v>B</v>
      </c>
      <c r="G352" s="2">
        <v>4</v>
      </c>
      <c r="H352" s="2" t="str">
        <f t="shared" si="31"/>
        <v>C</v>
      </c>
      <c r="I352" s="2">
        <v>5</v>
      </c>
      <c r="J352" s="2">
        <f t="shared" si="32"/>
        <v>-1</v>
      </c>
      <c r="K352" s="2" t="str">
        <f t="shared" si="33"/>
        <v>B</v>
      </c>
      <c r="L352" s="2" t="str">
        <f t="shared" si="34"/>
        <v>C</v>
      </c>
      <c r="M352" s="2" t="s">
        <v>22</v>
      </c>
      <c r="N352" s="2">
        <f t="shared" si="35"/>
        <v>1</v>
      </c>
      <c r="O352" s="2" t="s">
        <v>37</v>
      </c>
      <c r="P352" s="2">
        <v>136</v>
      </c>
    </row>
    <row r="353" ht="23" customHeight="1" spans="1:16">
      <c r="A353" s="6" t="s">
        <v>294</v>
      </c>
      <c r="B353" s="2" t="s">
        <v>40</v>
      </c>
      <c r="C353" s="2" t="s">
        <v>47</v>
      </c>
      <c r="D353" s="2">
        <v>1</v>
      </c>
      <c r="E353" s="6" t="s">
        <v>498</v>
      </c>
      <c r="F353" s="2" t="str">
        <f t="shared" si="30"/>
        <v>C</v>
      </c>
      <c r="G353" s="2">
        <v>5</v>
      </c>
      <c r="H353" s="2" t="str">
        <f t="shared" si="31"/>
        <v>B</v>
      </c>
      <c r="I353" s="2">
        <v>3</v>
      </c>
      <c r="J353" s="2">
        <f t="shared" si="32"/>
        <v>2</v>
      </c>
      <c r="K353" s="2" t="str">
        <f t="shared" si="33"/>
        <v>A</v>
      </c>
      <c r="L353" s="2" t="str">
        <f t="shared" si="34"/>
        <v>C</v>
      </c>
      <c r="M353" s="2" t="s">
        <v>22</v>
      </c>
      <c r="N353" s="2">
        <f t="shared" si="35"/>
        <v>1</v>
      </c>
      <c r="O353" s="2" t="s">
        <v>34</v>
      </c>
      <c r="P353" s="2">
        <v>145</v>
      </c>
    </row>
    <row r="354" ht="23" customHeight="1" spans="1:16">
      <c r="A354" s="6" t="s">
        <v>294</v>
      </c>
      <c r="B354" s="2" t="s">
        <v>40</v>
      </c>
      <c r="C354" s="2" t="s">
        <v>17</v>
      </c>
      <c r="D354" s="2">
        <v>2</v>
      </c>
      <c r="E354" s="6" t="s">
        <v>499</v>
      </c>
      <c r="F354" s="2" t="str">
        <f t="shared" si="30"/>
        <v>B</v>
      </c>
      <c r="G354" s="2">
        <v>4</v>
      </c>
      <c r="H354" s="2" t="str">
        <f t="shared" si="31"/>
        <v>C</v>
      </c>
      <c r="I354" s="2">
        <v>5</v>
      </c>
      <c r="J354" s="2">
        <f t="shared" si="32"/>
        <v>-1</v>
      </c>
      <c r="K354" s="2" t="str">
        <f t="shared" si="33"/>
        <v>B</v>
      </c>
      <c r="L354" s="2" t="str">
        <f t="shared" si="34"/>
        <v>C</v>
      </c>
      <c r="M354" s="2" t="s">
        <v>22</v>
      </c>
      <c r="N354" s="2">
        <f t="shared" si="35"/>
        <v>1</v>
      </c>
      <c r="O354" s="2" t="s">
        <v>37</v>
      </c>
      <c r="P354" s="2">
        <v>136</v>
      </c>
    </row>
    <row r="355" ht="23" customHeight="1" spans="1:16">
      <c r="A355" s="6" t="s">
        <v>294</v>
      </c>
      <c r="B355" s="2" t="s">
        <v>40</v>
      </c>
      <c r="C355" s="2" t="s">
        <v>47</v>
      </c>
      <c r="D355" s="2">
        <v>2</v>
      </c>
      <c r="E355" s="6" t="s">
        <v>499</v>
      </c>
      <c r="F355" s="2" t="str">
        <f t="shared" si="30"/>
        <v>C</v>
      </c>
      <c r="G355" s="2">
        <v>4</v>
      </c>
      <c r="H355" s="2" t="str">
        <f t="shared" si="31"/>
        <v>B</v>
      </c>
      <c r="I355" s="2">
        <v>2</v>
      </c>
      <c r="J355" s="2">
        <f t="shared" si="32"/>
        <v>2</v>
      </c>
      <c r="K355" s="2" t="str">
        <f t="shared" si="33"/>
        <v>A</v>
      </c>
      <c r="L355" s="2" t="str">
        <f t="shared" si="34"/>
        <v>C</v>
      </c>
      <c r="M355" s="2" t="s">
        <v>22</v>
      </c>
      <c r="N355" s="2">
        <f t="shared" si="35"/>
        <v>1</v>
      </c>
      <c r="O355" s="2" t="s">
        <v>34</v>
      </c>
      <c r="P355" s="2">
        <v>145</v>
      </c>
    </row>
    <row r="356" ht="23" customHeight="1" spans="1:16">
      <c r="A356" s="6" t="s">
        <v>294</v>
      </c>
      <c r="B356" s="2" t="s">
        <v>40</v>
      </c>
      <c r="C356" s="2" t="s">
        <v>17</v>
      </c>
      <c r="D356" s="2">
        <v>3</v>
      </c>
      <c r="E356" s="6" t="s">
        <v>500</v>
      </c>
      <c r="F356" s="2" t="str">
        <f t="shared" si="30"/>
        <v>B</v>
      </c>
      <c r="G356" s="2">
        <v>4</v>
      </c>
      <c r="H356" s="2" t="str">
        <f t="shared" si="31"/>
        <v>C</v>
      </c>
      <c r="I356" s="2">
        <v>5</v>
      </c>
      <c r="J356" s="2">
        <f t="shared" si="32"/>
        <v>-1</v>
      </c>
      <c r="K356" s="2" t="str">
        <f t="shared" si="33"/>
        <v>B</v>
      </c>
      <c r="L356" s="2" t="str">
        <f t="shared" si="34"/>
        <v>C</v>
      </c>
      <c r="M356" s="2" t="s">
        <v>22</v>
      </c>
      <c r="N356" s="2">
        <f t="shared" si="35"/>
        <v>1</v>
      </c>
      <c r="O356" s="2" t="s">
        <v>37</v>
      </c>
      <c r="P356" s="2">
        <v>136</v>
      </c>
    </row>
    <row r="357" ht="23" customHeight="1" spans="1:16">
      <c r="A357" s="6" t="s">
        <v>294</v>
      </c>
      <c r="B357" s="2" t="s">
        <v>40</v>
      </c>
      <c r="C357" s="2" t="s">
        <v>47</v>
      </c>
      <c r="D357" s="2">
        <v>3</v>
      </c>
      <c r="E357" s="6" t="s">
        <v>500</v>
      </c>
      <c r="F357" s="2" t="str">
        <f t="shared" si="30"/>
        <v>C</v>
      </c>
      <c r="G357" s="2">
        <v>5</v>
      </c>
      <c r="H357" s="2" t="str">
        <f t="shared" si="31"/>
        <v>B</v>
      </c>
      <c r="I357" s="2">
        <v>4</v>
      </c>
      <c r="J357" s="2">
        <f t="shared" si="32"/>
        <v>1</v>
      </c>
      <c r="K357" s="2" t="str">
        <f t="shared" si="33"/>
        <v>A</v>
      </c>
      <c r="L357" s="2" t="str">
        <f t="shared" si="34"/>
        <v>C</v>
      </c>
      <c r="M357" s="2" t="s">
        <v>22</v>
      </c>
      <c r="N357" s="2">
        <f t="shared" si="35"/>
        <v>1</v>
      </c>
      <c r="O357" s="2" t="s">
        <v>34</v>
      </c>
      <c r="P357" s="2">
        <v>145</v>
      </c>
    </row>
    <row r="358" ht="23" customHeight="1" spans="1:16">
      <c r="A358" s="6" t="s">
        <v>294</v>
      </c>
      <c r="B358" s="2" t="s">
        <v>40</v>
      </c>
      <c r="C358" s="2" t="s">
        <v>17</v>
      </c>
      <c r="D358" s="2">
        <v>4</v>
      </c>
      <c r="E358" s="6" t="s">
        <v>501</v>
      </c>
      <c r="F358" s="2" t="str">
        <f t="shared" si="30"/>
        <v>B</v>
      </c>
      <c r="G358" s="2">
        <v>3</v>
      </c>
      <c r="H358" s="2" t="str">
        <f t="shared" si="31"/>
        <v>C</v>
      </c>
      <c r="I358" s="2">
        <v>5</v>
      </c>
      <c r="J358" s="2">
        <f t="shared" si="32"/>
        <v>-2</v>
      </c>
      <c r="K358" s="2" t="str">
        <f t="shared" si="33"/>
        <v>B</v>
      </c>
      <c r="L358" s="2" t="str">
        <f t="shared" si="34"/>
        <v>C</v>
      </c>
      <c r="M358" s="2" t="s">
        <v>22</v>
      </c>
      <c r="N358" s="2">
        <f t="shared" si="35"/>
        <v>1</v>
      </c>
      <c r="O358" s="2" t="s">
        <v>37</v>
      </c>
      <c r="P358" s="2">
        <v>136</v>
      </c>
    </row>
    <row r="359" ht="23" customHeight="1" spans="1:16">
      <c r="A359" s="6" t="s">
        <v>294</v>
      </c>
      <c r="B359" s="2" t="s">
        <v>40</v>
      </c>
      <c r="C359" s="2" t="s">
        <v>47</v>
      </c>
      <c r="D359" s="2">
        <v>4</v>
      </c>
      <c r="E359" s="6" t="s">
        <v>501</v>
      </c>
      <c r="F359" s="2" t="str">
        <f t="shared" si="30"/>
        <v>C</v>
      </c>
      <c r="G359" s="2">
        <v>5</v>
      </c>
      <c r="H359" s="2" t="str">
        <f t="shared" si="31"/>
        <v>B</v>
      </c>
      <c r="I359" s="2">
        <v>3</v>
      </c>
      <c r="J359" s="2">
        <f t="shared" si="32"/>
        <v>2</v>
      </c>
      <c r="K359" s="2" t="str">
        <f t="shared" si="33"/>
        <v>A</v>
      </c>
      <c r="L359" s="2" t="str">
        <f t="shared" si="34"/>
        <v>C</v>
      </c>
      <c r="M359" s="2" t="s">
        <v>22</v>
      </c>
      <c r="N359" s="2">
        <f t="shared" si="35"/>
        <v>1</v>
      </c>
      <c r="O359" s="2" t="s">
        <v>34</v>
      </c>
      <c r="P359" s="2">
        <v>145</v>
      </c>
    </row>
    <row r="360" ht="23" customHeight="1" spans="1:16">
      <c r="A360" s="6" t="s">
        <v>294</v>
      </c>
      <c r="B360" s="2" t="s">
        <v>40</v>
      </c>
      <c r="C360" s="2" t="s">
        <v>17</v>
      </c>
      <c r="D360" s="2">
        <v>5</v>
      </c>
      <c r="E360" s="6" t="s">
        <v>502</v>
      </c>
      <c r="F360" s="2" t="str">
        <f t="shared" si="30"/>
        <v>B</v>
      </c>
      <c r="G360" s="2">
        <v>3</v>
      </c>
      <c r="H360" s="2" t="str">
        <f t="shared" si="31"/>
        <v>C</v>
      </c>
      <c r="I360" s="2">
        <v>5</v>
      </c>
      <c r="J360" s="2">
        <f t="shared" si="32"/>
        <v>-2</v>
      </c>
      <c r="K360" s="2" t="str">
        <f t="shared" si="33"/>
        <v>B</v>
      </c>
      <c r="L360" s="2" t="str">
        <f t="shared" si="34"/>
        <v>C</v>
      </c>
      <c r="M360" s="2" t="s">
        <v>22</v>
      </c>
      <c r="N360" s="2">
        <f t="shared" si="35"/>
        <v>1</v>
      </c>
      <c r="O360" s="2" t="s">
        <v>37</v>
      </c>
      <c r="P360" s="2">
        <v>136</v>
      </c>
    </row>
    <row r="361" ht="23" customHeight="1" spans="1:16">
      <c r="A361" s="6" t="s">
        <v>294</v>
      </c>
      <c r="B361" s="2" t="s">
        <v>40</v>
      </c>
      <c r="C361" s="2" t="s">
        <v>47</v>
      </c>
      <c r="D361" s="2">
        <v>5</v>
      </c>
      <c r="E361" s="6" t="s">
        <v>502</v>
      </c>
      <c r="F361" s="2" t="str">
        <f t="shared" si="30"/>
        <v>C</v>
      </c>
      <c r="G361" s="2">
        <v>5</v>
      </c>
      <c r="H361" s="2" t="str">
        <f t="shared" si="31"/>
        <v>B</v>
      </c>
      <c r="I361" s="2">
        <v>4</v>
      </c>
      <c r="J361" s="2">
        <f t="shared" si="32"/>
        <v>1</v>
      </c>
      <c r="K361" s="2" t="str">
        <f t="shared" si="33"/>
        <v>A</v>
      </c>
      <c r="L361" s="2" t="str">
        <f t="shared" si="34"/>
        <v>C</v>
      </c>
      <c r="M361" s="2" t="s">
        <v>22</v>
      </c>
      <c r="N361" s="2">
        <f t="shared" si="35"/>
        <v>1</v>
      </c>
      <c r="O361" s="2" t="s">
        <v>34</v>
      </c>
      <c r="P361" s="2">
        <v>145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484</v>
      </c>
      <c r="C1" s="5" t="s">
        <v>486</v>
      </c>
      <c r="D1" s="5" t="s">
        <v>487</v>
      </c>
      <c r="E1" s="5" t="s">
        <v>503</v>
      </c>
      <c r="F1" s="5" t="s">
        <v>504</v>
      </c>
      <c r="G1" s="5" t="s">
        <v>505</v>
      </c>
      <c r="H1" s="5" t="s">
        <v>506</v>
      </c>
      <c r="I1" s="5" t="s">
        <v>507</v>
      </c>
      <c r="J1" s="5" t="s">
        <v>508</v>
      </c>
      <c r="K1" s="5" t="s">
        <v>509</v>
      </c>
      <c r="L1" s="5" t="s">
        <v>510</v>
      </c>
      <c r="M1" s="5" t="s">
        <v>511</v>
      </c>
      <c r="N1" s="5" t="s">
        <v>512</v>
      </c>
      <c r="O1" s="5" t="s">
        <v>513</v>
      </c>
      <c r="P1" s="5" t="s">
        <v>514</v>
      </c>
      <c r="Q1" s="5" t="s">
        <v>494</v>
      </c>
      <c r="R1" s="5" t="s">
        <v>495</v>
      </c>
      <c r="S1" s="5" t="s">
        <v>515</v>
      </c>
      <c r="T1" s="5" t="s">
        <v>516</v>
      </c>
      <c r="U1" s="5" t="s">
        <v>517</v>
      </c>
    </row>
    <row r="2" ht="23" customHeight="1" spans="1:21">
      <c r="A2" s="6" t="s">
        <v>446</v>
      </c>
      <c r="B2" s="2" t="s">
        <v>15</v>
      </c>
      <c r="C2" s="2">
        <v>1</v>
      </c>
      <c r="D2" s="6" t="s">
        <v>498</v>
      </c>
      <c r="E2" s="2" t="str">
        <f>five子指标方向明细!F2</f>
        <v>A</v>
      </c>
      <c r="F2" s="2">
        <f>five子指标方向明细!G2</f>
        <v>5</v>
      </c>
      <c r="G2" s="2" t="str">
        <f>five子指标方向明细!H2</f>
        <v>B</v>
      </c>
      <c r="H2" s="2">
        <f>five子指标方向明细!I2</f>
        <v>5</v>
      </c>
      <c r="I2" s="2" t="str">
        <f>five子指标方向明细!L2</f>
        <v>D(平局)</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0</v>
      </c>
      <c r="P2" s="2" t="str">
        <f t="shared" ref="P2:P65" si="1">IF(I2=N2,I2,"D(平局)")</f>
        <v>D(平局)</v>
      </c>
      <c r="Q2" s="2" t="s">
        <v>34</v>
      </c>
      <c r="R2" s="2">
        <f t="shared" ref="R2:R65" si="2">--(P2=Q2)</f>
        <v>0</v>
      </c>
      <c r="S2" s="2">
        <v>2</v>
      </c>
      <c r="T2" s="2">
        <v>3</v>
      </c>
      <c r="U2" s="2" t="str">
        <f t="shared" ref="U2:U65" si="3">IF(P2&lt;&gt;"D(平局)","",IF(O2=0,"方向冲突","双向评分平局"))</f>
        <v>方向冲突</v>
      </c>
    </row>
    <row r="3" ht="23" customHeight="1" spans="1:21">
      <c r="A3" s="6" t="s">
        <v>446</v>
      </c>
      <c r="B3" s="2" t="s">
        <v>15</v>
      </c>
      <c r="C3" s="2">
        <v>2</v>
      </c>
      <c r="D3" s="6" t="s">
        <v>499</v>
      </c>
      <c r="E3" s="2" t="str">
        <f>five子指标方向明细!F4</f>
        <v>A</v>
      </c>
      <c r="F3" s="2">
        <f>five子指标方向明细!G4</f>
        <v>4</v>
      </c>
      <c r="G3" s="2" t="str">
        <f>five子指标方向明细!H4</f>
        <v>B</v>
      </c>
      <c r="H3" s="2">
        <f>five子指标方向明细!I4</f>
        <v>3</v>
      </c>
      <c r="I3" s="2" t="str">
        <f>five子指标方向明细!L4</f>
        <v>A</v>
      </c>
      <c r="J3" s="2" t="str">
        <f>five子指标方向明细!F5</f>
        <v>B</v>
      </c>
      <c r="K3" s="2">
        <f>five子指标方向明细!G5</f>
        <v>4</v>
      </c>
      <c r="L3" s="2" t="str">
        <f>five子指标方向明细!H5</f>
        <v>A</v>
      </c>
      <c r="M3" s="2">
        <f>five子指标方向明细!I5</f>
        <v>5</v>
      </c>
      <c r="N3" s="2" t="str">
        <f>five子指标方向明细!L5</f>
        <v>A</v>
      </c>
      <c r="O3" s="2">
        <f t="shared" si="0"/>
        <v>1</v>
      </c>
      <c r="P3" s="2" t="str">
        <f t="shared" si="1"/>
        <v>A</v>
      </c>
      <c r="Q3" s="2" t="s">
        <v>34</v>
      </c>
      <c r="R3" s="2">
        <f t="shared" si="2"/>
        <v>1</v>
      </c>
      <c r="S3" s="2">
        <v>4</v>
      </c>
      <c r="T3" s="2">
        <v>5</v>
      </c>
      <c r="U3" s="2" t="str">
        <f t="shared" si="3"/>
        <v/>
      </c>
    </row>
    <row r="4" ht="23" customHeight="1" spans="1:21">
      <c r="A4" s="6" t="s">
        <v>446</v>
      </c>
      <c r="B4" s="2" t="s">
        <v>15</v>
      </c>
      <c r="C4" s="2">
        <v>3</v>
      </c>
      <c r="D4" s="6" t="s">
        <v>500</v>
      </c>
      <c r="E4" s="2" t="str">
        <f>five子指标方向明细!F6</f>
        <v>A</v>
      </c>
      <c r="F4" s="2">
        <f>five子指标方向明细!G6</f>
        <v>4</v>
      </c>
      <c r="G4" s="2" t="str">
        <f>five子指标方向明细!H6</f>
        <v>B</v>
      </c>
      <c r="H4" s="2">
        <f>five子指标方向明细!I6</f>
        <v>3</v>
      </c>
      <c r="I4" s="2" t="str">
        <f>five子指标方向明细!L6</f>
        <v>A</v>
      </c>
      <c r="J4" s="2" t="str">
        <f>five子指标方向明细!F7</f>
        <v>B</v>
      </c>
      <c r="K4" s="2">
        <f>five子指标方向明细!G7</f>
        <v>3</v>
      </c>
      <c r="L4" s="2" t="str">
        <f>five子指标方向明细!H7</f>
        <v>A</v>
      </c>
      <c r="M4" s="2">
        <f>five子指标方向明细!I7</f>
        <v>5</v>
      </c>
      <c r="N4" s="2" t="str">
        <f>five子指标方向明细!L7</f>
        <v>A</v>
      </c>
      <c r="O4" s="2">
        <f t="shared" si="0"/>
        <v>1</v>
      </c>
      <c r="P4" s="2" t="str">
        <f t="shared" si="1"/>
        <v>A</v>
      </c>
      <c r="Q4" s="2" t="s">
        <v>34</v>
      </c>
      <c r="R4" s="2">
        <f t="shared" si="2"/>
        <v>1</v>
      </c>
      <c r="S4" s="2">
        <v>6</v>
      </c>
      <c r="T4" s="2">
        <v>7</v>
      </c>
      <c r="U4" s="2" t="str">
        <f t="shared" si="3"/>
        <v/>
      </c>
    </row>
    <row r="5" ht="23" customHeight="1" spans="1:21">
      <c r="A5" s="6" t="s">
        <v>446</v>
      </c>
      <c r="B5" s="2" t="s">
        <v>15</v>
      </c>
      <c r="C5" s="2">
        <v>4</v>
      </c>
      <c r="D5" s="6" t="s">
        <v>501</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34</v>
      </c>
      <c r="R5" s="2">
        <f t="shared" si="2"/>
        <v>1</v>
      </c>
      <c r="S5" s="2">
        <v>8</v>
      </c>
      <c r="T5" s="2">
        <v>9</v>
      </c>
      <c r="U5" s="2" t="str">
        <f t="shared" si="3"/>
        <v/>
      </c>
    </row>
    <row r="6" ht="23" customHeight="1" spans="1:21">
      <c r="A6" s="6" t="s">
        <v>446</v>
      </c>
      <c r="B6" s="2" t="s">
        <v>15</v>
      </c>
      <c r="C6" s="2">
        <v>5</v>
      </c>
      <c r="D6" s="6" t="s">
        <v>502</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5</v>
      </c>
      <c r="L6" s="2" t="str">
        <f>five子指标方向明细!H11</f>
        <v>A</v>
      </c>
      <c r="M6" s="2">
        <f>five子指标方向明细!I11</f>
        <v>5</v>
      </c>
      <c r="N6" s="2" t="str">
        <f>five子指标方向明细!L11</f>
        <v>D(平局)</v>
      </c>
      <c r="O6" s="2">
        <f t="shared" si="0"/>
        <v>1</v>
      </c>
      <c r="P6" s="2" t="str">
        <f t="shared" si="1"/>
        <v>D(平局)</v>
      </c>
      <c r="Q6" s="2" t="s">
        <v>34</v>
      </c>
      <c r="R6" s="2">
        <f t="shared" si="2"/>
        <v>0</v>
      </c>
      <c r="S6" s="2">
        <v>10</v>
      </c>
      <c r="T6" s="2">
        <v>11</v>
      </c>
      <c r="U6" s="2" t="str">
        <f t="shared" si="3"/>
        <v>双向评分平局</v>
      </c>
    </row>
    <row r="7" ht="23" customHeight="1" spans="1:21">
      <c r="A7" s="6" t="s">
        <v>446</v>
      </c>
      <c r="B7" s="2" t="s">
        <v>30</v>
      </c>
      <c r="C7" s="2">
        <v>1</v>
      </c>
      <c r="D7" s="6" t="s">
        <v>498</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34</v>
      </c>
      <c r="R7" s="2">
        <f t="shared" si="2"/>
        <v>1</v>
      </c>
      <c r="S7" s="2">
        <v>12</v>
      </c>
      <c r="T7" s="2">
        <v>13</v>
      </c>
      <c r="U7" s="2" t="str">
        <f t="shared" si="3"/>
        <v/>
      </c>
    </row>
    <row r="8" ht="23" customHeight="1" spans="1:21">
      <c r="A8" s="6" t="s">
        <v>446</v>
      </c>
      <c r="B8" s="2" t="s">
        <v>30</v>
      </c>
      <c r="C8" s="2">
        <v>2</v>
      </c>
      <c r="D8" s="6" t="s">
        <v>499</v>
      </c>
      <c r="E8" s="2" t="str">
        <f>five子指标方向明细!F14</f>
        <v>A</v>
      </c>
      <c r="F8" s="2">
        <f>five子指标方向明细!G14</f>
        <v>4</v>
      </c>
      <c r="G8" s="2" t="str">
        <f>five子指标方向明细!H14</f>
        <v>C</v>
      </c>
      <c r="H8" s="2">
        <f>five子指标方向明细!I14</f>
        <v>2</v>
      </c>
      <c r="I8" s="2" t="str">
        <f>five子指标方向明细!L14</f>
        <v>A</v>
      </c>
      <c r="J8" s="2" t="str">
        <f>five子指标方向明细!F15</f>
        <v>C</v>
      </c>
      <c r="K8" s="2">
        <f>five子指标方向明细!G15</f>
        <v>3</v>
      </c>
      <c r="L8" s="2" t="str">
        <f>five子指标方向明细!H15</f>
        <v>A</v>
      </c>
      <c r="M8" s="2">
        <f>five子指标方向明细!I15</f>
        <v>5</v>
      </c>
      <c r="N8" s="2" t="str">
        <f>five子指标方向明细!L15</f>
        <v>A</v>
      </c>
      <c r="O8" s="2">
        <f t="shared" si="0"/>
        <v>1</v>
      </c>
      <c r="P8" s="2" t="str">
        <f t="shared" si="1"/>
        <v>A</v>
      </c>
      <c r="Q8" s="2" t="s">
        <v>34</v>
      </c>
      <c r="R8" s="2">
        <f t="shared" si="2"/>
        <v>1</v>
      </c>
      <c r="S8" s="2">
        <v>14</v>
      </c>
      <c r="T8" s="2">
        <v>15</v>
      </c>
      <c r="U8" s="2" t="str">
        <f t="shared" si="3"/>
        <v/>
      </c>
    </row>
    <row r="9" ht="23" customHeight="1" spans="1:21">
      <c r="A9" s="6" t="s">
        <v>446</v>
      </c>
      <c r="B9" s="2" t="s">
        <v>30</v>
      </c>
      <c r="C9" s="2">
        <v>3</v>
      </c>
      <c r="D9" s="6" t="s">
        <v>500</v>
      </c>
      <c r="E9" s="2" t="str">
        <f>five子指标方向明细!F16</f>
        <v>A</v>
      </c>
      <c r="F9" s="2">
        <f>five子指标方向明细!G16</f>
        <v>5</v>
      </c>
      <c r="G9" s="2" t="str">
        <f>five子指标方向明细!H16</f>
        <v>C</v>
      </c>
      <c r="H9" s="2">
        <f>five子指标方向明细!I16</f>
        <v>2</v>
      </c>
      <c r="I9" s="2" t="str">
        <f>five子指标方向明细!L16</f>
        <v>A</v>
      </c>
      <c r="J9" s="2" t="str">
        <f>five子指标方向明细!F17</f>
        <v>C</v>
      </c>
      <c r="K9" s="2">
        <f>five子指标方向明细!G17</f>
        <v>3</v>
      </c>
      <c r="L9" s="2" t="str">
        <f>five子指标方向明细!H17</f>
        <v>A</v>
      </c>
      <c r="M9" s="2">
        <f>five子指标方向明细!I17</f>
        <v>4</v>
      </c>
      <c r="N9" s="2" t="str">
        <f>five子指标方向明细!L17</f>
        <v>A</v>
      </c>
      <c r="O9" s="2">
        <f t="shared" si="0"/>
        <v>1</v>
      </c>
      <c r="P9" s="2" t="str">
        <f t="shared" si="1"/>
        <v>A</v>
      </c>
      <c r="Q9" s="2" t="s">
        <v>34</v>
      </c>
      <c r="R9" s="2">
        <f t="shared" si="2"/>
        <v>1</v>
      </c>
      <c r="S9" s="2">
        <v>16</v>
      </c>
      <c r="T9" s="2">
        <v>17</v>
      </c>
      <c r="U9" s="2" t="str">
        <f t="shared" si="3"/>
        <v/>
      </c>
    </row>
    <row r="10" ht="23" customHeight="1" spans="1:21">
      <c r="A10" s="6" t="s">
        <v>446</v>
      </c>
      <c r="B10" s="2" t="s">
        <v>30</v>
      </c>
      <c r="C10" s="2">
        <v>4</v>
      </c>
      <c r="D10" s="6" t="s">
        <v>501</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3</v>
      </c>
      <c r="L10" s="2" t="str">
        <f>five子指标方向明细!H19</f>
        <v>A</v>
      </c>
      <c r="M10" s="2">
        <f>five子指标方向明细!I19</f>
        <v>5</v>
      </c>
      <c r="N10" s="2" t="str">
        <f>five子指标方向明细!L19</f>
        <v>A</v>
      </c>
      <c r="O10" s="2">
        <f t="shared" si="0"/>
        <v>1</v>
      </c>
      <c r="P10" s="2" t="str">
        <f t="shared" si="1"/>
        <v>A</v>
      </c>
      <c r="Q10" s="2" t="s">
        <v>34</v>
      </c>
      <c r="R10" s="2">
        <f t="shared" si="2"/>
        <v>1</v>
      </c>
      <c r="S10" s="2">
        <v>18</v>
      </c>
      <c r="T10" s="2">
        <v>19</v>
      </c>
      <c r="U10" s="2" t="str">
        <f t="shared" si="3"/>
        <v/>
      </c>
    </row>
    <row r="11" ht="23" customHeight="1" spans="1:21">
      <c r="A11" s="6" t="s">
        <v>446</v>
      </c>
      <c r="B11" s="2" t="s">
        <v>30</v>
      </c>
      <c r="C11" s="2">
        <v>5</v>
      </c>
      <c r="D11" s="6" t="s">
        <v>502</v>
      </c>
      <c r="E11" s="2" t="str">
        <f>five子指标方向明细!F20</f>
        <v>A</v>
      </c>
      <c r="F11" s="2">
        <f>five子指标方向明细!G20</f>
        <v>5</v>
      </c>
      <c r="G11" s="2" t="str">
        <f>five子指标方向明细!H20</f>
        <v>C</v>
      </c>
      <c r="H11" s="2">
        <f>five子指标方向明细!I20</f>
        <v>5</v>
      </c>
      <c r="I11" s="2" t="str">
        <f>five子指标方向明细!L20</f>
        <v>D(平局)</v>
      </c>
      <c r="J11" s="2" t="str">
        <f>five子指标方向明细!F21</f>
        <v>C</v>
      </c>
      <c r="K11" s="2">
        <f>five子指标方向明细!G21</f>
        <v>5</v>
      </c>
      <c r="L11" s="2" t="str">
        <f>five子指标方向明细!H21</f>
        <v>A</v>
      </c>
      <c r="M11" s="2">
        <f>five子指标方向明细!I21</f>
        <v>5</v>
      </c>
      <c r="N11" s="2" t="str">
        <f>five子指标方向明细!L21</f>
        <v>D(平局)</v>
      </c>
      <c r="O11" s="2">
        <f t="shared" si="0"/>
        <v>1</v>
      </c>
      <c r="P11" s="2" t="str">
        <f t="shared" si="1"/>
        <v>D(平局)</v>
      </c>
      <c r="Q11" s="2" t="s">
        <v>34</v>
      </c>
      <c r="R11" s="2">
        <f t="shared" si="2"/>
        <v>0</v>
      </c>
      <c r="S11" s="2">
        <v>20</v>
      </c>
      <c r="T11" s="2">
        <v>21</v>
      </c>
      <c r="U11" s="2" t="str">
        <f t="shared" si="3"/>
        <v>双向评分平局</v>
      </c>
    </row>
    <row r="12" ht="23" customHeight="1" spans="1:21">
      <c r="A12" s="6" t="s">
        <v>446</v>
      </c>
      <c r="B12" s="2" t="s">
        <v>40</v>
      </c>
      <c r="C12" s="2">
        <v>1</v>
      </c>
      <c r="D12" s="6" t="s">
        <v>498</v>
      </c>
      <c r="E12" s="2" t="str">
        <f>five子指标方向明细!F22</f>
        <v>B</v>
      </c>
      <c r="F12" s="2">
        <f>five子指标方向明细!G22</f>
        <v>4</v>
      </c>
      <c r="G12" s="2" t="str">
        <f>five子指标方向明细!H22</f>
        <v>C</v>
      </c>
      <c r="H12" s="2">
        <f>five子指标方向明细!I22</f>
        <v>3</v>
      </c>
      <c r="I12" s="2" t="str">
        <f>five子指标方向明细!L22</f>
        <v>B</v>
      </c>
      <c r="J12" s="2" t="str">
        <f>five子指标方向明细!F23</f>
        <v>C</v>
      </c>
      <c r="K12" s="2">
        <f>five子指标方向明细!G23</f>
        <v>4</v>
      </c>
      <c r="L12" s="2" t="str">
        <f>five子指标方向明细!H23</f>
        <v>B</v>
      </c>
      <c r="M12" s="2">
        <f>five子指标方向明细!I23</f>
        <v>5</v>
      </c>
      <c r="N12" s="2" t="str">
        <f>five子指标方向明细!L23</f>
        <v>B</v>
      </c>
      <c r="O12" s="2">
        <f t="shared" si="0"/>
        <v>1</v>
      </c>
      <c r="P12" s="2" t="str">
        <f t="shared" si="1"/>
        <v>B</v>
      </c>
      <c r="Q12" s="2" t="s">
        <v>37</v>
      </c>
      <c r="R12" s="2">
        <f t="shared" si="2"/>
        <v>1</v>
      </c>
      <c r="S12" s="2">
        <v>22</v>
      </c>
      <c r="T12" s="2">
        <v>23</v>
      </c>
      <c r="U12" s="2" t="str">
        <f t="shared" si="3"/>
        <v/>
      </c>
    </row>
    <row r="13" ht="23" customHeight="1" spans="1:21">
      <c r="A13" s="6" t="s">
        <v>446</v>
      </c>
      <c r="B13" s="2" t="s">
        <v>40</v>
      </c>
      <c r="C13" s="2">
        <v>2</v>
      </c>
      <c r="D13" s="6" t="s">
        <v>499</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3</v>
      </c>
      <c r="L13" s="2" t="str">
        <f>five子指标方向明细!H25</f>
        <v>B</v>
      </c>
      <c r="M13" s="2">
        <f>five子指标方向明细!I25</f>
        <v>5</v>
      </c>
      <c r="N13" s="2" t="str">
        <f>five子指标方向明细!L25</f>
        <v>B</v>
      </c>
      <c r="O13" s="2">
        <f t="shared" si="0"/>
        <v>1</v>
      </c>
      <c r="P13" s="2" t="str">
        <f t="shared" si="1"/>
        <v>B</v>
      </c>
      <c r="Q13" s="2" t="s">
        <v>37</v>
      </c>
      <c r="R13" s="2">
        <f t="shared" si="2"/>
        <v>1</v>
      </c>
      <c r="S13" s="2">
        <v>24</v>
      </c>
      <c r="T13" s="2">
        <v>25</v>
      </c>
      <c r="U13" s="2" t="str">
        <f t="shared" si="3"/>
        <v/>
      </c>
    </row>
    <row r="14" ht="23" customHeight="1" spans="1:21">
      <c r="A14" s="6" t="s">
        <v>446</v>
      </c>
      <c r="B14" s="2" t="s">
        <v>40</v>
      </c>
      <c r="C14" s="2">
        <v>3</v>
      </c>
      <c r="D14" s="6" t="s">
        <v>500</v>
      </c>
      <c r="E14" s="2" t="str">
        <f>five子指标方向明细!F26</f>
        <v>B</v>
      </c>
      <c r="F14" s="2">
        <f>five子指标方向明细!G26</f>
        <v>4</v>
      </c>
      <c r="G14" s="2" t="str">
        <f>five子指标方向明细!H26</f>
        <v>C</v>
      </c>
      <c r="H14" s="2">
        <f>five子指标方向明细!I26</f>
        <v>3</v>
      </c>
      <c r="I14" s="2" t="str">
        <f>five子指标方向明细!L26</f>
        <v>B</v>
      </c>
      <c r="J14" s="2" t="str">
        <f>five子指标方向明细!F27</f>
        <v>C</v>
      </c>
      <c r="K14" s="2">
        <f>five子指标方向明细!G27</f>
        <v>3</v>
      </c>
      <c r="L14" s="2" t="str">
        <f>five子指标方向明细!H27</f>
        <v>B</v>
      </c>
      <c r="M14" s="2">
        <f>five子指标方向明细!I27</f>
        <v>4</v>
      </c>
      <c r="N14" s="2" t="str">
        <f>five子指标方向明细!L27</f>
        <v>B</v>
      </c>
      <c r="O14" s="2">
        <f t="shared" si="0"/>
        <v>1</v>
      </c>
      <c r="P14" s="2" t="str">
        <f t="shared" si="1"/>
        <v>B</v>
      </c>
      <c r="Q14" s="2" t="s">
        <v>37</v>
      </c>
      <c r="R14" s="2">
        <f t="shared" si="2"/>
        <v>1</v>
      </c>
      <c r="S14" s="2">
        <v>26</v>
      </c>
      <c r="T14" s="2">
        <v>27</v>
      </c>
      <c r="U14" s="2" t="str">
        <f t="shared" si="3"/>
        <v/>
      </c>
    </row>
    <row r="15" ht="23" customHeight="1" spans="1:21">
      <c r="A15" s="6" t="s">
        <v>446</v>
      </c>
      <c r="B15" s="2" t="s">
        <v>40</v>
      </c>
      <c r="C15" s="2">
        <v>4</v>
      </c>
      <c r="D15" s="6" t="s">
        <v>501</v>
      </c>
      <c r="E15" s="2" t="str">
        <f>five子指标方向明细!F28</f>
        <v>B</v>
      </c>
      <c r="F15" s="2">
        <f>five子指标方向明细!G28</f>
        <v>4</v>
      </c>
      <c r="G15" s="2" t="str">
        <f>five子指标方向明细!H28</f>
        <v>C</v>
      </c>
      <c r="H15" s="2">
        <f>five子指标方向明细!I28</f>
        <v>3</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37</v>
      </c>
      <c r="R15" s="2">
        <f t="shared" si="2"/>
        <v>1</v>
      </c>
      <c r="S15" s="2">
        <v>28</v>
      </c>
      <c r="T15" s="2">
        <v>29</v>
      </c>
      <c r="U15" s="2" t="str">
        <f t="shared" si="3"/>
        <v/>
      </c>
    </row>
    <row r="16" ht="23" customHeight="1" spans="1:21">
      <c r="A16" s="6" t="s">
        <v>446</v>
      </c>
      <c r="B16" s="2" t="s">
        <v>40</v>
      </c>
      <c r="C16" s="2">
        <v>5</v>
      </c>
      <c r="D16" s="6" t="s">
        <v>502</v>
      </c>
      <c r="E16" s="2" t="str">
        <f>five子指标方向明细!F30</f>
        <v>B</v>
      </c>
      <c r="F16" s="2">
        <f>five子指标方向明细!G30</f>
        <v>5</v>
      </c>
      <c r="G16" s="2" t="str">
        <f>five子指标方向明细!H30</f>
        <v>C</v>
      </c>
      <c r="H16" s="2">
        <f>five子指标方向明细!I30</f>
        <v>5</v>
      </c>
      <c r="I16" s="2" t="str">
        <f>five子指标方向明细!L30</f>
        <v>D(平局)</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1</v>
      </c>
      <c r="P16" s="2" t="str">
        <f t="shared" si="1"/>
        <v>D(平局)</v>
      </c>
      <c r="Q16" s="2" t="s">
        <v>37</v>
      </c>
      <c r="R16" s="2">
        <f t="shared" si="2"/>
        <v>0</v>
      </c>
      <c r="S16" s="2">
        <v>30</v>
      </c>
      <c r="T16" s="2">
        <v>31</v>
      </c>
      <c r="U16" s="2" t="str">
        <f t="shared" si="3"/>
        <v>双向评分平局</v>
      </c>
    </row>
    <row r="17" ht="23" customHeight="1" spans="1:21">
      <c r="A17" s="6" t="s">
        <v>408</v>
      </c>
      <c r="B17" s="2" t="s">
        <v>15</v>
      </c>
      <c r="C17" s="2">
        <v>1</v>
      </c>
      <c r="D17" s="6" t="s">
        <v>498</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4</v>
      </c>
      <c r="L17" s="2" t="str">
        <f>five子指标方向明细!H33</f>
        <v>A</v>
      </c>
      <c r="M17" s="2">
        <f>five子指标方向明细!I33</f>
        <v>5</v>
      </c>
      <c r="N17" s="2" t="str">
        <f>five子指标方向明细!L33</f>
        <v>A</v>
      </c>
      <c r="O17" s="2">
        <f t="shared" si="0"/>
        <v>1</v>
      </c>
      <c r="P17" s="2" t="str">
        <f t="shared" si="1"/>
        <v>A</v>
      </c>
      <c r="Q17" s="2" t="s">
        <v>34</v>
      </c>
      <c r="R17" s="2">
        <f t="shared" si="2"/>
        <v>1</v>
      </c>
      <c r="S17" s="2">
        <v>32</v>
      </c>
      <c r="T17" s="2">
        <v>33</v>
      </c>
      <c r="U17" s="2" t="str">
        <f t="shared" si="3"/>
        <v/>
      </c>
    </row>
    <row r="18" ht="23" customHeight="1" spans="1:21">
      <c r="A18" s="6" t="s">
        <v>408</v>
      </c>
      <c r="B18" s="2" t="s">
        <v>15</v>
      </c>
      <c r="C18" s="2">
        <v>2</v>
      </c>
      <c r="D18" s="6" t="s">
        <v>499</v>
      </c>
      <c r="E18" s="2" t="str">
        <f>five子指标方向明细!F34</f>
        <v>A</v>
      </c>
      <c r="F18" s="2">
        <f>five子指标方向明细!G34</f>
        <v>4</v>
      </c>
      <c r="G18" s="2" t="str">
        <f>five子指标方向明细!H34</f>
        <v>B</v>
      </c>
      <c r="H18" s="2">
        <f>five子指标方向明细!I34</f>
        <v>3</v>
      </c>
      <c r="I18" s="2" t="str">
        <f>five子指标方向明细!L34</f>
        <v>A</v>
      </c>
      <c r="J18" s="2" t="str">
        <f>five子指标方向明细!F35</f>
        <v>B</v>
      </c>
      <c r="K18" s="2">
        <f>five子指标方向明细!G35</f>
        <v>4</v>
      </c>
      <c r="L18" s="2" t="str">
        <f>five子指标方向明细!H35</f>
        <v>A</v>
      </c>
      <c r="M18" s="2">
        <f>five子指标方向明细!I35</f>
        <v>5</v>
      </c>
      <c r="N18" s="2" t="str">
        <f>five子指标方向明细!L35</f>
        <v>A</v>
      </c>
      <c r="O18" s="2">
        <f t="shared" si="0"/>
        <v>1</v>
      </c>
      <c r="P18" s="2" t="str">
        <f t="shared" si="1"/>
        <v>A</v>
      </c>
      <c r="Q18" s="2" t="s">
        <v>34</v>
      </c>
      <c r="R18" s="2">
        <f t="shared" si="2"/>
        <v>1</v>
      </c>
      <c r="S18" s="2">
        <v>34</v>
      </c>
      <c r="T18" s="2">
        <v>35</v>
      </c>
      <c r="U18" s="2" t="str">
        <f t="shared" si="3"/>
        <v/>
      </c>
    </row>
    <row r="19" ht="23" customHeight="1" spans="1:21">
      <c r="A19" s="6" t="s">
        <v>408</v>
      </c>
      <c r="B19" s="2" t="s">
        <v>15</v>
      </c>
      <c r="C19" s="2">
        <v>3</v>
      </c>
      <c r="D19" s="6" t="s">
        <v>500</v>
      </c>
      <c r="E19" s="2" t="str">
        <f>five子指标方向明细!F36</f>
        <v>A</v>
      </c>
      <c r="F19" s="2">
        <f>five子指标方向明细!G36</f>
        <v>5</v>
      </c>
      <c r="G19" s="2" t="str">
        <f>five子指标方向明细!H36</f>
        <v>B</v>
      </c>
      <c r="H19" s="2">
        <f>five子指标方向明细!I36</f>
        <v>3</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34</v>
      </c>
      <c r="R19" s="2">
        <f t="shared" si="2"/>
        <v>1</v>
      </c>
      <c r="S19" s="2">
        <v>36</v>
      </c>
      <c r="T19" s="2">
        <v>37</v>
      </c>
      <c r="U19" s="2" t="str">
        <f t="shared" si="3"/>
        <v/>
      </c>
    </row>
    <row r="20" ht="23" customHeight="1" spans="1:21">
      <c r="A20" s="6" t="s">
        <v>408</v>
      </c>
      <c r="B20" s="2" t="s">
        <v>15</v>
      </c>
      <c r="C20" s="2">
        <v>4</v>
      </c>
      <c r="D20" s="6" t="s">
        <v>501</v>
      </c>
      <c r="E20" s="2" t="str">
        <f>five子指标方向明细!F38</f>
        <v>A</v>
      </c>
      <c r="F20" s="2">
        <f>five子指标方向明细!G38</f>
        <v>5</v>
      </c>
      <c r="G20" s="2" t="str">
        <f>five子指标方向明细!H38</f>
        <v>B</v>
      </c>
      <c r="H20" s="2">
        <f>five子指标方向明细!I38</f>
        <v>3</v>
      </c>
      <c r="I20" s="2" t="str">
        <f>five子指标方向明细!L38</f>
        <v>A</v>
      </c>
      <c r="J20" s="2" t="str">
        <f>five子指标方向明细!F39</f>
        <v>B</v>
      </c>
      <c r="K20" s="2">
        <f>five子指标方向明细!G39</f>
        <v>4</v>
      </c>
      <c r="L20" s="2" t="str">
        <f>five子指标方向明细!H39</f>
        <v>A</v>
      </c>
      <c r="M20" s="2">
        <f>five子指标方向明细!I39</f>
        <v>5</v>
      </c>
      <c r="N20" s="2" t="str">
        <f>five子指标方向明细!L39</f>
        <v>A</v>
      </c>
      <c r="O20" s="2">
        <f t="shared" si="0"/>
        <v>1</v>
      </c>
      <c r="P20" s="2" t="str">
        <f t="shared" si="1"/>
        <v>A</v>
      </c>
      <c r="Q20" s="2" t="s">
        <v>34</v>
      </c>
      <c r="R20" s="2">
        <f t="shared" si="2"/>
        <v>1</v>
      </c>
      <c r="S20" s="2">
        <v>38</v>
      </c>
      <c r="T20" s="2">
        <v>39</v>
      </c>
      <c r="U20" s="2" t="str">
        <f t="shared" si="3"/>
        <v/>
      </c>
    </row>
    <row r="21" ht="23" customHeight="1" spans="1:21">
      <c r="A21" s="6" t="s">
        <v>408</v>
      </c>
      <c r="B21" s="2" t="s">
        <v>15</v>
      </c>
      <c r="C21" s="2">
        <v>5</v>
      </c>
      <c r="D21" s="6" t="s">
        <v>502</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34</v>
      </c>
      <c r="R21" s="2">
        <f t="shared" si="2"/>
        <v>0</v>
      </c>
      <c r="S21" s="2">
        <v>40</v>
      </c>
      <c r="T21" s="2">
        <v>41</v>
      </c>
      <c r="U21" s="2" t="str">
        <f t="shared" si="3"/>
        <v>双向评分平局</v>
      </c>
    </row>
    <row r="22" ht="23" customHeight="1" spans="1:21">
      <c r="A22" s="6" t="s">
        <v>408</v>
      </c>
      <c r="B22" s="2" t="s">
        <v>30</v>
      </c>
      <c r="C22" s="2">
        <v>1</v>
      </c>
      <c r="D22" s="6" t="s">
        <v>498</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34</v>
      </c>
      <c r="R22" s="2">
        <f t="shared" si="2"/>
        <v>1</v>
      </c>
      <c r="S22" s="2">
        <v>42</v>
      </c>
      <c r="T22" s="2">
        <v>43</v>
      </c>
      <c r="U22" s="2" t="str">
        <f t="shared" si="3"/>
        <v/>
      </c>
    </row>
    <row r="23" ht="23" customHeight="1" spans="1:21">
      <c r="A23" s="6" t="s">
        <v>408</v>
      </c>
      <c r="B23" s="2" t="s">
        <v>30</v>
      </c>
      <c r="C23" s="2">
        <v>2</v>
      </c>
      <c r="D23" s="6" t="s">
        <v>499</v>
      </c>
      <c r="E23" s="2" t="str">
        <f>five子指标方向明细!F44</f>
        <v>A</v>
      </c>
      <c r="F23" s="2">
        <f>five子指标方向明细!G44</f>
        <v>4</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4</v>
      </c>
      <c r="N23" s="2" t="str">
        <f>five子指标方向明细!L45</f>
        <v>A</v>
      </c>
      <c r="O23" s="2">
        <f t="shared" si="0"/>
        <v>1</v>
      </c>
      <c r="P23" s="2" t="str">
        <f t="shared" si="1"/>
        <v>A</v>
      </c>
      <c r="Q23" s="2" t="s">
        <v>34</v>
      </c>
      <c r="R23" s="2">
        <f t="shared" si="2"/>
        <v>1</v>
      </c>
      <c r="S23" s="2">
        <v>44</v>
      </c>
      <c r="T23" s="2">
        <v>45</v>
      </c>
      <c r="U23" s="2" t="str">
        <f t="shared" si="3"/>
        <v/>
      </c>
    </row>
    <row r="24" ht="23" customHeight="1" spans="1:21">
      <c r="A24" s="6" t="s">
        <v>408</v>
      </c>
      <c r="B24" s="2" t="s">
        <v>30</v>
      </c>
      <c r="C24" s="2">
        <v>3</v>
      </c>
      <c r="D24" s="6" t="s">
        <v>500</v>
      </c>
      <c r="E24" s="2" t="str">
        <f>five子指标方向明细!F46</f>
        <v>A</v>
      </c>
      <c r="F24" s="2">
        <f>five子指标方向明细!G46</f>
        <v>4</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4</v>
      </c>
      <c r="N24" s="2" t="str">
        <f>five子指标方向明细!L47</f>
        <v>A</v>
      </c>
      <c r="O24" s="2">
        <f t="shared" si="0"/>
        <v>1</v>
      </c>
      <c r="P24" s="2" t="str">
        <f t="shared" si="1"/>
        <v>A</v>
      </c>
      <c r="Q24" s="2" t="s">
        <v>34</v>
      </c>
      <c r="R24" s="2">
        <f t="shared" si="2"/>
        <v>1</v>
      </c>
      <c r="S24" s="2">
        <v>46</v>
      </c>
      <c r="T24" s="2">
        <v>47</v>
      </c>
      <c r="U24" s="2" t="str">
        <f t="shared" si="3"/>
        <v/>
      </c>
    </row>
    <row r="25" ht="23" customHeight="1" spans="1:21">
      <c r="A25" s="6" t="s">
        <v>408</v>
      </c>
      <c r="B25" s="2" t="s">
        <v>30</v>
      </c>
      <c r="C25" s="2">
        <v>4</v>
      </c>
      <c r="D25" s="6" t="s">
        <v>501</v>
      </c>
      <c r="E25" s="2" t="str">
        <f>five子指标方向明细!F48</f>
        <v>A</v>
      </c>
      <c r="F25" s="2">
        <f>five子指标方向明细!G48</f>
        <v>4</v>
      </c>
      <c r="G25" s="2" t="str">
        <f>five子指标方向明细!H48</f>
        <v>C</v>
      </c>
      <c r="H25" s="2">
        <f>five子指标方向明细!I48</f>
        <v>2</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34</v>
      </c>
      <c r="R25" s="2">
        <f t="shared" si="2"/>
        <v>1</v>
      </c>
      <c r="S25" s="2">
        <v>48</v>
      </c>
      <c r="T25" s="2">
        <v>49</v>
      </c>
      <c r="U25" s="2" t="str">
        <f t="shared" si="3"/>
        <v/>
      </c>
    </row>
    <row r="26" ht="23" customHeight="1" spans="1:21">
      <c r="A26" s="6" t="s">
        <v>408</v>
      </c>
      <c r="B26" s="2" t="s">
        <v>30</v>
      </c>
      <c r="C26" s="2">
        <v>5</v>
      </c>
      <c r="D26" s="6" t="s">
        <v>502</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5</v>
      </c>
      <c r="L26" s="2" t="str">
        <f>five子指标方向明细!H51</f>
        <v>A</v>
      </c>
      <c r="M26" s="2">
        <f>five子指标方向明细!I51</f>
        <v>5</v>
      </c>
      <c r="N26" s="2" t="str">
        <f>five子指标方向明细!L51</f>
        <v>D(平局)</v>
      </c>
      <c r="O26" s="2">
        <f t="shared" si="0"/>
        <v>0</v>
      </c>
      <c r="P26" s="2" t="str">
        <f t="shared" si="1"/>
        <v>D(平局)</v>
      </c>
      <c r="Q26" s="2" t="s">
        <v>34</v>
      </c>
      <c r="R26" s="2">
        <f t="shared" si="2"/>
        <v>0</v>
      </c>
      <c r="S26" s="2">
        <v>50</v>
      </c>
      <c r="T26" s="2">
        <v>51</v>
      </c>
      <c r="U26" s="2" t="str">
        <f t="shared" si="3"/>
        <v>方向冲突</v>
      </c>
    </row>
    <row r="27" ht="23" customHeight="1" spans="1:21">
      <c r="A27" s="6" t="s">
        <v>408</v>
      </c>
      <c r="B27" s="2" t="s">
        <v>40</v>
      </c>
      <c r="C27" s="2">
        <v>1</v>
      </c>
      <c r="D27" s="6" t="s">
        <v>498</v>
      </c>
      <c r="E27" s="2" t="str">
        <f>five子指标方向明细!F52</f>
        <v>B</v>
      </c>
      <c r="F27" s="2">
        <f>five子指标方向明细!G52</f>
        <v>5</v>
      </c>
      <c r="G27" s="2" t="str">
        <f>five子指标方向明细!H52</f>
        <v>C</v>
      </c>
      <c r="H27" s="2">
        <f>five子指标方向明细!I52</f>
        <v>3</v>
      </c>
      <c r="I27" s="2" t="str">
        <f>five子指标方向明细!L52</f>
        <v>B</v>
      </c>
      <c r="J27" s="2" t="str">
        <f>five子指标方向明细!F53</f>
        <v>C</v>
      </c>
      <c r="K27" s="2">
        <f>five子指标方向明细!G53</f>
        <v>2</v>
      </c>
      <c r="L27" s="2" t="str">
        <f>five子指标方向明细!H53</f>
        <v>B</v>
      </c>
      <c r="M27" s="2">
        <f>five子指标方向明细!I53</f>
        <v>4</v>
      </c>
      <c r="N27" s="2" t="str">
        <f>five子指标方向明细!L53</f>
        <v>B</v>
      </c>
      <c r="O27" s="2">
        <f t="shared" si="0"/>
        <v>1</v>
      </c>
      <c r="P27" s="2" t="str">
        <f t="shared" si="1"/>
        <v>B</v>
      </c>
      <c r="Q27" s="2" t="s">
        <v>37</v>
      </c>
      <c r="R27" s="2">
        <f t="shared" si="2"/>
        <v>1</v>
      </c>
      <c r="S27" s="2">
        <v>52</v>
      </c>
      <c r="T27" s="2">
        <v>53</v>
      </c>
      <c r="U27" s="2" t="str">
        <f t="shared" si="3"/>
        <v/>
      </c>
    </row>
    <row r="28" ht="23" customHeight="1" spans="1:21">
      <c r="A28" s="6" t="s">
        <v>408</v>
      </c>
      <c r="B28" s="2" t="s">
        <v>40</v>
      </c>
      <c r="C28" s="2">
        <v>2</v>
      </c>
      <c r="D28" s="6" t="s">
        <v>499</v>
      </c>
      <c r="E28" s="2" t="str">
        <f>five子指标方向明细!F54</f>
        <v>B</v>
      </c>
      <c r="F28" s="2">
        <f>five子指标方向明细!G54</f>
        <v>4</v>
      </c>
      <c r="G28" s="2" t="str">
        <f>five子指标方向明细!H54</f>
        <v>C</v>
      </c>
      <c r="H28" s="2">
        <f>five子指标方向明细!I54</f>
        <v>2</v>
      </c>
      <c r="I28" s="2" t="str">
        <f>five子指标方向明细!L54</f>
        <v>B</v>
      </c>
      <c r="J28" s="2" t="str">
        <f>five子指标方向明细!F55</f>
        <v>C</v>
      </c>
      <c r="K28" s="2">
        <f>five子指标方向明细!G55</f>
        <v>2</v>
      </c>
      <c r="L28" s="2" t="str">
        <f>five子指标方向明细!H55</f>
        <v>B</v>
      </c>
      <c r="M28" s="2">
        <f>five子指标方向明细!I55</f>
        <v>4</v>
      </c>
      <c r="N28" s="2" t="str">
        <f>five子指标方向明细!L55</f>
        <v>B</v>
      </c>
      <c r="O28" s="2">
        <f t="shared" si="0"/>
        <v>1</v>
      </c>
      <c r="P28" s="2" t="str">
        <f t="shared" si="1"/>
        <v>B</v>
      </c>
      <c r="Q28" s="2" t="s">
        <v>37</v>
      </c>
      <c r="R28" s="2">
        <f t="shared" si="2"/>
        <v>1</v>
      </c>
      <c r="S28" s="2">
        <v>54</v>
      </c>
      <c r="T28" s="2">
        <v>55</v>
      </c>
      <c r="U28" s="2" t="str">
        <f t="shared" si="3"/>
        <v/>
      </c>
    </row>
    <row r="29" ht="23" customHeight="1" spans="1:21">
      <c r="A29" s="6" t="s">
        <v>408</v>
      </c>
      <c r="B29" s="2" t="s">
        <v>40</v>
      </c>
      <c r="C29" s="2">
        <v>3</v>
      </c>
      <c r="D29" s="6" t="s">
        <v>500</v>
      </c>
      <c r="E29" s="2" t="str">
        <f>five子指标方向明细!F56</f>
        <v>B</v>
      </c>
      <c r="F29" s="2">
        <f>five子指标方向明细!G56</f>
        <v>4</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4</v>
      </c>
      <c r="N29" s="2" t="str">
        <f>five子指标方向明细!L57</f>
        <v>B</v>
      </c>
      <c r="O29" s="2">
        <f t="shared" si="0"/>
        <v>1</v>
      </c>
      <c r="P29" s="2" t="str">
        <f t="shared" si="1"/>
        <v>B</v>
      </c>
      <c r="Q29" s="2" t="s">
        <v>37</v>
      </c>
      <c r="R29" s="2">
        <f t="shared" si="2"/>
        <v>1</v>
      </c>
      <c r="S29" s="2">
        <v>56</v>
      </c>
      <c r="T29" s="2">
        <v>57</v>
      </c>
      <c r="U29" s="2" t="str">
        <f t="shared" si="3"/>
        <v/>
      </c>
    </row>
    <row r="30" ht="23" customHeight="1" spans="1:21">
      <c r="A30" s="6" t="s">
        <v>408</v>
      </c>
      <c r="B30" s="2" t="s">
        <v>40</v>
      </c>
      <c r="C30" s="2">
        <v>4</v>
      </c>
      <c r="D30" s="6" t="s">
        <v>501</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2</v>
      </c>
      <c r="L30" s="2" t="str">
        <f>five子指标方向明细!H59</f>
        <v>B</v>
      </c>
      <c r="M30" s="2">
        <f>five子指标方向明细!I59</f>
        <v>5</v>
      </c>
      <c r="N30" s="2" t="str">
        <f>five子指标方向明细!L59</f>
        <v>B</v>
      </c>
      <c r="O30" s="2">
        <f t="shared" si="0"/>
        <v>1</v>
      </c>
      <c r="P30" s="2" t="str">
        <f t="shared" si="1"/>
        <v>B</v>
      </c>
      <c r="Q30" s="2" t="s">
        <v>37</v>
      </c>
      <c r="R30" s="2">
        <f t="shared" si="2"/>
        <v>1</v>
      </c>
      <c r="S30" s="2">
        <v>58</v>
      </c>
      <c r="T30" s="2">
        <v>59</v>
      </c>
      <c r="U30" s="2" t="str">
        <f t="shared" si="3"/>
        <v/>
      </c>
    </row>
    <row r="31" ht="23" customHeight="1" spans="1:21">
      <c r="A31" s="6" t="s">
        <v>408</v>
      </c>
      <c r="B31" s="2" t="s">
        <v>40</v>
      </c>
      <c r="C31" s="2">
        <v>5</v>
      </c>
      <c r="D31" s="6" t="s">
        <v>502</v>
      </c>
      <c r="E31" s="2" t="str">
        <f>five子指标方向明细!F60</f>
        <v>B</v>
      </c>
      <c r="F31" s="2">
        <f>five子指标方向明细!G60</f>
        <v>5</v>
      </c>
      <c r="G31" s="2" t="str">
        <f>five子指标方向明细!H60</f>
        <v>C</v>
      </c>
      <c r="H31" s="2">
        <f>five子指标方向明细!I60</f>
        <v>5</v>
      </c>
      <c r="I31" s="2" t="str">
        <f>five子指标方向明细!L60</f>
        <v>D(平局)</v>
      </c>
      <c r="J31" s="2" t="str">
        <f>five子指标方向明细!F61</f>
        <v>C</v>
      </c>
      <c r="K31" s="2">
        <f>five子指标方向明细!G61</f>
        <v>5</v>
      </c>
      <c r="L31" s="2" t="str">
        <f>five子指标方向明细!H61</f>
        <v>B</v>
      </c>
      <c r="M31" s="2">
        <f>five子指标方向明细!I61</f>
        <v>5</v>
      </c>
      <c r="N31" s="2" t="str">
        <f>five子指标方向明细!L61</f>
        <v>D(平局)</v>
      </c>
      <c r="O31" s="2">
        <f t="shared" si="0"/>
        <v>1</v>
      </c>
      <c r="P31" s="2" t="str">
        <f t="shared" si="1"/>
        <v>D(平局)</v>
      </c>
      <c r="Q31" s="2" t="s">
        <v>37</v>
      </c>
      <c r="R31" s="2">
        <f t="shared" si="2"/>
        <v>0</v>
      </c>
      <c r="S31" s="2">
        <v>60</v>
      </c>
      <c r="T31" s="2">
        <v>61</v>
      </c>
      <c r="U31" s="2" t="str">
        <f t="shared" si="3"/>
        <v>双向评分平局</v>
      </c>
    </row>
    <row r="32" ht="23" customHeight="1" spans="1:21">
      <c r="A32" s="6" t="s">
        <v>370</v>
      </c>
      <c r="B32" s="2" t="s">
        <v>15</v>
      </c>
      <c r="C32" s="2">
        <v>1</v>
      </c>
      <c r="D32" s="6" t="s">
        <v>498</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4</v>
      </c>
      <c r="L32" s="2" t="str">
        <f>five子指标方向明细!H63</f>
        <v>A</v>
      </c>
      <c r="M32" s="2">
        <f>five子指标方向明细!I63</f>
        <v>5</v>
      </c>
      <c r="N32" s="2" t="str">
        <f>five子指标方向明细!L63</f>
        <v>A</v>
      </c>
      <c r="O32" s="2">
        <f t="shared" si="0"/>
        <v>1</v>
      </c>
      <c r="P32" s="2" t="str">
        <f t="shared" si="1"/>
        <v>A</v>
      </c>
      <c r="Q32" s="2" t="s">
        <v>23</v>
      </c>
      <c r="R32" s="2">
        <f t="shared" si="2"/>
        <v>0</v>
      </c>
      <c r="S32" s="2">
        <v>62</v>
      </c>
      <c r="T32" s="2">
        <v>63</v>
      </c>
      <c r="U32" s="2" t="str">
        <f t="shared" si="3"/>
        <v/>
      </c>
    </row>
    <row r="33" ht="23" customHeight="1" spans="1:21">
      <c r="A33" s="6" t="s">
        <v>370</v>
      </c>
      <c r="B33" s="2" t="s">
        <v>15</v>
      </c>
      <c r="C33" s="2">
        <v>2</v>
      </c>
      <c r="D33" s="6" t="s">
        <v>499</v>
      </c>
      <c r="E33" s="2" t="str">
        <f>five子指标方向明细!F64</f>
        <v>A</v>
      </c>
      <c r="F33" s="2">
        <f>five子指标方向明细!G64</f>
        <v>5</v>
      </c>
      <c r="G33" s="2" t="str">
        <f>five子指标方向明细!H64</f>
        <v>B</v>
      </c>
      <c r="H33" s="2">
        <f>five子指标方向明细!I64</f>
        <v>4</v>
      </c>
      <c r="I33" s="2" t="str">
        <f>five子指标方向明细!L64</f>
        <v>A</v>
      </c>
      <c r="J33" s="2" t="str">
        <f>five子指标方向明细!F65</f>
        <v>B</v>
      </c>
      <c r="K33" s="2">
        <f>five子指标方向明细!G65</f>
        <v>3</v>
      </c>
      <c r="L33" s="2" t="str">
        <f>five子指标方向明细!H65</f>
        <v>A</v>
      </c>
      <c r="M33" s="2">
        <f>five子指标方向明细!I65</f>
        <v>4</v>
      </c>
      <c r="N33" s="2" t="str">
        <f>five子指标方向明细!L65</f>
        <v>A</v>
      </c>
      <c r="O33" s="2">
        <f t="shared" si="0"/>
        <v>1</v>
      </c>
      <c r="P33" s="2" t="str">
        <f t="shared" si="1"/>
        <v>A</v>
      </c>
      <c r="Q33" s="2" t="s">
        <v>23</v>
      </c>
      <c r="R33" s="2">
        <f t="shared" si="2"/>
        <v>0</v>
      </c>
      <c r="S33" s="2">
        <v>64</v>
      </c>
      <c r="T33" s="2">
        <v>65</v>
      </c>
      <c r="U33" s="2" t="str">
        <f t="shared" si="3"/>
        <v/>
      </c>
    </row>
    <row r="34" ht="23" customHeight="1" spans="1:21">
      <c r="A34" s="6" t="s">
        <v>370</v>
      </c>
      <c r="B34" s="2" t="s">
        <v>15</v>
      </c>
      <c r="C34" s="2">
        <v>3</v>
      </c>
      <c r="D34" s="6" t="s">
        <v>500</v>
      </c>
      <c r="E34" s="2" t="str">
        <f>five子指标方向明细!F66</f>
        <v>A</v>
      </c>
      <c r="F34" s="2">
        <f>five子指标方向明细!G66</f>
        <v>4</v>
      </c>
      <c r="G34" s="2" t="str">
        <f>five子指标方向明细!H66</f>
        <v>B</v>
      </c>
      <c r="H34" s="2">
        <f>five子指标方向明细!I66</f>
        <v>3</v>
      </c>
      <c r="I34" s="2" t="str">
        <f>five子指标方向明细!L66</f>
        <v>A</v>
      </c>
      <c r="J34" s="2" t="str">
        <f>five子指标方向明细!F67</f>
        <v>B</v>
      </c>
      <c r="K34" s="2">
        <f>five子指标方向明细!G67</f>
        <v>3</v>
      </c>
      <c r="L34" s="2" t="str">
        <f>five子指标方向明细!H67</f>
        <v>A</v>
      </c>
      <c r="M34" s="2">
        <f>five子指标方向明细!I67</f>
        <v>4</v>
      </c>
      <c r="N34" s="2" t="str">
        <f>five子指标方向明细!L67</f>
        <v>A</v>
      </c>
      <c r="O34" s="2">
        <f t="shared" si="0"/>
        <v>1</v>
      </c>
      <c r="P34" s="2" t="str">
        <f t="shared" si="1"/>
        <v>A</v>
      </c>
      <c r="Q34" s="2" t="s">
        <v>23</v>
      </c>
      <c r="R34" s="2">
        <f t="shared" si="2"/>
        <v>0</v>
      </c>
      <c r="S34" s="2">
        <v>66</v>
      </c>
      <c r="T34" s="2">
        <v>67</v>
      </c>
      <c r="U34" s="2" t="str">
        <f t="shared" si="3"/>
        <v/>
      </c>
    </row>
    <row r="35" ht="23" customHeight="1" spans="1:21">
      <c r="A35" s="6" t="s">
        <v>370</v>
      </c>
      <c r="B35" s="2" t="s">
        <v>15</v>
      </c>
      <c r="C35" s="2">
        <v>4</v>
      </c>
      <c r="D35" s="6" t="s">
        <v>501</v>
      </c>
      <c r="E35" s="2" t="str">
        <f>five子指标方向明细!F68</f>
        <v>A</v>
      </c>
      <c r="F35" s="2">
        <f>five子指标方向明细!G68</f>
        <v>5</v>
      </c>
      <c r="G35" s="2" t="str">
        <f>five子指标方向明细!H68</f>
        <v>B</v>
      </c>
      <c r="H35" s="2">
        <f>five子指标方向明细!I68</f>
        <v>3</v>
      </c>
      <c r="I35" s="2" t="str">
        <f>five子指标方向明细!L68</f>
        <v>A</v>
      </c>
      <c r="J35" s="2" t="str">
        <f>five子指标方向明细!F69</f>
        <v>B</v>
      </c>
      <c r="K35" s="2">
        <f>five子指标方向明细!G69</f>
        <v>5</v>
      </c>
      <c r="L35" s="2" t="str">
        <f>five子指标方向明细!H69</f>
        <v>A</v>
      </c>
      <c r="M35" s="2">
        <f>five子指标方向明细!I69</f>
        <v>4</v>
      </c>
      <c r="N35" s="2" t="str">
        <f>five子指标方向明细!L69</f>
        <v>B</v>
      </c>
      <c r="O35" s="2">
        <f t="shared" si="0"/>
        <v>0</v>
      </c>
      <c r="P35" s="2" t="str">
        <f t="shared" si="1"/>
        <v>D(平局)</v>
      </c>
      <c r="Q35" s="2" t="s">
        <v>23</v>
      </c>
      <c r="R35" s="2">
        <f t="shared" si="2"/>
        <v>1</v>
      </c>
      <c r="S35" s="2">
        <v>68</v>
      </c>
      <c r="T35" s="2">
        <v>69</v>
      </c>
      <c r="U35" s="2" t="str">
        <f t="shared" si="3"/>
        <v>方向冲突</v>
      </c>
    </row>
    <row r="36" ht="23" customHeight="1" spans="1:21">
      <c r="A36" s="6" t="s">
        <v>370</v>
      </c>
      <c r="B36" s="2" t="s">
        <v>15</v>
      </c>
      <c r="C36" s="2">
        <v>5</v>
      </c>
      <c r="D36" s="6" t="s">
        <v>502</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23</v>
      </c>
      <c r="R36" s="2">
        <f t="shared" si="2"/>
        <v>1</v>
      </c>
      <c r="S36" s="2">
        <v>70</v>
      </c>
      <c r="T36" s="2">
        <v>71</v>
      </c>
      <c r="U36" s="2" t="str">
        <f t="shared" si="3"/>
        <v>双向评分平局</v>
      </c>
    </row>
    <row r="37" ht="23" customHeight="1" spans="1:21">
      <c r="A37" s="6" t="s">
        <v>370</v>
      </c>
      <c r="B37" s="2" t="s">
        <v>30</v>
      </c>
      <c r="C37" s="2">
        <v>1</v>
      </c>
      <c r="D37" s="6" t="s">
        <v>498</v>
      </c>
      <c r="E37" s="2" t="str">
        <f>five子指标方向明细!F72</f>
        <v>A</v>
      </c>
      <c r="F37" s="2">
        <f>five子指标方向明细!G72</f>
        <v>5</v>
      </c>
      <c r="G37" s="2" t="str">
        <f>five子指标方向明细!H72</f>
        <v>C</v>
      </c>
      <c r="H37" s="2">
        <f>five子指标方向明细!I72</f>
        <v>3</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34</v>
      </c>
      <c r="R37" s="2">
        <f t="shared" si="2"/>
        <v>1</v>
      </c>
      <c r="S37" s="2">
        <v>72</v>
      </c>
      <c r="T37" s="2">
        <v>73</v>
      </c>
      <c r="U37" s="2" t="str">
        <f t="shared" si="3"/>
        <v/>
      </c>
    </row>
    <row r="38" ht="23" customHeight="1" spans="1:21">
      <c r="A38" s="6" t="s">
        <v>370</v>
      </c>
      <c r="B38" s="2" t="s">
        <v>30</v>
      </c>
      <c r="C38" s="2">
        <v>2</v>
      </c>
      <c r="D38" s="6" t="s">
        <v>499</v>
      </c>
      <c r="E38" s="2" t="str">
        <f>five子指标方向明细!F74</f>
        <v>A</v>
      </c>
      <c r="F38" s="2">
        <f>five子指标方向明细!G74</f>
        <v>4</v>
      </c>
      <c r="G38" s="2" t="str">
        <f>five子指标方向明细!H74</f>
        <v>C</v>
      </c>
      <c r="H38" s="2">
        <f>five子指标方向明细!I74</f>
        <v>2</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34</v>
      </c>
      <c r="R38" s="2">
        <f t="shared" si="2"/>
        <v>1</v>
      </c>
      <c r="S38" s="2">
        <v>74</v>
      </c>
      <c r="T38" s="2">
        <v>75</v>
      </c>
      <c r="U38" s="2" t="str">
        <f t="shared" si="3"/>
        <v/>
      </c>
    </row>
    <row r="39" ht="23" customHeight="1" spans="1:21">
      <c r="A39" s="6" t="s">
        <v>370</v>
      </c>
      <c r="B39" s="2" t="s">
        <v>30</v>
      </c>
      <c r="C39" s="2">
        <v>3</v>
      </c>
      <c r="D39" s="6" t="s">
        <v>500</v>
      </c>
      <c r="E39" s="2" t="str">
        <f>five子指标方向明细!F76</f>
        <v>A</v>
      </c>
      <c r="F39" s="2">
        <f>five子指标方向明细!G76</f>
        <v>4</v>
      </c>
      <c r="G39" s="2" t="str">
        <f>five子指标方向明细!H76</f>
        <v>C</v>
      </c>
      <c r="H39" s="2">
        <f>five子指标方向明细!I76</f>
        <v>2</v>
      </c>
      <c r="I39" s="2" t="str">
        <f>five子指标方向明细!L76</f>
        <v>A</v>
      </c>
      <c r="J39" s="2" t="str">
        <f>five子指标方向明细!F77</f>
        <v>C</v>
      </c>
      <c r="K39" s="2">
        <f>five子指标方向明细!G77</f>
        <v>2</v>
      </c>
      <c r="L39" s="2" t="str">
        <f>five子指标方向明细!H77</f>
        <v>A</v>
      </c>
      <c r="M39" s="2">
        <f>five子指标方向明细!I77</f>
        <v>4</v>
      </c>
      <c r="N39" s="2" t="str">
        <f>five子指标方向明细!L77</f>
        <v>A</v>
      </c>
      <c r="O39" s="2">
        <f t="shared" si="0"/>
        <v>1</v>
      </c>
      <c r="P39" s="2" t="str">
        <f t="shared" si="1"/>
        <v>A</v>
      </c>
      <c r="Q39" s="2" t="s">
        <v>34</v>
      </c>
      <c r="R39" s="2">
        <f t="shared" si="2"/>
        <v>1</v>
      </c>
      <c r="S39" s="2">
        <v>76</v>
      </c>
      <c r="T39" s="2">
        <v>77</v>
      </c>
      <c r="U39" s="2" t="str">
        <f t="shared" si="3"/>
        <v/>
      </c>
    </row>
    <row r="40" ht="23" customHeight="1" spans="1:21">
      <c r="A40" s="6" t="s">
        <v>370</v>
      </c>
      <c r="B40" s="2" t="s">
        <v>30</v>
      </c>
      <c r="C40" s="2">
        <v>4</v>
      </c>
      <c r="D40" s="6" t="s">
        <v>501</v>
      </c>
      <c r="E40" s="2" t="str">
        <f>five子指标方向明细!F78</f>
        <v>A</v>
      </c>
      <c r="F40" s="2">
        <f>five子指标方向明细!G78</f>
        <v>4</v>
      </c>
      <c r="G40" s="2" t="str">
        <f>five子指标方向明细!H78</f>
        <v>C</v>
      </c>
      <c r="H40" s="2">
        <f>five子指标方向明细!I78</f>
        <v>3</v>
      </c>
      <c r="I40" s="2" t="str">
        <f>five子指标方向明细!L78</f>
        <v>A</v>
      </c>
      <c r="J40" s="2" t="str">
        <f>five子指标方向明细!F79</f>
        <v>C</v>
      </c>
      <c r="K40" s="2">
        <f>five子指标方向明细!G79</f>
        <v>3</v>
      </c>
      <c r="L40" s="2" t="str">
        <f>five子指标方向明细!H79</f>
        <v>A</v>
      </c>
      <c r="M40" s="2">
        <f>five子指标方向明细!I79</f>
        <v>5</v>
      </c>
      <c r="N40" s="2" t="str">
        <f>five子指标方向明细!L79</f>
        <v>A</v>
      </c>
      <c r="O40" s="2">
        <f t="shared" si="0"/>
        <v>1</v>
      </c>
      <c r="P40" s="2" t="str">
        <f t="shared" si="1"/>
        <v>A</v>
      </c>
      <c r="Q40" s="2" t="s">
        <v>34</v>
      </c>
      <c r="R40" s="2">
        <f t="shared" si="2"/>
        <v>1</v>
      </c>
      <c r="S40" s="2">
        <v>78</v>
      </c>
      <c r="T40" s="2">
        <v>79</v>
      </c>
      <c r="U40" s="2" t="str">
        <f t="shared" si="3"/>
        <v/>
      </c>
    </row>
    <row r="41" ht="23" customHeight="1" spans="1:21">
      <c r="A41" s="6" t="s">
        <v>370</v>
      </c>
      <c r="B41" s="2" t="s">
        <v>30</v>
      </c>
      <c r="C41" s="2">
        <v>5</v>
      </c>
      <c r="D41" s="6" t="s">
        <v>502</v>
      </c>
      <c r="E41" s="2" t="str">
        <f>five子指标方向明细!F80</f>
        <v>A</v>
      </c>
      <c r="F41" s="2">
        <f>five子指标方向明细!G80</f>
        <v>5</v>
      </c>
      <c r="G41" s="2" t="str">
        <f>five子指标方向明细!H80</f>
        <v>C</v>
      </c>
      <c r="H41" s="2">
        <f>five子指标方向明细!I80</f>
        <v>4</v>
      </c>
      <c r="I41" s="2" t="str">
        <f>five子指标方向明细!L80</f>
        <v>A</v>
      </c>
      <c r="J41" s="2" t="str">
        <f>five子指标方向明细!F81</f>
        <v>C</v>
      </c>
      <c r="K41" s="2">
        <f>five子指标方向明细!G81</f>
        <v>2</v>
      </c>
      <c r="L41" s="2" t="str">
        <f>five子指标方向明细!H81</f>
        <v>A</v>
      </c>
      <c r="M41" s="2">
        <f>five子指标方向明细!I81</f>
        <v>5</v>
      </c>
      <c r="N41" s="2" t="str">
        <f>five子指标方向明细!L81</f>
        <v>A</v>
      </c>
      <c r="O41" s="2">
        <f t="shared" si="0"/>
        <v>1</v>
      </c>
      <c r="P41" s="2" t="str">
        <f t="shared" si="1"/>
        <v>A</v>
      </c>
      <c r="Q41" s="2" t="s">
        <v>34</v>
      </c>
      <c r="R41" s="2">
        <f t="shared" si="2"/>
        <v>1</v>
      </c>
      <c r="S41" s="2">
        <v>80</v>
      </c>
      <c r="T41" s="2">
        <v>81</v>
      </c>
      <c r="U41" s="2" t="str">
        <f t="shared" si="3"/>
        <v/>
      </c>
    </row>
    <row r="42" ht="23" customHeight="1" spans="1:21">
      <c r="A42" s="6" t="s">
        <v>370</v>
      </c>
      <c r="B42" s="2" t="s">
        <v>40</v>
      </c>
      <c r="C42" s="2">
        <v>1</v>
      </c>
      <c r="D42" s="6" t="s">
        <v>498</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4</v>
      </c>
      <c r="L42" s="2" t="str">
        <f>five子指标方向明细!H83</f>
        <v>B</v>
      </c>
      <c r="M42" s="2">
        <f>five子指标方向明细!I83</f>
        <v>5</v>
      </c>
      <c r="N42" s="2" t="str">
        <f>five子指标方向明细!L83</f>
        <v>B</v>
      </c>
      <c r="O42" s="2">
        <f t="shared" si="0"/>
        <v>1</v>
      </c>
      <c r="P42" s="2" t="str">
        <f t="shared" si="1"/>
        <v>B</v>
      </c>
      <c r="Q42" s="2" t="s">
        <v>37</v>
      </c>
      <c r="R42" s="2">
        <f t="shared" si="2"/>
        <v>1</v>
      </c>
      <c r="S42" s="2">
        <v>82</v>
      </c>
      <c r="T42" s="2">
        <v>83</v>
      </c>
      <c r="U42" s="2" t="str">
        <f t="shared" si="3"/>
        <v/>
      </c>
    </row>
    <row r="43" ht="23" customHeight="1" spans="1:21">
      <c r="A43" s="6" t="s">
        <v>370</v>
      </c>
      <c r="B43" s="2" t="s">
        <v>40</v>
      </c>
      <c r="C43" s="2">
        <v>2</v>
      </c>
      <c r="D43" s="6" t="s">
        <v>499</v>
      </c>
      <c r="E43" s="2" t="str">
        <f>five子指标方向明细!F84</f>
        <v>B</v>
      </c>
      <c r="F43" s="2">
        <f>five子指标方向明细!G84</f>
        <v>5</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37</v>
      </c>
      <c r="R43" s="2">
        <f t="shared" si="2"/>
        <v>1</v>
      </c>
      <c r="S43" s="2">
        <v>84</v>
      </c>
      <c r="T43" s="2">
        <v>85</v>
      </c>
      <c r="U43" s="2" t="str">
        <f t="shared" si="3"/>
        <v/>
      </c>
    </row>
    <row r="44" ht="23" customHeight="1" spans="1:21">
      <c r="A44" s="6" t="s">
        <v>370</v>
      </c>
      <c r="B44" s="2" t="s">
        <v>40</v>
      </c>
      <c r="C44" s="2">
        <v>3</v>
      </c>
      <c r="D44" s="6" t="s">
        <v>500</v>
      </c>
      <c r="E44" s="2" t="str">
        <f>five子指标方向明细!F86</f>
        <v>B</v>
      </c>
      <c r="F44" s="2">
        <f>five子指标方向明细!G86</f>
        <v>4</v>
      </c>
      <c r="G44" s="2" t="str">
        <f>five子指标方向明细!H86</f>
        <v>C</v>
      </c>
      <c r="H44" s="2">
        <f>five子指标方向明细!I86</f>
        <v>2</v>
      </c>
      <c r="I44" s="2" t="str">
        <f>five子指标方向明细!L86</f>
        <v>B</v>
      </c>
      <c r="J44" s="2" t="str">
        <f>five子指标方向明细!F87</f>
        <v>C</v>
      </c>
      <c r="K44" s="2">
        <f>five子指标方向明细!G87</f>
        <v>2</v>
      </c>
      <c r="L44" s="2" t="str">
        <f>five子指标方向明细!H87</f>
        <v>B</v>
      </c>
      <c r="M44" s="2">
        <f>five子指标方向明细!I87</f>
        <v>4</v>
      </c>
      <c r="N44" s="2" t="str">
        <f>five子指标方向明细!L87</f>
        <v>B</v>
      </c>
      <c r="O44" s="2">
        <f t="shared" si="0"/>
        <v>1</v>
      </c>
      <c r="P44" s="2" t="str">
        <f t="shared" si="1"/>
        <v>B</v>
      </c>
      <c r="Q44" s="2" t="s">
        <v>37</v>
      </c>
      <c r="R44" s="2">
        <f t="shared" si="2"/>
        <v>1</v>
      </c>
      <c r="S44" s="2">
        <v>86</v>
      </c>
      <c r="T44" s="2">
        <v>87</v>
      </c>
      <c r="U44" s="2" t="str">
        <f t="shared" si="3"/>
        <v/>
      </c>
    </row>
    <row r="45" ht="23" customHeight="1" spans="1:21">
      <c r="A45" s="6" t="s">
        <v>370</v>
      </c>
      <c r="B45" s="2" t="s">
        <v>40</v>
      </c>
      <c r="C45" s="2">
        <v>4</v>
      </c>
      <c r="D45" s="6" t="s">
        <v>501</v>
      </c>
      <c r="E45" s="2" t="str">
        <f>five子指标方向明细!F88</f>
        <v>B</v>
      </c>
      <c r="F45" s="2">
        <f>five子指标方向明细!G88</f>
        <v>5</v>
      </c>
      <c r="G45" s="2" t="str">
        <f>five子指标方向明细!H88</f>
        <v>C</v>
      </c>
      <c r="H45" s="2">
        <f>five子指标方向明细!I88</f>
        <v>3</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37</v>
      </c>
      <c r="R45" s="2">
        <f t="shared" si="2"/>
        <v>1</v>
      </c>
      <c r="S45" s="2">
        <v>88</v>
      </c>
      <c r="T45" s="2">
        <v>89</v>
      </c>
      <c r="U45" s="2" t="str">
        <f t="shared" si="3"/>
        <v/>
      </c>
    </row>
    <row r="46" ht="23" customHeight="1" spans="1:21">
      <c r="A46" s="6" t="s">
        <v>370</v>
      </c>
      <c r="B46" s="2" t="s">
        <v>40</v>
      </c>
      <c r="C46" s="2">
        <v>5</v>
      </c>
      <c r="D46" s="6" t="s">
        <v>502</v>
      </c>
      <c r="E46" s="2" t="str">
        <f>five子指标方向明细!F90</f>
        <v>B</v>
      </c>
      <c r="F46" s="2">
        <f>five子指标方向明细!G90</f>
        <v>5</v>
      </c>
      <c r="G46" s="2" t="str">
        <f>five子指标方向明细!H90</f>
        <v>C</v>
      </c>
      <c r="H46" s="2">
        <f>five子指标方向明细!I90</f>
        <v>4</v>
      </c>
      <c r="I46" s="2" t="str">
        <f>five子指标方向明细!L90</f>
        <v>B</v>
      </c>
      <c r="J46" s="2" t="str">
        <f>five子指标方向明细!F91</f>
        <v>C</v>
      </c>
      <c r="K46" s="2">
        <f>five子指标方向明细!G91</f>
        <v>4</v>
      </c>
      <c r="L46" s="2" t="str">
        <f>five子指标方向明细!H91</f>
        <v>B</v>
      </c>
      <c r="M46" s="2">
        <f>five子指标方向明细!I91</f>
        <v>5</v>
      </c>
      <c r="N46" s="2" t="str">
        <f>five子指标方向明细!L91</f>
        <v>B</v>
      </c>
      <c r="O46" s="2">
        <f t="shared" si="0"/>
        <v>1</v>
      </c>
      <c r="P46" s="2" t="str">
        <f t="shared" si="1"/>
        <v>B</v>
      </c>
      <c r="Q46" s="2" t="s">
        <v>37</v>
      </c>
      <c r="R46" s="2">
        <f t="shared" si="2"/>
        <v>1</v>
      </c>
      <c r="S46" s="2">
        <v>90</v>
      </c>
      <c r="T46" s="2">
        <v>91</v>
      </c>
      <c r="U46" s="2" t="str">
        <f t="shared" si="3"/>
        <v/>
      </c>
    </row>
    <row r="47" ht="23" customHeight="1" spans="1:21">
      <c r="A47" s="6" t="s">
        <v>13</v>
      </c>
      <c r="B47" s="2" t="s">
        <v>15</v>
      </c>
      <c r="C47" s="2">
        <v>1</v>
      </c>
      <c r="D47" s="6" t="s">
        <v>498</v>
      </c>
      <c r="E47" s="2" t="str">
        <f>five子指标方向明细!F92</f>
        <v>A</v>
      </c>
      <c r="F47" s="2">
        <f>five子指标方向明细!G92</f>
        <v>4</v>
      </c>
      <c r="G47" s="2" t="str">
        <f>five子指标方向明细!H92</f>
        <v>B</v>
      </c>
      <c r="H47" s="2">
        <f>five子指标方向明细!I92</f>
        <v>4</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23</v>
      </c>
      <c r="R47" s="2">
        <f t="shared" si="2"/>
        <v>1</v>
      </c>
      <c r="S47" s="2">
        <v>92</v>
      </c>
      <c r="T47" s="2">
        <v>93</v>
      </c>
      <c r="U47" s="2" t="str">
        <f t="shared" si="3"/>
        <v>双向评分平局</v>
      </c>
    </row>
    <row r="48" ht="23" customHeight="1" spans="1:21">
      <c r="A48" s="6" t="s">
        <v>13</v>
      </c>
      <c r="B48" s="2" t="s">
        <v>15</v>
      </c>
      <c r="C48" s="2">
        <v>2</v>
      </c>
      <c r="D48" s="6" t="s">
        <v>499</v>
      </c>
      <c r="E48" s="2" t="str">
        <f>five子指标方向明细!F94</f>
        <v>A</v>
      </c>
      <c r="F48" s="2">
        <f>five子指标方向明细!G94</f>
        <v>4</v>
      </c>
      <c r="G48" s="2" t="str">
        <f>five子指标方向明细!H94</f>
        <v>B</v>
      </c>
      <c r="H48" s="2">
        <f>five子指标方向明细!I94</f>
        <v>4</v>
      </c>
      <c r="I48" s="2" t="str">
        <f>five子指标方向明细!L94</f>
        <v>D(平局)</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1</v>
      </c>
      <c r="P48" s="2" t="str">
        <f t="shared" si="1"/>
        <v>D(平局)</v>
      </c>
      <c r="Q48" s="2" t="s">
        <v>23</v>
      </c>
      <c r="R48" s="2">
        <f t="shared" si="2"/>
        <v>1</v>
      </c>
      <c r="S48" s="2">
        <v>94</v>
      </c>
      <c r="T48" s="2">
        <v>95</v>
      </c>
      <c r="U48" s="2" t="str">
        <f t="shared" si="3"/>
        <v>双向评分平局</v>
      </c>
    </row>
    <row r="49" ht="23" customHeight="1" spans="1:21">
      <c r="A49" s="6" t="s">
        <v>13</v>
      </c>
      <c r="B49" s="2" t="s">
        <v>15</v>
      </c>
      <c r="C49" s="2">
        <v>3</v>
      </c>
      <c r="D49" s="6" t="s">
        <v>500</v>
      </c>
      <c r="E49" s="2" t="str">
        <f>five子指标方向明细!F96</f>
        <v>A</v>
      </c>
      <c r="F49" s="2">
        <f>five子指标方向明细!G96</f>
        <v>4</v>
      </c>
      <c r="G49" s="2" t="str">
        <f>five子指标方向明细!H96</f>
        <v>B</v>
      </c>
      <c r="H49" s="2">
        <f>five子指标方向明细!I96</f>
        <v>4</v>
      </c>
      <c r="I49" s="2" t="str">
        <f>five子指标方向明细!L96</f>
        <v>D(平局)</v>
      </c>
      <c r="J49" s="2" t="str">
        <f>five子指标方向明细!F97</f>
        <v>B</v>
      </c>
      <c r="K49" s="2">
        <f>five子指标方向明细!G97</f>
        <v>5</v>
      </c>
      <c r="L49" s="2" t="str">
        <f>five子指标方向明细!H97</f>
        <v>A</v>
      </c>
      <c r="M49" s="2">
        <f>five子指标方向明细!I97</f>
        <v>4</v>
      </c>
      <c r="N49" s="2" t="str">
        <f>five子指标方向明细!L97</f>
        <v>B</v>
      </c>
      <c r="O49" s="2">
        <f t="shared" si="0"/>
        <v>0</v>
      </c>
      <c r="P49" s="2" t="str">
        <f t="shared" si="1"/>
        <v>D(平局)</v>
      </c>
      <c r="Q49" s="2" t="s">
        <v>23</v>
      </c>
      <c r="R49" s="2">
        <f t="shared" si="2"/>
        <v>1</v>
      </c>
      <c r="S49" s="2">
        <v>96</v>
      </c>
      <c r="T49" s="2">
        <v>97</v>
      </c>
      <c r="U49" s="2" t="str">
        <f t="shared" si="3"/>
        <v>方向冲突</v>
      </c>
    </row>
    <row r="50" ht="23" customHeight="1" spans="1:21">
      <c r="A50" s="6" t="s">
        <v>13</v>
      </c>
      <c r="B50" s="2" t="s">
        <v>15</v>
      </c>
      <c r="C50" s="2">
        <v>4</v>
      </c>
      <c r="D50" s="6" t="s">
        <v>501</v>
      </c>
      <c r="E50" s="2" t="str">
        <f>five子指标方向明细!F98</f>
        <v>A</v>
      </c>
      <c r="F50" s="2">
        <f>five子指标方向明细!G98</f>
        <v>4</v>
      </c>
      <c r="G50" s="2" t="str">
        <f>five子指标方向明细!H98</f>
        <v>B</v>
      </c>
      <c r="H50" s="2">
        <f>five子指标方向明细!I98</f>
        <v>4</v>
      </c>
      <c r="I50" s="2" t="str">
        <f>five子指标方向明细!L98</f>
        <v>D(平局)</v>
      </c>
      <c r="J50" s="2" t="str">
        <f>five子指标方向明细!F99</f>
        <v>B</v>
      </c>
      <c r="K50" s="2">
        <f>five子指标方向明细!G99</f>
        <v>5</v>
      </c>
      <c r="L50" s="2" t="str">
        <f>five子指标方向明细!H99</f>
        <v>A</v>
      </c>
      <c r="M50" s="2">
        <f>five子指标方向明细!I99</f>
        <v>4</v>
      </c>
      <c r="N50" s="2" t="str">
        <f>five子指标方向明细!L99</f>
        <v>B</v>
      </c>
      <c r="O50" s="2">
        <f t="shared" si="0"/>
        <v>0</v>
      </c>
      <c r="P50" s="2" t="str">
        <f t="shared" si="1"/>
        <v>D(平局)</v>
      </c>
      <c r="Q50" s="2" t="s">
        <v>23</v>
      </c>
      <c r="R50" s="2">
        <f t="shared" si="2"/>
        <v>1</v>
      </c>
      <c r="S50" s="2">
        <v>98</v>
      </c>
      <c r="T50" s="2">
        <v>99</v>
      </c>
      <c r="U50" s="2" t="str">
        <f t="shared" si="3"/>
        <v>方向冲突</v>
      </c>
    </row>
    <row r="51" ht="23" customHeight="1" spans="1:21">
      <c r="A51" s="6" t="s">
        <v>13</v>
      </c>
      <c r="B51" s="2" t="s">
        <v>15</v>
      </c>
      <c r="C51" s="2">
        <v>5</v>
      </c>
      <c r="D51" s="6" t="s">
        <v>502</v>
      </c>
      <c r="E51" s="2" t="str">
        <f>five子指标方向明细!F100</f>
        <v>A</v>
      </c>
      <c r="F51" s="2">
        <f>five子指标方向明细!G100</f>
        <v>4</v>
      </c>
      <c r="G51" s="2" t="str">
        <f>five子指标方向明细!H100</f>
        <v>B</v>
      </c>
      <c r="H51" s="2">
        <f>five子指标方向明细!I100</f>
        <v>4</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23</v>
      </c>
      <c r="R51" s="2">
        <f t="shared" si="2"/>
        <v>1</v>
      </c>
      <c r="S51" s="2">
        <v>100</v>
      </c>
      <c r="T51" s="2">
        <v>101</v>
      </c>
      <c r="U51" s="2" t="str">
        <f t="shared" si="3"/>
        <v>双向评分平局</v>
      </c>
    </row>
    <row r="52" ht="23" customHeight="1" spans="1:21">
      <c r="A52" s="6" t="s">
        <v>13</v>
      </c>
      <c r="B52" s="2" t="s">
        <v>30</v>
      </c>
      <c r="C52" s="2">
        <v>1</v>
      </c>
      <c r="D52" s="6" t="s">
        <v>498</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34</v>
      </c>
      <c r="R52" s="2">
        <f t="shared" si="2"/>
        <v>0</v>
      </c>
      <c r="S52" s="2">
        <v>102</v>
      </c>
      <c r="T52" s="2">
        <v>103</v>
      </c>
      <c r="U52" s="2" t="str">
        <f t="shared" si="3"/>
        <v>双向评分平局</v>
      </c>
    </row>
    <row r="53" ht="23" customHeight="1" spans="1:21">
      <c r="A53" s="6" t="s">
        <v>13</v>
      </c>
      <c r="B53" s="2" t="s">
        <v>30</v>
      </c>
      <c r="C53" s="2">
        <v>2</v>
      </c>
      <c r="D53" s="6" t="s">
        <v>499</v>
      </c>
      <c r="E53" s="2" t="str">
        <f>five子指标方向明细!F104</f>
        <v>A</v>
      </c>
      <c r="F53" s="2">
        <f>five子指标方向明细!G104</f>
        <v>4</v>
      </c>
      <c r="G53" s="2" t="str">
        <f>five子指标方向明细!H104</f>
        <v>C</v>
      </c>
      <c r="H53" s="2">
        <f>five子指标方向明细!I104</f>
        <v>4</v>
      </c>
      <c r="I53" s="2" t="str">
        <f>five子指标方向明细!L104</f>
        <v>D(平局)</v>
      </c>
      <c r="J53" s="2" t="str">
        <f>five子指标方向明细!F105</f>
        <v>C</v>
      </c>
      <c r="K53" s="2">
        <f>five子指标方向明细!G105</f>
        <v>4</v>
      </c>
      <c r="L53" s="2" t="str">
        <f>five子指标方向明细!H105</f>
        <v>A</v>
      </c>
      <c r="M53" s="2">
        <f>five子指标方向明细!I105</f>
        <v>5</v>
      </c>
      <c r="N53" s="2" t="str">
        <f>five子指标方向明细!L105</f>
        <v>A</v>
      </c>
      <c r="O53" s="2">
        <f t="shared" si="0"/>
        <v>0</v>
      </c>
      <c r="P53" s="2" t="str">
        <f t="shared" si="1"/>
        <v>D(平局)</v>
      </c>
      <c r="Q53" s="2" t="s">
        <v>34</v>
      </c>
      <c r="R53" s="2">
        <f t="shared" si="2"/>
        <v>0</v>
      </c>
      <c r="S53" s="2">
        <v>104</v>
      </c>
      <c r="T53" s="2">
        <v>105</v>
      </c>
      <c r="U53" s="2" t="str">
        <f t="shared" si="3"/>
        <v>方向冲突</v>
      </c>
    </row>
    <row r="54" ht="23" customHeight="1" spans="1:21">
      <c r="A54" s="6" t="s">
        <v>13</v>
      </c>
      <c r="B54" s="2" t="s">
        <v>30</v>
      </c>
      <c r="C54" s="2">
        <v>3</v>
      </c>
      <c r="D54" s="6" t="s">
        <v>500</v>
      </c>
      <c r="E54" s="2" t="str">
        <f>five子指标方向明细!F106</f>
        <v>A</v>
      </c>
      <c r="F54" s="2">
        <f>five子指标方向明细!G106</f>
        <v>4</v>
      </c>
      <c r="G54" s="2" t="str">
        <f>five子指标方向明细!H106</f>
        <v>C</v>
      </c>
      <c r="H54" s="2">
        <f>five子指标方向明细!I106</f>
        <v>4</v>
      </c>
      <c r="I54" s="2" t="str">
        <f>five子指标方向明细!L106</f>
        <v>D(平局)</v>
      </c>
      <c r="J54" s="2" t="str">
        <f>five子指标方向明细!F107</f>
        <v>C</v>
      </c>
      <c r="K54" s="2">
        <f>five子指标方向明细!G107</f>
        <v>5</v>
      </c>
      <c r="L54" s="2" t="str">
        <f>five子指标方向明细!H107</f>
        <v>A</v>
      </c>
      <c r="M54" s="2">
        <f>five子指标方向明细!I107</f>
        <v>4</v>
      </c>
      <c r="N54" s="2" t="str">
        <f>five子指标方向明细!L107</f>
        <v>C</v>
      </c>
      <c r="O54" s="2">
        <f t="shared" si="0"/>
        <v>0</v>
      </c>
      <c r="P54" s="2" t="str">
        <f t="shared" si="1"/>
        <v>D(平局)</v>
      </c>
      <c r="Q54" s="2" t="s">
        <v>34</v>
      </c>
      <c r="R54" s="2">
        <f t="shared" si="2"/>
        <v>0</v>
      </c>
      <c r="S54" s="2">
        <v>106</v>
      </c>
      <c r="T54" s="2">
        <v>107</v>
      </c>
      <c r="U54" s="2" t="str">
        <f t="shared" si="3"/>
        <v>方向冲突</v>
      </c>
    </row>
    <row r="55" ht="23" customHeight="1" spans="1:21">
      <c r="A55" s="6" t="s">
        <v>13</v>
      </c>
      <c r="B55" s="2" t="s">
        <v>30</v>
      </c>
      <c r="C55" s="2">
        <v>4</v>
      </c>
      <c r="D55" s="6" t="s">
        <v>501</v>
      </c>
      <c r="E55" s="2" t="str">
        <f>five子指标方向明细!F108</f>
        <v>A</v>
      </c>
      <c r="F55" s="2">
        <f>five子指标方向明细!G108</f>
        <v>4</v>
      </c>
      <c r="G55" s="2" t="str">
        <f>five子指标方向明细!H108</f>
        <v>C</v>
      </c>
      <c r="H55" s="2">
        <f>five子指标方向明细!I108</f>
        <v>4</v>
      </c>
      <c r="I55" s="2" t="str">
        <f>five子指标方向明细!L108</f>
        <v>D(平局)</v>
      </c>
      <c r="J55" s="2" t="str">
        <f>five子指标方向明细!F109</f>
        <v>C</v>
      </c>
      <c r="K55" s="2">
        <f>five子指标方向明细!G109</f>
        <v>5</v>
      </c>
      <c r="L55" s="2" t="str">
        <f>five子指标方向明细!H109</f>
        <v>A</v>
      </c>
      <c r="M55" s="2">
        <f>five子指标方向明细!I109</f>
        <v>4</v>
      </c>
      <c r="N55" s="2" t="str">
        <f>five子指标方向明细!L109</f>
        <v>C</v>
      </c>
      <c r="O55" s="2">
        <f t="shared" si="0"/>
        <v>0</v>
      </c>
      <c r="P55" s="2" t="str">
        <f t="shared" si="1"/>
        <v>D(平局)</v>
      </c>
      <c r="Q55" s="2" t="s">
        <v>34</v>
      </c>
      <c r="R55" s="2">
        <f t="shared" si="2"/>
        <v>0</v>
      </c>
      <c r="S55" s="2">
        <v>108</v>
      </c>
      <c r="T55" s="2">
        <v>109</v>
      </c>
      <c r="U55" s="2" t="str">
        <f t="shared" si="3"/>
        <v>方向冲突</v>
      </c>
    </row>
    <row r="56" ht="23" customHeight="1" spans="1:21">
      <c r="A56" s="6" t="s">
        <v>13</v>
      </c>
      <c r="B56" s="2" t="s">
        <v>30</v>
      </c>
      <c r="C56" s="2">
        <v>5</v>
      </c>
      <c r="D56" s="6" t="s">
        <v>502</v>
      </c>
      <c r="E56" s="2" t="str">
        <f>five子指标方向明细!F110</f>
        <v>A</v>
      </c>
      <c r="F56" s="2">
        <f>five子指标方向明细!G110</f>
        <v>4</v>
      </c>
      <c r="G56" s="2" t="str">
        <f>five子指标方向明细!H110</f>
        <v>C</v>
      </c>
      <c r="H56" s="2">
        <f>five子指标方向明细!I110</f>
        <v>4</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34</v>
      </c>
      <c r="R56" s="2">
        <f t="shared" si="2"/>
        <v>0</v>
      </c>
      <c r="S56" s="2">
        <v>110</v>
      </c>
      <c r="T56" s="2">
        <v>111</v>
      </c>
      <c r="U56" s="2" t="str">
        <f t="shared" si="3"/>
        <v>双向评分平局</v>
      </c>
    </row>
    <row r="57" ht="23" customHeight="1" spans="1:21">
      <c r="A57" s="6" t="s">
        <v>13</v>
      </c>
      <c r="B57" s="2" t="s">
        <v>40</v>
      </c>
      <c r="C57" s="2">
        <v>1</v>
      </c>
      <c r="D57" s="6" t="s">
        <v>498</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37</v>
      </c>
      <c r="R57" s="2">
        <f t="shared" si="2"/>
        <v>0</v>
      </c>
      <c r="S57" s="2">
        <v>112</v>
      </c>
      <c r="T57" s="2">
        <v>113</v>
      </c>
      <c r="U57" s="2" t="str">
        <f t="shared" si="3"/>
        <v>双向评分平局</v>
      </c>
    </row>
    <row r="58" ht="23" customHeight="1" spans="1:21">
      <c r="A58" s="6" t="s">
        <v>13</v>
      </c>
      <c r="B58" s="2" t="s">
        <v>40</v>
      </c>
      <c r="C58" s="2">
        <v>2</v>
      </c>
      <c r="D58" s="6" t="s">
        <v>499</v>
      </c>
      <c r="E58" s="2" t="str">
        <f>five子指标方向明细!F114</f>
        <v>B</v>
      </c>
      <c r="F58" s="2">
        <f>five子指标方向明细!G114</f>
        <v>5</v>
      </c>
      <c r="G58" s="2" t="str">
        <f>five子指标方向明细!H114</f>
        <v>C</v>
      </c>
      <c r="H58" s="2">
        <f>five子指标方向明细!I114</f>
        <v>4</v>
      </c>
      <c r="I58" s="2" t="str">
        <f>five子指标方向明细!L114</f>
        <v>B</v>
      </c>
      <c r="J58" s="2" t="str">
        <f>five子指标方向明细!F115</f>
        <v>C</v>
      </c>
      <c r="K58" s="2">
        <f>five子指标方向明细!G115</f>
        <v>3</v>
      </c>
      <c r="L58" s="2" t="str">
        <f>five子指标方向明细!H115</f>
        <v>B</v>
      </c>
      <c r="M58" s="2">
        <f>five子指标方向明细!I115</f>
        <v>4</v>
      </c>
      <c r="N58" s="2" t="str">
        <f>five子指标方向明细!L115</f>
        <v>B</v>
      </c>
      <c r="O58" s="2">
        <f t="shared" si="0"/>
        <v>1</v>
      </c>
      <c r="P58" s="2" t="str">
        <f t="shared" si="1"/>
        <v>B</v>
      </c>
      <c r="Q58" s="2" t="s">
        <v>37</v>
      </c>
      <c r="R58" s="2">
        <f t="shared" si="2"/>
        <v>1</v>
      </c>
      <c r="S58" s="2">
        <v>114</v>
      </c>
      <c r="T58" s="2">
        <v>115</v>
      </c>
      <c r="U58" s="2" t="str">
        <f t="shared" si="3"/>
        <v/>
      </c>
    </row>
    <row r="59" ht="23" customHeight="1" spans="1:21">
      <c r="A59" s="6" t="s">
        <v>13</v>
      </c>
      <c r="B59" s="2" t="s">
        <v>40</v>
      </c>
      <c r="C59" s="2">
        <v>3</v>
      </c>
      <c r="D59" s="6" t="s">
        <v>500</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37</v>
      </c>
      <c r="R59" s="2">
        <f t="shared" si="2"/>
        <v>0</v>
      </c>
      <c r="S59" s="2">
        <v>116</v>
      </c>
      <c r="T59" s="2">
        <v>117</v>
      </c>
      <c r="U59" s="2" t="str">
        <f t="shared" si="3"/>
        <v>双向评分平局</v>
      </c>
    </row>
    <row r="60" ht="23" customHeight="1" spans="1:21">
      <c r="A60" s="6" t="s">
        <v>13</v>
      </c>
      <c r="B60" s="2" t="s">
        <v>40</v>
      </c>
      <c r="C60" s="2">
        <v>4</v>
      </c>
      <c r="D60" s="6" t="s">
        <v>501</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37</v>
      </c>
      <c r="R60" s="2">
        <f t="shared" si="2"/>
        <v>0</v>
      </c>
      <c r="S60" s="2">
        <v>118</v>
      </c>
      <c r="T60" s="2">
        <v>119</v>
      </c>
      <c r="U60" s="2" t="str">
        <f t="shared" si="3"/>
        <v>双向评分平局</v>
      </c>
    </row>
    <row r="61" ht="23" customHeight="1" spans="1:21">
      <c r="A61" s="6" t="s">
        <v>13</v>
      </c>
      <c r="B61" s="2" t="s">
        <v>40</v>
      </c>
      <c r="C61" s="2">
        <v>5</v>
      </c>
      <c r="D61" s="6" t="s">
        <v>502</v>
      </c>
      <c r="E61" s="2" t="str">
        <f>five子指标方向明细!F120</f>
        <v>B</v>
      </c>
      <c r="F61" s="2">
        <f>five子指标方向明细!G120</f>
        <v>5</v>
      </c>
      <c r="G61" s="2" t="str">
        <f>five子指标方向明细!H120</f>
        <v>C</v>
      </c>
      <c r="H61" s="2">
        <f>five子指标方向明细!I120</f>
        <v>4</v>
      </c>
      <c r="I61" s="2" t="str">
        <f>five子指标方向明细!L120</f>
        <v>B</v>
      </c>
      <c r="J61" s="2" t="str">
        <f>five子指标方向明细!F121</f>
        <v>C</v>
      </c>
      <c r="K61" s="2">
        <f>five子指标方向明细!G121</f>
        <v>4</v>
      </c>
      <c r="L61" s="2" t="str">
        <f>five子指标方向明细!H121</f>
        <v>B</v>
      </c>
      <c r="M61" s="2">
        <f>five子指标方向明细!I121</f>
        <v>5</v>
      </c>
      <c r="N61" s="2" t="str">
        <f>five子指标方向明细!L121</f>
        <v>B</v>
      </c>
      <c r="O61" s="2">
        <f t="shared" si="0"/>
        <v>1</v>
      </c>
      <c r="P61" s="2" t="str">
        <f t="shared" si="1"/>
        <v>B</v>
      </c>
      <c r="Q61" s="2" t="s">
        <v>37</v>
      </c>
      <c r="R61" s="2">
        <f t="shared" si="2"/>
        <v>1</v>
      </c>
      <c r="S61" s="2">
        <v>120</v>
      </c>
      <c r="T61" s="2">
        <v>121</v>
      </c>
      <c r="U61" s="2" t="str">
        <f t="shared" si="3"/>
        <v/>
      </c>
    </row>
    <row r="62" ht="23" customHeight="1" spans="1:21">
      <c r="A62" s="6" t="s">
        <v>180</v>
      </c>
      <c r="B62" s="2" t="s">
        <v>15</v>
      </c>
      <c r="C62" s="2">
        <v>1</v>
      </c>
      <c r="D62" s="6" t="s">
        <v>498</v>
      </c>
      <c r="E62" s="2" t="str">
        <f>five子指标方向明细!F122</f>
        <v>A</v>
      </c>
      <c r="F62" s="2">
        <f>five子指标方向明细!G122</f>
        <v>5</v>
      </c>
      <c r="G62" s="2" t="str">
        <f>five子指标方向明细!H122</f>
        <v>B</v>
      </c>
      <c r="H62" s="2">
        <f>five子指标方向明细!I122</f>
        <v>5</v>
      </c>
      <c r="I62" s="2" t="str">
        <f>five子指标方向明细!L122</f>
        <v>D(平局)</v>
      </c>
      <c r="J62" s="2" t="str">
        <f>five子指标方向明细!F123</f>
        <v>B</v>
      </c>
      <c r="K62" s="2">
        <f>five子指标方向明细!G123</f>
        <v>5</v>
      </c>
      <c r="L62" s="2" t="str">
        <f>five子指标方向明细!H123</f>
        <v>A</v>
      </c>
      <c r="M62" s="2">
        <f>five子指标方向明细!I123</f>
        <v>4</v>
      </c>
      <c r="N62" s="2" t="str">
        <f>five子指标方向明细!L123</f>
        <v>B</v>
      </c>
      <c r="O62" s="2">
        <f t="shared" si="0"/>
        <v>0</v>
      </c>
      <c r="P62" s="2" t="str">
        <f t="shared" si="1"/>
        <v>D(平局)</v>
      </c>
      <c r="Q62" s="2" t="s">
        <v>37</v>
      </c>
      <c r="R62" s="2">
        <f t="shared" si="2"/>
        <v>0</v>
      </c>
      <c r="S62" s="2">
        <v>122</v>
      </c>
      <c r="T62" s="2">
        <v>123</v>
      </c>
      <c r="U62" s="2" t="str">
        <f t="shared" si="3"/>
        <v>方向冲突</v>
      </c>
    </row>
    <row r="63" ht="23" customHeight="1" spans="1:21">
      <c r="A63" s="6" t="s">
        <v>180</v>
      </c>
      <c r="B63" s="2" t="s">
        <v>15</v>
      </c>
      <c r="C63" s="2">
        <v>2</v>
      </c>
      <c r="D63" s="6" t="s">
        <v>499</v>
      </c>
      <c r="E63" s="2" t="str">
        <f>five子指标方向明细!F124</f>
        <v>A</v>
      </c>
      <c r="F63" s="2">
        <f>five子指标方向明细!G124</f>
        <v>3</v>
      </c>
      <c r="G63" s="2" t="str">
        <f>five子指标方向明细!H124</f>
        <v>B</v>
      </c>
      <c r="H63" s="2">
        <f>five子指标方向明细!I124</f>
        <v>3</v>
      </c>
      <c r="I63" s="2" t="str">
        <f>five子指标方向明细!L124</f>
        <v>D(平局)</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0</v>
      </c>
      <c r="P63" s="2" t="str">
        <f t="shared" si="1"/>
        <v>D(平局)</v>
      </c>
      <c r="Q63" s="2" t="s">
        <v>37</v>
      </c>
      <c r="R63" s="2">
        <f t="shared" si="2"/>
        <v>0</v>
      </c>
      <c r="S63" s="2">
        <v>124</v>
      </c>
      <c r="T63" s="2">
        <v>125</v>
      </c>
      <c r="U63" s="2" t="str">
        <f t="shared" si="3"/>
        <v>方向冲突</v>
      </c>
    </row>
    <row r="64" ht="23" customHeight="1" spans="1:21">
      <c r="A64" s="6" t="s">
        <v>180</v>
      </c>
      <c r="B64" s="2" t="s">
        <v>15</v>
      </c>
      <c r="C64" s="2">
        <v>3</v>
      </c>
      <c r="D64" s="6" t="s">
        <v>500</v>
      </c>
      <c r="E64" s="2" t="str">
        <f>five子指标方向明细!F126</f>
        <v>A</v>
      </c>
      <c r="F64" s="2">
        <f>five子指标方向明细!G126</f>
        <v>3</v>
      </c>
      <c r="G64" s="2" t="str">
        <f>five子指标方向明细!H126</f>
        <v>B</v>
      </c>
      <c r="H64" s="2">
        <f>five子指标方向明细!I126</f>
        <v>4</v>
      </c>
      <c r="I64" s="2" t="str">
        <f>five子指标方向明细!L126</f>
        <v>B</v>
      </c>
      <c r="J64" s="2" t="str">
        <f>five子指标方向明细!F127</f>
        <v>B</v>
      </c>
      <c r="K64" s="2">
        <f>five子指标方向明细!G127</f>
        <v>5</v>
      </c>
      <c r="L64" s="2" t="str">
        <f>five子指标方向明细!H127</f>
        <v>A</v>
      </c>
      <c r="M64" s="2">
        <f>five子指标方向明细!I127</f>
        <v>4</v>
      </c>
      <c r="N64" s="2" t="str">
        <f>five子指标方向明细!L127</f>
        <v>B</v>
      </c>
      <c r="O64" s="2">
        <f t="shared" si="0"/>
        <v>1</v>
      </c>
      <c r="P64" s="2" t="str">
        <f t="shared" si="1"/>
        <v>B</v>
      </c>
      <c r="Q64" s="2" t="s">
        <v>37</v>
      </c>
      <c r="R64" s="2">
        <f t="shared" si="2"/>
        <v>1</v>
      </c>
      <c r="S64" s="2">
        <v>126</v>
      </c>
      <c r="T64" s="2">
        <v>127</v>
      </c>
      <c r="U64" s="2" t="str">
        <f t="shared" si="3"/>
        <v/>
      </c>
    </row>
    <row r="65" ht="23" customHeight="1" spans="1:21">
      <c r="A65" s="6" t="s">
        <v>180</v>
      </c>
      <c r="B65" s="2" t="s">
        <v>15</v>
      </c>
      <c r="C65" s="2">
        <v>4</v>
      </c>
      <c r="D65" s="6" t="s">
        <v>501</v>
      </c>
      <c r="E65" s="2" t="str">
        <f>five子指标方向明细!F128</f>
        <v>A</v>
      </c>
      <c r="F65" s="2">
        <f>five子指标方向明细!G128</f>
        <v>4</v>
      </c>
      <c r="G65" s="2" t="str">
        <f>five子指标方向明细!H128</f>
        <v>B</v>
      </c>
      <c r="H65" s="2">
        <f>five子指标方向明细!I128</f>
        <v>5</v>
      </c>
      <c r="I65" s="2" t="str">
        <f>five子指标方向明细!L128</f>
        <v>B</v>
      </c>
      <c r="J65" s="2" t="str">
        <f>five子指标方向明细!F129</f>
        <v>B</v>
      </c>
      <c r="K65" s="2">
        <f>five子指标方向明细!G129</f>
        <v>5</v>
      </c>
      <c r="L65" s="2" t="str">
        <f>five子指标方向明细!H129</f>
        <v>A</v>
      </c>
      <c r="M65" s="2">
        <f>five子指标方向明细!I129</f>
        <v>4</v>
      </c>
      <c r="N65" s="2" t="str">
        <f>five子指标方向明细!L129</f>
        <v>B</v>
      </c>
      <c r="O65" s="2">
        <f t="shared" si="0"/>
        <v>1</v>
      </c>
      <c r="P65" s="2" t="str">
        <f t="shared" si="1"/>
        <v>B</v>
      </c>
      <c r="Q65" s="2" t="s">
        <v>37</v>
      </c>
      <c r="R65" s="2">
        <f t="shared" si="2"/>
        <v>1</v>
      </c>
      <c r="S65" s="2">
        <v>128</v>
      </c>
      <c r="T65" s="2">
        <v>129</v>
      </c>
      <c r="U65" s="2" t="str">
        <f t="shared" si="3"/>
        <v/>
      </c>
    </row>
    <row r="66" ht="23" customHeight="1" spans="1:21">
      <c r="A66" s="6" t="s">
        <v>180</v>
      </c>
      <c r="B66" s="2" t="s">
        <v>15</v>
      </c>
      <c r="C66" s="2">
        <v>5</v>
      </c>
      <c r="D66" s="6" t="s">
        <v>502</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37</v>
      </c>
      <c r="R66" s="2">
        <f t="shared" ref="R66:R129" si="6">--(P66=Q66)</f>
        <v>0</v>
      </c>
      <c r="S66" s="2">
        <v>130</v>
      </c>
      <c r="T66" s="2">
        <v>131</v>
      </c>
      <c r="U66" s="2" t="str">
        <f t="shared" ref="U66:U129" si="7">IF(P66&lt;&gt;"D(平局)","",IF(O66=0,"方向冲突","双向评分平局"))</f>
        <v>双向评分平局</v>
      </c>
    </row>
    <row r="67" ht="23" customHeight="1" spans="1:21">
      <c r="A67" s="6" t="s">
        <v>180</v>
      </c>
      <c r="B67" s="2" t="s">
        <v>30</v>
      </c>
      <c r="C67" s="2">
        <v>1</v>
      </c>
      <c r="D67" s="6" t="s">
        <v>498</v>
      </c>
      <c r="E67" s="2" t="str">
        <f>five子指标方向明细!F132</f>
        <v>A</v>
      </c>
      <c r="F67" s="2">
        <f>five子指标方向明细!G132</f>
        <v>4</v>
      </c>
      <c r="G67" s="2" t="str">
        <f>five子指标方向明细!H132</f>
        <v>C</v>
      </c>
      <c r="H67" s="2">
        <f>five子指标方向明细!I132</f>
        <v>5</v>
      </c>
      <c r="I67" s="2" t="str">
        <f>five子指标方向明细!L132</f>
        <v>C</v>
      </c>
      <c r="J67" s="2" t="str">
        <f>five子指标方向明细!F133</f>
        <v>C</v>
      </c>
      <c r="K67" s="2">
        <f>five子指标方向明细!G133</f>
        <v>5</v>
      </c>
      <c r="L67" s="2" t="str">
        <f>five子指标方向明细!H133</f>
        <v>A</v>
      </c>
      <c r="M67" s="2">
        <f>five子指标方向明细!I133</f>
        <v>4</v>
      </c>
      <c r="N67" s="2" t="str">
        <f>five子指标方向明细!L133</f>
        <v>C</v>
      </c>
      <c r="O67" s="2">
        <f t="shared" si="4"/>
        <v>1</v>
      </c>
      <c r="P67" s="2" t="str">
        <f t="shared" si="5"/>
        <v>C</v>
      </c>
      <c r="Q67" s="2" t="s">
        <v>34</v>
      </c>
      <c r="R67" s="2">
        <f t="shared" si="6"/>
        <v>0</v>
      </c>
      <c r="S67" s="2">
        <v>132</v>
      </c>
      <c r="T67" s="2">
        <v>133</v>
      </c>
      <c r="U67" s="2" t="str">
        <f t="shared" si="7"/>
        <v/>
      </c>
    </row>
    <row r="68" ht="23" customHeight="1" spans="1:21">
      <c r="A68" s="6" t="s">
        <v>180</v>
      </c>
      <c r="B68" s="2" t="s">
        <v>30</v>
      </c>
      <c r="C68" s="2">
        <v>2</v>
      </c>
      <c r="D68" s="6" t="s">
        <v>499</v>
      </c>
      <c r="E68" s="2" t="str">
        <f>five子指标方向明细!F134</f>
        <v>A</v>
      </c>
      <c r="F68" s="2">
        <f>five子指标方向明细!G134</f>
        <v>3</v>
      </c>
      <c r="G68" s="2" t="str">
        <f>five子指标方向明细!H134</f>
        <v>C</v>
      </c>
      <c r="H68" s="2">
        <f>five子指标方向明细!I134</f>
        <v>4</v>
      </c>
      <c r="I68" s="2" t="str">
        <f>five子指标方向明细!L134</f>
        <v>C</v>
      </c>
      <c r="J68" s="2" t="str">
        <f>five子指标方向明细!F135</f>
        <v>C</v>
      </c>
      <c r="K68" s="2">
        <f>five子指标方向明细!G135</f>
        <v>4</v>
      </c>
      <c r="L68" s="2" t="str">
        <f>five子指标方向明细!H135</f>
        <v>A</v>
      </c>
      <c r="M68" s="2">
        <f>five子指标方向明细!I135</f>
        <v>3</v>
      </c>
      <c r="N68" s="2" t="str">
        <f>five子指标方向明细!L135</f>
        <v>C</v>
      </c>
      <c r="O68" s="2">
        <f t="shared" si="4"/>
        <v>1</v>
      </c>
      <c r="P68" s="2" t="str">
        <f t="shared" si="5"/>
        <v>C</v>
      </c>
      <c r="Q68" s="2" t="s">
        <v>34</v>
      </c>
      <c r="R68" s="2">
        <f t="shared" si="6"/>
        <v>0</v>
      </c>
      <c r="S68" s="2">
        <v>134</v>
      </c>
      <c r="T68" s="2">
        <v>135</v>
      </c>
      <c r="U68" s="2" t="str">
        <f t="shared" si="7"/>
        <v/>
      </c>
    </row>
    <row r="69" ht="23" customHeight="1" spans="1:21">
      <c r="A69" s="6" t="s">
        <v>180</v>
      </c>
      <c r="B69" s="2" t="s">
        <v>30</v>
      </c>
      <c r="C69" s="2">
        <v>3</v>
      </c>
      <c r="D69" s="6" t="s">
        <v>500</v>
      </c>
      <c r="E69" s="2" t="str">
        <f>five子指标方向明细!F136</f>
        <v>A</v>
      </c>
      <c r="F69" s="2">
        <f>five子指标方向明细!G136</f>
        <v>4</v>
      </c>
      <c r="G69" s="2" t="str">
        <f>five子指标方向明细!H136</f>
        <v>C</v>
      </c>
      <c r="H69" s="2">
        <f>five子指标方向明细!I136</f>
        <v>5</v>
      </c>
      <c r="I69" s="2" t="str">
        <f>five子指标方向明细!L136</f>
        <v>C</v>
      </c>
      <c r="J69" s="2" t="str">
        <f>five子指标方向明细!F137</f>
        <v>C</v>
      </c>
      <c r="K69" s="2">
        <f>five子指标方向明细!G137</f>
        <v>5</v>
      </c>
      <c r="L69" s="2" t="str">
        <f>five子指标方向明细!H137</f>
        <v>A</v>
      </c>
      <c r="M69" s="2">
        <f>five子指标方向明细!I137</f>
        <v>4</v>
      </c>
      <c r="N69" s="2" t="str">
        <f>five子指标方向明细!L137</f>
        <v>C</v>
      </c>
      <c r="O69" s="2">
        <f t="shared" si="4"/>
        <v>1</v>
      </c>
      <c r="P69" s="2" t="str">
        <f t="shared" si="5"/>
        <v>C</v>
      </c>
      <c r="Q69" s="2" t="s">
        <v>34</v>
      </c>
      <c r="R69" s="2">
        <f t="shared" si="6"/>
        <v>0</v>
      </c>
      <c r="S69" s="2">
        <v>136</v>
      </c>
      <c r="T69" s="2">
        <v>137</v>
      </c>
      <c r="U69" s="2" t="str">
        <f t="shared" si="7"/>
        <v/>
      </c>
    </row>
    <row r="70" ht="23" customHeight="1" spans="1:21">
      <c r="A70" s="6" t="s">
        <v>180</v>
      </c>
      <c r="B70" s="2" t="s">
        <v>30</v>
      </c>
      <c r="C70" s="2">
        <v>4</v>
      </c>
      <c r="D70" s="6" t="s">
        <v>501</v>
      </c>
      <c r="E70" s="2" t="str">
        <f>five子指标方向明细!F138</f>
        <v>A</v>
      </c>
      <c r="F70" s="2">
        <f>five子指标方向明细!G138</f>
        <v>4</v>
      </c>
      <c r="G70" s="2" t="str">
        <f>five子指标方向明细!H138</f>
        <v>C</v>
      </c>
      <c r="H70" s="2">
        <f>five子指标方向明细!I138</f>
        <v>5</v>
      </c>
      <c r="I70" s="2" t="str">
        <f>five子指标方向明细!L138</f>
        <v>C</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1</v>
      </c>
      <c r="P70" s="2" t="str">
        <f t="shared" si="5"/>
        <v>C</v>
      </c>
      <c r="Q70" s="2" t="s">
        <v>34</v>
      </c>
      <c r="R70" s="2">
        <f t="shared" si="6"/>
        <v>0</v>
      </c>
      <c r="S70" s="2">
        <v>138</v>
      </c>
      <c r="T70" s="2">
        <v>139</v>
      </c>
      <c r="U70" s="2" t="str">
        <f t="shared" si="7"/>
        <v/>
      </c>
    </row>
    <row r="71" ht="23" customHeight="1" spans="1:21">
      <c r="A71" s="6" t="s">
        <v>180</v>
      </c>
      <c r="B71" s="2" t="s">
        <v>30</v>
      </c>
      <c r="C71" s="2">
        <v>5</v>
      </c>
      <c r="D71" s="6" t="s">
        <v>502</v>
      </c>
      <c r="E71" s="2" t="str">
        <f>five子指标方向明细!F140</f>
        <v>A</v>
      </c>
      <c r="F71" s="2">
        <f>five子指标方向明细!G140</f>
        <v>5</v>
      </c>
      <c r="G71" s="2" t="str">
        <f>five子指标方向明细!H140</f>
        <v>C</v>
      </c>
      <c r="H71" s="2">
        <f>five子指标方向明细!I140</f>
        <v>3</v>
      </c>
      <c r="I71" s="2" t="str">
        <f>five子指标方向明细!L140</f>
        <v>A</v>
      </c>
      <c r="J71" s="2" t="str">
        <f>five子指标方向明细!F141</f>
        <v>C</v>
      </c>
      <c r="K71" s="2">
        <f>five子指标方向明细!G141</f>
        <v>5</v>
      </c>
      <c r="L71" s="2" t="str">
        <f>five子指标方向明细!H141</f>
        <v>A</v>
      </c>
      <c r="M71" s="2">
        <f>five子指标方向明细!I141</f>
        <v>5</v>
      </c>
      <c r="N71" s="2" t="str">
        <f>five子指标方向明细!L141</f>
        <v>D(平局)</v>
      </c>
      <c r="O71" s="2">
        <f t="shared" si="4"/>
        <v>0</v>
      </c>
      <c r="P71" s="2" t="str">
        <f t="shared" si="5"/>
        <v>D(平局)</v>
      </c>
      <c r="Q71" s="2" t="s">
        <v>34</v>
      </c>
      <c r="R71" s="2">
        <f t="shared" si="6"/>
        <v>0</v>
      </c>
      <c r="S71" s="2">
        <v>140</v>
      </c>
      <c r="T71" s="2">
        <v>141</v>
      </c>
      <c r="U71" s="2" t="str">
        <f t="shared" si="7"/>
        <v>方向冲突</v>
      </c>
    </row>
    <row r="72" ht="23" customHeight="1" spans="1:21">
      <c r="A72" s="6" t="s">
        <v>180</v>
      </c>
      <c r="B72" s="2" t="s">
        <v>40</v>
      </c>
      <c r="C72" s="2">
        <v>1</v>
      </c>
      <c r="D72" s="6" t="s">
        <v>498</v>
      </c>
      <c r="E72" s="2" t="str">
        <f>five子指标方向明细!F142</f>
        <v>B</v>
      </c>
      <c r="F72" s="2">
        <f>five子指标方向明细!G142</f>
        <v>4</v>
      </c>
      <c r="G72" s="2" t="str">
        <f>five子指标方向明细!H142</f>
        <v>C</v>
      </c>
      <c r="H72" s="2">
        <f>five子指标方向明细!I142</f>
        <v>4</v>
      </c>
      <c r="I72" s="2" t="str">
        <f>five子指标方向明细!L142</f>
        <v>D(平局)</v>
      </c>
      <c r="J72" s="2" t="str">
        <f>five子指标方向明细!F143</f>
        <v>C</v>
      </c>
      <c r="K72" s="2">
        <f>five子指标方向明细!G143</f>
        <v>5</v>
      </c>
      <c r="L72" s="2" t="str">
        <f>five子指标方向明细!H143</f>
        <v>B</v>
      </c>
      <c r="M72" s="2">
        <f>five子指标方向明细!I143</f>
        <v>5</v>
      </c>
      <c r="N72" s="2" t="str">
        <f>five子指标方向明细!L143</f>
        <v>D(平局)</v>
      </c>
      <c r="O72" s="2">
        <f t="shared" si="4"/>
        <v>1</v>
      </c>
      <c r="P72" s="2" t="str">
        <f t="shared" si="5"/>
        <v>D(平局)</v>
      </c>
      <c r="Q72" s="2" t="s">
        <v>37</v>
      </c>
      <c r="R72" s="2">
        <f t="shared" si="6"/>
        <v>0</v>
      </c>
      <c r="S72" s="2">
        <v>142</v>
      </c>
      <c r="T72" s="2">
        <v>143</v>
      </c>
      <c r="U72" s="2" t="str">
        <f t="shared" si="7"/>
        <v>双向评分平局</v>
      </c>
    </row>
    <row r="73" ht="23" customHeight="1" spans="1:21">
      <c r="A73" s="6" t="s">
        <v>180</v>
      </c>
      <c r="B73" s="2" t="s">
        <v>40</v>
      </c>
      <c r="C73" s="2">
        <v>2</v>
      </c>
      <c r="D73" s="6" t="s">
        <v>499</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4</v>
      </c>
      <c r="L73" s="2" t="str">
        <f>five子指标方向明细!H145</f>
        <v>B</v>
      </c>
      <c r="M73" s="2">
        <f>five子指标方向明细!I145</f>
        <v>3</v>
      </c>
      <c r="N73" s="2" t="str">
        <f>five子指标方向明细!L145</f>
        <v>C</v>
      </c>
      <c r="O73" s="2">
        <f t="shared" si="4"/>
        <v>0</v>
      </c>
      <c r="P73" s="2" t="str">
        <f t="shared" si="5"/>
        <v>D(平局)</v>
      </c>
      <c r="Q73" s="2" t="s">
        <v>37</v>
      </c>
      <c r="R73" s="2">
        <f t="shared" si="6"/>
        <v>0</v>
      </c>
      <c r="S73" s="2">
        <v>144</v>
      </c>
      <c r="T73" s="2">
        <v>145</v>
      </c>
      <c r="U73" s="2" t="str">
        <f t="shared" si="7"/>
        <v>方向冲突</v>
      </c>
    </row>
    <row r="74" ht="23" customHeight="1" spans="1:21">
      <c r="A74" s="6" t="s">
        <v>180</v>
      </c>
      <c r="B74" s="2" t="s">
        <v>40</v>
      </c>
      <c r="C74" s="2">
        <v>3</v>
      </c>
      <c r="D74" s="6" t="s">
        <v>500</v>
      </c>
      <c r="E74" s="2" t="str">
        <f>five子指标方向明细!F146</f>
        <v>B</v>
      </c>
      <c r="F74" s="2">
        <f>five子指标方向明细!G146</f>
        <v>4</v>
      </c>
      <c r="G74" s="2" t="str">
        <f>five子指标方向明细!H146</f>
        <v>C</v>
      </c>
      <c r="H74" s="2">
        <f>five子指标方向明细!I146</f>
        <v>4</v>
      </c>
      <c r="I74" s="2" t="str">
        <f>five子指标方向明细!L146</f>
        <v>D(平局)</v>
      </c>
      <c r="J74" s="2" t="str">
        <f>five子指标方向明细!F147</f>
        <v>C</v>
      </c>
      <c r="K74" s="2">
        <f>five子指标方向明细!G147</f>
        <v>4</v>
      </c>
      <c r="L74" s="2" t="str">
        <f>five子指标方向明细!H147</f>
        <v>B</v>
      </c>
      <c r="M74" s="2">
        <f>five子指标方向明细!I147</f>
        <v>4</v>
      </c>
      <c r="N74" s="2" t="str">
        <f>five子指标方向明细!L147</f>
        <v>D(平局)</v>
      </c>
      <c r="O74" s="2">
        <f t="shared" si="4"/>
        <v>1</v>
      </c>
      <c r="P74" s="2" t="str">
        <f t="shared" si="5"/>
        <v>D(平局)</v>
      </c>
      <c r="Q74" s="2" t="s">
        <v>37</v>
      </c>
      <c r="R74" s="2">
        <f t="shared" si="6"/>
        <v>0</v>
      </c>
      <c r="S74" s="2">
        <v>146</v>
      </c>
      <c r="T74" s="2">
        <v>147</v>
      </c>
      <c r="U74" s="2" t="str">
        <f t="shared" si="7"/>
        <v>双向评分平局</v>
      </c>
    </row>
    <row r="75" ht="23" customHeight="1" spans="1:21">
      <c r="A75" s="6" t="s">
        <v>180</v>
      </c>
      <c r="B75" s="2" t="s">
        <v>40</v>
      </c>
      <c r="C75" s="2">
        <v>4</v>
      </c>
      <c r="D75" s="6" t="s">
        <v>501</v>
      </c>
      <c r="E75" s="2" t="str">
        <f>five子指标方向明细!F148</f>
        <v>B</v>
      </c>
      <c r="F75" s="2">
        <f>five子指标方向明细!G148</f>
        <v>4</v>
      </c>
      <c r="G75" s="2" t="str">
        <f>five子指标方向明细!H148</f>
        <v>C</v>
      </c>
      <c r="H75" s="2">
        <f>five子指标方向明细!I148</f>
        <v>4</v>
      </c>
      <c r="I75" s="2" t="str">
        <f>five子指标方向明细!L148</f>
        <v>D(平局)</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0</v>
      </c>
      <c r="P75" s="2" t="str">
        <f t="shared" si="5"/>
        <v>D(平局)</v>
      </c>
      <c r="Q75" s="2" t="s">
        <v>37</v>
      </c>
      <c r="R75" s="2">
        <f t="shared" si="6"/>
        <v>0</v>
      </c>
      <c r="S75" s="2">
        <v>148</v>
      </c>
      <c r="T75" s="2">
        <v>149</v>
      </c>
      <c r="U75" s="2" t="str">
        <f t="shared" si="7"/>
        <v>方向冲突</v>
      </c>
    </row>
    <row r="76" ht="23" customHeight="1" spans="1:21">
      <c r="A76" s="6" t="s">
        <v>180</v>
      </c>
      <c r="B76" s="2" t="s">
        <v>40</v>
      </c>
      <c r="C76" s="2">
        <v>5</v>
      </c>
      <c r="D76" s="6" t="s">
        <v>502</v>
      </c>
      <c r="E76" s="2" t="str">
        <f>five子指标方向明细!F150</f>
        <v>B</v>
      </c>
      <c r="F76" s="2">
        <f>five子指标方向明细!G150</f>
        <v>5</v>
      </c>
      <c r="G76" s="2" t="str">
        <f>five子指标方向明细!H150</f>
        <v>C</v>
      </c>
      <c r="H76" s="2">
        <f>five子指标方向明细!I150</f>
        <v>5</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37</v>
      </c>
      <c r="R76" s="2">
        <f t="shared" si="6"/>
        <v>0</v>
      </c>
      <c r="S76" s="2">
        <v>150</v>
      </c>
      <c r="T76" s="2">
        <v>151</v>
      </c>
      <c r="U76" s="2" t="str">
        <f t="shared" si="7"/>
        <v>双向评分平局</v>
      </c>
    </row>
    <row r="77" ht="23" customHeight="1" spans="1:21">
      <c r="A77" s="6" t="s">
        <v>104</v>
      </c>
      <c r="B77" s="2" t="s">
        <v>15</v>
      </c>
      <c r="C77" s="2">
        <v>1</v>
      </c>
      <c r="D77" s="6" t="s">
        <v>498</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34</v>
      </c>
      <c r="R77" s="2">
        <f t="shared" si="6"/>
        <v>0</v>
      </c>
      <c r="S77" s="2">
        <v>152</v>
      </c>
      <c r="T77" s="2">
        <v>153</v>
      </c>
      <c r="U77" s="2" t="str">
        <f t="shared" si="7"/>
        <v>双向评分平局</v>
      </c>
    </row>
    <row r="78" ht="23" customHeight="1" spans="1:21">
      <c r="A78" s="6" t="s">
        <v>104</v>
      </c>
      <c r="B78" s="2" t="s">
        <v>15</v>
      </c>
      <c r="C78" s="2">
        <v>2</v>
      </c>
      <c r="D78" s="6" t="s">
        <v>499</v>
      </c>
      <c r="E78" s="2" t="str">
        <f>five子指标方向明细!F154</f>
        <v>A</v>
      </c>
      <c r="F78" s="2">
        <f>five子指标方向明细!G154</f>
        <v>4</v>
      </c>
      <c r="G78" s="2" t="str">
        <f>five子指标方向明细!H154</f>
        <v>B</v>
      </c>
      <c r="H78" s="2">
        <f>five子指标方向明细!I154</f>
        <v>3</v>
      </c>
      <c r="I78" s="2" t="str">
        <f>five子指标方向明细!L154</f>
        <v>A</v>
      </c>
      <c r="J78" s="2" t="str">
        <f>five子指标方向明细!F155</f>
        <v>B</v>
      </c>
      <c r="K78" s="2">
        <f>five子指标方向明细!G155</f>
        <v>3</v>
      </c>
      <c r="L78" s="2" t="str">
        <f>five子指标方向明细!H155</f>
        <v>A</v>
      </c>
      <c r="M78" s="2">
        <f>five子指标方向明细!I155</f>
        <v>4</v>
      </c>
      <c r="N78" s="2" t="str">
        <f>five子指标方向明细!L155</f>
        <v>A</v>
      </c>
      <c r="O78" s="2">
        <f t="shared" si="4"/>
        <v>1</v>
      </c>
      <c r="P78" s="2" t="str">
        <f t="shared" si="5"/>
        <v>A</v>
      </c>
      <c r="Q78" s="2" t="s">
        <v>34</v>
      </c>
      <c r="R78" s="2">
        <f t="shared" si="6"/>
        <v>1</v>
      </c>
      <c r="S78" s="2">
        <v>154</v>
      </c>
      <c r="T78" s="2">
        <v>155</v>
      </c>
      <c r="U78" s="2" t="str">
        <f t="shared" si="7"/>
        <v/>
      </c>
    </row>
    <row r="79" ht="23" customHeight="1" spans="1:21">
      <c r="A79" s="6" t="s">
        <v>104</v>
      </c>
      <c r="B79" s="2" t="s">
        <v>15</v>
      </c>
      <c r="C79" s="2">
        <v>3</v>
      </c>
      <c r="D79" s="6" t="s">
        <v>500</v>
      </c>
      <c r="E79" s="2" t="str">
        <f>five子指标方向明细!F156</f>
        <v>A</v>
      </c>
      <c r="F79" s="2">
        <f>five子指标方向明细!G156</f>
        <v>4</v>
      </c>
      <c r="G79" s="2" t="str">
        <f>five子指标方向明细!H156</f>
        <v>B</v>
      </c>
      <c r="H79" s="2">
        <f>five子指标方向明细!I156</f>
        <v>4</v>
      </c>
      <c r="I79" s="2" t="str">
        <f>five子指标方向明细!L156</f>
        <v>D(平局)</v>
      </c>
      <c r="J79" s="2" t="str">
        <f>five子指标方向明细!F157</f>
        <v>B</v>
      </c>
      <c r="K79" s="2">
        <f>five子指标方向明细!G157</f>
        <v>4</v>
      </c>
      <c r="L79" s="2" t="str">
        <f>five子指标方向明细!H157</f>
        <v>A</v>
      </c>
      <c r="M79" s="2">
        <f>five子指标方向明细!I157</f>
        <v>4</v>
      </c>
      <c r="N79" s="2" t="str">
        <f>five子指标方向明细!L157</f>
        <v>D(平局)</v>
      </c>
      <c r="O79" s="2">
        <f t="shared" si="4"/>
        <v>1</v>
      </c>
      <c r="P79" s="2" t="str">
        <f t="shared" si="5"/>
        <v>D(平局)</v>
      </c>
      <c r="Q79" s="2" t="s">
        <v>34</v>
      </c>
      <c r="R79" s="2">
        <f t="shared" si="6"/>
        <v>0</v>
      </c>
      <c r="S79" s="2">
        <v>156</v>
      </c>
      <c r="T79" s="2">
        <v>157</v>
      </c>
      <c r="U79" s="2" t="str">
        <f t="shared" si="7"/>
        <v>双向评分平局</v>
      </c>
    </row>
    <row r="80" ht="23" customHeight="1" spans="1:21">
      <c r="A80" s="6" t="s">
        <v>104</v>
      </c>
      <c r="B80" s="2" t="s">
        <v>15</v>
      </c>
      <c r="C80" s="2">
        <v>4</v>
      </c>
      <c r="D80" s="6" t="s">
        <v>501</v>
      </c>
      <c r="E80" s="2" t="str">
        <f>five子指标方向明细!F158</f>
        <v>A</v>
      </c>
      <c r="F80" s="2">
        <f>five子指标方向明细!G158</f>
        <v>5</v>
      </c>
      <c r="G80" s="2" t="str">
        <f>five子指标方向明细!H158</f>
        <v>B</v>
      </c>
      <c r="H80" s="2">
        <f>five子指标方向明细!I158</f>
        <v>4</v>
      </c>
      <c r="I80" s="2" t="str">
        <f>five子指标方向明细!L158</f>
        <v>A</v>
      </c>
      <c r="J80" s="2" t="str">
        <f>five子指标方向明细!F159</f>
        <v>B</v>
      </c>
      <c r="K80" s="2">
        <f>five子指标方向明细!G159</f>
        <v>4</v>
      </c>
      <c r="L80" s="2" t="str">
        <f>five子指标方向明细!H159</f>
        <v>A</v>
      </c>
      <c r="M80" s="2">
        <f>five子指标方向明细!I159</f>
        <v>3</v>
      </c>
      <c r="N80" s="2" t="str">
        <f>five子指标方向明细!L159</f>
        <v>B</v>
      </c>
      <c r="O80" s="2">
        <f t="shared" si="4"/>
        <v>0</v>
      </c>
      <c r="P80" s="2" t="str">
        <f t="shared" si="5"/>
        <v>D(平局)</v>
      </c>
      <c r="Q80" s="2" t="s">
        <v>34</v>
      </c>
      <c r="R80" s="2">
        <f t="shared" si="6"/>
        <v>0</v>
      </c>
      <c r="S80" s="2">
        <v>158</v>
      </c>
      <c r="T80" s="2">
        <v>159</v>
      </c>
      <c r="U80" s="2" t="str">
        <f t="shared" si="7"/>
        <v>方向冲突</v>
      </c>
    </row>
    <row r="81" ht="23" customHeight="1" spans="1:21">
      <c r="A81" s="6" t="s">
        <v>104</v>
      </c>
      <c r="B81" s="2" t="s">
        <v>15</v>
      </c>
      <c r="C81" s="2">
        <v>5</v>
      </c>
      <c r="D81" s="6" t="s">
        <v>502</v>
      </c>
      <c r="E81" s="2" t="str">
        <f>five子指标方向明细!F160</f>
        <v>A</v>
      </c>
      <c r="F81" s="2">
        <f>five子指标方向明细!G160</f>
        <v>5</v>
      </c>
      <c r="G81" s="2" t="str">
        <f>five子指标方向明细!H160</f>
        <v>B</v>
      </c>
      <c r="H81" s="2">
        <f>five子指标方向明细!I160</f>
        <v>5</v>
      </c>
      <c r="I81" s="2" t="str">
        <f>five子指标方向明细!L160</f>
        <v>D(平局)</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1</v>
      </c>
      <c r="P81" s="2" t="str">
        <f t="shared" si="5"/>
        <v>D(平局)</v>
      </c>
      <c r="Q81" s="2" t="s">
        <v>34</v>
      </c>
      <c r="R81" s="2">
        <f t="shared" si="6"/>
        <v>0</v>
      </c>
      <c r="S81" s="2">
        <v>160</v>
      </c>
      <c r="T81" s="2">
        <v>161</v>
      </c>
      <c r="U81" s="2" t="str">
        <f t="shared" si="7"/>
        <v>双向评分平局</v>
      </c>
    </row>
    <row r="82" ht="23" customHeight="1" spans="1:21">
      <c r="A82" s="6" t="s">
        <v>104</v>
      </c>
      <c r="B82" s="2" t="s">
        <v>30</v>
      </c>
      <c r="C82" s="2">
        <v>1</v>
      </c>
      <c r="D82" s="6" t="s">
        <v>498</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5</v>
      </c>
      <c r="L82" s="2" t="str">
        <f>five子指标方向明细!H163</f>
        <v>A</v>
      </c>
      <c r="M82" s="2">
        <f>five子指标方向明细!I163</f>
        <v>5</v>
      </c>
      <c r="N82" s="2" t="str">
        <f>five子指标方向明细!L163</f>
        <v>D(平局)</v>
      </c>
      <c r="O82" s="2">
        <f t="shared" si="4"/>
        <v>1</v>
      </c>
      <c r="P82" s="2" t="str">
        <f t="shared" si="5"/>
        <v>D(平局)</v>
      </c>
      <c r="Q82" s="2" t="s">
        <v>34</v>
      </c>
      <c r="R82" s="2">
        <f t="shared" si="6"/>
        <v>0</v>
      </c>
      <c r="S82" s="2">
        <v>162</v>
      </c>
      <c r="T82" s="2">
        <v>163</v>
      </c>
      <c r="U82" s="2" t="str">
        <f t="shared" si="7"/>
        <v>双向评分平局</v>
      </c>
    </row>
    <row r="83" ht="23" customHeight="1" spans="1:21">
      <c r="A83" s="6" t="s">
        <v>104</v>
      </c>
      <c r="B83" s="2" t="s">
        <v>30</v>
      </c>
      <c r="C83" s="2">
        <v>2</v>
      </c>
      <c r="D83" s="6" t="s">
        <v>499</v>
      </c>
      <c r="E83" s="2" t="str">
        <f>five子指标方向明细!F164</f>
        <v>A</v>
      </c>
      <c r="F83" s="2">
        <f>five子指标方向明细!G164</f>
        <v>4</v>
      </c>
      <c r="G83" s="2" t="str">
        <f>five子指标方向明细!H164</f>
        <v>C</v>
      </c>
      <c r="H83" s="2">
        <f>five子指标方向明细!I164</f>
        <v>3</v>
      </c>
      <c r="I83" s="2" t="str">
        <f>five子指标方向明细!L164</f>
        <v>A</v>
      </c>
      <c r="J83" s="2" t="str">
        <f>five子指标方向明细!F165</f>
        <v>C</v>
      </c>
      <c r="K83" s="2">
        <f>five子指标方向明细!G165</f>
        <v>3</v>
      </c>
      <c r="L83" s="2" t="str">
        <f>five子指标方向明细!H165</f>
        <v>A</v>
      </c>
      <c r="M83" s="2">
        <f>five子指标方向明细!I165</f>
        <v>4</v>
      </c>
      <c r="N83" s="2" t="str">
        <f>five子指标方向明细!L165</f>
        <v>A</v>
      </c>
      <c r="O83" s="2">
        <f t="shared" si="4"/>
        <v>1</v>
      </c>
      <c r="P83" s="2" t="str">
        <f t="shared" si="5"/>
        <v>A</v>
      </c>
      <c r="Q83" s="2" t="s">
        <v>34</v>
      </c>
      <c r="R83" s="2">
        <f t="shared" si="6"/>
        <v>1</v>
      </c>
      <c r="S83" s="2">
        <v>164</v>
      </c>
      <c r="T83" s="2">
        <v>165</v>
      </c>
      <c r="U83" s="2" t="str">
        <f t="shared" si="7"/>
        <v/>
      </c>
    </row>
    <row r="84" ht="23" customHeight="1" spans="1:21">
      <c r="A84" s="6" t="s">
        <v>104</v>
      </c>
      <c r="B84" s="2" t="s">
        <v>30</v>
      </c>
      <c r="C84" s="2">
        <v>3</v>
      </c>
      <c r="D84" s="6" t="s">
        <v>500</v>
      </c>
      <c r="E84" s="2" t="str">
        <f>five子指标方向明细!F166</f>
        <v>A</v>
      </c>
      <c r="F84" s="2">
        <f>five子指标方向明细!G166</f>
        <v>5</v>
      </c>
      <c r="G84" s="2" t="str">
        <f>five子指标方向明细!H166</f>
        <v>C</v>
      </c>
      <c r="H84" s="2">
        <f>five子指标方向明细!I166</f>
        <v>4</v>
      </c>
      <c r="I84" s="2" t="str">
        <f>five子指标方向明细!L166</f>
        <v>A</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0</v>
      </c>
      <c r="P84" s="2" t="str">
        <f t="shared" si="5"/>
        <v>D(平局)</v>
      </c>
      <c r="Q84" s="2" t="s">
        <v>34</v>
      </c>
      <c r="R84" s="2">
        <f t="shared" si="6"/>
        <v>0</v>
      </c>
      <c r="S84" s="2">
        <v>166</v>
      </c>
      <c r="T84" s="2">
        <v>167</v>
      </c>
      <c r="U84" s="2" t="str">
        <f t="shared" si="7"/>
        <v>方向冲突</v>
      </c>
    </row>
    <row r="85" ht="23" customHeight="1" spans="1:21">
      <c r="A85" s="6" t="s">
        <v>104</v>
      </c>
      <c r="B85" s="2" t="s">
        <v>30</v>
      </c>
      <c r="C85" s="2">
        <v>4</v>
      </c>
      <c r="D85" s="6" t="s">
        <v>501</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4</v>
      </c>
      <c r="L85" s="2" t="str">
        <f>five子指标方向明细!H169</f>
        <v>A</v>
      </c>
      <c r="M85" s="2">
        <f>five子指标方向明细!I169</f>
        <v>4</v>
      </c>
      <c r="N85" s="2" t="str">
        <f>five子指标方向明细!L169</f>
        <v>D(平局)</v>
      </c>
      <c r="O85" s="2">
        <f t="shared" si="4"/>
        <v>1</v>
      </c>
      <c r="P85" s="2" t="str">
        <f t="shared" si="5"/>
        <v>D(平局)</v>
      </c>
      <c r="Q85" s="2" t="s">
        <v>34</v>
      </c>
      <c r="R85" s="2">
        <f t="shared" si="6"/>
        <v>0</v>
      </c>
      <c r="S85" s="2">
        <v>168</v>
      </c>
      <c r="T85" s="2">
        <v>169</v>
      </c>
      <c r="U85" s="2" t="str">
        <f t="shared" si="7"/>
        <v>双向评分平局</v>
      </c>
    </row>
    <row r="86" ht="23" customHeight="1" spans="1:21">
      <c r="A86" s="6" t="s">
        <v>104</v>
      </c>
      <c r="B86" s="2" t="s">
        <v>30</v>
      </c>
      <c r="C86" s="2">
        <v>5</v>
      </c>
      <c r="D86" s="6" t="s">
        <v>502</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34</v>
      </c>
      <c r="R86" s="2">
        <f t="shared" si="6"/>
        <v>0</v>
      </c>
      <c r="S86" s="2">
        <v>170</v>
      </c>
      <c r="T86" s="2">
        <v>171</v>
      </c>
      <c r="U86" s="2" t="str">
        <f t="shared" si="7"/>
        <v>双向评分平局</v>
      </c>
    </row>
    <row r="87" ht="23" customHeight="1" spans="1:21">
      <c r="A87" s="6" t="s">
        <v>104</v>
      </c>
      <c r="B87" s="2" t="s">
        <v>40</v>
      </c>
      <c r="C87" s="2">
        <v>1</v>
      </c>
      <c r="D87" s="6" t="s">
        <v>498</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5</v>
      </c>
      <c r="L87" s="2" t="str">
        <f>five子指标方向明细!H173</f>
        <v>B</v>
      </c>
      <c r="M87" s="2">
        <f>five子指标方向明细!I173</f>
        <v>5</v>
      </c>
      <c r="N87" s="2" t="str">
        <f>five子指标方向明细!L173</f>
        <v>D(平局)</v>
      </c>
      <c r="O87" s="2">
        <f t="shared" si="4"/>
        <v>1</v>
      </c>
      <c r="P87" s="2" t="str">
        <f t="shared" si="5"/>
        <v>D(平局)</v>
      </c>
      <c r="Q87" s="2" t="s">
        <v>37</v>
      </c>
      <c r="R87" s="2">
        <f t="shared" si="6"/>
        <v>0</v>
      </c>
      <c r="S87" s="2">
        <v>172</v>
      </c>
      <c r="T87" s="2">
        <v>173</v>
      </c>
      <c r="U87" s="2" t="str">
        <f t="shared" si="7"/>
        <v>双向评分平局</v>
      </c>
    </row>
    <row r="88" ht="23" customHeight="1" spans="1:21">
      <c r="A88" s="6" t="s">
        <v>104</v>
      </c>
      <c r="B88" s="2" t="s">
        <v>40</v>
      </c>
      <c r="C88" s="2">
        <v>2</v>
      </c>
      <c r="D88" s="6" t="s">
        <v>499</v>
      </c>
      <c r="E88" s="2" t="str">
        <f>five子指标方向明细!F174</f>
        <v>B</v>
      </c>
      <c r="F88" s="2">
        <f>five子指标方向明细!G174</f>
        <v>4</v>
      </c>
      <c r="G88" s="2" t="str">
        <f>five子指标方向明细!H174</f>
        <v>C</v>
      </c>
      <c r="H88" s="2">
        <f>five子指标方向明细!I174</f>
        <v>3</v>
      </c>
      <c r="I88" s="2" t="str">
        <f>five子指标方向明细!L174</f>
        <v>B</v>
      </c>
      <c r="J88" s="2" t="str">
        <f>five子指标方向明细!F175</f>
        <v>C</v>
      </c>
      <c r="K88" s="2">
        <f>five子指标方向明细!G175</f>
        <v>3</v>
      </c>
      <c r="L88" s="2" t="str">
        <f>five子指标方向明细!H175</f>
        <v>B</v>
      </c>
      <c r="M88" s="2">
        <f>five子指标方向明细!I175</f>
        <v>4</v>
      </c>
      <c r="N88" s="2" t="str">
        <f>five子指标方向明细!L175</f>
        <v>B</v>
      </c>
      <c r="O88" s="2">
        <f t="shared" si="4"/>
        <v>1</v>
      </c>
      <c r="P88" s="2" t="str">
        <f t="shared" si="5"/>
        <v>B</v>
      </c>
      <c r="Q88" s="2" t="s">
        <v>37</v>
      </c>
      <c r="R88" s="2">
        <f t="shared" si="6"/>
        <v>1</v>
      </c>
      <c r="S88" s="2">
        <v>174</v>
      </c>
      <c r="T88" s="2">
        <v>175</v>
      </c>
      <c r="U88" s="2" t="str">
        <f t="shared" si="7"/>
        <v/>
      </c>
    </row>
    <row r="89" ht="23" customHeight="1" spans="1:21">
      <c r="A89" s="6" t="s">
        <v>104</v>
      </c>
      <c r="B89" s="2" t="s">
        <v>40</v>
      </c>
      <c r="C89" s="2">
        <v>3</v>
      </c>
      <c r="D89" s="6" t="s">
        <v>500</v>
      </c>
      <c r="E89" s="2" t="str">
        <f>five子指标方向明细!F176</f>
        <v>B</v>
      </c>
      <c r="F89" s="2">
        <f>five子指标方向明细!G176</f>
        <v>4</v>
      </c>
      <c r="G89" s="2" t="str">
        <f>five子指标方向明细!H176</f>
        <v>C</v>
      </c>
      <c r="H89" s="2">
        <f>five子指标方向明细!I176</f>
        <v>4</v>
      </c>
      <c r="I89" s="2" t="str">
        <f>five子指标方向明细!L176</f>
        <v>D(平局)</v>
      </c>
      <c r="J89" s="2" t="str">
        <f>five子指标方向明细!F177</f>
        <v>C</v>
      </c>
      <c r="K89" s="2">
        <f>five子指标方向明细!G177</f>
        <v>4</v>
      </c>
      <c r="L89" s="2" t="str">
        <f>five子指标方向明细!H177</f>
        <v>B</v>
      </c>
      <c r="M89" s="2">
        <f>five子指标方向明细!I177</f>
        <v>5</v>
      </c>
      <c r="N89" s="2" t="str">
        <f>five子指标方向明细!L177</f>
        <v>B</v>
      </c>
      <c r="O89" s="2">
        <f t="shared" si="4"/>
        <v>0</v>
      </c>
      <c r="P89" s="2" t="str">
        <f t="shared" si="5"/>
        <v>D(平局)</v>
      </c>
      <c r="Q89" s="2" t="s">
        <v>37</v>
      </c>
      <c r="R89" s="2">
        <f t="shared" si="6"/>
        <v>0</v>
      </c>
      <c r="S89" s="2">
        <v>176</v>
      </c>
      <c r="T89" s="2">
        <v>177</v>
      </c>
      <c r="U89" s="2" t="str">
        <f t="shared" si="7"/>
        <v>方向冲突</v>
      </c>
    </row>
    <row r="90" ht="23" customHeight="1" spans="1:21">
      <c r="A90" s="6" t="s">
        <v>104</v>
      </c>
      <c r="B90" s="2" t="s">
        <v>40</v>
      </c>
      <c r="C90" s="2">
        <v>4</v>
      </c>
      <c r="D90" s="6" t="s">
        <v>501</v>
      </c>
      <c r="E90" s="2" t="str">
        <f>five子指标方向明细!F178</f>
        <v>B</v>
      </c>
      <c r="F90" s="2">
        <f>five子指标方向明细!G178</f>
        <v>4</v>
      </c>
      <c r="G90" s="2" t="str">
        <f>five子指标方向明细!H178</f>
        <v>C</v>
      </c>
      <c r="H90" s="2">
        <f>five子指标方向明细!I178</f>
        <v>4</v>
      </c>
      <c r="I90" s="2" t="str">
        <f>five子指标方向明细!L178</f>
        <v>D(平局)</v>
      </c>
      <c r="J90" s="2" t="str">
        <f>five子指标方向明细!F179</f>
        <v>C</v>
      </c>
      <c r="K90" s="2">
        <f>five子指标方向明细!G179</f>
        <v>5</v>
      </c>
      <c r="L90" s="2" t="str">
        <f>five子指标方向明细!H179</f>
        <v>B</v>
      </c>
      <c r="M90" s="2">
        <f>five子指标方向明细!I179</f>
        <v>4</v>
      </c>
      <c r="N90" s="2" t="str">
        <f>five子指标方向明细!L179</f>
        <v>C</v>
      </c>
      <c r="O90" s="2">
        <f t="shared" si="4"/>
        <v>0</v>
      </c>
      <c r="P90" s="2" t="str">
        <f t="shared" si="5"/>
        <v>D(平局)</v>
      </c>
      <c r="Q90" s="2" t="s">
        <v>37</v>
      </c>
      <c r="R90" s="2">
        <f t="shared" si="6"/>
        <v>0</v>
      </c>
      <c r="S90" s="2">
        <v>178</v>
      </c>
      <c r="T90" s="2">
        <v>179</v>
      </c>
      <c r="U90" s="2" t="str">
        <f t="shared" si="7"/>
        <v>方向冲突</v>
      </c>
    </row>
    <row r="91" ht="23" customHeight="1" spans="1:21">
      <c r="A91" s="6" t="s">
        <v>104</v>
      </c>
      <c r="B91" s="2" t="s">
        <v>40</v>
      </c>
      <c r="C91" s="2">
        <v>5</v>
      </c>
      <c r="D91" s="6" t="s">
        <v>502</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37</v>
      </c>
      <c r="R91" s="2">
        <f t="shared" si="6"/>
        <v>0</v>
      </c>
      <c r="S91" s="2">
        <v>180</v>
      </c>
      <c r="T91" s="2">
        <v>181</v>
      </c>
      <c r="U91" s="2" t="str">
        <f t="shared" si="7"/>
        <v>双向评分平局</v>
      </c>
    </row>
    <row r="92" ht="23" customHeight="1" spans="1:21">
      <c r="A92" s="6" t="s">
        <v>66</v>
      </c>
      <c r="B92" s="2" t="s">
        <v>15</v>
      </c>
      <c r="C92" s="2">
        <v>1</v>
      </c>
      <c r="D92" s="6" t="s">
        <v>498</v>
      </c>
      <c r="E92" s="2" t="str">
        <f>five子指标方向明细!F182</f>
        <v>A</v>
      </c>
      <c r="F92" s="2">
        <f>five子指标方向明细!G182</f>
        <v>5</v>
      </c>
      <c r="G92" s="2" t="str">
        <f>five子指标方向明细!H182</f>
        <v>B</v>
      </c>
      <c r="H92" s="2">
        <f>five子指标方向明细!I182</f>
        <v>5</v>
      </c>
      <c r="I92" s="2" t="str">
        <f>five子指标方向明细!L182</f>
        <v>D(平局)</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1</v>
      </c>
      <c r="P92" s="2" t="str">
        <f t="shared" si="5"/>
        <v>D(平局)</v>
      </c>
      <c r="Q92" s="2" t="s">
        <v>34</v>
      </c>
      <c r="R92" s="2">
        <f t="shared" si="6"/>
        <v>0</v>
      </c>
      <c r="S92" s="2">
        <v>182</v>
      </c>
      <c r="T92" s="2">
        <v>183</v>
      </c>
      <c r="U92" s="2" t="str">
        <f t="shared" si="7"/>
        <v>双向评分平局</v>
      </c>
    </row>
    <row r="93" ht="23" customHeight="1" spans="1:21">
      <c r="A93" s="6" t="s">
        <v>66</v>
      </c>
      <c r="B93" s="2" t="s">
        <v>15</v>
      </c>
      <c r="C93" s="2">
        <v>2</v>
      </c>
      <c r="D93" s="6" t="s">
        <v>499</v>
      </c>
      <c r="E93" s="2" t="str">
        <f>five子指标方向明细!F184</f>
        <v>A</v>
      </c>
      <c r="F93" s="2">
        <f>five子指标方向明细!G184</f>
        <v>5</v>
      </c>
      <c r="G93" s="2" t="str">
        <f>five子指标方向明细!H184</f>
        <v>B</v>
      </c>
      <c r="H93" s="2">
        <f>five子指标方向明细!I184</f>
        <v>2</v>
      </c>
      <c r="I93" s="2" t="str">
        <f>five子指标方向明细!L184</f>
        <v>A</v>
      </c>
      <c r="J93" s="2" t="str">
        <f>five子指标方向明细!F185</f>
        <v>B</v>
      </c>
      <c r="K93" s="2">
        <f>five子指标方向明细!G185</f>
        <v>3</v>
      </c>
      <c r="L93" s="2" t="str">
        <f>five子指标方向明细!H185</f>
        <v>A</v>
      </c>
      <c r="M93" s="2">
        <f>five子指标方向明细!I185</f>
        <v>5</v>
      </c>
      <c r="N93" s="2" t="str">
        <f>five子指标方向明细!L185</f>
        <v>A</v>
      </c>
      <c r="O93" s="2">
        <f t="shared" si="4"/>
        <v>1</v>
      </c>
      <c r="P93" s="2" t="str">
        <f t="shared" si="5"/>
        <v>A</v>
      </c>
      <c r="Q93" s="2" t="s">
        <v>34</v>
      </c>
      <c r="R93" s="2">
        <f t="shared" si="6"/>
        <v>1</v>
      </c>
      <c r="S93" s="2">
        <v>184</v>
      </c>
      <c r="T93" s="2">
        <v>185</v>
      </c>
      <c r="U93" s="2" t="str">
        <f t="shared" si="7"/>
        <v/>
      </c>
    </row>
    <row r="94" ht="23" customHeight="1" spans="1:21">
      <c r="A94" s="6" t="s">
        <v>66</v>
      </c>
      <c r="B94" s="2" t="s">
        <v>15</v>
      </c>
      <c r="C94" s="2">
        <v>3</v>
      </c>
      <c r="D94" s="6" t="s">
        <v>500</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34</v>
      </c>
      <c r="R94" s="2">
        <f t="shared" si="6"/>
        <v>0</v>
      </c>
      <c r="S94" s="2">
        <v>186</v>
      </c>
      <c r="T94" s="2">
        <v>187</v>
      </c>
      <c r="U94" s="2" t="str">
        <f t="shared" si="7"/>
        <v>双向评分平局</v>
      </c>
    </row>
    <row r="95" ht="23" customHeight="1" spans="1:21">
      <c r="A95" s="6" t="s">
        <v>66</v>
      </c>
      <c r="B95" s="2" t="s">
        <v>15</v>
      </c>
      <c r="C95" s="2">
        <v>4</v>
      </c>
      <c r="D95" s="6" t="s">
        <v>501</v>
      </c>
      <c r="E95" s="2" t="str">
        <f>five子指标方向明细!F188</f>
        <v>A</v>
      </c>
      <c r="F95" s="2">
        <f>five子指标方向明细!G188</f>
        <v>5</v>
      </c>
      <c r="G95" s="2" t="str">
        <f>five子指标方向明细!H188</f>
        <v>B</v>
      </c>
      <c r="H95" s="2">
        <f>five子指标方向明细!I188</f>
        <v>4</v>
      </c>
      <c r="I95" s="2" t="str">
        <f>five子指标方向明细!L188</f>
        <v>A</v>
      </c>
      <c r="J95" s="2" t="str">
        <f>five子指标方向明细!F189</f>
        <v>B</v>
      </c>
      <c r="K95" s="2">
        <f>five子指标方向明细!G189</f>
        <v>4</v>
      </c>
      <c r="L95" s="2" t="str">
        <f>five子指标方向明细!H189</f>
        <v>A</v>
      </c>
      <c r="M95" s="2">
        <f>five子指标方向明细!I189</f>
        <v>4</v>
      </c>
      <c r="N95" s="2" t="str">
        <f>five子指标方向明细!L189</f>
        <v>D(平局)</v>
      </c>
      <c r="O95" s="2">
        <f t="shared" si="4"/>
        <v>0</v>
      </c>
      <c r="P95" s="2" t="str">
        <f t="shared" si="5"/>
        <v>D(平局)</v>
      </c>
      <c r="Q95" s="2" t="s">
        <v>34</v>
      </c>
      <c r="R95" s="2">
        <f t="shared" si="6"/>
        <v>0</v>
      </c>
      <c r="S95" s="2">
        <v>188</v>
      </c>
      <c r="T95" s="2">
        <v>189</v>
      </c>
      <c r="U95" s="2" t="str">
        <f t="shared" si="7"/>
        <v>方向冲突</v>
      </c>
    </row>
    <row r="96" ht="23" customHeight="1" spans="1:21">
      <c r="A96" s="6" t="s">
        <v>66</v>
      </c>
      <c r="B96" s="2" t="s">
        <v>15</v>
      </c>
      <c r="C96" s="2">
        <v>5</v>
      </c>
      <c r="D96" s="6" t="s">
        <v>502</v>
      </c>
      <c r="E96" s="2" t="str">
        <f>five子指标方向明细!F190</f>
        <v>A</v>
      </c>
      <c r="F96" s="2">
        <f>five子指标方向明细!G190</f>
        <v>5</v>
      </c>
      <c r="G96" s="2" t="str">
        <f>five子指标方向明细!H190</f>
        <v>B</v>
      </c>
      <c r="H96" s="2">
        <f>five子指标方向明细!I190</f>
        <v>5</v>
      </c>
      <c r="I96" s="2" t="str">
        <f>five子指标方向明细!L190</f>
        <v>D(平局)</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1</v>
      </c>
      <c r="P96" s="2" t="str">
        <f t="shared" si="5"/>
        <v>D(平局)</v>
      </c>
      <c r="Q96" s="2" t="s">
        <v>34</v>
      </c>
      <c r="R96" s="2">
        <f t="shared" si="6"/>
        <v>0</v>
      </c>
      <c r="S96" s="2">
        <v>190</v>
      </c>
      <c r="T96" s="2">
        <v>191</v>
      </c>
      <c r="U96" s="2" t="str">
        <f t="shared" si="7"/>
        <v>双向评分平局</v>
      </c>
    </row>
    <row r="97" ht="23" customHeight="1" spans="1:21">
      <c r="A97" s="6" t="s">
        <v>66</v>
      </c>
      <c r="B97" s="2" t="s">
        <v>30</v>
      </c>
      <c r="C97" s="2">
        <v>1</v>
      </c>
      <c r="D97" s="6" t="s">
        <v>498</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34</v>
      </c>
      <c r="R97" s="2">
        <f t="shared" si="6"/>
        <v>0</v>
      </c>
      <c r="S97" s="2">
        <v>192</v>
      </c>
      <c r="T97" s="2">
        <v>193</v>
      </c>
      <c r="U97" s="2" t="str">
        <f t="shared" si="7"/>
        <v>双向评分平局</v>
      </c>
    </row>
    <row r="98" ht="23" customHeight="1" spans="1:21">
      <c r="A98" s="6" t="s">
        <v>66</v>
      </c>
      <c r="B98" s="2" t="s">
        <v>30</v>
      </c>
      <c r="C98" s="2">
        <v>2</v>
      </c>
      <c r="D98" s="6" t="s">
        <v>499</v>
      </c>
      <c r="E98" s="2" t="str">
        <f>five子指标方向明细!F194</f>
        <v>A</v>
      </c>
      <c r="F98" s="2">
        <f>five子指标方向明细!G194</f>
        <v>5</v>
      </c>
      <c r="G98" s="2" t="str">
        <f>five子指标方向明细!H194</f>
        <v>C</v>
      </c>
      <c r="H98" s="2">
        <f>five子指标方向明细!I194</f>
        <v>3</v>
      </c>
      <c r="I98" s="2" t="str">
        <f>five子指标方向明细!L194</f>
        <v>A</v>
      </c>
      <c r="J98" s="2" t="str">
        <f>five子指标方向明细!F195</f>
        <v>C</v>
      </c>
      <c r="K98" s="2">
        <f>five子指标方向明细!G195</f>
        <v>4</v>
      </c>
      <c r="L98" s="2" t="str">
        <f>five子指标方向明细!H195</f>
        <v>A</v>
      </c>
      <c r="M98" s="2">
        <f>five子指标方向明细!I195</f>
        <v>5</v>
      </c>
      <c r="N98" s="2" t="str">
        <f>five子指标方向明细!L195</f>
        <v>A</v>
      </c>
      <c r="O98" s="2">
        <f t="shared" si="4"/>
        <v>1</v>
      </c>
      <c r="P98" s="2" t="str">
        <f t="shared" si="5"/>
        <v>A</v>
      </c>
      <c r="Q98" s="2" t="s">
        <v>34</v>
      </c>
      <c r="R98" s="2">
        <f t="shared" si="6"/>
        <v>1</v>
      </c>
      <c r="S98" s="2">
        <v>194</v>
      </c>
      <c r="T98" s="2">
        <v>195</v>
      </c>
      <c r="U98" s="2" t="str">
        <f t="shared" si="7"/>
        <v/>
      </c>
    </row>
    <row r="99" ht="23" customHeight="1" spans="1:21">
      <c r="A99" s="6" t="s">
        <v>66</v>
      </c>
      <c r="B99" s="2" t="s">
        <v>30</v>
      </c>
      <c r="C99" s="2">
        <v>3</v>
      </c>
      <c r="D99" s="6" t="s">
        <v>500</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34</v>
      </c>
      <c r="R99" s="2">
        <f t="shared" si="6"/>
        <v>1</v>
      </c>
      <c r="S99" s="2">
        <v>196</v>
      </c>
      <c r="T99" s="2">
        <v>197</v>
      </c>
      <c r="U99" s="2" t="str">
        <f t="shared" si="7"/>
        <v/>
      </c>
    </row>
    <row r="100" ht="23" customHeight="1" spans="1:21">
      <c r="A100" s="6" t="s">
        <v>66</v>
      </c>
      <c r="B100" s="2" t="s">
        <v>30</v>
      </c>
      <c r="C100" s="2">
        <v>4</v>
      </c>
      <c r="D100" s="6" t="s">
        <v>501</v>
      </c>
      <c r="E100" s="2" t="str">
        <f>five子指标方向明细!F198</f>
        <v>A</v>
      </c>
      <c r="F100" s="2">
        <f>five子指标方向明细!G198</f>
        <v>5</v>
      </c>
      <c r="G100" s="2" t="str">
        <f>five子指标方向明细!H198</f>
        <v>C</v>
      </c>
      <c r="H100" s="2">
        <f>five子指标方向明细!I198</f>
        <v>4</v>
      </c>
      <c r="I100" s="2" t="str">
        <f>five子指标方向明细!L198</f>
        <v>A</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0</v>
      </c>
      <c r="P100" s="2" t="str">
        <f t="shared" si="5"/>
        <v>D(平局)</v>
      </c>
      <c r="Q100" s="2" t="s">
        <v>34</v>
      </c>
      <c r="R100" s="2">
        <f t="shared" si="6"/>
        <v>0</v>
      </c>
      <c r="S100" s="2">
        <v>198</v>
      </c>
      <c r="T100" s="2">
        <v>199</v>
      </c>
      <c r="U100" s="2" t="str">
        <f t="shared" si="7"/>
        <v>方向冲突</v>
      </c>
    </row>
    <row r="101" ht="23" customHeight="1" spans="1:21">
      <c r="A101" s="6" t="s">
        <v>66</v>
      </c>
      <c r="B101" s="2" t="s">
        <v>30</v>
      </c>
      <c r="C101" s="2">
        <v>5</v>
      </c>
      <c r="D101" s="6" t="s">
        <v>502</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34</v>
      </c>
      <c r="R101" s="2">
        <f t="shared" si="6"/>
        <v>0</v>
      </c>
      <c r="S101" s="2">
        <v>200</v>
      </c>
      <c r="T101" s="2">
        <v>201</v>
      </c>
      <c r="U101" s="2" t="str">
        <f t="shared" si="7"/>
        <v>双向评分平局</v>
      </c>
    </row>
    <row r="102" ht="23" customHeight="1" spans="1:21">
      <c r="A102" s="6" t="s">
        <v>66</v>
      </c>
      <c r="B102" s="2" t="s">
        <v>40</v>
      </c>
      <c r="C102" s="2">
        <v>1</v>
      </c>
      <c r="D102" s="6" t="s">
        <v>498</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22</v>
      </c>
      <c r="R102" s="2">
        <f t="shared" si="6"/>
        <v>0</v>
      </c>
      <c r="S102" s="2">
        <v>202</v>
      </c>
      <c r="T102" s="2">
        <v>203</v>
      </c>
      <c r="U102" s="2" t="str">
        <f t="shared" si="7"/>
        <v>双向评分平局</v>
      </c>
    </row>
    <row r="103" ht="23" customHeight="1" spans="1:21">
      <c r="A103" s="6" t="s">
        <v>66</v>
      </c>
      <c r="B103" s="2" t="s">
        <v>40</v>
      </c>
      <c r="C103" s="2">
        <v>2</v>
      </c>
      <c r="D103" s="6" t="s">
        <v>499</v>
      </c>
      <c r="E103" s="2" t="str">
        <f>five子指标方向明细!F204</f>
        <v>B</v>
      </c>
      <c r="F103" s="2">
        <f>five子指标方向明细!G204</f>
        <v>3</v>
      </c>
      <c r="G103" s="2" t="str">
        <f>five子指标方向明细!H204</f>
        <v>C</v>
      </c>
      <c r="H103" s="2">
        <f>five子指标方向明细!I204</f>
        <v>3</v>
      </c>
      <c r="I103" s="2" t="str">
        <f>five子指标方向明细!L204</f>
        <v>D(平局)</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0</v>
      </c>
      <c r="P103" s="2" t="str">
        <f t="shared" si="5"/>
        <v>D(平局)</v>
      </c>
      <c r="Q103" s="2" t="s">
        <v>22</v>
      </c>
      <c r="R103" s="2">
        <f t="shared" si="6"/>
        <v>0</v>
      </c>
      <c r="S103" s="2">
        <v>204</v>
      </c>
      <c r="T103" s="2">
        <v>205</v>
      </c>
      <c r="U103" s="2" t="str">
        <f t="shared" si="7"/>
        <v>方向冲突</v>
      </c>
    </row>
    <row r="104" ht="23" customHeight="1" spans="1:21">
      <c r="A104" s="6" t="s">
        <v>66</v>
      </c>
      <c r="B104" s="2" t="s">
        <v>40</v>
      </c>
      <c r="C104" s="2">
        <v>3</v>
      </c>
      <c r="D104" s="6" t="s">
        <v>500</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22</v>
      </c>
      <c r="R104" s="2">
        <f t="shared" si="6"/>
        <v>0</v>
      </c>
      <c r="S104" s="2">
        <v>206</v>
      </c>
      <c r="T104" s="2">
        <v>207</v>
      </c>
      <c r="U104" s="2" t="str">
        <f t="shared" si="7"/>
        <v/>
      </c>
    </row>
    <row r="105" ht="23" customHeight="1" spans="1:21">
      <c r="A105" s="6" t="s">
        <v>66</v>
      </c>
      <c r="B105" s="2" t="s">
        <v>40</v>
      </c>
      <c r="C105" s="2">
        <v>4</v>
      </c>
      <c r="D105" s="6" t="s">
        <v>501</v>
      </c>
      <c r="E105" s="2" t="str">
        <f>five子指标方向明细!F208</f>
        <v>B</v>
      </c>
      <c r="F105" s="2">
        <f>five子指标方向明细!G208</f>
        <v>4</v>
      </c>
      <c r="G105" s="2" t="str">
        <f>five子指标方向明细!H208</f>
        <v>C</v>
      </c>
      <c r="H105" s="2">
        <f>five子指标方向明细!I208</f>
        <v>5</v>
      </c>
      <c r="I105" s="2" t="str">
        <f>five子指标方向明细!L208</f>
        <v>C</v>
      </c>
      <c r="J105" s="2" t="str">
        <f>five子指标方向明细!F209</f>
        <v>C</v>
      </c>
      <c r="K105" s="2">
        <f>five子指标方向明细!G209</f>
        <v>5</v>
      </c>
      <c r="L105" s="2" t="str">
        <f>five子指标方向明细!H209</f>
        <v>B</v>
      </c>
      <c r="M105" s="2">
        <f>five子指标方向明细!I209</f>
        <v>4</v>
      </c>
      <c r="N105" s="2" t="str">
        <f>five子指标方向明细!L209</f>
        <v>C</v>
      </c>
      <c r="O105" s="2">
        <f t="shared" si="4"/>
        <v>1</v>
      </c>
      <c r="P105" s="2" t="str">
        <f t="shared" si="5"/>
        <v>C</v>
      </c>
      <c r="Q105" s="2" t="s">
        <v>22</v>
      </c>
      <c r="R105" s="2">
        <f t="shared" si="6"/>
        <v>1</v>
      </c>
      <c r="S105" s="2">
        <v>208</v>
      </c>
      <c r="T105" s="2">
        <v>209</v>
      </c>
      <c r="U105" s="2" t="str">
        <f t="shared" si="7"/>
        <v/>
      </c>
    </row>
    <row r="106" ht="23" customHeight="1" spans="1:21">
      <c r="A106" s="6" t="s">
        <v>66</v>
      </c>
      <c r="B106" s="2" t="s">
        <v>40</v>
      </c>
      <c r="C106" s="2">
        <v>5</v>
      </c>
      <c r="D106" s="6" t="s">
        <v>502</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22</v>
      </c>
      <c r="R106" s="2">
        <f t="shared" si="6"/>
        <v>0</v>
      </c>
      <c r="S106" s="2">
        <v>210</v>
      </c>
      <c r="T106" s="2">
        <v>211</v>
      </c>
      <c r="U106" s="2" t="str">
        <f t="shared" si="7"/>
        <v>双向评分平局</v>
      </c>
    </row>
    <row r="107" ht="23" customHeight="1" spans="1:21">
      <c r="A107" s="6" t="s">
        <v>142</v>
      </c>
      <c r="B107" s="2" t="s">
        <v>15</v>
      </c>
      <c r="C107" s="2">
        <v>1</v>
      </c>
      <c r="D107" s="6" t="s">
        <v>498</v>
      </c>
      <c r="E107" s="2" t="str">
        <f>five子指标方向明细!F212</f>
        <v>A</v>
      </c>
      <c r="F107" s="2">
        <f>five子指标方向明细!G212</f>
        <v>4</v>
      </c>
      <c r="G107" s="2" t="str">
        <f>five子指标方向明细!H212</f>
        <v>B</v>
      </c>
      <c r="H107" s="2">
        <f>five子指标方向明细!I212</f>
        <v>5</v>
      </c>
      <c r="I107" s="2" t="str">
        <f>five子指标方向明细!L212</f>
        <v>B</v>
      </c>
      <c r="J107" s="2" t="str">
        <f>five子指标方向明细!F213</f>
        <v>B</v>
      </c>
      <c r="K107" s="2">
        <f>five子指标方向明细!G213</f>
        <v>4</v>
      </c>
      <c r="L107" s="2" t="str">
        <f>five子指标方向明细!H213</f>
        <v>A</v>
      </c>
      <c r="M107" s="2">
        <f>five子指标方向明细!I213</f>
        <v>4</v>
      </c>
      <c r="N107" s="2" t="str">
        <f>five子指标方向明细!L213</f>
        <v>D(平局)</v>
      </c>
      <c r="O107" s="2">
        <f t="shared" si="4"/>
        <v>0</v>
      </c>
      <c r="P107" s="2" t="str">
        <f t="shared" si="5"/>
        <v>D(平局)</v>
      </c>
      <c r="Q107" s="2" t="s">
        <v>34</v>
      </c>
      <c r="R107" s="2">
        <f t="shared" si="6"/>
        <v>0</v>
      </c>
      <c r="S107" s="2">
        <v>212</v>
      </c>
      <c r="T107" s="2">
        <v>213</v>
      </c>
      <c r="U107" s="2" t="str">
        <f t="shared" si="7"/>
        <v>方向冲突</v>
      </c>
    </row>
    <row r="108" ht="23" customHeight="1" spans="1:21">
      <c r="A108" s="6" t="s">
        <v>142</v>
      </c>
      <c r="B108" s="2" t="s">
        <v>15</v>
      </c>
      <c r="C108" s="2">
        <v>2</v>
      </c>
      <c r="D108" s="6" t="s">
        <v>499</v>
      </c>
      <c r="E108" s="2" t="str">
        <f>five子指标方向明细!F214</f>
        <v>A</v>
      </c>
      <c r="F108" s="2">
        <f>five子指标方向明细!G214</f>
        <v>3</v>
      </c>
      <c r="G108" s="2" t="str">
        <f>five子指标方向明细!H214</f>
        <v>B</v>
      </c>
      <c r="H108" s="2">
        <f>five子指标方向明细!I214</f>
        <v>4</v>
      </c>
      <c r="I108" s="2" t="str">
        <f>five子指标方向明细!L214</f>
        <v>B</v>
      </c>
      <c r="J108" s="2" t="str">
        <f>five子指标方向明细!F215</f>
        <v>B</v>
      </c>
      <c r="K108" s="2">
        <f>five子指标方向明细!G215</f>
        <v>3</v>
      </c>
      <c r="L108" s="2" t="str">
        <f>five子指标方向明细!H215</f>
        <v>A</v>
      </c>
      <c r="M108" s="2">
        <f>five子指标方向明细!I215</f>
        <v>4</v>
      </c>
      <c r="N108" s="2" t="str">
        <f>five子指标方向明细!L215</f>
        <v>A</v>
      </c>
      <c r="O108" s="2">
        <f t="shared" si="4"/>
        <v>0</v>
      </c>
      <c r="P108" s="2" t="str">
        <f t="shared" si="5"/>
        <v>D(平局)</v>
      </c>
      <c r="Q108" s="2" t="s">
        <v>34</v>
      </c>
      <c r="R108" s="2">
        <f t="shared" si="6"/>
        <v>0</v>
      </c>
      <c r="S108" s="2">
        <v>214</v>
      </c>
      <c r="T108" s="2">
        <v>215</v>
      </c>
      <c r="U108" s="2" t="str">
        <f t="shared" si="7"/>
        <v>方向冲突</v>
      </c>
    </row>
    <row r="109" ht="23" customHeight="1" spans="1:21">
      <c r="A109" s="6" t="s">
        <v>142</v>
      </c>
      <c r="B109" s="2" t="s">
        <v>15</v>
      </c>
      <c r="C109" s="2">
        <v>3</v>
      </c>
      <c r="D109" s="6" t="s">
        <v>500</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4</v>
      </c>
      <c r="N109" s="2" t="str">
        <f>five子指标方向明细!L217</f>
        <v>B</v>
      </c>
      <c r="O109" s="2">
        <f t="shared" si="4"/>
        <v>0</v>
      </c>
      <c r="P109" s="2" t="str">
        <f t="shared" si="5"/>
        <v>D(平局)</v>
      </c>
      <c r="Q109" s="2" t="s">
        <v>34</v>
      </c>
      <c r="R109" s="2">
        <f t="shared" si="6"/>
        <v>0</v>
      </c>
      <c r="S109" s="2">
        <v>216</v>
      </c>
      <c r="T109" s="2">
        <v>217</v>
      </c>
      <c r="U109" s="2" t="str">
        <f t="shared" si="7"/>
        <v>方向冲突</v>
      </c>
    </row>
    <row r="110" ht="23" customHeight="1" spans="1:21">
      <c r="A110" s="6" t="s">
        <v>142</v>
      </c>
      <c r="B110" s="2" t="s">
        <v>15</v>
      </c>
      <c r="C110" s="2">
        <v>4</v>
      </c>
      <c r="D110" s="6" t="s">
        <v>501</v>
      </c>
      <c r="E110" s="2" t="str">
        <f>five子指标方向明细!F218</f>
        <v>A</v>
      </c>
      <c r="F110" s="2">
        <f>five子指标方向明细!G218</f>
        <v>3</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34</v>
      </c>
      <c r="R110" s="2">
        <f t="shared" si="6"/>
        <v>0</v>
      </c>
      <c r="S110" s="2">
        <v>218</v>
      </c>
      <c r="T110" s="2">
        <v>219</v>
      </c>
      <c r="U110" s="2" t="str">
        <f t="shared" si="7"/>
        <v/>
      </c>
    </row>
    <row r="111" ht="23" customHeight="1" spans="1:21">
      <c r="A111" s="6" t="s">
        <v>142</v>
      </c>
      <c r="B111" s="2" t="s">
        <v>15</v>
      </c>
      <c r="C111" s="2">
        <v>5</v>
      </c>
      <c r="D111" s="6" t="s">
        <v>502</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34</v>
      </c>
      <c r="R111" s="2">
        <f t="shared" si="6"/>
        <v>0</v>
      </c>
      <c r="S111" s="2">
        <v>220</v>
      </c>
      <c r="T111" s="2">
        <v>221</v>
      </c>
      <c r="U111" s="2" t="str">
        <f t="shared" si="7"/>
        <v>双向评分平局</v>
      </c>
    </row>
    <row r="112" ht="23" customHeight="1" spans="1:21">
      <c r="A112" s="6" t="s">
        <v>142</v>
      </c>
      <c r="B112" s="2" t="s">
        <v>30</v>
      </c>
      <c r="C112" s="2">
        <v>1</v>
      </c>
      <c r="D112" s="6" t="s">
        <v>498</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4</v>
      </c>
      <c r="N112" s="2" t="str">
        <f>five子指标方向明细!L223</f>
        <v>D(平局)</v>
      </c>
      <c r="O112" s="2">
        <f t="shared" si="4"/>
        <v>0</v>
      </c>
      <c r="P112" s="2" t="str">
        <f t="shared" si="5"/>
        <v>D(平局)</v>
      </c>
      <c r="Q112" s="2" t="s">
        <v>34</v>
      </c>
      <c r="R112" s="2">
        <f t="shared" si="6"/>
        <v>0</v>
      </c>
      <c r="S112" s="2">
        <v>222</v>
      </c>
      <c r="T112" s="2">
        <v>223</v>
      </c>
      <c r="U112" s="2" t="str">
        <f t="shared" si="7"/>
        <v>方向冲突</v>
      </c>
    </row>
    <row r="113" ht="23" customHeight="1" spans="1:21">
      <c r="A113" s="6" t="s">
        <v>142</v>
      </c>
      <c r="B113" s="2" t="s">
        <v>30</v>
      </c>
      <c r="C113" s="2">
        <v>2</v>
      </c>
      <c r="D113" s="6" t="s">
        <v>499</v>
      </c>
      <c r="E113" s="2" t="str">
        <f>five子指标方向明细!F224</f>
        <v>A</v>
      </c>
      <c r="F113" s="2">
        <f>five子指标方向明细!G224</f>
        <v>4</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4</v>
      </c>
      <c r="N113" s="2" t="str">
        <f>five子指标方向明细!L225</f>
        <v>A</v>
      </c>
      <c r="O113" s="2">
        <f t="shared" si="4"/>
        <v>1</v>
      </c>
      <c r="P113" s="2" t="str">
        <f t="shared" si="5"/>
        <v>A</v>
      </c>
      <c r="Q113" s="2" t="s">
        <v>34</v>
      </c>
      <c r="R113" s="2">
        <f t="shared" si="6"/>
        <v>1</v>
      </c>
      <c r="S113" s="2">
        <v>224</v>
      </c>
      <c r="T113" s="2">
        <v>225</v>
      </c>
      <c r="U113" s="2" t="str">
        <f t="shared" si="7"/>
        <v/>
      </c>
    </row>
    <row r="114" ht="23" customHeight="1" spans="1:21">
      <c r="A114" s="6" t="s">
        <v>142</v>
      </c>
      <c r="B114" s="2" t="s">
        <v>30</v>
      </c>
      <c r="C114" s="2">
        <v>3</v>
      </c>
      <c r="D114" s="6" t="s">
        <v>500</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3</v>
      </c>
      <c r="L114" s="2" t="str">
        <f>five子指标方向明细!H227</f>
        <v>A</v>
      </c>
      <c r="M114" s="2">
        <f>five子指标方向明细!I227</f>
        <v>4</v>
      </c>
      <c r="N114" s="2" t="str">
        <f>five子指标方向明细!L227</f>
        <v>A</v>
      </c>
      <c r="O114" s="2">
        <f t="shared" si="4"/>
        <v>1</v>
      </c>
      <c r="P114" s="2" t="str">
        <f t="shared" si="5"/>
        <v>A</v>
      </c>
      <c r="Q114" s="2" t="s">
        <v>34</v>
      </c>
      <c r="R114" s="2">
        <f t="shared" si="6"/>
        <v>1</v>
      </c>
      <c r="S114" s="2">
        <v>226</v>
      </c>
      <c r="T114" s="2">
        <v>227</v>
      </c>
      <c r="U114" s="2" t="str">
        <f t="shared" si="7"/>
        <v/>
      </c>
    </row>
    <row r="115" ht="23" customHeight="1" spans="1:21">
      <c r="A115" s="6" t="s">
        <v>142</v>
      </c>
      <c r="B115" s="2" t="s">
        <v>30</v>
      </c>
      <c r="C115" s="2">
        <v>4</v>
      </c>
      <c r="D115" s="6" t="s">
        <v>501</v>
      </c>
      <c r="E115" s="2" t="str">
        <f>five子指标方向明细!F228</f>
        <v>A</v>
      </c>
      <c r="F115" s="2">
        <f>five子指标方向明细!G228</f>
        <v>4</v>
      </c>
      <c r="G115" s="2" t="str">
        <f>five子指标方向明细!H228</f>
        <v>C</v>
      </c>
      <c r="H115" s="2">
        <f>five子指标方向明细!I228</f>
        <v>5</v>
      </c>
      <c r="I115" s="2" t="str">
        <f>five子指标方向明细!L228</f>
        <v>C</v>
      </c>
      <c r="J115" s="2" t="str">
        <f>five子指标方向明细!F229</f>
        <v>C</v>
      </c>
      <c r="K115" s="2">
        <f>five子指标方向明细!G229</f>
        <v>4</v>
      </c>
      <c r="L115" s="2" t="str">
        <f>five子指标方向明细!H229</f>
        <v>A</v>
      </c>
      <c r="M115" s="2">
        <f>five子指标方向明细!I229</f>
        <v>3</v>
      </c>
      <c r="N115" s="2" t="str">
        <f>five子指标方向明细!L229</f>
        <v>C</v>
      </c>
      <c r="O115" s="2">
        <f t="shared" si="4"/>
        <v>1</v>
      </c>
      <c r="P115" s="2" t="str">
        <f t="shared" si="5"/>
        <v>C</v>
      </c>
      <c r="Q115" s="2" t="s">
        <v>34</v>
      </c>
      <c r="R115" s="2">
        <f t="shared" si="6"/>
        <v>0</v>
      </c>
      <c r="S115" s="2">
        <v>228</v>
      </c>
      <c r="T115" s="2">
        <v>229</v>
      </c>
      <c r="U115" s="2" t="str">
        <f t="shared" si="7"/>
        <v/>
      </c>
    </row>
    <row r="116" ht="23" customHeight="1" spans="1:21">
      <c r="A116" s="6" t="s">
        <v>142</v>
      </c>
      <c r="B116" s="2" t="s">
        <v>30</v>
      </c>
      <c r="C116" s="2">
        <v>5</v>
      </c>
      <c r="D116" s="6" t="s">
        <v>502</v>
      </c>
      <c r="E116" s="2" t="str">
        <f>five子指标方向明细!F230</f>
        <v>A</v>
      </c>
      <c r="F116" s="2">
        <f>five子指标方向明细!G230</f>
        <v>5</v>
      </c>
      <c r="G116" s="2" t="str">
        <f>five子指标方向明细!H230</f>
        <v>C</v>
      </c>
      <c r="H116" s="2">
        <f>five子指标方向明细!I230</f>
        <v>4</v>
      </c>
      <c r="I116" s="2" t="str">
        <f>five子指标方向明细!L230</f>
        <v>A</v>
      </c>
      <c r="J116" s="2" t="str">
        <f>five子指标方向明细!F231</f>
        <v>C</v>
      </c>
      <c r="K116" s="2">
        <f>five子指标方向明细!G231</f>
        <v>5</v>
      </c>
      <c r="L116" s="2" t="str">
        <f>five子指标方向明细!H231</f>
        <v>A</v>
      </c>
      <c r="M116" s="2">
        <f>five子指标方向明细!I231</f>
        <v>5</v>
      </c>
      <c r="N116" s="2" t="str">
        <f>five子指标方向明细!L231</f>
        <v>D(平局)</v>
      </c>
      <c r="O116" s="2">
        <f t="shared" si="4"/>
        <v>0</v>
      </c>
      <c r="P116" s="2" t="str">
        <f t="shared" si="5"/>
        <v>D(平局)</v>
      </c>
      <c r="Q116" s="2" t="s">
        <v>34</v>
      </c>
      <c r="R116" s="2">
        <f t="shared" si="6"/>
        <v>0</v>
      </c>
      <c r="S116" s="2">
        <v>230</v>
      </c>
      <c r="T116" s="2">
        <v>231</v>
      </c>
      <c r="U116" s="2" t="str">
        <f t="shared" si="7"/>
        <v>方向冲突</v>
      </c>
    </row>
    <row r="117" ht="23" customHeight="1" spans="1:21">
      <c r="A117" s="6" t="s">
        <v>142</v>
      </c>
      <c r="B117" s="2" t="s">
        <v>40</v>
      </c>
      <c r="C117" s="2">
        <v>1</v>
      </c>
      <c r="D117" s="6" t="s">
        <v>498</v>
      </c>
      <c r="E117" s="2" t="str">
        <f>five子指标方向明细!F232</f>
        <v>B</v>
      </c>
      <c r="F117" s="2">
        <f>five子指标方向明细!G232</f>
        <v>5</v>
      </c>
      <c r="G117" s="2" t="str">
        <f>five子指标方向明细!H232</f>
        <v>C</v>
      </c>
      <c r="H117" s="2">
        <f>five子指标方向明细!I232</f>
        <v>5</v>
      </c>
      <c r="I117" s="2" t="str">
        <f>five子指标方向明细!L232</f>
        <v>D(平局)</v>
      </c>
      <c r="J117" s="2" t="str">
        <f>five子指标方向明细!F233</f>
        <v>C</v>
      </c>
      <c r="K117" s="2">
        <f>five子指标方向明细!G233</f>
        <v>4</v>
      </c>
      <c r="L117" s="2" t="str">
        <f>five子指标方向明细!H233</f>
        <v>B</v>
      </c>
      <c r="M117" s="2">
        <f>five子指标方向明细!I233</f>
        <v>5</v>
      </c>
      <c r="N117" s="2" t="str">
        <f>five子指标方向明细!L233</f>
        <v>B</v>
      </c>
      <c r="O117" s="2">
        <f t="shared" si="4"/>
        <v>0</v>
      </c>
      <c r="P117" s="2" t="str">
        <f t="shared" si="5"/>
        <v>D(平局)</v>
      </c>
      <c r="Q117" s="2" t="s">
        <v>37</v>
      </c>
      <c r="R117" s="2">
        <f t="shared" si="6"/>
        <v>0</v>
      </c>
      <c r="S117" s="2">
        <v>232</v>
      </c>
      <c r="T117" s="2">
        <v>233</v>
      </c>
      <c r="U117" s="2" t="str">
        <f t="shared" si="7"/>
        <v>方向冲突</v>
      </c>
    </row>
    <row r="118" ht="23" customHeight="1" spans="1:21">
      <c r="A118" s="6" t="s">
        <v>142</v>
      </c>
      <c r="B118" s="2" t="s">
        <v>40</v>
      </c>
      <c r="C118" s="2">
        <v>2</v>
      </c>
      <c r="D118" s="6" t="s">
        <v>499</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37</v>
      </c>
      <c r="R118" s="2">
        <f t="shared" si="6"/>
        <v>1</v>
      </c>
      <c r="S118" s="2">
        <v>234</v>
      </c>
      <c r="T118" s="2">
        <v>235</v>
      </c>
      <c r="U118" s="2" t="str">
        <f t="shared" si="7"/>
        <v/>
      </c>
    </row>
    <row r="119" ht="23" customHeight="1" spans="1:21">
      <c r="A119" s="6" t="s">
        <v>142</v>
      </c>
      <c r="B119" s="2" t="s">
        <v>40</v>
      </c>
      <c r="C119" s="2">
        <v>3</v>
      </c>
      <c r="D119" s="6" t="s">
        <v>500</v>
      </c>
      <c r="E119" s="2" t="str">
        <f>five子指标方向明细!F236</f>
        <v>B</v>
      </c>
      <c r="F119" s="2">
        <f>five子指标方向明细!G236</f>
        <v>5</v>
      </c>
      <c r="G119" s="2" t="str">
        <f>five子指标方向明细!H236</f>
        <v>C</v>
      </c>
      <c r="H119" s="2">
        <f>five子指标方向明细!I236</f>
        <v>3</v>
      </c>
      <c r="I119" s="2" t="str">
        <f>five子指标方向明细!L236</f>
        <v>B</v>
      </c>
      <c r="J119" s="2" t="str">
        <f>five子指标方向明细!F237</f>
        <v>C</v>
      </c>
      <c r="K119" s="2">
        <f>five子指标方向明细!G237</f>
        <v>3</v>
      </c>
      <c r="L119" s="2" t="str">
        <f>five子指标方向明细!H237</f>
        <v>B</v>
      </c>
      <c r="M119" s="2">
        <f>five子指标方向明细!I237</f>
        <v>5</v>
      </c>
      <c r="N119" s="2" t="str">
        <f>five子指标方向明细!L237</f>
        <v>B</v>
      </c>
      <c r="O119" s="2">
        <f t="shared" si="4"/>
        <v>1</v>
      </c>
      <c r="P119" s="2" t="str">
        <f t="shared" si="5"/>
        <v>B</v>
      </c>
      <c r="Q119" s="2" t="s">
        <v>37</v>
      </c>
      <c r="R119" s="2">
        <f t="shared" si="6"/>
        <v>1</v>
      </c>
      <c r="S119" s="2">
        <v>236</v>
      </c>
      <c r="T119" s="2">
        <v>237</v>
      </c>
      <c r="U119" s="2" t="str">
        <f t="shared" si="7"/>
        <v/>
      </c>
    </row>
    <row r="120" ht="23" customHeight="1" spans="1:21">
      <c r="A120" s="6" t="s">
        <v>142</v>
      </c>
      <c r="B120" s="2" t="s">
        <v>40</v>
      </c>
      <c r="C120" s="2">
        <v>4</v>
      </c>
      <c r="D120" s="6" t="s">
        <v>501</v>
      </c>
      <c r="E120" s="2" t="str">
        <f>five子指标方向明细!F238</f>
        <v>B</v>
      </c>
      <c r="F120" s="2">
        <f>five子指标方向明细!G238</f>
        <v>5</v>
      </c>
      <c r="G120" s="2" t="str">
        <f>five子指标方向明细!H238</f>
        <v>C</v>
      </c>
      <c r="H120" s="2">
        <f>five子指标方向明细!I238</f>
        <v>4</v>
      </c>
      <c r="I120" s="2" t="str">
        <f>five子指标方向明细!L238</f>
        <v>B</v>
      </c>
      <c r="J120" s="2" t="str">
        <f>five子指标方向明细!F239</f>
        <v>C</v>
      </c>
      <c r="K120" s="2">
        <f>five子指标方向明细!G239</f>
        <v>3</v>
      </c>
      <c r="L120" s="2" t="str">
        <f>five子指标方向明细!H239</f>
        <v>B</v>
      </c>
      <c r="M120" s="2">
        <f>five子指标方向明细!I239</f>
        <v>4</v>
      </c>
      <c r="N120" s="2" t="str">
        <f>five子指标方向明细!L239</f>
        <v>B</v>
      </c>
      <c r="O120" s="2">
        <f t="shared" si="4"/>
        <v>1</v>
      </c>
      <c r="P120" s="2" t="str">
        <f t="shared" si="5"/>
        <v>B</v>
      </c>
      <c r="Q120" s="2" t="s">
        <v>37</v>
      </c>
      <c r="R120" s="2">
        <f t="shared" si="6"/>
        <v>1</v>
      </c>
      <c r="S120" s="2">
        <v>238</v>
      </c>
      <c r="T120" s="2">
        <v>239</v>
      </c>
      <c r="U120" s="2" t="str">
        <f t="shared" si="7"/>
        <v/>
      </c>
    </row>
    <row r="121" ht="23" customHeight="1" spans="1:21">
      <c r="A121" s="6" t="s">
        <v>142</v>
      </c>
      <c r="B121" s="2" t="s">
        <v>40</v>
      </c>
      <c r="C121" s="2">
        <v>5</v>
      </c>
      <c r="D121" s="6" t="s">
        <v>502</v>
      </c>
      <c r="E121" s="2" t="str">
        <f>five子指标方向明细!F240</f>
        <v>B</v>
      </c>
      <c r="F121" s="2">
        <f>five子指标方向明细!G240</f>
        <v>5</v>
      </c>
      <c r="G121" s="2" t="str">
        <f>five子指标方向明细!H240</f>
        <v>C</v>
      </c>
      <c r="H121" s="2">
        <f>five子指标方向明细!I240</f>
        <v>5</v>
      </c>
      <c r="I121" s="2" t="str">
        <f>five子指标方向明细!L240</f>
        <v>D(平局)</v>
      </c>
      <c r="J121" s="2" t="str">
        <f>five子指标方向明细!F241</f>
        <v>C</v>
      </c>
      <c r="K121" s="2">
        <f>five子指标方向明细!G241</f>
        <v>5</v>
      </c>
      <c r="L121" s="2" t="str">
        <f>five子指标方向明细!H241</f>
        <v>B</v>
      </c>
      <c r="M121" s="2">
        <f>five子指标方向明细!I241</f>
        <v>5</v>
      </c>
      <c r="N121" s="2" t="str">
        <f>five子指标方向明细!L241</f>
        <v>D(平局)</v>
      </c>
      <c r="O121" s="2">
        <f t="shared" si="4"/>
        <v>1</v>
      </c>
      <c r="P121" s="2" t="str">
        <f t="shared" si="5"/>
        <v>D(平局)</v>
      </c>
      <c r="Q121" s="2" t="s">
        <v>37</v>
      </c>
      <c r="R121" s="2">
        <f t="shared" si="6"/>
        <v>0</v>
      </c>
      <c r="S121" s="2">
        <v>240</v>
      </c>
      <c r="T121" s="2">
        <v>241</v>
      </c>
      <c r="U121" s="2" t="str">
        <f t="shared" si="7"/>
        <v>双向评分平局</v>
      </c>
    </row>
    <row r="122" ht="23" customHeight="1" spans="1:21">
      <c r="A122" s="6" t="s">
        <v>256</v>
      </c>
      <c r="B122" s="2" t="s">
        <v>15</v>
      </c>
      <c r="C122" s="2">
        <v>1</v>
      </c>
      <c r="D122" s="6" t="s">
        <v>498</v>
      </c>
      <c r="E122" s="2" t="str">
        <f>five子指标方向明细!F242</f>
        <v>A</v>
      </c>
      <c r="F122" s="2">
        <f>five子指标方向明细!G242</f>
        <v>4</v>
      </c>
      <c r="G122" s="2" t="str">
        <f>five子指标方向明细!H242</f>
        <v>B</v>
      </c>
      <c r="H122" s="2">
        <f>five子指标方向明细!I242</f>
        <v>3</v>
      </c>
      <c r="I122" s="2" t="str">
        <f>five子指标方向明细!L242</f>
        <v>A</v>
      </c>
      <c r="J122" s="2" t="str">
        <f>five子指标方向明细!F243</f>
        <v>B</v>
      </c>
      <c r="K122" s="2">
        <f>five子指标方向明细!G243</f>
        <v>4</v>
      </c>
      <c r="L122" s="2" t="str">
        <f>five子指标方向明细!H243</f>
        <v>A</v>
      </c>
      <c r="M122" s="2">
        <f>five子指标方向明细!I243</f>
        <v>4</v>
      </c>
      <c r="N122" s="2" t="str">
        <f>five子指标方向明细!L243</f>
        <v>D(平局)</v>
      </c>
      <c r="O122" s="2">
        <f t="shared" si="4"/>
        <v>0</v>
      </c>
      <c r="P122" s="2" t="str">
        <f t="shared" si="5"/>
        <v>D(平局)</v>
      </c>
      <c r="Q122" s="2" t="s">
        <v>23</v>
      </c>
      <c r="R122" s="2">
        <f t="shared" si="6"/>
        <v>1</v>
      </c>
      <c r="S122" s="2">
        <v>242</v>
      </c>
      <c r="T122" s="2">
        <v>243</v>
      </c>
      <c r="U122" s="2" t="str">
        <f t="shared" si="7"/>
        <v>方向冲突</v>
      </c>
    </row>
    <row r="123" ht="23" customHeight="1" spans="1:21">
      <c r="A123" s="6" t="s">
        <v>256</v>
      </c>
      <c r="B123" s="2" t="s">
        <v>15</v>
      </c>
      <c r="C123" s="2">
        <v>2</v>
      </c>
      <c r="D123" s="6" t="s">
        <v>499</v>
      </c>
      <c r="E123" s="2" t="str">
        <f>five子指标方向明细!F244</f>
        <v>A</v>
      </c>
      <c r="F123" s="2">
        <f>five子指标方向明细!G244</f>
        <v>3</v>
      </c>
      <c r="G123" s="2" t="str">
        <f>five子指标方向明细!H244</f>
        <v>B</v>
      </c>
      <c r="H123" s="2">
        <f>five子指标方向明细!I244</f>
        <v>4</v>
      </c>
      <c r="I123" s="2" t="str">
        <f>five子指标方向明细!L244</f>
        <v>B</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1</v>
      </c>
      <c r="P123" s="2" t="str">
        <f t="shared" si="5"/>
        <v>B</v>
      </c>
      <c r="Q123" s="2" t="s">
        <v>23</v>
      </c>
      <c r="R123" s="2">
        <f t="shared" si="6"/>
        <v>0</v>
      </c>
      <c r="S123" s="2">
        <v>244</v>
      </c>
      <c r="T123" s="2">
        <v>245</v>
      </c>
      <c r="U123" s="2" t="str">
        <f t="shared" si="7"/>
        <v/>
      </c>
    </row>
    <row r="124" ht="23" customHeight="1" spans="1:21">
      <c r="A124" s="6" t="s">
        <v>256</v>
      </c>
      <c r="B124" s="2" t="s">
        <v>15</v>
      </c>
      <c r="C124" s="2">
        <v>3</v>
      </c>
      <c r="D124" s="6" t="s">
        <v>500</v>
      </c>
      <c r="E124" s="2" t="str">
        <f>five子指标方向明细!F246</f>
        <v>A</v>
      </c>
      <c r="F124" s="2">
        <f>five子指标方向明细!G246</f>
        <v>4</v>
      </c>
      <c r="G124" s="2" t="str">
        <f>five子指标方向明细!H246</f>
        <v>B</v>
      </c>
      <c r="H124" s="2">
        <f>five子指标方向明细!I246</f>
        <v>2</v>
      </c>
      <c r="I124" s="2" t="str">
        <f>five子指标方向明细!L246</f>
        <v>A</v>
      </c>
      <c r="J124" s="2" t="str">
        <f>five子指标方向明细!F247</f>
        <v>B</v>
      </c>
      <c r="K124" s="2">
        <f>five子指标方向明细!G247</f>
        <v>3</v>
      </c>
      <c r="L124" s="2" t="str">
        <f>five子指标方向明细!H247</f>
        <v>A</v>
      </c>
      <c r="M124" s="2">
        <f>five子指标方向明细!I247</f>
        <v>4</v>
      </c>
      <c r="N124" s="2" t="str">
        <f>five子指标方向明细!L247</f>
        <v>A</v>
      </c>
      <c r="O124" s="2">
        <f t="shared" si="4"/>
        <v>1</v>
      </c>
      <c r="P124" s="2" t="str">
        <f t="shared" si="5"/>
        <v>A</v>
      </c>
      <c r="Q124" s="2" t="s">
        <v>23</v>
      </c>
      <c r="R124" s="2">
        <f t="shared" si="6"/>
        <v>0</v>
      </c>
      <c r="S124" s="2">
        <v>246</v>
      </c>
      <c r="T124" s="2">
        <v>247</v>
      </c>
      <c r="U124" s="2" t="str">
        <f t="shared" si="7"/>
        <v/>
      </c>
    </row>
    <row r="125" ht="23" customHeight="1" spans="1:21">
      <c r="A125" s="6" t="s">
        <v>256</v>
      </c>
      <c r="B125" s="2" t="s">
        <v>15</v>
      </c>
      <c r="C125" s="2">
        <v>4</v>
      </c>
      <c r="D125" s="6" t="s">
        <v>501</v>
      </c>
      <c r="E125" s="2" t="str">
        <f>five子指标方向明细!F248</f>
        <v>A</v>
      </c>
      <c r="F125" s="2">
        <f>five子指标方向明细!G248</f>
        <v>3</v>
      </c>
      <c r="G125" s="2" t="str">
        <f>five子指标方向明细!H248</f>
        <v>B</v>
      </c>
      <c r="H125" s="2">
        <f>five子指标方向明细!I248</f>
        <v>4</v>
      </c>
      <c r="I125" s="2" t="str">
        <f>five子指标方向明细!L248</f>
        <v>B</v>
      </c>
      <c r="J125" s="2" t="str">
        <f>five子指标方向明细!F249</f>
        <v>B</v>
      </c>
      <c r="K125" s="2">
        <f>five子指标方向明细!G249</f>
        <v>4</v>
      </c>
      <c r="L125" s="2" t="str">
        <f>five子指标方向明细!H249</f>
        <v>A</v>
      </c>
      <c r="M125" s="2">
        <f>five子指标方向明细!I249</f>
        <v>3</v>
      </c>
      <c r="N125" s="2" t="str">
        <f>five子指标方向明细!L249</f>
        <v>B</v>
      </c>
      <c r="O125" s="2">
        <f t="shared" si="4"/>
        <v>1</v>
      </c>
      <c r="P125" s="2" t="str">
        <f t="shared" si="5"/>
        <v>B</v>
      </c>
      <c r="Q125" s="2" t="s">
        <v>23</v>
      </c>
      <c r="R125" s="2">
        <f t="shared" si="6"/>
        <v>0</v>
      </c>
      <c r="S125" s="2">
        <v>248</v>
      </c>
      <c r="T125" s="2">
        <v>249</v>
      </c>
      <c r="U125" s="2" t="str">
        <f t="shared" si="7"/>
        <v/>
      </c>
    </row>
    <row r="126" ht="23" customHeight="1" spans="1:21">
      <c r="A126" s="6" t="s">
        <v>256</v>
      </c>
      <c r="B126" s="2" t="s">
        <v>15</v>
      </c>
      <c r="C126" s="2">
        <v>5</v>
      </c>
      <c r="D126" s="6" t="s">
        <v>502</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23</v>
      </c>
      <c r="R126" s="2">
        <f t="shared" si="6"/>
        <v>1</v>
      </c>
      <c r="S126" s="2">
        <v>250</v>
      </c>
      <c r="T126" s="2">
        <v>251</v>
      </c>
      <c r="U126" s="2" t="str">
        <f t="shared" si="7"/>
        <v>双向评分平局</v>
      </c>
    </row>
    <row r="127" ht="23" customHeight="1" spans="1:21">
      <c r="A127" s="6" t="s">
        <v>256</v>
      </c>
      <c r="B127" s="2" t="s">
        <v>30</v>
      </c>
      <c r="C127" s="2">
        <v>1</v>
      </c>
      <c r="D127" s="6" t="s">
        <v>498</v>
      </c>
      <c r="E127" s="2" t="str">
        <f>five子指标方向明细!F252</f>
        <v>A</v>
      </c>
      <c r="F127" s="2">
        <f>five子指标方向明细!G252</f>
        <v>4</v>
      </c>
      <c r="G127" s="2" t="str">
        <f>five子指标方向明细!H252</f>
        <v>C</v>
      </c>
      <c r="H127" s="2">
        <f>five子指标方向明细!I252</f>
        <v>3</v>
      </c>
      <c r="I127" s="2" t="str">
        <f>five子指标方向明细!L252</f>
        <v>A</v>
      </c>
      <c r="J127" s="2" t="str">
        <f>five子指标方向明细!F253</f>
        <v>C</v>
      </c>
      <c r="K127" s="2">
        <f>five子指标方向明细!G253</f>
        <v>3</v>
      </c>
      <c r="L127" s="2" t="str">
        <f>five子指标方向明细!H253</f>
        <v>A</v>
      </c>
      <c r="M127" s="2">
        <f>five子指标方向明细!I253</f>
        <v>4</v>
      </c>
      <c r="N127" s="2" t="str">
        <f>five子指标方向明细!L253</f>
        <v>A</v>
      </c>
      <c r="O127" s="2">
        <f t="shared" si="4"/>
        <v>1</v>
      </c>
      <c r="P127" s="2" t="str">
        <f t="shared" si="5"/>
        <v>A</v>
      </c>
      <c r="Q127" s="2" t="s">
        <v>34</v>
      </c>
      <c r="R127" s="2">
        <f t="shared" si="6"/>
        <v>1</v>
      </c>
      <c r="S127" s="2">
        <v>252</v>
      </c>
      <c r="T127" s="2">
        <v>253</v>
      </c>
      <c r="U127" s="2" t="str">
        <f t="shared" si="7"/>
        <v/>
      </c>
    </row>
    <row r="128" ht="23" customHeight="1" spans="1:21">
      <c r="A128" s="6" t="s">
        <v>256</v>
      </c>
      <c r="B128" s="2" t="s">
        <v>30</v>
      </c>
      <c r="C128" s="2">
        <v>2</v>
      </c>
      <c r="D128" s="6" t="s">
        <v>499</v>
      </c>
      <c r="E128" s="2" t="str">
        <f>five子指标方向明细!F254</f>
        <v>A</v>
      </c>
      <c r="F128" s="2">
        <f>five子指标方向明细!G254</f>
        <v>4</v>
      </c>
      <c r="G128" s="2" t="str">
        <f>five子指标方向明细!H254</f>
        <v>C</v>
      </c>
      <c r="H128" s="2">
        <f>five子指标方向明细!I254</f>
        <v>3</v>
      </c>
      <c r="I128" s="2" t="str">
        <f>five子指标方向明细!L254</f>
        <v>A</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1</v>
      </c>
      <c r="P128" s="2" t="str">
        <f t="shared" si="5"/>
        <v>A</v>
      </c>
      <c r="Q128" s="2" t="s">
        <v>34</v>
      </c>
      <c r="R128" s="2">
        <f t="shared" si="6"/>
        <v>1</v>
      </c>
      <c r="S128" s="2">
        <v>254</v>
      </c>
      <c r="T128" s="2">
        <v>255</v>
      </c>
      <c r="U128" s="2" t="str">
        <f t="shared" si="7"/>
        <v/>
      </c>
    </row>
    <row r="129" ht="23" customHeight="1" spans="1:21">
      <c r="A129" s="6" t="s">
        <v>256</v>
      </c>
      <c r="B129" s="2" t="s">
        <v>30</v>
      </c>
      <c r="C129" s="2">
        <v>3</v>
      </c>
      <c r="D129" s="6" t="s">
        <v>500</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34</v>
      </c>
      <c r="R129" s="2">
        <f t="shared" si="6"/>
        <v>1</v>
      </c>
      <c r="S129" s="2">
        <v>256</v>
      </c>
      <c r="T129" s="2">
        <v>257</v>
      </c>
      <c r="U129" s="2" t="str">
        <f t="shared" si="7"/>
        <v/>
      </c>
    </row>
    <row r="130" ht="23" customHeight="1" spans="1:21">
      <c r="A130" s="6" t="s">
        <v>256</v>
      </c>
      <c r="B130" s="2" t="s">
        <v>30</v>
      </c>
      <c r="C130" s="2">
        <v>4</v>
      </c>
      <c r="D130" s="6" t="s">
        <v>501</v>
      </c>
      <c r="E130" s="2" t="str">
        <f>five子指标方向明细!F258</f>
        <v>A</v>
      </c>
      <c r="F130" s="2">
        <f>five子指标方向明细!G258</f>
        <v>4</v>
      </c>
      <c r="G130" s="2" t="str">
        <f>five子指标方向明细!H258</f>
        <v>C</v>
      </c>
      <c r="H130" s="2">
        <f>five子指标方向明细!I258</f>
        <v>3</v>
      </c>
      <c r="I130" s="2" t="str">
        <f>five子指标方向明细!L258</f>
        <v>A</v>
      </c>
      <c r="J130" s="2" t="str">
        <f>five子指标方向明细!F259</f>
        <v>C</v>
      </c>
      <c r="K130" s="2">
        <f>five子指标方向明细!G259</f>
        <v>3</v>
      </c>
      <c r="L130" s="2" t="str">
        <f>five子指标方向明细!H259</f>
        <v>A</v>
      </c>
      <c r="M130" s="2">
        <f>five子指标方向明细!I259</f>
        <v>4</v>
      </c>
      <c r="N130" s="2" t="str">
        <f>five子指标方向明细!L259</f>
        <v>A</v>
      </c>
      <c r="O130" s="2">
        <f t="shared" ref="O130:O181" si="8">--(I130=N130)</f>
        <v>1</v>
      </c>
      <c r="P130" s="2" t="str">
        <f t="shared" ref="P130:P181" si="9">IF(I130=N130,I130,"D(平局)")</f>
        <v>A</v>
      </c>
      <c r="Q130" s="2" t="s">
        <v>34</v>
      </c>
      <c r="R130" s="2">
        <f t="shared" ref="R130:R181" si="10">--(P130=Q130)</f>
        <v>1</v>
      </c>
      <c r="S130" s="2">
        <v>258</v>
      </c>
      <c r="T130" s="2">
        <v>259</v>
      </c>
      <c r="U130" s="2" t="str">
        <f t="shared" ref="U130:U181" si="11">IF(P130&lt;&gt;"D(平局)","",IF(O130=0,"方向冲突","双向评分平局"))</f>
        <v/>
      </c>
    </row>
    <row r="131" ht="23" customHeight="1" spans="1:21">
      <c r="A131" s="6" t="s">
        <v>256</v>
      </c>
      <c r="B131" s="2" t="s">
        <v>30</v>
      </c>
      <c r="C131" s="2">
        <v>5</v>
      </c>
      <c r="D131" s="6" t="s">
        <v>502</v>
      </c>
      <c r="E131" s="2" t="str">
        <f>five子指标方向明细!F260</f>
        <v>A</v>
      </c>
      <c r="F131" s="2">
        <f>five子指标方向明细!G260</f>
        <v>4</v>
      </c>
      <c r="G131" s="2" t="str">
        <f>five子指标方向明细!H260</f>
        <v>C</v>
      </c>
      <c r="H131" s="2">
        <f>five子指标方向明细!I260</f>
        <v>4</v>
      </c>
      <c r="I131" s="2" t="str">
        <f>five子指标方向明细!L260</f>
        <v>D(平局)</v>
      </c>
      <c r="J131" s="2" t="str">
        <f>five子指标方向明细!F261</f>
        <v>C</v>
      </c>
      <c r="K131" s="2">
        <f>five子指标方向明细!G261</f>
        <v>5</v>
      </c>
      <c r="L131" s="2" t="str">
        <f>five子指标方向明细!H261</f>
        <v>A</v>
      </c>
      <c r="M131" s="2">
        <f>five子指标方向明细!I261</f>
        <v>5</v>
      </c>
      <c r="N131" s="2" t="str">
        <f>five子指标方向明细!L261</f>
        <v>D(平局)</v>
      </c>
      <c r="O131" s="2">
        <f t="shared" si="8"/>
        <v>1</v>
      </c>
      <c r="P131" s="2" t="str">
        <f t="shared" si="9"/>
        <v>D(平局)</v>
      </c>
      <c r="Q131" s="2" t="s">
        <v>34</v>
      </c>
      <c r="R131" s="2">
        <f t="shared" si="10"/>
        <v>0</v>
      </c>
      <c r="S131" s="2">
        <v>260</v>
      </c>
      <c r="T131" s="2">
        <v>261</v>
      </c>
      <c r="U131" s="2" t="str">
        <f t="shared" si="11"/>
        <v>双向评分平局</v>
      </c>
    </row>
    <row r="132" ht="23" customHeight="1" spans="1:21">
      <c r="A132" s="6" t="s">
        <v>256</v>
      </c>
      <c r="B132" s="2" t="s">
        <v>40</v>
      </c>
      <c r="C132" s="2">
        <v>1</v>
      </c>
      <c r="D132" s="6" t="s">
        <v>498</v>
      </c>
      <c r="E132" s="2" t="str">
        <f>five子指标方向明细!F262</f>
        <v>B</v>
      </c>
      <c r="F132" s="2">
        <f>five子指标方向明细!G262</f>
        <v>4</v>
      </c>
      <c r="G132" s="2" t="str">
        <f>five子指标方向明细!H262</f>
        <v>C</v>
      </c>
      <c r="H132" s="2">
        <f>five子指标方向明细!I262</f>
        <v>3</v>
      </c>
      <c r="I132" s="2" t="str">
        <f>five子指标方向明细!L262</f>
        <v>B</v>
      </c>
      <c r="J132" s="2" t="str">
        <f>five子指标方向明细!F263</f>
        <v>C</v>
      </c>
      <c r="K132" s="2">
        <f>five子指标方向明细!G263</f>
        <v>4</v>
      </c>
      <c r="L132" s="2" t="str">
        <f>five子指标方向明细!H263</f>
        <v>B</v>
      </c>
      <c r="M132" s="2">
        <f>five子指标方向明细!I263</f>
        <v>5</v>
      </c>
      <c r="N132" s="2" t="str">
        <f>five子指标方向明细!L263</f>
        <v>B</v>
      </c>
      <c r="O132" s="2">
        <f t="shared" si="8"/>
        <v>1</v>
      </c>
      <c r="P132" s="2" t="str">
        <f t="shared" si="9"/>
        <v>B</v>
      </c>
      <c r="Q132" s="2" t="s">
        <v>37</v>
      </c>
      <c r="R132" s="2">
        <f t="shared" si="10"/>
        <v>1</v>
      </c>
      <c r="S132" s="2">
        <v>262</v>
      </c>
      <c r="T132" s="2">
        <v>263</v>
      </c>
      <c r="U132" s="2" t="str">
        <f t="shared" si="11"/>
        <v/>
      </c>
    </row>
    <row r="133" ht="23" customHeight="1" spans="1:21">
      <c r="A133" s="6" t="s">
        <v>256</v>
      </c>
      <c r="B133" s="2" t="s">
        <v>40</v>
      </c>
      <c r="C133" s="2">
        <v>2</v>
      </c>
      <c r="D133" s="6" t="s">
        <v>499</v>
      </c>
      <c r="E133" s="2" t="str">
        <f>five子指标方向明细!F264</f>
        <v>B</v>
      </c>
      <c r="F133" s="2">
        <f>five子指标方向明细!G264</f>
        <v>4</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5</v>
      </c>
      <c r="N133" s="2" t="str">
        <f>five子指标方向明细!L265</f>
        <v>B</v>
      </c>
      <c r="O133" s="2">
        <f t="shared" si="8"/>
        <v>1</v>
      </c>
      <c r="P133" s="2" t="str">
        <f t="shared" si="9"/>
        <v>B</v>
      </c>
      <c r="Q133" s="2" t="s">
        <v>37</v>
      </c>
      <c r="R133" s="2">
        <f t="shared" si="10"/>
        <v>1</v>
      </c>
      <c r="S133" s="2">
        <v>264</v>
      </c>
      <c r="T133" s="2">
        <v>265</v>
      </c>
      <c r="U133" s="2" t="str">
        <f t="shared" si="11"/>
        <v/>
      </c>
    </row>
    <row r="134" ht="23" customHeight="1" spans="1:21">
      <c r="A134" s="6" t="s">
        <v>256</v>
      </c>
      <c r="B134" s="2" t="s">
        <v>40</v>
      </c>
      <c r="C134" s="2">
        <v>3</v>
      </c>
      <c r="D134" s="6" t="s">
        <v>500</v>
      </c>
      <c r="E134" s="2" t="str">
        <f>five子指标方向明细!F266</f>
        <v>B</v>
      </c>
      <c r="F134" s="2">
        <f>five子指标方向明细!G266</f>
        <v>4</v>
      </c>
      <c r="G134" s="2" t="str">
        <f>five子指标方向明细!H266</f>
        <v>C</v>
      </c>
      <c r="H134" s="2">
        <f>five子指标方向明细!I266</f>
        <v>3</v>
      </c>
      <c r="I134" s="2" t="str">
        <f>five子指标方向明细!L266</f>
        <v>B</v>
      </c>
      <c r="J134" s="2" t="str">
        <f>five子指标方向明细!F267</f>
        <v>C</v>
      </c>
      <c r="K134" s="2">
        <f>five子指标方向明细!G267</f>
        <v>3</v>
      </c>
      <c r="L134" s="2" t="str">
        <f>five子指标方向明细!H267</f>
        <v>B</v>
      </c>
      <c r="M134" s="2">
        <f>five子指标方向明细!I267</f>
        <v>4</v>
      </c>
      <c r="N134" s="2" t="str">
        <f>five子指标方向明细!L267</f>
        <v>B</v>
      </c>
      <c r="O134" s="2">
        <f t="shared" si="8"/>
        <v>1</v>
      </c>
      <c r="P134" s="2" t="str">
        <f t="shared" si="9"/>
        <v>B</v>
      </c>
      <c r="Q134" s="2" t="s">
        <v>37</v>
      </c>
      <c r="R134" s="2">
        <f t="shared" si="10"/>
        <v>1</v>
      </c>
      <c r="S134" s="2">
        <v>266</v>
      </c>
      <c r="T134" s="2">
        <v>267</v>
      </c>
      <c r="U134" s="2" t="str">
        <f t="shared" si="11"/>
        <v/>
      </c>
    </row>
    <row r="135" ht="23" customHeight="1" spans="1:21">
      <c r="A135" s="6" t="s">
        <v>256</v>
      </c>
      <c r="B135" s="2" t="s">
        <v>40</v>
      </c>
      <c r="C135" s="2">
        <v>4</v>
      </c>
      <c r="D135" s="6" t="s">
        <v>501</v>
      </c>
      <c r="E135" s="2" t="str">
        <f>five子指标方向明细!F268</f>
        <v>B</v>
      </c>
      <c r="F135" s="2">
        <f>five子指标方向明细!G268</f>
        <v>4</v>
      </c>
      <c r="G135" s="2" t="str">
        <f>five子指标方向明细!H268</f>
        <v>C</v>
      </c>
      <c r="H135" s="2">
        <f>five子指标方向明细!I268</f>
        <v>3</v>
      </c>
      <c r="I135" s="2" t="str">
        <f>five子指标方向明细!L268</f>
        <v>B</v>
      </c>
      <c r="J135" s="2" t="str">
        <f>five子指标方向明细!F269</f>
        <v>C</v>
      </c>
      <c r="K135" s="2">
        <f>five子指标方向明细!G269</f>
        <v>3</v>
      </c>
      <c r="L135" s="2" t="str">
        <f>five子指标方向明细!H269</f>
        <v>B</v>
      </c>
      <c r="M135" s="2">
        <f>five子指标方向明细!I269</f>
        <v>5</v>
      </c>
      <c r="N135" s="2" t="str">
        <f>five子指标方向明细!L269</f>
        <v>B</v>
      </c>
      <c r="O135" s="2">
        <f t="shared" si="8"/>
        <v>1</v>
      </c>
      <c r="P135" s="2" t="str">
        <f t="shared" si="9"/>
        <v>B</v>
      </c>
      <c r="Q135" s="2" t="s">
        <v>37</v>
      </c>
      <c r="R135" s="2">
        <f t="shared" si="10"/>
        <v>1</v>
      </c>
      <c r="S135" s="2">
        <v>268</v>
      </c>
      <c r="T135" s="2">
        <v>269</v>
      </c>
      <c r="U135" s="2" t="str">
        <f t="shared" si="11"/>
        <v/>
      </c>
    </row>
    <row r="136" ht="23" customHeight="1" spans="1:21">
      <c r="A136" s="6" t="s">
        <v>256</v>
      </c>
      <c r="B136" s="2" t="s">
        <v>40</v>
      </c>
      <c r="C136" s="2">
        <v>5</v>
      </c>
      <c r="D136" s="6" t="s">
        <v>502</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37</v>
      </c>
      <c r="R136" s="2">
        <f t="shared" si="10"/>
        <v>0</v>
      </c>
      <c r="S136" s="2">
        <v>270</v>
      </c>
      <c r="T136" s="2">
        <v>271</v>
      </c>
      <c r="U136" s="2" t="str">
        <f t="shared" si="11"/>
        <v>双向评分平局</v>
      </c>
    </row>
    <row r="137" ht="23" customHeight="1" spans="1:21">
      <c r="A137" s="6" t="s">
        <v>332</v>
      </c>
      <c r="B137" s="2" t="s">
        <v>15</v>
      </c>
      <c r="C137" s="2">
        <v>1</v>
      </c>
      <c r="D137" s="6" t="s">
        <v>498</v>
      </c>
      <c r="E137" s="2" t="str">
        <f>five子指标方向明细!F272</f>
        <v>A</v>
      </c>
      <c r="F137" s="2">
        <f>five子指标方向明细!G272</f>
        <v>4</v>
      </c>
      <c r="G137" s="2" t="str">
        <f>five子指标方向明细!H272</f>
        <v>B</v>
      </c>
      <c r="H137" s="2">
        <f>five子指标方向明细!I272</f>
        <v>5</v>
      </c>
      <c r="I137" s="2" t="str">
        <f>five子指标方向明细!L272</f>
        <v>B</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1</v>
      </c>
      <c r="P137" s="2" t="str">
        <f t="shared" si="9"/>
        <v>B</v>
      </c>
      <c r="Q137" s="2" t="s">
        <v>37</v>
      </c>
      <c r="R137" s="2">
        <f t="shared" si="10"/>
        <v>1</v>
      </c>
      <c r="S137" s="2">
        <v>272</v>
      </c>
      <c r="T137" s="2">
        <v>273</v>
      </c>
      <c r="U137" s="2" t="str">
        <f t="shared" si="11"/>
        <v/>
      </c>
    </row>
    <row r="138" ht="23" customHeight="1" spans="1:21">
      <c r="A138" s="6" t="s">
        <v>332</v>
      </c>
      <c r="B138" s="2" t="s">
        <v>15</v>
      </c>
      <c r="C138" s="2">
        <v>2</v>
      </c>
      <c r="D138" s="6" t="s">
        <v>499</v>
      </c>
      <c r="E138" s="2" t="str">
        <f>five子指标方向明细!F274</f>
        <v>A</v>
      </c>
      <c r="F138" s="2">
        <f>five子指标方向明细!G274</f>
        <v>3</v>
      </c>
      <c r="G138" s="2" t="str">
        <f>five子指标方向明细!H274</f>
        <v>B</v>
      </c>
      <c r="H138" s="2">
        <f>five子指标方向明细!I274</f>
        <v>4</v>
      </c>
      <c r="I138" s="2" t="str">
        <f>five子指标方向明细!L274</f>
        <v>B</v>
      </c>
      <c r="J138" s="2" t="str">
        <f>five子指标方向明细!F275</f>
        <v>B</v>
      </c>
      <c r="K138" s="2">
        <f>five子指标方向明细!G275</f>
        <v>4</v>
      </c>
      <c r="L138" s="2" t="str">
        <f>five子指标方向明细!H275</f>
        <v>A</v>
      </c>
      <c r="M138" s="2">
        <f>five子指标方向明细!I275</f>
        <v>3</v>
      </c>
      <c r="N138" s="2" t="str">
        <f>five子指标方向明细!L275</f>
        <v>B</v>
      </c>
      <c r="O138" s="2">
        <f t="shared" si="8"/>
        <v>1</v>
      </c>
      <c r="P138" s="2" t="str">
        <f t="shared" si="9"/>
        <v>B</v>
      </c>
      <c r="Q138" s="2" t="s">
        <v>37</v>
      </c>
      <c r="R138" s="2">
        <f t="shared" si="10"/>
        <v>1</v>
      </c>
      <c r="S138" s="2">
        <v>274</v>
      </c>
      <c r="T138" s="2">
        <v>275</v>
      </c>
      <c r="U138" s="2" t="str">
        <f t="shared" si="11"/>
        <v/>
      </c>
    </row>
    <row r="139" ht="23" customHeight="1" spans="1:21">
      <c r="A139" s="6" t="s">
        <v>332</v>
      </c>
      <c r="B139" s="2" t="s">
        <v>15</v>
      </c>
      <c r="C139" s="2">
        <v>3</v>
      </c>
      <c r="D139" s="6" t="s">
        <v>500</v>
      </c>
      <c r="E139" s="2" t="str">
        <f>five子指标方向明细!F276</f>
        <v>A</v>
      </c>
      <c r="F139" s="2">
        <f>five子指标方向明细!G276</f>
        <v>4</v>
      </c>
      <c r="G139" s="2" t="str">
        <f>five子指标方向明细!H276</f>
        <v>B</v>
      </c>
      <c r="H139" s="2">
        <f>five子指标方向明细!I276</f>
        <v>5</v>
      </c>
      <c r="I139" s="2" t="str">
        <f>five子指标方向明细!L276</f>
        <v>B</v>
      </c>
      <c r="J139" s="2" t="str">
        <f>five子指标方向明细!F277</f>
        <v>B</v>
      </c>
      <c r="K139" s="2">
        <f>five子指标方向明细!G277</f>
        <v>5</v>
      </c>
      <c r="L139" s="2" t="str">
        <f>five子指标方向明细!H277</f>
        <v>A</v>
      </c>
      <c r="M139" s="2">
        <f>five子指标方向明细!I277</f>
        <v>4</v>
      </c>
      <c r="N139" s="2" t="str">
        <f>five子指标方向明细!L277</f>
        <v>B</v>
      </c>
      <c r="O139" s="2">
        <f t="shared" si="8"/>
        <v>1</v>
      </c>
      <c r="P139" s="2" t="str">
        <f t="shared" si="9"/>
        <v>B</v>
      </c>
      <c r="Q139" s="2" t="s">
        <v>37</v>
      </c>
      <c r="R139" s="2">
        <f t="shared" si="10"/>
        <v>1</v>
      </c>
      <c r="S139" s="2">
        <v>276</v>
      </c>
      <c r="T139" s="2">
        <v>277</v>
      </c>
      <c r="U139" s="2" t="str">
        <f t="shared" si="11"/>
        <v/>
      </c>
    </row>
    <row r="140" ht="23" customHeight="1" spans="1:21">
      <c r="A140" s="6" t="s">
        <v>332</v>
      </c>
      <c r="B140" s="2" t="s">
        <v>15</v>
      </c>
      <c r="C140" s="2">
        <v>4</v>
      </c>
      <c r="D140" s="6" t="s">
        <v>501</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5</v>
      </c>
      <c r="L140" s="2" t="str">
        <f>five子指标方向明细!H279</f>
        <v>A</v>
      </c>
      <c r="M140" s="2">
        <f>five子指标方向明细!I279</f>
        <v>3</v>
      </c>
      <c r="N140" s="2" t="str">
        <f>five子指标方向明细!L279</f>
        <v>B</v>
      </c>
      <c r="O140" s="2">
        <f t="shared" si="8"/>
        <v>1</v>
      </c>
      <c r="P140" s="2" t="str">
        <f t="shared" si="9"/>
        <v>B</v>
      </c>
      <c r="Q140" s="2" t="s">
        <v>37</v>
      </c>
      <c r="R140" s="2">
        <f t="shared" si="10"/>
        <v>1</v>
      </c>
      <c r="S140" s="2">
        <v>278</v>
      </c>
      <c r="T140" s="2">
        <v>279</v>
      </c>
      <c r="U140" s="2" t="str">
        <f t="shared" si="11"/>
        <v/>
      </c>
    </row>
    <row r="141" ht="23" customHeight="1" spans="1:21">
      <c r="A141" s="6" t="s">
        <v>332</v>
      </c>
      <c r="B141" s="2" t="s">
        <v>15</v>
      </c>
      <c r="C141" s="2">
        <v>5</v>
      </c>
      <c r="D141" s="6" t="s">
        <v>502</v>
      </c>
      <c r="E141" s="2" t="str">
        <f>five子指标方向明细!F280</f>
        <v>A</v>
      </c>
      <c r="F141" s="2">
        <f>five子指标方向明细!G280</f>
        <v>4</v>
      </c>
      <c r="G141" s="2" t="str">
        <f>five子指标方向明细!H280</f>
        <v>B</v>
      </c>
      <c r="H141" s="2">
        <f>five子指标方向明细!I280</f>
        <v>5</v>
      </c>
      <c r="I141" s="2" t="str">
        <f>five子指标方向明细!L280</f>
        <v>B</v>
      </c>
      <c r="J141" s="2" t="str">
        <f>five子指标方向明细!F281</f>
        <v>B</v>
      </c>
      <c r="K141" s="2">
        <f>five子指标方向明细!G281</f>
        <v>5</v>
      </c>
      <c r="L141" s="2" t="str">
        <f>five子指标方向明细!H281</f>
        <v>A</v>
      </c>
      <c r="M141" s="2">
        <f>five子指标方向明细!I281</f>
        <v>5</v>
      </c>
      <c r="N141" s="2" t="str">
        <f>five子指标方向明细!L281</f>
        <v>D(平局)</v>
      </c>
      <c r="O141" s="2">
        <f t="shared" si="8"/>
        <v>0</v>
      </c>
      <c r="P141" s="2" t="str">
        <f t="shared" si="9"/>
        <v>D(平局)</v>
      </c>
      <c r="Q141" s="2" t="s">
        <v>37</v>
      </c>
      <c r="R141" s="2">
        <f t="shared" si="10"/>
        <v>0</v>
      </c>
      <c r="S141" s="2">
        <v>280</v>
      </c>
      <c r="T141" s="2">
        <v>281</v>
      </c>
      <c r="U141" s="2" t="str">
        <f t="shared" si="11"/>
        <v>方向冲突</v>
      </c>
    </row>
    <row r="142" ht="23" customHeight="1" spans="1:21">
      <c r="A142" s="6" t="s">
        <v>332</v>
      </c>
      <c r="B142" s="2" t="s">
        <v>30</v>
      </c>
      <c r="C142" s="2">
        <v>1</v>
      </c>
      <c r="D142" s="6" t="s">
        <v>498</v>
      </c>
      <c r="E142" s="2" t="str">
        <f>five子指标方向明细!F282</f>
        <v>A</v>
      </c>
      <c r="F142" s="2">
        <f>five子指标方向明细!G282</f>
        <v>4</v>
      </c>
      <c r="G142" s="2" t="str">
        <f>five子指标方向明细!H282</f>
        <v>C</v>
      </c>
      <c r="H142" s="2">
        <f>five子指标方向明细!I282</f>
        <v>3</v>
      </c>
      <c r="I142" s="2" t="str">
        <f>five子指标方向明细!L282</f>
        <v>A</v>
      </c>
      <c r="J142" s="2" t="str">
        <f>five子指标方向明细!F283</f>
        <v>C</v>
      </c>
      <c r="K142" s="2">
        <f>five子指标方向明细!G283</f>
        <v>4</v>
      </c>
      <c r="L142" s="2" t="str">
        <f>five子指标方向明细!H283</f>
        <v>A</v>
      </c>
      <c r="M142" s="2">
        <f>five子指标方向明细!I283</f>
        <v>5</v>
      </c>
      <c r="N142" s="2" t="str">
        <f>five子指标方向明细!L283</f>
        <v>A</v>
      </c>
      <c r="O142" s="2">
        <f t="shared" si="8"/>
        <v>1</v>
      </c>
      <c r="P142" s="2" t="str">
        <f t="shared" si="9"/>
        <v>A</v>
      </c>
      <c r="Q142" s="2" t="s">
        <v>34</v>
      </c>
      <c r="R142" s="2">
        <f t="shared" si="10"/>
        <v>1</v>
      </c>
      <c r="S142" s="2">
        <v>282</v>
      </c>
      <c r="T142" s="2">
        <v>283</v>
      </c>
      <c r="U142" s="2" t="str">
        <f t="shared" si="11"/>
        <v/>
      </c>
    </row>
    <row r="143" ht="23" customHeight="1" spans="1:21">
      <c r="A143" s="6" t="s">
        <v>332</v>
      </c>
      <c r="B143" s="2" t="s">
        <v>30</v>
      </c>
      <c r="C143" s="2">
        <v>2</v>
      </c>
      <c r="D143" s="6" t="s">
        <v>499</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34</v>
      </c>
      <c r="R143" s="2">
        <f t="shared" si="10"/>
        <v>1</v>
      </c>
      <c r="S143" s="2">
        <v>284</v>
      </c>
      <c r="T143" s="2">
        <v>285</v>
      </c>
      <c r="U143" s="2" t="str">
        <f t="shared" si="11"/>
        <v/>
      </c>
    </row>
    <row r="144" ht="23" customHeight="1" spans="1:21">
      <c r="A144" s="6" t="s">
        <v>332</v>
      </c>
      <c r="B144" s="2" t="s">
        <v>30</v>
      </c>
      <c r="C144" s="2">
        <v>3</v>
      </c>
      <c r="D144" s="6" t="s">
        <v>500</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34</v>
      </c>
      <c r="R144" s="2">
        <f t="shared" si="10"/>
        <v>1</v>
      </c>
      <c r="S144" s="2">
        <v>286</v>
      </c>
      <c r="T144" s="2">
        <v>287</v>
      </c>
      <c r="U144" s="2" t="str">
        <f t="shared" si="11"/>
        <v/>
      </c>
    </row>
    <row r="145" ht="23" customHeight="1" spans="1:21">
      <c r="A145" s="6" t="s">
        <v>332</v>
      </c>
      <c r="B145" s="2" t="s">
        <v>30</v>
      </c>
      <c r="C145" s="2">
        <v>4</v>
      </c>
      <c r="D145" s="6" t="s">
        <v>501</v>
      </c>
      <c r="E145" s="2" t="str">
        <f>five子指标方向明细!F288</f>
        <v>A</v>
      </c>
      <c r="F145" s="2">
        <f>five子指标方向明细!G288</f>
        <v>4</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34</v>
      </c>
      <c r="R145" s="2">
        <f t="shared" si="10"/>
        <v>1</v>
      </c>
      <c r="S145" s="2">
        <v>288</v>
      </c>
      <c r="T145" s="2">
        <v>289</v>
      </c>
      <c r="U145" s="2" t="str">
        <f t="shared" si="11"/>
        <v/>
      </c>
    </row>
    <row r="146" ht="23" customHeight="1" spans="1:21">
      <c r="A146" s="6" t="s">
        <v>332</v>
      </c>
      <c r="B146" s="2" t="s">
        <v>30</v>
      </c>
      <c r="C146" s="2">
        <v>5</v>
      </c>
      <c r="D146" s="6" t="s">
        <v>502</v>
      </c>
      <c r="E146" s="2" t="str">
        <f>five子指标方向明细!F290</f>
        <v>A</v>
      </c>
      <c r="F146" s="2">
        <f>five子指标方向明细!G290</f>
        <v>4</v>
      </c>
      <c r="G146" s="2" t="str">
        <f>five子指标方向明细!H290</f>
        <v>C</v>
      </c>
      <c r="H146" s="2">
        <f>five子指标方向明细!I290</f>
        <v>2</v>
      </c>
      <c r="I146" s="2" t="str">
        <f>five子指标方向明细!L290</f>
        <v>A</v>
      </c>
      <c r="J146" s="2" t="str">
        <f>five子指标方向明细!F291</f>
        <v>C</v>
      </c>
      <c r="K146" s="2">
        <f>five子指标方向明细!G291</f>
        <v>3</v>
      </c>
      <c r="L146" s="2" t="str">
        <f>five子指标方向明细!H291</f>
        <v>A</v>
      </c>
      <c r="M146" s="2">
        <f>five子指标方向明细!I291</f>
        <v>5</v>
      </c>
      <c r="N146" s="2" t="str">
        <f>five子指标方向明细!L291</f>
        <v>A</v>
      </c>
      <c r="O146" s="2">
        <f t="shared" si="8"/>
        <v>1</v>
      </c>
      <c r="P146" s="2" t="str">
        <f t="shared" si="9"/>
        <v>A</v>
      </c>
      <c r="Q146" s="2" t="s">
        <v>34</v>
      </c>
      <c r="R146" s="2">
        <f t="shared" si="10"/>
        <v>1</v>
      </c>
      <c r="S146" s="2">
        <v>290</v>
      </c>
      <c r="T146" s="2">
        <v>291</v>
      </c>
      <c r="U146" s="2" t="str">
        <f t="shared" si="11"/>
        <v/>
      </c>
    </row>
    <row r="147" ht="23" customHeight="1" spans="1:21">
      <c r="A147" s="6" t="s">
        <v>332</v>
      </c>
      <c r="B147" s="2" t="s">
        <v>40</v>
      </c>
      <c r="C147" s="2">
        <v>1</v>
      </c>
      <c r="D147" s="6" t="s">
        <v>498</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37</v>
      </c>
      <c r="R147" s="2">
        <f t="shared" si="10"/>
        <v>1</v>
      </c>
      <c r="S147" s="2">
        <v>292</v>
      </c>
      <c r="T147" s="2">
        <v>293</v>
      </c>
      <c r="U147" s="2" t="str">
        <f t="shared" si="11"/>
        <v/>
      </c>
    </row>
    <row r="148" ht="23" customHeight="1" spans="1:21">
      <c r="A148" s="6" t="s">
        <v>332</v>
      </c>
      <c r="B148" s="2" t="s">
        <v>40</v>
      </c>
      <c r="C148" s="2">
        <v>2</v>
      </c>
      <c r="D148" s="6" t="s">
        <v>499</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4</v>
      </c>
      <c r="N148" s="2" t="str">
        <f>five子指标方向明细!L295</f>
        <v>B</v>
      </c>
      <c r="O148" s="2">
        <f t="shared" si="8"/>
        <v>1</v>
      </c>
      <c r="P148" s="2" t="str">
        <f t="shared" si="9"/>
        <v>B</v>
      </c>
      <c r="Q148" s="2" t="s">
        <v>37</v>
      </c>
      <c r="R148" s="2">
        <f t="shared" si="10"/>
        <v>1</v>
      </c>
      <c r="S148" s="2">
        <v>294</v>
      </c>
      <c r="T148" s="2">
        <v>295</v>
      </c>
      <c r="U148" s="2" t="str">
        <f t="shared" si="11"/>
        <v/>
      </c>
    </row>
    <row r="149" ht="23" customHeight="1" spans="1:21">
      <c r="A149" s="6" t="s">
        <v>332</v>
      </c>
      <c r="B149" s="2" t="s">
        <v>40</v>
      </c>
      <c r="C149" s="2">
        <v>3</v>
      </c>
      <c r="D149" s="6" t="s">
        <v>500</v>
      </c>
      <c r="E149" s="2" t="str">
        <f>five子指标方向明细!F296</f>
        <v>B</v>
      </c>
      <c r="F149" s="2">
        <f>five子指标方向明细!G296</f>
        <v>5</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4</v>
      </c>
      <c r="N149" s="2" t="str">
        <f>five子指标方向明细!L297</f>
        <v>B</v>
      </c>
      <c r="O149" s="2">
        <f t="shared" si="8"/>
        <v>1</v>
      </c>
      <c r="P149" s="2" t="str">
        <f t="shared" si="9"/>
        <v>B</v>
      </c>
      <c r="Q149" s="2" t="s">
        <v>37</v>
      </c>
      <c r="R149" s="2">
        <f t="shared" si="10"/>
        <v>1</v>
      </c>
      <c r="S149" s="2">
        <v>296</v>
      </c>
      <c r="T149" s="2">
        <v>297</v>
      </c>
      <c r="U149" s="2" t="str">
        <f t="shared" si="11"/>
        <v/>
      </c>
    </row>
    <row r="150" ht="23" customHeight="1" spans="1:21">
      <c r="A150" s="6" t="s">
        <v>332</v>
      </c>
      <c r="B150" s="2" t="s">
        <v>40</v>
      </c>
      <c r="C150" s="2">
        <v>4</v>
      </c>
      <c r="D150" s="6" t="s">
        <v>501</v>
      </c>
      <c r="E150" s="2" t="str">
        <f>five子指标方向明细!F298</f>
        <v>B</v>
      </c>
      <c r="F150" s="2">
        <f>five子指标方向明细!G298</f>
        <v>5</v>
      </c>
      <c r="G150" s="2" t="str">
        <f>five子指标方向明细!H298</f>
        <v>C</v>
      </c>
      <c r="H150" s="2">
        <f>five子指标方向明细!I298</f>
        <v>2</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37</v>
      </c>
      <c r="R150" s="2">
        <f t="shared" si="10"/>
        <v>1</v>
      </c>
      <c r="S150" s="2">
        <v>298</v>
      </c>
      <c r="T150" s="2">
        <v>299</v>
      </c>
      <c r="U150" s="2" t="str">
        <f t="shared" si="11"/>
        <v/>
      </c>
    </row>
    <row r="151" ht="23" customHeight="1" spans="1:21">
      <c r="A151" s="6" t="s">
        <v>332</v>
      </c>
      <c r="B151" s="2" t="s">
        <v>40</v>
      </c>
      <c r="C151" s="2">
        <v>5</v>
      </c>
      <c r="D151" s="6" t="s">
        <v>502</v>
      </c>
      <c r="E151" s="2" t="str">
        <f>five子指标方向明细!F300</f>
        <v>B</v>
      </c>
      <c r="F151" s="2">
        <f>five子指标方向明细!G300</f>
        <v>5</v>
      </c>
      <c r="G151" s="2" t="str">
        <f>five子指标方向明细!H300</f>
        <v>C</v>
      </c>
      <c r="H151" s="2">
        <f>five子指标方向明细!I300</f>
        <v>3</v>
      </c>
      <c r="I151" s="2" t="str">
        <f>five子指标方向明细!L300</f>
        <v>B</v>
      </c>
      <c r="J151" s="2" t="str">
        <f>five子指标方向明细!F301</f>
        <v>C</v>
      </c>
      <c r="K151" s="2">
        <f>five子指标方向明细!G301</f>
        <v>2</v>
      </c>
      <c r="L151" s="2" t="str">
        <f>five子指标方向明细!H301</f>
        <v>B</v>
      </c>
      <c r="M151" s="2">
        <f>five子指标方向明细!I301</f>
        <v>5</v>
      </c>
      <c r="N151" s="2" t="str">
        <f>five子指标方向明细!L301</f>
        <v>B</v>
      </c>
      <c r="O151" s="2">
        <f t="shared" si="8"/>
        <v>1</v>
      </c>
      <c r="P151" s="2" t="str">
        <f t="shared" si="9"/>
        <v>B</v>
      </c>
      <c r="Q151" s="2" t="s">
        <v>37</v>
      </c>
      <c r="R151" s="2">
        <f t="shared" si="10"/>
        <v>1</v>
      </c>
      <c r="S151" s="2">
        <v>300</v>
      </c>
      <c r="T151" s="2">
        <v>301</v>
      </c>
      <c r="U151" s="2" t="str">
        <f t="shared" si="11"/>
        <v/>
      </c>
    </row>
    <row r="152" ht="23" customHeight="1" spans="1:21">
      <c r="A152" s="6" t="s">
        <v>218</v>
      </c>
      <c r="B152" s="2" t="s">
        <v>15</v>
      </c>
      <c r="C152" s="2">
        <v>1</v>
      </c>
      <c r="D152" s="6" t="s">
        <v>498</v>
      </c>
      <c r="E152" s="2" t="str">
        <f>five子指标方向明细!F302</f>
        <v>A</v>
      </c>
      <c r="F152" s="2">
        <f>five子指标方向明细!G302</f>
        <v>4</v>
      </c>
      <c r="G152" s="2" t="str">
        <f>five子指标方向明细!H302</f>
        <v>B</v>
      </c>
      <c r="H152" s="2">
        <f>five子指标方向明细!I302</f>
        <v>5</v>
      </c>
      <c r="I152" s="2" t="str">
        <f>five子指标方向明细!L302</f>
        <v>B</v>
      </c>
      <c r="J152" s="2" t="str">
        <f>five子指标方向明细!F303</f>
        <v>B</v>
      </c>
      <c r="K152" s="2">
        <f>five子指标方向明细!G303</f>
        <v>5</v>
      </c>
      <c r="L152" s="2" t="str">
        <f>five子指标方向明细!H303</f>
        <v>A</v>
      </c>
      <c r="M152" s="2">
        <f>five子指标方向明细!I303</f>
        <v>3</v>
      </c>
      <c r="N152" s="2" t="str">
        <f>five子指标方向明细!L303</f>
        <v>B</v>
      </c>
      <c r="O152" s="2">
        <f t="shared" si="8"/>
        <v>1</v>
      </c>
      <c r="P152" s="2" t="str">
        <f t="shared" si="9"/>
        <v>B</v>
      </c>
      <c r="Q152" s="2" t="s">
        <v>34</v>
      </c>
      <c r="R152" s="2">
        <f t="shared" si="10"/>
        <v>0</v>
      </c>
      <c r="S152" s="2">
        <v>302</v>
      </c>
      <c r="T152" s="2">
        <v>303</v>
      </c>
      <c r="U152" s="2" t="str">
        <f t="shared" si="11"/>
        <v/>
      </c>
    </row>
    <row r="153" ht="23" customHeight="1" spans="1:21">
      <c r="A153" s="6" t="s">
        <v>218</v>
      </c>
      <c r="B153" s="2" t="s">
        <v>15</v>
      </c>
      <c r="C153" s="2">
        <v>2</v>
      </c>
      <c r="D153" s="6" t="s">
        <v>499</v>
      </c>
      <c r="E153" s="2" t="str">
        <f>five子指标方向明细!F304</f>
        <v>A</v>
      </c>
      <c r="F153" s="2">
        <f>five子指标方向明细!G304</f>
        <v>4</v>
      </c>
      <c r="G153" s="2" t="str">
        <f>five子指标方向明细!H304</f>
        <v>B</v>
      </c>
      <c r="H153" s="2">
        <f>five子指标方向明细!I304</f>
        <v>3</v>
      </c>
      <c r="I153" s="2" t="str">
        <f>five子指标方向明细!L304</f>
        <v>A</v>
      </c>
      <c r="J153" s="2" t="str">
        <f>five子指标方向明细!F305</f>
        <v>B</v>
      </c>
      <c r="K153" s="2">
        <f>five子指标方向明细!G305</f>
        <v>3</v>
      </c>
      <c r="L153" s="2" t="str">
        <f>five子指标方向明细!H305</f>
        <v>A</v>
      </c>
      <c r="M153" s="2">
        <f>five子指标方向明细!I305</f>
        <v>4</v>
      </c>
      <c r="N153" s="2" t="str">
        <f>five子指标方向明细!L305</f>
        <v>A</v>
      </c>
      <c r="O153" s="2">
        <f t="shared" si="8"/>
        <v>1</v>
      </c>
      <c r="P153" s="2" t="str">
        <f t="shared" si="9"/>
        <v>A</v>
      </c>
      <c r="Q153" s="2" t="s">
        <v>34</v>
      </c>
      <c r="R153" s="2">
        <f t="shared" si="10"/>
        <v>1</v>
      </c>
      <c r="S153" s="2">
        <v>304</v>
      </c>
      <c r="T153" s="2">
        <v>305</v>
      </c>
      <c r="U153" s="2" t="str">
        <f t="shared" si="11"/>
        <v/>
      </c>
    </row>
    <row r="154" ht="23" customHeight="1" spans="1:21">
      <c r="A154" s="6" t="s">
        <v>218</v>
      </c>
      <c r="B154" s="2" t="s">
        <v>15</v>
      </c>
      <c r="C154" s="2">
        <v>3</v>
      </c>
      <c r="D154" s="6" t="s">
        <v>500</v>
      </c>
      <c r="E154" s="2" t="str">
        <f>five子指标方向明细!F306</f>
        <v>A</v>
      </c>
      <c r="F154" s="2">
        <f>five子指标方向明细!G306</f>
        <v>4</v>
      </c>
      <c r="G154" s="2" t="str">
        <f>five子指标方向明细!H306</f>
        <v>B</v>
      </c>
      <c r="H154" s="2">
        <f>five子指标方向明细!I306</f>
        <v>5</v>
      </c>
      <c r="I154" s="2" t="str">
        <f>five子指标方向明细!L306</f>
        <v>B</v>
      </c>
      <c r="J154" s="2" t="str">
        <f>five子指标方向明细!F307</f>
        <v>B</v>
      </c>
      <c r="K154" s="2">
        <f>five子指标方向明细!G307</f>
        <v>4</v>
      </c>
      <c r="L154" s="2" t="str">
        <f>five子指标方向明细!H307</f>
        <v>A</v>
      </c>
      <c r="M154" s="2">
        <f>five子指标方向明细!I307</f>
        <v>3</v>
      </c>
      <c r="N154" s="2" t="str">
        <f>five子指标方向明细!L307</f>
        <v>B</v>
      </c>
      <c r="O154" s="2">
        <f t="shared" si="8"/>
        <v>1</v>
      </c>
      <c r="P154" s="2" t="str">
        <f t="shared" si="9"/>
        <v>B</v>
      </c>
      <c r="Q154" s="2" t="s">
        <v>34</v>
      </c>
      <c r="R154" s="2">
        <f t="shared" si="10"/>
        <v>0</v>
      </c>
      <c r="S154" s="2">
        <v>306</v>
      </c>
      <c r="T154" s="2">
        <v>307</v>
      </c>
      <c r="U154" s="2" t="str">
        <f t="shared" si="11"/>
        <v/>
      </c>
    </row>
    <row r="155" ht="23" customHeight="1" spans="1:21">
      <c r="A155" s="6" t="s">
        <v>218</v>
      </c>
      <c r="B155" s="2" t="s">
        <v>15</v>
      </c>
      <c r="C155" s="2">
        <v>4</v>
      </c>
      <c r="D155" s="6" t="s">
        <v>501</v>
      </c>
      <c r="E155" s="2" t="str">
        <f>five子指标方向明细!F308</f>
        <v>A</v>
      </c>
      <c r="F155" s="2">
        <f>five子指标方向明细!G308</f>
        <v>4</v>
      </c>
      <c r="G155" s="2" t="str">
        <f>five子指标方向明细!H308</f>
        <v>B</v>
      </c>
      <c r="H155" s="2">
        <f>five子指标方向明细!I308</f>
        <v>5</v>
      </c>
      <c r="I155" s="2" t="str">
        <f>five子指标方向明细!L308</f>
        <v>B</v>
      </c>
      <c r="J155" s="2" t="str">
        <f>five子指标方向明细!F309</f>
        <v>B</v>
      </c>
      <c r="K155" s="2">
        <f>five子指标方向明细!G309</f>
        <v>5</v>
      </c>
      <c r="L155" s="2" t="str">
        <f>five子指标方向明细!H309</f>
        <v>A</v>
      </c>
      <c r="M155" s="2">
        <f>five子指标方向明细!I309</f>
        <v>3</v>
      </c>
      <c r="N155" s="2" t="str">
        <f>five子指标方向明细!L309</f>
        <v>B</v>
      </c>
      <c r="O155" s="2">
        <f t="shared" si="8"/>
        <v>1</v>
      </c>
      <c r="P155" s="2" t="str">
        <f t="shared" si="9"/>
        <v>B</v>
      </c>
      <c r="Q155" s="2" t="s">
        <v>34</v>
      </c>
      <c r="R155" s="2">
        <f t="shared" si="10"/>
        <v>0</v>
      </c>
      <c r="S155" s="2">
        <v>308</v>
      </c>
      <c r="T155" s="2">
        <v>309</v>
      </c>
      <c r="U155" s="2" t="str">
        <f t="shared" si="11"/>
        <v/>
      </c>
    </row>
    <row r="156" ht="23" customHeight="1" spans="1:21">
      <c r="A156" s="6" t="s">
        <v>218</v>
      </c>
      <c r="B156" s="2" t="s">
        <v>15</v>
      </c>
      <c r="C156" s="2">
        <v>5</v>
      </c>
      <c r="D156" s="6" t="s">
        <v>502</v>
      </c>
      <c r="E156" s="2" t="str">
        <f>five子指标方向明细!F310</f>
        <v>A</v>
      </c>
      <c r="F156" s="2">
        <f>five子指标方向明细!G310</f>
        <v>5</v>
      </c>
      <c r="G156" s="2" t="str">
        <f>five子指标方向明细!H310</f>
        <v>B</v>
      </c>
      <c r="H156" s="2">
        <f>five子指标方向明细!I310</f>
        <v>5</v>
      </c>
      <c r="I156" s="2" t="str">
        <f>five子指标方向明细!L310</f>
        <v>D(平局)</v>
      </c>
      <c r="J156" s="2" t="str">
        <f>five子指标方向明细!F311</f>
        <v>B</v>
      </c>
      <c r="K156" s="2">
        <f>five子指标方向明细!G311</f>
        <v>4</v>
      </c>
      <c r="L156" s="2" t="str">
        <f>five子指标方向明细!H311</f>
        <v>A</v>
      </c>
      <c r="M156" s="2">
        <f>five子指标方向明细!I311</f>
        <v>4</v>
      </c>
      <c r="N156" s="2" t="str">
        <f>five子指标方向明细!L311</f>
        <v>D(平局)</v>
      </c>
      <c r="O156" s="2">
        <f t="shared" si="8"/>
        <v>1</v>
      </c>
      <c r="P156" s="2" t="str">
        <f t="shared" si="9"/>
        <v>D(平局)</v>
      </c>
      <c r="Q156" s="2" t="s">
        <v>34</v>
      </c>
      <c r="R156" s="2">
        <f t="shared" si="10"/>
        <v>0</v>
      </c>
      <c r="S156" s="2">
        <v>310</v>
      </c>
      <c r="T156" s="2">
        <v>311</v>
      </c>
      <c r="U156" s="2" t="str">
        <f t="shared" si="11"/>
        <v>双向评分平局</v>
      </c>
    </row>
    <row r="157" ht="23" customHeight="1" spans="1:21">
      <c r="A157" s="6" t="s">
        <v>218</v>
      </c>
      <c r="B157" s="2" t="s">
        <v>30</v>
      </c>
      <c r="C157" s="2">
        <v>1</v>
      </c>
      <c r="D157" s="6" t="s">
        <v>498</v>
      </c>
      <c r="E157" s="2" t="str">
        <f>five子指标方向明细!F312</f>
        <v>A</v>
      </c>
      <c r="F157" s="2">
        <f>five子指标方向明细!G312</f>
        <v>3</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4</v>
      </c>
      <c r="N157" s="2" t="str">
        <f>five子指标方向明细!L313</f>
        <v>C</v>
      </c>
      <c r="O157" s="2">
        <f t="shared" si="8"/>
        <v>1</v>
      </c>
      <c r="P157" s="2" t="str">
        <f t="shared" si="9"/>
        <v>C</v>
      </c>
      <c r="Q157" s="2" t="s">
        <v>22</v>
      </c>
      <c r="R157" s="2">
        <f t="shared" si="10"/>
        <v>1</v>
      </c>
      <c r="S157" s="2">
        <v>312</v>
      </c>
      <c r="T157" s="2">
        <v>313</v>
      </c>
      <c r="U157" s="2" t="str">
        <f t="shared" si="11"/>
        <v/>
      </c>
    </row>
    <row r="158" ht="23" customHeight="1" spans="1:21">
      <c r="A158" s="6" t="s">
        <v>218</v>
      </c>
      <c r="B158" s="2" t="s">
        <v>30</v>
      </c>
      <c r="C158" s="2">
        <v>2</v>
      </c>
      <c r="D158" s="6" t="s">
        <v>499</v>
      </c>
      <c r="E158" s="2" t="str">
        <f>five子指标方向明细!F314</f>
        <v>A</v>
      </c>
      <c r="F158" s="2">
        <f>five子指标方向明细!G314</f>
        <v>3</v>
      </c>
      <c r="G158" s="2" t="str">
        <f>five子指标方向明细!H314</f>
        <v>C</v>
      </c>
      <c r="H158" s="2">
        <f>five子指标方向明细!I314</f>
        <v>5</v>
      </c>
      <c r="I158" s="2" t="str">
        <f>five子指标方向明细!L314</f>
        <v>C</v>
      </c>
      <c r="J158" s="2" t="str">
        <f>five子指标方向明细!F315</f>
        <v>C</v>
      </c>
      <c r="K158" s="2">
        <f>five子指标方向明细!G315</f>
        <v>4</v>
      </c>
      <c r="L158" s="2" t="str">
        <f>five子指标方向明细!H315</f>
        <v>A</v>
      </c>
      <c r="M158" s="2">
        <f>five子指标方向明细!I315</f>
        <v>2</v>
      </c>
      <c r="N158" s="2" t="str">
        <f>five子指标方向明细!L315</f>
        <v>C</v>
      </c>
      <c r="O158" s="2">
        <f t="shared" si="8"/>
        <v>1</v>
      </c>
      <c r="P158" s="2" t="str">
        <f t="shared" si="9"/>
        <v>C</v>
      </c>
      <c r="Q158" s="2" t="s">
        <v>22</v>
      </c>
      <c r="R158" s="2">
        <f t="shared" si="10"/>
        <v>1</v>
      </c>
      <c r="S158" s="2">
        <v>314</v>
      </c>
      <c r="T158" s="2">
        <v>315</v>
      </c>
      <c r="U158" s="2" t="str">
        <f t="shared" si="11"/>
        <v/>
      </c>
    </row>
    <row r="159" ht="23" customHeight="1" spans="1:21">
      <c r="A159" s="6" t="s">
        <v>218</v>
      </c>
      <c r="B159" s="2" t="s">
        <v>30</v>
      </c>
      <c r="C159" s="2">
        <v>3</v>
      </c>
      <c r="D159" s="6" t="s">
        <v>500</v>
      </c>
      <c r="E159" s="2" t="str">
        <f>five子指标方向明细!F316</f>
        <v>A</v>
      </c>
      <c r="F159" s="2">
        <f>five子指标方向明细!G316</f>
        <v>4</v>
      </c>
      <c r="G159" s="2" t="str">
        <f>five子指标方向明细!H316</f>
        <v>C</v>
      </c>
      <c r="H159" s="2">
        <f>five子指标方向明细!I316</f>
        <v>5</v>
      </c>
      <c r="I159" s="2" t="str">
        <f>five子指标方向明细!L316</f>
        <v>C</v>
      </c>
      <c r="J159" s="2" t="str">
        <f>five子指标方向明细!F317</f>
        <v>C</v>
      </c>
      <c r="K159" s="2">
        <f>five子指标方向明细!G317</f>
        <v>4</v>
      </c>
      <c r="L159" s="2" t="str">
        <f>five子指标方向明细!H317</f>
        <v>A</v>
      </c>
      <c r="M159" s="2">
        <f>five子指标方向明细!I317</f>
        <v>3</v>
      </c>
      <c r="N159" s="2" t="str">
        <f>five子指标方向明细!L317</f>
        <v>C</v>
      </c>
      <c r="O159" s="2">
        <f t="shared" si="8"/>
        <v>1</v>
      </c>
      <c r="P159" s="2" t="str">
        <f t="shared" si="9"/>
        <v>C</v>
      </c>
      <c r="Q159" s="2" t="s">
        <v>22</v>
      </c>
      <c r="R159" s="2">
        <f t="shared" si="10"/>
        <v>1</v>
      </c>
      <c r="S159" s="2">
        <v>316</v>
      </c>
      <c r="T159" s="2">
        <v>317</v>
      </c>
      <c r="U159" s="2" t="str">
        <f t="shared" si="11"/>
        <v/>
      </c>
    </row>
    <row r="160" ht="23" customHeight="1" spans="1:21">
      <c r="A160" s="6" t="s">
        <v>218</v>
      </c>
      <c r="B160" s="2" t="s">
        <v>30</v>
      </c>
      <c r="C160" s="2">
        <v>4</v>
      </c>
      <c r="D160" s="6" t="s">
        <v>501</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3</v>
      </c>
      <c r="N160" s="2" t="str">
        <f>five子指标方向明细!L319</f>
        <v>C</v>
      </c>
      <c r="O160" s="2">
        <f t="shared" si="8"/>
        <v>1</v>
      </c>
      <c r="P160" s="2" t="str">
        <f t="shared" si="9"/>
        <v>C</v>
      </c>
      <c r="Q160" s="2" t="s">
        <v>22</v>
      </c>
      <c r="R160" s="2">
        <f t="shared" si="10"/>
        <v>1</v>
      </c>
      <c r="S160" s="2">
        <v>318</v>
      </c>
      <c r="T160" s="2">
        <v>319</v>
      </c>
      <c r="U160" s="2" t="str">
        <f t="shared" si="11"/>
        <v/>
      </c>
    </row>
    <row r="161" ht="23" customHeight="1" spans="1:21">
      <c r="A161" s="6" t="s">
        <v>218</v>
      </c>
      <c r="B161" s="2" t="s">
        <v>30</v>
      </c>
      <c r="C161" s="2">
        <v>5</v>
      </c>
      <c r="D161" s="6" t="s">
        <v>502</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22</v>
      </c>
      <c r="R161" s="2">
        <f t="shared" si="10"/>
        <v>0</v>
      </c>
      <c r="S161" s="2">
        <v>320</v>
      </c>
      <c r="T161" s="2">
        <v>321</v>
      </c>
      <c r="U161" s="2" t="str">
        <f t="shared" si="11"/>
        <v>双向评分平局</v>
      </c>
    </row>
    <row r="162" ht="23" customHeight="1" spans="1:21">
      <c r="A162" s="6" t="s">
        <v>218</v>
      </c>
      <c r="B162" s="2" t="s">
        <v>40</v>
      </c>
      <c r="C162" s="2">
        <v>1</v>
      </c>
      <c r="D162" s="6" t="s">
        <v>498</v>
      </c>
      <c r="E162" s="2" t="str">
        <f>five子指标方向明细!F322</f>
        <v>B</v>
      </c>
      <c r="F162" s="2">
        <f>five子指标方向明细!G322</f>
        <v>4</v>
      </c>
      <c r="G162" s="2" t="str">
        <f>five子指标方向明细!H322</f>
        <v>C</v>
      </c>
      <c r="H162" s="2">
        <f>five子指标方向明细!I322</f>
        <v>4</v>
      </c>
      <c r="I162" s="2" t="str">
        <f>five子指标方向明细!L322</f>
        <v>D(平局)</v>
      </c>
      <c r="J162" s="2" t="str">
        <f>five子指标方向明细!F323</f>
        <v>C</v>
      </c>
      <c r="K162" s="2">
        <f>five子指标方向明细!G323</f>
        <v>5</v>
      </c>
      <c r="L162" s="2" t="str">
        <f>five子指标方向明细!H323</f>
        <v>B</v>
      </c>
      <c r="M162" s="2">
        <f>five子指标方向明细!I323</f>
        <v>4</v>
      </c>
      <c r="N162" s="2" t="str">
        <f>five子指标方向明细!L323</f>
        <v>C</v>
      </c>
      <c r="O162" s="2">
        <f t="shared" si="8"/>
        <v>0</v>
      </c>
      <c r="P162" s="2" t="str">
        <f t="shared" si="9"/>
        <v>D(平局)</v>
      </c>
      <c r="Q162" s="2" t="s">
        <v>22</v>
      </c>
      <c r="R162" s="2">
        <f t="shared" si="10"/>
        <v>0</v>
      </c>
      <c r="S162" s="2">
        <v>322</v>
      </c>
      <c r="T162" s="2">
        <v>323</v>
      </c>
      <c r="U162" s="2" t="str">
        <f t="shared" si="11"/>
        <v>方向冲突</v>
      </c>
    </row>
    <row r="163" ht="23" customHeight="1" spans="1:21">
      <c r="A163" s="6" t="s">
        <v>218</v>
      </c>
      <c r="B163" s="2" t="s">
        <v>40</v>
      </c>
      <c r="C163" s="2">
        <v>2</v>
      </c>
      <c r="D163" s="6" t="s">
        <v>499</v>
      </c>
      <c r="E163" s="2" t="str">
        <f>five子指标方向明细!F324</f>
        <v>B</v>
      </c>
      <c r="F163" s="2">
        <f>five子指标方向明细!G324</f>
        <v>2</v>
      </c>
      <c r="G163" s="2" t="str">
        <f>five子指标方向明细!H324</f>
        <v>C</v>
      </c>
      <c r="H163" s="2">
        <f>five子指标方向明细!I324</f>
        <v>4</v>
      </c>
      <c r="I163" s="2" t="str">
        <f>five子指标方向明细!L324</f>
        <v>C</v>
      </c>
      <c r="J163" s="2" t="str">
        <f>five子指标方向明细!F325</f>
        <v>C</v>
      </c>
      <c r="K163" s="2">
        <f>five子指标方向明细!G325</f>
        <v>4</v>
      </c>
      <c r="L163" s="2" t="str">
        <f>five子指标方向明细!H325</f>
        <v>B</v>
      </c>
      <c r="M163" s="2">
        <f>five子指标方向明细!I325</f>
        <v>3</v>
      </c>
      <c r="N163" s="2" t="str">
        <f>five子指标方向明细!L325</f>
        <v>C</v>
      </c>
      <c r="O163" s="2">
        <f t="shared" si="8"/>
        <v>1</v>
      </c>
      <c r="P163" s="2" t="str">
        <f t="shared" si="9"/>
        <v>C</v>
      </c>
      <c r="Q163" s="2" t="s">
        <v>22</v>
      </c>
      <c r="R163" s="2">
        <f t="shared" si="10"/>
        <v>1</v>
      </c>
      <c r="S163" s="2">
        <v>324</v>
      </c>
      <c r="T163" s="2">
        <v>325</v>
      </c>
      <c r="U163" s="2" t="str">
        <f t="shared" si="11"/>
        <v/>
      </c>
    </row>
    <row r="164" ht="23" customHeight="1" spans="1:21">
      <c r="A164" s="6" t="s">
        <v>218</v>
      </c>
      <c r="B164" s="2" t="s">
        <v>40</v>
      </c>
      <c r="C164" s="2">
        <v>3</v>
      </c>
      <c r="D164" s="6" t="s">
        <v>500</v>
      </c>
      <c r="E164" s="2" t="str">
        <f>five子指标方向明细!F326</f>
        <v>B</v>
      </c>
      <c r="F164" s="2">
        <f>five子指标方向明细!G326</f>
        <v>4</v>
      </c>
      <c r="G164" s="2" t="str">
        <f>five子指标方向明细!H326</f>
        <v>C</v>
      </c>
      <c r="H164" s="2">
        <f>five子指标方向明细!I326</f>
        <v>3</v>
      </c>
      <c r="I164" s="2" t="str">
        <f>five子指标方向明细!L326</f>
        <v>B</v>
      </c>
      <c r="J164" s="2" t="str">
        <f>five子指标方向明细!F327</f>
        <v>C</v>
      </c>
      <c r="K164" s="2">
        <f>five子指标方向明细!G327</f>
        <v>4</v>
      </c>
      <c r="L164" s="2" t="str">
        <f>five子指标方向明细!H327</f>
        <v>B</v>
      </c>
      <c r="M164" s="2">
        <f>five子指标方向明细!I327</f>
        <v>5</v>
      </c>
      <c r="N164" s="2" t="str">
        <f>five子指标方向明细!L327</f>
        <v>B</v>
      </c>
      <c r="O164" s="2">
        <f t="shared" si="8"/>
        <v>1</v>
      </c>
      <c r="P164" s="2" t="str">
        <f t="shared" si="9"/>
        <v>B</v>
      </c>
      <c r="Q164" s="2" t="s">
        <v>22</v>
      </c>
      <c r="R164" s="2">
        <f t="shared" si="10"/>
        <v>0</v>
      </c>
      <c r="S164" s="2">
        <v>326</v>
      </c>
      <c r="T164" s="2">
        <v>327</v>
      </c>
      <c r="U164" s="2" t="str">
        <f t="shared" si="11"/>
        <v/>
      </c>
    </row>
    <row r="165" ht="23" customHeight="1" spans="1:21">
      <c r="A165" s="6" t="s">
        <v>218</v>
      </c>
      <c r="B165" s="2" t="s">
        <v>40</v>
      </c>
      <c r="C165" s="2">
        <v>4</v>
      </c>
      <c r="D165" s="6" t="s">
        <v>501</v>
      </c>
      <c r="E165" s="2" t="str">
        <f>five子指标方向明细!F328</f>
        <v>B</v>
      </c>
      <c r="F165" s="2">
        <f>five子指标方向明细!G328</f>
        <v>4</v>
      </c>
      <c r="G165" s="2" t="str">
        <f>five子指标方向明细!H328</f>
        <v>C</v>
      </c>
      <c r="H165" s="2">
        <f>five子指标方向明细!I328</f>
        <v>4</v>
      </c>
      <c r="I165" s="2" t="str">
        <f>five子指标方向明细!L328</f>
        <v>D(平局)</v>
      </c>
      <c r="J165" s="2" t="str">
        <f>five子指标方向明细!F329</f>
        <v>C</v>
      </c>
      <c r="K165" s="2">
        <f>five子指标方向明细!G329</f>
        <v>5</v>
      </c>
      <c r="L165" s="2" t="str">
        <f>five子指标方向明细!H329</f>
        <v>B</v>
      </c>
      <c r="M165" s="2">
        <f>five子指标方向明细!I329</f>
        <v>4</v>
      </c>
      <c r="N165" s="2" t="str">
        <f>five子指标方向明细!L329</f>
        <v>C</v>
      </c>
      <c r="O165" s="2">
        <f t="shared" si="8"/>
        <v>0</v>
      </c>
      <c r="P165" s="2" t="str">
        <f t="shared" si="9"/>
        <v>D(平局)</v>
      </c>
      <c r="Q165" s="2" t="s">
        <v>22</v>
      </c>
      <c r="R165" s="2">
        <f t="shared" si="10"/>
        <v>0</v>
      </c>
      <c r="S165" s="2">
        <v>328</v>
      </c>
      <c r="T165" s="2">
        <v>329</v>
      </c>
      <c r="U165" s="2" t="str">
        <f t="shared" si="11"/>
        <v>方向冲突</v>
      </c>
    </row>
    <row r="166" ht="23" customHeight="1" spans="1:21">
      <c r="A166" s="6" t="s">
        <v>218</v>
      </c>
      <c r="B166" s="2" t="s">
        <v>40</v>
      </c>
      <c r="C166" s="2">
        <v>5</v>
      </c>
      <c r="D166" s="6" t="s">
        <v>502</v>
      </c>
      <c r="E166" s="2" t="str">
        <f>five子指标方向明细!F330</f>
        <v>B</v>
      </c>
      <c r="F166" s="2">
        <f>five子指标方向明细!G330</f>
        <v>5</v>
      </c>
      <c r="G166" s="2" t="str">
        <f>five子指标方向明细!H330</f>
        <v>C</v>
      </c>
      <c r="H166" s="2">
        <f>five子指标方向明细!I330</f>
        <v>5</v>
      </c>
      <c r="I166" s="2" t="str">
        <f>five子指标方向明细!L330</f>
        <v>D(平局)</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0</v>
      </c>
      <c r="P166" s="2" t="str">
        <f t="shared" si="9"/>
        <v>D(平局)</v>
      </c>
      <c r="Q166" s="2" t="s">
        <v>22</v>
      </c>
      <c r="R166" s="2">
        <f t="shared" si="10"/>
        <v>0</v>
      </c>
      <c r="S166" s="2">
        <v>330</v>
      </c>
      <c r="T166" s="2">
        <v>331</v>
      </c>
      <c r="U166" s="2" t="str">
        <f t="shared" si="11"/>
        <v>方向冲突</v>
      </c>
    </row>
    <row r="167" ht="23" customHeight="1" spans="1:21">
      <c r="A167" s="6" t="s">
        <v>294</v>
      </c>
      <c r="B167" s="2" t="s">
        <v>15</v>
      </c>
      <c r="C167" s="2">
        <v>1</v>
      </c>
      <c r="D167" s="6" t="s">
        <v>498</v>
      </c>
      <c r="E167" s="2" t="str">
        <f>five子指标方向明细!F332</f>
        <v>A</v>
      </c>
      <c r="F167" s="2">
        <f>five子指标方向明细!G332</f>
        <v>5</v>
      </c>
      <c r="G167" s="2" t="str">
        <f>five子指标方向明细!H332</f>
        <v>B</v>
      </c>
      <c r="H167" s="2">
        <f>five子指标方向明细!I332</f>
        <v>3</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34</v>
      </c>
      <c r="R167" s="2">
        <f t="shared" si="10"/>
        <v>1</v>
      </c>
      <c r="S167" s="2">
        <v>332</v>
      </c>
      <c r="T167" s="2">
        <v>333</v>
      </c>
      <c r="U167" s="2" t="str">
        <f t="shared" si="11"/>
        <v/>
      </c>
    </row>
    <row r="168" ht="23" customHeight="1" spans="1:21">
      <c r="A168" s="6" t="s">
        <v>294</v>
      </c>
      <c r="B168" s="2" t="s">
        <v>15</v>
      </c>
      <c r="C168" s="2">
        <v>2</v>
      </c>
      <c r="D168" s="6" t="s">
        <v>499</v>
      </c>
      <c r="E168" s="2" t="str">
        <f>five子指标方向明细!F334</f>
        <v>A</v>
      </c>
      <c r="F168" s="2">
        <f>five子指标方向明细!G334</f>
        <v>5</v>
      </c>
      <c r="G168" s="2" t="str">
        <f>five子指标方向明细!H334</f>
        <v>B</v>
      </c>
      <c r="H168" s="2">
        <f>five子指标方向明细!I334</f>
        <v>3</v>
      </c>
      <c r="I168" s="2" t="str">
        <f>five子指标方向明细!L334</f>
        <v>A</v>
      </c>
      <c r="J168" s="2" t="str">
        <f>five子指标方向明细!F335</f>
        <v>B</v>
      </c>
      <c r="K168" s="2">
        <f>five子指标方向明细!G335</f>
        <v>4</v>
      </c>
      <c r="L168" s="2" t="str">
        <f>five子指标方向明细!H335</f>
        <v>A</v>
      </c>
      <c r="M168" s="2">
        <f>five子指标方向明细!I335</f>
        <v>5</v>
      </c>
      <c r="N168" s="2" t="str">
        <f>five子指标方向明细!L335</f>
        <v>A</v>
      </c>
      <c r="O168" s="2">
        <f t="shared" si="8"/>
        <v>1</v>
      </c>
      <c r="P168" s="2" t="str">
        <f t="shared" si="9"/>
        <v>A</v>
      </c>
      <c r="Q168" s="2" t="s">
        <v>34</v>
      </c>
      <c r="R168" s="2">
        <f t="shared" si="10"/>
        <v>1</v>
      </c>
      <c r="S168" s="2">
        <v>334</v>
      </c>
      <c r="T168" s="2">
        <v>335</v>
      </c>
      <c r="U168" s="2" t="str">
        <f t="shared" si="11"/>
        <v/>
      </c>
    </row>
    <row r="169" ht="23" customHeight="1" spans="1:21">
      <c r="A169" s="6" t="s">
        <v>294</v>
      </c>
      <c r="B169" s="2" t="s">
        <v>15</v>
      </c>
      <c r="C169" s="2">
        <v>3</v>
      </c>
      <c r="D169" s="6" t="s">
        <v>500</v>
      </c>
      <c r="E169" s="2" t="str">
        <f>five子指标方向明细!F336</f>
        <v>A</v>
      </c>
      <c r="F169" s="2">
        <f>five子指标方向明细!G336</f>
        <v>5</v>
      </c>
      <c r="G169" s="2" t="str">
        <f>five子指标方向明细!H336</f>
        <v>B</v>
      </c>
      <c r="H169" s="2">
        <f>five子指标方向明细!I336</f>
        <v>3</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34</v>
      </c>
      <c r="R169" s="2">
        <f t="shared" si="10"/>
        <v>1</v>
      </c>
      <c r="S169" s="2">
        <v>336</v>
      </c>
      <c r="T169" s="2">
        <v>337</v>
      </c>
      <c r="U169" s="2" t="str">
        <f t="shared" si="11"/>
        <v/>
      </c>
    </row>
    <row r="170" ht="23" customHeight="1" spans="1:21">
      <c r="A170" s="6" t="s">
        <v>294</v>
      </c>
      <c r="B170" s="2" t="s">
        <v>15</v>
      </c>
      <c r="C170" s="2">
        <v>4</v>
      </c>
      <c r="D170" s="6" t="s">
        <v>501</v>
      </c>
      <c r="E170" s="2" t="str">
        <f>five子指标方向明细!F338</f>
        <v>A</v>
      </c>
      <c r="F170" s="2">
        <f>five子指标方向明细!G338</f>
        <v>5</v>
      </c>
      <c r="G170" s="2" t="str">
        <f>five子指标方向明细!H338</f>
        <v>B</v>
      </c>
      <c r="H170" s="2">
        <f>five子指标方向明细!I338</f>
        <v>3</v>
      </c>
      <c r="I170" s="2" t="str">
        <f>five子指标方向明细!L338</f>
        <v>A</v>
      </c>
      <c r="J170" s="2" t="str">
        <f>five子指标方向明细!F339</f>
        <v>B</v>
      </c>
      <c r="K170" s="2">
        <f>five子指标方向明细!G339</f>
        <v>3</v>
      </c>
      <c r="L170" s="2" t="str">
        <f>five子指标方向明细!H339</f>
        <v>A</v>
      </c>
      <c r="M170" s="2">
        <f>five子指标方向明细!I339</f>
        <v>5</v>
      </c>
      <c r="N170" s="2" t="str">
        <f>five子指标方向明细!L339</f>
        <v>A</v>
      </c>
      <c r="O170" s="2">
        <f t="shared" si="8"/>
        <v>1</v>
      </c>
      <c r="P170" s="2" t="str">
        <f t="shared" si="9"/>
        <v>A</v>
      </c>
      <c r="Q170" s="2" t="s">
        <v>34</v>
      </c>
      <c r="R170" s="2">
        <f t="shared" si="10"/>
        <v>1</v>
      </c>
      <c r="S170" s="2">
        <v>338</v>
      </c>
      <c r="T170" s="2">
        <v>339</v>
      </c>
      <c r="U170" s="2" t="str">
        <f t="shared" si="11"/>
        <v/>
      </c>
    </row>
    <row r="171" ht="23" customHeight="1" spans="1:21">
      <c r="A171" s="6" t="s">
        <v>294</v>
      </c>
      <c r="B171" s="2" t="s">
        <v>15</v>
      </c>
      <c r="C171" s="2">
        <v>5</v>
      </c>
      <c r="D171" s="6" t="s">
        <v>502</v>
      </c>
      <c r="E171" s="2" t="str">
        <f>five子指标方向明细!F340</f>
        <v>A</v>
      </c>
      <c r="F171" s="2">
        <f>five子指标方向明细!G340</f>
        <v>5</v>
      </c>
      <c r="G171" s="2" t="str">
        <f>five子指标方向明细!H340</f>
        <v>B</v>
      </c>
      <c r="H171" s="2">
        <f>five子指标方向明细!I340</f>
        <v>4</v>
      </c>
      <c r="I171" s="2" t="str">
        <f>five子指标方向明细!L340</f>
        <v>A</v>
      </c>
      <c r="J171" s="2" t="str">
        <f>five子指标方向明细!F341</f>
        <v>B</v>
      </c>
      <c r="K171" s="2">
        <f>five子指标方向明细!G341</f>
        <v>4</v>
      </c>
      <c r="L171" s="2" t="str">
        <f>five子指标方向明细!H341</f>
        <v>A</v>
      </c>
      <c r="M171" s="2">
        <f>five子指标方向明细!I341</f>
        <v>5</v>
      </c>
      <c r="N171" s="2" t="str">
        <f>five子指标方向明细!L341</f>
        <v>A</v>
      </c>
      <c r="O171" s="2">
        <f t="shared" si="8"/>
        <v>1</v>
      </c>
      <c r="P171" s="2" t="str">
        <f t="shared" si="9"/>
        <v>A</v>
      </c>
      <c r="Q171" s="2" t="s">
        <v>34</v>
      </c>
      <c r="R171" s="2">
        <f t="shared" si="10"/>
        <v>1</v>
      </c>
      <c r="S171" s="2">
        <v>340</v>
      </c>
      <c r="T171" s="2">
        <v>341</v>
      </c>
      <c r="U171" s="2" t="str">
        <f t="shared" si="11"/>
        <v/>
      </c>
    </row>
    <row r="172" ht="23" customHeight="1" spans="1:21">
      <c r="A172" s="6" t="s">
        <v>294</v>
      </c>
      <c r="B172" s="2" t="s">
        <v>30</v>
      </c>
      <c r="C172" s="2">
        <v>1</v>
      </c>
      <c r="D172" s="6" t="s">
        <v>498</v>
      </c>
      <c r="E172" s="2" t="str">
        <f>five子指标方向明细!F342</f>
        <v>A</v>
      </c>
      <c r="F172" s="2">
        <f>five子指标方向明细!G342</f>
        <v>5</v>
      </c>
      <c r="G172" s="2" t="str">
        <f>five子指标方向明细!H342</f>
        <v>C</v>
      </c>
      <c r="H172" s="2">
        <f>five子指标方向明细!I342</f>
        <v>5</v>
      </c>
      <c r="I172" s="2" t="str">
        <f>five子指标方向明细!L342</f>
        <v>D(平局)</v>
      </c>
      <c r="J172" s="2" t="str">
        <f>five子指标方向明细!F343</f>
        <v>C</v>
      </c>
      <c r="K172" s="2">
        <f>five子指标方向明细!G343</f>
        <v>5</v>
      </c>
      <c r="L172" s="2" t="str">
        <f>five子指标方向明细!H343</f>
        <v>A</v>
      </c>
      <c r="M172" s="2">
        <f>five子指标方向明细!I343</f>
        <v>5</v>
      </c>
      <c r="N172" s="2" t="str">
        <f>five子指标方向明细!L343</f>
        <v>D(平局)</v>
      </c>
      <c r="O172" s="2">
        <f t="shared" si="8"/>
        <v>1</v>
      </c>
      <c r="P172" s="2" t="str">
        <f t="shared" si="9"/>
        <v>D(平局)</v>
      </c>
      <c r="Q172" s="2" t="s">
        <v>23</v>
      </c>
      <c r="R172" s="2">
        <f t="shared" si="10"/>
        <v>1</v>
      </c>
      <c r="S172" s="2">
        <v>342</v>
      </c>
      <c r="T172" s="2">
        <v>343</v>
      </c>
      <c r="U172" s="2" t="str">
        <f t="shared" si="11"/>
        <v>双向评分平局</v>
      </c>
    </row>
    <row r="173" ht="23" customHeight="1" spans="1:21">
      <c r="A173" s="6" t="s">
        <v>294</v>
      </c>
      <c r="B173" s="2" t="s">
        <v>30</v>
      </c>
      <c r="C173" s="2">
        <v>2</v>
      </c>
      <c r="D173" s="6" t="s">
        <v>499</v>
      </c>
      <c r="E173" s="2" t="str">
        <f>five子指标方向明细!F344</f>
        <v>A</v>
      </c>
      <c r="F173" s="2">
        <f>five子指标方向明细!G344</f>
        <v>5</v>
      </c>
      <c r="G173" s="2" t="str">
        <f>five子指标方向明细!H344</f>
        <v>C</v>
      </c>
      <c r="H173" s="2">
        <f>five子指标方向明细!I344</f>
        <v>4</v>
      </c>
      <c r="I173" s="2" t="str">
        <f>five子指标方向明细!L344</f>
        <v>A</v>
      </c>
      <c r="J173" s="2" t="str">
        <f>five子指标方向明细!F345</f>
        <v>C</v>
      </c>
      <c r="K173" s="2">
        <f>five子指标方向明细!G345</f>
        <v>4</v>
      </c>
      <c r="L173" s="2" t="str">
        <f>five子指标方向明细!H345</f>
        <v>A</v>
      </c>
      <c r="M173" s="2">
        <f>five子指标方向明细!I345</f>
        <v>5</v>
      </c>
      <c r="N173" s="2" t="str">
        <f>five子指标方向明细!L345</f>
        <v>A</v>
      </c>
      <c r="O173" s="2">
        <f t="shared" si="8"/>
        <v>1</v>
      </c>
      <c r="P173" s="2" t="str">
        <f t="shared" si="9"/>
        <v>A</v>
      </c>
      <c r="Q173" s="2" t="s">
        <v>23</v>
      </c>
      <c r="R173" s="2">
        <f t="shared" si="10"/>
        <v>0</v>
      </c>
      <c r="S173" s="2">
        <v>344</v>
      </c>
      <c r="T173" s="2">
        <v>345</v>
      </c>
      <c r="U173" s="2" t="str">
        <f t="shared" si="11"/>
        <v/>
      </c>
    </row>
    <row r="174" ht="23" customHeight="1" spans="1:21">
      <c r="A174" s="6" t="s">
        <v>294</v>
      </c>
      <c r="B174" s="2" t="s">
        <v>30</v>
      </c>
      <c r="C174" s="2">
        <v>3</v>
      </c>
      <c r="D174" s="6" t="s">
        <v>500</v>
      </c>
      <c r="E174" s="2" t="str">
        <f>five子指标方向明细!F346</f>
        <v>A</v>
      </c>
      <c r="F174" s="2">
        <f>five子指标方向明细!G346</f>
        <v>5</v>
      </c>
      <c r="G174" s="2" t="str">
        <f>five子指标方向明细!H346</f>
        <v>C</v>
      </c>
      <c r="H174" s="2">
        <f>five子指标方向明细!I346</f>
        <v>4</v>
      </c>
      <c r="I174" s="2" t="str">
        <f>five子指标方向明细!L346</f>
        <v>A</v>
      </c>
      <c r="J174" s="2" t="str">
        <f>five子指标方向明细!F347</f>
        <v>C</v>
      </c>
      <c r="K174" s="2">
        <f>five子指标方向明细!G347</f>
        <v>5</v>
      </c>
      <c r="L174" s="2" t="str">
        <f>five子指标方向明细!H347</f>
        <v>A</v>
      </c>
      <c r="M174" s="2">
        <f>five子指标方向明细!I347</f>
        <v>4</v>
      </c>
      <c r="N174" s="2" t="str">
        <f>five子指标方向明细!L347</f>
        <v>C</v>
      </c>
      <c r="O174" s="2">
        <f t="shared" si="8"/>
        <v>0</v>
      </c>
      <c r="P174" s="2" t="str">
        <f t="shared" si="9"/>
        <v>D(平局)</v>
      </c>
      <c r="Q174" s="2" t="s">
        <v>23</v>
      </c>
      <c r="R174" s="2">
        <f t="shared" si="10"/>
        <v>1</v>
      </c>
      <c r="S174" s="2">
        <v>346</v>
      </c>
      <c r="T174" s="2">
        <v>347</v>
      </c>
      <c r="U174" s="2" t="str">
        <f t="shared" si="11"/>
        <v>方向冲突</v>
      </c>
    </row>
    <row r="175" ht="23" customHeight="1" spans="1:21">
      <c r="A175" s="6" t="s">
        <v>294</v>
      </c>
      <c r="B175" s="2" t="s">
        <v>30</v>
      </c>
      <c r="C175" s="2">
        <v>4</v>
      </c>
      <c r="D175" s="6" t="s">
        <v>501</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23</v>
      </c>
      <c r="R175" s="2">
        <f t="shared" si="10"/>
        <v>1</v>
      </c>
      <c r="S175" s="2">
        <v>348</v>
      </c>
      <c r="T175" s="2">
        <v>349</v>
      </c>
      <c r="U175" s="2" t="str">
        <f t="shared" si="11"/>
        <v>双向评分平局</v>
      </c>
    </row>
    <row r="176" ht="23" customHeight="1" spans="1:21">
      <c r="A176" s="6" t="s">
        <v>294</v>
      </c>
      <c r="B176" s="2" t="s">
        <v>30</v>
      </c>
      <c r="C176" s="2">
        <v>5</v>
      </c>
      <c r="D176" s="6" t="s">
        <v>502</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23</v>
      </c>
      <c r="R176" s="2">
        <f t="shared" si="10"/>
        <v>1</v>
      </c>
      <c r="S176" s="2">
        <v>350</v>
      </c>
      <c r="T176" s="2">
        <v>351</v>
      </c>
      <c r="U176" s="2" t="str">
        <f t="shared" si="11"/>
        <v>双向评分平局</v>
      </c>
    </row>
    <row r="177" ht="23" customHeight="1" spans="1:21">
      <c r="A177" s="6" t="s">
        <v>294</v>
      </c>
      <c r="B177" s="2" t="s">
        <v>40</v>
      </c>
      <c r="C177" s="2">
        <v>1</v>
      </c>
      <c r="D177" s="6" t="s">
        <v>498</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3</v>
      </c>
      <c r="N177" s="2" t="str">
        <f>five子指标方向明细!L353</f>
        <v>C</v>
      </c>
      <c r="O177" s="2">
        <f t="shared" si="8"/>
        <v>1</v>
      </c>
      <c r="P177" s="2" t="str">
        <f t="shared" si="9"/>
        <v>C</v>
      </c>
      <c r="Q177" s="2" t="s">
        <v>22</v>
      </c>
      <c r="R177" s="2">
        <f t="shared" si="10"/>
        <v>1</v>
      </c>
      <c r="S177" s="2">
        <v>352</v>
      </c>
      <c r="T177" s="2">
        <v>353</v>
      </c>
      <c r="U177" s="2" t="str">
        <f t="shared" si="11"/>
        <v/>
      </c>
    </row>
    <row r="178" ht="23" customHeight="1" spans="1:21">
      <c r="A178" s="6" t="s">
        <v>294</v>
      </c>
      <c r="B178" s="2" t="s">
        <v>40</v>
      </c>
      <c r="C178" s="2">
        <v>2</v>
      </c>
      <c r="D178" s="6" t="s">
        <v>499</v>
      </c>
      <c r="E178" s="2" t="str">
        <f>five子指标方向明细!F354</f>
        <v>B</v>
      </c>
      <c r="F178" s="2">
        <f>five子指标方向明细!G354</f>
        <v>4</v>
      </c>
      <c r="G178" s="2" t="str">
        <f>five子指标方向明细!H354</f>
        <v>C</v>
      </c>
      <c r="H178" s="2">
        <f>five子指标方向明细!I354</f>
        <v>5</v>
      </c>
      <c r="I178" s="2" t="str">
        <f>five子指标方向明细!L354</f>
        <v>C</v>
      </c>
      <c r="J178" s="2" t="str">
        <f>five子指标方向明细!F355</f>
        <v>C</v>
      </c>
      <c r="K178" s="2">
        <f>five子指标方向明细!G355</f>
        <v>4</v>
      </c>
      <c r="L178" s="2" t="str">
        <f>five子指标方向明细!H355</f>
        <v>B</v>
      </c>
      <c r="M178" s="2">
        <f>five子指标方向明细!I355</f>
        <v>2</v>
      </c>
      <c r="N178" s="2" t="str">
        <f>five子指标方向明细!L355</f>
        <v>C</v>
      </c>
      <c r="O178" s="2">
        <f t="shared" si="8"/>
        <v>1</v>
      </c>
      <c r="P178" s="2" t="str">
        <f t="shared" si="9"/>
        <v>C</v>
      </c>
      <c r="Q178" s="2" t="s">
        <v>22</v>
      </c>
      <c r="R178" s="2">
        <f t="shared" si="10"/>
        <v>1</v>
      </c>
      <c r="S178" s="2">
        <v>354</v>
      </c>
      <c r="T178" s="2">
        <v>355</v>
      </c>
      <c r="U178" s="2" t="str">
        <f t="shared" si="11"/>
        <v/>
      </c>
    </row>
    <row r="179" ht="23" customHeight="1" spans="1:21">
      <c r="A179" s="6" t="s">
        <v>294</v>
      </c>
      <c r="B179" s="2" t="s">
        <v>40</v>
      </c>
      <c r="C179" s="2">
        <v>3</v>
      </c>
      <c r="D179" s="6" t="s">
        <v>500</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5</v>
      </c>
      <c r="L179" s="2" t="str">
        <f>five子指标方向明细!H357</f>
        <v>B</v>
      </c>
      <c r="M179" s="2">
        <f>five子指标方向明细!I357</f>
        <v>4</v>
      </c>
      <c r="N179" s="2" t="str">
        <f>five子指标方向明细!L357</f>
        <v>C</v>
      </c>
      <c r="O179" s="2">
        <f t="shared" si="8"/>
        <v>1</v>
      </c>
      <c r="P179" s="2" t="str">
        <f t="shared" si="9"/>
        <v>C</v>
      </c>
      <c r="Q179" s="2" t="s">
        <v>22</v>
      </c>
      <c r="R179" s="2">
        <f t="shared" si="10"/>
        <v>1</v>
      </c>
      <c r="S179" s="2">
        <v>356</v>
      </c>
      <c r="T179" s="2">
        <v>357</v>
      </c>
      <c r="U179" s="2" t="str">
        <f t="shared" si="11"/>
        <v/>
      </c>
    </row>
    <row r="180" ht="23" customHeight="1" spans="1:21">
      <c r="A180" s="6" t="s">
        <v>294</v>
      </c>
      <c r="B180" s="2" t="s">
        <v>40</v>
      </c>
      <c r="C180" s="2">
        <v>4</v>
      </c>
      <c r="D180" s="6" t="s">
        <v>501</v>
      </c>
      <c r="E180" s="2" t="str">
        <f>five子指标方向明细!F358</f>
        <v>B</v>
      </c>
      <c r="F180" s="2">
        <f>five子指标方向明细!G358</f>
        <v>3</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3</v>
      </c>
      <c r="N180" s="2" t="str">
        <f>five子指标方向明细!L359</f>
        <v>C</v>
      </c>
      <c r="O180" s="2">
        <f t="shared" si="8"/>
        <v>1</v>
      </c>
      <c r="P180" s="2" t="str">
        <f t="shared" si="9"/>
        <v>C</v>
      </c>
      <c r="Q180" s="2" t="s">
        <v>22</v>
      </c>
      <c r="R180" s="2">
        <f t="shared" si="10"/>
        <v>1</v>
      </c>
      <c r="S180" s="2">
        <v>358</v>
      </c>
      <c r="T180" s="2">
        <v>359</v>
      </c>
      <c r="U180" s="2" t="str">
        <f t="shared" si="11"/>
        <v/>
      </c>
    </row>
    <row r="181" ht="23" customHeight="1" spans="1:21">
      <c r="A181" s="6" t="s">
        <v>294</v>
      </c>
      <c r="B181" s="2" t="s">
        <v>40</v>
      </c>
      <c r="C181" s="2">
        <v>5</v>
      </c>
      <c r="D181" s="6" t="s">
        <v>502</v>
      </c>
      <c r="E181" s="2" t="str">
        <f>five子指标方向明细!F360</f>
        <v>B</v>
      </c>
      <c r="F181" s="2">
        <f>five子指标方向明细!G360</f>
        <v>3</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4</v>
      </c>
      <c r="N181" s="2" t="str">
        <f>five子指标方向明细!L361</f>
        <v>C</v>
      </c>
      <c r="O181" s="2">
        <f t="shared" si="8"/>
        <v>1</v>
      </c>
      <c r="P181" s="2" t="str">
        <f t="shared" si="9"/>
        <v>C</v>
      </c>
      <c r="Q181" s="2" t="s">
        <v>22</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
  <sheetViews>
    <sheetView showGridLines="0" tabSelected="1" topLeftCell="B1" workbookViewId="0">
      <selection activeCell="H7" sqref="H7:H11"/>
    </sheetView>
  </sheetViews>
  <sheetFormatPr defaultColWidth="9" defaultRowHeight="13.85"/>
  <cols>
    <col min="1" max="1" width="30" customWidth="1"/>
    <col min="2" max="2" width="48" customWidth="1"/>
    <col min="3" max="17" width="15" customWidth="1"/>
  </cols>
  <sheetData>
    <row r="1" ht="36" customHeight="1" spans="1:17">
      <c r="A1" s="1" t="s">
        <v>518</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519</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520</v>
      </c>
      <c r="B5" s="4"/>
      <c r="C5" s="4"/>
      <c r="D5" s="4"/>
      <c r="E5" s="4"/>
      <c r="F5" s="4"/>
      <c r="G5" s="4"/>
      <c r="H5" s="4"/>
      <c r="I5" s="4"/>
      <c r="J5" s="4"/>
      <c r="K5" s="4"/>
      <c r="L5" s="4"/>
      <c r="M5" s="4"/>
      <c r="N5" s="4"/>
      <c r="O5" s="4"/>
      <c r="P5" s="4"/>
      <c r="Q5" s="4"/>
    </row>
    <row r="6" ht="42" customHeight="1" spans="1:17">
      <c r="A6" s="5" t="s">
        <v>521</v>
      </c>
      <c r="B6" s="5" t="s">
        <v>522</v>
      </c>
      <c r="C6" s="5" t="s">
        <v>523</v>
      </c>
      <c r="D6" s="5" t="s">
        <v>524</v>
      </c>
      <c r="E6" s="5" t="s">
        <v>525</v>
      </c>
      <c r="F6" s="5" t="s">
        <v>526</v>
      </c>
      <c r="G6" s="5" t="s">
        <v>527</v>
      </c>
      <c r="H6" s="5" t="s">
        <v>528</v>
      </c>
      <c r="I6" s="5" t="s">
        <v>529</v>
      </c>
      <c r="J6" s="5" t="s">
        <v>530</v>
      </c>
      <c r="K6" s="5" t="s">
        <v>531</v>
      </c>
      <c r="L6" s="5" t="s">
        <v>532</v>
      </c>
      <c r="M6" s="5" t="s">
        <v>533</v>
      </c>
      <c r="N6" s="5" t="s">
        <v>534</v>
      </c>
      <c r="O6" s="5" t="s">
        <v>535</v>
      </c>
      <c r="P6" s="5" t="s">
        <v>536</v>
      </c>
      <c r="Q6" s="5" t="s">
        <v>537</v>
      </c>
    </row>
    <row r="7" ht="34" customHeight="1" spans="1:17">
      <c r="A7" s="2">
        <v>1</v>
      </c>
      <c r="B7" s="6" t="s">
        <v>498</v>
      </c>
      <c r="C7" s="2">
        <f>COUNTIF(five子指标合并明细!$C$2:$C$181,A7)</f>
        <v>36</v>
      </c>
      <c r="D7" s="2">
        <f>SUMIF(five子指标合并明细!$C$2:$C$181,A7,five子指标合并明细!$O$2:$O$181)</f>
        <v>29</v>
      </c>
      <c r="E7" s="7">
        <f>D7/C7</f>
        <v>0.805555555555556</v>
      </c>
      <c r="F7" s="2">
        <f>COUNTIFS(five子指标合并明细!$C$2:$C$181,A7,five子指标合并明细!$P$2:$P$181,"&lt;&gt;")</f>
        <v>36</v>
      </c>
      <c r="G7" s="2">
        <f>SUMIF(five子指标合并明细!$C$2:$C$181,A7,five子指标合并明细!$R$2:$R$181)</f>
        <v>18</v>
      </c>
      <c r="H7" s="7">
        <f>G7/F7</f>
        <v>0.5</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0.229166666666667</v>
      </c>
      <c r="J7" s="10">
        <f>(H7-I7)/(1-I7)</f>
        <v>0.351351351351351</v>
      </c>
      <c r="K7" s="2">
        <f>COUNTIFS(five子指标合并明细!$C$2:$C$181,A7,five子指标合并明细!$P$2:$P$181,"A")</f>
        <v>8</v>
      </c>
      <c r="L7" s="2">
        <f>COUNTIFS(five子指标合并明细!$C$2:$C$181,A7,five子指标合并明细!$P$2:$P$181,"B")</f>
        <v>7</v>
      </c>
      <c r="M7" s="2">
        <f>COUNTIFS(five子指标合并明细!$C$2:$C$181,A7,five子指标合并明细!$P$2:$P$181,"C")</f>
        <v>3</v>
      </c>
      <c r="N7" s="2">
        <f>COUNTIFS(five子指标合并明细!$C$2:$C$181,A7,five子指标合并明细!$P$2:$P$181,"D(平局)")</f>
        <v>18</v>
      </c>
      <c r="O7" s="7">
        <f>N7/F7</f>
        <v>0.5</v>
      </c>
      <c r="P7" s="2">
        <f>COUNTIFS(five子指标合并明细!$C$2:$C$181,A7,five子指标合并明细!$U$2:$U$181,"双向评分平局")</f>
        <v>11</v>
      </c>
      <c r="Q7" s="2">
        <f>COUNTIFS(five子指标合并明细!$C$2:$C$181,A7,five子指标合并明细!$U$2:$U$181,"方向冲突")</f>
        <v>7</v>
      </c>
    </row>
    <row r="8" ht="34" customHeight="1" spans="1:17">
      <c r="A8" s="2">
        <v>2</v>
      </c>
      <c r="B8" s="6" t="s">
        <v>499</v>
      </c>
      <c r="C8" s="2">
        <f>COUNTIF(five子指标合并明细!$C$2:$C$181,A8)</f>
        <v>36</v>
      </c>
      <c r="D8" s="2">
        <f>SUMIF(five子指标合并明细!$C$2:$C$181,A8,five子指标合并明细!$O$2:$O$181)</f>
        <v>31</v>
      </c>
      <c r="E8" s="7">
        <f>D8/C8</f>
        <v>0.861111111111111</v>
      </c>
      <c r="F8" s="2">
        <f>COUNTIFS(five子指标合并明细!$C$2:$C$181,A8,five子指标合并明细!$P$2:$P$181,"&lt;&gt;")</f>
        <v>36</v>
      </c>
      <c r="G8" s="2">
        <f>SUMIF(five子指标合并明细!$C$2:$C$181,A8,five子指标合并明细!$R$2:$R$181)</f>
        <v>27</v>
      </c>
      <c r="H8" s="7">
        <f>G8/F8</f>
        <v>0.75</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0.325617283950617</v>
      </c>
      <c r="J8" s="10">
        <f>(H8-I8)/(1-I8)</f>
        <v>0.62929061784897</v>
      </c>
      <c r="K8" s="2">
        <f>COUNTIFS(five子指标合并明细!$C$2:$C$181,A8,five子指标合并明细!$P$2:$P$181,"A")</f>
        <v>16</v>
      </c>
      <c r="L8" s="2">
        <f>COUNTIFS(five子指标合并明细!$C$2:$C$181,A8,five子指标合并明细!$P$2:$P$181,"B")</f>
        <v>10</v>
      </c>
      <c r="M8" s="2">
        <f>COUNTIFS(five子指标合并明细!$C$2:$C$181,A8,five子指标合并明细!$P$2:$P$181,"C")</f>
        <v>4</v>
      </c>
      <c r="N8" s="2">
        <f>COUNTIFS(five子指标合并明细!$C$2:$C$181,A8,five子指标合并明细!$P$2:$P$181,"D(平局)")</f>
        <v>6</v>
      </c>
      <c r="O8" s="7">
        <f>N8/F8</f>
        <v>0.166666666666667</v>
      </c>
      <c r="P8" s="2">
        <f>COUNTIFS(five子指标合并明细!$C$2:$C$181,A8,five子指标合并明细!$U$2:$U$181,"双向评分平局")</f>
        <v>1</v>
      </c>
      <c r="Q8" s="2">
        <f>COUNTIFS(five子指标合并明细!$C$2:$C$181,A8,five子指标合并明细!$U$2:$U$181,"方向冲突")</f>
        <v>5</v>
      </c>
    </row>
    <row r="9" ht="34" customHeight="1" spans="1:17">
      <c r="A9" s="2">
        <v>3</v>
      </c>
      <c r="B9" s="6" t="s">
        <v>500</v>
      </c>
      <c r="C9" s="2">
        <f>COUNTIF(five子指标合并明细!$C$2:$C$181,A9)</f>
        <v>36</v>
      </c>
      <c r="D9" s="2">
        <f>SUMIF(five子指标合并明细!$C$2:$C$181,A9,five子指标合并明细!$O$2:$O$181)</f>
        <v>30</v>
      </c>
      <c r="E9" s="7">
        <f>D9/C9</f>
        <v>0.833333333333333</v>
      </c>
      <c r="F9" s="2">
        <f>COUNTIFS(five子指标合并明细!$C$2:$C$181,A9,five子指标合并明细!$P$2:$P$181,"&lt;&gt;")</f>
        <v>36</v>
      </c>
      <c r="G9" s="2">
        <f>SUMIF(five子指标合并明细!$C$2:$C$181,A9,five子指标合并明细!$R$2:$R$181)</f>
        <v>22</v>
      </c>
      <c r="H9" s="7">
        <f>G9/F9</f>
        <v>0.611111111111111</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0.290895061728395</v>
      </c>
      <c r="J9" s="10">
        <f>(H9-I9)/(1-I9)</f>
        <v>0.451577801958651</v>
      </c>
      <c r="K9" s="2">
        <f>COUNTIFS(five子指标合并明细!$C$2:$C$181,A9,five子指标合并明细!$P$2:$P$181,"A")</f>
        <v>12</v>
      </c>
      <c r="L9" s="2">
        <f>COUNTIFS(five子指标合并明细!$C$2:$C$181,A9,five子指标合并明细!$P$2:$P$181,"B")</f>
        <v>11</v>
      </c>
      <c r="M9" s="2">
        <f>COUNTIFS(five子指标合并明细!$C$2:$C$181,A9,five子指标合并明细!$P$2:$P$181,"C")</f>
        <v>3</v>
      </c>
      <c r="N9" s="2">
        <f>COUNTIFS(five子指标合并明细!$C$2:$C$181,A9,five子指标合并明细!$P$2:$P$181,"D(平局)")</f>
        <v>10</v>
      </c>
      <c r="O9" s="7">
        <f>N9/F9</f>
        <v>0.277777777777778</v>
      </c>
      <c r="P9" s="2">
        <f>COUNTIFS(five子指标合并明细!$C$2:$C$181,A9,five子指标合并明细!$U$2:$U$181,"双向评分平局")</f>
        <v>4</v>
      </c>
      <c r="Q9" s="2">
        <f>COUNTIFS(five子指标合并明细!$C$2:$C$181,A9,five子指标合并明细!$U$2:$U$181,"方向冲突")</f>
        <v>6</v>
      </c>
    </row>
    <row r="10" ht="34" customHeight="1" spans="1:17">
      <c r="A10" s="2">
        <v>4</v>
      </c>
      <c r="B10" s="6" t="s">
        <v>501</v>
      </c>
      <c r="C10" s="2">
        <f>COUNTIF(five子指标合并明细!$C$2:$C$181,A10)</f>
        <v>36</v>
      </c>
      <c r="D10" s="2">
        <f>SUMIF(five子指标合并明细!$C$2:$C$181,A10,five子指标合并明细!$O$2:$O$181)</f>
        <v>27</v>
      </c>
      <c r="E10" s="7">
        <f>D10/C10</f>
        <v>0.75</v>
      </c>
      <c r="F10" s="2">
        <f>COUNTIFS(five子指标合并明细!$C$2:$C$181,A10,five子指标合并明细!$P$2:$P$181,"&lt;&gt;")</f>
        <v>36</v>
      </c>
      <c r="G10" s="2">
        <f>SUMIF(five子指标合并明细!$C$2:$C$181,A10,five子指标合并明细!$R$2:$R$181)</f>
        <v>22</v>
      </c>
      <c r="H10" s="7">
        <f>G10/F10</f>
        <v>0.611111111111111</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0.250771604938272</v>
      </c>
      <c r="J10" s="10">
        <f>(H10-I10)/(1-I10)</f>
        <v>0.480947476828012</v>
      </c>
      <c r="K10" s="2">
        <f>COUNTIFS(five子指标合并明细!$C$2:$C$181,A10,five子指标合并明细!$P$2:$P$181,"A")</f>
        <v>8</v>
      </c>
      <c r="L10" s="2">
        <f>COUNTIFS(five子指标合并明细!$C$2:$C$181,A10,five子指标合并明细!$P$2:$P$181,"B")</f>
        <v>11</v>
      </c>
      <c r="M10" s="2">
        <f>COUNTIFS(five子指标合并明细!$C$2:$C$181,A10,five子指标合并明细!$P$2:$P$181,"C")</f>
        <v>5</v>
      </c>
      <c r="N10" s="2">
        <f>COUNTIFS(five子指标合并明细!$C$2:$C$181,A10,five子指标合并明细!$P$2:$P$181,"D(平局)")</f>
        <v>12</v>
      </c>
      <c r="O10" s="7">
        <f>N10/F10</f>
        <v>0.333333333333333</v>
      </c>
      <c r="P10" s="2">
        <f>COUNTIFS(five子指标合并明细!$C$2:$C$181,A10,five子指标合并明细!$U$2:$U$181,"双向评分平局")</f>
        <v>3</v>
      </c>
      <c r="Q10" s="2">
        <f>COUNTIFS(five子指标合并明细!$C$2:$C$181,A10,five子指标合并明细!$U$2:$U$181,"方向冲突")</f>
        <v>9</v>
      </c>
    </row>
    <row r="11" ht="34" customHeight="1" spans="1:17">
      <c r="A11" s="2">
        <v>5</v>
      </c>
      <c r="B11" s="6" t="s">
        <v>502</v>
      </c>
      <c r="C11" s="2">
        <f>COUNTIF(five子指标合并明细!$C$2:$C$181,A11)</f>
        <v>36</v>
      </c>
      <c r="D11" s="2">
        <f>SUMIF(five子指标合并明细!$C$2:$C$181,A11,five子指标合并明细!$O$2:$O$181)</f>
        <v>31</v>
      </c>
      <c r="E11" s="7">
        <f>D11/C11</f>
        <v>0.861111111111111</v>
      </c>
      <c r="F11" s="2">
        <f>COUNTIFS(five子指标合并明细!$C$2:$C$181,A11,five子指标合并明细!$P$2:$P$181,"&lt;&gt;")</f>
        <v>36</v>
      </c>
      <c r="G11" s="2">
        <f>SUMIF(five子指标合并明细!$C$2:$C$181,A11,five子指标合并明细!$R$2:$R$181)</f>
        <v>11</v>
      </c>
      <c r="H11" s="7">
        <f>G11/F11</f>
        <v>0.305555555555556</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0.157407407407407</v>
      </c>
      <c r="J11" s="10">
        <f>(H11-I11)/(1-I11)</f>
        <v>0.175824175824176</v>
      </c>
      <c r="K11" s="2">
        <f>COUNTIFS(five子指标合并明细!$C$2:$C$181,A11,five子指标合并明细!$P$2:$P$181,"A")</f>
        <v>3</v>
      </c>
      <c r="L11" s="2">
        <f>COUNTIFS(five子指标合并明细!$C$2:$C$181,A11,five子指标合并明细!$P$2:$P$181,"B")</f>
        <v>3</v>
      </c>
      <c r="M11" s="2">
        <f>COUNTIFS(five子指标合并明细!$C$2:$C$181,A11,five子指标合并明细!$P$2:$P$181,"C")</f>
        <v>1</v>
      </c>
      <c r="N11" s="2">
        <f>COUNTIFS(five子指标合并明细!$C$2:$C$181,A11,five子指标合并明细!$P$2:$P$181,"D(平局)")</f>
        <v>29</v>
      </c>
      <c r="O11" s="7">
        <f>N11/F11</f>
        <v>0.805555555555556</v>
      </c>
      <c r="P11" s="2">
        <f>COUNTIFS(five子指标合并明细!$C$2:$C$181,A11,five子指标合并明细!$U$2:$U$181,"双向评分平局")</f>
        <v>24</v>
      </c>
      <c r="Q11" s="2">
        <f>COUNTIFS(five子指标合并明细!$C$2:$C$181,A11,five子指标合并明细!$U$2:$U$181,"方向冲突")</f>
        <v>5</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538</v>
      </c>
      <c r="B14" s="4"/>
      <c r="C14" s="4"/>
      <c r="D14" s="4"/>
      <c r="E14" s="4"/>
      <c r="F14" s="4"/>
      <c r="G14" s="4"/>
      <c r="H14" s="4"/>
      <c r="I14" s="4"/>
      <c r="J14" s="4"/>
      <c r="K14" s="4"/>
      <c r="L14" s="4"/>
      <c r="M14" s="4"/>
      <c r="N14" s="4"/>
      <c r="O14" s="4"/>
      <c r="P14" s="4"/>
      <c r="Q14" s="4"/>
    </row>
    <row r="15" spans="1:17">
      <c r="A15" s="8" t="s">
        <v>539</v>
      </c>
      <c r="B15" s="8">
        <v>72</v>
      </c>
      <c r="C15" s="8"/>
      <c r="D15" s="2"/>
      <c r="E15" s="2"/>
      <c r="F15" s="2"/>
      <c r="G15" s="2"/>
      <c r="H15" s="2"/>
      <c r="I15" s="2"/>
      <c r="J15" s="2"/>
      <c r="K15" s="2"/>
      <c r="L15" s="2"/>
      <c r="M15" s="2"/>
      <c r="N15" s="2"/>
      <c r="O15" s="2"/>
      <c r="P15" s="2"/>
      <c r="Q15" s="2"/>
    </row>
    <row r="16" spans="1:17">
      <c r="A16" s="8" t="s">
        <v>540</v>
      </c>
      <c r="B16" s="8">
        <v>360</v>
      </c>
      <c r="C16" s="8"/>
      <c r="D16" s="2"/>
      <c r="E16" s="2"/>
      <c r="F16" s="2"/>
      <c r="G16" s="2"/>
      <c r="H16" s="2"/>
      <c r="I16" s="2"/>
      <c r="J16" s="2"/>
      <c r="K16" s="2"/>
      <c r="L16" s="2"/>
      <c r="M16" s="2"/>
      <c r="N16" s="2"/>
      <c r="O16" s="2"/>
      <c r="P16" s="2"/>
      <c r="Q16" s="2"/>
    </row>
    <row r="17" spans="1:17">
      <c r="A17" s="8" t="s">
        <v>541</v>
      </c>
      <c r="B17" s="8">
        <v>360</v>
      </c>
      <c r="C17" s="8"/>
      <c r="D17" s="2"/>
      <c r="E17" s="2"/>
      <c r="F17" s="2"/>
      <c r="G17" s="2"/>
      <c r="H17" s="2"/>
      <c r="I17" s="2"/>
      <c r="J17" s="2"/>
      <c r="K17" s="2"/>
      <c r="L17" s="2"/>
      <c r="M17" s="2"/>
      <c r="N17" s="2"/>
      <c r="O17" s="2"/>
      <c r="P17" s="2"/>
      <c r="Q17" s="2"/>
    </row>
    <row r="18" spans="1:17">
      <c r="A18" s="8" t="s">
        <v>542</v>
      </c>
      <c r="B18" s="8">
        <v>0</v>
      </c>
      <c r="C18" s="8"/>
      <c r="D18" s="2"/>
      <c r="E18" s="2"/>
      <c r="F18" s="2"/>
      <c r="G18" s="2"/>
      <c r="H18" s="2"/>
      <c r="I18" s="2"/>
      <c r="J18" s="2"/>
      <c r="K18" s="2"/>
      <c r="L18" s="2"/>
      <c r="M18" s="2"/>
      <c r="N18" s="2"/>
      <c r="O18" s="2"/>
      <c r="P18" s="2"/>
      <c r="Q18" s="2"/>
    </row>
    <row r="19" spans="1:17">
      <c r="A19" s="8" t="s">
        <v>543</v>
      </c>
      <c r="B19" s="8">
        <v>72</v>
      </c>
      <c r="C19" s="9">
        <f>B19/B15</f>
        <v>1</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544</v>
      </c>
      <c r="B22" s="4"/>
      <c r="C22" s="4"/>
      <c r="D22" s="4"/>
      <c r="E22" s="4"/>
      <c r="F22" s="4"/>
      <c r="G22" s="4"/>
      <c r="H22" s="4"/>
      <c r="I22" s="2"/>
      <c r="J22" s="2"/>
      <c r="K22" s="2"/>
      <c r="L22" s="2"/>
      <c r="M22" s="2"/>
      <c r="N22" s="2"/>
      <c r="O22" s="2"/>
      <c r="P22" s="2"/>
      <c r="Q22" s="2"/>
    </row>
    <row r="23" spans="1:17">
      <c r="A23" s="5" t="s">
        <v>0</v>
      </c>
      <c r="B23" s="5" t="s">
        <v>484</v>
      </c>
      <c r="C23" s="5" t="s">
        <v>485</v>
      </c>
      <c r="D23" s="5" t="s">
        <v>545</v>
      </c>
      <c r="E23" s="5" t="s">
        <v>546</v>
      </c>
      <c r="F23" s="5" t="s">
        <v>547</v>
      </c>
      <c r="G23" s="5" t="s">
        <v>496</v>
      </c>
      <c r="H23" s="5" t="s">
        <v>497</v>
      </c>
      <c r="I23" s="2"/>
      <c r="J23" s="2"/>
      <c r="K23" s="2"/>
      <c r="L23" s="2"/>
      <c r="M23" s="2"/>
      <c r="N23" s="2"/>
      <c r="O23" s="2"/>
      <c r="P23" s="2"/>
      <c r="Q23"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2026-08-17T11:52:49Z</dcterms:created>
  <dcterms:modified xsi:type="dcterms:W3CDTF">2026-08-17T11:53:14Z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7552DE79A67042508B0A900416B35B26_12</vt:lpwstr>
  </property>
  <property fmtid="{D5CDD505-2E9C-101B-9397-08002B2CF9AE}" pid="3" name="KSOProductBuildVer">
    <vt:lpwstr>2052-12.1.0.20305</vt:lpwstr>
  </property>
</Properties>
</file>