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<sst xmlns="http://schemas.openxmlformats.org/spreadsheetml/2006/main" count="3135" uniqueCount="510">
  <si>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</si>
  <si>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</si>
  <si>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</si>
  <si>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</si>
  <si>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</si>
  <si>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</si>
  <si>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</si>
  <si>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</si>
  <si>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</si>
  <si>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</si>
  <si>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</si>
  <si>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</si>
  <si>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</si>
  <si>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</si>
  <si>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</si>
  <si>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</si>
  <si>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</si>
  <si>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</si>
  <si>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</si>
  <si>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</si>
  <si>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</si>
  <si>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Alignment with Requirements: Model 1 = 4, Model 2 = 5; Evidence: Both models correctly identify all required classes (`Bank`, `Branch`, `Customer`, `Account`, `CurrentAccount`, `SavingsAccount`), inheritance structures, and cardinalities (such as `1..5` accounts per customer). However, Model 1 includes unrequested attributes `bankName` in `Bank` and `branchName` in `Branch`, which violates the negative constraint of "without making any hallucinations and additions." Model 2 strictly adheres to the provided text and includes only the explicitly required attributes.
Total: Model 1 = 4, Model 2 = 5
Choice: B
Reason:
1. Alignment with Requirements: Model 2 perfectly captures the classes, attributes, multiplicities, and relationships stated in the requirement without any extra additions. Model 1 accurately captures the domain relationships as well but hallucinates `bankName` and `branchName` attributes that were not part of the requirement description.
2. Rejected or checked issues: I explicitly ignored Model 1's use of single-quote comments (e.g., `'opposite bank`) and its use of two opposite unidirectional associations (e.g., `Bank --&gt; Customer` and `Customer --&gt; Bank`) instead of a single bidirectional line. Per the forbidden penalties, these are standard tooling annotations and semantically equivalent to Model 2's associations, so no points were deducted from Model 1 for these structural choices. 
3. Overall judgment: Model 2 is chosen as the better response because it strictly follows the requirement constraints regarding no hallucinations and additions, whereas Model 1 added unrequested attributes to the Bank and Branch classes.
```</t>
  </si>
  <si>
    <t>B</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</si>
  <si>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</si>
  <si>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</si>
  <si>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</si>
  <si>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conceptual classes (`Bank`, `Branch`, `Customer`, `Account`, `CurrentAccount`, `SavingsAccount`) with appropriate inheritance and clearly mapped associations, ensuring dedicated tasks (high cohesion) and appropriate linkages (low coupling).
2. Complexity: Model 1 = 5, Model 2 = 5; Evidence: Both models maintain an ideal level of complexity. They limit the depth of the inheritance tree to one level (`Account` as an abstract superclass extended by `CurrentAccount` and `SavingsAccount`) and perfectly balance the number of conceptual classes without over-engineering.
3. Practicability: Model 1 = 5, Model 2 = 5; Evidence: Both models effectively represent all required business constraints. They successfully capture the multiplicity constraints (`"1..5"` accounts per customer, `"0..*"` branches/customers per bank) and map the accurate data types and attributes to their respective classes (e.g., `firstName`, `lastName`, `overdraftLimit`). Model 1 uses composition (`Bank *-- "0..*" Branch`) to depict "consists of", whereas Model 2 uses standard associations, both of which are highly practical.
Total: Model 1 = 15, Model 2 = 15
Choice: C
Reason:
1. Cohesion and Decoupling: Both models perform identically well, distributing attributes correctly (e.g., placing `overdraftLimit` only in `CurrentAccount`) and cleanly linking the classes.
2. Complexity: Both models use a straightforward, easily understandable structure without introducing unnecessary intermediate classes or convoluted inheritance hierarchies, making both exceptionally readable and maintainable.
3. Practicability: Both accurately execute the domain requirements with precise multiplicities and inheritance structures. They correctly identify `Account` as an abstract concept and define all the stated constraints. 
4. Rejected or checked issues: Model 1 uses pairs of opposite unidirectional associations (e.g., `Bank --&gt; Customer` and `Customer --&gt; Bank`) alongside PlantUML single-quote comments like `'opposite bank`. Based on the strict forbidden penalties, these are semantically identical to Model 2's single bidirectional lines and are ignored for scoring. Additionally, Model 1 adds extra identifiers (`bankName`, `branchName`) not explicitly requested; per the guidelines, this does not earn extra rewards but is also not penalized.
5. Overall judgment: Both models flawlessly capture the structural requirements, multiplicities, and domain logic defined in the prompt. The variations between the two models are strictly confined to valid syntactical and stylistic choices that are explicitly protected by the evaluation guidelines. Therefore, this is a clear tie.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</si>
  <si>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</si>
  <si>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</si>
  <si>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</si>
  <si>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2. Associations/Multiplicities between classes for domain reasoning: Model 1 = 5, Model 2 = 5; Evidence: Both correctly model the 0..* relationships for Bank to Branch and Customer, the 1 to 1..5 relationship between Customer and Account, and the inheritance for CurrentAccount and SavingsAccount. Model 1 uses two opposite unidirectional associations, which is semantically equivalent to Model 2's single bidirectional association.
3. Model attributes with appropriate data types: Model 1 = 5, Model 2 = 5; Evidence: Both correctly assign firstName (String) and lastName (String) to Customer, accountNumber (int) and balance (double) to Account, and overdraftLimit (double) to CurrentAccount. Model 1 additionally provides bankName and branchName, which are harmless additions.
4. Consistencies of Terminology with given context: Model 1 = 5, Model 2 = 5; Evidence: Both use terminology directly from the requirement text (e.g., CurrentAccount, SavingsAccount, overdraftLimit).
5. Adherence of UML class diagram standards: Model 1 = 5, Model 2 = 5; Evidence: Both use standard PlantUML syntax without errors, correctly depicting classes, attributes, associations, and generalization.
Total: Model 1 = 25, Model 2 = 25
Choice: C
Reason:
1. Appropriate conceptual classes aligned with the domain: Both models successfully identify all the required entities perfectly aligned with the prompt.
2. Associations/Multiplicities between classes for domain reasoning: Both models accurately capture the multiplicities specified in the requirement. For instance, both precisely map the "at least one and at most five accounts" rule (1..5) between Customer and Account. Model 1 represents this via explicit unidirectional pairs, while Model 2 uses bidirectional connections, both of which are valid and semantically equivalent.
3. Model attributes with appropriate data types: Both models assign the exact attributes and data types requested. 
4. Consistencies of Terminology with given context: Both models consistently and accurately apply the domain terms provided in the requirement.
5. Adherence of UML class diagram standards: Both models feature completely valid and clean PlantUML notation.
6. Rejected or checked issues: Based on the forbidden penalty rules, Model 1's use of single-quote comments (`'opposite bank`) and dual opposite unidirectional associations (`--&gt;`) rather than single bidirectional lines (`--`) are fully valid conventions and were not penalized.
7. Overall judgment: Both models provide excellent, accurate, and highly readable UML class diagrams that cover every aspect of the prompt flawlessly. They are functionally tied in quality.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</si>
  <si>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</si>
  <si>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</si>
  <si>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Both models correctly identify the required classes, inheritance hierarchy for accounts, and correct attribute types for Customer, Account, and CurrentAccount. Model 1 accurately captures the required cardinalities (e.g., `Customer --&gt; "1..5" Account`, `Account --&gt; "1" Customer`), though it includes minor unrequested attributes (`bankName` and `branchName`). Model 2 avoids extra attributes but fails on relationship constraints by defining two separate associations between Customer and Account with contradictory cardinalities (`Customer "1" --- "1..5" Account` vs `Account "0..*" --- "1" Customer`), violating the strict "at most five" accounts rule.
Total: Model 1 = 4, Model 2 = 3
Choice: A
Reason:
1. Alignment with requirements: Model 1 successfully translates the relationships, types (composition for Bank-Branch, inheritance for Accounts), and cardinalities without contradictions. Its only flaw is adding `bankName` and `branchName`, which were not in the text. Model 2 correctly refrains from adding extra attributes but creates a semantic contradiction by defining two conflicting multiplicity constraints for the Customer-Account relationship ("1..5" on one association line and "0..*" on the other).
2. Rejected or checked issues: As per the forbidden penalties, Model 1's use of two opposite unidirectional associations (e.g., `Customer --&gt; Account` and `Account --&gt; Customer`) is evaluated as 100% semantically equivalent to a bidirectional association and was not penalized. PlantUML single-quote comments (`'opposite bank`) and the `abstract` modifier on `Account` in Model 1 were also explicitly ignored as presentation/optional details.
3. Overall judgment: Model 1 provides a logically sound, complete, and structurally accurate UML diagram. Model 2's inclusion of conflicting cardinalities ("0..*" vs "1..5") on the exact same conceptual relationship represents a significant semantic error, making Model 1 the substantially better response despite its minor attribute additions.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</si>
  <si>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</si>
  <si>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</si>
  <si>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domain into cohesive concepts (`Bank`, `Branch`, `Customer`, `Account`, `CurrentAccount`, and `SavingsAccount`). They correctly apply inheritance to decouple the specific account types from the generic `Account` structure, ensuring low coupling and single responsibilities.
2. Complexity: Model 1 = 5, Model 2 = 5; Evidence: Both models keep the total number of classes and the inheritance depth well-balanced against the requirements. Neither model overcomplicates the design by turning simple attributes (like first name or last name) into unnecessary conceptual classes.
3. Practicability: Model 1 = 5, Model 2 = 3; Evidence: Model 1 correctly captures the multiplicity constraints using two opposite unidirectional associations that align properly (`Customer --&gt; "1..5" Account` and `Account --&gt; "1" Customer`). Model 2 introduces two separate undirected associations between `Customer` and `Account` (`Customer "1" --- "1..5" Account` and `Account "0..*" --- "1" Customer`), which places contradictory multiplicities (`1..5` and `0..*`) on the `Account` side. This contradiction harms the clarity, precision, and practicability of the design.
Total: Model 1 = 15, Model 2 = 13
Choice: A
Reason:
1. Cohesion and Decoupling: Both models accurately extract the required domain entities and use inheritance effectively, resulting in equivalent and excellent cohesion and decoupling.
2. Complexity: Both models successfully manage complexity by keeping the class hierarchy shallow and appropriately mapping attributes versus classes without over-engineering.
3. Practicability: Model 1 is far more practical and readable because it consistently models the multiplicity rules (a customer has 1 to 5 accounts) using clean, non-contradictory association pairs. Model 2 fails to provide a cohesive view of the `Customer`-`Account` relationship by drawing two separate lines with conflicting multiplicities on the `Account` side (`1..5` vs `0..*`), which introduces ambiguity for programming and testing. 
4. Rejected or checked issues: Per the strict guidelines, Model 1 was not penalized for using two opposite unidirectional associations (`--&gt;`) instead of a single bidirectional line, nor for including standard tooling comments (`'opposite bank`). Similarly, neither model was rewarded or penalized based on the `abstract` keyword on `Account`, as the requirement does not explicitly forbid or demand direct instances. The extra identifiers (`bankName`, `branchName`) in Model 1 were not penalized or rewarded, as they are unprompted but conceptually harmless.
5. Overall judgment: Model 1 is the better response. It faithfully and consistently implements all constraints described in the requirement, whereas Model 2 suffers from a contradictory multiplicity definition in one of the core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</si>
  <si>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</si>
  <si>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domain classes including Bank, Branch, Customer, Account, CurrentAccount, and SavingsAccount.
2. Associations/Multiplicities between classes for domain reasoning: Model 1 = 5, Model 2 = 3; Evidence: Model 1 accurately captures the cardinality logic (1..5 accounts per customer, 1 owner per account). Model 2 creates two separate bidirectional associations between Customer and Account with contradictory multiplicities: `Customer "1" --- "1..5" Account` and `Account "0..*" --- "1" Customer`, which violates the strict constraint that a customer has at most five accounts.
3. Model attributes with appropriate data types: Model 1 = 5, Model 2 = 5; Evidence: Both models accurately implement the required attributes and types: firstName and lastName (String) in Customer, accountNumber (int) and balance (double) in Account, and overdraftLimit (double) in CurrentAccount. Model 1 includes optional extra attributes for Bank/Branch which is harmless.
4. Consistencies of Terminology with given context: Model 1 = 5, Model 2 = 5; Evidence: Both models faithfully use the terminology provided in the domain description, using accurate names for classes, associations (e.g., owner, manages), and attributes.
5. Adherence of UML class diagram standards: Model 1 = 5, Model 2 = 5; Evidence: Both diagrams adhere well to PlantUML syntax and UML standard notations (generalization, composition, associations). 
Total: Model 1 = 25, Model 2 = 23
Choice: A
Reason:
1. Associations/Multiplicities between classes for domain reasoning: Model 1 flawlessly defines the multiplicities using two opposite unidirectional associations that accurately constrain the Customer to Account relationship to "1..5" and the reverse to "1". Model 2, however, defines two contradictory bidirectional associations for the exact same relationship, declaring both a "1..5" multiplicity and a "0..*" multiplicity, which explicitly contradicts the requirement that a customer has "at most five accounts".
2. Other criteria: Both models perform excellently across identifying classes, defining attributes with correct data types, and keeping terminology consistent with the prompt.
3. Rejected or checked issues: Per the strict evaluation guidelines, Model 1 was not penalized for utilizing two opposite unidirectional associations (`--&gt;`) instead of a single bidirectional line, nor for including single-quote tooling annotations (`'opposite owner`). These are explicitly forbidden penalties. Similarly, Model 1 was not rewarded for optionally marking the `Account` class as `abstract`, as the prompt does not specify whether direct instances are allowed. 
4. Overall judgment: Model 1 is the better response because it accurately and consistently translates all domain constraints into valid UML multiplicities. Model 2 introduces a domain reasoning error by contradicting its own multiplicity constraints for the Customer-Account relationship.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</si>
  <si>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</si>
  <si>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</si>
  <si>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Model 1 correctly uses a single bidirectional association `Customer "1" -- "1..5" Account : owns` to capture both the 1..5 account constraint and the owner relationship. Model 2 splits this into two associations: `Customer "1" --- "1..5" Account : has` and `Account "0..*" --- "1" Customer : owner`. While opposite-direction associations are generally equivalent, Model 2's second association introduces a `0..*` multiplicity for Accounts, which contradicts the explicit "at most five accounts" requirement. Both models correctly capture all required classes, attributes, and the inheritance structure.
Total: Model 1 = 5, Model 2 = 4
Choice: A
Reason:
1. Alignment with requirements: Model 1 accurately captures all entities, relationships, attributes, and multiplicities described in the prompt without introducing any logical errors. Model 2 introduces a contradiction in its associations between Customer and Account. It includes both `1..5` and `0..*` multiplicities for the Account side. The `0..*` explicitly violates the "at least one and at most five accounts" constraint. Model 1 handles this elegantly with a single association bearing the correct `1` and `1..5` multiplicities.
2. Rejected or checked issues: Model 2 uses composition (`*--`) for the Bank-Branch relationship due to the phrase "consists of", which is highly accurate, whereas Model 1 uses standard association (`--`). Both are acceptable semantics for the requirement. The models differ in the use of visibility markers (`-` in Model 2) and the `abstract` keyword (in Model 1), but these do not affect the scores as per the rules on "Optional Abstractness" and ignoring visibility markers/presentation differences.
3. Overall judgment: Model 1 is better because it correctly and consistently models the required multiplicities without contradictions, whereas Model 2 introduces a conflicting multiplicity that violates a strict business rule from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</si>
  <si>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</si>
  <si>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define the same 6 domain classes (Bank, Branch, Customer, Account, CurrentAccount, SavingsAccount) with appropriate attribute allocations, achieving high cohesion. Dependencies between classes are standard and structurally identical, ensuring low coupling.
2. Complexity: Model 1 = 5, Model 2 = 4; Evidence: Both models have an appropriate number of classes and inheritance depth. However, Model 1 models the Customer-Account relationship simply and effectively with one line (`Customer "1" -- "1..5" Account`), whereas Model 2 unnecessarily increases diagrammatic complexity with two redundant, non-directional association lines (`Customer "1" --- "1..5" Account` and `Account "0..*" --- "1" Customer`).
3. Practicability: Model 1 = 5, Model 2 = 4; Evidence: Model 1 accurately captures the "at most five accounts" constraint with a single clear `1..5` multiplicity. Model 2 contradicts the requirements via its redundant association, defining the multiplicity of Account as both `1..5` and `0..*`. This creates ambiguity that would hinder testing and real-world implementation. Model 2 correctly uses composition (`*--`) for the "consists of" relationship, but the multiplicity contradiction remains a more significant practicability issue.
Total: Model 1 = 15, Model 2 = 13
Choice: A
Reason:
1. Cohesion and Decoupling: Both models perform well, accurately assigning attributes to their respective conceptual classes and maintaining correct dependencies through inheritance and associations.
2. Complexity: Model 1 has a clean, balanced diagram structure. Model 2 introduces slight, unnecessary complexity by duplicating the association between Customer and Account without adding clarity.
3. Practicability: Model 1 is highly practical and perfectly aligns with the requirements. Model 2 is penalized because its duplicate Customer-Account association introduces a contradictory multiplicity (`1..5` on one line and `0..*` on the other), which violates the explicit "at most five" business rule and causes ambiguity for testing and implementation.
4. Rejected or checked issues: I checked if Model 2's use of two associations falls under the "Forbidden Penalties" regarding opposite unidirectional associations. Because Model 2 uses non-directional lines and, more importantly, its multiplicities explicitly contradict the requirements (`1..5` vs `0..*`), it is valid and necessary to penalize the contradiction. I also noted that Model 1 makes `Account` abstract while Model 2 does not; per the forbidden penalties on "Optional Abstractness", neither style was rewarded or penalized. Finally, Model 2's use of composition (`*--`) for branches is conceptually sound, but Model 1's standard association is also fully acceptable.
5. Overall judgment: Model 1 is better because it avoids contradictory multiplicities, keeps the model structurally simple, and strictly adheres to the provided business rules (specifically the `1..5` account ownership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</si>
  <si>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</si>
  <si>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necessary classes (Bank, Branch, Customer, Account, CurrentAccount, SavingsAccount) from the domain description.
2. Associations/Multiplicities between classes for domain reasoning: Model 1 = 5, Model 2 = 4; Evidence: Model 1 correctly models the customer-account relationship with a single association and accurate multiplicities (`Customer "1" -- "1..5" Account`). Model 2 uses two separate associations for this same relationship (`Customer "1" --- "1..5" Account` and `Account "0..*" --- "1" Customer`). This introduces a contradiction in the multiplicity (`1..5` versus `0..*`), violating the specific constraint that a customer has at most five accounts.
3. Model attributes with appropriate data types: Model 1 = 5, Model 2 = 5; Evidence: Both models correctly assign all attributes with proper data types: firstName (String), lastName (String), accountNumber (int), balance (double), and overdraftLimit (double).
4. Consistencies of Terminology with given context: Model 1 = 5, Model 2 = 5; Evidence: Both models use terminology that perfectly aligns with the given context.
5. Adherence of UML class diagram standards: Model 1 = 5, Model 2 = 5; Evidence: Both models follow proper PlantUML syntax and UML notations for classes, attributes, associations, and inheritance.
Total: Model 1 = 25, Model 2 = 24
Choice: A
Reason:
1. Appropriate conceptual classes aligned with the domain: Both models are completely aligned with the domain classes.
2. Associations/Multiplicities between classes for domain reasoning: Model 1 handles the relationship between `Customer` and `Account` cleanly and accurately with `Customer "1" -- "1..5" Account`. Model 2 separates the bidirectional relationship into two associations and introduces a contradictory multiplicity (`0..*` instead of `1..5`), which misrepresents the domain requirement constraint.
3. Model attributes with appropriate data types: Both models successfully capture and type all required attributes.
4. Consistencies of Terminology with given context: Both models perfectly adhere to the terminology from the description.
5. Adherence of UML class diagram standards: Both models correctly implement UML syntax in PlantUML.
6. Rejected or checked issues: I did not reward Model 1 for making `Account` abstract, as the prompt does not specify whether direct instances are allowed. Model 1 uses `--` for associations while Model 2 uses `---` and `*--` (composition for branches); both are acceptable UML/PlantUML notations for the given domain. Model 2 includes visibility markers (`-`) which Model 1 omits; neither is penalized or rewarded as it doesn't affect core domain semantics.
7. Overall judgment: Model 1 is better because it correctly models the multiplicities for the `Customer` and `Account` association without introducing conflicting constraints, whereas Model 2 contradicts the "at most five accounts" rule with an additional `0..*` multiplicity line.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</si>
  <si>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</si>
  <si>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</si>
  <si>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Model 1 correctly includes all specified classes, relationships, and exactly the attributes mentioned in the prompt (e.g., `firstName`, `lastName`, `accountNumber`, `balance`, `overdraftLimit`). Model 2 accurately captures the associations and notably uses a composition relationship for "consists of" (`Bank *-- "0..*" Branch`), but it explicitly violates the negative constraint against additions by hallucinating `bankName` and `branchName` attributes.
Total: Model 1 = 5, Model 2 = 4
Choice: A
Reason:
1. Alignment with Requirements: Model 1 perfectly translates the provided text into a class diagram. It accurately captures the classes, inheritance (CurrentAccount and SavingsAccount extending Account), and strict cardinalities (e.g., 1..5 accounts per customer) without adding any hallucinated details. Model 2 also models the core structure very well and makes good use of composition for the branches, but it loses points for introducing `bankName` and `branchName`, which directly violates the instruction to avoid hallucinations and unrequested additions.
3. Rejected or checked issues: I checked Model 2's use of paired opposite unidirectional associations (e.g., `Customer --&gt; Account` and `Account --&gt; Customer`) as well as its PlantUML single-quote comments (e.g., `'opposite bank`). Following the forbidden penalty rules, these are semantically valid modeling choices and standard tooling annotations; they were not penalized in any way. 
4. Overall judgment: Model 1 is the better response because it strictly follows the requirements and completely avoids hallucinated attributes, whereas Model 2 includes unrequested additions despite the explicit instructions against them.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</si>
  <si>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</si>
  <si>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domain concepts into `Bank`, `Branch`, `Customer`, and an `Account` hierarchy. They assign the correct attributes to the specific classes (e.g., `overdraftLimit` in `CurrentAccount`), ensuring high cohesion and low coupling.
2. Complexity: Model 1 = 5, Model 2 = 5; Evidence: Both models maintain a balanced complexity, using exactly 6 classes with an appropriate inheritance depth (1 level) and no unnecessary conceptual classes. Model 2 adds minor reasonable attributes (`bankName`, `branchName`) but does not overcomplicate the design.
3. Practicability: Model 1 = 5, Model 2 = 5; Evidence: Both models are highly readable and provide clear, correct multiplicities (e.g., `1..5` accounts per customer). Model 1 uses standard bidirectional associations, while Model 2 accurately uses a composition line (`*--`) for "consists of" and uses pairs of directed associations that correctly establish the required relationships.
Total: Model 1 = 15, Model 2 = 15
Choice: C
Reason:
1. Cohesion and Decoupling: Both models perfectly capture the domain entities with dedicated responsibilities. The abstraction of `Account` and its specialization into `CurrentAccount` and `SavingsAccount` is handled cleanly in both designs.
2. Complexity: Both models map directly to the requirement without over-engineering. They keep a clean inheritance tree and an appropriate number of classes and methods/attributes that directly align with the prompt.
3. Practicability: Both models correctly implement the required constraints and multiplicities (e.g., a customer owning 1 to 5 accounts, a bank having any number of branches). Model 2 uses a composition relation for the branches which aligns nicely with the phrase "consists of", while Model 1 uses a clear named association; both approaches are thoroughly practical and well-suited for implementation.
4. Rejected or checked issues: I explicitly ignored Model 2's use of single-quote comments (e.g., `'opposite bank`) and opposite unidirectional associations (e.g., `Customer --&gt; Account` and `Account --&gt; Customer`) as per the forbidden penalties, treating them as 100% semantically equivalent to Model 1's single bidirectional associations. I also did not penalize Model 2 for including sensible standard attributes (`bankName`, `branchName`) absent from the prompt text.
5. Overall judgment: Both models provide excellent, highly accurate reflections of the requirements using proper UML semantics. The minor differences in notation style are protected by the evaluation rules and do not make one model objectively superior to the other.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</si>
  <si>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</si>
  <si>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all the necessary classes from the provided text (`Bank`, `Branch`, `Customer`, `Account`, `CurrentAccount`, and `SavingsAccount`).
2. Associations/Multiplicities between classes for domain reasoning: Model 1 = 5, Model 2 = 5; Evidence: Both correctly capture all structural relationships and multiplicity constraints, including `Bank` to `Customer` (1 to 0..*), `Bank` to `Branch` (1 to 0..*), and `Customer` to `Account` (1 to 1..5). Model 1 uses bidirectional relationships, while Model 2 uses paired opposite unidirectional arrows (`--&gt;`) and a composition (`*--`) for "consists of", both of which are semantically sound and accurate.
3. Model attributes with appropriate data types: Model 1 = 5, Model 2 = 5; Evidence: Both models define exactly the required attributes with their respective data types (`firstName: String`, `lastName: String`, `accountNumber: int`, `balance: double`, `overdraftLimit: double`). Model 2 additionally includes `bankName` and `branchName`, which are harmless unprompted extras that do not detract from the correctness of the required fields.
4. Consistencies of Terminology with given context: Model 1 = 5, Model 2 = 5; Evidence: Both models consistently use the exact terminology specified in the requirements without any deviations.
5. Adherence of UML class diagram standards: Model 1 = 5, Model 2 = 5; Evidence: Both models form syntactically valid PlantUML diagrams and appropriately make use of inheritance arrows (`&lt;|--` in Model 1 and `--|&gt;` in Model 2). 
Total: Model 1 = 25, Model 2 = 25
Choice: C
Reason:
1. Appropriate conceptual classes aligned with the domain: Both models are perfectly aligned with the domain description, correctly identifying all base classes and sub-classes.
2. Associations/Multiplicities between classes for domain reasoning: Both models comprehensively map the constraints defined in the text, ensuring that a customer is restricted to 1..5 accounts and an account is owned by exactly one customer. Model 2's usage of a composition (`*--`) to reflect "consists of" for the branches is a nice touch, but Model 1's standard association is completely acceptable at the conceptual level.
3. Rejected or checked issues: Under the evaluation guidelines, Model 2 uses standard tooling annotations (e.g., `'opposite bank`) and represents relationships with two opposite unidirectional associations instead of a single bidirectional line. These are strictly evaluated as 100% semantically equivalent to Model 1's bidirectional associations and are not penalized. Similarly, Model 2's extra but benign identifier attributes are not penalized since they do not contradict the domain requirements.
4. Overall judgment: Both models offer an excellent and fully compliant translation of the informal text into a structured UML class diagram. There are no notable flaws or omissions in either design. Because both models perfectly meet the requirements, achieve full marks, and possess no significant conceptual differences, they result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</si>
  <si>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</si>
  <si>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4; Evidence: Both models successfully capture all the conceptual classes, required attributes (firstName, lastName, accountNumber, balance, overdraftLimit), inheritance (CurrentAccount and SavingsAccount extending Account), and relationship multiplicities outlined in the prompt. However, Model 2 includes additional attributes (`bankName: String` in Bank, `branchName: String` in Branch) that are not present in the requirement text, violating the instruction to avoid hallucinations and additions. Model 1 includes exactly what was requested and nothing more.
Total: Model 1 = 5, Model 2 = 4
Choice: A
Reason:
1. Requirement Alignment: Both models accurately represent the core domain logic, associations, and cardinalities (such as the 1 to 1..5 relationship between Customer and Account, and the composition between Bank and Branch). However, Model 1 is strictly aligned with the prompt's scope. Model 2 hallucinates `bankName` and `branchName` attributes, which explicitly violates the instruction to complete the design "without making any hallucinations and additions."
2. Rejected or checked issues: 
- Model 2 marks the `Account` class as `abstract`. This is a valid domain interpretation and is explicitly protected by the "Optional Abstractness" forbidden penalty rule, so no points were deducted for this.
- Model 2 uses single-quote comments (e.g., `'opposite bank`) and splits bidirectional relationships into two opposite unidirectional lines (e.g., `Bank --&gt; Customer` and `Customer --&gt; Bank`). Both of these are explicitly protected by the forbidden penalties and were not used against Model 2.
- Model 1 models the bidirectional relationship between Customer and Account as two separate undirected lines, which is slightly redundant but semantically acceptable for capturing the two sentences in the requirement text.
4. Overall judgment: Model 1 is the better response because it strictly follows the requirement constraints without adding unrequested attributes. While Model 2's UML practices are perfectly acceptable per the guidelines, its hallucinated attributes make it slightly less aligned with the specific instructions.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</si>
  <si>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</si>
  <si>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set of conceptual classes (`Bank`, `Branch`, `Customer`, `Account`, `CurrentAccount`, `SavingsAccount`) and effectively use inheritance to decouple specific account behaviors from the general `Account` definition, demonstrating high cohesion and low coupling.
2. Complexity: Model 1 = 5, Model 2 = 5; Evidence: Both models balance complexity well. They maintain a shallow inheritance tree (depth of 1) and correctly map simple properties (names, balances) to class attributes rather than overcomplicating the design with unnecessary conceptual classes.
3. Practicability: Model 1 = 4, Model 2 = 5; Evidence: Model 1 introduces contradictory multiplicities for the Customer-Account relationship by defining `Customer "1" --- "1..5" Account` and then a second association `Account "0..*" --- "1" Customer`, where the `0..*` conflicts with the strict `1..5` requirement. Model 2 accurately and cleanly models this requirement using `Customer --&gt; "1..5" Account` and `Account --&gt; "1" Customer` without contradictions.
Total: Model 1 = 14, Model 2 = 15
Choice: B
Reason:
1. Cohesion and Decoupling: Both models provide a highly cohesive and cleanly decoupled structure with well-defined domains for customers, branches, and specialized account types.
2. Complexity: Both models keep the structural complexity perfectly aligned with the requirements, containing an appropriate total number of classes (6) and logical inheritance.
3. Practicability: Model 2 represents the domain logic accurately. Model 1 is slightly less practical because it includes a direct contradiction by defining two separate undirected relationships between `Customer` and `Account` with conflicting multiplicities (`1..5` on one, `0..*` on the other). Model 2 correctly bounds the customer's accounts to the 1-to-(1..5) constraint.
4. Rejected or checked issues: Model 2's use of two opposite unidirectional associations (instead of one bidirectional line), end-of-line comments (e.g., `'opposite bank`), and marking the `Account` class as `abstract` fall strictly under the forbidden penalties list and were not penalized. Furthermore, Model 2 includes extra identifier attributes (`bankName` and `branchName`); these were neither penalized nor rewarded since they do not cover a strictly stated requirement fact.
5. Overall judgment: Model 2 is better due to its precise and non-contradictory implementation of the required association multiplicities, making it a more robust and accurate representation of the business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</si>
  <si>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</si>
  <si>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include all the required classes: Bank, Branch, Customer, Account, CurrentAccount, and SavingsAccount.
2. Associations/Multiplicities between classes for domain reasoning: Model 1 = 3, Model 2 = 5; Evidence: Model 1 creates two conflicting associations between Customer and Account with contradictory multiplicities (`Customer "1" --- "1..5" Account` and `Account "0..*" --- "1" Customer`), asserting both 1..5 and 0..* bounds. Model 2 accurately captures the relationship using two consistent unidirectional opposite relationships (`Customer --&gt; "1..5" Account` and `Account --&gt; "1" Customer`), strictly maintaining the 1..5 bound.
3. Model attributes with appropriate data types: Model 1 = 5, Model 2 = 5; Evidence: Both models correctly assign `firstName` and `lastName` of type String to Customer, `accountNumber` (int) and `balance` (double) to Account, and `overdraftLimit` (double) to CurrentAccount. Model 2 includes extra name attributes which are permissible but unrewarded.
4. Consistencies of Terminology with given context: Model 1 = 5, Model 2 = 5; Evidence: Both models use domain terminology exactly as presented in the prompt (e.g., overdraftLimit, balance, Customer, Branch).
5. Adherence of UML class diagram standards: Model 1 = 5, Model 2 = 5; Evidence: Both models use standard PlantUML syntax. Model 2's use of single quotes for comments is valid standard tooling annotation.
Total: Model 1 = 23, Model 2 = 25
Choice: B
Reason:
1. Associations/Multiplicities between classes for domain reasoning: Model 1 defines two separate bidirectional associations between Customer and Account with conflicting multiplicities (one has a boundary of "1..5", and the other has a boundary of "0..*"). Model 2 correctly implements the associations using two consistent unidirectional opposite relationships, correctly applying the "1..5" bound without contradictions.
2. Rejected or checked issues: Model 2's use of opposite unidirectional associations (e.g., `A --&gt; B` and `B --&gt; A`) and PlantUML comments (e.g., `'opposite`) are strictly acceptable per the evaluation guidelines and were not penalized. The addition of abstractness to the Account class and extra naming attributes in Model 2 were treated neutrally and did not affect the scores.
3. Overall judgment: Both models identify the required classes, attributes, and terminology perfectly. However, Model 2 is better because it avoids the multiplicity contradiction present in Model 1's Customer-Account relationship, making its domain reasoning fully correct and consistent.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</si>
  <si>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</si>
  <si>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includes two separate associations between Customer and Account (`Customer "1" --- "1..5" Account` and `Account "0..*" --- "1" Customer`), introducing a contradictory `0..*` multiplicity that violates the requirement "A customer has at least one and at most five accounts". Model 2 accurately consolidates this into a single association (`Customer "1" -- "1..5" Account`) with the correct multiplicities.
Total: Model 1 = 4, Model 2 = 5
Choice: B
Reason:
1. Alignment with Requirements: Both models correctly define the required classes, attributes, and inheritance relationships. However, Model 1 introduces a severe contradiction in its relationship cardinalities. While it correctly maps one relationship as `Customer "1" --- "1..5" Account`, it adds a redundant second association `Account "0..*" --- "1" Customer`. This implies a customer can have `0..*` accounts, which directly violates the strict "at least one and at most five accounts" constraint established in the prompt. Model 2 correctly handles this by using a single association with the proper `1..5` multiplicity, accurately reflecting the domain constraints without contradiction.
2. Rejected or checked issues: Model 2 marks the `Account` superclass as `abstract`. According to the forbidden penalties, optional abstractness when not explicitly stated in the requirements should not be rewarded or penalized, so this difference was ignored. Additionally, Model 1's use of composition (`*--`) versus Model 2's regular association (`--`) for "consists of" are both acceptable semantic interpretations and did not affect the scoring.
3. Overall judgment: Model 2 is the better response because it accurately captures all domain requirements and relationship multiplicities perfectly, whereas Model 1 introduces conflicting and invalid multiplicities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</si>
  <si>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</si>
  <si>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define the same highly cohesive classes (`Bank`, `Branch`, `Customer`, `Account`, `CurrentAccount`, `SavingsAccount`) with appropriately assigned responsibilities and attributes, establishing logical relationships without introducing tight coupling.
2. Complexity: Model 1 = 4, Model 2 = 5; Evidence: Both models maintain an appropriate balance with 6 classes and 1 level of inheritance. However, Model 1 unnecessarily increases relation complexity by defining two separate association lines between `Customer` and `Account` for the same conceptual link, whereas Model 2 accurately captures the relationship in a single association.
3. Practicability: Model 1 = 3, Model 2 = 5; Evidence: Model 2 is highly practical and testable, cleanly capturing the requirement in a single association (`Customer "1" -- "1..5" Account`). Model 1 is flawed because its two associations have contradictory multiplicities (`Customer "1" --- "1..5" Account` versus `Account "0..*" --- "1" Customer`), which violates the hard constraint that a customer has at most five accounts, creating ambiguity for real-world implementation.
Total: Model 1 = 12, Model 2 = 15
Choice: B
Reason:
1. Cohesion and Decoupling: Both models perform equally well here. They successfully identify the relevant domain entities and distribute properties intuitively, keeping individual classes conceptually focused.
2. Complexity: Model 2 is perfectly balanced, utilizing an abstract base class and clear subclasses without over-engineering. Model 1 is slightly more complex than necessary due to its redundant association lines between `Customer` and `Account`. 
3. Practicability: Model 2 provides a robust, unambiguous representation of the system that translates easily into code and unit tests. Model 1 is significantly less practical because the duplicated `Customer`-`Account` relationship introduces conflicting multiplicities (`"1..5"` vs `"0..*"`). This directly contradicts the requirement ("at least one and at most five accounts") and would cause confusion during database design or application logic implementation. 
4. Rejected or checked issues: Model 2 marks `Account` as `abstract`, while Model 1 does not; per the evaluation guidelines, optional abstractness is neither rewarded nor penalized since the requirements do not strictly specify whether direct instances of `Account` are allowed. Additionally, Model 1 utilizes a composition (`*--`) for the `Bank`-`Branch` relationship while Model 2 uses a standard association (`--`); both adequately represent "consists of" conceptually, and this difference did not drive the final decision. Model 1 uses visibility markers (`-`) which are ignored for scoring.
5. Overall judgment: Model 2 is better because it captures all the required domain semantics—particularly the multiplicity constraints—cleanly and accurately without the redundant, contradictory associations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</si>
  <si>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</si>
  <si>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domain entities: Bank, Branch, Customer, Account, CurrentAccount, and SavingsAccount.
2. Associations/Multiplicities between classes for domain reasoning: Model 1 = 4, Model 2 = 5; Evidence: Model 1 defines the Customer-Account relationship with two separate associations (`Customer "1" --- "1..5" Account` and `Account "0..*" --- "1" Customer`), which introduces a contradictory multiplicity (`1..5` vs `0..*`) on the Account side, violating the strict constraint of "at least one and at most five". Model 2 perfectly models this with a single bidirectional association `Customer "1" -- "1..5" Account`.
3. Model attributes with appropriate data types: Model 1 = 5, Model 2 = 5; Evidence: Both models correctly assign `firstName` and `lastName` (String) to Customer, `accountNumber` (int) and `balance` (double) to Account, and `overdraftLimit` (double) to CurrentAccount.
4. Consistencies of Terminology with given context: Model 1 = 5, Model 2 = 5; Evidence: Both models strictly utilize the terminology provided in the text (e.g., Bank, Branch, Customer, Account, manages, owner/owns, overdraftLimit).
5. Adherence of UML class diagram standards: Model 1 = 5, Model 2 = 5; Evidence: Both models are syntactically valid in PlantUML and correctly represent inheritance (using `&lt;|--` or `--|&gt;`) and associations.
Total: Model 1 = 24, Model 2 = 25
Choice: B
Reason:
1. Associations/Multiplicities: Model 2 accurately captures the "at least one and at most five accounts" requirement with a unified `1..5` multiplicity. Model 1 duplicates this relationship but uses a conflicting `0..*` multiplicity on one of its lines, which directly contradicts the domain constraint.
2. Other criteria: Both models are equally excellent in identifying the correct classes, attributes, data types, terminology, and adhering to PlantUML syntax. 
3. Rejected or checked issues: Model 2 designates `Account` as an `abstract class`. Under the evaluation guidelines, optional abstractness without explicit requirement evidence is neither rewarded nor penalized. Additionally, Model 1's use of composition (`*--`) vs Model 2's regular association (`--`) for "consists of" are both acceptable, and Model 1's visibility markers (`-`) are ignored as presentation details. 
4. Overall judgment: Model 2 is chosen as the better diagram due to its accurate and contradiction-free handling of domain multiplicities.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</si>
  <si>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</si>
  <si>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</si>
  <si>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</si>
  <si>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models the `worksFor` relationship as 1-to-many (`ResearchInstitution --&gt; "*" Person`, `Person --&gt; "1" ResearchInstitution`) and uses `Authorship` as a proper intermediate class linking 1 `Person` and 1 `ScientificArticle` to store the unique `position` for each author. Model 2 incorrectly models `worksFor` as 1-to-1 (`Person "1" -- "1" Institution`) and links `Authorship` to `1..*` Persons (`Authorship -- "1..*" Person`), which fails to store a unique position for each author individually.
Total: Model 1 = 5, Model 2 = 3
Choice: A
Reason:
1. Alignment with Requirements: Model 1 aligns perfectly with all domain constraints and cardinality rules. It properly captures the one-to-many relationship between institutions and persons. It also correctly structures the `Authorship` intermediate class to store individual author positions. Model 2 contains critical domain errors by making the person-institution relationship 1-to-1, and its `Authorship` mapping is logically flawed, assigning a single position to a group of `1..*` authors rather than an individual.
2. Rejected or checked issues: Both models correctly separate peer-reviewed papers and technical reports, ensuring that only peer-reviewed papers are linked to journals. Note that Model 1 uses two opposite unidirectional associations with single-quote comments to represent bidirectionality (e.g., `Person --&gt; "1" ResearchInstitution` and `ResearchInstitution --&gt; "*" Person`); under the forbidden penalties, this is 100% semantically valid and equivalent to standard bidirectional associations, so no penalties are applied. 
3. Overall judgment: Model 1 is chosen as the better response because it faithfully implements the cardinalities and intermediate relationship structures required by the prompt, whereas Model 2 introduces significant multiplicity errors that compromise the domain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</si>
  <si>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</si>
  <si>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designs a highly cohesive `Authorship` class by linking it to exactly one person and one article (`Authorship --&gt; "1" Person`, `Authorship --&gt; "1" ScientificArticle`), cleanly isolating the `position` of a specific author. Model 2's `Authorship` links to multiple persons (`Authorship -- "1..*" Person : author`) while having a single `position` attribute, improperly coupling multiple authors to the same position record and degrading cohesion.
2. Complexity: Model 1 = 5, Model 2 = 4; Evidence: Both models identify the correct conceptual classes without turning every noun into an entity (e.g., both use `ScientificArticle` as an abstract superclass with `PeerReviewedPaper` and `TechnicalReport` as subclasses). Model 1 manages complexity perfectly with clear and precise multiplicities. Model 2 is similarly balanced in terms of class count, but adds logical complexity by using `1..*` Persons for a single `Authorship` resolution, which confuses the domain model's structural intent.
3. Practicability: Model 1 = 5, Model 2 = 2; Evidence: Model 1 maps accurately to the real-world domain, allowing an institution to employ multiple people (`Person --&gt; "1" ResearchInstitution` and `ResearchInstitution --&gt; "*" Person`). Model 2 models this relationship as `Person "1" -- "1" Institution : worksFor`, which practically implies an EU research institution can only ever have a single employee. This severely limits Model 2's viability and modularity in real-world applications.
Total: Model 1 = 15, Model 2 = 9
Choice: A
Reason:
1. Cohesion and Decoupling: Model 1 uses the `Authorship` class cohesively by assigning exactly one `Person` and `ScientificArticle` to each instance, ensuring the `position` attribute applies to a single author. Model 2 binds `1..*` persons to one `Authorship`, muddling the responsibilities of the class.
2. Complexity: Both models keep the structural complexity balanced with an appropriate inheritance tree for articles and the right amount of conceptual classes, but Model 1 is logically clearer with its relationships.
3. Practicability: Model 1 correctly captures the many-to-one employment relationship, whereas Model 2 restricts an `Institution` to having exactly one `Person` (`1` to `1` multiplicity), which is completely impractical for a cross-national research database.
4. Rejected or checked issues: I ignored Model 1's use of two opposite unidirectional arrows (e.g., `Person --&gt; "1" ResearchInstitution` and `ResearchInstitution --&gt; "*" Person`) and its inline single-quote comments (e.g., `'opposite employs`), as these are explicitly protected by the forbidden penalties and are semantically equivalent to bidirectional associations.
5. Overall judgment: Model 1 provides a highly accurate, practical, and cohesive representation of the requirements. Model 2 struggles with fundamental domain multiplicities, rendering its design impractical for the described real-world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</si>
  <si>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</si>
  <si>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necessary conceptual classes derived from the requirements, including Person, ResearchInstitution/Institution, Publisher, Journal, ScientificArticle (as abstract), PeerReviewedPaper, TechnicalReport, and an intermediate Authorship class to handle the many-to-many relationship and position attribute.
2. Associations/Multiplicities between classes for domain reasoning: Model 1 = 5, Model 2 = 3; Evidence: Model 1 correctly captures all relationships and multiplicities, including the many-to-one relationship between Person and ResearchInstitution, and the precise one-to-one mapping from the Authorship resolution class to a single Person and a single ScientificArticle. Model 2 contains incorrect multiplicities: it defines a strictly one-to-one relationship between Person and Institution (`Person "1" -- "1" Institution`), implying an institution only has one staff member. Additionally, Model 2 links Authorship to multiple persons (`Authorship -- "1..*" Person`), which breaks the domain logic because a single `position` attribute cannot accurately track the distinct positions of multiple authors within the same Authorship instance.
3. Model attributes with appropriate data types: Model 1 = 5, Model 2 = 5; Evidence: Both models accurately capture all requested attributes such as personId, phoneNumber, keywords (using List/Set), institutionCode, DOI, title, citationCount, publisher name, journal name, impactFactor, and position, assigning them appropriate primitive types (String, int, double).
4. Consistencies of Terminology with given context: Model 1 = 5, Model 2 = 5; Evidence: Both models utilize terminology that is completely consistent with the text, accurately reflecting terms like "TechnicalReport", "PeerReviewedPaper", "impactFactor", and "citationCount". 
5. Adherence of UML class diagram standards: Model 1 = 5, Model 2 = 5; Evidence: Both models are syntactically sound and follow UML modeling practices. Model 1's choice to use pairs of opposite unidirectional associations (e.g., `A --&gt; B` and `B --&gt; A`) instead of single bidirectional lines is semantically valid according to the evaluation guidelines, as is its usage of line-end comments.
Total: Model 1 = 25, Model 2 = 23
Choice: A
Reason:
1. Appropriate conceptual classes aligned with the domain: Both models are excellent and successfully abstract all the required domain concepts into appropriate classes.
2. Associations/Multiplicities between classes for domain reasoning: Model 1 perfectly identifies all relationships and multiplicities required by the scenario. Model 2 falters by assigning a one-to-one multiplicity between Person and Institution, defying the reality that an institution employs multiple researchers. Furthermore, Model 2 incorrectly links its Authorship class to multiple Persons (`1..*`), which fundamentally conflicts with storing a unique integer `position` for each author. 
3. Model attributes with appropriate data types: Both models assign complete and correct attributes with appropriate data types.
4. Consistencies of Terminology with given context: Both models perfectly match the vocabulary provided in the domain prompt.
5. Adherence of UML class diagram standards: Both models correctly adhere to PlantUML syntax and UML principles without critical notation errors.
6. Rejected or checked issues: Model 1 uses two opposite unidirectional arrows with end-of-line comments to represent bidirectional associations. According to the strict forbidden penalties, this is 100% semantically equivalent to a single bidirectional line and must not be penalized.
7. Overall judgment: Model 1 is the clear winner due to its strict adherence to domain reasoning, specifically in correctly modeling the multiplicities for institutions and authorships, which Model 2 fails to capture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</si>
  <si>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</si>
  <si>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correctly capture the required classes (Person, ResearchInstitution, ScientificArticle, PeerReviewedPaper, TechnicalReport, Publisher, Journal, Authorship) and attributes (personID, DOI, citation count, etc.). However, they differ in relationship cardinalities. Model 1 correctly models the relationship between Person and ResearchInstitution as many-to-one (`ResearchInstitution --&gt; "*" Person` and `Person --&gt; "1" ResearchInstitution`) and reviewers to papers as many-to-many (`PeerReviewedPaper --&gt; "*" Person`). Model 2 incorrectly models the Person to ResearchInstitution relationship as one-to-one (`Person "1" -- "1" ResearchInstitution`), implying an institution employs exactly one person, and limits a paper to exactly one reviewer (`Person "1" -- "*" PeerReviewedPaper : reviews`).
Total: Model 1 = 5, Model 2 = 3
Choice: A
Reason:
1. Alignment with Requirements: Model 1 flawlessly models all domain entities, inheritance hierarchies, associations, and most importantly, business cardinalities. Model 2 struggles with cardinalities, introducing severe logical flaws by assigning exactly one person to an institution and exactly one reviewer to a peer-reviewed paper, contradicting standard domain logic and the plural implications of the requirement text.
2. Rejected or checked issues: Model 2 uses Composition (`*--`) for the Publisher to Journal relationship, which elegantly captures the fact that journals are dependent on the publisher for unique identification ("publishers can have journals with the same name"). However, Model 1's standard association is also valid UML for this requirement. Model 1 uses double unidirectional arrows with single-quote comments (e.g., `'opposite employs`); these are strictly ignored per the forbidden penalty rules and do not negatively affect Model 1. 
3. Overall judgment: Model 1 is chosen as the superior model because it strictly adheres to the relational and multiplicity requirements of the domain, whereas Model 2 contains critical multiplicity errors that would result in a broken database schema.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</si>
  <si>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</si>
  <si>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create focused classes like `Person`, `ResearchInstitution`, `Publisher`, and `Journal`. Both appropriately extract an `Authorship` intermediate class to decouple the many-to-many relationship between `Person` and `ScientificArticle` and to cohesively store the `position` attribute.
2. Complexity: Model 1 = 5, Model 2 = 5; Evidence: Both models maintain an appropriate level of complexity by utilizing 8-9 well-defined conceptual classes. Both correctly implement a shallow and effective inheritance tree (`ScientificArticle &lt;|-- PeerReviewedPaper` and `ScientificArticle &lt;|-- TechnicalReport`) without over-engineering or introducing unnecessary nouns as classes.
3. Practicability: Model 1 = 5, Model 2 = 3; Evidence: Model 1 uses realistic multiplicities, allowing an institution to employ multiple people (via `ResearchInstitution --&gt; "*" Person`) and a paper to have multiple reviewers (`PeerReviewedPaper --&gt; "*" Person`). It also practically models `researchKeywords` as a `List&lt;String&gt;`. Model 2 introduces impractical constraints by using a 1-to-1 relationship for employment (`Person "1" -- "1" ResearchInstitution`), meaning an institution can only have one employee, and restricts papers to a single reviewer (`Person "1" -- "*" PeerReviewedPaper`). Furthermore, Model 2 types `researchKeywords` as a single `String`.
Total: Model 1 = 15, Model 2 = 13
Choice: A
Reason:
1. Cohesion and Decoupling: Both models successfully achieve high cohesion and low coupling by properly distributing responsibilities across domain entities and utilizing an `Authorship` class for the link between authors and articles.
2. Complexity: Both models perfectly balance the complexity of the domain, correctly distinguishing between entities and attributes and using an appropriate inheritance hierarchy for the scientific articles.
3. Practicability: Model 1 is significantly more practical for real-world application. Model 2's multiplicities contradict real-world software logic by restricting research institutions to exactly one person and limiting peer-reviewed papers to exactly one reviewer. Model 1 accurately captures these as one-to-many and many-to-many relationships, respectively, and correctly uses a collection type for the keywords.
4. Rejected or checked issues: I ignored Model 1's use of two opposite unidirectional associations (e.g., `A --&gt; B` and `B --&gt; A`) and PlantUML comments (e.g., `'opposite employs`), as these are semantically valid and standard tooling annotations.
5. Overall judgment: Model 1 is much better because it provides accurate and practical multiplicities that reflect the domain requirements, whereas Model 2 suffers from overly restrictive and inaccurate multiplicity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</si>
  <si>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</si>
  <si>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(`Person`, `ResearchInstitution`, `ScientificArticle`, `PeerReviewedPaper`, `TechnicalReport`, `Publisher`, `Journal`) and introduce an `Authorship` class to handle the resolution of author positions.
2. Associations/Multiplicities between classes for domain reasoning: Model 1 = 5, Model 2 = 3; Evidence: Model 1 correctly captures the employment relationship as many-to-one (`ResearchInstitution --&gt; "*" Person` and `Person --&gt; "1" ResearchInstitution`) and the review process as many-to-many (`PeerReviewedPaper --&gt; "*" Person` and `Person --&gt; "*" PeerReviewedPaper`). Model 2 incorrectly models employment as one-to-one (`Person "1" -- "1" ResearchInstitution`), implying an institution employs only one person. It also incorrectly models reviewing as one-to-many (`Person "1" -- "*" PeerReviewedPaper`), implying a peer-reviewed paper has exactly one reviewer.
3. Model attributes with appropriate data types: Model 1 = 5, Model 2 = 4; Evidence: Both models identify all required attributes correctly (e.g., `personId`, `doi`, `title`, `impactFactor`). Model 1 assigns `List&lt;String&gt;` to `researchKeywords`, which appropriately handles the plural nature of keywords. Model 2 uses a singular `String` type for `researchKeywords`, which is a minor data type misalignment for a collection of keywords.
4. Consistencies of Terminology with given context: Model 1 = 5, Model 2 = 5; Evidence: Both models use terminology exactly as described in the requirements (e.g., `PeerReviewedPaper`, `TechnicalReport`, `citationCount`, `impactFactor`).
5. Adherence of UML class diagram standards: Model 1 = 5, Model 2 = 5; Evidence: Both diagrams form valid PlantUML class diagrams. Model 1 uses pairs of complementary unidirectional associations with end-of-line tooling comments, which is fully valid and semantically equivalent to bidirectional lines. Model 2 uses standard bidirectional lines and composition syntax.
Total: Model 1 = 25, Model 2 = 22
Choice: A
Reason:
1. Appropriate conceptual classes aligned with the domain: Both models are equally excellent at extracting the correct entities and intermediate classes (like `Authorship`) to fulfill the requirements.
2. Associations/Multiplicities between classes for domain reasoning: Model 1 is significantly better. It accurately defines the multiplicities for employment (many persons to one institution) and reviewing (many reviewers for many papers). Model 2 contains critical domain errors, restricting an institution to a single person and a peer-reviewed paper to a single reviewer.
3. Model attributes with appropriate data types: Model 1 edges out Model 2 slightly by appropriately assigning a collection type (`List&lt;String&gt;`) to the `researchKeywords` attribute, whereas Model 2 uses a basic `String`. 
4. Rejected or checked issues: I explicitly ignored Model 1's use of dual unidirectional arrows (e.g., `A --&gt; B` and `B --&gt; A`) and PlantUML comments (e.g., `'opposite employs`) as these are standard, semantically valid tooling formats and were not penalized based on the forbidden penalty rules. Model 2's use of composition (`*--`) for Publisher and Journal is a valid interpretation since journals share names across publishers, but it did not make up for its multiplicity errors.
5. Overall judgment: Model 1 is better because it perfectly captures the structural constraints and multiplicities of the domain, whereas Model 2 introduces severe logical restrictions (1:1 employment, 1:N reviewing) that contradict real-world academic domain logic and the provided context. Model 1 also uses slightly more accurate data types for plural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</si>
  <si>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</si>
  <si>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3, Model 2 = 4; Evidence: For Authorship, Model 1 incorrectly models the multiplicities (`Authorship -- "1..*" Person` and `Authorship -- "1" ScientificArticle`), meaning one authorship instance connects multiple persons to an article, which breaks the ability to store a unique `position` for each author. Model 2 correctly models Authorship as a reified associative class (`Person "1" -- "*" Authorship` and `ScientificArticle "1" -- "*" Authorship`), allowing a unique position per person-article pair. For Reviewers, Model 1 correctly allows multiple reviewers per paper (`Person "0..*" -- "0..*" PeerReviewedPaper`), while Model 2 limits papers to 1 reviewer (`Person "1" -- "*" PeerReviewedPaper`). For Keywords, Model 1 uses `Set&lt;String&gt;` which better aligns with the plural "keywords" than Model 2's `String`. Both models incorrectly define a 1-to-1 relationship between Person and Institution (`"1" -- "1"`). Model 2 uses composition (`Publisher "1" *-- "*" Journal`), which excellently reflects the requirement that Journals are scoped by Publisher names.
Total: Model 1 = 3, Model 2 = 4
Choice: B
Reason:
1. Alignment with requirement: Model 2 is superior because it correctly structures the `Authorship` class to track the "position of each author". By defining `1` to `*` associations from both `Person` and `ScientificArticle` to `Authorship`, Model 2 ensures each specific author-article link has its own unique position. Model 1's cardinality (`Authorship -- "1..*" Person`) groups multiple authors into a single `Authorship` instance, which logically forces them to share a single position value, violating the requirement.
2. While Model 1 models the reviews relationship more realistically (many-to-many) and captures plural keywords better (`Set&lt;String&gt;`), Model 2's proper handling of the associative entity for authorship is structurally more sound and critical for the domain's schema. Additionally, Model 2's use of composition for Publishers and Journals nicely captures the fact that journal names are scoped to publishers (e.g., distinguishing IEEE Management Science from Elsevier Management Science). Both models equally failed the Person-Institution multiplicity by making it 1-to-1.
3. Rejected or checked issues: Model 1 uses the `abstract` keyword for `ScientificArticle`, but as per the forbidden penalties, marking or not marking a superclass as abstract without explicit requirement evidence cannot be used for scoring, so Model 2 is not penalized for omitting it. The lack of explicit bidirectional arrows or differences in multiplicity notations (`*` vs `0..*`) were correctly ignored as they are semantically equivalent.
4. Overall judgment: Model 2 provides a more accurate structural representation of the required data relationships, particularly for the associative `Authorship` class. Its structural correctness on this core requirement makes it the better functional model, outweighing its minor multiplicity flaw on reviewers.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</si>
  <si>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</si>
  <si>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models the intermediate class with `Authorship -- "1..*" Person` and `Authorship -- "1" ScientificArticle`, which forces multiple authors to share a single `Authorship` instance and therefore the exact same `position`. This significantly lowers cohesion. Model 2 correctly uses `Authorship` as a bridging concept with `1` to `*` relationships to both `Person` and `ScientificArticle` (`Person "1" -- "*" Authorship`), meaning each `position` is cohesively tied to one person and one article. Additionally, Model 2 uses composition (`Publisher "1" *-- "*" Journal`), which appropriately couples Journal lifecycle/identity to the Publisher, satisfying the domain requirement that journals can share names across different publishers.
2. Complexity: Model 1 = 4, Model 2 = 4; Evidence: Both models keep complexity balanced by extracting only the necessary classes required by the prompt without over-engineering. Both correctly utilize inheritance (`ScientificArticle &lt;|-- PeerReviewedPaper`). Model 1 uses `Set&lt;String&gt;` for `keywords` which accurately reflects the plural nature of the data, while Model 2 simplifies this to a single `String`, though both are acceptable. Both models overly simplify the employment relationship to 1-to-1 (`Person "1" -- "1" Institution` in Model 1; `Person "1" -- "1" ResearchInstitution` in Model 2), missing the reality that institutions have multiple staff members.
3. Practicability: Model 1 = 3, Model 2 = 4; Evidence: Model 2's structural mapping of the `Authorship` relationship provides a much more practical and implementable design for storing individual author positions. Model 1's mapping is unworkable for this specific requirement. However, Model 1 correctly identifies the "reviews" relationship as many-to-many (`Person "0..*" -- "0..*" PeerReviewedPaper : reviews`), which is practically necessary for peer-reviewed papers. Model 2 incorrectly restricts this to one reviewer per paper (`Person "1" -- "*" PeerReviewedPaper : reviews`). Despite the flaw in the reviews multiplicity, Model 2's sound foundation on the core authorship mapping and publisher-journal composition makes it more practical overall.
Total: Model 1 = 10, Model 2 = 13
Choice: B
Reason:
1. Cohesion and Decoupling: Model 2 provides a highly cohesive design by correctly mapping the `Authorship` join class so that the `position` attribute applies to a unique Person-Article pair. Model 1 links `Authorship` to `1..*` Persons, which breaks the cohesion of the `position` attribute. Model 2 also uses composition for the Publisher-Journal relationship, cleanly encapsulating the journal naming constraints.
2. Complexity: Both models extract a very similar, well-balanced set of classes and attributes. They both unfortunately simplify the employment relationship to a strict 1-to-1 multiplicity, but they perform equally well in keeping the diagram strictly aligned with the domain requirements.
3. Rejected or checked issues: I did not penalize Model 2 for omitting the `abstract` keyword on `ScientificArticle`, nor did I penalize either model for using `*` versus `0..*`, as these are forbidden penalties. 
4. Overall judgment: Model 2 is the better response. While Model 1 models the many-to-many reviewer relationship more accurately, Model 2 accurately structures the critical `Authorship` entity and the `Publisher`/`Journal` composition. Model 1's representation of `Authorship` linking to multiple persons fundamentally breaks the requirement to track the individual position of each author.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</si>
  <si>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</si>
  <si>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concepts as classes, extracting `Person`, `Institution` (or `ResearchInstitution`), `ScientificArticle`, `PeerReviewedPaper`, `TechnicalReport`, `Publisher`, `Journal`, and `Authorship`.
2. Associations/Multiplicities between classes for domain reasoning: Model 1 = 3, Model 2 = 4; Evidence: Model 2 expertly structurally represents `Authorship` as a junction class (mapping 1 `Person` and 1 `ScientificArticle` per instance) allowing each author a distinct `position`, and beautifully uses composition (`Publisher "1" *-- "*" Journal`) to reflect the dependent identity of journals mentioned in the text. Model 1 incorrectly associates `Authorship` with multiple persons (`Authorship -- "1..*" Person`), meaning multiple authors would erroneously share a single `position` value. However, Model 1 correctly maps the reviewer relationship as many-to-many (`Person "0..*" -- "0..*" PeerReviewedPaper`), while Model 2 restricts a paper to a single reviewer (`Person "1" -- "*" PeerReviewedPaper`). Additionally, both models share a domain flaw by restricting `Person` and `Institution` to a 1-to-1 relationship instead of a many-to-one relationship.
3. Model attributes with appropriate data types: Model 1 = 5, Model 2 = 4; Evidence: Both models accurately capture all required attributes like `DOI`, `title`, and `impactFactor`. Model 1 perfectly models the plural keywords attribute with `keywords : Set&lt;String&gt;`, whereas Model 2 uses a singular `String` type (`researchKeywords : String`), which is a minor type limitation for an inherently collection-based concept.
4. Consistencies of Terminology with given context: Model 1 = 5, Model 2 = 5; Evidence: Both models use highly consistent terminology directly lifted from the text (e.g., `PeerReviewedPaper`, `TechnicalReport`, `Publisher`). Model 2's `ResearchInstitution` aligns perfectly with the explicit prompt wording "research institutions".
5. Adherence of UML class diagram standards: Model 1 = 5, Model 2 = 5; Evidence: Both models use valid PlantUML syntax, proper inheritance notations (`&lt;|--`), and clear, standard-compliant association definitions.
Total: Model 1 = 23, Model 2 = 23
Choice: C
Reason:
1. Conceptual Classes &amp; Terminology: Both models expertly extract the necessary classes from the text and use terminology that tightly adheres to the domain requirements.
2. Associations &amp; Multiplicities: Model 2 is structurally superior in capturing the `Authorship` mapping class (ensuring each individual author gets a unique position mapped to a specific article) and effectively uses composition for `Publisher` and `Journal` to reflect dependent identity. Model 1 has a significant domain reasoning flaw by associating multiple persons to a single `Authorship` instance, functionally preventing the system from storing a unique position per author. However, Model 1 captures the reviewer multiplicity more accurately (many-to-many), whereas Model 2 restricts it to one reviewer per paper.
3. Attributes: Model 1 is slightly more precise with data types by utilizing `Set&lt;String&gt;` for the plural keywords requirement, while Model 2 resorts to a basic `String`.
4. Rejected Issues: I did not penalize the absence of the `abstract` keyword on `ScientificArticle` in Model 2, nor did I penalize the semantic equivalence of using `*` (Model 2) instead of `0..*` (Model 1), as both align strictly with the evaluation guidelines.
5. Overall Judgment: Both models exhibit strong domain understanding with balancing strengths and weaknesses. Model 1 provides slightly better data typing (`Set&lt;String&gt;`) and reviewer multiplicities, while Model 2 strongly excels in the structural reasoning of `Authorship` and the `Publisher`-`Journal` composition. Because the meaningful quality differences perfectly offset each other,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</si>
  <si>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</si>
  <si>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models the relationship between Person and Institution as 1-to-1 (`Person "1" -- "1" Institution`), improperly restricting institutions to a single person. Model 2 correctly models it as 1-to-many (`ResearchInstitution --&gt; "*" Person` and `Person --&gt; "1" ResearchInstitution`). For the author position requirement, Model 1 links `Authorship` to `1..*` Persons (`Authorship -- "1..*" Person`), meaning multiple persons share a single position record for an article. Model 2 correctly links `Authorship` to exactly `1` Person and `1` ScientificArticle. Both models successfully identify classes, attributes, and the inheritance hierarchy for scientific articles.
Total: Model 1 = 3, Model 2 = 5
Choice: B
Reason:
1. Alignment with Requirements: Model 2 perfectly models the entities, associations, and their multiplicities according to the provided requirements. It correctly identifies the 1-to-many relationship between institutions and staff, whereas Model 1 imposes an incorrect 1-to-1 constraint. Additionally, Model 2 properly represents `Authorship` as an intermediate concept that correctly resolves the many-to-many relationship between Person and ScientificArticle by linking exactly one Person to one Article per position, whereas Model 1 associates one position with multiple persons.
2. Rejected or checked issues: Model 2 utilizes two opposite unidirectional lines with single-quote comments to indicate bidirectional associations. As per the strict negative constraints, this was recognized as semantically equivalent to a single line and no penalty was applied. Both models correctly capture the disjoint inheritance for `PeerReviewedPaper` and `TechnicalReport`.
3. Overall judgment: Model 2 is superior because it flawlessly reflects the domain's cardinalities and structural constraints. Model 1 contains notable flaws in how it models employment multiplicity and author position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</si>
  <si>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</si>
  <si>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models `Authorship` coupling multiple persons to one article (`Authorship -- "1..*" Person`, `Authorship -- "1" ScientificArticle`), which conflates individual author contributions. Model 2 achieves better cohesion by ensuring an `Authorship` instance cleanly couples exactly one `Person` to one `ScientificArticle` (`Authorship --&gt; "1" Person`, `Authorship --&gt; "1" ScientificArticle`), representing a single author's contribution.
2. Complexity: Model 1 = 5, Model 2 = 5; Evidence: Both models strike a perfect balance in complexity by identifying the exact same 8 core domain classes (e.g., `Person`, `Institution`, `ScientificArticle`, `Authorship`) and using a simple 1-level inheritance tree for `PeerReviewedPaper` and `TechnicalReport`. Neither model over-engineers the solution.
3. Practicability: Model 1 = 3, Model 2 = 5; Evidence: Model 1 includes impractical multiplicities that contradict domain logic, such as `Person "1" -- "1" Institution` (implying an institution employs exactly one person) and `Authorship -- "1..*" Person` (which assigns a single `position` integer to a group of authors, violating the requirement to store the position of *each* author). Model 2 correctly applies `*` Persons to `1` ResearchInstitution, and uses `Authorship` to properly map `1` Person to `1` Article with an individual position.
Total: Model 1 = 12, Model 2 = 15
Choice: B
Reason:
1. Cohesion and Decoupling: Model 2 exhibits better cohesion by properly isolating the `Authorship` mapping class to link one person and one article. Model 1 groups multiple persons into one authorship, weakening the conceptual cohesion of an individual author's role.
2. Complexity: Both models successfully manage complexity by avoiding unnecessary classes, keeping methods/attributes concise, and properly abstracting the `ScientificArticle` hierarchy.
3. Practicability: Model 2 is highly practical and ready for implementation. It correctly captures the domain rules and multiplicities. Model 1 contains fatal domain logic errors: it restricts institutions to a single person and fails to allocate a unique authorship position per individual author because of its `1..*` multiplicity on the `Authorship`-`Person` link.
4. Rejected or checked issues: Model 2 uses split unidirectional associations (e.g., `Person --&gt; "1" ResearchInstitution` and `ResearchInstitution --&gt; "*" Person`) and end-of-line comments (e.g., `'opposite employs`). Per the evaluation guidelines, these are 100% semantically equivalent to standard bidirectional lines and are tooling annotations; therefore, Model 2 was not penalized for these styles. 
5. Overall judgment: Model 2 is superior. It flawlessly represents the structural requirements and multiplicities of the domain, whereas Model 1 struggles with real-world mapping logic for institutions and authorships.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</si>
  <si>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</si>
  <si>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key domain classes including Person, Institution (or ResearchInstitution), ScientificArticle, PeerReviewedPaper, TechnicalReport, Publisher, Journal, and an Authorship intermediary class.
2. Associations/Multiplicities between classes for domain reasoning: Model 1 = 3, Model 2 = 5; Evidence: Model 1 incorrectly models the relationship between Person and Institution as 1-to-1 (`Person "1" -- "1" Institution`), wrongly implying an institution can only employ one person. Additionally, Model 1 links `Authorship` to a group of people (`Authorship -- "1..*" Person`) and 1 Article, meaning a single `position` attribute would apply to the whole group rather than individuals. Model 2 correctly models a one-to-many relationship for Institutions to Persons (`ResearchInstitution --&gt; "*" Person`), and sets `Authorship` to link exactly `1` Person and `1` ScientificArticle, allowing the `position` to correctly map to a single author per article.
3. Model attributes with appropriate data types: Model 1 = 5, Model 2 = 5; Evidence: Both models accurately capture all required attributes and assign proper data types (e.g., `citationCount: int`, `impactFactor: double`, `DOI: String`, `position: int`).
4. Consistencies of Terminology with given context: Model 1 = 5, Model 2 = 5; Evidence: Both models use domain-accurate terminology directly from the requirements, including TechnicalReport, PeerReviewedPaper, impactFactor, and DOI.
5. Adherence of UML class diagram standards: Model 1 = 5, Model 2 = 5; Evidence: Both models use valid PlantUML notation. Per the evaluation rules, Model 2's use of two opposite unidirectional associations is semantically equivalent to bidirectional associations and is fully acceptable.
Total: Model 1 = 23, Model 2 = 25
Choice: B
Reason:
1. Appropriate conceptual classes aligned with the domain: Both models successfully capture the object-oriented structure of the domain, including inheritance for articles and an explicit class for Authorship to hold the position data.
2. Associations/Multiplicities between classes for domain reasoning: Model 2 is much better. Model 1 introduces domain-breaking multiplicity errors: it restricts an institution to a single person and fails to properly map the many-to-many authorship relation, instead grouping multiple persons under a single Authorship record (which ruins the per-author `position` logic). Model 2 correctly structures all relationships, including 1-to-many for employment and 1-to-1 constraints radiating from the associative Authorship class.
3. Model attributes with appropriate data types: Both models are excellent and successfully capture the required fields with logical data types.
4. Consistencies of Terminology with given context: Both models perfectly align their terminology with the provided requirement text.
5. Adherence of UML class diagram standards: Both models are properly formatted. 
6. Rejected or checked issues: I explicitly did not penalize Model 2 for using two opposite unidirectional associations (e.g., `A --&gt; B` and `B --&gt; A`), nor for its inline single-quote comments, as both are forbidden penalties and semantically valid. 
7. Overall judgment: Model 2 is chosen as the winner because it accurately translates the domain logic into correct multiplicities and relational mapping for authorship and employment, whereas Model 1 makes critical errors in its structural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</si>
  <si>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</si>
  <si>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restricts the employment relationship to 1-to-1 (`Person "1" -- "1" ResearchInstitution`) and limits papers to a single reviewer (`Person "1" -- "*" PeerReviewedPaper`). Model 2 correctly captures the many-to-one nature of employment (`ResearchInstitution --&gt; "*" Person`) and the many-to-many nature of reviewing (`PeerReviewedPaper --&gt; "*" Person` and `Person --&gt; "*" PeerReviewedPaper`). Both correctly model the `Authorship` class with the `position` attribute and the `ScientificArticle` inheritance.
Total: Model 1 = 3, Model 2 = 5
Choice: B
Reason:
1. Alignment with Requirements: Both models do an excellent job extracting the conceptual classes (`Person`, `ResearchInstitution`, `ScientificArticle`, `PeerReviewedPaper`, `TechnicalReport`, `Publisher`, `Journal`) and identifying the need for an `Authorship` class to store the `position` of multiple authors. They also both correctly implement the inheritance hierarchy for articles. However, Model 1 fails on crucial domain multiplicities. It defines `Person "1" -- "1" ResearchInstitution`, incorrectly implying an institution can only have one person working for it. It also defines `Person "1" -- "*" PeerReviewedPaper : reviews`, restricting a peer-reviewed paper to exactly one reviewer. Model 2 correctly maps these as many-to-one and many-to-many relationships, respectively. 
2. Rejected or checked issues: Model 2 uses two opposite unidirectional associations with single-quote comments at the end of the lines (e.g., `Person --&gt; "1" ResearchInstitution : worksFor 'opposite employs`). In accordance with the general rules, this style and the PlantUML comments were strictly ignored for scoring and treated as fully valid bidirectional associations. Model 1's use of composition for Publisher/Journal (`*--`) is slightly more precise for the weak entity requirement, but Model 2's standard association is acceptable and Model 1's severe multiplicity errors outweigh this detail.
3. Overall judgment: Model 2 is much better because it accurately models the cardinalities of the business rules. Model 1 introduces overly restrictive and incorrect constraints on institutions and reviewers that violate the basic realities of the required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</si>
  <si>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</si>
  <si>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and low coupling by properly isolating concepts. For instance, both models create an `Authorship` class to decouple `Person` and `ScientificArticle` and handle the `position` attribute. Both separate `Publisher` and `Journal` appropriately into distinct classes.
2. Complexity: Model 1 = 5, Model 2 = 5; Evidence: Both models have identical complexity metrics: 9 classes, 0 methods, and an inheritance depth of 1 (`PeerReviewedPaper` and `TechnicalReport` inheriting from `ScientificArticle`). Both successfully discern between conceptual classes and attributes, correctly keeping identifiers and data like `doi`, `personId`/`personID`, and `impactFactor` as attributes within their respective classes instead of making them separate overly-complex classes.
3. Practicability: Model 1 = 3, Model 2 = 5; Evidence: Model 2 provides a much more practical and realistic representation of the domain multiplicities. Model 1 defines an impractical 1-to-1 relationship for employment (`Person "1" -- "1" ResearchInstitution`), implying an institution employs only one person. Model 1 also defines a 1-to-many relationship for reviewing (`Person "1" -- "*" PeerReviewedPaper`), implying a paper has exactly one reviewer. Model 2 correctly models these as many-to-one (`ResearchInstitution --&gt; "*" Person`) and many-to-many (`PeerReviewedPaper --&gt; "*" Person`, `Person --&gt; "*" PeerReviewedPaper`). Furthermore, Model 2 uses a `List&lt;String&gt;` for `researchKeywords`, which practically handles multiple keywords, whereas Model 1 uses a single `String`.
Total: Model 1 = 13, Model 2 = 15
Choice: B
Reason:
1. Cohesion and Decoupling: Both models perform equally well, utilizing the `Authorship` class to cleanly resolve the many-to-many relationship between persons and articles while effectively encapsulating the author's position.
2. Complexity: The models exhibit the exact same level of complexity in terms of class count (9) and inheritance depth (1), appropriately balancing domain requirements without over-engineering.
3. Practicability: Model 2 is significantly more practical for real-world application. Model 1 contains restrictive and unrealistic multiplicities (e.g., an institution employing only one person, a paper having exactly one reviewer). Model 2 uses accurate multiplicities that reflect the domain and practically types plural attributes (`List&lt;String&gt;` for keywords).
4. Rejected or checked issues: Model 2 uses two opposite unidirectional associations (e.g., `Person --&gt; "1" ResearchInstitution` and `ResearchInstitution --&gt; "*" Person`) instead of a single bidirectional line. As per the strict negative constraints, this is 100% semantically equivalent and was not penalized. Model 2's single-quote comments and layout `skinparam` configurations were also appropriately ignored during evaluation.
5. Overall judgment: Model 2 is chosen as the better response because it accurately captures the real-world multiplicities and data structures of the domain, whereas Model 1 contains multiple modeling errors regarding basic associations. Both models are structurally solid, but Model 2's attention to practicability makes it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</si>
  <si>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</si>
  <si>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`Person`, `ResearchInstitution`, `ScientificArticle`, `PeerReviewedPaper`, `TechnicalReport`, `Publisher`, and `Journal`. Both also correctly introduce an intermediate class (`Authorship`) to capture the position of each author.
2. Associations/Multiplicities between classes for domain reasoning: Model 1 = 3, Model 2 = 5; Evidence: Model 1 incorrectly restricts the relationship between Person and ResearchInstitution to strictly one-to-one (`Person "1" -- "1" ResearchInstitution`), implying an institution only employs one person. Furthermore, Model 1 restricts a peer-reviewed paper to having exactly one reviewer (`Person "1" -- "*" PeerReviewedPaper : reviews`). Model 2 accurately captures the domain by making the employment relationship one-to-many (`ResearchInstitution --&gt; "*" Person`) and the reviewer relationship many-to-many (`PeerReviewedPaper --&gt; "*" Person` and `Person --&gt; "*" PeerReviewedPaper`).
3. Model attributes with appropriate data types: Model 1 = 5, Model 2 = 5; Evidence: Both models correctly assign the required attributes with appropriate data types (e.g., `DOI` as String, `citationCount` as int/integer). For research topics, Model 1 uses a single `String` for `researchKeywords`, while Model 2 uses a `List&lt;String&gt;`, both of which are acceptable ways to store the keywords. 
4. Consistencies of Terminology with given context: Model 1 = 5, Model 2 = 5; Evidence: Both models use terminology perfectly consistent with the provided text, properly naming entities like `TechnicalReport`, `PeerReviewedPaper`, and `impactFactor`.
5. Adherence of UML class diagram standards: Model 1 = 5, Model 2 = 5; Evidence: Both models use valid PlantUML syntax and follow standard UML notation for classes, attributes, and relationships. 
Total: Model 1 = 23, Model 2 = 25
Choice: B
Reason:
1. Associations/Multiplicities: Model 2 correctly understands and implements the domain relationships. It correctly captures that an institution employs many persons and that a peer-reviewed paper can be reviewed by multiple people. Model 1 fails on these counts by using a strict 1-to-1 multiplicity for the institution-person relationship and a 1-to-many multiplicity for the reviewer-paper relationship. 
2. Rejected or checked issues: Model 2 uses pairs of opposite unidirectional associations (e.g., `A --&gt; B` and `B --&gt; A`) and includes single-quote comments. In accordance with the evaluation guidelines, these are completely semantically equivalent to single bidirectional lines and are ignored as penalties. Model 1's use of a composition relationship between `Publisher` and `Journal` is an elegant way to handle the overlapping journal names, but Model 2's standard association is also acceptable and does not outweigh Model 1's critical multiplicity flaws.
3. Overall judgment: Model 2 is chosen as the better model because it accurately reflects the domain multiplicities for institutions, employees, and reviewers, whereas Model 1 introduces significant logical misrepresentations in those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</si>
  <si>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</si>
  <si>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Both models capture the core conceptual classes (Person, Institution, ScientificArticle, etc.), their attributes, and the inheritance hierarchy accurately. Model 1 correctly models the `Authorship` reified association class by linking exactly one Person and one ScientificArticle per Authorship instance (`Person "1" -- "*" Authorship`, `ScientificArticle "1" -- "*" Authorship`), which correctly allows a unique `position` attribute per author per article. Model 2 incorrectly links `Authorship` to multiple Persons (`Authorship -- "1..*" Person`), meaning multiple authors would structurally share a single `position` attribute. Additionally, Model 1 smartly uses a composition relationship (`Publisher "1" *-- "*" Journal`) which correctly reflects the domain requirement that journals are weak entities dependent on publishers for identity ("Publishers can have journals with the same name as other publishers"). However, Model 1 incorrectly models the reviewer relationship as 1-to-many (`Person "1" -- "*" PeerReviewedPaper`), improperly restricting a peer-reviewed paper to a single reviewer. Model 2 correctly handles the reviewer multiplicity as many-to-many (`Person "0..*" -- "0..*" PeerReviewedPaper`) and correctly uses a collection (`Set&lt;String&gt;`) for multiple keywords.
Total: Model 1 = 4, Model 2 = 3
Choice: A
Reason:
1. Alignment with Requirements: Model 1 provides a structurally sound representation of the `Authorship` association, correctly assigning the `position` attribute to a single author-article link. In contrast, Model 2's multiplicity of `1..*` on the Person side of `Authorship` makes the `position` attribute semantically flawed, as a group of authors would incorrectly share one position integer.
2. Model 1 correctly applies UML composition to the `Publisher` and `Journal` relationship (`*--`), effectively translating the business rule that a journal's name is only unique within the context of its publisher. Model 2 misses this nuance by using a standard association.
3. Rejected or checked issues: Model 1's restriction of one reviewer per paper is a multiplicity flaw, but it is far less structurally destructive than Model 2's invalid association class design for authorship. Model 2's use of `Set&lt;String&gt;` for keywords is a good implementation detail, but does not compensate for the domain modeling errors in associations.
4. Overall judgment: Model 1 is the better response because its class structures, cardinalities, and relationship types (especially composition and reified associations) map much more accurately to the complex business rules of the prompt, despite a minor oversight on the reviewer cardinality.```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</si>
  <si>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</si>
  <si>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many-to-many relationship between `Person` and `ScientificArticle` by using `Authorship` as an intermediate class with two one-to-many associations (`Person "1" -- "*" Authorship` and `ScientificArticle "1" -- "*" Authorship`), ensuring high cohesion where each `Authorship` instance uniquely holds one position for one person. Model 2 reduces cohesion by linking `Authorship` to multiple persons (`Authorship -- "1..*" Person`), meaning multiple authors would incorrectly share the same `position` attribute instance.
2. Complexity: Model 1 = 5, Model 2 = 5; Evidence: Both models maintain an appropriate and balanced complexity level. They both utilize 8 classes, zero methods (focusing appropriately on data structure), and a shallow inheritance tree with a depth of 1 (`PeerReviewedPaper` and `TechnicalReport` extending `ScientificArticle`). Both accurately discern conceptual classes from attributes without introducing unnecessary elements.
3. Practicability: Model 1 = 4, Model 2 = 3; Evidence: Model 1 practically addresses the requirement that journals from different publishers can share the same name by using composition (`Publisher "1" *-- "*" Journal`), effectively indicating that a journal's identity is dependent on its publisher in a real-world scenario. However, its reviewer multiplicity (`Person "1" -- "*" PeerReviewedPaper`) restrictively implies exactly one reviewer per paper. Model 2 correctly allows multiple reviewers (`Person "0..*" -- "0..*" PeerReviewedPaper`), but its `Authorship` multiplicity flaw makes reliably storing individual author positions impractical, and it misses the composition relationship for publishers and journals.
Total: Model 1 = 14, Model 2 = 11
Choice: A
Reason:
1. Cohesion and Decoupling: Model 1 correctly structures the `Authorship` class to map exactly one `Person` to one `ScientificArticle`, making the `position` attribute highly cohesive and accurate. Model 2 fails here by allowing multiple `Person`s per `Authorship`, which breaks the mapping of individual author positions.
2. Complexity: Both models perform excellently in managing complexity. They share identical metrics for the number of classes, methods, and inheritance depth, perfectly aligning with the domain's scope without over-engineering.
3. Practicability: Model 1 offers a more viable real-world design by using composition to handle the overlapping journal names across publishers (`Publisher *-- Journal`). Although Model 2 provides a more realistic many-to-many association for paper reviewers, its structural flaw in `Authorship` renders it incapable of properly satisfying the author position requirement.
4. Rejected or checked issues: The use of `*` in Model 1 versus `0..*` in Model 2 are semantically identical and were not penalized. Similarly, the fact that `ScientificArticle` is explicitly marked as `abstract` in Model 2 but not in Model 1 was not penalized, as the requirement does not mandate a specific instantiation rule for the superclass.
5. Overall judgment: Model 1 is the better response. Its structure for the intermediate `Authorship` class correctly fulfills the specific requirement to store each author's position, and its use of composition elegantly models the publisher-journal naming constraint. Model 2's critical multiplicity error on the `Authorship` class significantly degrades its utility for fulfilling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</si>
  <si>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</si>
  <si>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classes explicitly and implicitly required by the text: `Person`, `ScientificArticle`, `PeerReviewedPaper`, `TechnicalReport`, `Publisher`, `Journal`, and an intermediate `Authorship` class to capture the position of multiple authors.
2. Associations/Multiplicities between classes for domain reasoning: Model 1 = 4, Model 2 = 3; Evidence: Model 1 correctly structures the N:M authorship relationship by splitting it into two 1:N relationships to the intermediate class (`Person "1" -- "*" Authorship` and `ScientificArticle "1" -- "*" Authorship`), ensuring each author-article pair gets a unique `position`. Model 2 defines `Authorship -- "1..*" Person`, connecting multiple persons to one authorship instance, which logically forces them to share the same `position` integer. Model 1 excels by using composition (`Publisher "1" *-- "*" Journal`), beautifully supporting the domain rule that journals can share names across different publishers (composite identity). On the downside, Model 1 limits `reviews` to 1:N (`Person "1" -- "*" PeerReviewedPaper`), while Model 2 correctly identifies it as N:M (`"0..*" -- "0..*"`). Both incorrectly restrict `works for` to a 1:1 relationship instead of many-to-1.
3. Model attributes with appropriate data types: Model 1 = 4, Model 2 = 5; Evidence: Model 2 accurately uses a collection type `Set&lt;String&gt;` for `keywords`, matching the plural "keywords" requirement. Model 1 uses a singular `String` for `researchKeywords`, which is less precise for a collection of topics. Both correctly identify identifiers (`personID`, `institutionCode`, `DOI`) and numeric types (`citationCount`, `impactFactor`, `position`).
4. Consistencies of Terminology with given context: Model 1 = 5, Model 2 = 4; Evidence: Model 1 uses `ResearchInstitution` and `researchKeywords`, which perfectly mirrors the terminology in the prompt ("research institutions", "research topics"). Model 2 uses the slightly abbreviated `Institution` and `keywords`.
5. Adherence of UML class diagram standards: Model 1 = 5, Model 2 = 4; Evidence: Model 1 maintains excellent PlantUML syntax with explicitly defined multiplicities on both ends of its standard associations. Model 2 omits multiplicities on the `Authorship` side of its associations (e.g., `Authorship -- "1..*" Person`), which defaults to 1 in UML and causes the structural/semantic ambiguity mentioned above.
Total: Model 1 = 23, Model 2 = 21
Choice: A
Reason:
1. Appropriate conceptual classes aligned with the domain: Both models are well-aligned, extracting the necessary generalization hierarchies and intermediate classes.
2. Associations/Multiplicities between classes for domain reasoning: Model 1 demonstrates a much stronger grasp of modeling an association class via an intermediate entity. By using standard 1:N mappings to `Authorship`, it guarantees the `position` attribute applies uniquely to a specific author on a specific article. Model 2's mapping connects an article's `Authorship` to multiple `Person`s, breaking the assignment of individual positions. Additionally, Model 1 intelligently leverages composition (`*--`) to fulfill the requirement that journals with the same name are distinguished by their publisher. 
3. Model attributes with appropriate data types: Model 2 is slightly better here by using `Set&lt;String&gt;` for keywords, capturing the plural nature of the attribute better than Model 1's scalar `String`.
4. Consistencies of Terminology with given context: Model 1 strictly adheres to the prompt's exact phrasing (`ResearchInstitution`).
5. Adherence of UML class diagram standards: Model 1 writes strict, fully-specified PlantUML associations, whereas Model 2 leaves implicit multiplicities on its intermediate class, worsening clarity.
6. Rejected or checked issues: I did not penalize Model 2 for using `0..*` versus Model 1 using `*`, nor did I reward Model 2 for explicitly marking `ScientificArticle` as `abstract` since the requirement does not explicitly demand preventing direct instantiation.
7. Overall judgment: Model 1 is the superior model. While Model 2 correctly spots the N:M nature of peer reviews and uses a `Set` for keywords, Model 1 has a fundamentally sound structural mapping of the core intermediate class (`Authorship`) and employs composition effectively to solve complex identity requirements, making it much more accurate for real-world domain implementation.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</si>
  <si>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</si>
  <si>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</si>
  <si>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</si>
  <si>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accurately capture the required classes (Provider, Cruise, Employee, Guest, Ship, TravelAgency, Booking, DestinationArea, Show, Ticket) and their attributes. However, Model 2 uses a 1-to-1 multiplicity between `Cruise` and `Provider` (`Cruise "1" -- "1" Provider`), which unrealistically implies a provider organizes only one cruise. Model 1 correctly represents this as a one-to-many relationship (`Provider --&gt; "*" Cruise` and `Cruise --&gt; "1" Provider`). Furthermore, Model 1 uses the exact attribute name `numberOfPassengers` for the Ship class, whereas Model 2 uses `passengerCapacity`.
Total: Model 1 = 5, Model 2 = 4
Choice: A
Reason:
1. Alignment with Requirements: Both models translate the textual requirements into appropriate classes, attributes, and associations. They both correctly identify the associations for tickets, bookings, guests, and cruises. However, Model 1 is more accurate in its cardinalities. By assigning a 1-to-many multiplicity between `Provider` and `Cruise`, it adheres better to domain logic where a single provider organizes multiple cruises. Model 2 restricts this to an unrealistic 1-to-1 relationship. Model 1 also correctly maps the "many employees" requirement with a `1..*` multiplicity (`Cruise --&gt; "1..*" Employee`), whereas Model 2 just uses `*`.
2. Rejected or checked issues: Model 1 uses two opposite unidirectional associations (e.g., `Cruise --&gt; "1" Provider` and `Provider --&gt; "*" Cruise`) and single-quote comments (`'opposite...`). As explicitly stated in the forbidden penalties, these are standard annotations and are 100% semantically equivalent to a single bidirectional line. Thus, no points were deducted from Model 1 for this styling. 
3. Overall judgment: Model 1 is the better response. It perfectly captures all the entities and relationships while providing more precise and realistic multiplicities (cardinalities) for the domain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</si>
  <si>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</si>
  <si>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define highly cohesive classes mapping directly to the domain concepts (`Provider`, `Cruise`, `Guest`, etc.). However, Model 1 correctly models the coupling by establishing a `Provider --&gt; "*" Cruise` and `Cruise --&gt; "1" Provider` relationship, accurately reflecting that a provider is distinct from and can handle multiple cruises. Model 2 restricts this with a `Cruise "1" -- "1" Provider` association, tightly coupling a provider to exactly one cruise.
2. Complexity: Model 1 = 5, Model 2 = 5; Evidence: Both models maintain an appropriate and identical level of complexity by utilizing 11 core classes without over-engineering. They correctly discern between conceptual classes (`Employee`, `Ship`, `Booking`) and their scalar properties (`socialSecurityNumber`, `numberOfDecks`, `bookingDate`), mapping them efficiently to attributes.
3. Practicability: Model 1 = 5, Model 2 = 4; Evidence: Model 1 is more practical for real-world software design because its multiplicities support realistic business rules. For instance, a `Provider` can organize many cruises, and a `Show` can be offered on many cruises (`Cruise --&gt; "*" Show` and `Show --&gt; "*" Cruise`). Model 2's `1` to `1` multiplicity between `Cruise` and `Provider` is impractical for a real application, as a business provider would naturally organize multiple cruises. 
Total: Model 1 = 15, Model 2 = 13
Choice: A
Reason:
1. Cohesion and Decoupling: Model 1 correctly maps the domain relationships with a 1-to-many relationship between Provider and Cruise. Model 2 establishes a rigid 1-to-1 relationship (`Cruise "1" -- "1" Provider`), which introduces an artificially tight coupling that contradicts standard domain logic where a single provider entity organizes multiple events.
2. Practicability: Model 1 provides a more robust, scalable representation of the business domain. It allows providers to organize multiple cruises and shows to be reused across different itineraries. Model 2's strict 1-to-1 restriction on the Provider makes the design unviable for a standard travel or cruise agency software system.
3. Rejected or checked issues: Model 1 uses paired opposite unidirectional associations (e.g., `Cruise --&gt; "1" Provider` and `Provider --&gt; "*" Cruise`) along with single-quote PlantUML comments (e.g., `'opposite cruises`). In accordance with the strict guidelines, these are treated as 100% semantically equivalent to bidirectional lines and standard tooling annotations, so no points were deducted. Additionally, the use of primitive aliases (`int` vs `Integer`) and ID naming (`ticketNumber` vs `ticketId`) were correctly ignored as penalizing factors.
4. Overall judgment: Model 1 is better because it demonstrates a superior understanding of real-world domain multiplicities (particularly regarding Providers and Shows) while maintaining the same excellent structural complexity and cohesion as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</si>
  <si>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</si>
  <si>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necessary domain classes required by the prompt, including Cruise, Provider, Employee, Guest, Ship, TravelAgency, Booking, DestinationArea, Show, and Ticket.
2. Associations/Multiplicities between classes for domain reasoning: Model 1 = 5, Model 2 = 4; Evidence: Model 1 accurately models the relationship between Cruise and Provider as Many-to-1 (`Cruise --&gt; "1" Provider` and `Provider --&gt; "*" Cruise`). Model 2 models this relationship as 1-to-1 (`Cruise "1" -- "1" Provider`), which unrealistically implies a cruise provider can only organize a single cruise. Both models correctly handle the other complex associations, such as Ticket mapping to Cruise/Guest and Booking mapping to TravelAgency/Cruise.
3. Model attributes with appropriate data types: Model 1 = 5, Model 2 = 5; Evidence: Both models include all required attributes with sensible data types. Model 1 uses the exact terminology `numberOfPassengers: int`, while Model 2 uses a reasonable synonym `passengerCapacity: Integer`. Both logically add a standard identifier for Ticket (`ticketNumber` in Model 1, `ticketId` in Model 2), which is an acceptable design choice.
4. Consistencies of Terminology with given context: Model 1 = 5, Model 2 = 5; Evidence: Terminology in both models is highly consistent with the provided text.
5. Adherence of UML class diagram standards: Model 1 = 5, Model 2 = 5; Evidence: Both models use valid PlantUML notation. Per the evaluation guidelines, Model 1's use of paired opposite-direction unidirectional associations and single-quote comments are treated as fully valid and 100% semantically equivalent to standard bidirectional lines. Model 2 correctly uses standard bidirectional syntax.
Total: Model 1 = 25, Model 2 = 24
Choice: A
Reason:
1. Associations/Multiplicities between classes for domain reasoning: Model 1 correctly captures the business reality that a Provider can organize multiple Cruises (a 1-to-many relationship), whereas Model 2 unnecessarily restricts the Cruise-Provider relationship to 1-to-1.
2. Adherence of UML class diagram standards: Both models follow the standards. Model 1's use of opposite-direction unidirectional associations with tooling comments is fully protected by the evaluation guidelines and is considered perfectly equivalent to Model 2's bidirectional lines.
3. Rejected or checked issues: I did not penalize Model 1 for using two unidirectional arrows or single-quote comments for its associations, as the rules strictly forbid this penalty. Additionally, neither model captured the complex constraint "only one ticket per cruise" for a Guest. Because this typically requires an OCL constraint or an association class, capturing the baseline 1-to-many associations is standard and no penalty was applied to either model.
4. Overall judgment: Model 1 is slightly better because it provides a more accurate multiplicity for the Cruise-Provider relationship, whereas Model 2 introduces a restrictive 1-to-1 limitation. Both models perform excellently across all other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</si>
  <si>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</si>
  <si>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2; Evidence: Model 1 accurately captures all cardinalities, such as `Cruise --&gt; "1" Ship` and `Ship --&gt; "*" Cruise`, which correctly represents the requirement "A ship can be used for different cruises". Model 1 also correctly establishes a many-to-many relationship for guests and cruises (`Cruise --&gt; "*" Guest`, `Guest --&gt; "*" Cruise`). Model 2 fails on multiple cardinalities: it defines `Cruise "1" -- "1" Ship`, directly contradicting the requirement that a ship can be used for different cruises. Model 2 also has contradictory, duplicate relationships for guests and cruises (`Cruise "1" -- "0..*" Guest` and `Guest "0..*" -- "0..*" Cruise`) and incorrectly assigns a many-to-many relationship between Guest and Ticket (`Guest "0..*" -- "0..*" Ticket`). Furthermore, Model 2 links `Booking "1" -- "1" Ticket` but fails to relate the Booking directly to the Cruise or the Guest.
Total: Model 1 = 5, Model 2 = 2
Choice: A
Reason:
1. Alignment with Requirement: Model 1 accurately maps all required classes, attributes, and relationships with correct cardinalities based on the text. Model 2 introduces several severe cardinality errors (e.g., restricting a Ship to exactly one Cruise, allowing a Ticket to be shared by multiple Guests) and includes contradictory duplicate relationships. Model 1 also correctly links Bookings to Travel Agencies, Guests, and Cruises, whereas Model 2 leaves Bookings disconnected from the Cruise itself.
2. Rejected or checked issues: Model 1 uses paired unidirectional associations (e.g., `A --&gt; B` and `B --&gt; A`) and single-quote comments (`'opposite...`), which are explicitly treated as valid bidirectional associations and standard annotations per the forbidden penalties list, resulting in no penalties. The complex constraint "only one ticket per cruise" per guest is not explicitly enforced with OCL in either model, but Model 1 provides the correct foundational associations to support it. 
3. Overall judgment: Model 1 is far superior due to its strict adherence to the business logic, relationships, and cardinalities described in the requirements, whereas Model 2 misinterprets and contradicts several key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</si>
  <si>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</si>
  <si>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exhibits excellent domain cohesion by properly utilizing `Booking` to logically link `TravelAgency`, `Cruise`, and `Guest` together. Model 2 fragments the domain logic by linking `Booking` only to `TravelAgency` and `Ticket` (`Booking "1" -- "1" Ticket`), completely omitting the necessary association between a `Booking` and a `Cruise`.
2. Complexity: Model 1 = 5, Model 2 = 3; Evidence: Both models successfully identify the core conceptual classes without over-engineering attributes into unnecessary classes. However, Model 1 correctly captures the complexity of the domain's multiplicities, such as the 1-to-many relationship between `Ship` and `Cruise` (`Ship --&gt; "*" Cruise`). Model 2 under-represents this complexity by incorrectly reducing it to a 1-to-1 relationship (`Cruise "1" -- "1" Ship`), ignoring the rule that a ship can be used for different cruises. 
3. Practicability: Model 1 = 5, Model 2 = 2; Evidence: Model 1 provides a readable, understandable, and highly practical structure where multiplicities align with business constraints (e.g., `Ticket --&gt; "1" Cruise` and `Guest --&gt; "*" Ticket`). Model 2 is impractical for real-world testing and implementation due to logical contradictions; it defines both a 1-to-many (`Cruise "1" -- "0..*" Guest`) and a many-to-many (`Guest "0..*" -- "0..*" Cruise`) relationship for the exact same entity pair, and incorrectly models `Guest` to `Ticket` as many-to-many (`Guest "0..*" -- "0..*" Ticket`).
Total: Model 1 = 15, Model 2 = 8
Choice: A
Reason:
1. Cohesion and Decoupling: Model 1 establishes logical and cohesive links across the system, accurately treating `Booking` as a central associative concept between the agency, cruise, and guest. Model 2 poorly couples `Booking` to `Ticket` in a 1:1 relationship while missing the fundamental link to the `Cruise` itself.
2. Complexity: Both diagrams keep the class count appropriate for the domain. However, Model 1 succeeds at conveying the structural complexity of the requirements through correct multiplicities. Model 2 struggles with this, forcing incorrect 1-to-1 relationships for elements that are shared over time (like `Ship`).
3. Practicability: Model 1 is completely sound and accurately translates all textual constraints into valid, implementable associations. Model 2 contains duplicate/conflicting associations for Guests and Cruises, and erroneous many-to-many relationships for Tickets, making it unviable for actual database or software design.
4. Rejected or checked issues: I explicitly ignored Model 1's use of two opposite unidirectional associations (e.g., `Cruise --&gt; "1" Provider` and `Provider --&gt; "*" Cruise`) and its PlantUML single-quote comments (`'opposite cruises`). Per the evaluation guidelines, these are completely valid and semantically equivalent to a single bidirectional line, so they received no penalty.
5. Overall judgment: Model 1 is substantially better. It accurately grasps the business rules, assigns correct multiplicities, and flawlessly maps the relational structures without any logical contradictions. Model 2 struggles significantly with multiplicities and relationship 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</si>
  <si>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</si>
  <si>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conceptual classes perfectly, such as `Cruise`, `Provider`, `Guest`, `Ship`, `Booking`, and `DestinationArea`.
2. Associations/Multiplicities between classes for domain reasoning: Model 1 = 5, Model 2 = 2; Evidence: Model 1 captures all domain relationships and multiplicities accurately (e.g., multiple cruises per ship, multiple bookings per cruise). Model 2 models `Cruise "1" -- "1" Ship`, contradicting the requirement "A ship can be used for different cruises". It provides two contradictory associations between Guest and Cruise (`Cruise "1" -- "0..*" Guest` and `Guest "0..*" -- "0..*" Cruise`), and it connects `Booking` to `Ticket` (`Booking "1" -- "1" Ticket`) without any link to `Cruise`.
3. Model attributes with appropriate data types: Model 1 = 5, Model 2 = 5; Evidence: Both models correctly capture all required attributes and assign reasonable data types (e.g., `numberOfDecks: int` / `Integer`, `duration: double` / `Integer`, `isVip: boolean` / `isVIP: Boolean`).
4. Consistencies of Terminology with given context: Model 1 = 5, Model 2 = 5; Evidence: Both models use terms identical to the prompt (e.g., `socialSecurityNumber`, `DestinationArea`, `TravelAgency`, `seaName`).
5. Adherence of UML class diagram standards: Model 1 = 5, Model 2 = 4; Evidence: Model 1 uses standard PlantUML syntax perfectly. Model 2 is syntactically valid but includes logically redundant duplicate associations (two lines between Guest and Cruise) which creates diagrammatic confusion.
Total: Model 1 = 25, Model 2 = 21
Choice: A
Reason:
1. Appropriate conceptual classes aligned with the domain: Both models are excellent and capture all necessary classes required by the prompt without introducing irrelevant entities.
2. Associations/Multiplicities between classes for domain reasoning: Model 1 accurately models the complex multiplicities requested by the prompt. Model 2 fails on multiple counts: it makes the Ship-Cruise relationship 1:1 which contradicts the text, it creates conflicting duplicate relationships between Guest and Cruise, and it fails to link a Booking to a Cruise.
3. Model attributes with appropriate data types: Both models successfully identify all attributes with appropriate types.
4. Consistencies of Terminology with given context: Both models perfectly match the terminology used in the requirements.
5. Adherence of UML class diagram standards: Model 1 adheres perfectly to UML standards. Model 2 has a slight logical flaw in its UML structure by defining two separate associations between the same two classes (`Guest` and `Cruise`) with conflicting multiplicities.
6. Rejected or checked issues: Following the strict evaluation guidelines, Model 1 was NOT penalized for using two opposite unidirectional associations with single-quote comments (e.g., `Cruise --&gt; "1" Provider: organizedBy 'opposite cruises`) instead of bidirectional lines. These are semantically equivalent. Additionally, differences in primitive type casing (`int` vs `Integer`, `boolean` vs `Boolean`) were ignored.
7. Overall judgment: Model 1 is significantly better because it maps the domain relationships, constraints, and multiplicities accurately, whereas Model 2 suffers from critical association errors that contradict the provided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</si>
  <si>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</si>
  <si>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correctly maps the relationship between Ship and Cruise as `Cruise "*" -- "1" Ship`, perfectly aligning with the requirement "A ship can be used for different cruises." Model 2 incorrectly restricts this to `Cruise "1" -- "1" Ship`. Model 2 also contains contradictory and duplicate associations for Guest and Cruise (`Cruise "1" -- "0..*" Guest` and `Guest "0..*" -- "0..*" Cruise`), and restricts a Destination Area to a single cruise (`Cruise "1" -- "1" DestinationArea`). Model 1's main flaw is assigning a `1` to `1` multiplicity between `Cruise` and `Provider`, implicitly preventing a provider from organizing multiple cruises.
Total: Model 1 = 4, Model 2 = 2
Choice: A
Reason:
1. Alignment with Requirements: Model 1 translates the domain requirements into a UML class diagram with high accuracy. It correctly captures the many-to-one and many-to-many multiplicities for Ships, Guests, Tickets, and Destination Areas. Model 2, on the other hand, violates explicit requirements (e.g., restricting a Ship to exactly one Cruise despite the text stating otherwise) and includes duplicate, conflicting associations (two different association lines between Guest and Cruise with conflicting cardinalities). 
2. Rejected or checked issues: Model 1 explicitly connects `Booking` to `Guest` and `Cruise`. While the prompt does not explicitly demand these specific links, they are logically sound for the booking entity. Model 2 links `Booking` to `Ticket`. Neither model is heavily penalized for these interpretations. I also ignored the difference between Model 1's `*` and Model 2's `0..*` notations, as they are semantically equivalent multiplicity literals.
3. Overall judgment: Model 1 is the better response. It maintains text-faithful cardinalities across the vast majority of its relationships, whereas Model 2 introduces multiple contradictory and restrictive associations that directly violate the provided domain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</si>
  <si>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</si>
  <si>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establishes clear, cohesive associations by directly linking `Booking` to `TravelAgency`, `Cruise`, and `Guest`, which properly encapsulates the booking concept. Model 2 lacks a direct link between `Booking` and `Cruise`, tightly coupling `Booking` to `Ticket` instead (`Booking "1" -- "1" Ticket`), which forces the booking to navigate through the ticket to find the cruise. Furthermore, Model 2 presents conflicting and redundant coupling by associating guests and cruises twice with different multiplicities (`Cruise "1" -- "0..*" Guest` vs `Guest "0..*" -- "0..*" Cruise`).
2. Complexity: Model 1 = 5, Model 2 = 4; Evidence: Both models keep the baseline complexity perfectly balanced with the requirements. Both identify the correct 10 conceptual classes without over-engineering attributes into unnecessary classes, and both have an inheritance depth of 0. However, Model 2 introduces unnecessary and confusing relational complexity by explicitly duplicating the `Guest` and `Cruise` association. Model 1 maintains a concise and minimal relational structure without contradictory overlapping lines.
3. Practicability: Model 1 = 4, Model 2 = 2; Evidence: Model 1 effectively mirrors real-world logic and the requirement text. Its multiplicity `Cruise "*" -- "1" Ship` practically allows a ship to be utilized for multiple cruises over time, and `Ticket "*" -- "1" Guest` strictly allocates one ticket to one guest. Model 1's only minor flaw is `Cruise "1" -- "1" Provider`, which unnecessarily restricts a provider to a single cruise. In contrast, Model 2 has several highly impractical constraints that explicitly violate the text: `Cruise "1" -- "1" Ship` contradicts the rule that "a ship can be used for different cruises", `Guest "0..*" -- "0..*" Ticket` absurdly allows multiple guests to share a single ticket, and `Cruise "1" -- "0..*" Employee` forces an employee to only ever work on one cruise.
Total: Model 1 = 13, Model 2 = 9
Choice: A
Reason:
1. Cohesion and Decoupling: Model 1 maintains excellent separation of concerns by independently relating Bookings to both the Travel Agency and the Cruise. Model 2 rigidly couples Bookings directly to Tickets and relies on indirect navigation to connect a booking to a cruise, whilst also creating redundant relationships between Guests and Cruises.
2. Complexity: Both models keep class attributes and depth appropriately simple, but Model 2 adds confusing relational complexity by defining the Guest-to-Cruise association twice with contradicting multiplicities (one is 1-to-many, the other is many-to-many). Model 1 is logically clean and minimal.
3. Practicability: Model 1 aligns closely with real-world constraints and the requirement document, correctly allowing ships and employees to participate in multiple cruises. Model 2 contains several domain-breaking constraints, explicitly restricting a Ship to exactly one Cruise and allowing a single Ticket to belong to multiple guests, making it unsuitable for a real-world application.
4. Overall judgment: Model 1 is significantly better because it captures accurate multiplicities, avoids redundant associations, and maintains a highly logical and cohesive relational structure. Model 2's contradicting multiplicities and domain logic violations make it less viable.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</si>
  <si>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</si>
  <si>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essential classes derived from the requirements, such as Provider, Cruise, Employee, Guest, Ship, TravelAgency, Booking, DestinationArea, Show, and Ticket.
2. Associations/Multiplicities between classes for domain reasoning: Model 1 = 4, Model 2 = 2; Evidence: Model 1 captures most relationships well, correctly assigning a one-to-many relationship for Ships and Cruises (`Cruise "*" -- "1" Ship`), though it limits Provider and Cruise to 1-to-1 (`Cruise "1" -- "1" Provider`). Model 2 contains critical multiplicity errors: it defines a 1-to-1 relationship between Ship and Cruise (`Cruise "1" -- "1" Ship`), contradicting the requirement that "A ship can be used for different cruises". Model 2 also provides conflicting, duplicate associations for Guest and Cruise (`Cruise "1" -- "0..*" Guest` and `Guest "0..*" -- "0..*" Cruise`), and models tickets as many-to-many with guests (`Guest "0..*" -- "0..*" Ticket`).
3. Model attributes with appropriate data types: Model 1 = 5, Model 2 = 5; Evidence: Both models accurately capture all requested attributes. Model 1 sensibly types Show's duration as `Duration` and renames "number of passengers" to `passengerCapacity`. Model 2 types the duration as `Integer` and strictly uses `numberOfPassengers`. Both approaches are perfectly valid.
4. Consistencies of Terminology with given context: Model 1 = 5, Model 2 = 5; Evidence: Both models consistently use the vocabulary provided in the domain description, such as "isVIP", "socialSecurityNumber", and "DestinationArea".
5. Adherence of UML class diagram standards: Model 1 = 5, Model 2 = 4; Evidence: Both use proper PlantUML formatting. Model 1 is structurally sound and includes relation role labels to clarify semantics. Model 2 uses valid syntax but includes duplicate associations without role names between `Guest` and `Cruise`, which is poor UML modeling practice.
Total: Model 1 = 24, Model 2 = 21
Choice: A
Reason:
1. Appropriate conceptual classes aligned with the domain: Both models perfectly identify the domain classes (Provider, Cruise, Guest, Ship, etc.) required by the prompt.
2. Associations/Multiplicities between classes for domain reasoning: Model 1 is far more accurate in its domain reasoning. It correctly models that a Ship can have many cruises, whereas Model 2 incorrectly restricts the relationship to 1-to-1. Furthermore, Model 2 introduces severe logic errors such as contradicting multiplicities between Cruise and Guest, and an incorrect many-to-many relationship between Guest and Ticket.
3. Model attributes with appropriate data types: Both models assign accurate attributes with logical data types across all classes.
4. Consistencies of Terminology with given context: Both models successfully maintain the domain terminology from the prompt.
5. Adherence of UML class diagram standards: Model 1 follows standard UML/PlantUML practices well with clear role labels on associations. Model 2 is syntactically valid but clutters the diagram with contradictory, unlabeled duplicate associations.
6. Rejected or checked issues: Model 1's use of a 1-to-1 relationship between `Cruise` and `Provider` is slightly restrictive since a provider normally handles multiple cruises, but it is acceptable because the prompt specifies "A cruise is organized by a specific provider" without strictly mandating the reverse multiplicity. We do not heavily penalize Model 1 for this minor gap.
7. Overall judgment: Model 1 provides a significantly more accurate and logically sound representation of the domain's relationships and multiplicities. Model 2 fails on critical multiplicities (Ship to Cruise, Guest to Ticket) and includes contradictory associations, making Model 1 the clear and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</si>
  <si>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</si>
  <si>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uses a 1-to-1 multiplicity for the relationship between `Cruise` and `Provider` (`Cruise "1" -- "1" Provider`), whereas Model 2 uses a 1-to-many multiplicity (`Cruise --&gt; "1" Provider` and `Provider --&gt; "*" Cruise`). Model 2 also sets a `1..*` multiplicity for `Employee` (`Cruise --&gt; "1..*" Employee`), whereas Model 1 uses `*` (`Cruise "*" -- "*" Employee`). Both models include all required classes (`Cruise`, `Provider`, `Guest`, `Ship`, `Employee`, `TravelAgency`, `Booking`, `DestinationArea`, `Show`, `Ticket`) with appropriate attributes.
Total: Model 1 = 4, Model 2 = 5
Choice: B
Reason:
1. Alignment with Requirements: Model 2 provides a more accurate representation of the domain multiplicities. It correctly assigns a 1-to-many multiplicity between `Provider` and `Cruise`, whereas Model 1 restricts this to a 1-to-1 relationship, which incorrectly implies a provider can only organize a single cruise. Additionally, Model 2 accurately captures the specific requirement that a cruise "requires many employees" by using a `1..*` multiplicity, whereas Model 1 uses `*` (which permits zero employees).
2. Rejected or checked issues: Model 2 uses two opposite unidirectional associations and single-quote PlantUML comments for roles/opposites. Per the forbidden penalties, these are treated as semantically equivalent to a standard bidirectional association and were not penalized. Similarly, differences in primitive type casing (`Integer` vs `int`) were ignored. Neither model explicitly captured the constraint "only one ticket per cruise" for a given guest (which typically requires a note, an association class, or OCL), but since both modeled the `Ticket`-`Cruise` and `Ticket`-`Guest` relationships identically, this did not differentiate them.
3. Overall judgment: Both models successfully capture all the conceptual classes, attributes, and core relationships detailed in the requirement. Model 2 is chosen as the winner because its cardinalities (specifically for `Provider` and `Employee`) are more logical and strictly align with the business constraints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</si>
  <si>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</si>
  <si>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domain concepts into exactly 10 distinct classes (e.g., `Provider`, `Cruise`, `Guest`, `Ship`), grouping the correct respective attributes like `name` and `location` for `Provider`. This ensures single responsibility and low coupling across the system.
2. Complexity: Model 1 = 5, Model 2 = 5; Evidence: Both models exhibit the exact same level of structural complexity, introducing exactly 10 conceptual classes with straightforward attributes (e.g., `title` and `duration` for `Show`), an average of 0 methods per class, and a 0-depth inheritance tree. Neither model introduces unnecessary or over-engineered classes.
3. Practicability: Model 1 = 3, Model 2 = 5; Evidence: Model 1 defines the `Cruise`-to-`Provider` association as 1-to-1 (`Cruise "1" -- "1" Provider`), which impractically restricts a provider to organizing only a single cruise in the software system. Model 2 models this correctly for real-world scenarios with a 1-to-many relationship (`Provider --&gt; "*" Cruise` and `Cruise --&gt; "1" Provider`). Furthermore, Model 2 more precisely enforces the "requires many employees" constraint using a `1..*` multiplicity (`Cruise --&gt; "1..*" Employee`), whereas Model 1 uses a less precise `*`.
Total: Model 1 = 13, Model 2 = 15
Choice: B
Reason:
1. Cohesion and Decoupling: Both models perform perfectly here. They correctly read the requirements and organize the domain attributes logically into highly cohesive, dedicated classes (like `Booking`, `DestinationArea`, `Ticket`) without any unnecessary dependencies or conceptual overlap.
2. Complexity: The complexity is identical and perfectly balanced in both models. Both avoid over-engineering by utilizing simple attribute lists and straight associations between the 10 core domain entities. They accurately distinguish between what should be an attribute versus a class.
3. Practicability: Model 2 is far more practical for a real-world application. Model 1's 1-to-1 multiplicity between `Cruise` and `Provider` is a significant domain flaw that would prevent a travel provider company from ever organizing a second cruise. Model 2 accurately captures the 1-to-many relationship and also establishes a more realistic lower bound for the number of required employees (`1..*` instead of `*`).
4. Rejected or checked issues: Model 2 uses a notation style with two opposite unidirectional associations (e.g., `A --&gt; B` and `B --&gt; A`) and PlantUML single-quote comments. In accordance with the strict evaluation guidelines, these represent perfectly valid bidirectional semantics and tooling annotations, so they were entirely ignored for scoring purposes and not penalized.
5. Overall judgment: Model 2 is better because it provides a more accurate, robust, and practical set of structural multiplicities. By correctly modeling how providers relate to multiple cruises and setting realistic bounds for employee requirements, Model 2 presents a more viable design for actual software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</si>
  <si>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</si>
  <si>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domain concepts, including Cruise, Provider, Employee, Guest, Ship, TravelAgency, Booking, DestinationArea, Show, and Ticket.
2. Associations/Multiplicities between classes for domain reasoning: Model 1 = 3, Model 2 = 5; Evidence: Model 1 defines the relationship between Cruise and Provider as `Cruise "1" -- "1" Provider`, which incorrectly restricts a Provider to organizing only a single cruise. Model 1 also restricts a Show to a single Cruise (`Cruise "1" -- "*" Show`). Model 2 correctly allows a Provider to organize multiple cruises (`Provider --&gt; "*" Cruise`) and properly defines a many-to-many relationship between Cruise and Show. Note that Model 2's use of opposite unidirectional associations is 100% semantically equivalent to bidirectional associations and is not penalized.
3. Model attributes with appropriate data types: Model 1 = 5, Model 2 = 5; Evidence: Both models include all required attributes (e.g., name, location, number, startDate, endDate, socialSecurityNumber, isVIP) and assign appropriate data types (String, Date, Boolean/boolean, Integer/int, Double/double).
4. Consistencies of Terminology with given context: Model 1 = 5, Model 2 = 5; Evidence: Terminology is highly consistent in both models. Both models accurately use terms from the prompt (e.g., TravelAgency, DestinationArea, seaName). Model 2 uses `numberOfPassengers` exactly matching the prompt, while Model 1 uses the closely synonymous `passengerCapacity`.
5. Adherence of UML class diagram standards: Model 1 = 5, Model 2 = 5; Evidence: Both models use correct PlantUML syntax for classes, attributes, and relationships. As per the evaluation guidelines, Model 2's use of single-quote comments for tooling annotations is perfectly valid PlantUML and does not violate UML standards.
Total: Model 1 = 23, Model 2 = 25
Choice: B
Reason:
1. Appropriate conceptual classes aligned with the domain: Both models are excellent and successfully capture the ten necessary entities described in the prompt.
2. Associations/Multiplicities between classes for domain reasoning: Model 2 is superior. Model 1 applies a 1-to-1 multiplicity between Cruise and Provider, implying a provider can only organize one cruise in its entire existence, which misrepresents the business domain. Model 2 accurately models this as a one-to-many relationship.
3. Rejected or checked issues: Model 2's use of two opposite unidirectional arrows with tooling comments was strictly ignored for penalization as directed by the forbidden penalties guidelines; they are semantically equivalent to bidirectional lines. Neither model successfully captured the complex constraint "only one ticket per cruise" per guest, but given the limitations of basic UML multiplicity representations without OCL, neither model is heavily penalized for this omission.
4. Overall judgment: Model 2 is better because it avoids the multiplicity errors present in Model 1, providing a more accurate representation of the real-world business logic and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</si>
  <si>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</si>
  <si>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Structural Accuracy: Model 1 = 2, Model 2 = 5; Evidence: Model 1 has contradictory multiplicities for the Guest-Cruise relationship by defining it twice (`Cruise "1" -- "0..*" Guest` and `Guest "0..*" -- "0..*" Cruise`), incorrectly restricts a Ship to exactly one Cruise (`Cruise "1" -- "1" Ship`), and fails to directly link `Booking` to `Cruise`. Model 2 correctly implements the Ship to Cruise multiplicity (`Ship --&gt; "*" Cruise` and `Cruise --&gt; "1" Ship`), correctly models the Guest-Cruise many-to-many relationship, and logically associates `Booking` directly with `Cruise` and `TravelAgency`. Model 2 also successfully captures the 1-to-many mappings for Tickets to Guests and Cruises.
Total: Model 1 = 2, Model 2 = 5
Choice: B
Reason:
1. Requirement Alignment and Structural Accuracy: Model 2 accurately models all required relationships and multiplicities according to the domain text. It correctly represents the fact that a ship can be used for multiple cruises (`Ship --&gt; "*" Cruise`), unlike Model 1 which restricts it to a 1-to-1 relationship. Model 2 also correctly associates Bookings with Cruises, whereas Model 1 leaves Booking disconnected from Cruise except indirectly through Ticket. Furthermore, Model 1 contains contradictory duplicate associations between Guest and Cruise. Model 2 captures the requirement that a cruise requires "many" employees by using `1..*`.
2. Rejected or checked issues: The evaluation guidelines explicitly state that using two opposite unidirectional associations (as seen throughout Model 2, e.g., `Cruise --&gt; "1" Provider` and `Provider --&gt; "*" Cruise`) is 100% semantically equivalent to a single bidirectional line. Thus, Model 2's association style is fully accepted without penalty.
3. Overall judgment: Model 2 is significantly better due to its precise, logically sound multiplicities and relationships that strictly align with the domain constraints provided in the prompt, whereas Model 1 contains semantic contradictions and incorrectly models critical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</si>
  <si>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</si>
  <si>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only to `TravelAgency` and `Ticket` (`Booking "1" -- "1" Ticket`), missing the critical associations connecting a booking to the `Cruise` and the `Guest`. Model 2 properly establishes decoupling and cohesion by associating `Booking` with `Guest`, `Cruise`, and `TravelAgency` (`Booking --&gt; "1" Cruise`, `Booking --&gt; "1" Guest`), accurately reflecting the real-world business process. Model 1 also exhibits confusing coupling by defining two separate associations between `Guest` and `Cruise` (`Cruise "1" -- "0..*" Guest` and `Guest "0..*" -- "0..*" Cruise`).
2. Complexity: Model 1 = 3, Model 2 = 5; Evidence: Both models keep conceptual complexity balanced by identifying the exact same 10 core classes without over-engineering. However, Model 1 fails to accurately reflect the domain's relational complexity. It restricts ships to a single cruise (`Cruise "1" -- "1" Ship`), contradicting the requirement that a ship is used for different cruises. It also incorrectly models `Guest` and `Ticket` as many-to-many (`Guest "0..*" -- "0..*" Ticket`). Model 2 accurately captures the required complexities, correctly modeling 1-to-many relationships such as `Ship --&gt; "*" Cruise` and `Ticket --&gt; "1" Guest`.
3. Practicability: Model 1 = 3, Model 2 = 5; Evidence: Model 2 presents a highly practical, implementation-ready design. The data structures and multiplicities translate seamlessly into relational constraints or object references (e.g., a `Ticket` belongs to exactly one `Guest` and exactly one `Cruise`). Model 1 is impractical because its flawed multiplicities (like `Booking "1" -- "1" Ticket` restricting bookings to a single ticket) and missing links (no way to track which guest made a booking) would hinder programming, database design, and testing.
Total: Model 1 = 9, Model 2 = 15
Choice: B
Reason:
1. Cohesion and Decoupling: Model 2 successfully connects interdependent classes (like linking Bookings back to Guests and Cruises), establishing a cohesive domain logic. Model 1 leaves these classes isolated or inappropriately linked to Tickets.
2. Complexity: Model 2 perfectly aligns the structural complexity with the provided requirements. Model 1 includes several multiplicity errors that misrepresent the domain (such as mapping Cruise to Ship as 1:1 and Guest to Ticket as many-to-many).
3. Rejected or checked issues: Model 2 uses explicit bidirectional pairs via unidirectional arrows (e.g., `Cruise --&gt; "1" Provider` and `Provider --&gt; "*" Cruise`) along with standard tooling annotations (`'opposite`). Per the evaluation guidelines, this is 100% semantically equivalent to a single bidirectional line and was not penalized. The use of lowercase primitive aliases (`int`, `boolean`, `double`) in Model 2 is also completely acceptable.
4. Overall judgment: Model 2 is significantly better. It accurately translates the requirements into a semantically correct and highly practical UML model, whereas Model 1 suffers from severe domain inaccuracies, missing associations, and incorrect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</si>
  <si>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</si>
  <si>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required by the prompt, including `Provider`, `Cruise`, `Employee`, `Guest`, `Ship`, `TravelAgency`, `Booking`, `DestinationArea`, `Show`, and `Ticket`.
2. Associations/Multiplicities between classes for domain reasoning: Model 1 = 3, Model 2 = 5; Evidence: Model 1 models the relationship between Cruise and Ship as strictly one-to-one (`Cruise "1" -- "1" Ship`), which directly contradicts the requirement that "A ship can be used for different cruises". Additionally, Model 1 has conflicting and duplicate relationships between Guest and Cruise (`Cruise "1" -- "0..*" Guest` alongside `Guest "0..*" -- "0..*" Cruise`), and fails to connect Booking to Cruise. Model 2 correctly defines Ship to Cruise as one-to-many (`Ship --&gt; "*" Cruise` and `Cruise --&gt; "1" Ship`), handles Guest/Cruise associations cleanly, and links Booking accurately to Cruise.
3. Model attributes with appropriate data types: Model 1 = 5, Model 2 = 5; Evidence: Both models successfully capture all requested attributes with logical data types, such as `startDate` and `endDate` for `Cruise`, `isVIP`/`isVip` (Boolean/boolean) for `Guest`, and `socialSecurityNumber` for `Employee`.
4. Consistencies of Terminology with given context: Model 1 = 5, Model 2 = 5; Evidence: Both models use terms that are exactly aligned with the provided context, employing correct class names like `DestinationArea` and `TravelAgency`.
5. Adherence of UML class diagram standards: Model 1 = 4, Model 2 = 5; Evidence: Model 1 includes redundant/conflicting association lines for the same entity pair (Cruise and Guest), which creates ambiguity. Model 2 adheres perfectly to the semantics; per the strict evaluation guidelines, its use of two opposite unidirectional arrows and inline PlantUML comments (`'opposite ...`) are treated as 100% semantically valid.
Total: Model 1 = 22, Model 2 = 25
Choice: B
Reason:
1. Associations/Multiplicities: Model 2 is vastly superior in its domain reasoning. Model 1 fails to respect the requirement that a ship is used for different cruises (making it a 1-to-1 relationship instead) and creates redundant, conflicting links for Guests and Cruises. Model 2 captures all multiplicity constraints accurately, properly connecting Bookings to Cruises and representing the 1-to-many relationship between Ship and Cruise. 
2. Conceptual Classes and Attributes: Both models successfully identify all the necessary classes and assign the correct attributes with appropriate primitive data types. 
3. Rejected or checked issues: I explicitly ignored Model 2's use of paired unidirectional associations (`A --&gt; B` and `B --&gt; A`) and end-of-line comments (`'opposite ...`) as potential flaws. According to the strict negative constraints, these are 100% semantically equivalent to bidirectional associations and standard tooling annotations, meaning Model 2 rightfully loses no points for them.
4. Overall judgment: Model 2 is the better response because its structural logic, associations, and domain multiplicities are much more accurate and free of the contradictions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</si>
  <si>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</si>
  <si>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5; Evidence: Both models accurately extract the required conceptual classes (`Provider`, `Cruise`, `Employee`, `Guest`, `Ship`, `TravelAgency`, `Booking`, `DestinationArea`, `Show`, `Ticket`). Both incorporate the requested attributes correctly, such as `name` and `isVIP` for `Guest`, and `title` and `duration` for `Show`. Model 2 uses valid primitive aliases and terms like `passengerCapacity` (instead of `numberOfPassengers`) and `ticketId`.
2. Associations and Relationships: Model 1 = 2, Model 2 = 5; Evidence: Model 1 contains duplicate and contradictory associations for the Guest-Cruise relationship (`Cruise "1" -- "0..*" Guest` AND `Guest "0..*" -- "0..*" Cruise`). Additionally, Model 1 connects `Booking` only to `TravelAgency` and `Ticket`, leaving it structurally disconnected from the guest who made it or the cruise being booked. Model 2 accurately models the essentials by explicitly connecting `Booking` to `TravelAgency`, `Cruise`, and `Guest` using clear role names (`bookedThrough`, `books`, `bookedBy`).
3. Cardinalities: Model 1 = 2, Model 2 = 4; Evidence: Model 1 explicitly violates the requirement "A ship can be used for different cruises" by restricting it to a 1:1 multiplicity (`Cruise "1" -- "1" Ship`). It also restricts an area to a single cruise (`Cruise "1" -- "1" DestinationArea`) and incorrectly makes Guest-to-Ticket a many-to-many relationship (`Guest "0..*" -- "0..*" Ticket`). Model 2 correctly handles these domain constraints with `Cruise "*" -- "1" Ship`, `Cruise "*" -- "1" DestinationArea`, and `Ticket "*" -- "1" Guest`. Model 2 has a slight flaw with `Cruise "1" -- "1" Provider` (which restricts a provider to only one cruise), but its cardinalities are vastly more accurate overall.
Total: Model 1 = 9, Model 2 = 14
Choice: B
Reason:
1. Classes and Attributes: Both models excel at identifying the core entities and their properties without hallucinating unnecessary details.
2. Associations and Relationships: Model 2 provides a much stronger structural backbone. It logically links the `Booking` entity to the `Guest`, `Cruise`, and `TravelAgency`. Model 1 leaves `Booking` isolated from its core subjects and introduces a duplicated, contradictory relationship between `Cruise` and `Guest`.
3. Cardinalities: Model 1 fails multiple explicit requirements, notably restricting ships and destination areas to a single cruise, and suggesting a single ticket can belong to multiple guests. Model 2 captures these domain rules correctly, properly recognizing the 1-to-many requirements for ships, destinations, and ticket ownership.
4. Overall judgment: Model 2 is significantly better. It accurately translates the business logic, relationships, and cardinalities from the prompt into a coherent UML structure, whereas Model 1's diagram contains structural contradictions and cardinalities that explicitly violate the provided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</si>
  <si>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</si>
  <si>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defines two contradictory couplings between the same entities (`Cruise "1" -- "0..*" Guest` and `Guest "0..*" -- "0..*" Cruise`), which confuses the dependency structure. Additionally, Model 1 couples `Booking` strictly to `Ticket` (`Booking "1" -- "1" Ticket`) without linking it to the guest or the cruise. Model 2 naturally decouples the entities by assigning `Booking` as a cohesive central entity linked to `TravelAgency`, `Cruise`, and `Guest`, reflecting a more robust and logical domain structure.
2. Complexity: Model 1 = 3, Model 2 = 4; Evidence: Both models identify an appropriate level of conceptual complexity by using the same 10 distinct classes without unnecessary inheritance trees or bloated attribute lists. However, Model 1 artificially increases relationship complexity by duplicating the `Guest` and `Cruise` association. Model 2 maintains a clean, well-balanced graph, though its `Cruise "1" -- "1" Provider` limits a provider to a single cruise, which is slightly less flexible than Model 1's `Provider "1" -- "0..*" Cruise`.
3. Practicability: Model 1 = 2, Model 2 = 5; Evidence: Model 2 is highly practical for real-world software design; it uses descriptive role labels (e.g., `organizedBy`, `participates`, `uses`) that significantly enhance readability and testability. Model 2 correctly implements the requirement "A ship can be used for different cruises" via `Cruise "*" -- "1" Ship`. Model 1 fails this explicitly with `Cruise "1" -- "1" Ship`. Furthermore, Model 1 dictates `Guest "0..*" -- "0..*" Ticket`, implying tickets are shared among multiple guests, whereas Model 2 accurately defines `Ticket "*" -- "1" Guest`.
Total: Model 1 = 8, Model 2 = 14
Choice: B
Reason:
1. Cohesion and Decoupling: Both models successfully identify the core classes, promoting high cohesion within each class. However, Model 2 demonstrates superior decoupling logic. It links `Booking` appropriately to `Cruise`, `TravelAgency`, and `Guest`, reflecting a cohesive booking transaction. Model 1 awkwardly couples `Booking` directly to `Ticket` (1:1) while omitting connections between `Booking` and the actual passenger or cruise.
2. Complexity: Both models keep the structural complexity reasonable and aligned with the requirements. Neither over-engineers the solution with unnecessary abstraction. However, Model 1 introduces redundant structural complexity by defining two different associations between `Guest` and `Cruise`. Model 2 is much more streamlined, keeping single, clear associations between its classes. 
3. Practicability: Model 2 is exceptionally practical. It leverages descriptive role names on its associations to clarify the software's structure and behaviors. More importantly, Model 2 accurately reflects the business constraints described in the prompt, successfully modeling the fact that a ship is reused for multiple cruises (`Cruise "*" -- "1" Ship`), whereas Model 1 strictly limits a ship to a single cruise (`Cruise "1" -- "1" Ship`). Model 1 also presents an impractical many-to-many relationship for tickets, whereas Model 2 logically assigns a ticket to exactly one guest.
4. Rejected or checked issues: I did not penalize Model 2 for using `*` instead of `0..*` for multiplicities, nor did I penalize either model for utilizing primitive aliases like `Integer` or `Boolean`, as these are semantically identical and permitted under the general rules.
5. Overall judgment: Model 2 is markedly superior because it avoids the contradictions and requirement violations present in Model 1. Model 2 provides a highly readable, accurate, and semantically correct UML class diagram that faithfully interprets the business constraints, associations, and operational realities of the described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</si>
  <si>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</si>
  <si>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the required domain classes, such as Provider, Cruise, Employee, Guest, Ship, TravelAgency, Booking, DestinationArea, Show, and Ticket.
2. Associations/Multiplicities between classes for domain reasoning: Model 1 = 2, Model 2 = 4; Evidence: Model 1 explicitly contradicts the requirement "A ship can be used for different cruises" by strictly using a 1-to-1 association (`Cruise "1" -- "1" Ship`). It also contains conflicting associations for Guest/Cruise (`Cruise "1" -- "0..*" Guest` alongside `Guest "0..*" -- "0..*" Cruise`), and models Ticket-Guest as many-to-many (`Guest "0..*" -- "0..*" Ticket`). Model 2 correctly allows a ship to be used for multiple cruises (`Cruise "*" -- "1" Ship`), explicitly links Booking to Cruise and Guest, and correctly assigns individual tickets (`Ticket "*" -- "1" Guest`, `Ticket "*" -- "1" Cruise`). Model 2's minor flaw is restrictively limiting a Provider to a single Cruise (`Cruise "1" -- "1" Provider`), which misses the typical 1-to-many dynamic implied by "each provider".
3. Model attributes with appropriate data types: Model 1 = 5, Model 2 = 5; Evidence: Both models correctly capture all required attributes and assign reasonable data types. Model 1 uses `numberOfPassengers : Integer` in Ship and `duration : Integer` in Show. Model 2 uses semantically equivalent representations with `passengerCapacity : Integer` in Ship and `duration : Duration` in Show. 
4. Consistencies of Terminology with given context: Model 1 = 5, Model 2 = 5; Evidence: Terminology in both models is fully consistent with the provided context text, seamlessly incorporating terms like `DestinationArea`, `isVIP`, `socialSecurityNumber`, and `seaName`.
5. Adherence of UML class diagram standards: Model 1 = 5, Model 2 = 5; Evidence: Both models use perfectly valid PlantUML syntax. Both properly use class definitions and standard relationship arrows. Model 2 additionally takes advantage of UML role labels on associations (e.g., `: organizedBy`, `: uses`) to clarify the relationships.
Total: Model 1 = 22, Model 2 = 24
Choice: B
Reason:
1. Associations/Multiplicities: Model 2 is significantly more robust in structural domain reasoning. Model 1 fundamentally violates the explicit domain rule that a ship can be used for multiple cruises by artificially locking it into a 1-to-1 constraint. Model 1 also presents redundant, contradictory lines between Guest and Cruise. Model 2 accurately captures the associations between Ship, Cruise, Booking, and Guest, gracefully handling the multiplicities. 
2. Classes and Attributes: Both models performed excellently in identifying the necessary classes and their respective attributes with appropriate types matching the prompt.
3. Rejected or checked issues: Model 2 uses `*` for multiplicities (instead of `0..*`) and uses `Duration` as a data type rather than `Integer`. Under the evaluation guidelines, these are completely valid semantic equivalents and standard modeling practices; no penalties were applied. 
4. Overall judgment: Model 2 is the better response. It faithfully models the complex relationships dictated by the prompt, avoiding the critical domain contradictions and redundant associations that severely hinder Model 1's accuracy.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</si>
  <si>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</si>
  <si>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</si>
  <si>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</si>
  <si>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Semantics: Model 1 = 5, Model 2 = 4; Evidence: Model 1 enforces the "either two carports or a garage" constraint using pure UML class semantics via intermediate arrangement classes (`SemiDetachedHouse *-- "1" ParkingFacility`, which is subclassed into `CarportParking *-- "2" Carport` and `GarageParking *-- "1" Garage`). Model 2 relies on a note (`note right of SemiDetachedHouse`) for this XOR constraint; since notes must be ignored per the guidelines, its raw structural multiplicities (`0..2` Carport, `0..1` Garage) are too loose and permit invalid combinations like 1 carport or 0 of both. Both models successfully represent the `Job`/`JobLog` associative concept linking `House` and `Company`.
Total: Model 1 = 5, Model 2 = 4
Choice: A
Reason:
1. Requirement Alignment and UML Semantics: Model 1 cleverly uses generalization and composition to structurally enforce the "either two carports or a garage" XOR constraint purely through UML class diagram semantics. Model 2 relies on a text note to explain this rule; because the evaluation guidelines explicitly mandate ignoring notes, Model 2's underlying structure fails to enforce the constraint and allows invalid object combinations.
2. Associations and Multiplicities: Both models effectively capture the Job logging requirement using an intermediate log class (`Job` in Model 1, `JobLog` in Model 2). While Model 2's direct `House "*" -- "*" Company` multiplicity is slightly more accurate than Model 1's `House "1" -- "1..*" Company` relation, Model 1 still successfully allows a Company to service multiple Houses through its many-to-one `Job` associations. 
3. Rejected or checked issues: Model 1 introduces structural wrapper classes (`ParkingFacility`, `CarportParking`, `GarageParking`) and a `jobDate` attribute. Under the guidelines, the wrapper classes are not penalized as hallucinations because they are transparent structural arrangements necessary to enforce the business rules strictly via UML semantics. The `jobDate` is a minor, logical attribute for a log entry. Additionally, Model 2's choice to mark `Basement` as abstract while Model 1 does not was ignored, as optional abstractness should not be rewarded or penalized.
4. Overall judgment: Model 1 is better because it successfully expresses a complex domain constraint (XOR logic for carports and garages) natively and strictly within the structural UML class relationships, whereas Model 2's structural constraints are incomplete without relying on external text notes.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</si>
  <si>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</si>
  <si>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good cohesion by encapsulating the attributes within their respective conceptual boundaries. However, Model 1 introduces tight structural coupling by using intermediate inheritance classes (`ParkingFacility`, `CarportParking`, `GarageParking`) to enforce the choice between a carport and a garage. Model 2 achieves lower coupling by directly linking `SemiDetachedHouse` to `Carport` and `Garage` while handling the XOR constraint via a standard note, keeping the core domain classes decoupled from artificial structural mechanisms.
2. Complexity: Model 1 = 3, Model 2 = 5; Evidence: Model 1 artificially inflates complexity by creating a deep inheritance tree and adding 3 extra classes (`ParkingFacility`, `CarportParking`, `GarageParking`) not mentioned in the domain requirements just to satisfy an XOR constraint. This raises the total class count to 13. Model 2 maintains an appropriately balanced complexity with exactly 8 domain-relevant classes, mapping cleanly to the nouns in the requirement without over-engineering.
3. Practicability: Model 1 = 3, Model 2 = 5; Evidence: Model 2 is much more practical and readable for real-world software design. Most notably, Model 2 correctly models a many-to-many relationship between houses and companies (`House "*" -- "*" Company`), which aligns with real-world scenarios where a company services multiple properties. Model 1 impracticaly restricts a company to a single house (`House "1" -- "1..*" Company`). Furthermore, Model 2's use of a note to explain the parking constraint is much easier to read and maintain than Model 1's heavy structural polymorphism.
Total: Model 1 = 10, Model 2 = 15
Choice: B
Reason:
1. Cohesion and Decoupling: Model 2 maintains lower conceptual coupling by avoiding artificial wrapper classes for the parking facilities, whereas Model 1 introduces unnecessary structural dependencies.
2. Complexity: Model 1 over-engineers the solution by introducing `ParkingFacility`, `CarportParking`, and `GarageParking` classes to handle an "either/or" requirement. Model 2 keeps the diagram streamlined and strictly aligned with the required domain vocabulary, utilizing a simple constraint note.
3. Practicability: Model 2 features a realistic multiplicity for the `House` and `Company` relationship (`*` to `*`), accurately reflecting that servicing companies work on multiple houses. Model 1 restricts a company to a single house (`1` to `1..*`), which is domain-inaccurate and impractical.
4. Overall judgment: Model 2 is significantly better. It accurately represents all domain constraints while remaining highly readable, practical, and appropriately scaled in complexity. Model 1 suffers from over-engineering in its parking structure and a major flaw in its real-world multiplicity for servicing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</si>
  <si>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</si>
  <si>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2 accurately captures all and only the domain classes (`House`, `Basement`, `JobLog`, etc.). Model 1 introduces artificial structural wrapper classes (`ParkingFacility`, `CarportParking`, `GarageParking`) which are not native domain concepts, to enforce a constraint.
2. Associations/Multiplicities between classes for domain reasoning: Model 1 = 3, Model 2 = 5; Evidence: Model 1 models the House-Company relationship as `House "1" -- "1..*" Company`, which incorrectly restricts a company to servicing exactly one house. Model 2 correctly captures the many-to-many nature (`House "*" -- "*" Company`) and links `JobLog` with `1 -- *` to both classes. Model 2 also cleanly models the parking XOR constraint using `0..2` and `0..1` multiplicities coupled with a standard UML note, whereas Model 1 overcomplicates it structurally.
3. Model attributes with appropriate data types: Model 1 = 5, Model 2 = 5; Evidence: Both models assign fully appropriate attributes and data types. For example, Model 1 uses `double` for `size` and `humidityLevel`, while Model 2 uses `float`; both correctly use `boolean` for constraint flags like `hasFlatRoof` and `hasAutomaticDoor`.
4. Consistencies of Terminology with given context: Model 1 = 4, Model 2 = 5; Evidence: Model 2 perfectly mirrors the prompt's explicit phrasing by using `JobLog`, `numberOfWindows`, and `hasOwnGarden`. Model 1 uses slight variations that are still understandable but less exact: `Job`, `windowCount`, and `hasGarden`.
5. Adherence of UML class diagram standards: Model 1 = 5, Model 2 = 5; Evidence: Both models are well-formed, use valid PlantUML syntax without errors, and properly deploy standard UML notation for composition, inheritance, and enumerations.
Total: Model 1 = 21, Model 2 = 25
Choice: B
Reason:
1. Appropriate conceptual classes aligned with the domain: Model 2 sticks strictly to the concepts mentioned in the requirement. Model 1 introduces artificial classes (`ParkingFacility`, `CarportParking`, `GarageParking`) that do not exist in the domain vocabulary just to enforce a multiplicity constraint.
2. Associations/Multiplicities between classes for domain reasoning: Model 2 flawlessly models the many-to-many relationship between House and Company, and properly uses a `JobLog` class to track the hours and price. Model 1 incorrectly uses a `1` multiplicity on the House side of the House-Company association, implying a company can only ever service one single house, which fails domain reasoning.
3. Rejected or checked issues: I checked the use of an `abstract` class for `Basement` in Model 2 versus a concrete class in Model 1; neither is penalized based on the forbidden penalty rules since both correctly show the two derived sub-types. I also noted Model 1's structural approach to the carport/garage constraint, which is valid UML but docked strictly for conceptual domain alignment rather than syntax. 
4. Overall judgment: Model 2 is superior because it accurately represents the domain associations without contradictory multiplicities, keeps the conceptual classes grounded in the prompt's vocabulary, and cleanly uses notes to express constraints instead of over-engineering the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</si>
  <si>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</si>
  <si>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UML Accuracy: Model 1 = 5, Model 2 = 2; Evidence: Model 1 correctly captures building material as an Enum, accurately models the XOR constraint ("either two carports or a garage") with exact cardinalities using an intermediate `ParkingFacility` structure, defines the relationship between `Company` and `House` with an intermediate `Job` class to log hours and price, and includes specific multiplicities throughout (e.g., `0..1` for Basement). Model 2 uses a plain String for building material, completely omits multiplicities, incorrectly models carport and garage as concurrent aggregations to SemiDetachedHouse without XOR constraints, and connects `JobLog` only to `Company` without linking it to the `House` where the job occurred.
Total: Model 1 = 5, Model 2 = 2
Choice: A
Reason:
1. Requirements Alignment and UML Accuracy: Model 1 aligns perfectly with all domain constraints. It accurately translates the fixed list of building materials into an Enum, defines the "0..1" multiplicity for basements, and handles the job logging requirement by bridging `House` and `Company` with a `Job` class. Crucially, Model 1 successfully tackles the complex "either two carports or a garage" requirement using a well-crafted inheritance structure (`ParkingFacility` with `CarportParking` having exactly 2 carports and `GarageParking` having exactly 1 garage). Model 2, on the other hand, is too simplistic: it ignores all multiplicities, fails to link `JobLog` to `House` (missing the context of where the job happened), fails to capture the XOR condition for parking, and ignores the exact "two carports" constraint.
2. Rejected or checked issues: Model 1's use of intermediate classes (`ParkingFacility`, `CarportParking`, `GarageParking`) might seem slightly implementation-heavy at first glance, but it is a highly effective and semantically valid way to model an XOR constraint and varied multiplicities in standard UML without relying on textual OCL notes. Under the forbidden penalties, transparent refinements that aid domain reasoning should not be penalized. 
3. Overall judgment: Model 1 provides a comprehensive and highly accurate UML representation of the requirements, correctly utilizing multiplicities, enums, and intermediate class structures to capture complex domain constraints. Model 2 is incomplete, lacks cardinalities entirely, and fails to model several key relationships correctly.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</si>
  <si>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</si>
  <si>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encapsulates the job log as a separate `Job` class that associates both `House` and `Company` (`Job --&gt; "1" House`, `Job --&gt; "1" Company`), maintaining good decoupling and relational logic. Model 2 attaches `JobLog` only to `Company` (`Company o-- JobLog`), failing to link the job to the house where it was performed.
2. Complexity: Model 1 = 5, Model 2 = 3; Evidence: Model 1 effectively and elegantly handles the complex XOR constraint ("either two carports or a garage") by introducing a `ParkingFacility` inheritance structure (`CarportParking *-- "2" Carport`, `GarageParking *-- "1" Garage`), which perfectly aligns with the domain complexity. Model 2 simply aggregates both (`SemiDetachedHouse o-- Carport`, `SemiDetachedHouse o-- Garage`) without constraints or multiplicities, under-representing the required complexity.
3. Practicability: Model 1 = 5, Model 2 = 2; Evidence: Model 1 uses precise multiplicities (`0..1` for Basement, `2` for carports) and an Enum for `BuildingMaterial`, making it highly practical for database or code generation. Model 2 lacks these critical multiplicities (e.g., missing the `0..1` for the basement), uses generic Strings, and leaves the job log untraceable to a house, making it impractical for real-world software design.
Total: Model 1 = 15, Model 2 = 8
Choice: A
Reason:
1. Cohesion and Decoupling: Model 1 accurately links jobs to both houses and companies, whereas Model 2 completely misses the required link between a job log and a house.
2. Complexity: Model 1 brilliantly captures the "either two carports or a garage" requirement using an intermediate `ParkingFacility` class structure. Model 2 ignores this XOR logic and the "exactly two" multiplicity.
3. Practicability: Model 1's use of proper multiplicities, enums for restricted types, and correct relationship mappings makes it a robust and implementable design. Model 2's omissions of multiplicity and structural constraints make it inadequate.
4. Overall judgment: Model 1 correctly interprets and structurally enforces all the complex domain rules, including XOR constraints and association relationships (Job). Model 2 fails to capture key relationships, structural constraints, and multiplicities, making Model 1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</si>
  <si>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</si>
  <si>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`BuildingMaterial` as an enum to capture the domain constraints (wood, brick, concrete), and introduces structural classes (`ParkingFacility`, `CarportParking`, `GarageParking`) to handle the XOR constraint. Model 2 captures most primary domain entities but misses the building material constraint entity.
2. Associations/Multiplicities between classes for domain reasoning: Model 1 = 5, Model 2 = 2; Evidence: Model 1 correctly includes specific multiplicities (e.g., "0..1" for basements), strictly enforces the "two carports or a garage" XOR constraint via inheritance and exact multiplicities ("2" and "1"), and correctly links `Job` to both `House` and `Company`. Model 2 lacks all multiplicities, connects `JobLog` only to `Company` (missing the `House` connection), and models `Carport` and `Garage` with unconstrained aggregations to `SemiDetachedHouse` (missing the XOR logic).
3. Model attributes with appropriate data types: Model 1 = 5, Model 2 = 3; Evidence: Model 1 uses appropriate numerical types for measurable attributes (`double` for `size`, `int` for `hours`) and an enum for `buildingMaterial`. Model 2 assigns a `String` type to `size` and `buildingMaterial`.
4. Consistencies of Terminology with given context: Model 1 = 5, Model 2 = 5; Evidence: Both models faithfully use the terminology provided in the prompt (e.g., `SemiDetachedHouse`, `ConcreteBasement`, `agreedPrice`, `humidityLevel`).
5. Adherence of UML class diagram standards: Model 1 = 5, Model 2 = 5; Evidence: Both models use valid PlantUML class diagram syntax, standard notations for inheritance and associations, and correctly formatted class blocks.
Total: Model 1 = 25, Model 2 = 19
Choice: A
Reason:
1. Appropriate conceptual classes aligned with the domain: Model 1 effectively utilizes an enum for building materials to constrain the choices and adds intermediate conceptual classes to enforce business logic, whereas Model 2 uses basic classes but misses the material constraint.
2. Associations/Multiplicities between classes for domain reasoning: Model 1 excels by applying precise multiplicities and accurately modeling the complex XOR constraint (two carports vs. one garage) and the relationship for job logs. Model 2 fails to provide any multiplicities, ignores the XOR logic, and fails to connect `JobLog` to `House`.
3. Model attributes with appropriate data types: Model 1 uses proper data types like `double` and enums, while Model 2 defaults to `String` for measurable attributes like `size`.
4. Consistencies of Terminology with given context: Both models accurately reflect the domain terminology without major inconsistencies.
5. Adherence of UML class diagram standards: Both models follow PlantUML syntax correctly without notation errors.
6. Rejected or checked issues: The use of an intermediate hierarchy (`ParkingFacility`) in Model 1 was not penalized; rather, it was credited as a valid structural approach to model an XOR constraint without needing raw text notes or external constraints.
7. Overall judgment: Model 1 is significantly better because it comprehensively captures the complexities of the domain rules (XOR constraints, association classes represented as entities, exact multiplicities, specific enum values) which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</si>
  <si>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</si>
  <si>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Associations: Model 1 = 5, Model 2 = 2; Evidence: Model 1 uses an enum for `BuildingMaterial` (wood, brick, concrete), includes explicit multiplicities (`House "1" -- "0..1" Basement`), models the XOR constraint on carports/garages with a note and cardinalities, and properly links `JobLog` to both `House` and `Company`. Model 2 uses a generic `String` for building materials, omits all cardinalities/multiplicities, misuses aggregation (`o--`) for standard associations (e.g., `House o-- Company`), and completely misses the relationship between `JobLog` and `House`.
Total: Model 1 = 5, Model 2 = 2
Choice: A
Reason:
1. Requirement Alignment and Associations: Model 1 successfully implements all domain requirements, including the nuanced constraints. It correctly captures that a house may have one basement (`0..1`), that a semi-detached house has a specific number of carports or a garage (handled via cardinalities and a clarifying note), and that a `JobLog` records a job carried out by a `Company` in a `House` (linked to both). Model 2 completely fails to include cardinalities, making it impossible to evaluate constraints like "exactly two" or "either/or".
2. Relationship Semantics: Model 1 uses standard associations (`--`) for "serviced by" and log records, which accurately represent the domain. Model 2 applies aggregation (`o--`) to almost every relationship, including `House o-- Company`, which is conceptually incorrect (a house is not logically "composed" of or an "aggregation" of service companies). 
3. Furthermore, Model 2 fails to connect `JobLog` to `House`, losing the requirement that the job is carried out "in a house". Model 1 correctly links the log to both the company and the house.
4. Overall judgment: Model 1 is vastly superior. It accurately reflects the domain constraints, multiplicities, and relationships, whereas Model 2 is incomplete, misuses UML relationship types, and drops a crucial connection for the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</si>
  <si>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</si>
  <si>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Both models maintain high cohesion by creating single-responsibility classes. However, for decoupling and relationship modeling, Model 1 properly connects `JobLog` to both `House` and `Company`, accurately reflecting the requirement "Whenever a company carries out a job in a house". Model 2 only associates `JobLog` with `Company` (`Company o-- JobLog`), completely losing the context of which house the job was performed in.
2. Complexity: Model 1 = 5, Model 2 = 4; Evidence: Both models keep complexity balanced with an appropriate number of classes (10 classes each) and a reasonable inheritance tree depth (e.g., basements and semi-detached houses). Model 1 appropriately utilizes an enumeration `BuildingMaterial` to strictly handle the constrained values (wood, brick, concrete), whereas Model 2 uses a generic `String`, which is slightly less precise for the given constraint.
3. Practicability: Model 1 = 5, Model 2 = 2; Evidence: Model 1 is highly practical as it includes crucial multiplicities (e.g., `0..1` for Basement) and explicitly uses a UML note alongside `0..2` and `0..1` multiplicities to enforce the complex XOR constraint ("either two carports or a garage"). Model 1 also uses practical data types like `float` for basement size. Model 2 is impractical for full implementation because it completely omits all multiplicities, uses a `String` for the basement size, and provides no mechanism to enforce the exact quantities or the XOR constraint for carports and garages.
Total: Model 1 = 15, Model 2 = 9
Choice: A
Reason:
1. Cohesion and Decoupling: Model 1 accurately models `JobLog` by relating it to both the `Company` and the `House`, correctly representing the business logic. Model 2's design leaves `JobLog` disconnected from the house.
2. Complexity: Both models have a manageable and similar structure, but Model 1's use of an Enum for building materials represents the domain more strictly and accurately than Model 2's String approach.
3. Practicability: Model 1 captures complex business rules by utilizing appropriate multiplicities and a clarifying note for the carport/garage constraint. Model 2 completely lacks multiplicities and misses the constraints, making it an incomplete representation of the requirements.
4. Overall judgment: Model 1 is significantly better because it thoroughly and accurately translates all requirements, constraints, and relationships into precise UML semantics, while Model 2 misses multiplicities, constraints, and vital relationship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</si>
  <si>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</si>
  <si>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core concepts including `House`, `Basement`, `EarthBasement`, `ConcreteBasement`, `SemiDetachedHouse`, `Carport`, `Garage`, `Company`, and `JobLog`. Model 1 additionally creates a specific enum for `BuildingMaterial`.
2. Associations/Multiplicities between classes for domain reasoning: Model 1 = 5, Model 2 = 2; Evidence: Model 1 correctly applies necessary domain constraints. It defines `0..1` for the House-Basement association, links `JobLog` to both `House` and `Company` to show where the job occurred, and handles the "exactly two carports or a garage" rule with `0..2` / `0..1` multiplicities and an explicit note. Model 2 misses all multiplicities entirely, lacks the XOR constraint for carports/garages, and only links `JobLog` to `Company` (`Company o-- JobLog`), failing to record which house the job was carried out in.
3. Model attributes with appropriate data types: Model 1 = 5, Model 2 = 4; Evidence: Model 1 uses an explicit enum `BuildingMaterial` to strictly enforce wood, brick, or concrete, and uses `float` for Basement `size`. Model 2 uses generic `String` for `buildingMaterial` and poorly chooses `String` for Basement `size`, though other attributes are correct.
4. Consistencies of Terminology with given context: Model 1 = 5, Model 2 = 5; Evidence: Both models use terms explicitly found in the prompt, such as `EarthBasement`, `humidityLevel`, `hasFlatRoof`, and `hasAutomaticDoor`.
5. Adherence of UML class diagram standards: Model 1 = 5, Model 2 = 4; Evidence: Model 1 flawlessly applies UML standards, capturing multiplicities and notes correctly. Model 2 is syntactically correct in PlantUML but relies indiscriminately on aggregation (`o--`) without defining any multiplicities, rendering the structural boundaries vague.
Total: Model 1 = 25, Model 2 = 20
Choice: A
Reason:
1. Associations/Multiplicities: Model 1 is far superior in capturing the domain's relational logic. It correctly links `JobLog` to both `Company` and `House` (which is required since jobs happen *in* a house), provides the optional `0..1` multiplicity for the basement, and addresses the complex XOR carport/garage constraint. Model 2 omits all multiplicities and misses the link between `JobLog` and `House`.
2. Model attributes: Model 1 strictly limits the building material using an enumeration and uses numerical types for sizes, whereas Model 2 resorts to unconstrained Strings for both.
3. Rejected or checked issues: Model 1 marks `Basement` as `abstract`, which makes sense domain-wise, but Model 2 was not penalized for leaving it concrete as the requirement did not explicitly forbid direct instances of Basement. Both models were judged purely on semantics. 
4. Overall judgment: Model 1 is the clear winner. It accurately interprets and models the strict constraints, multiplicities, and ternary-like associations (JobLog) described in the prompt, resulting in a highly accurate and professional UML domain model. Model 2 is fundamentally incomplete regarding relationship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</si>
  <si>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</si>
  <si>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captures the real-world many-to-many relationship between houses and companies (`House "*" -- "*" Company`), explicitly creates the required job log class (`JobLog`), uses an appropriate note to enforce the XOR parking constraint, and adheres strictly to the requested attributes. Model 2 incorrectly restricts a `Company` to servicing only one `House` (`House "1" -- "1..*" Company`), hallucinates an unrequested `jobDate: Date` attribute in the `Job` class, and adds three unrequested domain classes (`ParkingFacility`, `CarportParking`, `GarageParking`) to enforce the XOR constraint which adds unnecessary complexity over a simple constraint note.
Total: Model 1 = 5, Model 2 = 3
Choice: A
Reason:
1. Alignment with Requirements: Model 1 provides a highly accurate reflection of the domain. It correctly understands that "serviced by several companies" implies a many-to-many relationship in the real world (companies service multiple houses, houses have multiple servicing companies) and models this accurately (`*` to `*`). Model 2 fundamentally misrepresents this by applying a `1` to `1..*` multiplicity, artificially restricting any given company to only ever servicing a single house. 
2. Furthermore, Model 1 strictly limits its attributes to those explicitly mentioned in the prompt. Model 2 violates the instruction against additions by hallucinating a `jobDate` attribute on the `Job` class. While Model 2's use of inheritance to structurally enforce the "two carports or one garage" rule is clever, it bloats the domain model with artificial classes compared to Model 1's standard and concise OCL-style UML note constraint.
3. Rejected or checked issues: Both models use valid but different association syntaxes for the Job Log to House/Company link (Model 1 uses bidirectional lines, Model 2 uses unidirectional arrows); this was treated as semantically equivalent and neither was penalized. Model 1's use of `float` versus Model 2's `double` were also treated as equivalent primitive aliases.
4. Overall judgment: Model 1 is the better response because it correctly maps the real-world domain multiplicities and strictly adheres to the requested properties without adding hallucinated attributes or unnecessary structural bloat.```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</si>
  <si>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</si>
  <si>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correctly maps domain concepts and uses `JobLog` to cohesively log activities between `House` and `Company`. Model 2 achieves decoupling for parking by introducing an abstract `ParkingFacility` with `CarportParking` and `GarageParking` subclasses, which is cohesive but structurally heavy.
2. Complexity: Model 1 = 5, Model 2 = 3; Evidence: Model 1 maintains an appropriately balanced complexity (10 elements, depth 1) by utilizing standard UML multiplicities (`"0..2" Carport`, `"0..1" Garage`) alongside a clarifying note (`Has either exactly two Carports or exactly one Garage.`) for the XOR constraint. Model 2 over-engineers this constraint by introducing 3 artificial conceptual classes (`ParkingFacility`, `CarportParking`, `GarageParking`), which violates the principle that not every noun or rule should become a distinct class, thereby needlessly increasing the class count and inheritance depth.
3. Practicability: Model 1 = 5, Model 2 = 3; Evidence: Model 1 models a realistic and practical domain where companies can service multiple houses (`House "*" -- "*" Company`). Model 2's multiplicity (`House "1" -- "1..*" Company`) strictly limits each `Company` to servicing only one `House`, which contradicts real-world applications. Furthermore, Model 1's structure is much more readable and easier to translate into code or a database schema compared to Model 2's convoluted parking hierarchy.
Total: Model 1 = 15, Model 2 = 10
Choice: A
Reason:
1. Cohesion and Decoupling: Both models do a good job of keeping classes focused. However, Model 1's approach feels more natural to the domain, whereas Model 2 forces structural abstraction (`ParkingFacility`) that borders on redundancy.
2. Complexity: Model 1 perfectly balances the complexity by using a UML note and proper multiplicities to handle the "two carports or one garage" constraint. Model 2 creates unnecessary conceptual classes (`CarportParking` encapsulating `Carport`, etc.) simply to structurally enforce a rule, unnecessarily complicating the diagram.
3. Practicability: Model 1 successfully captures the many-to-many relationship between houses and companies, along with the `JobLog`. Model 2 restricts a company to a single house via its `House "1" -- "1..*" Company` multiplicity, which is highly impractical for the given domain.
4. Rejected or checked issues: Model 1 uses an `abstract` class for `Basement` while Model 2 does not; this was ignored as optional abstractness. Model 2 includes a single-quote PlantUML comment (`'opposite servicedHouses`); this was ignored as standard tooling annotation as per the forbidden penalties.
5. Overall judgment: Model 1 provides a highly readable, domain-accurate, and structurally balanced UML diagram. Model 2 suffers from over-engineering in its parking hierarchy and contains a multiplicity error that restricts the practicality of the business model. Therefore, Model 1 is the superior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</si>
  <si>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</si>
  <si>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domain concepts directly, identifying classes like `House`, `Basement`, `SemiDetachedHouse`, `Carport`, `Garage`, `Company`, and `JobLog`. Model 2 identifies the same core concepts (using `Job` instead of `JobLog`) and introduces transparent refinements like `ParkingFacility`, `CarportParking`, and `GarageParking` to structurally model constraints, which is fully acceptable.
2. Associations/Multiplicities between classes for domain reasoning: Model 1 = 5, Model 2 = 4; Evidence: Model 1 correctly applies domain reasoning by modeling the many-to-many relationship between houses and companies (`House "*" -- "*" Company`) and logically linking `JobLog` to both. Model 2 effectively enforces the XOR constraint for parking using polymorphism (`SemiDetachedHouse *-- "1" ParkingFacility`), but it incorrectly restricts a `Company` to service exactly one `House` (`House "1" -- "1..*" Company`), missing the real-world domain logic that a company services multiple houses. Model 1 enforces the XOR parking constraint validly via a standard note.
3. Model attributes with appropriate data types: Model 1 = 5, Model 2 = 5; Evidence: Both models capture all required attributes and assign logical data types (e.g., Model 1's `humidityLevel: float` and `hasAutomaticDoor: boolean`; Model 2's `humidityLevel: double` and `hasAutomaticDoor: boolean`). Model 2 adds an acceptable `jobDate: Date` to the `Job` class.
4. Consistencies of Terminology with given context: Model 1 = 5, Model 2 = 5; Evidence: Model 1 perfectly mirrors the prompt's language with attributes like `buildingMaterial` and `numberOfWindows`. Model 2 maintains excellent consistency using synonyms like `windowCount` and `agreedPrice`.
5. Adherence of UML class diagram standards: Model 1 = 5, Model 2 = 5; Evidence: Both models use fully valid PlantUML syntax. Model 1 properly applies a note to describe the XOR constraint, and Model 2 successfully uses standard composition and inheritance notations.
Total: Model 1 = 25, Model 2 = 24
Choice: A
Reason:
1. Appropriate conceptual classes: Both models successfully extract the relevant domain concepts. Model 2's introduction of intermediate parking classes is a valid structural choice and is not penalized.
2. Associations/Multiplicities: Model 1 effectively manages the many-to-many relationship between houses and companies while integrating the job log records accurately. Model 2 struggles slightly here; by explicitly defining `House "1" -- "1..*" Company`, it implies a company is exclusive to a single house, which contradicts standard domain reasoning for service companies. 
3. Rejected or checked issues: I checked Model 2's use of inheritance (`ParkingFacility`, `CarportParking`, `GarageParking`) to handle the "either two carports or a garage" constraint. This is a clever, standard structural pattern for XOR relationships and was not penalized. I also checked Model 1's use of a note for the same constraint, which is equally valid in UML when native `{xor}` formatting is complex or unsupported.
4. Overall judgment: Both models offer high-quality representations of the provided requirements. Model 1 is slightly better as it flawlessly captures the real-world multiplicities between houses and companies, whereas Model 2 inadvertently introduces an overly restrictive multiplicity on that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</si>
  <si>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</si>
  <si>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cardinalities entirely, fails to enforce the "either two carports or a garage" constraint (it just aggregates both to SemiDetachedHouse without multiplicities), and links JobLog only to Company (missing the House context). Model 2 captures the 0..1 multiplicity for Basement, uses an enum for BuildingMaterial, explicitly models the XOR parking constraint using a ParkingFacility superclass with exactly 2 carports or 1 garage, and correctly links Job to both House and Company.
Total: Model 1 = 2, Model 2 = 5
Choice: B
Reason:
1. Alignment with Requirements: Model 2 accurately captures the complex constraints and domain logic described in the requirements. It handles the "either two carports or a garage" XOR constraint elegantly by introducing a `ParkingFacility` inheritance structure. It properly links the `Job` class to both `House` and `Company`, representing the job log occurring at a specific house by a specific company. It also includes correct multiplicities throughout (e.g., "0..1" for basements, "2" for carports, "1..*" for companies) and uses an enumeration to restrict building materials. 
2. Model 1, on the other hand, misses all multiplicities, fails to capture the XOR constraint for parking (allowing a house to have both without limits), and incorrectly links `JobLog` only to `Company` without referencing the `House` where the job occurred, which misses a key part of the requirement.
3. Rejected or checked issues: Model 2 includes an extra attribute `jobDate` in `Job` and transparent refinement classes for the parking logic, but these do not violate the core requirements and improve the domain modeling. The use of the single-quote comment (`'opposite`) in Model 2 is explicitly allowed per the forbidden penalties and is ignored for scoring.
4. Overall judgment: Model 2 is significantly better because it thoroughly and accurately models the relationships, cardinalities, and structural constraints described in the prompt, whereas Model 1 provides a superficial representation that misses critical business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</si>
  <si>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</si>
  <si>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properly links the job event to both the house and the company (`Job --&gt; "1" House`, `Job --&gt; "1" Company`), achieving high cohesion for the job concept. Model 1 merely links `JobLog` to `Company` (`Company o-- JobLog`), losing the association to the `House` entirely. Additionally, Model 2 cleanly decouples the parking logic using an intermediate `ParkingFacility` concept to handle the XOR requirement.
2. Complexity: Model 1 = 3, Model 2 = 5; Evidence: Model 1 has fewer classes (10 classes) but its simplicity causes it to miss explicit domain constraints (like the exact material types or the either/or parking constraint). Model 2 balances complexity perfectly by introducing an Enum (`BuildingMaterial`) and necessary conceptual classes (`ParkingFacility`, `CarportParking`, `GarageParking`) to accurately model the "either two carports or a garage" logic, fulfilling the requirement without unnecessary bloat.
3. Practicability: Model 1 = 2, Model 2 = 5; Evidence: Model 2 defines clear multiplicities representing business rules (e.g., `House *-- "0..1" Basement`, `CarportParking *-- "2" Carport`, `House "1" -- "1..*" Company`), making it extremely practical for database design and implementation. Model 1 lacks all multiplicities and incorrectly models the relationship of `JobLog`, making it impossible to determine which house a company serviced.
Total: Model 1 = 8, Model 2 = 15
Choice: B
Reason:
1. Cohesion and Decoupling: Model 2 is superior because it accurately models a `Job` as a standalone concept bridging `House` and `Company`, whereas Model 1 attaches `JobLog` only to `Company`. Model 2 also provides a cohesive structural solution to the XOR parking constraint.
2. Complexity: Model 2 uses an appropriate level of complexity to capture the domain constraints. The use of `ParkingFacility` and its subclasses is a traceable and correct way to model the "either two carports or a garage" requirement in standard UML. Model 1's lower complexity leads to missing rules.
3. Practicability: Model 2 is highly practical due to its precise multiplicities that match the text ("0..1" for basement, "2" for carports, "1..*" for companies). Model 1 fails to provide multiplicities and misses the critical triangular relationship for the job log. 
4. Rejected or checked issues: Model 2 includes a PlantUML comment (`'opposite servicedHouses`) and an extra timestamp (`jobDate`). Following the general rules, these were ignored and neither penalized nor rewarded.
5. Overall judgment: Model 2 is a significantly better representation of the requirements. It effectively utilizes object-oriented principles to enforce XOR constraints, correctly captures the many-to-many association using a `Job` class, and comprehensively applies multiplicities. Model 1 is incomplete and semantically flawed in its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</si>
  <si>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</si>
  <si>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identify core classes like House, Basement, and SemiDetachedHouse. Model 2 explicitly models the "wood, brick, or concrete" constraint using an Enum `BuildingMaterial`, whereas Model 1 uses a plain String. Model 2 also introduces intermediate parking classes to accurately model the complex parking constraints, while Model 1 lacks conceptual handling for the mutually exclusive relationship.
2. Associations/Multiplicities between classes for domain reasoning: Model 1 = 2, Model 2 = 5; Evidence: Model 1 omits almost all multiplicities. It fails to capture the "exactly two carports or a garage" constraint (using generic unconstrained aggregations `SemiDetachedHouse o-- Carport` and `SemiDetachedHouse o-- Garage`). Furthermore, Model 1 fails to link `JobLog` to `House`, only linking it to `Company`. Model 2 perfectly captures the domain reasoning: it uses a `0..1` multiplicity for basements, models the XOR parking constraint via a `ParkingFacility` superclass with exact multiplicities (`2` carports or `1` garage), and properly links `Job` to both `House` and `Company`.
3. Model attributes with appropriate data types: Model 1 = 4, Model 2 = 5; Evidence: Model 1 models basement `size` and house `buildingMaterial` as `String`. Model 2 improves upon this by using a numerical `double` for size and a specific `BuildingMaterial` enum, ensuring much stronger data typing aligned with the domain constraints.
4. Consistencies of Terminology with given context: Model 1 = 5, Model 2 = 5; Evidence: Both models use terminology perfectly aligned with the prompt, such as "EarthBasement", "humidityLevel", "SemiDetachedHouse", "agreedPrice", etc.
5. Adherence of UML class diagram standards: Model 1 = 3, Model 2 = 5; Evidence: Model 1 relies on vague aggregations without defining structural constraints (multiplicities), which weakens its compliance with comprehensive UML modeling. Model 2 uses proper UML syntax, including multiplicities, composition (`*--`), and relationship role names (`performedAt`, `servicingCompanies`), making it a highly standardized diagram.
Total: Model 1 = 18, Model 2 = 25
Choice: B
Reason:
1. Conceptual Classes: Model 2 is superior because it reifies the mutually exclusive parking requirement into a structured class hierarchy (`ParkingFacility`) and uses an Enum for building materials, demonstrating deeper domain analysis.
2. Associations/Multiplicities: Model 2 perfectly represents the cardinality rules from the text ("0..1" basement, exactly "2" carports OR "1" garage). Model 1 ignores these numbers completely and fails to associate a Job with the House where it was performed.
3. Model Attributes: Model 2 uses more appropriate data types (doubles for measurements, enums for constrained categorical data) compared to Model 1's heavy reliance on Strings.
4. Rejected or checked issues: The inclusion of an extra `jobDate` attribute in Model 2's `Job` class was not penalized, as it represents a logical extension of a log entry without violating the core requirements.
5. Overall judgment: Model 2 provides a complete, accurate, and structurally sound representation of the domain. Model 1 is incomplete due to its lack of multiplicities and missing associations between the job logs and houses. Therefore,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</si>
  <si>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</si>
  <si>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lacks any multiplicities on its associations and links `JobLog` only to `Company` (`Company o-- JobLog`), failing to capture that a job is carried out in a specific house. Model 2 includes accurate multiplicities throughout (e.g., `House "1" -- "0..1" Basement`), models the XOR constraint for carports and garages using multiplicities and a clarifying note, uses an enum for the limited building materials, and correctly associates `JobLog` with both `House` and `Company` to represent the job event.
Total: Model 1 = 3, Model 2 = 5
Choice: B
Reason:
1. Alignment with Requirements: Model 2 strictly and accurately aligns with the given requirements. It correctly identifies and models all associations along with their cardinalities, which Model 1 completely omits. 
2. Job Log Relationship: The requirement specifies "Whenever a company carries out a job in a house... recorded in a job log". Model 2 correctly links `JobLog` to both `House` and `Company` (`House "1" -- "*" JobLog` and `Company "1" -- "*" JobLog`), capturing this ternary-like relationship. Model 1 incorrectly associates `JobLog` only with `Company` (`Company o-- JobLog`), losing the information about which house the job was for.
3. Specific Constraints: Model 2 captures the constraint that a semi-detached house has "either two carports or a garage" through appropriate multiplicities (`0..2` Carport, `0..1` Garage) and an explicit XOR note. Model 1 merely aggregates them (`SemiDetachedHouse o-- Carport`, `SemiDetachedHouse o-- Garage`) without any restrictions.
4. Building Materials: Model 2 leverages an explicit Enum for `BuildingMaterial` (WOOD, BRICK, CONCRETE) as restricted by the requirements, whereas Model 1 just uses a generic `String`.
5. Overall judgment: Model 2 is much better because it provides a complete, syntactically and semantically accurate UML representation of the requirements, including the crucial multiplicities, constraints, and relational paths that Model 1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</si>
  <si>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</si>
  <si>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connects `JobLog` only to `Company` (`Company o-- JobLog`), missing the connection to `House`. Model 2 correctly models `JobLog`'s context by connecting it to both `House` and `Company` (`House "1" -- "*" JobLog`, `Company "1" -- "*" JobLog`), reflecting the requirement that a job is carried out by a company in a house.
2. Complexity: Model 1 = 4, Model 2 = 5; Evidence: Both models identify the right conceptual classes and use inheritance appropriately for basements and houses. Model 2 better manages attribute complexity by introducing a `BuildingMaterial` enum to strictly restrict values to WOOD, BRICK, and CONCRETE, whereas Model 1 uses an unconstrained `String` for `buildingMaterial`.
3. Practicability: Model 1 = 2, Model 2 = 5; Evidence: Model 2 is highly practical, defining explicit multiplicities (e.g., `0..1` for Basement, `0..2` for Carport) and using a note to enforce the business rule "either exactly two Carports or exactly one Garage". Model 1 entirely lacks multiplicities, rendering it unable to express these crucial structural constraints for implementation.
Total: Model 1 = 9, Model 2 = 15
Choice: B
Reason:
1. Cohesion and Decoupling: Model 2 correctly models the structural reality of the domain by associating `JobLog` with both `House` and `Company`. Model 1 fails to link `JobLog` to `House`, losing the critical context of where the job was actually performed.
2. Complexity: Both models keep the number of classes and inheritance depth at an appropriate level. Model 2 gains an edge by using an enumeration for `BuildingMaterial`, perfectly capturing the closed list of materials required by the prompt, as opposed to Model 1's generic `String`.
3. Practicability: Model 2 is a far more complete and useful blueprint. It includes exact multiplicities and a descriptive note to handle the mutually exclusive relationship between carports and garages. Model 1 omits multiplicities completely, leaving the design vague and inadequate for real-world programming and database design.
4. Rejected or checked issues: I did not penalize Model 1 for using aggregation (`o--`) while Model 2 uses plain associations (`--`), as both are valid notations for these relationships. I also did not penalize Model 2 for using lowercase primitives (`boolean`, `int`) compared to Model 1's object wrappers (`Boolean`, `Integer`).
5. Overall judgment: Model 2 is significantly better. It accurately captures all relationships (especially the ternary-like nature of JobLog), enforces value constraints with an enum, and includes vital multiplicities and notes to fully satisfy the prompt's complex cardinality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</si>
  <si>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</si>
  <si>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domain concepts as classes, including `House`, `Basement`, `EarthBasement`, `ConcreteBasement`, `SemiDetachedHouse`, `Carport`, `Garage`, `Company`, and `JobLog`. Model 2 explicitly pulls out `BuildingMaterial` as an Enum.
2. Associations/Multiplicities between classes for domain reasoning: Model 1 = 2, Model 2 = 5; Evidence: Model 1 lacks all multiplicities, uses loose aggregation, and incorrectly associates `JobLog` only with `Company` (`Company o-- JobLog`), failing to link the job back to the `House`. Model 2 perfectly captures the relationships by defining multiplicities (e.g., `House "1" -- "0..1" Basement`), connecting `JobLog` to both `House` and `Company`, and including a note to handle the XOR constraint between having two `Carport`s or one `Garage`.
3. Model attributes with appropriate data types: Model 1 = 4, Model 2 = 5; Evidence: Both models capture the required attributes. Model 2 is more accurate in data typing by defining an Enum for `BuildingMaterial` with the exact values `WOOD`, `BRICK`, and `CONCRETE`, whereas Model 1 relies on a generic `String`.
4. Consistencies of Terminology with given context: Model 1 = 5, Model 2 = 5; Evidence: Both models use terminology fully consistent with the prompt, capturing terms like `EarthBasement`, `humidityLevel`, `SemiDetachedHouse`, and `hasAutomaticDoor` correctly.
5. Adherence of UML class diagram standards: Model 1 = 3, Model 2 = 5; Evidence: Model 1 relies on unlabelled aggregations without specifying cardinalities, making the domain constraints ambiguous. Model 2 fully adheres to PlantUML syntax with well-formed multiplicities, abstract classes, enums, and properly formatted notes.
Total: Model 1 = 19, Model 2 = 25
Choice: B
Reason:
1. Appropriate conceptual classes aligned with the domain: Both models successfully identify all required classes to represent the domain without missing any core concepts.
2. Associations/Multiplicities between classes for domain reasoning: Model 2 is vastly superior. It includes precise multiplicities and correctly resolves the relationship of `JobLog` by linking it to both `Company` and `House`, which accurately reflects "a company carries out a job in a house". Model 1 entirely misses multiplicities and fails to link `JobLog` to `House`. Model 2 also addresses the XOR requirement for Carports/Garages.
3. Model attributes with appropriate data types: Model 2 provides a more precise and constrained representation by using an Enum for the building materials instead of Model 1's open-ended String.
4. Consistencies of Terminology with given context: Both models strictly follow the naming conventions and terminology defined in the prompt.
5. Adherence of UML class diagram standards: Model 2 uses standard bidirectional associations with explicit cardinalities, whereas Model 1 uses aggregations without cardinalities, leaving the diagram conceptually incomplete.
6. Overall judgment: Model 2 is the better model because it accurately captures the complex relational constraints, multiplicities, and specific data types required by the domain description, whereas Model 1 leaves out critical relational logic.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</si>
  <si>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</si>
  <si>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</si>
  <si>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</si>
  <si>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Associations, and Multiplicities: Model 1 = 4, Model 2 = 2; Evidence: Model 1 correctly models core domain multiplicities, such as `EventKind "1" --&gt; "0..*" Event` (allowing an event kind to categorize multiple events) and `Organizer "1..*" --&gt; "1..*" Event` (allowing organizers to manage multiple events). Model 1 also correctly employs composition (`*--`) for `Event` to `EventTask` and `Invitation`, strictly following the instruction to focus on relationship types like composition. It captures the invited attendee's first and last names by mandating a link to an `Attendee` record (`Invitation "*" --&gt; "1" Attendee`). Model 1 has a minor cardinality flaw: `TaskTemplate "0..*" --&gt; "0..*" EventTask` incorrectly implies a single checklist task can instantiate multiple templates. Model 2 contains critical domain-breaking multiplicity errors: `Event "1" -- "1" EventType` restricts an event type (e.g., a birthday party) to exactly one event, and `Event "1" -- "1..*" Organizer` restricts an organizer to exactly one event. Model 2 also completely fails to use composition or aggregation. Additionally, Model 2 misses the required first and last name data during the invitation phase; `Invitation` only contains `invitedEmail`, meaning the names entered by the organizer are lost until the account is created (`0..1 Attendee`). Both models incorrectly restrict `Location` to a single event (`1` to `1`).
Total: Model 1 = 4, Model 2 = 2
Choice: A
Reason:
1. Requirement Alignment, Associations, and Multiplicities: Model 1 provides a much more accurate structural representation of the domain. It correctly allows `EventKind` and `Organizer` to be associated with multiple events, whereas Model 2 strictly limits an `EventType` and an `Organizer` to a single `Event` via its `1` to `1` and `1` to `1..*` multiplicities. Model 1 also correctly utilizes Composition to represent strong ownership (e.g., an `Event` owns its `EventTask`s and `Invitation`s), which directly fulfills the prompt's instruction to focus on relationship types. 
2. Furthermore, Model 1 prevents data loss during the invitation process by assuming early instantiation of the `Attendee` record to store the first and last names entered by the organizer. Model 2 cleverly links task assignments to the `Invitation` (`EventTask "*" -- "0..1" Invitation`) rather than the attendee directly, which better scopes the assignment to the event context, but this does not outweigh its severe multiplicity errors and data omissions.
3. Rejected or checked issues: I did not penalize Model 1 for using directed associations (`--&gt;`) compared to Model 2's undirected associations (`--`), nor did I penalize either model for minor differences in string/date primitive types, as these are either conceptually equivalent or explicitly forbidden penalties. 
4. Overall judgment: Model 1 is significantly better because it captures the fundamental cardinalities of the domain accurately and applies UML relationship types (Composition) exactly as requested, while Model 2 introduces severe 1-to-1 bottlenecks for core entities and misses required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</si>
  <si>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</si>
  <si>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the domain into highly cohesive classes (e.g., `Event`, `EventKind`/`EventType`, `TaskTemplate`, `EventTask`, `Invitation`) and use inheritance (`User` superclass for `Organizer` and `Attendee`) to decouple shared user attributes from role-specific functionality and associations.
2. Complexity: Model 1 = 5, Model 2 = 5; Evidence: Both models contain exactly 10 classes and 2 enumerations (`RsvpStatus`, `TaskStatus`), providing a well-balanced level of detail. They correctly distinguish between conceptual classes (like differentiating `TaskTemplate` from `EventTask`) without overcomplicating the architecture or introducing unnecessary deep inheritance trees.
3. Practicability: Model 1 = 4, Model 2 = 5; Evidence: Model 2 is more practical in its approach to the invitation workflow. It assigns `Invitation` an `invitedEmail` attribute and a `0..1` multiplicity to `Attendee`, which perfectly accommodates the requirement that an attendee creates their account (and password) *after* receiving the email invitation. Model 1 mandates a exactly `"1"` multiplicity from `Invitation` to `Attendee`, forcing the creation of an `Attendee` (and its inherited `password` field) before the user has actually registered. Furthermore, Model 2 correctly defines the relationship between `TaskTemplate` and `EventTask` as `1` to `*`, whereas Model 1 uses `0..*` to `0..*`, which impractically suggests a single checklist task instance could be instantiated from multiple templates simultaneously.
Total: Model 1 = 14, Model 2 = 15
Choice: B
Reason:
1. Cohesion and Decoupling: Both models demonstrate excellent separation of concerns, successfully isolating user roles, event configuration, and task management into distinct, highly cohesive components.
2. Complexity: Both models strike an optimal balance of complexity, mapping the core requirements effectively without adding superfluous classes or convoluted structures.
3. Practicability: Model 2 offers a more robust and realistic representation of the software's behavior. By modeling the `Invitation` to `Attendee` connection as `0..1` and holding the email in the invitation, Model 2 seamlessly supports the asynchronous registration process described in the prompt. Model 1's strict `1` multiplicity makes this workflow awkward. Additionally, Model 2's `1` to `*` association between `TaskTemplate` and `EventTask` is semantically much stronger than Model 1's many-to-many association.
4. Rejected or checked issues: No penalties were applied to Model 1 for using directed associations (`--&gt;`) with PlantUML single-quote comments, nor to Model 2 for using bidirectional associations (`--`), as these are semantically acceptable. Differences like `Date` vs `DateTime` or `0..*` vs `*` were also treated as equivalent and not penalized.
5. Overall judgment: While both models provide strong foundational designs, Model 2 is better aligned with real-world application state transitions (specifically the invitation lifecycle) and utilizes more precise multiplicities, making it the superior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</si>
  <si>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</si>
  <si>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excellently identify the core conceptual classes required by the domain. They both extract `User` as a base class for `Organizer` and `Attendee`, and accurately identify `Event`, `Location`, `TaskTemplate`, `EventTask`, and `Invitation`. Model 1 uses `EventKind` while Model 2 uses `EventType`, both perfectly capturing the "kind of event" requirement.
2. Associations/Multiplicities between classes for domain reasoning: Model 1 = 3, Model 2 = 2; Evidence: Model 1 correctly models that an `Organizer` can manage multiple events (`Organizer "1..*" --&gt; "1..*" Event`) and an `EventKind` categorizes multiple events (`EventKind "1" --&gt; "0..*" Event`). However, Model 1 incorrectly makes the relation between `TaskTemplate` and `EventTask` many-to-many (`"0..*" --&gt; "0..*"`). Model 2 correctly handles the `TaskTemplate` to `EventTask` multiplicity (`* -- 1`), but it contains severe domain flaws by systematically restricting shared entities to a single event: it uses a `"1"` multiplicity on the `Event` side for both `EventType` (`Event "1" -- "1" EventType`) and `Organizer` (`Event "1" -- "1..*" Organizer`). This incorrectly asserts that an event type and an organizer account can only ever be associated with a single event, which contradicts the core requirement of reusing organizers and event lists for future events.
3. Model attributes with appropriate data types: Model 1 = 4, Model 2 = 4; Evidence: Both models correctly model the core attributes and data types, such as `firstName`, `email`, and `password` on `User`, and `postalAddress` and `phoneNumber` on `Organizer`. Model 1 uses `startDateTime: Date` while Model 2 uses `startDate: DateTime`. Both models miss storing the invited person's first and last name directly on the pre-registration invitation, assuming they map to the User object upon invite (though Model 2 includes `invitedEmail: String` on `Invitation`, making it slightly better for the pre-account phase).
4. Consistencies of Terminology with given context: Model 1 = 5, Model 2 = 5; Evidence: Both models exhibit terminology highly consistent with the prompt. For the RSVP statuses, Model 1 uses `CONFIRMED`, `MAYBE`, and `DECLINED`, while Model 2 uses `ATTENDING`, `MAYBE`, and `DECLINED`. For tasks, both perfectly map the text to `TODO` (or `TO_DO`), `DONE`, and `NOT_APPLICABLE`.
5. Adherence of UML class diagram standards: Model 1 = 5, Model 2 = 5; Evidence: Both models use valid PlantUML syntax. They properly declare classes, enums, generalizations (`User &lt;|-- Organizer`), and associations with clear multiplicities, fully adhering to UML notation without syntax errors.
Total: Model 1 = 22, Model 2 = 20
Choice: A
Reason:
1. Appropriate conceptual classes aligned with the domain: Both models are excellent and identical in their abstraction of users, events, and task templates.
2. Associations/Multiplicities between classes for domain reasoning: Model 1 is significantly better. Model 1 correctly models the critical structural relationships that allow `Organizer` accounts and `EventKind` categories to span across multiple events over time (`1..*` to `1..*` and `1` to `0..*` respectively). Model 2 restricts an `Organizer` and an `EventType` to exactly one `Event` (`Event "1" -- "1..*" Organizer` and `Event "1" -- "1" EventType`), breaking the core logic of the application where users return to manage new events.
3. Model attributes with appropriate data types: Both are very strong, accurately applying the required attributes and types. Model 2 is slightly more expressive by adding `invitedEmail` to `Invitation` to handle unverified users, but both perform well overall.
4. Consistencies of Terminology with given context: Both models perfectly align their Enum values and class names with the terminology in the requirements.
5. Adherence of UML class diagram standards: Both models are well-formed and valid under UML/PlantUML guidelines.
6. Rejected or checked issues: I did not penalize Model 1 for using opposite comments (e.g., `'opposite eventKind`) at the end of association lines, as they are standard tooling annotations and semantically harmless.
7. Overall judgment: While both models share a very similar and strong class structure, Model 2 introduces a fatal multiplicity flaw that prevents organizers and event types from being associated with more than one event. Model 1's multiplicities support the domain's long-term operational requirements much better, making it the stronger functional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</si>
  <si>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</si>
  <si>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System Functionality: Model 1 = 4, Model 2 = 5; Evidence: Model 2 explicitly captures the requirement "Sometimes, an organizer also attends the event" with the association `Organizer "0..*" attends "0..*" Event`, whereas Model 1 misses this functionality entirely. Additionally, Model 2's enum values (`InvitationStatus` with `NotReplied`, `TaskStatus` with `NeedsToBeDone`) more literally match the exact wording in the prompt compared to Model 1's standard equivalents (`PENDING`, `TO_DO`).
2. Conceptual Classes, Relationships, and Cardinalities: Model 1 = 4, Model 2 = 4; Evidence: Both models effectively use inheritance (base class `User`/`Person`) and composition (Event composing tasks and invitations). However, both have one minor cardinality imprecision. Model 1 defines `TaskTemplate "0..*" --&gt; "0..*" EventTask`, inaccurately implying a single `EventTask` can instantiate multiple templates. Model 2 defines `Attendee "0..*" receives "0..*" Invitation`, inaccurately implying a single `Invitation` instance (which holds a specific RSVP status) can be shared among multiple attendees, whereas Model 1 correctly maps this as `Invitation "*" --&gt; "1" Attendee`.
Total: Model 1 = 8, Model 2 = 9
Choice: B
Reason:
1. Alignment with Requirements and System Functionality: Model 2 is better aligned with the explicit functional requirements, specifically capturing the detail that an organizer can attend an event. It also uses vocabulary that perfectly mirrors the prompt's domain language. Model 1 omits the organizer's attending capability.
2. Conceptual Classes, Relationships, and Cardinalities: Both models demonstrate a strong grasp of UML semantics, correctly applying composition and inheritance to map the domain. They tie in this criterion, as each model contains exactly one imprecise many-to-many cardinality on a relationship that should logically be one-to-many (`TaskTemplate` to `EventTask` for Model 1; `Attendee` to `Invitation` for Model 2).
3. Rejected or checked issues: Model 1's use of single-quote comments at the end of association lines (e.g., `'opposite managedBy`) was strictly ignored as a standard tooling annotation, per the forbidden penalties. The choice of base class name (`User` vs `Person`) and event category name (`EventKind` vs `EventType`) were treated as semantically equivalent.
4. Overall judgment: Both models provide excellent, highly accurate UML class diagrams. Model 2 edges out Model 1 by explicitly modeling an omitted requirement (organizer attending an event) and offering slightly better linguistic alignment with the prompt's domain terms.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</si>
  <si>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</si>
  <si>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by separating reusable task definitions (`TaskTemplate` in Model 1, `Task` in Model 2) from event-specific task execution (`EventTask`). They also effectively decouple general identity data from specific roles by using inheritance (`User` in Model 1 and `Person` in Model 2 as superclasses for `Organizer` and `Attendee`).
2. Complexity: Model 1 = 5, Model 2 = 5; Evidence: Both models present a balanced complexity with exactly 10 classes and 2 enums. They both use a single, manageable level of inheritance (`User`/`Person` -&gt; `Organizer` &amp; `Attendee`) and maintain an appropriate number of attributes without over-engineering conceptual nouns.
3. Practicability: Model 1 = 4, Model 2 = 3; Evidence: Model 1 correctly models the invitation distribution as `Invitation "*" --&gt; "1" Attendee`, ensuring each RSVP status is tied to a single attendee. It also captures the username requirement with a note. However, its `TaskTemplate "0..*" --&gt; "0..*" EventTask` multiplicity is a minor flaw (should be one-to-many). Model 2 correctly handles `EventTask -- "1" Task`, but its `Attendee "0..*" receives "0..*" Invitation` is a critical many-to-many flaw, implying attendees share invitations and thus share RSVP statuses. Furthermore, Model 2's explicit `Organizer "0..*" attends "0..*" Event` association bypasses the `Invitation` RSVP mechanism and `EventTask` selection logic entirely (which are only linked to `Attendee`), rendering the organizer's attendance untrackable.
Total: Model 1 = 14, Model 2 = 13
Choice: A
Reason:
1. Cohesion and Decoupling: Both models perform equally well, cleanly separating task templates from event instances and utilizing proper inheritance for user roles and responsibilities.
2. Complexity: Both models use the exact same number of classes, enums, and inheritance depth, providing a well-balanced structural view of the system that aligns nicely with the scope of the requirements.
3. Practicability: Model 1 provides a more structurally sound and practical schema. Model 2 suffers from a major logical flaw by making the `Attendee` to `Invitation` relationship many-to-many, which breaks the real-world ability to track individual RSVPs. Additionally, Model 2's attempt to satisfy the "organizer attends" requirement via a direct association creates an isolated path where attending organizers cannot interact with RSVPs or task selection. Model 1's structure is far more robust for actual programming and testing of the invitation flow.
4. Rejected or checked issues: I ignored Model 1's use of single-quote comments (e.g., `'opposite eventKind`) as they are standard PlantUML tooling annotations and do not affect the semantic meaning of the relationships. I also accepted both models' slight variations in naming (e.g., `TaskTemplate` vs `Task`, `User` vs `Person`) as they are valid and equivalent domain interpretations.
5. Overall judgment: Model 1 is the better design because its structural associations—specifically regarding Invitations and Attendee RSVPs—align much more realistically with the functional logic required for an event management system, avoiding the severe many-to-many invitation bug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</si>
  <si>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</si>
  <si>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domain concepts such as Organizer, Attendee, Event, Location, and distinguish between event kinds/types and reusable task templates (e.g., `EventKind` and `TaskTemplate` in Model 1; `EventType` and `Task` in Model 2). Both also logically use a base class (`User` / `Person`) to handle shared account attributes.
2. Associations/Multiplicities between classes for domain reasoning: Model 1 = 4, Model 2 = 4; Evidence: Both models effectively connect the core entities but have minor flaws. Model 1 correctly maps the organizer managing events (`Organizer "1..*" --&gt; "1..*" Event`) but uses a many-to-many multiplicity for `TaskTemplate "0..*" --&gt; "0..*" EventTask` (should typically be 1 to many) and omits explicit modeling of the organizer attending the event. Model 2 explicitly captures the organizer attending (`Organizer "0..*" attends "0..*" Event`), but uses a flawed many-to-many multiplicity for invitations (`Attendee "0..*" receives "0..*" Invitation`), which is usually one-to-many for attendees.
3. Model attributes with appropriate data types: Model 1 = 5, Model 2 = 5; Evidence: Both models correctly assign the requested attributes with appropriate data types. Model 1 uses `Date` for `startDateTime` and `boolean` for `isAttendeeDesignated`. Model 2 uses `DateTime` and `boolean` for `isForAttendees`.
4. Consistencies of Terminology with given context: Model 1 = 4, Model 2 = 5; Evidence: Model 1 uses valid but standard terminology (`RsvpStatus` with `PENDING`, `CONFIRMED`, `DECLINED`), whereas Model 2 uses the exact context terminology requested in the prompt for its enums (`InvitationStatus` with `Attending`, `Maybe`, `NotAttending`, `NotReplied`, and `NeedsToBeDone`, `HasBeenDone`, `NotApplicable`).
5. Adherence of UML class diagram standards: Model 1 = 5, Model 2 = 2; Evidence: Model 1 uses entirely valid PlantUML syntax (e.g., `Event "1" --&gt; "1" Location`). Model 2 contains severe PlantUML syntax violations by omitting the line symbols entirely for numerous relationships (e.g., `Organizer "1..*" organizes "0..*" Event`, `Attendee "0..*" receives "0..*" Invitation`), which will cause parsing and rendering failures.
Total: Model 1 = 23, Model 2 = 21
Choice: A
Reason:
1. Appropriate conceptual classes aligned with the domain: Both models expertly identify and abstract the necessary classes, appropriately using inheritance (`User`/`Person` superclass) to prevent redundant attributes for organizers and attendees.
2. Associations/Multiplicities between classes for domain reasoning: Both capture the relationships reasonably well but exhibit minor multiplicity and domain relationship flaws. Model 1 omits the organizer's ability to attend an event natively, while Model 2 applies a loosely defined many-to-many relationship for invitations and attendees.
3. Model attributes with appropriate data types: Both models assign all required properties, such as occasion, start/end dates, passwords, and task flags, with sensible data types.
4. Consistencies of Terminology with given context: Model 2 perfectly aligns with the prompt's exact wording for statuses (e.g., `NeedsToBeDone`), whereas Model 1 uses conceptually correct but slightly altered synonyms (`TO_DO`, `PENDING`).
5. Adherence of UML class diagram standards: Model 1 fully adheres to valid PlantUML syntax and standard UML notation. Model 2 fails significantly in this criterion by using plain text verbs (e.g., "organizes", "attends", "receives") without valid relation lines (e.g., `--`, `--&gt;`), which breaks the syntax entirely and makes the diagram unrenderable.
6. Rejected or checked issues: I explicitly ignored Model 1's use of single-quote comments (e.g., `'opposite eventKind`) at the end of association lines, as these are standard tooling annotations fully protected by the forbidden penalties rule.
7. Overall judgment: Model 1 is the superior choice because it produces a fully valid, syntactically correct PlantUML diagram that models the complex domain logic extremely well. While Model 2 follows the terminology more strictly and captures the organizer attendance rule directly, its severe syntax errors in modeling associations break the output completely.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</si>
  <si>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</si>
  <si>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Regarding organizer attendance, the requirement states, "Sometimes, an organizer is only managing the event but not attending... Sometimes, an organizer also attends." Model 2 explicitly models this with two distinct associations: `Organizer "1..*" organizes "0..*" Event` and `Organizer "0..*" attends "0..*" Event`. Model 1 only has `Event "1" -- "1..*" Organizer : organized by &gt;`, thereby missing the attendance tracking for organizers. Additionally, for invitations, the requirement states the organizer enters "first and last names as well as their email addresses." In Model 1, the `Invitation` class only has `invitedEmail` and links to `0..1 Attendee`, meaning the first and last names are lost if the user has not yet created an account. Model 2 handles this by allowing the `Attendee` (which inherits first name, last name, and email from `Person`) to receive the `Invitation`. Both models correctly capture event creation, task templates (`EventType` to `Task`/`TaskTemplate`), and task assignments, but Model 2 is more comprehensive regarding the stated constraints.
Total: Model 1 = 4, Model 2 = 5
Choice: B
Reason:
1. Alignment with requirements: Model 2 perfectly captures the explicit requirement that organizers can both manage and attend events by using distinct `organizes` and `attends` associations. Model 1 completely misses the organizer attendance relationship.
2. Model 2 correctly accounts for the first and last name of an attendee at the time of invitation by immediately utilizing the `Person` hierarchy, whereas Model 1's `Invitation` class only stores the `invitedEmail`, causing the first and last names to be lost before the attendee formally creates an account.
3. Rejected or checked issues: Model 2's many-to-many multiplicity on `Attendee "0..*" receives "0..*" Invitation` is slightly broad (as an invitation is typically for one person), and its `Person` class includes a `password` which an invited attendee might not have until they "create an account". However, these are acceptable UML abstractions for initial object creation and do not violate the text, whereas Model 1's omission of organizer attendance is a direct failure to cover a stated requirement. Model 1's assignment of `EventTask` to `Invitation` rather than directly to `Attendee` was considered acceptable but didn't make up for its omissions.
4. Overall judgment: Model 2 is better because it strictly and completely aligns with all domain rules outlined in the prompt, particularly the distinct roles of an organizer (managing vs. attending) and capturing all required information during the invitation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</si>
  <si>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</si>
  <si>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decouple reusable conceptual definitions from specific event instances by separating `EventType` from `Event`, and template tasks from instantiated tasks (Model 1 separates `TaskTemplate` and `EventTask`; Model 2 separates `Task` and `EventTask`). Both cleanly handle user roles by extracting shared properties into a common base class (`User` in Model 1, `Person` in Model 2), ensuring high cohesion.
2. Complexity: Model 1 = 5, Model 2 = 5; Evidence: Both models maintain an appropriate and balanced level of complexity. They utilize the exact same number of conceptual classes (10) and enums (2). They avoid class explosion by using enums (`RsvpStatus`/`InvitationStatus` and `TaskStatus`) to manage states, and use a single level of inheritance to reduce attribute duplication for `Organizer` and `Attendee`.
3. Practicability: Model 1 = 4, Model 2 = 5; Evidence: Model 2 explicitly addresses the requirement "Sometimes, an organizer also attends the event" via a dedicated association (`Organizer "0..*" attends "0..*" Event`), which Model 1 completely omits (only modeling the `organized by` link). Furthermore, the requirement states that the organizer enters invitees' "first and last names as well as their email addresses." In Model 1, the `Invitation` class only has an `invitedEmail` attribute, meaning the names are not stored before the attendee creates an account. Model 2 is more practical because it can instantiate an `Attendee` (which inherits `firstName` and `lastName` from `Person`) immediately to store this data. Finally, Model 2 offers a more direct interaction for tasks (`Attendee "0..*" selects "0..*" EventTask`), whereas Model 1 assigns tasks indirectly to the `Invitation`.
Total: Model 1 = 14, Model 2 = 15
Choice: B
Reason:
1. Cohesion and Decoupling: Both models demonstrate excellent architectural design by separating template-level data from instance-level data and extracting shared identity attributes into a generalized superclass.
2. Complexity: Both models strike a perfect balance, utilizing just enough classes and enums to represent the domain without over-engineering or introducing unnecessary depth to the inheritance tree.
3. Practicability: Model 2 is more practical and domain-accurate. It explicitly captures the optional relationship of an organizer attending an event, which Model 1 misses. Additionally, Model 2's structure supports the initial invitation workflow better by allowing the system to store the invitee's first and last names immediately via the `Person` hierarchy, whereas Model 1's design loses the names until registration because `Invitation` only tracks the email.
4. Rejected or checked issues: Differences in naming conventions (`TaskTemplate` vs `Task`, `User` vs `Person`) and association styles (Model 2's use of composition `*--` vs Model 1's standard associations `--`) are all semantically valid within UML and the domain; no penalties were applied for these stylistic choices.
5. Overall judgment: Model 2 is the better model because it provides a slightly more comprehensive and practical reflection of the specific business rules, particularly concerning organizer attendance and the preservation of invitee data during the pre-registration phase.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</si>
  <si>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</si>
  <si>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perfectly, including separating task templates from their specific event instances (`TaskTemplate` and `EventTask` in Model 1, `Task` and `EventTask` in Model 2), as well as standard classes like `Organizer`, `Attendee`, `Event`, `EventType`, and `Location`.
2. Associations/Multiplicities between classes for domain reasoning: Model 1 = 5, Model 2 = 3; Evidence: Model 1 correctly maps the 1-to-many organizers rule (`Event "1" -- "1..*" Organizer`) and elegantly links `EventTask` to `Invitation` to ensure tasks are assigned to attendees for that specific event. Model 2's direct link `Attendee "0..*" selects "0..*" EventTask` ignores the event-specific invitation context, and several of its textual associations lack formal UML relational syntax.
3. Model attributes with appropriate data types: Model 1 = 4, Model 2 = 4; Evidence: Both models capture most attributes accurately with appropriate types (e.g., `firstName`, `email`, `startDate` in Model 1; `startDateTime`, `endDateTime` in Model 2). However, both fail to explicitly store the invited person's first and last names before they create an account (Model 1 only has `invitedEmail` in `Invitation`, while Model 2 has only `status` in `Invitation`).
4. Consistencies of Terminology with given context: Model 1 = 5, Model 2 = 5; Evidence: Both models use terminology highly consistent with the prompt. For task statuses, Model 1 uses `TODO, DONE, NOT_APPLICABLE` and Model 2 uses `NeedsToBeDone, HasBeenDone, NotApplicable`, both accurately reflecting the checklist requirements.
5. Adherence of UML class diagram standards: Model 1 = 5, Model 2 = 2; Evidence: Model 1 uses completely valid PlantUML syntax with proper lines and arrows (e.g., `Event "1" -- "1..*" Organizer : organized by &gt;`). Model 2 contains severe PlantUML syntax errors by omitting the relationship line operators for multiple associations (e.g., `Organizer "1..*" organizes "0..*" Event` instead of `Organizer "1..*" -- "0..*" Event : organizes`), which would cause the diagram to fail to parse.
Total: Model 1 = 24, Model 2 = 19
Choice: A
Reason:
1. Appropriate conceptual classes aligned with the domain: Both models expertly identify the required entities and handle the template vs. instance pattern for event types and their specific checklists.
2. Associations/Multiplicities between classes for domain reasoning: Model 1 provides more robust domain logic by assigning tasks to the `Invitation` (which ties the attendee to the specific event), whereas Model 2 links `Attendee` directly to `EventTask` without enforcing the event context. 
3. Model attributes with appropriate data types: Both models are strong but slightly incomplete regarding storing pre-registration attendee names (before the account is created), earning them solid but imperfect scores.
4. Consistencies of Terminology with given context: Both models perfectly align their enum values, statuses, and class names with the domain terminology provided in the prompt.
5. Adherence of UML class diagram standards: Model 1 uses flawless PlantUML notation. Model 2 makes critical syntax errors by writing textual sentences (e.g., `Attendee "0..*" receives "0..*" Invitation`) without the required UML association lines (like `--`), rendering those relationships invalid in standard UML/PlantUML parsers.
6. Overall judgment: Model 1 is the superior model. It features a stronger and more precise domain relational structure for attendees claiming tasks, and it completely avoids the severe PlantUML formatting errors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</si>
  <si>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</si>
  <si>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Conceptual Classes: Model 1 = 5, Model 2 = 3; Evidence: Model 1 captures the pre-account invitation state outlined in the requirement by using `invitedEmail: String` in `Invitation` and a `0..1` multiplicity to `Attendee`. It also accurately maps one `EventTask` to one `TaskTemplate` (`* -- 1`). Model 2 misses the pre-account state by forcing `Invitation` to have exactly `1` `Attendee` (failing to allow invitations for non-users) and lacks an email attribute on the invitation. Model 2 also incorrectly uses a many-to-many relationship (`0..*` to `0..*`) between `TaskTemplate` and `EventTask`, which implies a single task checklist item is instantiated from multiple templates.
2. Relationship Types, Associations &amp; Cardinalities: Model 1 = 3, Model 2 = 4; Evidence: Model 2 accurately follows the instruction to use composition (`*--`) for life-cycle dependencies like `EventKind` to `TaskTemplate` and `Event` to `EventTask` / `Invitation`, and correctly uses a many-to-many cardinality for `Organizer` to `Event` (`1..*` to `1..*`). Model 1 fails to use aggregation or composition, and uses overly restrictive cardinalities (e.g., `Event "1" -- "1..*" Organizer` and `Event "1" -- "1" Location`), which incorrectly implies an Organizer can only ever manage one event and a Location can only host one event.
3. Class Names &amp; Attributes: Model 1 = 5, Model 2 = 4; Evidence: Both models use clear names and capture required User and Event attributes well. Model 1 is slightly better because its attributes (`invitedEmail: String` and `isForAttendees: Boolean`) provide stronger alignment with the specific wording of the requirement regarding invites and attendee task designation. Model 2 captures `isAttendeeDesignated: boolean` but lacks any attributes on `Invitation` to hold the required email prior to account creation.
Total: Model 1 = 13, Model 2 = 11
Choice: A
Reason:
1. Requirement Alignment &amp; Conceptual Classes: Model 1 significantly outperforms Model 2 by successfully modeling the lifecycle of an invitation before an attendee registers an account, utilizing a `0..1` relationship and an `invitedEmail` attribute. Model 2 forces the attendee account to exist prematurely. Model 1 also correctly restricts an event task to a single template, while Model 2 uses an erroneous many-to-many relationship.
2. Relationship Types, Associations &amp; Cardinalities: Model 2 is superior in its UML relationship types, correctly applying composition for dependent entities as requested, and correctly capturing the many-to-many nature of organizers and events. Model 1 suffers from overly restrictive "1" cardinalities on the Event side, implying organizers and locations cannot be involved in multiple events.
3. Class Names &amp; Attributes: Model 1's attribute choices trace slightly closer to the specific feature requirements, particularly regarding the pre-registration invitation data.
4. Rejected or checked issues: I strictly ignored Model 2's use of single-quote comments (e.g., `'opposite event`) as these are standard PlantUML tooling annotations. I also ignored differences in primitive types (e.g., `boolean` vs `Boolean`, `Date` vs `DateTime`) and equivalent multiplicity representations as mandated by the forbidden penalties.
5. Overall judgment: While Model 2 exhibits stronger UML technical mechanics (composition, correct Organizer/Event multiplicity), Model 1 is chosen as the better response because its domain logic and conceptual class alignment represent the core business requirements (specifically the invitation lifecycles and task template instantiation) much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</si>
  <si>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</si>
  <si>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Based on the provided requirements and scoring criteria, here is the evaluation of the two UML class diagrams.
```result
Scores:
1. Cohesion and Decoupling: Model 1 = 5, Model 2 = 4; Evidence: Model 1 demonstrates excellent cohesion by ensuring task assignments stay strictly within the context of an event; it does this by linking `EventTask` to the `Invitation` (`EventTask "*" -- "0..1" Invitation : assigned to &gt;`). Model 2 links tasks directly to the global user (`Attendee "0..*" --&gt; "0..*" EventTask : volunteersFor`), which structurally bypasses the event boundary and requires external logic to verify the attendee is actually invited to that specific event. Additionally, Model 2 uses a many-to-many relationship for template instantiation (`TaskTemplate "0..*" --&gt; "0..*" EventTask`), which weakens the strict instantiation concept compared to Model 1's one-to-many design (`EventTask "*" -- "1" TaskTemplate`).
2. Complexity: Model 1 = 5, Model 2 = 5; Evidence: Both models strike an excellent balance in complexity. They correctly abstract the checklist behavior into the well-known Template/Instance pattern (`TaskTemplate` and `EventTask`) without over-engineering. Both correctly utilize enums (`RsvpStatus`, `TaskStatus`) to handle state rather than creating unnecessary conceptual classes.
3. Practicability: Model 1 = 4, Model 2 = 4; Evidence: Model 1 elegantly models the "unregistered user" workflow by allowing invitations to exist before the user creates an account (`invitedEmail` attribute in `Invitation` with a `0..1` relationship to `Attendee`). However, Model 1 has a multiplicity flaw restricting an organizer to a single event (`Event "1" -- "1..*" Organizer`). Model 2 correctly allows organizers to manage multiple events (`Organizer "1..*" --&gt; "1..*" Event`), but requires an `Attendee` to strictly exist for every `Invitation` (`Invitation "*" --&gt; "1" Attendee`), which forces the system to create placeholder accounts for unregistered invitees. Model 2 also has a loose `0..*` to `0..*` multiplicity for template instantiation, which is less practical for code implementation.
Total: Model 1 = 14, Model 2 = 13
Choice: A
Reason:
1. Cohesion and Decoupling: Model 1 handles the event boundary much better. By routing task claims through the `Invitation` class, Model 1 structurally guarantees that only people participating in a specific event can be assigned tasks for it. Model 2's direct link between `Attendee` and `EventTask` is more globally coupled. 
2. Complexity: Both models successfully manage complexity by distinguishing core entities and using the template pattern for the evolving task lists.
3. Rejected or checked issues: I ignored the use of single-quote annotations (e.g., `'opposite eventKind`) in Model 2, as these are standard PlantUML comments used by some tooling for bidirectional generation, adhering strictly to the forbidden penalties. I also noted that both models use inheritance for `Organizer` and `Attendee`, making it difficult for an organizer to also be an attendee of the same event (since they are separate subclasses), but both models made this same abstraction choice.
4. Overall judgment: Both models are of high quality and capture the core domain requirements well. However, Model 1 is slightly better designed structurally. Its usage of `Invitation` as the anchor for both RSVP status and event-specific task assignments creates a tighter, more robust domain model, whereas Model 2's many-to-many multiplicities (specifically for templates) are slightly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</si>
  <si>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</si>
  <si>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perfectly identify the key domain concepts, including `User`, `Organizer`, `Attendee`, `Event`, `EventType`/`EventKind`, `Location`, `TaskTemplate`, `EventTask`, and `Invitation`.
2. Associations/Multiplicities between classes for domain reasoning: Model 1 = 3, Model 2 = 4; Evidence: Model 1 incorrectly uses strict 1-to-1 or 1-to-many multiplicities that prevent reuse, such as `Event "1" -- "1" EventType`, `Event "1" -- "1" Location`, and `Event "1" -- "1..*" Organizer` (which incorrectly means an Organizer can only manage exactly 1 Event). Model 2 correctly captures reuse for event kinds (`EventKind "1" --&gt; "0..*" Event`) and organizers (`Organizer "1..*" --&gt; "1..*" Event`). However, Model 2 has minor flaws, such as an incorrect many-to-many relationship for `TaskTemplate` and `EventTask` (`"0..*" --&gt; "0..*"`), and restricting `Invitation` to strictly require `1` `Attendee` (`Invitation "*" --&gt; "1" Attendee`), whereas Model 1 correctly allows invitations to exist before the attendee creates an account (`Invitation "*" -- "0..1" Attendee`).
3. Model attributes with appropriate data types: Model 1 = 4, Model 2 = 4; Evidence: Both models accurately capture most attributes (e.g., `User` fields, event dates, `TaskStatus`, and `RsvpStatus`). However, both models fail to fully capture the invitee's information before account creation: Model 1 includes `invitedEmail` in `Invitation` but misses the first and last name, while Model 2 misses all invitee details on the `Invitation` class entirely, relying on the `Attendee` class (which inherently requires a password/account).
4. Consistencies of Terminology with given context: Model 1 = 5, Model 2 = 5; Evidence: Both models use terminology that aligns perfectly with the requirements, utilizing terms like `Organizer`, `Attendee`, `TaskTemplate`, `EventTask`, and `RsvpStatus`.
5. Adherence of UML class diagram standards: Model 1 = 5, Model 2 = 5; Evidence: Both models use valid PlantUML syntax with appropriate structural markers (`&lt;|--`, `*--`, `--`).
Total: Model 1 = 22, Model 2 = 23
Choice: B
Reason:
1. Appropriate conceptual classes aligned with the domain: Both models successfully identify and define the necessary classes (users, events, locations, tasks, and invitations) to accurately represent the application's domain.
2. Associations/Multiplicities between classes for domain reasoning: Model 2 is superior because it correctly models the core reusability of domain entities. It uses a one-to-many relationship for `EventKind` to `Event` and a many-to-many relationship for `Organizer` to `Event`, allowing organizers to manage multiple events and templates to be reused for future events of the same kind. Model 1 incorrectly restricts `EventType`, `Location`, and `Organizer` to a single `Event` by putting a `"1"` multiplicity on the `Event` side for all these associations. Model 1 does handle the optionality of the `Attendee` on an `Invitation` slightly better, but Model 2's structural accuracy for event organization is much stronger.
3. Model attributes with appropriate data types: Both models do a good job capturing the required data fields. However, both miss the first and last name of the invitee prior to them creating an account (Model 1 only stores the email on the invitation, while Model 2 stores nothing on the invitation).
4. Consistencies of Terminology with given context: Both models perfectly adhere to the terminology used in the requirements text.
5. Adherence of UML class diagram standards: Both models present well-formed, valid diagrams.
6. Rejected or checked issues: Model 2's use of single-quote comments (e.g., `'opposite eventKind`) was checked and, as per the strict evaluation guidelines, ignored as standard tooling annotations without any penalty. Model 2's use of `Date` instead of `DateTime` is an acceptable primitive alias and was not penalized.
7. Overall judgment: Model 2 is the better response because it correctly models the multiplicities required for reusing event kinds and organizers across multiple events. Model 1's strict 1-to-1 limitations fundamentally break the application's ability to reuse task templates for "the next event" or allow an organizer to manage more than one celebration, which are explicitly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</si>
  <si>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</si>
  <si>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Functionalities: Model 1 = 5, Model 2 = 4; Evidence: Model 1 accurately captures the requirement "Sometimes, an organizer also attends the event" with the explicit association `Organizer "0..*" attends "0..*" Event`. Model 2 entirely misses this functionality, only providing `Organizer "1..*" --&gt; "1..*" Event : manages`. 
2. Conceptual Classes, Associations, and Cardinalities: Model 1 = 4, Model 2 = 4; Evidence: Model 1 correctly models the instantiation of tasks with `EventTask -- "1" Task`, whereas Model 2 uses a less precise many-to-many relationship `TaskTemplate "0..*" --&gt; "0..*" EventTask`. Conversely, Model 2 models the invitation mapping more accurately with `Invitation "*" --&gt; "1" Attendee`, whereas Model 1 uses a looser many-to-many `Attendee "0..*" receives "0..*" Invitation`. Both models successfully apply inheritance (`Person` and `User` superclasses) and aggregation/composition for events and tasks.
3. Clarity in Class Names and Attributes: Model 1 = 5, Model 2 = 5; Evidence: Both models use highly descriptive class names (`EventType` vs `EventKind`, `Task` vs `TaskTemplate`). Both models correctly place required attributes (e.g., `isForAttendees`/`isAttendeeDesignated`, `occasion`, `startDateTime`) and define comprehensive Enums for invitation/RSVP and task statuses that perfectly match the prompt's text.
Total: Model 1 = 14, Model 2 = 13
Choice: A
Reason:
1. Alignment with Requirements and Functionalities: Model 1 successfully fulfills the requirement that organizers can also attend events by providing a dedicated association for it. Model 2 overlooks this entirely, restricting organizers to only a management role.
2. Conceptual Classes, Associations, and Cardinalities: Both models have minor cardinality looseness in different areas (Model 1 with Invitations, Model 2 with Task Templates), but both effectively capture the core domain complexities involving inheritance, composition, and event checklists.
3. Rejected or checked issues: Model 2 uses PlantUML single-quote comments (e.g., `'opposite bank`) and unidirectional arrows instead of bidirectional lines. As per the evaluation guidelines, these are completely valid semantic choices and were not penalized.
4. Overall judgment: Model 1 is better because it strictly aligns with all stated requirements, notably the edge case of organizers attending their own events, whereas Model 2 misses this specific domain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</si>
  <si>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</si>
  <si>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and low coupling by cleanly separating concerns. Both separate the dictionary of reusable task templates from the actual event checklist (Model 1 separates this via `EventType *-- "0..*" Task` and `Event *-- "0..*" EventTask`; Model 2 via `EventKind "1" *-- "0..*" TaskTemplate` and `Event "1" *-- "0..*" EventTask`). Both efficiently decouple state tracking by utilizing distinct enumerations (`InvitationStatus` and `TaskStatus` in Model 1; `RsvpStatus` and `TaskStatus` in Model 2).
2. Complexity: Model 1 = 5, Model 2 = 5; Evidence: Both models maintain an ideal balance of complexity, avoiding over-engineering. Both utilize exactly 9 conceptual classes and 2 enumerations. Both share an identical, shallow inheritance structure of depth 1 to handle user roles efficiently (Model 1 uses `Person &lt;|-- Organizer` and `Person &lt;|-- Attendee`; Model 2 uses `User &lt;|-- Organizer` and `User &lt;|-- Attendee`). 
3. Practicability: Model 1 = 5, Model 2 = 4; Evidence: Model 1 accurately models the specific requirement that "Sometimes, an organizer also attends the event" by including the explicit `Organizer "0..*" attends "0..*" Event` association. Model 2 completely omits this capability, as it only maps `Organizer` to `Event` via `manages`, leaving no mechanism for an Organizer to be an attendee. Furthermore, Model 1 uses a highly practical multiplicity for instantiating a checklist task from a template (`EventTask -- "1" Task`), whereas Model 2 uses a less logical many-to-many association (`TaskTemplate "0..*" --&gt; "0..*" EventTask`), implying an instantiated task could inexplicably originate from multiple templates.
Total: Model 1 = 15, Model 2 = 14
Choice: A
Reason:
1. Cohesion and Decoupling: Both models perform flawlessly, successfully abstracting out users, events, reusable templates, and checklist tasks without tightly coupling the classes.
2. Complexity: Both models keep the number of classes at 9 with a single level of inheritance, accurately representing the conceptual nouns from the requirements without introducing unnecessary implementation-level classes.
3. Practicability: Model 1 is noticeably more practical and faithful to the core requirements. It directly supports the business rule allowing an Organizer to attend an Event, which Model 2 misses entirely. Model 1 also correctly restricts an `EventTask` to correspond to exactly "1" `Task` template, avoiding the confusing many-to-many instantiation seen in Model 2. 
4. Overall judgment: While both models are highly structured, clear, and well-designed, Model 1 is better because it captures a critical domain requirement (organizers attending events) that Model 2 fails to support, and it provides tighter, more logical multiplicities for task templates.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</si>
  <si>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</si>
  <si>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capture the core domain concepts, including the users (`Organizer`, `Attendee` inheriting from `Person`/`User`), events and locations (`Event`, `Location`), and the separation of task templates from specific event task instances (`EventType`/`EventKind` with `Task`/`TaskTemplate`, and `EventTask`).
2. Associations/Multiplicities between classes for domain reasoning: Model 1 = 5, Model 2 = 3; Evidence: Model 1 correctly maps the requirement that "an organizer also attends the event" via the explicit `Organizer "0..*" attends "0..*" Event` association, which Model 2 completely misses. Additionally, Model 1 correctly maps an `EventTask` to exactly one template `Task` (`EventTask -- "1" Task`), whereas Model 2 inaccurately defines a many-to-many relationship between templates and task instances (`TaskTemplate "0..*" --&gt; "0..*" EventTask`). Model 2 does slightly better by restricting `Invitation` to `"1" Attendee`, but the missing organizer attendance requirement and the incorrect task multiplicity make Model 1 significantly better for domain reasoning.
3. Model attributes with appropriate data types: Model 1 = 5, Model 2 = 5; Evidence: Both models accurately capture the required attributes and types. For example, `Organizer` has `postalAddress: String` and `phoneNumber: String`, `Event` has `startDateTime` and `endDateTime`, and both include a boolean flag to designate tasks for attendees (`isForAttendees` in Model 1; `isAttendeeDesignated` in Model 2).
4. Consistencies of Terminology with given context: Model 1 = 5, Model 2 = 4; Evidence: Model 1 uses the exact terminology provided in the prompt for its enumerations (e.g., `Attending`, `Maybe`, `NotAttending`, `NotReplied` for invitations; `NeedsToBeDone`, `HasBeenDone`, `NotApplicable` for tasks). Model 2 opts for developer-centric synonyms (e.g., `CONFIRMED`, `DECLINED`, `TO_DO`, `DONE`) which introduces minor inconsistencies with the requested context.
5. Adherence of UML class diagram standards: Model 1 = 5, Model 2 = 5; Evidence: Both models follow valid PlantUML syntax, use proper inheritance (`&lt;|--`), composition/aggregation (`*--`), and correctly format attributes and enums. Model 2's single-quote annotations (e.g., `'opposite eventKind`) are standard tooling comments and do not violate UML standards.
Total: Model 1 = 25, Model 2 = 22
Choice: A
Reason:
1. Conceptual Classes: Both models perfectly extract the needed entities to form the system, including the advanced abstraction of task templates linked to event types versus instantiated tasks linked to specific events.
2. Associations &amp; Multiplicities: Model 1 is vastly superior here because it captures a critical domain rule explicitly mentioned in the text ("Sometimes, an organizer also attends the event") using an `attends` association. Model 2 completely misses this. Model 1 also correctly establishes a 1-to-many relationship between templates and tasks, while Model 2 inaccurately models it as many-to-many.
3. Terminology: Model 1 strictly aligns its enum values (`InvitationStatus` and `TaskStatus`) with the exact phrases stated in the requirement, whereas Model 2 uses slightly misaligned synonyms. 
4. Rejected or checked issues: Model 2's use of single quotes (`'opposite eventKind`) at the end of association lines was correctly ignored as a standard PlantUML comment, per the forbidden penalties. Model 1's many-to-many multiplicity between `Attendee` and `Invitation` is slightly loose compared to Model 2's many-to-one, but Model 1's inclusion of the missing organizer attendance rule far outweighs this.
5. Overall judgment: Model 1 is the better response. It perfectly maps the specific domain rules, captures the organizer's attendance, sets up correct conceptual multiplicities for tasks, and strictly uses the requested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</si>
  <si>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</si>
  <si>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captures the requirement that an Organizer can attend an event (`Organizer "0..*" attends "0..*" Event`) and uses correct, reusable multiplicities for event types (`Event -- "1" EventType`). However, it contains PlantUML syntax errors by replacing the association line symbols with verbs (e.g., `Organizer "1..*" organizes "0..*" Event`). Model 2 intelligently captures the pre-registration state of an invitee (`invitedEmail: String` in `Invitation` and `Invitation "*" -- "0..1" Attendee`), but it misses the organizer-attends requirement entirely. Furthermore, Model 2 has severe domain-breaking multiplicities: `Event "1" -- "1" EventType` restricts an event type to a single event (contradicting the requirement that tasks are "available for the next birthday party, too"), and `Event "1" -- "1..*" Organizer` restricts an Organizer to only ever organizing one event.
Total: Model 1 = 4, Model 2 = 2
Choice: A
Reason:
1. Alignment with requirements (Conceptual Classes and Relationships): Model 1 explicitly fulfills the requirement that "an organizer also attends the event" via its `attends` relationship. Model 2 completely misses this relationship. While Model 2 does a slightly better job conceptualizing the invitation flow before an account is created, Model 1 covers all the required base domain entities effectively.
2. Alignment with requirements (Cardinalities): Model 2 introduces fatal business logic constraints. By modeling `Event "1" -- "1" EventType`, it forces a strict 1-to-1 relationship, violating the explicit requirement that an event type and its checklist are reused for future events. Similarly, `Event "1" -- "1..*" Organizer` restricts an Organizer to a single event in the entire system. Model 1 avoids these severe domain contradictions.
3. Rejected or checked issues: Model 1's use of verbs instead of association lines (e.g., `organizes` instead of `--`) is a PlantUML syntax error. However, per the evaluation guidelines, domain accuracy and correct business multiplicities take precedence over UML/PlantUML standard compliance, provided the semantic meaning is readable (which it is here).
4. Overall judgment: Model 1 is chosen as the better response because its domain modeling, relationship mappings, and cardinalities faithfully represent the application's core rules and reuse mechanics. Model 2's multiplicity constraints fundamentally break the system's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</si>
  <si>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</si>
  <si>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cleanly decouple task definitions (`Task`/`TaskTemplate`) from event-specific tasks (`EventTask`). However, Model 2 enforces tighter decoupling and better constraints for invitations via `Invitation "*" -- "0..1" Attendee`, correctly restricting an invitation to a single potential attendee. Model 1 uses a looser many-to-many association (`Attendee "0..*" receives "0..*" Invitation`), which semantically implies an invitation could be shared.
2. Complexity: Model 1 = 5, Model 2 = 5; Evidence: Both models are perfectly balanced with exactly 10 classes and a single-level inheritance tree (`Person` or `User` as the base class for `Organizer` and `Attendee`). They extract conceptual classes effectively without unnecessary bloat.
3. Practicability: Model 1 = 5, Model 2 = 3; Evidence: Model 1 covers domain requirements much better. It directly satisfies "an organizer also attends the event" via the `Organizer "0..*" attends "0..*" Event` association, which Model 2 misses. Additionally, Model 1 allows the system to store an invitee's first and last names before account creation (by instantiating an `Attendee` inheriting from `Person`), whereas Model 2's `Invitation` only tracks `invitedEmail`, meaning the names entered by the organizer are lost until the user registers. Model 1 also intuitively allows an `Attendee` to select an `EventTask` directly, while Model 2 awkwardly assigns tasks to an `Invitation`.
Total: Model 1 = 14, Model 2 = 13
Choice: A
Reason:
1. Cohesion and Decoupling: Model 2 is slightly stronger structurally because it correctly constrains the relationship between `Invitation` and `Attendee` to `0..1`, whereas Model 1 uses a many-to-many relationship that is less precise.
2. Complexity: Both models successfully manage complexity by using a well-balanced structure with exactly 10 classes and appropriate inheritance hierarchies.
3. Practicability: Model 1 is significantly more practical and domain-accurate. It explicitly captures the requirement that an organizer can attend an event, and it provides a way to store the first and last names of an invitee before they create an account. Model 2 loses these names because its `Invitation` class only tracks an email address, and it fails to allow an organizer to participate as an attendee without creating a separate user account.
4. Overall judgment: Model 1 is chosen as the better response because its minor structural imprecision in the invitation association is far outweighed by its superior capture of critical functional requirements, such as dual-role participation (organizers attending) and preserving required user data during the invitation phase.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</si>
  <si>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</si>
  <si>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core classes such as `Event`, `Organizer`, `Attendee`, `Location`, `EventType`, and `Invitation`, utilizing a base superclass (`Person` or `User`) to reduce redundancy, and properly separating task templates from event-specific tasks (`Task` / `TaskTemplate` vs `EventTask`).
2. Associations/Multiplicities between classes for domain reasoning: Model 1 = 4, Model 2 = 3; Evidence: Model 1 accurately captures the requirement that "an organizer also attends the event" via the explicit association `Organizer "0..*" attends "0..*" Event`, though it has a slightly inaccurate `0..*` to `0..*` multiplicity between `Attendee` and `Invitation`. Model 2 restricts `Invitation` exclusively to `Attendee`, entirely missing a way for an `Organizer` to attend an `Event` given they are separate subclasses.
3. Model attributes with appropriate data types: Model 1 = 5, Model 2 = 4; Evidence: Model 1 maps attributes perfectly and aligns enum values strictly with the prompt (e.g., `TaskStatus` with `NeedsToBeDone`, `HasBeenDone`, `NotApplicable`). Model 2 correctly models attributes but uses slightly deviated enum values (`TODO`, `DONE`, `NOT_APPLICABLE`).
4. Consistencies of Terminology with given context: Model 1 = 5, Model 2 = 4; Evidence: Model 1 uses terms exactly as presented in the context, such as `InvitationStatus` (`Attending`, `Maybe`, `NotAttending`, `NotReplied`). Model 2 introduces valid but external terms like `RsvpStatus`, `PENDING`, and `DECLINED`.
5. Adherence of UML class diagram standards: Model 1 = 3, Model 2 = 5; Evidence: Model 1 contains PlantUML syntax errors in four of its textual associations by omitting the required connection lines (e.g., writing `Organizer "1..*" organizes "0..*" Event` instead of using `--` or `--&gt;`). Model 2 uses perfectly valid PlantUML syntax for all its associations (e.g., `Event "1" -- "1..*" Organizer : organized by &gt;`).
Total: Model 1 = 22, Model 2 = 21
Choice: A
Reason:
1. Appropriate conceptual classes: Both models properly extract the domain entities, including distinguishing between task templates and instantiated event tasks. Both models effectively use inheritance for users.
2. Domain Reasoning and Terminology: Model 1 is far more faithful to the provided requirements. It accurately models the explicitly stated fact that an organizer can attend an event. Furthermore, Model 1 adopts the exact terminology provided in the prompt for its enumerations (e.g., `NeedsToBeDone`, `NotReplied`), while Model 2 defaults to standard developer synonyms (`TODO`, `PENDING`) which slightly dilutes the domain context.
3. UML Standards: Model 2 is syntactically flawless and renders perfectly. Model 1 has a noticeable PlantUML syntax error where it drops the structural line links (like `--`) in a few of its relationship definitions, making those lines invalid syntax. 
4. Rejected or checked issues: I did not penalize Model 1 for using explicit `0..*` to `0..*` multiplicities rather than implicitly omitting them, nor did I penalize Model 2 for linking tasks to `Invitation` instead of `Attendee`, as both are logically valid ways to model task assignments. 
5. Overall judgment: Following the evaluation guidelines to prioritize domain-faithfulness over UML syntax standards, Model 1 is deemed better. Despite its flawed PlantUML syntax in a few associations, Model 1 captures all critical domain relationships and strictly adheres to the prompt's domain terminology, whereas Model 2 misses the organizer's ability to attend and paraphrases the requirements' terminology.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</si>
  <si>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</si>
  <si>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</si>
  <si>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</si>
  <si>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Modeling: Model 1 = 5, Model 2 = 3; Evidence: Model 1 explicitly defines required cardinalities on its associations, such as `Game "1" *-- "2..4" Player`, `Deck "1" *-- "32" ActionCard`, and directional tile connections like `Tile --&gt; "0..1" Tile : rightTile`. This structurally enforces the requirement that "At the most one tile can be connected on each side". Model 2 completely omits standard UML multiplicities on its association lines (e.g., `Game --&gt; Player : has players`, `Deck *- ActionCard : contains`) and instead relies on attribute arrays like `ActionCard[]` and `ConnectionPiece[]`. Model 2 introduces a `ConnectionPiece` class to link tiles, but fails to structurally constrain the "at most one" connection per side. Furthermore, Model 1 uses an `isHidden: boolean` attribute to denote the hidden tile, whereas Model 2 uses inheritance (`Tile &lt;|-- HiddenTile` and `Tile &lt;|-- ActionTile`), which rigidifies the design and prevents a tile from having overlapping roles if needed.
Total: Model 1 = 5, Model 2 = 3
Choice: A
Reason:
1. Requirement Alignment and UML Modeling: Model 1 demonstrates a much stronger command of UML standard notations by explicitly including the cardinalities requested by the prompt (2-4 players, 32 action cards, 1 connection per side). Model 2's failure to include numerical multiplicities on its diagram associations makes it significantly weaker in illustrating the domain constraints.
2. Structural Integrity: Model 1's approach of using `0..1` directional associations between tiles perfectly captures the topological constraint of the board (at most one connection per top/bottom/left/right side). While Model 2 includes a valid `ConnectionPiece` class, its structural associations do not naturally enforce the side-limit constraint. 
3. Rejected or checked issues: I did not penalize Model 1 for using single-quote comments (e.g., `'opposite leftTile`) as standard tooling annotations. I also recognized Model 2's `ConnectionPiece` and `ConnectionPiecePile` as domain-accurate nouns, but Model 1's representation via `spareConnectionPieces: int` and directional associations is functionally sufficient and paired with vastly superior cardinality constraints.
4. Overall judgment: Model 1 is the better response because it accurately models the essential constraints of the system (multiplicities, limits, and relationships) using standard UML practices, whereas Model 2 misses all critical association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</si>
  <si>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</si>
  <si>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centralizes connection logic within the `Tile` class (using attributes like `isConnectedRight`, `rightTile`) and places spare pieces as a simple integer (`spareConnectionPieces: int`) in `Game`, resulting in lower cohesion. Model 2 successfully decouples these concepts by introducing explicit `ConnectionPiece`, `ConnectionPiecePile`, and `GameBoard` classes, ensuring each class has a highly focused, singular responsibility.
2. Complexity: Model 1 = 3, Model 2 = 4; Evidence: Model 1 has a lower total number of classes (10) but simplifies critical domain entities, entirely omitting methods in all classes except for `Die.roll()`. Model 2 introduces 14 classes and correctly balances complexity by providing a healthy average number of methods per class (e.g., `addConnection`, `executeActionCard`, `takePiece`) to represent the intricate game logic required by the prompt.
3. Practicability: Model 1 = 3, Model 2 = 5; Evidence: Model 1 acts mostly as an anemic domain model with purely structural attributes, which makes it harder to understand how the system dynamically operates (e.g., how a player takes a turn or how connection pieces are moved). Model 2 provides a highly practical blueprint full of clear behavioral contracts (`Player.move(steps: int)`, `ActionTile.triggerAction()`, `Game.nextTurn()`), and accurately models the action card requirements by allowing pieces to be drawn from and returned to a `ConnectionPiecePile`. Furthermore, Model 2 effectively restricts tile color changes using a `TileColor` enum (`WHITE`, `BLACK`), whereas Model 1 loosely uses a `String`.
Total: Model 1 = 9, Model 2 = 14
Choice: B
Reason:
1. Cohesion and Decoupling: Model 2 is superior because it delegates responsibilities across specialized classes. Managing board topology via `GameBoard` and `ConnectionPiece` is much more cohesive than Model 1's approach of stuffing layout coordinates and connection states directly into the `Tile` class. 
2. Complexity: While Model 1 is structurally simpler, it fails to capture the behavioral complexity of the game. Model 2 strikes a much better balance by introducing methods that clearly map to the gameplay requirements without creating overly deep inheritance trees or bloated classes.
3. Practicability: Model 2 is significantly more practical for real-world implementation. The inclusion of functional methods clarifies how components interact during setup and gameplay. Additionally, Model 2's explicit representation of the `ConnectionPiecePile` directly supports the specific action card rules (taking and returning connection pieces), whereas Model 1's reliance on a simple integer (`spareConnectionPieces: int`) obscures how pieces are physically removed from or added to the board graph. 
4. Overall judgment: Model 2 is chosen for its comprehensive, decoupled, and behavior-rich design that faithfully translates the detailed domain requirements into a highly implementable software blueprint. Model 1, while structurally sound, is too passive and omits the dynamic methods necessary for a 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</si>
  <si>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</si>
  <si>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2 correctly introduces `ConnectionPiece` and `ConnectionPiecePile`, which perfectly aligns with the requirement mentioning a "pile of 32 spare connection pieces". Model 1 omits these classes, representing connection pieces through an integer counter (`spareConnectionPieces: int`) and boolean flags/directional associations on the `Tile` class.
2. Associations/Multiplicities between classes for domain reasoning: Model 1 = 5, Model 2 = 1; Evidence: Model 1 explicitly and accurately captures required domain constraints, such as `Game "1" *-- "2..4" Player`, `Deck "1" *-- "32" ActionCard`, and `Tile --&gt; "0..1" Tile` for side connections. Model 2 completely omits multiplicities on all associations (e.g., just `Game --&gt; Player` and `Deck *- ActionCard`), missing critical domain constraints like the 2-4 player limit and the 32 card limit.
3. Model attributes with appropriate data types: Model 1 = 5, Model 2 = 4; Evidence: Model 1 captures specific state logic effectively with attributes like `isNextTurnLost: boolean`, `isVisited: boolean`, and `turnsRemaining: int`. Model 2 makes good use of enums (`TileColor`, `PlayingPieceColor`), but redundantly models association lists as attributes (e.g., `cards: ActionCard[]` inside `Deck`) while simultaneously drawing UML aggregation lines for the same relationships.
4. Consistencies of Terminology with given context: Model 1 = 5, Model 2 = 4; Evidence: Model 1 uses terms directly derived from the text, such as `turnsAsRegular`, which aligns perfectly with "turns into a regular tile for a number of turns". Model 2 uses the term `cooldownTurns`, which makes sense in general gaming terminology but slightly deviates from the provided context.
5. Adherence of UML class diagram standards: Model 1 = 5, Model 2 = 4; Evidence: Model 1 forms a well-structured, highly standard UML diagram where structural bounds are placed on the association lines. Model 2 leaves association lines bare and instead types array attributes inside the class definitions (e.g., `sparePieces : ConnectionPiece[]`), which is less idiomatic for standard UML class diagrams when relationships are already drawn.
Total: Model 1 = 24, Model 2 = 18
Choice: A
Reason:
1. Associations and Multiplicities: Model 1 is vastly superior in capturing the rigid numerical constraints defined in the requirements. It explicitly models the "2 to 4 players" constraint (`"2..4"`), the "32 action cards" (`"32"`), and the "at most one tile can be connected on each side" (`"0..1"` on four directional associations). Model 2 fails to provide any multiplicities on its associations.
2. Domain Abstraction vs. Literal Translation: While Model 2 does a slightly better job explicitly creating a class for `ConnectionPiece`, Model 1 compensates elegantly by representing the connection rules directly through zero-to-one self-associations on the `Tile` class (Top, Bottom, Left, Right). Model 1 still tracks the spare pile via an integer attribute, making it a viable and cleaner abstraction.
3. Terminology and State Tracking: Model 1 aligns more closely with the text's phrasing (e.g., `turnsAsRegular` vs. Model 2's `cooldownTurns`) and keeps track of turn states seamlessly (`isNextTurnLost: boolean`). 
4. Rejected or checked issues: I did not penalize Model 1 for omitting a literal `ConnectionPiece` class, as its structural associations correctly enforce the connection limits (0..1 per side), providing functional equivalence for the domain logic. I also ignored single-quote comments in Model 1 as instructed.
5. Overall judgment: Model 1 is much stronger because it captures the domain rules and constraints through proper UML multiplicities and associations, whereas Model 2 relies heavily on unnumbered lines and internal array attributes, losing critical domain restrictions in its visual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</si>
  <si>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</si>
  <si>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models tile connections using direct associations (e.g., `Tile --&gt; "0..1" Tile : rightTile`) and redundant booleans (`isConnectedRight`) without a dedicated class for connection pieces, and it uses `color: String` for tiles. Model 2 accurately introduces a `ConnectionPiece` class (`Tile "1" o-- "0..1" ConnectionPiece`) to represent the pieces that are physically placed or removed, and uses a `TileColor` enum (`WHITE`, `BLACK`) to perfectly capture the visited color change.
Total: Model 1 = 4, Model 2 = 5
Choice: B
Reason:
1. Alignment with Requirements: Model 2 provides a significantly more accurate domain model by including an explicit `ConnectionPiece` class. The requirements explicitly state that the designer "connects them with connection pieces" and that action cards can "remove a connection piece from the board". Having this as an explicit object makes the model conceptually faithful to the rules, whereas Model 1 simply uses links between tiles and redundant boolean flags, making the removal of a specific piece abstract.
2. State &amp; Attribute Representation: Model 2 precisely captures the visited mechanic using a domain-specific `TileColor` enum with `WHITE` and `BLACK`, exactly as described in the text. Model 1 resorts to a generic `color: String` alongside an `isVisited` boolean. Additionally, Model 2 explicitly models the `HiddenTile` as a distinct subclass and goal referenced by the `Board`, whereas Model 1 applies an `isHidden` boolean to every single regular tile.
3. Rejected or checked issues: Model 1 includes an `isRevealed: boolean` attribute on the `ActionTile`, which is a clever way to handle the requirement that players don't initially know it is an action tile. While Model 2 lacks this specific attribute (likely relying on polymorphism or view-layer abstraction to hide it), Model 2's vastly superior structural composition (especially regarding `ConnectionPiece`) far outweighs this minor omission. Both models correctly identify the 32-card deck constraint and the 2..4 player limits.
4. Overall judgment: Model 2 is superior because its conceptual classes (like `ConnectionPiece` and `HiddenTile`), enumerations, and relationships structurally and accurately represent the precise entities and states outlined in the board game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</si>
  <si>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</si>
  <si>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relies heavily on boolean flags (`isHidden`, `isStartingPosition`) within a single `Tile` class and uses an enum (`ActionCardType`) to distinguish card types, which forces logic centralization. Model 2 uses subclasses (`RegularTile`, `HiddenTile`, `ActionTile`) and polymorphic subclasses for `ActionCard` (with an `execute(game, player)` method), heavily increasing cohesion and decoupling behaviors.
2. Complexity: Model 1 = 3, Model 2 = 5; Evidence: Model 1 limits its complexity to 10 classes by merging concepts into attributes. Model 2 expands to 19 classes and uses an inheritance tree (depth of 1) for tiles and action cards. This complexity is perfectly balanced with the requirement, as it defines 5 distinct action choices and 3 tile types that behave differently.
3. Practicability: Model 1 = 3, Model 2 = 5; Evidence: The requirement dictates that players can "remove a connection piece from the board and place it in the pile of spare connection pieces." Model 2 practically models this by creating a discrete `ConnectionPiece` class that connects to tiles. Model 1 lacks this class entirely, instead relying on boolean flags like `isConnectedRight` on the `Tile` class, making the physical transfer of pieces to a spare pile difficult to implement and test. Model 2 also includes useful behavioral methods like `tickCooldown()` and `markVisited()`.
Total: Model 1 = 9, Model 2 = 15
Choice: B
Reason:
1. Cohesion and Decoupling: Model 2 demonstrates superior object-oriented design by leveraging inheritance and polymorphism. Encapsulating the behavior of the five distinct card types into subclasses (`ExtraTurnCard`, `MoveToTileCard`, etc.) with an `execute` method ensures the core game engine is decoupled from card-specific logic. Model 1's use of enums and boolean flags creates tight coupling.
2. Complexity: Model 2 has a higher total number of classes (19 vs 10), but this complexity is strictly necessary to model the domain accurately. Identifying `ActionCard` and `Tile` variants as distinct conceptual classes rather than mere attributes aligns well with the complexity required by the prompt.
3. Practicability: Model 2 explicitly models `ConnectionPiece` as an entity that can be instantiated and managed, which directly supports the requirements for moving pieces between the board and the spare pile. Furthermore, Model 2's inclusion of explicit methods (`nextTurn()`, `tickCooldown()`, `execute()`) makes the software architecture much more readable and ready for programming and testing compared to Model 1's data-centric structure.
4. Rejected or checked issues: Model 1 includes a `isRevealed` boolean on `ActionTile`, which maps well to the requirement that players do not know if a tile is an action tile until landed on. While Model 2 misses this specific boolean flag, its overall structural advantages, specifically regarding the `ConnectionPiece` class and OOP polymorphism, heavily outweigh this minor omission. 
5. Overall judgment: Model 2 provides a comprehensive, practical, and highly cohesive real-world software design, utilizing engineering best practices like polymorphism and explicit domain modeling. Model 1 is too procedural and merges distinct physical entities into booleans.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</si>
  <si>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</si>
  <si>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2 accurately identifies `ConnectionPiece` as a distinct physical entity, subclasses `Tile` into domain-specific types (`RegularTile`, `HiddenTile`, `ActionTile`), and subclasses `ActionCard` into the five distinct action types (e.g., `ExtraTurnCard`). Model 1 relies on enumerations (`ActionCardType`) and boolean attributes (`isHidden`), completely omitting the required `ConnectionPiece` class.
2. Associations/Multiplicities between classes for domain reasoning: Model 1 = 3, Model 2 = 5; Evidence: Model 2 correctly defines the complex relationship of connecting tiles via pieces (`Tile "1" o-- "0..1" ConnectionPiece` for each direction, and `ConnectionPiece --&gt; "2" Tile`). Model 1's omission of the connection piece class forces it to rely on direct `Tile --&gt; Tile` self-associations combined with redundant boolean flags (`isConnectedRight`), losing crucial domain mechanics regarding the placement/removal of physical connection pieces. Both correctly model the deck/player counts (e.g., `Deck "1" *-- "32" ActionCard`).
3. Model attributes with appropriate data types: Model 1 = 3, Model 2 = 5; Evidence: Model 2 implements explicit Enums (`TileColor` with `WHITE`/`BLACK`, `PieceColor`) to strictly enforce the requirement's state rules ("changes from white to black", "each playing piece has a different color"). Model 1 uses loosely typed `String` for colors and over-relies on primitive boolean flags (`isVisited`, `isConnectedRight`, `isHidden`) instead of stronger object-oriented structures.
4. Consistencies of Terminology with given context: Model 1 = 4, Model 2 = 5; Evidence: Both models adopt accurate terminology from the prompt (e.g., "spareConnectionPieces", "ActionTile"). Model 2 slightly edges out by formalizing specific domain contexts into named structures like `TileColor` and `PieceColor`, and uses `cooldownTurns` to smartly encapsulate the "turns into a regular tile for a number of turns" mechanic.
5. Adherence of UML class diagram standards: Model 1 = 5, Model 2 = 5; Evidence: Both models represent structurally sound, well-formed PlantUML definitions. They accurately use compositions (e.g., `Board "1" *-- "1..*" Tile`), multiplicities, generalizations, and enumerations without violating UML syntactical rules.
Total: Model 1 = 18, Model 2 = 25
Choice: B
Reason:
1. Appropriate conceptual classes aligned with the domain: Model 2 perfectly decomposes the domain into tangible object-oriented classes like `ConnectionPiece`, specific tile types, and specific card subclasses. Model 1 abstracts too heavily, reducing physical pieces and distinct card behaviors into simple primitive fields or enums.
2. Associations/Multiplicities between classes for domain reasoning: Model 2's inclusion of `ConnectionPiece` allows for highly accurate associative modeling of how tiles physically link together on their four sides. Model 1 struggles here due to its missing class, using a clumsy workaround of direct tile associations and booleans.
3. Model attributes with appropriate data types: Model 2 enforces domain rules gracefully through Enums (`TileColor`, `PieceColor`), matching the strict color rules in the text. Model 1 resorts to weakly typed `String`s and an overabundance of booleans.
4. Rejected or checked issues: I noted Model 1's use of single-quote comments (`'opposite leftTile`) and opposite unidirectional arrows instead of bidirectional lines. As per the evaluation guidelines, these were treated as standard tooling annotations and semantically equivalent structures, and thus were not penalized.
5. Overall judgment: Model 2 is vastly superior. It accurately reflects the real-world physical boundaries of a board game, capturing distinct physical objects (Connection Pieces, different tile types, explicit action cards) and constrained properties (specific colors) structurally. In contrast, Model 1 collapses essential domain complexities into flat primitive string and boolean fields, losing crucial physical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</si>
  <si>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</si>
  <si>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Model 2 explicitly captures crucial domain cardinalities outlined in the requirement, such as 2 to 4 players (`Game "1" o-- "2..4" Player`), exactly 32 action cards (`Deck "1" *-- "32" ActionCard`), and strictly enforces "at most one tile can be connected on each side" by using distinct `0..1` aggregations for each direction (`Tile "1" o-- "0..1" ConnectionPiece : rightConnection`, etc.). Model 1 completely omits these multiplicities on its relationships (`Game --&gt; Player`, `ConnectionPiece --&gt; Tile`, `Deck *- ActionCard`) and fails to structurally restrict connections per side (using unconstrained `side1` and `side2` attributes instead). Both correctly model the action tile cooldowns, tile colors, and action card types (Model 1 via Enum, Model 2 via subclasses).
Total: Model 1 = 3, Model 2 = 5
Choice: B
Reason:
1. Requirement Alignment: Model 2 is significantly better at adhering to the instruction's demand for a "detailed focus on the associations between classes, their cardinalities, and the types of relationships". It flawlessly translates textual constraints (2-4 players, 32 action cards, exactly 1 possible connection per side) into accurate UML multiplicities and composition/aggregation relationships. Model 1 lacks multiplicities almost entirely and uses a weaker structural approach for tile connections that does not inherently prevent multiple connections on the same side. 
2. Rejected or checked issues: Model 2 uses an `int` (`spareConnectionPieces: int`) for the pile of spare connection pieces, whereas Model 1 uses a dedicated class (`ConnectionPiecePile`). While Model 1's dedicated class is a nice object-oriented representation of a "pile", Model 2's simplification is acceptable since spare pieces hold no distinct identity while in the pile. This minor detail does not outweigh Model 2's massive advantage in enforcing cardinalities across the rest of the board logic and game setup.
3. Overall judgment: Model 2 is the superior response because it faithfully implements the game's mathematical and structural constraints using proper UML association cardinalities, whereas Model 1 relies on loose, unquantified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</si>
  <si>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</si>
  <si>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achieves higher cohesion and lower coupling by using polymorphism for `ActionCard` (subclasses like `ExtraTurnCard` and `LoseTurnCard`), whereas Model 1 uses an `ActionCardType` enum, implying centralized conditional logic within a single `execute` method. Model 2 also neatly specifies explicit roles (`rightConnection`, `leftConnection`, etc.) between `Tile` and `ConnectionPiece`.
2. Complexity: Model 1 = 4, Model 2 = 4; Evidence: Both models maintain a balanced and appropriate level of complexity. Model 1 uses 15 classes and 4 enums, including a dedicated `ConnectionPiecePile` class. Model 2 uses 16 classes and 4 enums, opting for an inheritance hierarchy for action cards and simplifying the spare pieces pile into an integer attribute (`spareConnectionPieces: int`) within `Game`.
3. Practicability: Model 1 = 3, Model 2 = 5; Evidence: Model 2 structurally enforces the business rules making it highly practical: it includes exact multiplicities (`"2..4" Player`, `"32" ActionCard`) and ensures the "at most one" connection rule per side via associations (e.g., `Tile "1" o-- "0..1" ConnectionPiece : rightConnection`). It also explicitly models `startingPosition` via an association. Model 1 lacks all of these crucial multiplicities and structural validations, relying purely on method signatures.
Total: Model 1 = 10, Model 2 = 14
Choice: B
Reason:
1. Cohesion and Decoupling: Model 2 is superior because it uses polymorphism for the 5 different action card types, encapsulating the specific logic in each subclass. Model 1 groups them into an enum which reduces cohesion and implies a large switch statement.
2. Complexity: Both models have a comparable and well-balanced number of classes and attributes that fit the requirements without over-engineering.
3. Practicability: Model 2 is significantly more practical because its design explicitly enforces domain constraints. By setting `0..1` multiplicities for each directional connection (right, left, top, bottom), it structurally guarantees the layout rules. Furthermore, it accurately captures the 2-4 player limit and 32 card deck limit through UML multiplicities, which Model 1 completely omits.
4. Overall judgment: Model 2 provides a much stronger structural representation of the requirements by utilizing accurate multiplicities, robust associations, and inheritance, making it the better and more practical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</si>
  <si>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</si>
  <si>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correctly identifies a `ConnectionPiecePile` class to represent the "pile of 32 spare connection pieces". Model 2 misses a dedicated class for this physical pile and instead abstracts it into an integer attribute `spareConnectionPieces` within the `Game` class. However, Model 2 excellently introduces subclasses for the five predefined action card types (e.g., `ExtraTurnCard`, `ConnectTilesCard`), whereas Model 1 handles them via an Enum. 
2. Associations/Multiplicities between classes for domain reasoning: Model 1 = 2, Model 2 = 5; Evidence: Model 1 completely omits multiplicities (e.g., `Game --&gt; Player`, `Deck *- ActionCard`, `ConnectionPiece --&gt; Tile`), missing critical domain rules. Model 2 perfectly captures domain rules with explicit multiplicities, such as `Game "1" o-- "2..4" Player` (for 2 to 4 players), `Deck "1" *-- "32" ActionCard` (for 32 action cards), and `Tile "1" o-- "0..1" ConnectionPiece` mapped to 4 directional roles (structurally enforcing "at the most one tile can be connected on each side").
3. Model attributes with appropriate data types: Model 1 = 5, Model 2 = 4; Evidence: Model 1 effectively uses Enums (`Side`, `TileColor`, `PlayingPieceColor`, `ActionCardType`) and arrays (`cards : ActionCard[]`) to represent data types appropriately. Model 2 models most attributes well, but slightly misaligns by typing the physical spare connection pieces simply as an integer `spareConnectionPieces: int` instead of a collection of object references that can be placed on the board.
4. Consistencies of Terminology with given context: Model 1 = 5, Model 2 = 5; Evidence: Both models use terminology fully consistent with the prompt, such as `ActionTile`, `HiddenTile`, `ConnectionPiece`, and terms mapping to the "number of turns" like `cooldownTurns`.
5. Adherence of UML class diagram standards: Model 1 = 5, Model 2 = 5; Evidence: Both models properly adhere to standard PlantUML syntax, correctly utilizing class definitions, inheritance (`&lt;|--`), composition (`*--`), and aggregation (`o--`) without notation errors.
Total: Model 1 = 22, Model 2 = 23
Choice: B
Reason:
1. Appropriate conceptual classes aligned with the domain: Both models identify the core domain classes well. Model 1 is slightly better at representing the physical pile of connection pieces as a distinct conceptual class, while Model 2 uses an integer abstraction.
2. Associations/Multiplicities between classes for domain reasoning: Model 2 is vastly superior in this critical area. The domain requirements heavily emphasize numerical constraints (2-4 players, 32 action cards, 1 connection per side). Model 2 structurally enforces all of these using appropriate multiplicities and directional associations, whereas Model 1 entirely omits numerical constraints.
3. Rejected or checked issues: Both models used `cooldownTurns` to represent the "number of turns" an action tile becomes regular. This is a reasonable conceptual mapping and was not penalized as a terminology inconsistency.
4. Overall judgment: Model 2 is the better response. While Model 1 models the attribute arrays and the connection pile class well, it completely fails to use UML multiplicities. Model 2 leverages multiplicities and explicit directional associations to accurately translate the written constraints into a robust structural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</si>
  <si>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</si>
  <si>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accurately identifies physical nouns as classes (e.g., `ConnectionPiece`, `ConnectionPiecePile`) but completely fails to include cardinalities on any of its association lines (missing `2..4` for players, `32` for cards). Model 2 explicitly models cardinalities (e.g., `Game "1" *-- "2..4" Player`, `Deck "1" *-- "32" ActionCard`) and accurately translates the rule "At the most one tile can be connected on each side" into structural constraints using four directional associations on `Tile` with `0..1` multiplicity (e.g., `Tile --&gt; "0..1" Tile : rightTile`). Model 2 also captures the rule that action tiles are unknown until landed on using `isRevealed: boolean`, which Model 1 omits. 
Total: Model 1 = 3, Model 2 = 5
Choice: B
Reason:
1. **Cardinalities and Multiplicities**: The prompt explicitly demands a detailed focus on cardinalities. Model 1 completely ignores this, omitting all numeric multiplicities on its UML association lines. Model 2 excels here, providing precise and accurate cardinalities that reflect the domain rules (2 to 4 players, exactly 32 cards, 0 to 1 tile connections per side).
2. **Structural Constraints**: Model 2 structurally enforces the game's board topology limit ("At the most one tile can be connected on each side") via its `0..1` directional associations. Model 1's `ConnectionPiece` connects to two tiles and has `side1`/`side2` enums, but its lack of multiplicities means a single tile could theoretically have infinite connections on the same side in the UML structure. 
3. **Rejected or checked issues**: I noted that Model 1 provides explicit conceptual classes for `ConnectionPiece` and `ConnectionPiecePile`, while Model 2 abstracts these into direct `Tile`-to-`Tile` associations and a `spareConnectionPieces: int` counter. Although Model 1's approach maps more literally to the physical nouns, Model 2's approach is fully semantically capable of handling the required mechanics (adding/removing links and tracking the spare count) while doing a far better job of enforcing the topological constraints. Furthermore, Model 2's use of single-quote comments for the opposite directions and singleton constraint are standard tooling annotations and were not penalized.
4. **Overall judgment**: Model 2 is the better response. It strictly follows the instruction to focus on cardinalities, uses UML features to enforce the actual game rules and constraints, and produces a more rigorously defined class structure. Model 1 is too vague due to its complete lack of multiplicity annotations.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</si>
  <si>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</si>
  <si>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delegates connection management to explicit, highly cohesive `ConnectionPiece` and `ConnectionPiecePile` classes. Model 2 reduces connection pieces to a mere integer (`Game.spareConnectionPieces: int`) and bloats the `Tile` class with redundant boolean attributes (`isConnectedRight`, `isConnectedLeft`, etc.) that overlap with its self-associations (`rightTile`, `leftTile`).
2. Complexity: Model 1 = 4, Model 2 = 3; Evidence: Model 1 accurately discerns between conceptual classes and attributes (total 14 classes), utilizing methods to demonstrate interaction logic (e.g., `takePiece()`, `triggerAction()`). Model 2 (10 classes) lacks methods entirely (except `Die.roll()`) and pushes complexity into the `Tile` class by treating distinct concepts as basic boolean flags (`isHidden`, `isStartingPosition`).
3. Practicability: Model 1 = 4, Model 2 = 4; Evidence: Model 1 supports robust testing and programming through clear methods and state representations (e.g., `cooldownTurns`, `currentCooldown` on `ActionTile`), though it misses explicit UML multiplicities for constraints like 2-4 players or 32 cards. Model 2 captures these constraints beautifully with explicit multiplicities (e.g., `Game "1" *-- "2..4" Player`, `Deck "1" *-- "32" ActionCard`), but its design is less practical for managing physical connection pieces since it lacks a `ConnectionPiece` entity, and it introduces contradictions like `Tile.isStartingPosition` existing alongside a `Player --&gt; Tile : startingTile` association.
Total: Model 1 = 13, Model 2 = 10
Choice: A
Reason:
1. Cohesion and Decoupling: Model 1 correctly identifies `ConnectionPiece` as an independent entity with its own lifecycle (moved between a pile and the board). Model 2 violates decoupling by handling connection logic entirely within `Tile` using redundant boolean flags and associations, while tracking spares as an integer in `Game`.
2. Complexity: Model 1 strikes the right balance by providing methods and distinct classes for domain concepts. Model 2 is overly simplistic in its class structure but overly bloated in its `Tile` attributes, failing to map behavior to methods.
3. Rejected or checked issues: Model 2's use of single-quote comments (e.g., `'opposite leftTile`) and unidirectional associations were strictly ignored for scoring as per the forbidden penalties. Model 1's lack of explicit multiplicities (`2..4`, `32`) was noted under Practicability, but it was balanced against Model 2's structural practicability flaws.
4. Overall judgment: Model 1 is significantly better because it provides a realistic, object-oriented structural decomposition of the domain. It correctly models connection pieces, piles, and action cooldowns through distinct classes and methods, making it much more cohesive and practical for implementation than Model 2's attribute-heavy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</si>
  <si>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</si>
  <si>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physical domain entities, including `ConnectionPiece` and `ConnectionPiecePile`, fully matching the requirements. Model 2 captures most classes but abstracts the connection pieces into a primitive `spareConnectionPieces: int` on the `Game` class, omitting an explicit entity that is actively removed and placed in the domain.
2. Associations/Multiplicities between classes for domain reasoning: Model 1 = 3, Model 2 = 4; Evidence: Model 1 establishes correct association paths (e.g., `Deck *- ActionCard`, `ConnectionPiece --&gt; Tile`) but entirely omits UML multiplicities, failing to structurally enforce 2..4 players, 32 cards, or 0..1 side connections. Model 2 excellently captures these numerical constraints (e.g., `"1" *-- "2..4" Player`, `Tile --&gt; "0..1" Tile`), though it misses connection piece associations due to the missing class.
3. Model attributes with appropriate data types: Model 1 = 5, Model 2 = 4; Evidence: Model 1 utilizes strongly typed Enums (`TileColor`, `PlayingPieceColor`, `Side`) and captures clear state logic. Model 2 uses generic `String` types for colors and includes redundant boolean attributes (e.g., `isConnectedRight`, `isConnectedLeft`) that duplicate the structural relationships already defined by its explicit associations (e.g., `rightTile`, `leftTile`).
4. Consistencies of Terminology with given context: Model 1 = 5, Model 2 = 5; Evidence: Both models use terminology fully consistent with the prompt, accurately referencing `ActionCardType`, `Designer`/`GameDesigner`, `Player`, `Tile`, and `PlayingPiece`.
5. Adherence of UML class diagram standards: Model 1 = 5, Model 2 = 5; Evidence: Both models use valid PlantUML syntax, correct structural notations (aggregation, composition, inheritance), and form easily interpretable diagrams without standard violations.
Total: Model 1 = 23, Model 2 = 22
Choice: C
Reason:
1. Appropriate conceptual classes: Model 1 is stronger here as it reifies `ConnectionPiece` and the pile as explicit conceptual classes, precisely matching the physical game mechanics described in the prompt.
2. Associations/Multiplicities: Model 2 is significantly better at domain constraints, utilizing exact UML multiplicities to enforce rules like 2-4 players, 32 cards, and at most one connected tile per side. Model 1 relies on implicit associations without defined limits.
3. Model attributes: Model 1 provides cleaner, stricter typing via enumerations, while Model 2 creates minor redundancy by mixing boolean connection flags with navigational association links.
4. Rejected or checked issues: I noted Model 2's use of opposite unidirectional associations (e.g., `Tile --&gt; Tile : rightTile 'opposite leftTile`) and inline single-quote comments. Per the guidelines, these are 100% semantically equivalent and standard tooling annotations, so they were entirely ignored for scoring. Both models also successfully handled the logic of an `ActionTile` acting as a regular tile by employing cooldown turn attributes instead of forcing invalid dynamic class changing. 
5. Overall judgment: This is a Tie. The two models display different but equally important strengths that offset their respective weaknesses. Model 1 excels in creating a comprehensive conceptual vocabulary and using strong attribute types. Model 2 excels at using structural UML constraints and multiplicities to enforce domain rules. The meaningful quality difference is minimal.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</si>
  <si>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</si>
  <si>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Alignment &amp; UML Semantics: Model 1 = 5, Model 2 = 4; Evidence: Model 1 explicitly models `ConnectionPiece` as a separate class with relationships to `Tile` (e.g., `Tile "1" o-- "0..1" ConnectionPiece`), which perfectly fulfills the domain requirement to "connect two adjacent tiles with a connection piece" and "remove a connection piece". Model 2 lacks a dedicated class for connection pieces on the board, relying instead on direct associations (`Tile --&gt; "0..1" Tile`) and redundant boolean flags (`isConnectedRight: boolean`). Additionally, Model 1 captures the specific visited color requirement via the `TileColor` enum (`WHITE`, `BLACK`), whereas Model 2 relies on a generic `color: String` alongside `isVisited: boolean`. Both models correctly handle key multiplicities such as `2..4` for players and `32` for action cards.
Total: Model 1 = 5, Model 2 = 4
Choice: A
Reason:
1. Domain Alignment &amp; UML Semantics: Model 1 provides a much more accurate domain representation. The requirement specifically treats "connection pieces" as distinct, manipulable entities that can be placed on the board or returned to a pile. Model 1's dedicated `ConnectionPiece` class elegantly captures this, whereas Model 2 abstracts them away into direct tile-to-tile associations, making the required mechanics of removing and adding individual pieces conceptually awkward. Model 1 also utilizes more precise enums (`TileColor`, `PieceColor`) to strictly bound the game's mechanics, compared to Model 2's generic string attributes.
2. Rejected or checked issues: I did not penalize Model 2 for its use of single-quote comments for the singleton constraint or its opposite-direction annotations on associations, as these are forbidden penalties. Additionally, both models effectively represented the 5 predefined types of action cards (Model 1 via explicit inheritance/subclasses, Model 2 via the `ActionCardType` enum), which are both perfectly valid UML approaches and were treated as such.
3. Overall judgment: Model 1 is the better response because its structural design more faithfully models the physical entities and gameplay mechanics detailed in the prompt. By including the `ConnectionPiece` class and leveraging precise enumerations, Model 1 closely mirrors the requirements without the structural redundancies and omissions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</si>
  <si>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</si>
  <si>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an abstract `ActionCard` with an `execute(game: Game, player: Player)` method and 5 concrete subclasses (e.g., `ExtraTurnCard`), encapsulating behavior for high cohesion and low coupling. Model 2 uses an `ActionCardType` enum inside `ActionCard`, which would require external procedural logic (like a switch statement) to execute actions, increasing coupling. Model 1 also decouples `ConnectionPiece` as an independent entity, whereas Model 2 couples tiles directly using self-associations (`Tile --&gt; "0..1" Tile`).
2. Complexity: Model 1 = 5, Model 2 = 4; Evidence: Model 1 introduces more classes (18 total) and inheritance (depth 1 for cards and tiles), which appropriately balances the complexity needed to represent distinct behaviors. Model 2 is structurally simpler (10 classes), relying heavily on attributes (like `isHidden` boolean and enums) rather than subclasses, which keeps the diagram smaller but shifts the complexity away from the structure and into future implementation logic.
3. Practicability: Model 1 = 5, Model 2 = 3; Evidence: Model 1 includes essential behavioral methods (`execute()`, `tickCooldown()`, `markVisited()`) that clarify operations and facilitate testing. It also explicitly models `ConnectionPiece`, making the requirement to "remove a connection piece" highly practical and domain-aligned to implement. Model 2 is largely an anemic domain model with only one method (`Die.roll()`) and omits the physical `ConnectionPiece` class entirely, relying purely on `isConnectedRight` booleans and direct tile references, making the state manipulation less aligned with the physical board game mechanics.
Total: Model 1 = 15, Model 2 = 10
Choice: A
Reason:
1. Cohesion and Decoupling: Model 1 leverages polymorphism (the Command pattern) for action cards, keeping domain logic highly cohesive and decoupled. Model 2 uses an enum that forces centralized, highly coupled behavioral logic elsewhere.
2. Complexity: Model 1 balances complexity well by creating classes that directly map to explicit behavioral domain concepts (like the 5 action cards and connection pieces), whereas Model 2 oversimplifies structurally at the expense of Object-Oriented clarity.
3. Practicability: Model 1 is far more practical for real-world development, providing a rich set of methods to demonstrate system behavior and explicitly representing physical components (`ConnectionPiece`) explicitly required by the game rules to be manipulated. Model 2 lacks behavior and relies on a less traceable approach for managing board connections.
4. Rejected or checked issues: I noted Model 2's use of single-quote PlantUML comments (e.g., `'opposite leftTile`) and two opposite unidirectional associations for tile connections. These are semantically valid and were strictly not penalized. Model 2's lower scores stem solely from its anemic domain representation, lack of polymorphic encapsulation, and omission of the `ConnectionPiece` entity.
5. Overall judgment: Model 1 is the superior model. It correctly applies Object-Oriented design principles like encapsulation and polymorphism, provides meaningful methods to demonstrate system behavior, and faithfully models all physical and logical elements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</si>
  <si>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</si>
  <si>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critical domain classes like `ConnectionPiece`, `HiddenTile`, and specific `ActionCard` subclasses (e.g., `ExtraTurnCard`). Model 2 omits `ConnectionPiece` entirely (a key physical entity manipulated by players), lacks a `HiddenTile` class, and uses an enum for action cards rather than subclasses.
2. Associations/Multiplicities between classes for domain reasoning: Model 1 = 5, Model 2 = 3; Evidence: Model 1 captures the board's graph structure by associating a `Tile` with up to 4 `ConnectionPiece` objects (`Tile "1" o-- "0..1" ConnectionPiece` for sides) and `ConnectionPiece --&gt; "2" Tile`. Model 2 connects `Tile` directly to `Tile` (`Tile --&gt; "0..1" Tile`), failing to model the connection pieces as distinct structural entities.
3. Model attributes with appropriate data types: Model 1 = 5, Model 2 = 3; Evidence: Model 1 uses strict domain-specific enums (`TileColor` with WHITE/BLACK, `PieceColor`) for attribute types. Model 2 uses loosely typed `String` for colors (`color: String`) and relies on boolean attributes (`isConnectedRight: boolean`) instead of object associations to represent the presence of connection pieces.
4. Consistencies of Terminology with given context: Model 1 = 5, Model 2 = 4; Evidence: Model 1 aligns perfectly with prompt terms like "GameDesigner", "HiddenTile", and "ConnectionPiece". Model 2 uses slightly altered terms like "Designer" instead of Game Designer, and "turnsAsRegular".
5. Adherence of UML class diagram standards: Model 1 = 5, Model 2 = 5; Evidence: Both models use correct PlantUML syntax, valid class definitions, and proper association/composition notations without major violations.
Total: Model 1 = 25, Model 2 = 18
Choice: A
Reason:
1. Appropriate conceptual classes: Model 1 accurately captures all physical and logical elements of the game, including `ConnectionPiece` which is vital since the requirement explicitly states action cards can "remove a connection piece from the board". Model 2 completely misses `ConnectionPiece` as an entity.
2. Associations/Multiplicities: Model 1 accurately maps the 4 sides of a tile to `ConnectionPiece` objects, perfectly representing the requirement "At the most one tile can be connected on each side". Model 2 directly links tiles and uses boolean attributes to represent connections, which loses the domain semantics of manipulating physical connection pieces.
3. Model attributes: Model 1 makes excellent use of enumerations (e.g., `TileColor` restricting values to WHITE and BLACK as specified), whereas Model 2 uses generic `String` types for colors and over-relies on boolean flags for structural features.
4. Overall judgment: Model 1 is significantly better because it models the domain's physical entities (connection pieces) and state transitions (colors) much more accurately and robustly through proper object-oriented design and associations. Model 2 abstracts away critical domain components into basic primitive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</si>
  <si>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</si>
  <si>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Cardinalities): Model 1 = 5, Model 2 = 3; Evidence: Model 1 explicitly captures required cardinalities in its associations, such as `"2..4"` players (`Game "1" o-- "2..4" Player`), `"32"` action cards (`Deck "1" *-- "32" ActionCard`), and `"0..1"` connections per side (`Tile "1" o-- "0..1" ConnectionPiece` for right, left, top, bottom). Model 2 entirely omits cardinalities/multiplicities on its associations (e.g., `Game --&gt; Player : has players`, `Deck *- ActionCard : contains`), failing to formally constrain the 2-4 players or the 32 cards limit in the structural diagram.
Total: Model 1 = 5, Model 2 = 3
Choice: A
Reason:
1. Alignment with Requirements (Classes, Relationships, Cardinalities): Model 1 is vastly superior at capturing the numerical constraints defined in the prompt. By leveraging UML multiplicities (2..4 players, exactly 32 action cards), Model 1 translates the business rules into strict structural rules. Model 2 leaves its associations open-ended by omitting multiplicities.
2. Tile Connections and Constraints: The prompt states, "At the most one tile can be connected on each side". Model 1 brilliantly enforces this by defining four separate associations (`rightConnection`, `leftConnection`, `topConnection`, `bottomConnection`) from `Tile` to `ConnectionPiece`, each with a `0..1` cardinality. Model 2 merely gives `ConnectionPiece` two `Side` attributes, completely failing to structurally enforce the "at most one per side" limit on the `Tile` side.
3. Action Card Polymorphism: Model 1 uses an abstract `ActionCard` class with 5 concrete subclasses for the distinct card types (e.g., `ExtraTurnCard`, `ConnectTilesCard`). This correctly applies object-oriented design to represent distinct behaviors. Model 2 uses a single `ActionCard` class with an `ActionCardType` enum, which is structurally less expressive for polymorphic execution.
4. Rejected or checked issues: Model 2 introduces a `ConnectionPiecePile` class to manage the 32 spare pieces, whereas Model 1 simply uses an integer attribute `spareConnectionPieces: int` in the `Game` class. While Model 2's approach is more object-oriented, Model 1's approach is still perfectly valid and simpler for a primitive count. This did not negatively impact Model 2, but its lack of multiplicities was the deciding factor.
5. Overall judgment: Model 1 is clearly better due to its comprehensive and precise use of UML cardinalities to enforce the specific domain rules (number of players, cards, and side connections), whereas Model 2 provides a structurally loose diagram missing vital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</si>
  <si>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</si>
  <si>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the 5 distinct card behaviors using `ActionCard` subclasses (e.g., `ConnectTilesCard`) and `execute(game: Game, player: Player)`, passing necessary context. Model 2 uses an `ActionCardType` enum and `execute(player : Player)` in a single class, which couples all behaviors together and lacks the context needed to affect the board. Model 1 isolates directional connections with explicit associations (e.g., `rightConnection`), whereas Model 2 couples sides into `ConnectionPiece` attributes (`side1 : Side`, `side2 : Side`).
2. Complexity: Model 1 = 5, Model 2 = 4; Evidence: Model 1 introduces subclasses for `ActionCard` which perfectly aligns with the conceptual complexity of the 5 required card actions, while simplifying the spare pile using `spareConnectionPieces: int` in `Game`. Model 2 hides card complexity behind an enum (omitting behavioral classes) but introduces a `ConnectionPiecePile` class for the spare pieces, which is an acceptable but slightly heavier structural choice.
3. Practicability: Model 1 = 5, Model 2 = 3; Evidence: Model 1's `execute(game: Game, player: Player)` signature makes it practical to implement board-modifying cards (like connecting tiles or removing connections), while Model 2's `execute(player : Player)` lacks access to the `GameBoard` or connection pieces. Model 1 also practically enforces requirement constraints via multiplicities: `"2..4" Player`, `"32" ActionCard`, and `"0..1"` for each of the four tile connections. Model 2 omits these numeric constraints entirely (e.g., just `Game --&gt; Player : has players`).
Total: Model 1 = 15, Model 2 = 10
Choice: A
Reason:
1. Cohesion and Decoupling: Model 1 leverages the Command pattern with `ActionCard` subclasses, properly decoupling the 5 distinct card behaviors. Model 2 relies on an `ActionCardType` enum, which would lead to low cohesion and a bloated execution method handling all card logic.
2. Complexity: Model 1 appropriately balances complexity by using structural classes where behavior differs significantly (Action Cards) and simple attributes where it doesn't (`spareConnectionPieces: int`). Model 2 manages complexity decently but hides the structural needs of the different action cards.
3. Practicability: Model 1 is far more practical for real-world implementation. Passing the `Game` context to `ActionCard.execute()` allows cards to modify the board or the spare connection pieces, which is explicitly required by the prompt's rules. Model 2's `execute(player)` is insufficient for these actions. Furthermore, Model 1 correctly captures all stated multiplicities (2..4 players, 32 action cards, 0..1 connections per side).
4. Overall judgment: Model 1 is significantly better due to its accurate modeling of requirement constraints (multiplicities), its highly practical approach to executing action cards with full game context, and its clean handling of tile directional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</si>
  <si>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</si>
  <si>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necessary domain concepts, including `Game`, `GameDesigner`, `Player`, `PlayingPiece`, `Tile` (along with subclasses like `ActionTile` and `HiddenTile`), `ConnectionPiece`, and `ActionCard`.
2. Associations/Multiplicities between classes for domain reasoning: Model 1 = 5, Model 2 = 3; Evidence: Model 1 explicitly captures the numerical domain constraints using multiplicities, such as `2..4` for players, `32` for action cards, and `0..1` for connection pieces on each of the 4 sides of a tile. Model 2 establishes the associative links between classes but completely omits all multiplicities, thus failing to enforce these critical domain rules.
3. Model attributes with appropriate data types: Model 1 = 5, Model 2 = 5; Evidence: Both models assign logical attributes with proper types, such as `cooldownTurns: int` for `ActionTile`, `color: TileColor` for `Tile`, and `name: String` for `Player`.
4. Consistencies of Terminology with given context: Model 1 = 5, Model 2 = 5; Evidence: Both models consistently use the exact terminology provided in the prompt (e.g., "ConnectionPiece", "PlayingPiece", "ActionCard", "GameDesigner").
5. Adherence of UML class diagram standards: Model 1 = 5, Model 2 = 5; Evidence: Both models use valid PlantUML syntax, correctly applying notations for inheritance (`&lt;|--`), composition (`*--`), and basic associations without formatting errors.
Total: Model 1 = 25, Model 2 = 23
Choice: A
Reason:
1. Appropriate conceptual classes aligned with the domain: Both models perfectly capture the required entities and their varying states (using either subclasses or enums).
2. Associations/Multiplicities between classes for domain reasoning: Model 1 is vastly superior in this aspect. It leverages multiplicities to structurally enforce the constraints stated in the requirement (2-4 players, exactly 32 action cards, and a maximum of 1 connection per side). Model 2 draws the correct relationship lines but lacks multiplicity notations entirely, missing out on important domain logic.
3. Model attributes with appropriate data types: Both models define relevant state variables and apply appropriate primitive and enum types.
4. Consistencies of Terminology with given context: Both models strictly adhere to the prompt's vocabulary.
5. Adherence of UML class diagram standards: Both models are well-formed and follow UML conventions.
6. Rejected or checked issues: Model 1 uses abstract classes and subclasses for `ActionCard` types, while Model 2 uses an `ActionCardType` enum inside a single `ActionCard` class. Both are perfectly valid conceptual modeling choices and neither is penalized. 
7. Overall judgment: Model 1 is the better response. By fully utilizing multiplicities, it creates a much more accurate and constrained domain model that reflects the specific rules of the game described in the prompt, whereas Model 2 leaves these critical numerical relationships undefined.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</si>
  <si>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</si>
  <si>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</si>
  <si>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</si>
  <si>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UML Modeling: Model 1 = 4, Model 2 = 3; Evidence: Model 1 correctly implements the requirement to "record when orders are paid for" by including `paidDate: Date` on `Order` and `Invoice`, while Model 2 misses this entirely (using only `isPaid: Boolean` and `paymentStatus`). Model 1 strictly follows the instruction to use specific types of relationships like composition and aggregation (e.g., `Order "1" *-- "1..*" OrderLine`, `Shipment "1" o-- "1..*" OrderLine`), whereas Model 2 relies entirely on standard associations (`--`). Model 1 also establishes a distinct `Warehouse` class to fulfill the Step 3 requirement, which represents the domain better than Model 2's simple role association to `Address`. Conversely, Model 2 successfully captures the payment timing preference (`PaymentTiming` enum) and the explicit `MISSING`/`DAMAGED` shipment statuses mentioned in Step 4, which Model 1 omitted.
Total: Model 1 = 4, Model 2 = 3
Choice: A
Reason:
1. Requirements Alignment and UML Modeling: Model 1 aligns much better with the specific instruction requiring a "detailed focus on... the types of relationships such as inheritance, aggregation, and composition." Model 1 accurately models whole-part and grouping relationships using composition (`*--`) and aggregation (`o--`), whereas Model 2 ignores this and only uses basic associations. Model 1 also correctly captures the explicit Step 1 temporal requirement (payment date) and the conceptual `Warehouse` entity, providing a stronger structural foundation.
2. While Model 2 intelligently deduced the need for a `PaymentTiming` enum to record the customer's choice and explicitly added `MISSING`/`DAMAGED` statuses from the text, these domain additions do not outweigh its failure to record the payment date (a direct requirement) and its complete lack of aggregation/composition usage.
3. Rejected or checked issues: I did not penalize Model 2's usage of a `ShipmentLine` mapping class. It is a valid, albeit different, structural choice for splitting shipments compared to Model 1's direct aggregation. Furthermore, neither model was penalized for formatting or visualization choices. 
4. Overall judgment: Model 1 is the better response because it adheres to the specific UML modeling instructions regarding relationship notation (composition/aggregation) and successfully captures the vital temporal attributes requested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</si>
  <si>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</si>
  <si>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directly associates `Shipment` with `OrderLine` (`Shipment "1" o-- "1..*" OrderLine`), which couples the execution of a shipment directly to the order definition. Model 2 introduces a `ShipmentLine` class with its own `shippedQuantity`, decoupling the ordered amount (`OrderLine`) from the portion being shipped in a specific delivery.
2. Complexity: Model 1 = 4, Model 2 = 5; Evidence: Model 1 introduces behavioral system-level methods like `register()` and `placeOrder()` on the `Customer` class, which adds unnecessary controller-like complexity to domain entities. Model 2 focuses strictly on structural elements and introduces necessary, justified conceptual complexity (like `ShipmentLine` and `PaymentTiming`) to meet the business rules.
3. Practicability: Model 1 = 3, Model 2 = 5; Evidence: Model 1 fails to support multiple requirements from Steps 3 and 4: its `ShipmentStatus` lacks the required `MISSING` and `DAMAGED` states, and it has no mechanism for tracking the user's payment timing choice. Model 2 captures `PaymentTiming` (`ON_ORDER`, `ON_DELIVERY`), comprehensive `ShipmentStatus` values, and handles partial line shipments effectively via `ShipmentLine.shippedQuantity`.
Total: Model 1 = 10, Model 2 = 15
Choice: B
Reason:
1. Cohesion and Decoupling: Model 2 provides superior decoupling by separating what is ordered (`OrderLine`) from what is actually shipped in a given delivery (`ShipmentLine`). Model 1's direct link between `Shipment` and `OrderLine` creates a tightly coupled structure that cannot cleanly handle the requirement of partial line shipments.
2. Complexity: Model 2 balances complexity perfectly with the evolving requirements. It avoids putting operational behaviors (like `pack()` or `placeOrder()`) into the structural domain model, whereas Model 1 includes these methods, muddying the conceptual design.
3. Practicability: Model 2 is significantly more practical because it captures all the iterative requirements. It explicitly handles the `ON_ORDER` and `ON_DELIVERY` payment timings and includes `MISSING` and `DAMAGED` tracking for shipments. Model 1 completely misses these explicit requirements from Steps 3 and 4.
4. Rejected or checked issues: I did not penalize Model 1 for using a dedicated `Warehouse` class instead of reusing `Address` (as Model 2 did with `deliveryWarehouses`), as both are semantically valid ways to model locations. I also ignored presentation differences and data type names (e.g., `Money` vs. `Decimal`).
5. Overall judgment: Model 2 is the better design. It successfully and practically translates the complex, evolving business requirements (partial shipments, delivery tracking, and payment timing) into a cohesive and accurate structural model, whereas Model 1 falls short on the later steps.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</si>
  <si>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</si>
  <si>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entities required by the domain (Customer, Address, Product, Order, OrderLine, Invoice, Shipment). Model 1 explicitly models a `Warehouse` class for Step 3, while Model 2 maps warehouses as an association to `Address` (`deliveryWarehouses`), both of which are valid conceptual representations.
2. Associations/Multiplicities between classes for domain reasoning: Model 1 = 3, Model 2 = 5; Evidence: Model 1 defines `Shipment "1" o-- "1..*" OrderLine`, which mandates that every `OrderLine` must immediately belong to exactly one `Shipment`. This contradicts Step 2's requirement to maintain a "to-be-shipped list" for unshipped lines. Model 2 correctly handles this by introducing `ShipmentLine` with `ShipmentLine "0..*" -- "1" OrderLine`, allowing order lines to exist with zero shipments.
3. Model attributes with appropriate data types: Model 1 = 5, Model 2 = 2; Evidence: Step 1 strictly requires to "record when orders are paid for and shipped," and Step 4 requires tracking a shipment as it is "received". Model 1 captures these temporal requirements perfectly with `paidDate` (on Order/Invoice), `shipmentDate`, and `receivedDate`. Model 2 completely misses `paidDate` (only uses a boolean `isPaid`) and misses `receivedDate` entirely, failing to capture the required timeline. 
4. Consistencies of Terminology with given context: Model 1 = 4, Model 2 = 4; Evidence: Model 1's `OrderStatus` enum correctly includes `PARTIALLY_SHIPPED` and `FULLY_SHIPPED`, directly satisfying Step 2's requirement to mark fully shipped orders. However, it misses the `MISSING` and `DAMAGED` shipment statuses requested in Step 4. Model 2 includes `MISSING` and `DAMAGED` in `ShipmentStatus` and correctly introduces `PaymentTiming` (Step 3), but it completely lacks a shipment status on the `Order` class to mark it as fully shipped.
5. Adherence of UML class diagram standards: Model 1 = 5, Model 2 = 4; Evidence: Model 1 uses comprehensive UML notations, including proper visibility modifiers (`-`, `+`), composition (`*--`), and aggregation (`o--`). Model 2 adheres to valid PlantUML syntax but relies entirely on basic associations (`--`) without visibility markers or advanced structural relationships.
Total: Model 1 = 22, Model 2 = 20
Choice: A
Reason:
1. Appropriate conceptual classes aligned with the domain: Both models identify the necessary concepts well. Model 1 is slightly more explicit with its `Warehouse` class, while Model 2 introduces `ShipmentLine` to handle fulfillment conceptually. Both score highly.
2. Associations/Multiplicities between classes for domain reasoning: Model 2 is superior here. Model 1's multiplicity forces an `OrderLine` to belong to exactly 1 `Shipment`, which structurally breaks the business logic for unshipped items waiting in a to-be-shipped list. Model 2's `0..*` multiplicity correctly models pending states.
3. Model attributes with appropriate data types: Model 1 is significantly better. It meticulously includes all requested temporal attributes (`paidDate`, `receivedDate`) explicitly asked for in Steps 1 and 4. Model 2 misses these critical dates, relying solely on booleans or enums that lose the "when" aspect of the requirement. 
4. Consistencies of Terminology with given context: Both models have minor omissions. Model 1 misses the explicit "missing/damaged" statuses and payment timing choices, whereas Model 2 misses the ability to mark the overarching Order as "fully shipped" (Step 2).
5. Adherence of UML class diagram standards: Model 1 presents a richer, more standard-compliant UML class diagram by employing composition, aggregation, and visibility modifiers that Model 2 leaves out.
6. Overall judgment: Model 1 is the better response. While Model 1 has a strictness flaw in one of its multiplicities, Model 2 critically fails to record the mandatory temporal data explicitly requested in the prompt (paid date, received date) and fails to mark the Order's shipment completion state. Model 1 provides a much more robust, detailed, and data-complete representation of the business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</si>
  <si>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</si>
  <si>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Structural Accuracy: Model 1 = 3, Model 2 = 4; Evidence: Model 1 effectively uses composition/aggregation (e.g., `Shipment "1" o-- "1..*" OrderLine : groups &gt;`) and clearly models the `Address` associations. However, Model 1 completely misses the Step 4 requirement to track missing/damaged deliveries (its `ShipmentStatus` only has `PACKED`, `SHIPPED`, `RECEIVED` with no fields for gathering additional info) and misses the Step 3 payment choice. Model 1 also combines payment and shipping states into a single `OrderStatus` enum (`PAID`, `PARTIALLY_SHIPPED`), creating a conflict for orders that are both paid and partially shipped. Model 2 successfully covers the Step 4 delivery issues via `Delivery.conditionNotes` and `DeliveryStatus` (`DAMAGED`, `MISSING`), captures the Step 3 payment choice with the `PaymentMethod` enum (`DIRECT`, `POST_DELIVERY`), and correctly separates `paymentStatus` and `shippingStatus` on the `Order`. However, Model 2 misses the Step 1 requirement to record the payment date (omits a `paidDate` attribute entirely) and creates a somewhat convoluted structure by separating `Shipment` and `Delivery` where both independently link to `OrderLine`.
Total: Model 1 = 3, Model 2 = 4
Choice: B
Reason:
1. Requirement Alignment &amp; Structural Accuracy: Model 2 is better aligned with the evolving requirements. It successfully incorporates the critical business logic introduced in Steps 3 and 4, specifically the ability to choose a payment method (`DIRECT`, `POST_DELIVERY`) and the ability to gather information on problematic deliveries (`conditionNotes`, `DAMAGED`, `MISSING`). Model 1 completely omits these features, failing the core objective of Step 4. Furthermore, Model 2 correctly separates the payment and shipping statuses on the `Order`, whereas Model 1's combined `OrderStatus` enum creates a logical flaw for orders that are concurrently paid and partially shipped. 
2. Rejected or checked issues: I did not penalize Model 2 for using unidirectional associations accompanied by single-quote PlantUML comments (e.g., `'opposite company`), as these are standard annotations and are semantically equivalent. I also did not penalize Model 1 for using domain-specific types like `Money` versus Model 2's `double`. 
3. Overall judgment: While Model 1 has a slightly cleaner UML relationship structure (using composition and aggregation) and correctly includes the `paidDate` attribute from Step 1, its omission of entire functional requirements from Steps 3 and 4 makes it significantly less complete. Model 2's comprehensive coverage of the advanced requirements and its superior separation of state concerns make it the better domain model, despite its minor omission of the payment date and its slightly redundant Shipment/Delivery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</si>
  <si>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</si>
  <si>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cleanly groups responsibilities, such as reusing the `Address` class for both `Customer` head offices and `Warehouse` locations, and uses a single `Shipment` class to group `OrderLine` elements. Model 2 splits physical dispatch into two separate classes (`Shipment` and `Delivery`) which both link to `OrderLine`. Furthermore, it creates overlapping enums (`ShipmentStatus` and `DeliveryStatus` both contain PACKED, SHIPPED, RECEIVED), leading to poor cohesion and high coupling. Model 2 also unnecessarily ties `Customer` and `Product` to a single `Company` root class.
2. Complexity: Model 1 = 5, Model 2 = 2; Evidence: Model 1 introduces an appropriate number of classes (8) to handle the business requirements, defining clear concepts like `Warehouse` and `Invoice` without over-engineering. Model 2 introduces unnecessary complexity by differentiating `Shipment` and `Delivery` and linking them with redundant associations to `OrderLine`, while also adding an artifact `Company` class that does not aid in solving the domain problem.
3. Practicability: Model 1 = 4, Model 2 = 2; Evidence: Model 1 provides a clear, maintainable, and easily testable design. It uses detailed attributes for `Address` (street, city, etc.) which is highly practical, though it loses a point for omitting the `DAMAGED` and `MISSING` statuses in `ShipmentStatus`. Model 2 captures the `DAMAGED` and `MISSING` delivery states and the explicit `PaymentMethod` (DIRECT, POST_DELIVERY), but its confusing dual-tracking of shipments and deliveries makes it highly impractical to program and maintain without encountering severe state inconsistencies.
Total: Model 1 = 14, Model 2 = 6
Choice: A
Reason:
1. Cohesion and Decoupling: Model 1 exhibits strong cohesion by correctly abstracting `Address` and `Warehouse` and maintaining a single source of truth for shipments. Model 2 suffers from severe decoupling issues by overlapping `Shipment` and `Delivery` responsibilities and duplicating their statuses.
2. Complexity: Model 1 keeps the complexity perfectly balanced with the requirements. Model 2 inflates complexity with redundant classes and enums, as well as a useless `Company` god-class.
3. Practicability: Model 1's structure is modular and intuitive, making real-world implementation and maintenance straightforward. While Model 2 includes specific missing requirements (like missing/damaged states and payment methods), its core structural flaws regarding shipments vs. deliveries severely undermine its viability in a real-world application.
4. Rejected or checked issues: Model 2's use of single-quote PlantUML comments (e.g., `'opposite company`) and its use of primitive types (`int`, `double` instead of `Integer`, `Money`) were completely ignored as per the negative constraints; they did not impact its score. 
5. Overall judgment: Model 1 is significantly better structured and demonstrates a solid understanding of object-oriented design principles. Model 2 has fundamental structural flaws in how it handles the shipment and delivery concepts, making it far less practical despite capturing a few minor domain details that Model 1 missed.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</si>
  <si>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</si>
  <si>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identifies core domain classes like `Address`, `Warehouse`, and `Shipment`. Model 2 includes a slightly unnecessary `Company` class, awkwardly uses `DeliveryAddress` for a head office, and redundantly splits the delivery concept into `Shipment` and `Delivery` classes.
2. Associations/Multiplicities between classes for domain reasoning: Model 1 = 5, Model 2 = 3; Evidence: Model 1 elegantly models `Shipment "1" o-- "1..*" OrderLine` and `Order "1" *-- "1..*" OrderLine` (matching "one or more"). Model 2 creates a confusing relational triangle by associating `Shipment` to `Delivery`, `Shipment` to `OrderLine`, and `Delivery` to `OrderLine`, making the distribution of items ambiguous. Model 2 also uses `*` (0..*) for OrderLines instead of the required `1..*`.
3. Model attributes with appropriate data types: Model 1 = 4, Model 2 = 3; Evidence: Model 1 captures essential attributes like `paidDate` (explicitly requested in Step 1) and prices/unit amounts, though it misses the `MISSING`/`DAMAGED` statuses from Step 4. Model 2 captures the `DAMAGED`/`MISSING` statuses and `PaymentMethod`, but completely misses the explicitly requested `paidDate` and lacks price attributes on products and order lines to justify the invoice total.
4. Consistencies of Terminology with given context: Model 1 = 5, Model 2 = 3; Evidence: Model 1 uses terminology perfectly matching the prompt (e.g., `Warehouse`, `Head office`). Model 2 applies the term `DeliveryAddress` poorly to represent a head office and treats `Shipment` and `Delivery` as entirely separate structural concepts despite the text using them interchangeably for the same process.
5. Adherence of UML class diagram standards: Model 1 = 5, Model 2 = 5; Evidence: Both models use well-formed PlantUML syntax and adhere to UML conventions without major violations.
Total: Model 1 = 24, Model 2 = 18
Choice: A
Reason:
1. Appropriate conceptual classes aligned with the domain: Model 1 logically separates `Address` and `Warehouse` and cleanly encapsulates shipping logic in `Shipment`. Model 2 introduces redundancy by splitting `Shipment` and `Delivery` into separate interconnected classes.
2. Associations/Multiplicities between classes for domain reasoning: Model 1 correctly uses `1..*` for order lines and maintains a clean hierarchy. Model 2 creates a convoluted web between shipments, deliveries, and order lines, and fails to enforce the "one or more" multiplicity constraint (using `*` instead).
3. Model attributes with appropriate data types: Model 1 includes the critical `paidDate` requested in Step 1, along with logical pricing attributes. While Model 2 does a better job capturing the Step 4 error statuses, its omission of the `paidDate` and underlying pricing data for invoices represents a significant domain gap.
4. Consistencies of Terminology with given context: Model 1 stays faithful to the prompt's language, notably modeling the supermarkets' `Warehouse` locations properly. Model 2 forces the head office to be a `DeliveryAddress`, which is conceptually inconsistent.
5. Rejected or checked issues: Model 2 uses unidirectional associations with PlantUML single-quote comments (e.g., `'opposite customer`); per the evaluation rules, these were treated as standard tooling annotations and were not penalized. 
6. Overall judgment: Model 1 is the clear winner. It presents a highly cohesive, robust domain model with accurate multiplicities, clean class separation, and appropriate foundational attributes. Model 2 struggles with ambiguous associations, missing constraints, and omitted key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</si>
  <si>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</si>
  <si>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Alignment and Requirement Coverage: Model 1 = 5, Model 2 = 3; Evidence: Both models capture the core entities (Customer, Product, Order, OrderLine, Invoice). For Step 4's requirement to track "partial deliveries of one or more order lines", Model 1 accurately captures this by introducing a `ShipmentLine` class with a `shippedQuantity` attribute to link `Shipment` and `OrderLine`. Model 2 fails to track partial quantities; it links `Shipment` and `Delivery` directly to `OrderLine` (e.g., `Delivery "*" --&gt; "*" OrderLine`), leaving no place to record *how many* items of a specific line are in a given delivery. Furthermore, for tracking delivery statuses (Step 4), Model 1 cleanly uses a single `Shipment` class and a comprehensive `ShipmentStatus` enum (`PACKED`, `SHIPPED`, `RECEIVED`, `MISSING`, `DAMAGED`). Model 2 redundantly splits this into `Shipment` and `Delivery` classes, resulting in confusing overlapping enums (`ShipmentStatus` and `DeliveryStatus` both duplicate the states `PACKED`, `SHIPPED`, `RECEIVED`). However, Model 2 successfully fulfills the Step 2 requirement to explicitly mark fully shipped orders by including a `shippingStatus` (`FULLY_SHIPPED`) on the `Order` class, which Model 1 omits (Model 1 relies on deriving this from quantities).
Total: Model 1 = 5, Model 2 = 3
Choice: A
Reason:
1. Domain Alignment and Requirement Coverage: Model 1 provides a much more robust and accurate domain model. It correctly implements an association-like class (`ShipmentLine`) with a quantity attribute to properly handle the explicit requirement for partial line-item deliveries. Model 2's direct many-to-many associations between deliveries and order lines completely fail to track the quantities of partial shipments. Additionally, Model 1 elegantly consolidates the shipment/delivery concepts into a single streamlined entity with all required statuses, whereas Model 2 hallucinates two separate entities with redundant statuses and relationships. Model 2 does better at explicitly marking fully shipped orders with a status attribute on the `Order`, but this does not make up for the inability to track partial shipment quantities.
2. Rejected or checked issues: Model 2's use of single-quote annotations (e.g., `'opposite company`), unidirectional arrows (`--&gt;`), primitive aliases (`int`), and equivalent multiplicities (`*` instead of `0..*`) were strictly ignored and not penalized, as they are syntactically valid and semantically equivalent to Model 1's notations.
3. Overall judgment: Model 1 is the superior model because it successfully captures the most complex structural requirement of the domain (tracking quantities of partially shipped order lines across different shipments) and avoids the redundant, overly complex duplication of the Shipment/Delivery lifecycle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</si>
  <si>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</si>
  <si>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order formulation and fulfillment using cohesive `OrderLine` and `ShipmentLine` classes. Model 2 creates overlapping responsibilities between `Shipment` and `Delivery`, as both possess separate status enums (`ShipmentStatus`, `DeliveryStatus`) and both maintain direct associations to `OrderLine`, unnecessarily increasing coupling.
2. Complexity: Model 1 = 5, Model 2 = 3; Evidence: Model 1 effectively meets the requirements using 8 conceptually balanced classes. Model 2 increases complexity by adding an unnecessary top-level `Company` class (`Company "1" --&gt; "*" Customer`) and by fragmenting the shipping requirement into redundant `Shipment` and `Delivery` classes with overlapping statuses.
3. Practicability: Model 1 = 5, Model 2 = 3; Evidence: The requirements specify that "partial deliveries of one or more order lines are possible." Model 1 practically supports this by using an intermediate `ShipmentLine` class equipped with a `shippedQuantity` attribute. Model 2 directly links `Shipment` and `Delivery` to `OrderLine` (which only contains `quantityOrdered`), providing no practical mechanism to record the specific quantity of items fulfilled in a partial shipment.
Total: Model 1 = 15, Model 2 = 9
Choice: A
Reason:
1. Cohesion and Decoupling: Model 1 maintains excellent cohesion by delineating the conceptual boundaries between placing an order and fulfilling it. Model 2 suffers from lower cohesion due to the redundant structural and semantic overlap between its `Shipment` and `Delivery` classes.
2. Complexity: Model 1 limits its scope strictly to the required domain concepts. Model 2 is bloated with unnecessary entities like `Company` and complicates the fulfillment process by splitting it across multiple intertwined classes and enums.
3. Practicability: Model 1 successfully captures the real-world business requirement of tracking partial shipments through its `ShipmentLine.shippedQuantity` attribute. Model 2's direct many-to-many associations fail to provide a way to record partial shipment quantities per delivery, severely impacting its real-world viability.
4. Rejected or checked issues: Model 2's use of single-quote comments (e.g., `'opposite company`) and unidirectional arrows were strictly ignored, as these are standard PlantUML tooling annotations and semantically equivalent association styles.
5. Overall judgment: Model 1 is vastly superior because it provides a precise, elegant, and practical representation of the domain logic. It handles the complex requirement of tracking partial deliveries effectively, whereas Model 2 introduces conceptual bloat while simultaneously missing the structural capability to track partial shipment quantities.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</si>
  <si>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</si>
  <si>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perfectly identifies necessary domain concepts, introducing `Shipment` and `ShipmentLine` to effectively handle groups of shipped order lines. Model 2 introduces an unnecessary `Company` class and splits the tracking concept into redundant `Shipment` and `Delivery` classes, complicating the domain without adding value.
2. Associations/Multiplicities between classes for domain reasoning: Model 1 = 5, Model 2 = 3; Evidence: Model 1 provides clear, traceable relationships mapping `Shipment` to `ShipmentLine` to `OrderLine`. Model 2 creates a tangled and redundant triangle of associations where `Shipment` links to `Delivery`, `Shipment` links to `OrderLine`, and `Delivery` links to `OrderLine`.
3. Model attributes with appropriate data types: Model 1 = 5, Model 2 = 3; Evidence: Model 1 captures the requirement to track partial shipments by including a `shippedQuantity` attribute in both `OrderLine` and the associative `ShipmentLine` class. Model 2 lacks any quantity tracking for its shipments/deliveries, making it impossible to determine how many items of an order line are in a specific shipment.
4. Consistencies of Terminology with given context: Model 1 = 5, Model 2 = 4; Evidence: Model 1 accurately consolidates delivery statuses into a single `ShipmentStatus` enum (PACKED, SHIPPED, RECEIVED, MISSING, DAMAGED) aligned with the text. Model 2 creates redundant `ShipmentStatus` and `DeliveryStatus` enums, and awkwardly reuses the `DeliveryAddress` class for the customer's "head office".
5. Adherence of UML class diagram standards: Model 1 = 5, Model 2 = 5; Evidence: Both models use valid PlantUML syntax, valid multiplicities (`0..*` in Model 1 and `*` in Model 2 are strictly equivalent), and correct structural definitions for classes and enums.
Total: Model 1 = 25, Model 2 = 19
Choice: A
Reason:
1. Appropriate conceptual classes: Model 1 captures the domain much more elegantly with `Shipment` and `ShipmentLine`, whereas Model 2 clutters the model with a redundant separation of `Shipment` and `Delivery`.
2. Associations &amp; Attributes: Model 1 excels at domain reasoning by correctly modeling the many-to-many relationship between Shipments and OrderLines using a payload class (`ShipmentLine`) that tracks `shippedQuantity`. Model 2 completely misses the shipped quantity tracking and instead tangles the associations between Shipments, Deliveries, and OrderLines.
3. Terminology: Model 1 applies the status terminologies cleanly into one enum, whereas Model 2 splits them confusingly across two enums.
4. Rejected or checked issues: Model 2 uses unidirectional arrows (`--&gt;`) with tooling comments (`'opposite`) and uses `*` instead of `0..*`. Following the forbidden penalty guidelines, these were treated as 100% valid and semantically equivalent to Model 1's bidirectional associations and `0..*` annotations. No points were deducted for these stylistic choices.
5. Overall judgment: Model 1 is significantly better because it successfully captures the nuanced domain requirements for partial shipments and grouped order lines without introducing structural redundancy or circular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</si>
  <si>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</si>
  <si>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a `PaymentTiming` enum (`ON_ORDER`, `ON_DELIVERY`), includes `MISSING` and `DAMAGED` in `ShipmentStatus`, and uses a `ShipmentLine` class to support partial shipment of order lines. Model 2 lacks payment timing options, omits missing/damaged statuses in `ShipmentStatus` (only having `PACKED`, `SHIPPED`, `RECEIVED`), and links `Shipment` "1" to "1..*" `OrderLine`, which restricts an order line to exactly one shipment, preventing partial shipment of a single line.
Total: Model 1 = 5, Model 2 = 3
Choice: A
Reason:
1. Alignment with Requirements: Model 1 correctly captures the evolving business requirements. It accurately models the payment timing choice (Step 3) using the `PaymentTiming` enum and tracks missing/damaged deliveries (Step 4) via the `ShipmentStatus` enum. Crucially, Model 1 supports partial shipments of individual order lines by introducing a `ShipmentLine` junction class with a `shippedQuantity` attribute. Model 2 fails to capture the payment timing choices and delivery error statuses. Furthermore, Model 2 directly connects `Shipment` to `OrderLine` with a `1` multiplicity on the `Shipment` side, which makes it impossible to split a single order line across multiple shipments (violating the partial delivery requirement).
2. Rejected or checked issues: Model 1 lacks an explicit `paidDate` attribute (using `paymentStatus` and `isPaid` booleans instead), whereas Model 2 includes `paidDate`. However, this minor omission in Model 1 does not outweigh Model 2's failure to support major domain requirements from Steps 3 and 4 (payment choices, delivery issue tracking, and partial line multiplicities).
3. Overall judgment: Model 1 is significantly better. It adapts successfully to the iterative requirements, properly utilizing relationships, cardinalities, and enumerations to handle complex real-world scenarios like partial shipments and delivery statuses. Model 2 misses several explicit requirements and uses a multiplicity that prevents a stated functionality.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</si>
  <si>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</si>
  <si>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cleanly separates relationships using associations (e.g., `Customer` to `Address` for `headOffice` and `deliveryWarehouses`). Model 2 slightly reduces cohesion by duplicating its relationships: it declares `headOfficeAddress : Address` as an internal attribute within `Customer` (and similarly for `Warehouse`) while simultaneously defining explicit UML associations like `Customer "1" -- "1" Address`. Additionally, Model 2 tightly couples `Order` deliveries strictly to a `Warehouse` entity (`Order "1" -- "1" Warehouse : delivers to &gt;`), whereas Model 1 flexibly uses `Address` for deliveries (`Order "1" -- "1" Address : deliveredTo`), which better reflects that not all customers will have separate warehouse entities.
2. Complexity: Model 1 = 4, Model 2 = 5; Evidence: Model 2 appropriately reduces structural complexity by directly associating `Shipment` with `OrderLine` (`Shipment "1" o-- "1..*" OrderLine`). This aligns perfectly with the Step 4 requirement to stop line-by-line tracking and instead "do this for each group of order lines that are shipped together." Model 1 retains the intermediate `ShipmentLine` class mapped to `OrderLine`, which keeps the complexity slightly higher than necessary for the updated Step 4 requirement, though it remains a valid approach.
3. Practicability: Model 1 = 5, Model 2 = 3; Evidence: Model 1 accurately models all domain states, explicitly including `MISSING` and `DAMAGED` in the `ShipmentStatus` enum and adding a `PaymentTiming` enum (`ON_ORDER`, `ON_DELIVERY`) to capture the business choices introduced in Steps 3 and 4. Model 2 is less practical for the given domain as it completely omits the missing and damaged statuses from `ShipmentStatus` (`PACKED`, `SHIPPED`, `RECEIVED` only) and lacks a mechanism to explicitly capture the user's payment timing choice. While Model 2 explicitly adds an `OrderStatus` enum to track shipped states (Step 2), Model 1 successfully supports this practically by tracking `orderedQuantity` and `shippedQuantity` within `OrderLine`.
Total: Model 1 = 14, Model 2 = 12
Choice: A
Reason:
1. Cohesion and Decoupling: Model 1 achieves better decoupling by mapping deliveries directly to addresses and avoiding the redundant attribute-and-association declarations present in Model 2 (e.g., placing the `Address` type as an attribute inside classes that already have a dedicated association to the `Address` class).
2. Complexity: Both models maintain reasonable complexity. Model 2 aligns slightly better with the Step 4 simplification by directly grouping `OrderLine`s into `Shipment`s, avoiding the need for an intermediate class. Model 1's use of `ShipmentLine` is more traditional but marginally more complex than the revised requirement demands.
3. Practicability: Model 1 is significantly more practical because it captures all critical and explicit business requirements. It includes the `PaymentTiming` enum to record when a customer chooses to pay (Step 3) and fully defines `ShipmentStatus` with `MISSING` and `DAMAGED` to track real-world delivery issues (Step 4). Model 2 completely overlooks these explicitly stated requirements, making it less viable for the final state of the application.
4. Rejected or checked issues: I checked if Model 1 should be penalized for omitting a specific `OrderStatus` enum (like Model 2's `FULLY_SHIPPED`). I chose not to penalize it because the fully shipped state can be accurately and practically derived from comparing `OrderLine.orderedQuantity` with `OrderLine.shippedQuantity`. I also ignored the use of directional arrows in associations (`&gt;`) versus non-directional lines, as they are semantically valid in this context. 
5. Overall judgment: Model 1 is the better model because it accurately and comprehensively reflects the iterative domain requirements—particularly the specific states and choices introduced in the later steps—while maintaining a clean, cohesive, and logically decoupled architecture.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</si>
  <si>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</si>
  <si>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`ShipmentLine` to handle partial deliveries, and enums for `PaymentTiming` and `ShipmentStatus` that include all required states. Model 2 successfully identifies `Warehouse` but lacks a conceptual class for tracking partial shipment quantities (like a shipment line or association class) and misses the payment timing concept.
2. Associations/Multiplicities between classes for domain reasoning: Model 1 = 5, Model 2 = 3; Evidence: Model 1 uses `Shipment "1" -- "1..*" ShipmentLine` and `ShipmentLine "0..*" -- "1" OrderLine` to accurately track how much of an order line is in a specific shipment. Model 2 directly associates `Shipment "1" o-- "1..*" OrderLine`, which provides no way to track the quantity of a partially delivered order line per shipment.
3. Model attributes with appropriate data types: Model 1 = 4, Model 2 = 3; Evidence: Model 1 correctly models attributes like `paymentTiming`, `orderedQuantity`, and `shippedQuantity`, but misses the `paidDate` requested in Step 1. Model 2 correctly includes `paidDate`, but it duplicates `headOfficeAddress` as both an attribute in `Customer` and a directed association to `Address`, and completely misses attributes for payment timing and shipment line quantities.
4. Consistencies of Terminology with given context: Model 1 = 5, Model 2 = 4; Evidence: Model 1 perfectly aligns with the prompt's terminology, explicitly defining `MISSING`, `DAMAGED`, `ON_ORDER`, and `ON_DELIVERY`. Model 2 omits terms for delivery issues (`MISSING`, `DAMAGED`) in its `ShipmentStatus` enum and lacks payment timing terminology.
5. Adherence of UML class diagram standards: Model 1 = 5, Model 2 = 5; Evidence: Both models use standard PlantUML syntax, correct notation, and valid association definitions without violating UML rules.
Total: Model 1 = 24, Model 2 = 19
Choice: A
Reason:
1. Appropriate conceptual classes aligned with the domain: Model 1 captures all domain concepts including partial shipment tracking (`ShipmentLine`) and payment timing. Model 2 misses payment timing and delivery issue states.
2. Associations/Multiplicities between classes for domain reasoning: Model 1's inclusion of `ShipmentLine` allows it to correctly resolve the many-to-many relationship between shipments and order lines for partial deliveries. Model 2's direct association fails to support tracking partial quantities per shipment.
3. Model attributes with appropriate data types: Model 1 models most required attributes well but misses `paidDate`. Model 2 includes `paidDate` but suffers from redundant attribute/association mapping for `headOfficeAddress` and lacks payment timing and partial quantity attributes.
4. Consistencies of Terminology with given context: Model 1 faithfully incorporates all contextual terms (e.g., MISSING, DAMAGED, ON_ORDER, ON_DELIVERY), whereas Model 2 leaves several out.
5. Adherence of UML class diagram standards: Both models are well-formed and perfectly readable, adhering to standard PlantUML syntax.
6. Rejected or checked issues: Model 2's use of aggregation (`o--`) and composition (`*--`) versus Model 1's simple associations (`--`) was noted, but both are semantically acceptable for representing whole-part domain logic. This did not negatively impact either score.
7. Overall judgment: Model 1 provides a significantly more accurate and comprehensive representation of the domain logic, particularly in handling the complex requirements of partial deliveries and varying payment timings. Model 2's failure to properly model partial shipments of order lines makes it less effective.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</si>
  <si>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</si>
  <si>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Modeling Precision: Model 1 = 3, Model 2 = 5; Evidence: Model 1 misses the explicit requirement to "record when orders are paid for" (lacking any paid date attribute in `Order` or `Invoice`). Model 1 also incorrectly models the "one or more order lines" requirement by using `*` (which semantically means `0..*`) for the Order-to-OrderLine cardinality (`Order "1" --&gt; "*" OrderLine`), and unnecessarily hallucinates separate `Shipment` and `Delivery` classes when the requirement text uses the terms interchangeably to track a single entity's status ("track a shipment as it is packed, shipped and received"). Model 2 strictly adheres to all requirements: it includes `paidDate` in both `Order` and `Invoice`, accurately enforces the cardinality with `1..*` (`Order "1" *-- "1..*" OrderLine`), handles shipment tracking through a single unified `Shipment` class with exact matching statuses (`PACKED`, `SHIPPED`, `RECEIVED`), and effectively applies specific relationship types like composition (`*--`) and aggregation (`o--`) to reflect strict domain dependencies.
Total: Model 1 = 3, Model 2 = 5
Choice: B
Reason:
1. Alignment with Requirements and Modeling Precision: Model 2 is superior because it perfectly captures both the required attributes and the business logic constraints. It explicitly includes the required paid dates, correctly models the `1..*` multiplicity for order lines, properly represents "warehouses" for delivery addresses, and uses advanced UML relationship types (composition and aggregation) to accurately reflect the lifecycle dependence of order lines and shipments. Model 1, on the other hand, misses the temporal requirement for recording payment times, violates the minimum cardinality of order lines by allowing zero, and introduces unnecessary complexity by splitting shipment and delivery into two distinct classes.
2. Rejected or checked issues: I noted that Model 1 uses single-quote PlantUML comments at the ends of its association lines (e.g., `'opposite customer`). Per the forbidden penalties, these are standard tooling annotations and were strictly ignored during scoring. I also recognized Model 1's addition of the `PaymentMethod` enum as a reasonable interpretation for choosing when to pay, but it does not compensate for the explicit omission of the mandatory payment timestamp.
3. Overall judgment: Model 2 provides a much tighter, more accurate, and semantically richer representation of the domain requirements. It leverages exact cardinalities, specific relationship types, and captures all required data points without unnecessary additions, making it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</si>
  <si>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</si>
  <si>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creates highly coupled, redundant dependency triangles (e.g., linking `Shipment` to `Delivery`, `Shipment` to `OrderLine`, and `Delivery` to `OrderLine`). Model 2 cleanly decouples this by having `Shipment` aggregate `OrderLine` directly. Furthermore, Model 2 decouples location concepts by introducing a cohesive `Warehouse` class, whereas Model 1 reuses `DeliveryAddress` directly for both customer head offices and warehouse locations with multiple overlapping relations.
2. Complexity: Model 1 = 3, Model 2 = 5; Evidence: Model 1 introduces an unnecessary global `Company` class, which acts as a root to all customers and products, artificially inflating complexity. Additionally, Model 1 creates two overlapping enums (`DeliveryStatus` and `ShipmentStatus`) that duplicate literals like `PACKED`, `SHIPPED`, and `RECEIVED`. Model 2 perfectly balances complexity by avoiding the root class and utilizing exactly 8 classes and 2 enums without duplication.
3. Practicability: Model 1 = 3, Model 2 = 4; Evidence: Model 2 defines explicit behavioral methods (e.g., `adjustStock(quantity: Integer)`, `markPaid()`, `pack()`, `ship()`), offering a comprehensive representation of software behaviors that significantly enhances programming and testability. Model 1 is entirely anemic (no methods). However, Model 2 misses the `MISSING` and `DAMAGED` statuses explicitly requested in Step 4, which Model 1 correctly includes in its `DeliveryStatus` enum. Despite this omission, Model 2's modularity makes it more practical overall.
Total: Model 1 = 9, Model 2 = 14
Choice: B
Reason:
1. Cohesion and Decoupling: Model 2 exhibits superior decoupling. Model 1 has a tangled association network (particularly around shipments, deliveries, and order lines), whereas Model 2 logically associates `Shipment` directly to `OrderLine` groups. Model 2 also correctly encapsulates address details within a distinct `Warehouse` entity.
2. Complexity: Model 2 strikes the right balance of complexity. Model 1 inflates the diagram with a global `Company` singleton class and duplicates lifecycle states across two separate enums (`ShipmentStatus` and `DeliveryStatus`).
3. Practicability: Model 2 is significantly more practical because it includes explicit domain methods that clearly model the system's behaviors and enable testable state transitions. Although Model 2 misses the specific "missing" and "damaged" tracking requirement from Step 4 (which Model 1 captures), Model 2 provides a much stronger foundation for real-world development.
4. Rejected or checked issues: I completely ignored Model 1's use of single-quote PlantUML comments (e.g., `'opposite company`) as these are standard tooling annotations that do not affect the UML semantics.
5. Overall judgment: Model 2 offers a cleaner, well-decoupled, and highly behavioral design compared to Model 1's tangled dependencies, anemic data structure, and redundant enums. Therefore, Model 2 is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</si>
  <si>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</si>
  <si>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captures most concepts but unnecessarily splits the delivery concept into `Shipment` and `Delivery` classes. Model 2 captures the concepts perfectly, specifically introducing the `Warehouse` class which explicitly fulfills the Step 3 requirement ("supermarkets sometimes have several warehouses").
2. Associations/Multiplicities between classes for domain reasoning: Model 1 = 3, Model 2 = 5; Evidence: Model 1 features a confusing and redundant triangular association where both `Shipment` and `Delivery` point to `OrderLine`, while also associating with each other. Model 2 cleanly fulfills Step 4 by using aggregation to show that `Shipment` groups `1..*` `OrderLine`, and accurately links `Order` to a `Warehouse` for delivery.
3. Model attributes with appropriate data types: Model 1 = 3, Model 2 = 5; Evidence: Step 1 explicitly requires the system to "record when orders are paid for". Model 1 fails to include a date attribute for this, relying only on a `paymentStatus` enum. Model 2 correctly includes `paidDate: Date` in `Order` and `Invoice`, as well as `receivedDate: Date` in `Shipment`.
4. Consistencies of Terminology with given context: Model 1 = 4, Model 2 = 5; Evidence: Model 1 introduces overlapping terminology with three separate enumerations (`ShippingStatus`, `ShipmentStatus`, and `DeliveryStatus`), causing some semantic confusion. Model 2 maintains clean and consistent terminology using `OrderStatus` and `ShipmentStatus`.
5. Adherence of UML class diagram standards: Model 1 = 5, Model 2 = 5; Evidence: Both models use valid PlantUML syntax. Model 1's associations with role names and directional arrows are perfectly valid, as are Model 2's compositional and aggregational relationships. 
Total: Model 1 = 19, Model 2 = 25
Choice: B
Reason:
1. Appropriate conceptual classes aligned with the domain: Model 2 is slightly stronger because it explicitly models `Warehouse` to handle the multiple locations mentioned in Step 3, whereas Model 1 just uses a generic `DeliveryAddress`. Model 1's separation of `Shipment` and `Delivery` also complicates the conceptual model.
2. Associations/Multiplicities between classes for domain reasoning: Model 2 handles the associations much more cleanly. Model 1's associations around shipments (`Shipment` -&gt; `Delivery`, `Shipment` -&gt; `OrderLine`, `Delivery` -&gt; `OrderLine`) are redundant and muddy the domain logic. Model 2 perfectly represents Step 4 by grouping `OrderLine` directly under `Shipment`.
3. Model attributes with appropriate data types: Model 2 successfully addresses the requirement to record the exact date an order is paid (`paidDate`), whereas Model 1 only tracks the state (`paymentStatus`). Model 2 also thoroughly tracks timestamps for shipments (`shipmentDate`, `receivedDate`).
4. Rejected or checked issues: I ignored Model 1's use of single-quote comments (e.g., `'opposite company`) at the ends of associations, as these are standard PlantUML tooling annotations and strictly forbidden from penalization. Model 1's use of `*` (equivalent to `0..*`) for order lines vs. Model 2's `1..*` was noted, but domain accuracy heavily favored Model 2's structure overall.
5. Overall judgment: Model 2 provides a much cleaner, more cohesive domain architecture. It properly addresses the required temporal attributes (payment and received dates) and avoids the structural confusion present in Model 1's delivery and shipment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</si>
  <si>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</si>
  <si>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Functionality: Model 1 = 2, Model 2 = 5; Evidence: Model 1 fails to model the exact quantities for partial shipments of an order line, as it directly associates `Shipment` to `OrderLine` without tracking how many items are in that specific shipment. It also introduces an unnecessary `Company` class (addition) and splits the shipping concept redundantly into `Shipment` and `Delivery`. Model 2 perfectly handles partial deliveries by introducing `ShipmentLine` with a `shippedQuantity`. It also accurately models the payment requirement ("pay... when they place the order, or after") using the `PaymentTiming` enum and avoids any hallucinations.
2. Conceptual Classes and Relationships: Model 1 = 3, Model 2 = 5; Evidence: Model 1 creates a confusing, circular web of associations for shipments (`Shipment "1" --&gt; "*" Delivery`, `Shipment "1" --&gt; "*" OrderLine`, and `Delivery "*" --&gt; "*" OrderLine`). Model 2 accurately represents the structural essentials using an associative entity pattern (`Shipment "1" -- "1..*" ShipmentLine` and `ShipmentLine "0..*" -- "1" OrderLine`), mapping the physical reality of grouped shipments. Model 2 also employs precise and thoughtful cardinalities (e.g., `Order "1" -- "0..1" Invoice` and `Customer "1" -- "0..*" Address`).
3. Clarity in Class Names and Attributes: Model 1 = 4, Model 2 = 5; Evidence: Model 1's names are clear, but `PaymentMethod` (`DIRECT`, `POST_DELIVERY`) is slightly less clear than Model 2's `PaymentTiming` (`ON_ORDER`, `ON_DELIVERY`) for representing time. Model 2 provides excellent attribute clarity by expanding `Address` into `street`, `city`, `postalCode` and explicitly defining `orderedQuantity` and `shippedQuantity` inside `OrderLine` alongside the `ShipmentLine` attributes.
Total: Model 1 = 9, Model 2 = 15
Choice: B
Reason:
1. Alignment with Requirements and Functionality: Model 2 strictly aligns with the requirements, particularly Step 4, by capturing partial deliveries correctly with `ShipmentLine` and its `shippedQuantity`. Model 1 fails to capture how many items of an order line belong to a specific shipment, hallucinates a `Company` class, and misinterprets the interchangeable terms "delivery" and "shipment" by creating two separate, overlapping classes (`Delivery` and `Shipment`). 
2. Conceptual Classes and Relationships: Model 2 uses a highly accurate domain relationship structure, connecting Shipments to OrderLines via a `ShipmentLine` class. This resolves the cardinality and tracking needs seamlessly. Model 1, on the other hand, tangles `OrderLine`, `Shipment`, and `Delivery` in a triangle of associations that obscures the true nature of the domain relationships.
3. Clarity in Class Names and Attributes: Model 2 utilizes highly expressive names like `PaymentTiming` and breaks down classes like `Address` into more useful attributes. Both models have clear naming, but Model 2 aligns better with the operational needs of the described business.
4. Rejected or checked issues: As per the forbidden penalties, Model 1's directional arrows (`--&gt;`), its PlantUML single-quote comments (e.g., `'opposite company`), its primitive type aliases (`int`, `double`), and its use of `*` instead of `0..*` were completely ignored and did not negatively impact its score. The evaluation was strictly based on domain modeling semantics.
5. Overall judgment: Model 2 is superior because it accurately solves the complex requirement of partial, grouped shipments via proper class decomposition (`Shipment` and `ShipmentLine`), avoids hallucinations, and provides a clean, well-cardinalized relationship structure. Model 1 struggles with requirement alignment, resulting in a redundant and structurally flawed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</si>
  <si>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</si>
  <si>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creates a highly coupled triangle of associations (`Shipment` to `Delivery`, `Shipment` to `OrderLine`, `Delivery` to `OrderLine`) and a redundant path from `Invoice` to `Customer` alongside `Order`. Model 2 maintains low coupling with a clear linear path (`Shipment` -- `ShipmentLine` -- `OrderLine`) and links `Invoice` only to `Order`.
2. Complexity: Model 1 = 2, Model 2 = 5; Evidence: Model 1 artificially inflates complexity by splitting the shipment concept into `Shipment` and `Delivery` classes, accompanied by overlapping enums `ShipmentStatus` and `DeliveryStatus`. It also includes an unnecessary `Company` class. Model 2 balances complexity by unifying shipment concepts into `Shipment` and `ShipmentStatus`, and elegantly handles partial order lines using a `ShipmentLine` class.
3. Practicability: Model 1 = 2, Model 2 = 5; Evidence: Model 1 is impractical because tracking partial quantities across shipments is impossible without an attribute like `shippedQuantity` on the association between `Shipment` and `OrderLine` (it only has `quantityOrdered` on `OrderLine`). Model 2 explicitly includes `ShipmentLine` with `shippedQuantity`, making it straightforward to calculate fulfillment and manage partial shipments. Model 2's consolidated `ShipmentStatus` also makes state tracking much more readable.
Total: Model 1 = 6, Model 2 = 15
Choice: B
Reason:
1. Cohesion and Decoupling: Model 2 exhibits much lower coupling. Model 1 creates unnecessary circular dependencies or redundant paths (e.g., `Shipment` -&gt; `Delivery` -&gt; `OrderLine` alongside `Shipment` -&gt; `OrderLine`, and `Invoice` -&gt; `Customer` bypassing `Order`). Model 2 structures associations hierarchically without redundant links.
2. Complexity: Model 1 overcomplicates the domain by splitting the shipment concept into two parallel classes (`Shipment` and `Delivery`) with two overlapping enums (`ShipmentStatus` and `DeliveryStatus`). Model 2 correctly models a single `Shipment` class to handle both physical deliveries and shipment groupings, aligning perfectly with the domain's needs without bloating the diagram.
3. Practicability: Model 2 is far more practical for software development. By including `ShipmentLine` with a `shippedQuantity` attribute, it clearly resolves the requirement for tracking partial deliveries of order lines. Model 1 only tracks `quantityOrdered` on the `OrderLine` and lacks any mechanism to record how many units were actually packed/shipped in a specific delivery event, rendering it incapable of satisfying the Step 2/Step 4 partial shipment tracking.
4. Rejected or checked issues: I explicitly ignored Model 1's use of single quotes for comments (`'opposite ...`) and its unidirectional arrows (`--&gt;`), as these are semantically acceptable and not to be penalized per the strict guidelines.
5. Overall judgment: Model 2 is significantly better designed. It captures the domain logic smoothly with appropriate structures and attributes for real-world scenarios, whereas Model 1 suffers from duplication, missing quantity tracking capabilities, and poor association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</si>
  <si>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</si>
  <si>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redundant classes for `Shipment` and `Delivery`, misinterpreting them as distinct concepts despite Step 4 using them interchangeably. Model 2 accurately identifies `Shipment` and intelligently adds `ShipmentLine` to properly handle the grouping of order lines for partial shipments.
2. Associations/Multiplicities between classes for domain reasoning: Model 1 = 2, Model 2 = 5; Evidence: Model 1 has chaotic, looping associations for fulfillment (`Shipment "1" --&gt; "*" Delivery`, `Shipment "1" --&gt; "*" OrderLine`, and `Delivery "*" --&gt; "*" OrderLine`), which obscures how items are tracked. Model 2 uses a clean, traceable structure (`Shipment "1" -- "1..*" ShipmentLine` and `ShipmentLine "0..*" -- "1" OrderLine`) to map shipped quantities perfectly.
3. Model attributes with appropriate data types: Model 1 = 4, Model 2 = 5; Evidence: Both use proper types, but Model 2 explicitly models `shippedQuantity: Integer` in both `OrderLine` and `ShipmentLine` to accurately calculate and track partial fulfillments. Model 1 lacks quantitative tracking for shipments, relying only on statuses.
4. Consistencies of Terminology with given context: Model 1 = 3, Model 2 = 5; Evidence: Model 1 inconsistently splits statuses between `ShipmentStatus` (PACKED, SHIPPED, RECEIVED) and `DeliveryStatus` (adds DAMAGED, MISSING) and uses `PaymentMethod` for a timing concept. Model 2 aligns perfectly, using `PaymentTiming` (ON_ORDER, ON_DELIVERY) and unifying all required delivery states under `ShipmentStatus`.
5. Adherence of UML class diagram standards: Model 1 = 5, Model 2 = 5; Evidence: Both models use valid PlantUML syntax and follow standard UML class diagram conventions.
Total: Model 1 = 17, Model 2 = 25
Choice: B
Reason:
1. Appropriate conceptual classes aligned with the domain: Model 2 is superior because it avoids Model 1's redundant split of `Shipment` and `Delivery` (which refer to the same logical concept in Step 4) and expertly introduces `ShipmentLine` to represent groups of shipped items. Model 1 also includes an unnecessary `Company` class.
2. Associations/Multiplicities between classes for domain reasoning: Model 2 establishes clear and accurate relationships for order fulfillment (`Shipment` to `ShipmentLine` to `OrderLine`). Model 1 creates an illogical triangle by linking `Shipment`, `Delivery`, and `OrderLine` together directly, making it difficult to trace exactly what is being shipped and in what quantities.
3. Model attributes with appropriate data types: Model 2 captures the domain logic better by including `shippedQuantity` attributes, allowing the system to track partial shipments mathematically. Model 1 relies on statuses without the corresponding quantitative data.
4. Consistencies of Terminology with given context: Model 2 uses `PaymentTiming` which accurately reflects the Step 3 requirement of choosing *when* to pay, whereas Model 1 awkwardly names this `PaymentMethod`. Model 2 also correctly consolidates all statuses into a single, cohesive `ShipmentStatus` enum.
5. Adherence of UML class diagram standards: Both models follow PlantUML and UML standards well, with no major syntax issues.
6. Rejected or checked issues: I ignored Model 1's use of single-quote comments (e.g., `'opposite shipment`) and its strictly unidirectional association arrows, as these are permissible tooling annotations and valid association styles according to the forbidden penalty guidelines.
7. Overall judgment: Model 2 demonstrates a much stronger grasp of the domain, particularly in handling the complex requirements of grouping shipments and tracking partial fulfillments. Model 1 struggles with the semantic overlap between shipments and deliveries, resulting in confusing associations and split terminology. Model 2 is highly accurate, logically structured, and the clear winner.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</si>
  <si>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</si>
  <si>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</si>
  <si>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</si>
  <si>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explicitly models the specific requirement concepts by separating `ResearchStaff` and `ResearchAssistant`, and correctly handles the association attribute "hours" between RAs and Projects by creating a `ProjectInvolvement` class (`ResearchAssistant --&gt; "0..*" ProjectInvolvement` and `ProjectInvolvement --&gt; "1" Project` with the `hours` attribute). Model 2 conflates `ResearchAssistant` into `ResearchStaff` and merely adds `(hours : int)` as plain text to the association label (`involved in (hours : int)`), which fails to formally model the structural attribute. Model 2 also uses the non-standard string `"many"` for multiplicities instead of the standard `*`.
Total: Model 1 = 5, Model 2 = 3
Choice: A
Reason:
1. Alignment with Requirements: Model 1 faithfully and accurately models the inheritance structure (`Employee` -&gt; `ResearchStaff` -&gt; `ResearchAssistant` -&gt; `Lecturer`) while Model 2 conflates research staff and research assistants. Furthermore, Model 1 properly resolves the many-to-many relationship between research assistants and projects that carries an "hours" attribute by using an intermediate class (`ProjectInvolvement`), whereas Model 2 simply puts it in the association's text label, which is not structurally sound in UML. Model 1 also uses standard UML multiplicity notations (`*`, `1..*`), whereas Model 2 uses informal text (`"many"`).
2. Rejected or checked issues: As explicitly mandated by the forbidden penalties, I did not penalize Model 1 for using two opposite unidirectional associations (e.g., `Faculty --&gt; "1" Employee` and `Employee --&gt; "0..1" Faculty`) or for its use of single-quote PlantUML comments (e.g., `'opposite headedFaculty`). I treated these as perfectly valid representations of the domain semantics.
3. Overall judgment: Model 1 is significantly better because it comprehensively covers all domain entities, attributes, and relationships using standard structural modeling practices, particularly concerning the resolution of association attributes and distinct hierarchical roles. Model 2 cuts corners on both the hierarchy and the association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</si>
  <si>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</si>
  <si>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`ProjectInvolvement` class to hold the `hours` attribute, which decouples the relationship and keeps both `ResearchAssistant` and `Project` cohesive. Model 2 attempts to place `(hours : int)` directly on the association label `involved in`. Furthermore, Model 1 correctly separates `ResearchStaff` and `ResearchAssistant`, whereas Model 2 conflates them into a single `ResearchStaff` class, reducing cohesion.
2. Complexity: Model 1 = 5, Model 2 = 3; Evidence: Model 1 includes the required conceptual classes, leading to an appropriate inheritance tree (Employee -&gt; ResearchStaff -&gt; ResearchAssistant -&gt; Lecturer). Model 2 omits the `ResearchAssistant` class entirely, putting `fieldOfResearch` directly on `ResearchStaff`, which oversimplifies the domain concepts and misses the requirement's distinction.
3. Practicability: Model 1 = 5, Model 2 = 2; Evidence: Model 1's use of an intermediate class (`ProjectInvolvement`) provides a highly practical and implementable structure for a many-to-many relationship that has its own state (hours). Model 2's notation `ResearchStaff "many" --&gt; "0..*" Project : involved in (hours : int)` places an attribute on a plain association line without defining an association class, which cannot be practically translated into object-oriented code. Model 2 also uses the non-standard multiplicity literal `"many"` instead of standard UML literals like `*`.
Total: Model 1 = 15, Model 2 = 8
Choice: A
Reason:
1. Cohesion and Decoupling: Model 1 successfully preserves class cohesion by using an intermediate class for the project assignment details. Model 2 inappropriately merges `ResearchAssistant` into `ResearchStaff`, muddling the responsibilities and distinctions outlined in the prompt.
2. Complexity: Model 1 balances conceptual complexity perfectly by accurately modeling the domain hierarchy (differentiating Research Staff, Research Assistants, and Lecturers). Model 2 oversimplifies the hierarchy, missing a key conceptual class (`ResearchAssistant`). 
3. Practicability: Model 1 is fully implementable and readable, mapping cleanly to real-world software structures. Model 2 introduces structurally invalid notation by trying to append an attribute `(hours : int)` onto a standard association string, making it impractical for testing, maintenance, or code generation.
4. Rejected or checked issues: Model 1 extensively uses pairs of opposite unidirectional associations (e.g., `Faculty --&gt; Employee` and `Employee --&gt; Faculty`) alongside single-quote PlantUML annotations (e.g., `'opposite dean`). In strict accordance with the forbidden penalties guidelines, these were treated as 100% semantically equivalent to bidirectional associations and were not penalized. 
5. Overall judgment: Model 1 is clearly superior. It faithfully captures all domain concepts, maintains correct architectural complexity, and utilizes standard, implementable UML patterns. Model 2 falls short by omitting a critical class and using an invalid approach to model association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</si>
  <si>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</si>
  <si>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includes `ResearchAssistant` as a distinct concept from `ResearchStaff` and introduces `ProjectInvolvement` to handle the many-to-many relationship with projects. Model 2 merges `ResearchAssistant` into `ResearchStaff` and lacks a conceptual class for the project involvement.
2. Associations/Multiplicities between classes for domain reasoning: Model 1 = 5, Model 2 = 2; Evidence: Model 1 accurately applies all relationships and multiplicities, such as `1..*` for RA to Institute and modeling project involvement structurally. Model 2 fails to properly associate the `hours` attribute by just writing it in a text label, and uses the invalid multiplicity literal `"many"`.
3. Model attributes with appropriate data types: Model 1 = 5, Model 2 = 3; Evidence: Model 1 correctly assigns `hours` as an integer attribute in `ProjectInvolvement` and uses `int` for the Course `id` (as it is defined as a "unique number"). Model 2 treats `hours` as a relationship label rather than a true attribute and uses `String` for the Course `id`.
4. Consistencies of Terminology with given context: Model 1 = 5, Model 2 = 4; Evidence: Model 1 uses the precise terminology provided in the requirement (`ResearchAssistant`, `Lecturer`, `AdministrativeStaff`). Model 2 mostly uses the correct terms but replaces the specific role of `ResearchAssistant` with the broader term `ResearchStaff`.
5. Adherence of UML class diagram standards: Model 1 = 5, Model 2 = 2; Evidence: Model 1 adheres fully to standard UML conventions (its use of opposite unidirectional associations is explicitly permitted). Model 2 violates UML standards by using `"many"` instead of standard multiplicity notation (like `*` or `0..*`) and by attempting to define an attribute `(hours : int)` within an association label instead of an association class.
Total: Model 1 = 25, Model 2 = 14
Choice: A
Reason:
1. Appropriate conceptual classes aligned with the domain: Model 1 accurately captures the domain hierarchy (Employee -&gt; Research Staff -&gt; Research Assistant -&gt; Lecturer) and introduces a necessary association class (`ProjectInvolvement`). Model 2 conflates Research Staff and Research Assistant.
2. Associations/Multiplicities between classes for domain reasoning: Model 1 represents all constraints perfectly, including the `1..*` assignment to Institutes and the project hours. Model 2 struggles with multiplicities, relying on non-standard strings.
3. Model attributes with appropriate data types: Model 1 captures all required attributes, including the `hours` and the numerical course `id`. Model 2 fails to structurally define `hours` and incorrectly types the `id`.
4. Consistencies of Terminology with given context: Model 1 matches the exact language of the prompt; Model 2 generalizes Research Assistant.
5. Adherence of UML class diagram standards: Model 1 follows valid standard notations. Model 2 uses invalid string literals (`"many"`) for multiplicity and improperly embeds attribute definitions inside association labels.
6. Rejected or checked issues: As instructed by the forbidden penalties, Model 1's use of paired opposite unidirectional associations (e.g., `A --&gt; B` and `B --&gt; A`) and PlantUML single-quote comments were strictly ignored as negative factors, as they are semantically equivalent and standard tooling annotations.
7. Overall judgment: Model 1 provides a highly accurate, domain-aligned, and UML-compliant diagram. Model 2 lacks precision in its conceptual classes, violates UML multiplicity standards, and fails to structurally capture all required data.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</si>
  <si>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</si>
  <si>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Accuracy: Model 1 = 5, Model 2 = 3; Evidence: Model 1 correctly enforces the rule that an RA is assigned to at least one institute with its multiplicity (`ResearchAssistant --&gt; "1..*" Institute`), whereas Model 2 incorrectly makes the institute side `0..*` (`ResearchAssistant "1..*" -- "0..*" Institute`). For project hours, Model 1 conceptually ties involvements as 1-to-many from RA and many-to-1 to Project, whereas Model 2 incorrectly makes `ProjectInvolvement` a many-to-many relationship with `ResearchAssistant` (`ResearchAssistant "0..*" -- "0..*" ProjectInvolvement`). Furthermore, Model 2 hallucinates specific `Address` attributes (`street`, `city`, `zipCode`), while Model 1 strictly adheres to the requirement by using a simple `address : String` in the `Institute` class.
Total: Model 1 = 5, Model 2 = 3
Choice: A
Reason:
1. Strict Alignment and Accuracy: Model 1 demonstrates a much stronger grasp of the domain constraints and relationships. It correctly identifies the 1..* multiplicity for the institutes an RA is assigned to, effectively handles the project involvement attributes without creating a flawed many-to-many mapping on the RA side, and refrains from hallucinating attributes. Model 2 struggles with accurate multiplicities, creates a semantically incorrect relationship for `ProjectInvolvement`, and introduces unrequested fields for the address.
2. Rejected or checked issues: Model 1 utilizes opposite unidirectional associations (e.g., `A --&gt; B` and `B --&gt; A`) and PlantUML comments for roles (`'opposite`). Per the evaluation guidelines, these are completely valid, 100% semantically equivalent to bidirectional associations, and were strictly ignored for penalty purposes. 
3. Overall judgment: Model 1 is noticeably superior due to its correct implementation of constraints (multiplicities), accurate relationship mappings, and strict adherence to the provided requirements without unnecessary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</si>
  <si>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</si>
  <si>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properly decouples the many-to-many relationship between RAs and Projects by using an intermediate `ProjectInvolvement` class with correct relational directionality (`ResearchAssistant --&gt; "0..*" ProjectInvolvement` and `ProjectInvolvement --&gt; "1" Project`). Model 2 improves cohesion slightly by grouping address fields into a separate `Address` class (`Institute "1" *-- "1" Address`), but its decoupling of the project assignment is flawed due to an explicit many-to-many link between the RA and the intermediate class itself (`ResearchAssistant "0..*" -- "0..*" ProjectInvolvement`).
2. Complexity: Model 1 = 5, Model 2 = 4; Evidence: Both models have an appropriate inheritance depth of 3 for the employee hierarchy. Model 1 maintains simplicity by using an `address : String` attribute in `Institute` and straightforward 1-to-many paths for intermediate entities. Model 2 adds minor but acceptable complexity with the `Address` class, but introduces unwarranted structural complexity by making `ProjectInvolvement` a many-to-many target from both `ResearchAssistant` and `Project`, muddying the conceptual schema.
3. Practicability: Model 1 = 5, Model 2 = 3; Evidence: Model 1 is highly practical and ready for implementation, capturing all multiplicities logically. Model 2 contains a significant real-world design flaw: the `"0..*" -- "0..*"` relationship between `ResearchAssistant` and `ProjectInvolvement`. In practice, an involvement record containing `hours : int` must map to exactly one RA and one Project. Model 2's multiplicity implies multiple RAs could share a single involvement instance, making the ownership of the `hours` attribute ambiguous and requiring a redundant database junction table to implement.
Total: Model 1 = 15, Model 2 = 11
Choice: A
Reason:
1. Cohesion and Decoupling: Both models do well in encapsulating domain concepts. Model 2 effectively isolates address properties into a distinct class, while Model 1 resolves the many-to-many relationship between research assistants and projects much more cleanly through directional 1-to-many relationships. 
2. Complexity: Both models accurately reflect the domain's conceptual complexity without creating "noun-classes" unnecessarily. Model 1 is slightly more streamlined by avoiding the convoluted many-to-many relationships on the intermediate class that Model 2 introduces.
3. Practicability: Model 1 provides a highly viable schema. Model 2's major flaw lies in its `ResearchAssistant "0..*" -- "0..*" ProjectInvolvement` multiplicity. Because `ProjectInvolvement` holds the `hours` attribute, allowing a many-to-many relationship against this intermediate entity contradicts standard data modeling practices, making it impractical to track individual RA hours per project accurately.
4. Rejected or checked issues: As strictly instructed, Model 1 was not penalized for utilizing pairs of unidirectional associations (e.g., `Faculty --&gt; "1" Employee` and `Employee --&gt; "0..1" Faculty`) or for using PlantUML single-quote comments (`'opposite dean`). These are perfectly valid and semantically equivalent to bidirectional associations. Minor primitive type differences (e.g., `int` vs `String` for course ID) were also ignored.
5. Overall judgment: Model 1 is superior because it structurally aligns with sound software engineering and database design principles. It cleanly implements the intermediate `ProjectInvolvement` class, whereas Model 2 misapplies multiplicities on the intermediate class, resulting in an ambiguous and impractical data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</si>
  <si>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</si>
  <si>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required domain classes, including University, Faculty, Institute, Employee, ResearchStaff, AdministrativeStaff, ResearchAssistant, Lecturer, Project, Course, and an intermediate ProjectInvolvement class. Model 2's extraction of an `Address` class is also a valid conceptual choice.
2. Associations/Multiplicities between classes for domain reasoning: Model 1 = 5, Model 2 = 3; Evidence: Model 1 correctly maps the "at least one institute" constraint (`ResearchAssistant --&gt; "1..*" Institute`). It also correctly models `ProjectInvolvement` relationships (RA has `0..*` involvements, each pointing to `1` Project). Model 2's syntax `ResearchAssistant "1..*" -- "0..*" Institute` assigns the `0..*` multiplicity to the Institute side, violating the "at least one" constraint. Furthermore, Model 2 incorrectly defines a many-to-many relationship (`ResearchAssistant "0..*" -- "0..*" ProjectInvolvement`), which is a domain reasoning flaw because an instance of an intermediate involvement class must belong to exactly one Research Assistant.
3. Model attributes with appropriate data types: Model 1 = 5, Model 2 = 5; Evidence: Both models properly assign attributes and data types, such as `socialSecurityNumber` (String), `hours` (int), and `startDate`/`endDate` (Date). Model 1 stores the address as a String within `Institute`, while Model 2 uses an `Address` class with separated strings; both are perfectly acceptable.
4. Consistencies of Terminology with given context: Model 1 = 5, Model 2 = 5; Evidence: Both models consistently use the precise terminology provided in the prompt (e.g., Lecturer, AdministrativeStaff, ResearchStaff, Faculty, Dean).
5. Adherence of UML class diagram standards: Model 1 = 5, Model 2 = 5; Evidence: Both models use valid PlantUML syntax. Model 1's use of opposite unidirectional associations and single-quote comments are explicitly permitted standard practices and do not violate UML/PlantUML syntax rules.
Total: Model 1 = 25, Model 2 = 23
Choice: A
Reason:
1. Appropriate conceptual classes aligned with the domain: Both models identify all required classes excellently, including staff distinctions and the intermediate class for project involvement hours.
2. Associations/Multiplicities between classes for domain reasoning: Model 1 correctly handles the "at least one institute" constraint and accurately structures the 1-to-many relationships for the intermediate `ProjectInvolvement` class. Model 2 fails domain reasoning by assigning a many-to-many (`0..*` to `0..*`) relationship between `ResearchAssistant` and `ProjectInvolvement`, meaning a single involvement record could belong to multiple RAs, which contradicts the domain logic. Model 2 also misapplies the multiplicity for the RA-Institute assignment.
3. Rejected or checked issues: I did not penalize Model 1 for using two opposite unidirectional associations or single-quote comments, as the guidelines explicitly state these are semantically valid and standard tooling annotations. I also did not penalize Model 2 for abstracting `Employee` or creating a separate `Address` class, as these are valid design variations.
4. Overall judgment: Model 1 is better. While both models capture the classes, terminology, and attributes well, Model 1 is much more precise and accurate in its multiplicities and structural domain reasoning, particularly regarding the assignment of RAs to institutes and their involvement in projects.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</si>
  <si>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</si>
  <si>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modeling of conceptual classes, relationships, and attributes: Model 1 = 4, Model 2 = 3; Evidence: Model 1 uses `ResearchStaff "many" --&gt; "1..*" Institute`, correctly satisfying the "at least one institute" constraint. It also captures the hours requirement via the association label `involved in (hours : int)`. However, it incorrectly merges the `ResearchAssistant` concept into `ResearchStaff`. Model 2 explicitly defines `ResearchAssistant` and a `ProjectInvolvement { hours : int }` class. However, it violates the constraints by using `ResearchAssistant "1..*" -- "0..*" Institute`, meaning an RA can be assigned to zero institutes. Model 2 also incorrectly defines the relationship to the intermediate class as many-to-many (`ResearchAssistant "0..*" -- "0..*" ProjectInvolvement`), implying a single involvement record is shared by multiple RAs.
Total: Model 1 = 4, Model 2 = 3
Choice: A
Reason:
1. Alignment with requirements and modeling of conceptual classes, relationships, and attributes: Model 1 correctly captures the fundamental domain constraints, most notably the "at least one institute" multiplicity (`"1..*"`), and efficiently communicates the project `hours` association logic. Its primary omission is combining `ResearchAssistant` and `ResearchStaff` into a single class. Model 2 includes the precise classes (separating `ResearchAssistant` from `ResearchStaff` and using an intermediate `ProjectInvolvement` class) and adds an `Address` class. However, Model 2 contains critical cardinality errors: it assigns `"0..*"` to the Institute side of the RA assignment (violating "at least one"), and assigns a `"0..*"` to `"0..*"` multiplicity between `ResearchAssistant` and `ProjectInvolvement`, which structurally breaks the intermediate class logic.
2. Rejected or checked issues: Model 1 uses the non-standard multiplicity literal `"many"` instead of `"*"`, but this does not negatively impact the semantic clarity and is treated as an equivalent multiplicity literal. Model 2 introduces a separate `Address` class instead of a basic string attribute, which is considered a valid, transparent refinement and not penalized. 
3. Overall judgment: Model 1 is better. Despite simplifying the class hierarchy by missing the explicit RA class, its relationships and cardinalities are logically sound and accurately enforce the explicit business rules defined in the requirements. Model 2 introduces semantic errors in its cardinalities that fundamentally contradict the stated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</si>
  <si>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</si>
  <si>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maintains high cohesion by keeping basic properties like `address` as attributes within `Institute`, while Model 2 decouples it into a separate `Address` class. Model 2 improves decoupling for the many-to-many project relationship by extracting `ProjectInvolvement` to hold the `hours` attribute, whereas Model 1 loosely attaches `(hours : int)` to an association label.
2. Complexity: Model 1 = 4, Model 2 = 4; Evidence: Model 1 has 10 classes and an inheritance depth of 2 (`Employee` &lt;|-- `ResearchStaff` &lt;|-- `Lecturer`), avoiding over-engineering. Model 2 has 13 classes with an inheritance depth of 3 (`Employee` &lt;|-- `ResearchStaff` &lt;|-- `ResearchAssistant` &lt;|-- `Lecturer`), aligning more strictly with the domain's exact terminology, but introduces unrequested complexity by fleshing out `Address` with `street`, `city`, and `zipCode` which were not requested.
3. Practicability: Model 1 = 4, Model 2 = 2; Evidence: Model 1 correctly captures the business rule with `ResearchStaff "many" --&gt; "1..*" Institute` (RA assigned to at least one institute). Model 2 has significant practicability issues due to incorrect multiplicities: `ResearchAssistant "1..*" -- "0..*" Institute` allows an RA to be assigned to 0 institutes (contradicting the "at least one" requirement), and `ResearchAssistant "0..*" -- "0..*" ProjectInvolvement` implies an intermediate association entity can belong to multiple RAs simultaneously, which breaks the relational mapping of the many-to-many relationship.
Total: Model 1 = 12, Model 2 = 10
Choice: A
Reason:
1. Cohesion and Decoupling: Both models perform well. Model 1 is cohesive with its attributes, while Model 2 properly introduces an association class (`ProjectInvolvement`) for the relationship attribute, which is a standard and clean design choice.
2. Complexity: Both models balance complexity fairly well. Model 2 captures the inheritance hierarchy slightly more precisely by distinguishing both Research Staff and Research Assistant, though it overcomplicates the `Address` class compared to Model 1's simpler and perfectly valid attribute approach.
3. Practicability: Model 1 is significantly more practical because it correctly implements the domain constraints. Model 2 explicitly contradicts the requirement by allowing an RA to be assigned to `0` institutes and breaks standard modeling logic by assigning `0..*` multiplicity to the RA side of the `ProjectInvolvement` intermediate class, making it unviable for database or object implementation.
4. Rejected or checked issues: I did not reward or penalize Model 2 for making `Employee` abstract, as the requirement does not specify whether direct instances are allowed. I also did not penalize Model 1 for using the text "many" instead of standard literal `*`, as the semantic meaning remains clear. Model 1's informal association attribute `(hours : int)` is a weakness, but it is treated as a structural omission rather than a hard contradiction like Model 2's invalid multiplicities. 
5. Overall judgment: Model 1 is better because it avoids the critical domain and relational contradictions present in Model 2's multiplicities, offering a structurally sounder foundation for real-world application despite its simpler approach to inheritance and association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</si>
  <si>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</si>
  <si>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"Research assistant" concept into `ResearchStaff` and lacks a conceptual class for the project involvement to properly hold hours. Model 2 correctly models `ResearchStaff`, `ResearchAssistant`, and adds `ProjectInvolvement` to resolve the association class requirement.
2. Associations/Multiplicities between classes for domain reasoning: Model 1 = 3, Model 2 = 3; Evidence: Model 1 correctly captures the "at least one institute" constraint (`1..*` on the Institute side) but uses the non-standard literal `"many"`, and fails to properly associate the project hours. Model 2 incorrectly models the "at least one" constraint by putting `0..*` on the Institute side (`ResearchAssistant "1..*" -- "0..*" Institute`), and improperly assigns a many-to-many multiplicity (`0..*` to `0..*`) between `ResearchAssistant` and `ProjectInvolvement`.
3. Model attributes with appropriate data types: Model 1 = 4, Model 2 = 5; Evidence: Model 1 traps the `hours` attribute inside an association text label (`involved in (hours : int)`) rather than properly modeling it as a class attribute. Model 2 correctly models all attributes, including `hours` inside the `ProjectInvolvement` class, and effectively extracts `Address` into its own structured class.
4. Consistencies of Terminology with given context: Model 1 = 4, Model 2 = 5; Evidence: Model 1 uses `ResearchStaff` for properties that the requirement specifically attributes to Research assistants. Model 2 accurately aligns with the text, using exact terms like `ResearchAssistant`, `ResearchStaff`, and `AdministrativeStaff`.
5. Adherence of UML class diagram standards: Model 1 = 3, Model 2 = 5; Evidence: Model 1 uses `"many"` as a multiplicity literal, which is invalid UML notation (should be `*` or `0..*`), and incorrectly attempts to define an association attribute within a relationship string label. Model 2 fully adheres to UML standard multiplicities, class notations, and association class reification conventions.
Total: Model 1 = 18, Model 2 = 23
Choice: B
Reason:
1. Appropriate conceptual classes aligned with the domain: Model 2 is better as it correctly identifies `ResearchAssistant` as a separate concept inheriting from `ResearchStaff`, and properly models the intermediate `ProjectInvolvement` class.
2. Associations/Multiplicities between classes for domain reasoning: Both models have notable domain reasoning flaws in multiplicities; Model 1 uses the non-standard "many", while Model 2 misses the "at least one" constraint on Institutes and uses a wrong multiplicity for its association class relation.
3. Model attributes with appropriate data types: Model 2 properly models the `hours` attribute in a dedicated class, whereas Model 1 improperly places it in a relationship text label. 
4. Consistencies of Terminology with given context: Model 2 perfectly mirrors the prompt's domain vocabulary, distinguishing Research Assistants and Lecturers appropriately, whereas Model 1 conflates Research Staff and Research Assistants.
5. Adherence of UML class diagram standards: Model 2 adheres strictly to UML multiplicity notation and structural standards, whereas Model 1 introduces invalid literals ("many") and hacky relationship labels.
6. Overall judgment: Model 2 provides a much stronger, more standard-compliant, and conceptually accurate UML diagram. It correctly handles classes, inheritance, and attributes, making it clearly superior despite minor logical errors in some multiplicity definitions.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</si>
  <si>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</si>
  <si>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capture the core classes (University, Faculty, Institute, Employee, Course, Project). However, Model 1 models the "hours" attribute of project involvement merely as a text label on the association (`involved in (hours : int)`), which is not a valid UML structural attribute or association class. Model 1 also conflates "Research staff" and "Research assistant" into a single `ResearchStaff` class. Model 2 correctly uses an intermediate concept (`ProjectInvolvement` with an `hours` attribute) to structurally model the many-to-many relationship and attribute. Model 2 also properly distinguishes `ResearchStaff` and `ResearchAssistant` through inheritance, and correctly models the cardinality of a dean (`Employee --&gt; "0..1" Faculty`).
Total: Model 1 = 4, Model 2 = 5
Choice: B
Reason:
1. Alignment with Requirements: Model 2 provides a more structurally sound and precise UML design. It accurately captures the "hours" associated with a project involvement by utilizing a dedicated `ProjectInvolvement` class, whereas Model 1 improperly attempts to declare this attribute inside an association text label. Model 2 also perfectly reflects the hierarchical distinction between `ResearchStaff`, `ResearchAssistant`, and `Lecturer`, whereas Model 1 skips the `ResearchAssistant` step. Furthermore, Model 2 captures the `0..1` multiplicity for an Employee heading a Faculty (dean), avoiding the implication that every employee is a dean.
2. Rejected or checked issues: Model 2 uses two opposite unidirectional associations instead of single bidirectional lines (e.g., `Faculty --&gt; Employee` and `Employee --&gt; Faculty`) and contains PlantUML tooling comments (`'opposite`). Per the evaluation guidelines, these are 100% semantically equivalent and valid, so they were strictly ignored for scoring. Model 2 also added a `name` attribute to `University`, which is a minor, logical addition that does not detract from its overall structural superiority.
3. Overall judgment: Model 2 is better because it correctly models association attributes structurally and maintains a more accurate inheritance hierarchy and multiplicity logic based on the domain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</si>
  <si>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</si>
  <si>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places the `hours` attribute inside an association text label (`ResearchStaff "many" --&gt; "0..*" Project : involved in (hours : int)`), which fails to structurally decouple the relationship data. Model 2 resolves this by creating a dedicated `ProjectInvolvement` class containing the `hours : int` attribute, decoupling the data from the entities and ensuring high cohesion for the many-to-many relationship.
2. Complexity: Model 1 = 4, Model 2 = 5; Evidence: Model 1 has 10 classes, avoiding an association class and merging RA into `ResearchStaff`. Model 2 contains 12 classes, appropriately balancing complexity by adding the necessary `ProjectInvolvement` class and distinguishing `ResearchAssistant` from `ResearchStaff` (e.g., `ResearchStaff &lt;|-- ResearchAssistant`), aligning perfectly with the textual requirements.
3. Practicability: Model 1 = 3, Model 2 = 5; Evidence: Model 1's representation of the `hours` property as a string label makes the design impractical for actual programming, database generation, or testing, as it lacks structural semantics. Model 2's explicit `ProjectInvolvement` class provides a clear, implementable structure. Furthermore, Model 2 explicitly models the connection between employees and the university (`University --&gt; "*" Employee`), offering a more comprehensive blueprint.
Total: Model 1 = 10, Model 2 = 15
Choice: B
Reason:
1. Cohesion and Decoupling: Model 2 correctly handles the many-to-many relationship between research assistants and projects by reifying the relationship into a `ProjectInvolvement` class to store the `hours` attribute. Model 1 merely adds the attribute as informal text on the association arrow, which violates structural cohesion.
2. Complexity: Model 2 exhibits an appropriate level of complexity by accurately capturing all required concepts. It separates the general `ResearchStaff` from the specific `ResearchAssistant` and introduces a structured class for project involvement, whereas Model 1 oversimplifies and loses semantic meaning.
3. Practicability: Model 2 is significantly more practical because its design can be directly translated into code (e.g., entity classes or database tables). Model 1's `(hours : int)` text label is non-executable and cannot be tested or coded directly. Model 2 also provides clearer navigability.
4. Rejected or checked issues: Based on the strict guidelines, I explicitly ignored Model 2's use of opposite unidirectional associations (e.g., `Faculty --&gt; "1" Employee` alongside `Employee --&gt; "0..1" Faculty`) and PlantUML single-quote comments (e.g., `'opposite headedFaculty`). These are standard tooling outputs, semantically equivalent to bidirectional lines, and were not penalized.
5. Overall judgment: Model 2 is the better model because it accurately maps all domain requirements into a structurally sound, implementable format. Its proper use of an association class (`ProjectInvolvement`) to capture relationship attributes makes it highly practical, whereas Model 1's reliance on text labels compromises its usefulness as a software design artifact.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</si>
  <si>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</si>
  <si>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concepts of research staff and research assistants into a single `ResearchStaff` class, and it lacks an intermediate class to capture the association between RAs and projects. Model 2 correctly distinguishes these concepts by defining `ResearchAssistant` as a subclass of `ResearchStaff` and introduces a `ProjectInvolvement` class to manage the many-to-many relationship with projects.
2. Associations/Multiplicities between classes for domain reasoning: Model 1 = 3, Model 2 = 5; Evidence: Model 1 uses the non-standard literal `"many"` for multiplicities (e.g., `University "1" *-- "many" Faculty`) and structurally fails to model the project involvement mapping. Model 2 uses valid standard UML multiplicities (e.g., `1..*`, `*`, `0..1`) and correctly links `ResearchAssistant` and `Project` through the `ProjectInvolvement` class.
3. Model attributes with appropriate data types: Model 1 = 4, Model 2 = 5; Evidence: Model 1 improperly attempts to model the `hours` attribute as plain text within an association label: `involved in (hours : int)`. Model 2 correctly defines `hours : int` as a formal attribute inside the `ProjectInvolvement` class.
4. Consistencies of Terminology with given context: Model 1 = 4, Model 2 = 5; Evidence: The prompt explicitly specifies "Research assistants (RA)", which Model 1 abbreviates or conflates into `ResearchStaff`. Model 2 accurately uses the specific terminology `ResearchAssistant` in alignment with the prompt context. Model 2 also correctly subclasses `Lecturer` under `ResearchAssistant`, matching "Some RAs teach courses. In this case, they are referred to as lecturers", whereas Model 1 subclasses it under `ResearchStaff`.
5. Adherence of UML class diagram standards: Model 1 = 3, Model 2 = 5; Evidence: Model 1 violates UML structural modeling by inserting attribute definitions into association string labels (`(hours : int)`) and using `"many"` instead of standard multiplicity notation (like `*`). Model 2 strictly adheres to UML syntax and conventions throughout its layout.
Total: Model 1 = 18, Model 2 = 25
Choice: B
Reason:
1. Appropriate conceptual classes aligned with the domain: Model 2 correctly introduces `ProjectInvolvement` and explicitly distinguishes `ResearchAssistant` from general `ResearchStaff`. Model 1 misses the project assignment class and over-abstracts the research hierarchy.
2. Associations/Multiplicities between classes for domain reasoning: Model 2 captures all relational constraints perfectly using standard multiplicities. Model 1 resorts to invalid textual multiplicities like `"many"`. 
3. Model attributes with appropriate data types: Model 2 correctly encapsulates the `hours` metric in an intermediate class (`ProjectInvolvement`), whereas Model 1 wrongly attempts to append `(hours : int)` to a relationship label.
4. Consistencies of Terminology with given context: Model 2 aligns perfectly with the requirement's terminology, properly subclassing `Lecturer` from `ResearchAssistant`. Model 1 uses `ResearchStaff` as a catch-all.
5. Adherence of UML class diagram standards: Model 2 writes fully compliant PlantUML syntax. Model 1's use of `"many"` and attribute definitions inside string labels breaks UML structural guidelines.
6. Rejected or checked issues: Model 2 utilizes opposite unidirectional associations (e.g., `Faculty --&gt; "1" Employee` and `Employee --&gt; "0..1" Faculty`) and single-quote annotations (e.g., `'opposite headedFaculty`). Consistent with the forbidden penalties, these are completely valid semantic choices and standard tooling annotations, so no points were deducted for this approach.
7. Overall judgment: Model 2 is exceptionally well-modeled. It accurately maps all entities, effectively solves the many-to-many relationship with an association class counterpart, and complies strictly with both domain requirements and UML syntax. Model 1 struggles with association attributes and standard multiplicities,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</si>
  <si>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</si>
  <si>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For the requirement "Research assistants (RA) are assigned to at least one institute," Model 1 uses the multiplicity `ResearchAssistant "1..*" -- "0..*" Institute`, which incorrectly places `0..*` on the Institute side, meaning an RA can be assigned to zero institutes. Model 2 correctly handles this with `ResearchAssistant --&gt; "1..*" Institute`. Furthermore, for project involvements, Model 1 models the association class with a many-to-many relationship (`ResearchAssistant "0..*" -- "0..*" ProjectInvolvement`), which is semantically broken as it allows multiple RAs to share the same exact involvement record and its `hours`. Model 2 correctly maps this with a one-to-many relationship (`ResearchAssistant --&gt; "0..*" ProjectInvolvement` and `ProjectInvolvement --&gt; "1" Project`). Finally, Model 1 hallucinates extra attributes for a newly created `Address` class (`street`, `city`, `zipCode`), whereas Model 2 simply uses `address : String` in the `Institute` class, which better aligns with avoiding additions.
Total: Model 1 = 3, Model 2 = 5
Choice: B
Reason:
1. Requirement Alignment: Model 2 accurately aligns with the domain constraints and strictly adheres to the prompt's instructions without hallucinating details. It correctly models the "at least one institute" assignment constraint by using a `1..*` cardinality on the target side (`ResearchAssistant --&gt; "1..*" Institute`), whereas Model 1 incorrectly models it as `0..*`. Model 2 also correctly resolves the many-to-many project association by creating a `ProjectInvolvement` class that has a unidirectional many-to-one relationship to `Project` and is owned by `ResearchAssistant`, successfully capturing the RA's specific hours. Conversely, Model 1 structurally breaks the concept of an association class by defining it as a many-to-many relationship to `ResearchAssistant` (`0..*` to `0..*`). 
2. Rejected or checked issues: Model 2 uses two opposite unidirectional associations with single-quote PlantUML comments (e.g., `Faculty --&gt; "1" Employee` and `Employee --&gt; "0..1" Faculty 'opposite...`). Under the Forbidden Penalties, these are 100% semantically equivalent to bidirectional associations and are valid tooling annotations, so they were entirely ignored as negative factors and not penalized. 
3. Overall judgment: Model 2 is superior because it accurately captures the business rules, multiplicities, and conceptual class relations. Model 1 fails to enforce a required minimum cardinality, incorrectly structures its intermediate association class, and introduces hallucinated structural details for the address.```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</si>
  <si>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</si>
  <si>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maps the relationship between RA and Projects using an intermediate class, but applies a many-to-many multiplicity to it (`ResearchAssistant "0..*" -- "0..*" ProjectInvolvement`). This compromises cohesion, as an involvement record should belong to one specific RA. Model 2 correctly handles this by isolating the involvement (`ResearchAssistant --&gt; "0..*" ProjectInvolvement` and `ProjectInvolvement --&gt; "1" Project`). Both models appropriately separate the staff hierarchy to decouple research from administrative concepts.
2. Complexity: Model 1 = 4, Model 2 = 5; Evidence: Both models exhibit an appropriate depth in their inheritance trees (`Employee` -&gt; `ResearchStaff` -&gt; `ResearchAssistant` -&gt; `Lecturer`) and a similar class count (13 vs 12). However, Model 1 introduces unnecessary conceptual complexity with its `0..*` to `0..*` linkage to the `ProjectInvolvement` association class. Model 2 balances complexity perfectly, capturing the requirements without overcomplicating the relational structure.
3. Practicability: Model 1 = 4, Model 2 = 5; Evidence: Model 2 provides a highly practical design where an RA's project involvement logically tracks hours for one specific RA and one specific project, making database mapping and querying straightforward. Model 1's multiplicity makes tracking individual hours impractical. Furthermore, Model 2 explicitly models the connection between `University` and `Employee` (`University --&gt; "*" Employee`), which is practical for managing the university's workforce and finding the total number of employees.
Total: Model 1 = 12, Model 2 = 15
Choice: B
Reason:
1. Cohesion and Decoupling: Model 2 correctly models the association class `ProjectInvolvement` with one-to-many semantics from the base classes, ensuring high cohesion for the tracking of project hours. Model 1 incorrectly uses a many-to-many relationship (`0..*` to `0..*`) between `ResearchAssistant` and `ProjectInvolvement`, which breaks standard decoupling principles for association classes.
2. Complexity: Both models keep the class hierarchy well-structured. However, Model 2 avoids the structural complexity introduced by Model 1's flawed multiplicity on the intermediate involvement class. Model 1 extracts an `Address` class while Model 2 uses a String attribute; both are acceptable complexity choices based on the prompt.
3. Practicability: Model 2 is much more viable for real-world software design. It ensures that project hours are strictly tied to an individual RA's involvement. It also explicitly ties `Employee` to `University`, satisfying the domain knowledge that employees belong to the broader university entity. 
4. Rejected or checked issues: Model 2 makes extensive use of two opposite unidirectional associations (e.g., `Faculty --&gt; "1" Employee` and `Employee --&gt; "0..1" Faculty`) and single-quote PlantUML comments (e.g., `'opposite dean`). In strict accordance with the forbidden penalties, these are 100% semantically equivalent to single bidirectional lines and were completely ignored for scoring. 
5. Overall judgment: Model 2 is the superior design because it accurately and practically models the domain relationships—especially the `ProjectInvolvement` association—whereas Model 1 contains a semantic multiplicity error that would cause issues in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</si>
  <si>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</si>
  <si>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all key domain concepts as classes, including `University`, `Faculty`, `Institute`, `Employee`, `ResearchAssistant`, `Lecturer`, `Project`, and `Course`. Both correctly use an intermediate class (`ProjectInvolvement`) to represent hours worked on projects. Model 1 creates an `Address` class, while Model 2 uses an `address` attribute inside Institute, both of which are conceptually appropriate for the domain.
2. Associations/Multiplicities between classes for domain reasoning: Model 1 = 3, Model 2 = 5; Evidence: The prompt states RAs are assigned to "at least one institute." Model 2 correctly models this with `ResearchAssistant --&gt; "1..*" Institute`. Model 1 incorrectly models the multiplicity on the Institute side as `0..*` (`ResearchAssistant "1..*" -- "0..*" Institute`). For project involvements, Model 1 incorrectly models a many-to-many relationship between RA and the intermediate class (`ResearchAssistant "0..*" -- "0..*" ProjectInvolvement`), whereas Model 2 correctly links the intermediate entity (`ResearchAssistant --&gt; "0..*" ProjectInvolvement` and `ProjectInvolvement --&gt; "1" Project`). Model 2 also accurately limits the dean relationship where an Employee heads `0..1` Faculty, avoiding Model 1's bidirectional `"1"` to `"1"` mapping which incorrectly implies every employee is a dean.
3. Model attributes with appropriate data types: Model 1 = 5, Model 2 = 5; Evidence: Both models successfully include all required attributes (`totalEmployees`, `name`, `socialSecurityNumber`, `email`, `fieldOfResearch`, `startDate`, `endDate`, `id`, `weeklyDurationHours`) and assign logical data types (e.g., String, int, double, Date).
4. Consistencies of Terminology with given context: Model 1 = 5, Model 2 = 5; Evidence: Both models use terminology perfectly aligned with the prompt context, matching words such as `ResearchStaff`, `AdministrativeStaff`, `Lecturer`, `dean`, and `socialSecurityNumber` verbatim.
5. Adherence of UML class diagram standards: Model 1 = 5, Model 2 = 5; Evidence: Both models produce syntactically valid PlantUML diagrams that adhere to UML semantic standards. Generalizations, compositions, and standard associations are correctly applied.
Total: Model 1 = 23, Model 2 = 25
Choice: B
Reason:
1. Associations/Multiplicities between classes for domain reasoning: Model 2 is significantly better at capturing domain constraints. Model 2 correctly enforces that an RA is assigned to at least one institute (`1..*`), whereas Model 1 incorrectly uses `0..*`. Furthermore, Model 1 fails to properly link the `ProjectInvolvement` association class, erroneously assigning it a many-to-many relationship with `ResearchAssistant` (`0..*` to `0..*`), while Model 2 correctly establishes standard 1-to-many intermediate links. Model 2 also avoids making every employee a dean by properly specifying a `0..1` multiplicity.
2. Rejected or checked issues: Model 2 heavily uses paired opposite unidirectional associations (e.g., `Faculty --&gt; "1" Employee` and `Employee --&gt; "0..1" Faculty`) and single-quote PlantUML comments (e.g., `'opposite headedFaculty`). In accordance with the strict evaluation guidelines, these are completely semantically equivalent to bidirectional associations and represent standard tooling annotations, so they were entirely ignored for scoring purposes and not penalized.
3. Overall judgment: Both models excellently identify the correct classes, attributes, and terminologies. However, Model 1 contains critical multiplicity flaws that violate both the specific domain requirements (RA assignment to institutes) and standard UML domain logic for intermediate relationship classes (ProjectInvolvement). Model 2 accurately translates all constraints and multiplicities, making it the unambiguously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</si>
  <si>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</si>
  <si>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correctly models the entire class hierarchy (`Employee` &lt;|-- `ResearchStaff` &lt;|-- `ResearchAssistant` &lt;|-- `Lecturer`) and introduces an intermediate class `ProjectInvolvement` with the attribute `hours` to properly capture the many-to-many relationship between RAs and Projects. Model 1 also uses standard multiplicities (e.g., `"0..*"`). Model 2 omits the `ResearchAssistant` class entirely by merging it into `ResearchStaff`. It also fails to structurally model the `hours` association attribute, instead just typing it as a text label (`involved in (hours : int)`) on the association line. Finally, Model 2 uses non-standard `"many"` literals for multiplicity.
Total: Model 1 = 5, Model 2 = 3
Choice: A
Reason:
1. Alignment with Requirements: Model 1 provides a highly accurate and standard-compliant UML design. It captures the exact employee hierarchy specified in the text (distinguishing research staff in general from research assistants specifically, and lecturers from RAs). Model 1 elegantly handles the requirement "involved in projects for a certain number of hours" by creating a `ProjectInvolvement` intermediate class containing the `hours` attribute. Model 2 struggles with this, placing the attribute inside an association string label which has no structural semantic value in UML. Model 2 also misses the `ResearchAssistant` concept, blending it into `ResearchStaff`, and uses `"many"` instead of valid UML multiplicities. 
2. Rejected or checked issues: I did not penalize Model 2 for defining `address` as a simple String attribute in `Institute` rather than creating a separate `Address` class like Model 1 did, as both are valid ways to model "the address of each institute is known". However, Model 1 is far superior in mapping the structural relationships and inheritance hierarchy.
3. Overall judgment: Model 1 is fundamentally better because it completely models the domain concepts, inheritance tree, and association attributes in a structurally sound and syntactically correct manner, whereas Model 2 takes shortcuts that lose semantic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</si>
  <si>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</si>
  <si>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extracts `Address` into a dedicated class and introduces a `ProjectInvolvement` class to encapsulate the N:M relationship between RAs and Projects, ensuring that classes remain highly cohesive and the `hours` attribute is structurally decoupled. Model 2 keeps `address` as an internal string attribute and fails to create a structural component for the project hours, instead merely appending text to an association label (`ResearchStaff "many" --&gt; "0..*" Project : involved in (hours : int)`).
2. Complexity: Model 1 = 4, Model 2 = 3; Evidence: Model 1 defines 12 classes with an inheritance depth of 3 (`Employee` &lt;|-- `ResearchStaff` &lt;|-- `ResearchAssistant` &lt;|-- `Lecturer`). This appropriately balances complexity by reflecting the explicit distinctions made in the requirements. Model 2 is simpler with 9 classes, but it under-represents the domain complexity by omitting the `ResearchAssistant` class entirely (merging it into `ResearchStaff`) and failing to model an association entity for project hours.
3. Practicability: Model 1 = 4, Model 2 = 2; Evidence: Model 1 is highly practical for implementation and testing because it reifies the association into `ProjectInvolvement` to cleanly store `hours : int`. However, it loses one point because the multiplicity `ResearchAssistant "0..*" -- "0..*" ProjectInvolvement` is structurally imprecise for a standard N:M resolution class (which typically expects a `1` to `0..*` mapping). Model 2 is impractical because it uses non-standard multiplicity literals (`"many"`) and embeds the `hours` attribute within an association string label, which cannot be translated into functional code or validated through unit tests.
Total: Model 1 = 13, Model 2 = 8
Choice: A
Reason:
1. Cohesion and Decoupling: Model 1 demonstrates superior decoupling by utilizing a bridging class (`ProjectInvolvement`) to hold the association attribute (`hours`). Model 2 improperly relies on a text label to convey structural relationship data, which violates proper object-oriented cohesion.
2. Complexity: Model 1 captures the conceptual nuances of the domain by maintaining a complete inheritance tree that includes both `ResearchStaff` and `ResearchAssistant`, matching the specific terminology of the requirement. Model 2 oversimplifies the design by dropping the `ResearchAssistant` entity.
3. Practicability: Model 1 provides a clear, actionable blueprint that can be directly mapped to code. Model 2 uses informal syntax (like `"many"`) and pseudo-attributes in edge labels, making it unsuitable as a formal software design document.
4. Rejected or checked issues: I noted Model 1's unusual many-to-many multiplicity between `ResearchAssistant` and `ProjectInvolvement`. While slightly flawed for an associative entity, it still provides a vastly more implementable structure than Model 2's text label. Presentation differences and visibility markers were ignored as per the instructions.
5. Overall judgment: Model 1 is the significantly better response. It adheres to real-world software design principles, accurately models the requested hierarchy, and provides a structural solution for relationship attributes, whereas Model 2 relies on non-standard notation and incomplete hierarchies.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</si>
  <si>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</si>
  <si>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identifies `class ResearchAssistant` and appropriately introduces an intermediate class `class ProjectInvolvement` to handle the many-to-many relationship with an attribute. Model 2 merges the RA concept into `class ResearchStaff` and entirely lacks a conceptual or association class for the project hours.
2. Associations/Multiplicities between classes for domain reasoning: Model 1 = 3, Model 2 = 2; Evidence: Model 1 incorrectly assigns RAs to `0..*` Institutes (`ResearchAssistant "1..*" -- "0..*" Institute`), missing the "at least one" constraint, and assigns flawed `0..*` to `0..*` multiplicities to its intermediate `ProjectInvolvement` class. Model 2 successfully captures the `1..*` Institute constraint (`ResearchStaff "many" --&gt; "1..*" Institute`) but completely fails to structurally model the association for project hours, and uses non-standard "many" descriptors.
3. Model attributes with appropriate data types: Model 1 = 5, Model 2 = 3; Evidence: Model 1 appropriately models the `hours` attribute inside the `ProjectInvolvement` class, and models `Address` well. Model 2 fails to formally define the `hours` attribute, instead improperly placing it in the association label `involved in (hours : int)`.
4. Consistencies of Terminology with given context: Model 1 = 5, Model 2 = 3; Evidence: Model 1 aligns perfectly with the provided text, explicitly using `ResearchAssistant` and `Lecturer`. Model 2 drops the term "Research assistant", applying those requirements directly to `ResearchStaff`.
5. Adherence of UML class diagram standards: Model 1 = 4, Model 2 = 2; Evidence: Model 1 mostly follows standard UML and PlantUML conventions, aside from the semantic logic of its intermediate class multiplicities. Model 2 commits major UML violations by using `"many"` instead of standard literals (like `*` or `0..*`) and attempting to define an attribute inline on a relationship arrow.
Total: Model 1 = 22, Model 2 = 13
Choice: A
Reason:
1. Appropriate conceptual classes aligned with the domain: Model 1 comprehensively identifies all requested entities, including a distinct `ResearchAssistant` class and an intermediate class for project hours. Model 2 is missing the RA class and completely lacks a class structure to handle the project hours.
2. Associations/Multiplicities between classes for domain reasoning: Both models have flaws. Model 1 misses the "at least one" requirement for Institutes and has an incorrectly modeled many-to-many intermediate class. Model 2 captures the Institute constraint but structurally fails to model the project involvement relationship. 
3. Model attributes with appropriate data types: Model 1 successfully models all attributes, including placing the `hours` inside an intermediate class and extracting `Address` into a valid class. Model 2 fails to make `hours` a valid attribute, placing it in an association string label instead.
4. Consistencies of Terminology with given context: Model 1 accurately reflects the text's terminology (e.g., `ResearchAssistant`). Model 2 omits the RA terminology entirely.
5. Adherence of UML class diagram standards: Model 1 uses standard PlantUML syntax. Model 2 violates UML standards with non-standard `"many"` multiplicities and invalid attribute notation on association labels.
6. Rejected or checked issues: Model 1's use of a separate `Address` class is a perfectly valid and semantically sound structural choice, so no points were deducted. Model 1's use of an intermediate class (`ProjectInvolvement`) rather than a standard UML association class (`..`) is a common and acceptable decomposition pattern in PlantUML.
7. Overall judgment: Model 1 is significantly better because it captures all required domain concepts, accurately reflects terminology, and structurally defines attributes. Model 2 takes improper modeling shortcuts that violate UML syntax and omits key domain concepts like the Research Assistant entity.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</si>
  <si>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</si>
  <si>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</si>
  <si>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</si>
  <si>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&amp; Domain Accuracy: Model 1 = 4, Model 2 = 5; Evidence: Model 2 accurately captures the requirement "head scout when setting up scouting assignments" via the explicit association `HeadScout "1" -- "0..*" ScoutingAssignment : creates &gt;`. Model 1 lacks an explicit creator link for assignments. Model 2 also explicitly models the joint decision for the short list by linking both `HeadCoach` and `HeadScout` to `ShortListEntry` with `approves &gt;`, whereas Model 1 relies on broader `manages`/`evaluates` associations to a central `ScoutingRecord` entity.
2. UML Semantics &amp; Relationships: Model 1 = 5, Model 2 = 5; Evidence: Both models excellently apply inheritance (`Employee` superclass with `HeadCoach`, `Director`, `Scout`, and `HeadScout` subclasses). Model 1 appropriately uses composition (`TargetProfile *-- "*" Attribute`), while Model 2 uses valid associations (`TargetProfile "1" -- "0..*" ProfileAttribute`). Both define clear enumerations (`Recommendation`), attributes, and accurate multiplicities (e.g., 1-to-many from profiles to positions).
Total: Model 1 = 9, Model 2 = 10
Choice: B
Reason:
1. Functional Alignment &amp; Domain Accuracy: Model 2 is superior because it perfectly traces specific domain verbs to explicit associations. It includes the `HeadScout` setting up the `ScoutingAssignment` (which Model 1 omits) and clearly depicts the joint decision-making process by having both the coach and head scout approve a `ShortListEntry`.
2. UML Semantics &amp; Relationships: Both models demonstrate high-quality structural UML practices. They correctly handle the `Employee` hierarchy and effectively link entities like `LongListEntry` to both `Player` and `TargetProfile` with proper cardinalities.
3. Rejected or checked issues: Model 1's use of `ScoutingRecord` as a state-tracking concept is a valid domain refinement and was not penalized as an hallucination. Additionally, Model 1's use of single-quote PlantUML comments (e.g., `'opposite produces`) is a standard tooling annotation and was strictly ignored per the forbidden penalty rules.
4. Overall judgment: Both models offer robust, professional designs. Model 2 is chosen as the winner because its structural associations more explicitly and completely capture the actor-to-entity interactions precisely as described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</si>
  <si>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</si>
  <si>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uses `ScoutingRecord` to cohesively group related activities (`LongListEntry`, `ScoutingAssignment`) for a specific `Player` and `TargetProfile`. Model 2 is overly decoupled in critical areas; its `ScoutingAssignment` links to `Player` and `Scout` but lacks any association to `TargetProfile` or the list entries, meaning assignments lose the context of which profile is being evaluated.
2. Complexity: Model 1 = 5, Model 2 = 4; Evidence: Model 1 efficiently uses a `List&lt;Position&gt;` attribute within `TargetProfile` and a `ScoutingState` enum, keeping the class count manageable without losing semantic detail. Model 2 introduces slightly more conceptual complexity by creating separate classes for `TargetPosition`, `LongListEntry`, and `ShortListEntry`, though it remains reasonably balanced.
3. Practicability: Model 1 = 5, Model 2 = 3; Evidence: Model 1 offers a highly traceable workflow, explicitly tracking the progression (Long List to Offer) via `ScoutingState` and linking `Offer` to `ScoutingRecord` (`basedOn`). This supports the requirement that offers are made after final recommendations. Model 2 lacks this traceability; `ContractOffer` links only to `Player`, and the decision process moving from assignments to the final recommendation is loosely handled without retaining context to the originating profile.
Total: Model 1 = 15, Model 2 = 10
Choice: A
Reason:
1. Cohesion and Decoupling: Model 1 successfully binds the scouting workflow (lists, assignments, and outcomes) to a cohesive context using the `ScoutingRecord` aggregate. Model 2's `ScoutingAssignment` is completely disconnected from `TargetProfile`, resulting in a decoupled design that loses important domain associations.
2. Complexity: Model 1 smartly utilizes enums and list attributes (e.g., `ScoutingState`, `List&lt;Position&gt;`) to simplify the diagram's structure while preserving business rules. Model 2 creates individual classes for positions and list states, which is slightly more verbose but still acceptable.
3. Practicability: Model 1 faithfully captures the complete lifecycle of a scouting process. It explicitly supports the condition where a player is finally recommended and an offer is made by linking `Offer` back to the `ScoutingRecord`. Model 2 struggles with traceability; because assignments and offers are only linked to the `Player`, the system would not easily be able to determine which profile the player was successfully scouted and offered a contract for.
4. Overall judgment: Model 1 is significantly better because it models the scouting process as a stateful, cohesive journey (`ScoutingRecord`), perfectly aligning with the business requirements for tracking evaluations, assignments, and eventual offers against specific target profiles.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</si>
  <si>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</si>
  <si>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provides a cohesive set of classes and introduces `ScoutingRecord` and `ScoutingState` (with LONG_LIST, SHORT_LIST, RECOMMENDED) to comprehensively track a player's lifecycle in the system. Model 2 identifies valid lists (`LongListEntry`, `ShortListEntry`) but lacks a class or state to represent the final "recommended for signing" status before an offer is made.
2. Associations/Multiplicities between classes for domain reasoning: Model 1 = 5, Model 2 = 3; Evidence: Model 1 strongly links the business workflow by associating `ScoutingAssignment`s, `LongListEntry`, and the final `Offer` to a centralized `ScoutingRecord`, ensuring assignments and offers retain the context of the `TargetProfile` being evaluated. Model 2's associations are highly fragmented; `ScoutingAssignment`, `ShortListEntry`, and `ContractOffer` link directly to `Player` but not to each other or the `TargetProfile`, losing critical domain context (e.g., a scout's assignment doesn't track which profile they are evaluating the player against).
3. Model attributes with appropriate data types: Model 1 = 5, Model 2 = 5; Evidence: Both models correctly assign attributes and standard data types. Model 1 uses `int`, `String`, `Date`, and enums. Model 2 uses `UUID`, `String`, `Date`, `Decimal`, and enums. Both successfully model key details like `Player` attributes and `ScoutingReport` pros/cons.
4. Consistencies of Terminology with given context: Model 1 = 5, Model 2 = 5; Evidence: Both models use terms perfectly aligned with the prompt, such as `HeadCoach`, `Director`, `TargetProfile`, `ScoutingAssignment`, and precisely match the requested recommendations (e.g., `KEY_PLAYER`, `PROSPECTIVE`).
5. Adherence of UML class diagram standards: Model 1 = 5, Model 2 = 5; Evidence: Both models apply valid PlantUML syntax. Model 1 correctly uses generalization (`&lt;|--`), composition (`*--`), and unidirectional associations (`--&gt;`). Model 2 correctly formats standard associations with multiplicities and directional role labels (`"1" -- "0..*" : creates &gt;`).
Total: Model 1 = 25, Model 2 = 22
Choice: A
Reason:
1. Appropriate conceptual classes aligned with the domain: Model 1 uses an excellent domain tracking pattern (`ScoutingRecord` and `ScoutingState`) to follow a player's evaluation from long list to recommendation. Model 2 models the lists but misses a clear conceptual state for the final recommendation before an offer is generated.
2. Associations/Multiplicities between classes for domain reasoning: This is the primary differentiator. Model 1 cohesively ties the entire scouting workflow together. An `Offer` is explicitly `basedOn` a `ScoutingRecord`, and a `ScoutingAssignment` belongs to a `ScoutingRecord` (which in turn is `alignedWith` a `TargetProfile`). Model 2 fragments these steps; `ScoutingAssignment` and `ContractOffer` link directly to `Player` but lack traceability back to the `TargetProfile` or the `ShortListEntry` that triggered them, severing essential domain reasoning.
3. Rejected or checked issues: Model 1 utilizes opposite unidirectional associations and single-quote PlantUML comments (e.g., `'opposite produces`), which are fully valid and strictly protected from penalties according to the guidelines. Model 1's use of a `ScoutingRecord` is not penalized for being an "intermediate workflow class"; instead, it is properly rewarded for improving domain coverage, traceability, and constraint enforcement.
4. Overall judgment: Model 1 is structurally much sounder. It elegantly connects the sequential steps of the scouting process into a unified lifecycle. Model 2, while containing good classes, suffers from a fragmented relational structure that loses the context of why actions (like assignments and offers) are being performed. Therefore, Model 1 is the superior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</si>
  <si>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</si>
  <si>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2; Evidence: Model 1 captures the long list via the `LongListEntry` class, the short list via `ScoutingState.SHORT_LIST`, and official offers via the `Offer` class, fully covering the requirement's workflow. Model 2 misses the long list entirely (only stating `Scout --&gt; "*" Player : notes`), incorrectly embeds `shortList : List&lt;Player&gt;` as an attribute inside `ScoutingAssignment`, and lacks a dedicated abstraction for an official offer.
2. Conceptual Classes and Relationships: Model 1 = 5, Model 2 = 1; Evidence: Model 1 correctly models inheritance (`Employee &lt;|-- HeadCoach` meaning HeadCoach inherits from Employee), uses composition (`TargetProfile *-- "*" Attribute`), and accurately associates assignments to players and scouts. Model 2 reverses inheritance (`Employee --|&gt; HeadCoach` makes Employee inherit from HeadCoach in PlantUML syntax) and incorrectly uses an attribute name as a class in an association (`ScoutingReport --&gt; "1" relatedAssignment`).
3. Clarity in Class Names and Attributes: Model 1 = 5, Model 2 = 3; Evidence: Model 1 uses precise enums for `Position` (e.g., GK, LB) and `Recommendation` (e.g., KEY_PLAYER) that perfectly match the requirement's explicit examples. Model 2 relies on generic `String` types for these concepts and awkwardly duplicates relationships as raw attributes (e.g., `relatedAssignment : ScoutingAssignment` inside `ScoutingReport` alongside a relationship line).
Total: Model 1 = 15, Model 2 = 6
Choice: A
Reason:
1. Requirement Alignment and Functionality Coverage: Model 1 thoroughly models the complete scouting workflow. It correctly represents the long list and short list as structured entries and states, whereas Model 2 completely misses the long list concept and erroneously embeds the short list inside a single scouting assignment. Model 1 also correctly models the offer process with a dedicated `Offer` class.
2. Conceptual Classes and Relationships: Model 1 applies proper UML relationship types, including correct inheritance directions, composition, and associations with proper cardinalities. Model 2 critically fails with inheritance direction (making the general `Employee` class a subclass of specific roles like `HeadCoach` and `Director`) and creates a phantom class in PlantUML by using the attribute `relatedAssignment` as the target of an association.
3. Clarity in Class Names and Attributes: Model 1 leverages enumerations effectively to capture the explicit examples provided in the prompt, whereas Model 2 relies heavily on generic `String` attributes, providing a less rigorous domain model.
4. Overall judgment: Model 1 is vastly superior due to its accurate domain modeling, correct UML relationship syntax, and comprehensive coverage of the requirement's workflows. Model 2 suffers from severe conceptual UML errors (backward inheritance) alongside missing key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</si>
  <si>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</si>
  <si>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effectively; e.g., `LongListEntry` handles the association between a `Player` and a `TargetProfile`, while `ScoutingAssignment` purely handles the task details. Model 2 mixes responsibilities, placing `shortList : List&lt;Player&gt;` inside `ScoutingAssignment`, which tightly couples assignment tracking with roster management. Model 2 also exhibits redundant coupling by giving `ScoutingReport` both an attribute `relatedAssignment : ScoutingAssignment` and an explicit association `ScoutingReport --&gt; "1" relatedAssignment : linkedAssignment`.
2. Complexity: Model 1 = 5, Model 2 = 3; Evidence: Model 1 appropriately uses enums (`Position`, `Recommendation`, `ScoutingState`) to constrain values, and achieves a logical inheritance depth (`Employee` &lt;|-- `Scout` &lt;|-- `HeadScout`). Model 2 relies heavily on primitive strings (`status : String`, `playerStatus : String`, `recommendation : String`) and internal list attributes (`pros : List&lt;String&gt;`, `shortList : List&lt;Player&gt;`) instead of using conceptual classes or associations, which masks the true domain complexity and weakens the model's structural integrity.
3. Practicability: Model 1 = 5, Model 2 = 2; Evidence: Model 1 covers the entire workflow realistically, including explicit classes for `TargetProfile`, `LongListEntry` (long list), `ScoutingReport`, and `Offer`. Model 2 is impractical for a real system as it completely omits the "long list" concept (only showing `Scout --&gt; "*" Player : notes`), misplaces the "short list" inside an assignment, and lacks an `Offer` entity, simply linking `Director --&gt; "*" Player : makesOffer` without capturing offer details (like amount or date).
Total: Model 1 = 15, Model 2 = 7
Choice: A
Reason:
1. Cohesion and Decoupling: Model 1 exhibits high cohesion by creating dedicated classes for intermediate steps (e.g., `LongListEntry`, `ScoutingRecord`). Model 2 suffers from low cohesion and redundancy, such as embedding the short list into individual scouting assignments and duplicating associations as attributes.
2. Complexity: Model 1 strikes an excellent balance, using enums for constrained attributes and proper inheritance (making `HeadScout` a subclass of `Scout`). Model 2 flattens the complexity artificially by overusing Strings and embedding domain entities as List attributes, which diminishes the diagram's modeling value.
3. Practicability: Model 1 provides a highly modular, testable, and realistic blueprint of the domain. It captures the full lifecycle from `TargetProfile` to `Offer`. Model 2 misses core requirements like the "long list", awkwardly implements the "short list", and fails to model the actual `Offer` data, making it far less practical for software development.
4. Overall judgment: Model 1 is significantly better. It accurately interprets the requirements into a highly cohesive, robust, and domain-appropriate object-oriented design, whereas Model 2 takes shortcuts with attributes and misses crucial domain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</si>
  <si>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</si>
  <si>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defines conceptual classes like `TargetProfile`, `Attribute`, `LongListEntry`, `ScoutingAssignment`, and `Offer`, fully capturing the domain. Model 2 completely misses the 'Long List' concept and inappropriately models the 'Short List' as an attribute (`shortList : List&lt;Player&gt;`) inside `ScoutingAssignment` rather than as a state or separate entity.
2. Associations/Multiplicities between classes for domain reasoning: Model 1 = 5, Model 2 = 2; Evidence: Model 1 correctly establishes associations, such as a scout noting a player matching a profile (`LongListEntry --&gt; "1" Player`, `LongListEntry --&gt; "1" TargetProfile`) and assignments targeting specific players (`ScoutingAssignment --&gt; "1" Player`). Model 2 has backward inheritance directions (`Employee --|&gt; HeadCoach` implies Employee inherits from HeadCoach) and erroneously associates `ScoutingAssignment` with `PlayerProfile` instead of `Player`.
3. Model attributes with appropriate data types: Model 1 = 5, Model 2 = 3; Evidence: Model 1 leverages enumerations (`Position`, `Recommendation`, `ScoutingState`) and precise types to accurately model domain attributes. Model 2 relies heavily on generic `String` types for statuses/positions and awkwardly duplicates data by declaring `relatedAssignment` as an attribute within `ScoutingReport` while also attempting to use it in an association.
4. Consistencies of Terminology with given context: Model 1 = 5, Model 2 = 3; Evidence: Model 1 consistently aligns with the prompt's terminology ("TargetProfile", "LongListEntry", "ScoutingAssignment", "ScoutingReport"). Model 2 deviates slightly with "PlayerProfile" and completely omits key contextual terms like "Long List".
5. Adherence of UML class diagram standards: Model 1 = 5, Model 2 = 2; Evidence: Model 1 uses correct PlantUML/UML syntax for inheritance (`&lt;|--`), composition (`*--`), and associations. Model 2 uses reversed inheritance arrows (`--|&gt;`) making `Employee` the subclass, and it syntactically uses an attribute name as a class target in an association (`ScoutingReport --&gt; "1" relatedAssignment`), which will generate a rogue class in PlantUML.
Total: Model 1 = 25, Model 2 = 13
Choice: A
Reason:
1. Appropriate conceptual classes aligned with the domain: Model 1 accurately captures all requested concepts, including representing the Long List and Short List workflows via `LongListEntry` and `ScoutingState`. Model 2 completely misses the Long List and poorly represents the Short List as a list inside a single Scouting Assignment.
2. Associations/Multiplicities between classes for domain reasoning: Model 1 correctly links scouting assignments to specific players and tracks the profile a player was matched against. Model 2 severely falters here by drawing backward inheritance relationships (making Employee a subclass of the specific roles) and having assignments investigate profiles instead of players.
3. Adherence of UML class diagram standards: Model 1 is syntactically sound and structurally correct. Model 2 misuses PlantUML syntax by referencing an attribute name as a class in its association definitions, and misapplies the inheritance arrow direction.
4. Overall judgment: Model 1 is an excellent, well-thought-out domain model that accurately translates the complex scouting workflow, lists, assignments, and recommendations into valid UML. Model 2 suffers from fundamental UML flaws (backward inheritance), missing domain requirements, and illogical attribute placements.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</si>
  <si>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</si>
  <si>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explicitly models `LongListEntry` and `ShortListEntry` to properly track players against profiles, correctly links `ScoutingAssignment` to a specific `Player`, and uses an enum for the exact `Recommendation` values. Model 2 omits a distinct concept for the long list, incorrectly embeds `shortList : List&lt;Player&gt;` as an attribute inside `ScoutingAssignment`, and wrongly has `ScoutingAssignment` and `ScoutingReport` associate with a `PlayerProfile` rather than the specific `Player` being scouted.
Total: Model 1 = 5, Model 2 = 2
Choice: A
Reason:
1. Alignment with Requirements: Model 1 excels at translating the domain workflow into a structured class diagram. It uses intermediate classes (`LongListEntry`, `ShortListEntry`) to capture the context of players matching profiles at different stages. It accurately links scouting assignments and reports to specific players and includes the exact recommendation values specified in the prompt. Model 2 struggles with domain accuracy: it completely misses the "long list" entity, mistakenly places the "short list" as an attribute inside an individual `ScoutingAssignment`, and models assignments and reports as investigating/reporting on a `PlayerProfile` instead of the actual flesh-and-blood `Player`.
2. Rejected or checked issues: I did not penalize either model for using aliases like `String` vs `str` or different structural approaches (e.g., Model 1 separating `TargetPosition` vs Model 2 using an attribute), as these are valid UML interpretations. However, Model 2's structural choices led to direct contradictions of the business logic.
3. Overall judgment: Model 1 is far superior because it correctly and comprehensively captures the domain logic, cardinalities, and associations described in the requirement, whereas Model 2 suffers from fundamental conceptual errors regarding how players, lists, and assignments relate to one another.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</si>
  <si>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</si>
  <si>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and low coupling by using intermediate classes (e.g., `LongListEntry` and `ShortListEntry`) to connect `Player` with `TargetProfile`, and cleanly separates `ScoutingReport` and `ScoutingAssignment`. Model 2 exhibits poor cohesion by embedding domain-level collections into specific operational classes (e.g., `ScoutingAssignment` holding `+ shortList : List&lt;Player&gt;`) and redundantly coupling concepts by duplicating associations as attributes (e.g., `ScoutingReport` has both `+ relatedAssignment : ScoutingAssignment` and an association `ScoutingReport --&gt; "1" relatedAssignment`).
2. Complexity: Model 1 = 5, Model 2 = 2; Evidence: Model 1 effectively balances conceptual complexity, using 14 classes and 2 enums with a clean inheritance tree (`Employee &lt;|-- Scout`, `Scout &lt;|-- HeadScout`). Model 2 has redundant and messy complexity; it defines a `role` attribute in `Employee` while simultaneously subclassing it, re-declares the `name` attribute in the `Scout` class despite it already existing in `Employee`, and uses inverted PlantUML inheritance arrows (`Employee --|&gt; HeadCoach` technically makes `HeadCoach` the parent of `Employee`).
3. Practicability: Model 1 = 5, Model 2 = 2; Evidence: Model 1 is highly practical and faithfully maps to the business requirements. It explicitly models lists over time, ties assignments properly, and strictly categorizes recommendations via the `Recommendation` enum (e.g., `KEY_PLAYER`). Model 2 is impractical; it fails to represent the long list conceptually (relying on a vague `Scout --&gt; "*" Player : notes` link) and fundamentally misinterprets the short list by making it an attribute of `ScoutingAssignment`. This contradicts the requirement that short-listed players undergo multiple subsequent assignments.
Total: Model 1 = 15, Model 2 = 6
Choice: A
Reason:
1. Cohesion and Decoupling: Model 1 successfully isolates distinct responsibilities into intermediate entities, ensuring that actors, profiles, and assignments are loosely coupled. Model 2 stuffs disparate responsibilities together (like placing a team's short list into a single assignment) and duplicates relationship definitions.
2. Complexity: Model 1 keeps a clear, logical, and well-organized hierarchy and structure. Model 2 struggles with duplicated attributes across parent/child classes, redundant role mapping (using both attributes and inheritance), and inverted inheritance relationships that complicate readability and domain accuracy.
3. Practicability: Model 1 perfectly translates the provided workflow—from identifying profiles to long lists, short lists, and contract offers—into a robust, implementable software structure. Model 2's decision to nest the short list within a `ScoutingAssignment` makes the required workflow (conducting multiple scouting rounds for a short-listed player) structurally impossible. 
4. Rejected or checked issues: I did not penalize Model 2 strictly for using programming-language-style collections (`List&lt;Player&gt;`) instead of pure UML multiplicities, but rather penalized how the placement of those collections violated domain cohesion and practicability. No penalties were applied for the lack of explicit multiplicities in Model 2, as the domain issues were far more severe.
5. Overall judgment: Model 1 is significantly better. It provides a cohesive, accurate, and highly practical blueprint for the required scouting system, whereas Model 2 suffers from fundamental conceptual and structural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</si>
  <si>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</si>
  <si>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extracts essential domain concepts into distinct classes such as `TargetProfile`, `LongListEntry`, `ShortListEntry`, and `ContractOffer`. Model 2 completely misses a class for the "Long list", improperly models the "Short list" as an attribute, and represents the contract offer merely as an association.
2. Associations/Multiplicities between classes for domain reasoning: Model 1 = 5, Model 2 = 2; Evidence: Model 1 accurately links scouting assignments to specific players (`ScoutingAssignment "0..*" -- "1" Player : investigates`) and captures the workflow of moving players between lists. Model 2 incorrectly specifies that assignments investigate profiles rather than players (`ScoutingAssignment --&gt; "*" PlayerProfile : investigates`), places the short list inside a specific assignment, and structurally reverses the inheritance relationship (`Employee --|&gt; HeadCoach` makes `Employee` a subclass of `HeadCoach`).
3. Model attributes with appropriate data types: Model 1 = 5, Model 2 = 3; Evidence: Model 1 effectively uses an enum (`Recommendation`) to capture the specific recommendation values provided in the prompt, and maps attributes to appropriate types (e.g., `UUID`, `Date`, `Decimal`). Model 2 uses a generic `String` for `recommendation`, and redundantly declares attributes as lists (e.g., `playerAttributes : List&lt;Attribute&gt;`) while concurrently defining structural associations for the exact same concepts.
4. Consistencies of Terminology with given context: Model 1 = 5, Model 2 = 3; Evidence: Model 1 meticulously mirrors the prompt's exact terminology (`TargetPosition`, `LongListEntry`, `ShortListEntry`, `ScoutingAssignment`, `ScoutingReport`). Model 2 uses `PlayerProfile` instead of "designated player profile", completely omits "long list", and misplaces the concept of a "short list".
5. Adherence of UML class diagram standards: Model 1 = 5, Model 2 = 3; Evidence: Model 1 uses standard and syntactically correct PlantUML definitions, complete with clear multiplicities on both ends and proper inheritance (`Employee &lt;|-- HeadCoach`). Model 2 utilizes inverted inheritance arrows (where the hollow triangle points to the specific roles, violating the intended superclass relationship) and poorly mixes structural relationships with list-based attribute types.
Total: Model 1 = 25, Model 2 = 14
Choice: A
Reason:
1. Appropriate conceptual classes aligned with the domain: Model 1 perfectly identifies the key lifecycle components (Long List, Short List, Reports, Offers), whereas Model 2 misses several critical components like the long list and official offers.
2. Associations/Multiplicities between classes for domain reasoning: Model 1 correctly captures the business logic of scouting a specific player and moving them through the workflow. Model 2 contains fatal flaws, such as scouting assignments pointing to profiles instead of players, and inverted inheritance hierarchies.
3. Model attributes with appropriate data types: Model 1 leverages enumerations for constrained fields (Recommendations), while Model 2 relies entirely on loose Strings and redundant lists.
4. Consistencies of Terminology with given context: Model 1 strictly adheres to the provided vocabulary; Model 2 glosses over critical terms and phases mentioned in the prompt.
5. Adherence of UML class diagram standards: Model 1 provides a clean, standard-compliant diagram. Model 2 struggles with standard PlantUML inheritance syntax and duplicates relationships inside class attributes.
6. Overall judgment: Model 1 is vastly superior to Model 2. It accurately reflects the domain logic, successfully isolates workflow states into independent list concepts, perfectly incorporates prompt constraints via enums, and demonstrates excellent command of UML syntax. Model 2 misunderstands the core associations and fails to capture the "list" progressions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</si>
  <si>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</si>
  <si>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M1 explicitly models actor actions using associations (e.g., `HeadScout "1" -- "0..*" ScoutingAssignment : creates &gt;`), but its `ScoutingAssignment` only connects to `Player` (`ScoutingAssignment "0..*" -- "1" Player`), losing the necessary context of which `TargetProfile` is being investigated. M2 introduces the `ScoutingRecord` class, which correctly links the entire scouting process (including `ScoutingAssignment` and `Offer`) to both the `Player` and the `TargetProfile` (`ScoutingRecord --&gt; "1" Player`, `ScoutingRecord --&gt; "1" TargetProfile`), ensuring reports can be compared for a specific profile.
Total: Model 1 = 4, Model 2 = 5
Choice: B
Reason:
1. Alignment with Requirements: Both models successfully capture the core entities, profile attributes, and the inheritance relationship allowing the Head Scout to perform scout duties (`Scout &lt;|-- HeadScout`). M1 is very literal in mapping verbs to associations (e.g., linking both the Head Coach and Head Scout to `ShortListEntry` with `approves &gt;`). However, M1 suffers from a critical domain disconnect: because `ScoutingAssignment` and `ScoutingReport` are not linked to a `TargetProfile`, the system cannot fulfill the requirement of "comparing first scouting results for a designated player profile." M2 solves this seamlessly by using `ScoutingRecord` as a traceable workflow concept that manages states (`ScoutingState`) and anchors assignments and entries to both the specific player and the intended profile.
2. Rejected or checked issues: I strictly adhered to the forbidden penalties and did not penalize Model 2 for using two opposite unidirectional associations (`produces` and `fulfills`), PlantUML line comments (`'opposite produces`), primitive types (`int`), or equivalent multiplicity literals (`*` instead of `0..*`). Model 2's introduction of the `ScoutingRecord` was credited as a valid and necessary domain refinement rather than penalized for deviating from the literal nouns.
3. Overall judgment: Model 2 is better because it provides a structurally complete domain model. By using `ScoutingRecord` to group the scouting lifecycle, it preserves the vital context linking scouting assignments and reports to their specific target profiles. Model 1 is highly readable but structurally flawed, as it drops the target profile context once a scouting assignment is created.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</si>
  <si>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</si>
  <si>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distributes responsibilities across discrete workflow classes (`LongListEntry`, `ShortListEntry`, `ScoutingAssignment`), ensuring high cohesion for each specific phase without unnecessary dependencies. Model 2 introduces a `ScoutingRecord` class that aggregates `LongListEntry`, `ScoutingAssignment`, `Player`, `TargetProfile`, and states (`ScoutingState`), creating a highly coupled central hub for the entire workflow.
2. Complexity: Model 1 = 5, Model 2 = 5; Evidence: Both models maintain appropriate complexity with a well-balanced number of classes and an identical, simple depth of inheritance (`Employee` -&gt; `Scout` -&gt; `HeadScout`). Model 1 uses a `TargetPosition` class and `ProfileAttribute` class, while Model 2 effectively utilizes a `Position` enum and an `Attribute` class, both of which are valid, straightforward, and appropriately complex for the requirements.
3. Practicability: Model 1 = 5, Model 2 = 4; Evidence: Model 1 offers a highly practical representation of the joint decision-making process by explicitly modeling `HeadCoach` and `HeadScout` with `approves` associations to `ShortListEntry`. Model 2 is less explicit, using a `ScoutingState.SHORT_LIST` enum and vague `manages` and `evaluates` associations between the staff and `ScoutingRecord`, making the specific joint approval action less structurally clear to developers reading the diagram.
Total: Model 1 = 15, Model 2 = 13
Choice: A
Reason:
1. Cohesion and Decoupling: Model 1 achieves better decoupling by representing the long list and short list as separate, distinct entities (`LongListEntry`, `ShortListEntry`) rather than tightly coupling them into a single lifecycle manager (`ScoutingRecord`) as seen in Model 2. 
2. Complexity: Both models successfully manage complexity. They correctly implement the inheritance hierarchy for employees and abstract attributes and positions without overwhelming the diagram.
3. Practicability: Model 1 outperforms Model 2 in practically illustrating the business rules. The requirement "the head coach and the head scout decide upon which players to move to the short list" is directly and accurately captured in Model 1 via separate structural associations from both actors to the `ShortListEntry` class. Model 2 hides this collaborative decision behind a state enum (`ScoutingState.SHORT_LIST`), making the specific business workflow harder to discern from the associations alone.
4. Rejected or checked issues: I noted the single-quote comment (`'opposite produces`) in Model 2 and the difference between unidirectional arrows (`--&gt;`) and bidirectional lines (`--`), but these are strictly structural/tooling choices and were ignored per the forbidden penalties.
5. Overall judgment: Model 1 is better because its structural choices—using explicit entry classes rather than a centralized state-tracking record—map more transparently and practicably to the specific domain requirements, especially regarding joint approvals and distinct list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</si>
  <si>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</si>
  <si>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explicitly includes `TargetPosition`, `ProfileAttribute`, `LongListEntry`, and `ShortListEntry`. Model 2 includes `Attribute`, `LongListEntry`, and uses `ScoutingRecord` with a `ScoutingState` enum to represent the list status, which is a valid and transparent conceptual refinement. Both accurately map to the domain.
2. Associations/Multiplicities between classes for domain reasoning: Model 1 = 5, Model 2 = 4; Evidence: Model 1 explicitly models "setting up scouting assignments" and deciding on short lists via `HeadScout "1" -- "0..*" ScoutingAssignment : creates` and `HeadCoach "1" -- "0..*" ShortListEntry : approves` / `HeadScout "1" -- "0..*" ShortListEntry : approves`. Model 2 generalizes these workflows into `ScoutingRecord` relationships (`HeadScout --&gt; "*" ScoutingRecord: evaluates`), lacking the specific semantic links for assignment creation and the joint short-list decision.
3. Model attributes with appropriate data types: Model 1 = 5, Model 2 = 4; Evidence: Model 1 uses primitive attributes cleanly (`code: String`, `amount: Decimal`) and maps multiple target positions using a conceptual `1..*` association. Model 2 uses `targetPositions: List&lt;Position&gt;` in `TargetProfile`, which leans slightly toward implementation-level syntax rather than pure conceptual modeling, though it remains functional.
4. Consistencies of Terminology with given context: Model 1 = 5, Model 2 = 5; Evidence: Model 1 uses terms strictly from the prompt like `ShortListEntry`, `ScoutingAssignment`, and `ContractOffer`. Model 2 uses `LongListEntry`, `Offer`, and abstracts list states into `ScoutingState` (with `LONG_LIST`, `SHORT_LIST`) within `ScoutingRecord`. Both models are highly consistent with the prompt.
5. Adherence of UML class diagram standards: Model 1 = 5, Model 2 = 5; Evidence: Model 1 correctly forms classes and bidirectional associations with multiplicities (`"1" -- "0..*"`). Model 2 correctly applies directional associations (`--&gt;`) and valid PlantUML syntax. Per the strict evaluation guidelines, Model 2's dual opposite associations (e.g., `produces` / `fulfills`) are structurally valid and semantically equivalent, so they receive no penalty.
Total: Model 1 = 25, Model 2 = 23
Choice: A
Reason:
1. Associations/Multiplicities: Model 1 captures the domain reasoning and workflows more precisely. The requirement states the head coach and head scout compare results to decide on the short list, and the head scout sets up assignments. Model 1 handles these perfectly via explicit, well-named associations (`creates` and `approves`). Model 2 abstracts these interactions through a central `ScoutingRecord` class, which slightly dilutes the specific workflow semantics defined in the prompt.
2. Attributes: Model 1 maintains pure UML conceptual modeling by representing multiple target positions as an explicit association between `TargetProfile` and `TargetPosition`. Model 2 uses a slightly more implementation-driven `List&lt;Position&gt;` attribute for the multiplicity.
3. Rejected or checked issues: Model 2 uses a state-machine approach (`ScoutingRecord` with `ScoutingState`) to represent long and short lists instead of dedicated entities. Per the guidelines, transparent refinements like `Record` and `State` are highly valid abstractions and were not penalized. Additionally, Model 2's use of opposite unidirectional associations was fully accepted as valid UML semantics.
4. Overall judgment: While both models are excellent, comprehensive, and highly faithful to the domain context, Model 1 achieves slightly better alignment with the domain workflow semantics via precise relational associations and maintains a purer conceptual approach for structural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</si>
  <si>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</si>
  <si>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fails to properly represent the long list and short list, placing `shortList : List&lt;Player&gt;` inside `ScoutingAssignment`, and incorrectly models the assignment target with `ScoutingAssignment --&gt; "*" PlayerProfile : investigates` (instead of investigating a specific player). Model 2 correctly tracks lists via `LongListEntry` and `ScoutingState` (LONG_LIST, SHORT_LIST), associates assignments to players (`ScoutingAssignment --&gt; "1" Player: assignedPlayer`), and captures the recommendation options perfectly using a `Recommendation` enum with values like `FIRST_TEAM`.
Total: Model 1 = 2, Model 2 = 5
Choice: B
Reason:
1. Requirement Alignment: Model 2 accurately models the entire scouting workflow. It explicitly tracks the progression from long list to short list using `LongListEntry` and `ScoutingRecord` with a `ScoutingState` enum. It correctly links a `ScoutingAssignment` to a `Player`, whereas Model 1 incorrectly links it to a `PlayerProfile`. Furthermore, Model 2 uses a dedicated `Recommendation` enum containing the exact values specified in the prompt (e.g., `KEY_PLAYER`, `FIRST_TEAM`), while Model 1 relies on generic strings. Model 2 also correctly encapsulates the final action as an `Offer` class, whereas Model 1 relies on a simple association line.
2. Rejected or checked issues: Model 2 uses opposite unidirectional associations (e.g., `produces` and `fulfills` between `ScoutingReport` and `ScoutingAssignment`), which are explicitly protected from penalties by the evaluation guidelines. Additionally, the introduction of `ScoutingRecord` and `ScoutingState` in Model 2 is protected under the guideline prohibiting penalties for transparent workflow refinements like "Record" or "State". 
3. Overall judgment: Model 2 is significantly better because it captures the essential workflow states (long list, short list, recommendations) and correct relational targets (scouting a player, not a profile), whereas Model 1 struggles with core associations and misses the list representations entirely.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</si>
  <si>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</si>
  <si>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assigns `shortList : List&lt;Player&gt;` directly to `ScoutingAssignment`, which significantly lowers cohesion because a single assignment is meant to investigate a specific player, not manage a list of players. Furthermore, Model 1 links `ScoutingReport` to `PlayerProfile` (`reportsOn`), whereas reports are about a specific player. Model 2 achieves high cohesion by decoupling the overall progress from specific tasks: it uses a `ScoutingRecord` to track a `Player` against a `TargetProfile`, while `ScoutingAssignment` and `ScoutingReport` are solely focused on individual investigation tasks.
2. Complexity: Model 1 = 3, Model 2 = 5; Evidence: Model 1 misses an opportunity to manage inheritance depth appropriately, making `HeadScout` inherit directly from `Employee` rather than extending `Scout`. It also relies on basic `String` attributes for constraints (`status`, `recommendation`). Model 2 balances complexity perfectly by correctly inheriting `HeadScout` from `Scout` (depth of 2) and utilizing Enums (`Position`, `Recommendation`, `ScoutingState`) to constrain values, preventing invalid data states without adding unnecessary class bloat.
3. Practicability: Model 1 = 2, Model 2 = 5; Evidence: Model 1 fails to provide a viable mechanism for the core workflow of moving a player from a "long list" to a "short list", burying the `shortList` inside `ScoutingAssignment`. This makes the state of the scouting process difficult to maintain and test. Model 2 provides a highly practical and modular solution by introducing `ScoutingRecord` paired with `ScoutingState` (with values like `LONG_LIST`, `SHORT_LIST`, `RECOMMENDED`), and explicit classes like `LongListEntry` and `Offer`, which seamlessly translate the required real-world workflow into clear structural elements.
Total: Model 1 = 7, Model 2 = 15
Choice: B
Reason:
1. Cohesion and Decoupling: Model 2 is superior because it separates the overall scouting lifecycle (`ScoutingRecord`) from individual tasks (`ScoutingAssignment`), whereas Model 1 tangles these concepts by embedding a `shortList` into a specific assignment and linking reports to profiles instead of players.
2. Complexity: Model 2 leverages Enums (`Recommendation`, `Position`, `ScoutingState`) to elegantly handle domain constraints, and correctly models `HeadScout` as a subclass of `Scout`. Model 1 oversimplifies these types into plain Strings and flattens the inheritance hierarchy unnaturally.
3. Practicability: Model 2 perfectly aligns with the real-world requirement by explicitly tracking a player's journey from the long list to an official offer using state management (`ScoutingState`). Model 1 lacks the structural capability to logically track list transitions, making it highly impractical for the requested system.
4. Rejected or checked issues: I noted that Model 2 contains a PlantUML comment (`'opposite produces`) and uses two opposite unidirectional associations (`produces` and `fulfills`) between `ScoutingAssignment` and `ScoutingReport`. Following the strict guidelines, I did not penalize Model 2 for this, as it is semantically valid and standard tooling practice.
5. Overall judgment: Model 2 provides a well-thought-out, highly cohesive, and practical design that flawlessly maps to the complex business workflow (from long list to assignments, short list, recommendation, and offer). Model 1 struggles with basic domain associations and state tracking, making Model 2 the definitively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</si>
  <si>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</si>
  <si>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correctly identifies classes like `Player`, `PlayerProfile`, and `ScoutingReport`, but poorly models the "long list", "short list", and "offer" concepts (e.g., placing `shortList : List&lt;Player&gt;` inside a `ScoutingAssignment` makes no domain sense). Model 2 excellently captures all domain entities, adding `LongListEntry`, `Offer`, and a `ScoutingRecord` combined with a `ScoutingState` enum to manage the scouting process.
2. Associations/Multiplicities between classes for domain reasoning: Model 1 = 2, Model 2 = 5; Evidence: Model 1 includes fundamentally flawed domain associations, such as `ScoutingAssignment --&gt; "*" PlayerProfile : investigates` (assignments investigate specific players, not abstract profiles) and `HeadScout --&gt; "*" PlayerProfile : recommends` (scouts recommend players, not profiles). Model 2 correctly connects `LongListEntry --&gt; "1" Player` and `TargetProfile`, maps `ScoutingAssignment --&gt; "1" Player` and `Scout`, and connects `Offer --&gt; "1" Player`.
3. Model attributes with appropriate data types: Model 1 = 3, Model 2 = 5; Evidence: Model 1 heavily relies on generic Strings for restricted sets of values (`targetPosition : String`, `recommendation : String`) and incorrectly uses lists for domain state management (`shortList : List&lt;Player&gt;`). Model 2 perfectly utilizes Enums for restricted values (`Position`, `Recommendation`, `ScoutingState`) and uses appropriate data types like `amount: double` for the `Offer`.
4. Consistencies of Terminology with given context: Model 1 = 3, Model 2 = 5; Evidence: Model 1 correctly uses some required terms like "ScoutingReport", but misses "Offer" (handling it merely as an association label `makesOffer`) and "Long list". Model 2 fully embraces the requirement's terminology, explicitly naming `TargetProfile`, `LongListEntry`, `ScoutingAssignment`, and enumerating the exact recommendation terms from the prompt (`KEY_PLAYER`, `FIRST_TEAM`, etc.).
5. Adherence of UML class diagram standards: Model 1 = 2, Model 2 = 5; Evidence: Model 1 features completely backwards inheritance arrows (e.g., `Employee --|&gt; HeadCoach` means `Employee` inherits from `HeadCoach`) and redundant mappings (`relatedAssignment` as both an attribute and an association). Model 2 adheres perfectly to PlantUML and UML standards, using correct inheritance (`Employee &lt;|-- HeadCoach` meaning `HeadCoach` extends `Employee`), valid compositions (`TargetProfile *-- "*" Attribute`), and clear directed associations.
Total: Model 1 = 12, Model 2 = 25
Choice: B
Reason:
1. Appropriate conceptual classes aligned with the domain: Model 2 introduces necessary conceptual entities like `LongListEntry`, `Offer`, and `ScoutingRecord` to model the exact workflows and lifecycles defined in the requirement. Model 1 omits vital concepts and awkwardly forces the short list into `ScoutingAssignment`.
2. Associations/Multiplicities between classes for domain reasoning: Model 2 links the classes logically, ensuring assignments and offers target the `Player`. Model 1 fails this domain logic by linking `ScoutingAssignment` and the Head Scout's recommendation to the `PlayerProfile` rather than the specific player.
3. Model attributes with appropriate data types: Model 2 smartly relies on enums (`Position`, `Recommendation`) to ensure data types reflect the exact closed-list examples in the prompt, whereas Model 1 defaults to overly broad String types.
4. Consistencies of Terminology with given context: Model 2 reflects the prompt's vocabulary comprehensively, integrating exact states and recommendation tiers directly into its design. Model 1 skips several key terms like "long list".
5. Adherence of UML class diagram standards: Model 2 applies standard PlantUML inheritance, composition, and associations accurately. Model 1 reverses the inheritance arrows (making subclasses the superclass) and redundantly duplicates associations as text attributes.
6. Rejected or checked issues: I ignored the single-quote comment (`'opposite produces`) in Model 2's `ScoutingReport` association, as it is standard PlantUML tooling annotation and does not violate UML semantics. Additionally, Model 2's use of lowercase primitive aliases (e.g., `int` instead of `Integer`) was not penalized as it is functionally equivalent. 
7. Overall judgment: Model 2 provides a highly accurate, domain-aligned, and UML-compliant representation of the scouting system. Model 1 struggles with backwards inheritance syntax, weak attribute typing, and fundamentally flawed relationships between profiles and assignments. Model 2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</si>
  <si>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</si>
  <si>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fails to model the long list concept and improperly models the short list as an attribute (`shortList : List&lt;Player&gt;`) within `ScoutingAssignment`, which contradicts the domain workflow. It also incorrectly associates `ScoutingAssignment` and `ScoutingReport` with `PlayerProfile` instead of a specific `Player`. Model 2 accurately uses `LongListEntry` and `ShortListEntry` to handle the player lists, correctly links `ScoutingAssignment` to the `Player` being investigated, and uses inheritance (`Scout &lt;|-- HeadScout`) to seamlessly allow the head scout to perform scouting assignments themselves.
Total: Model 1 = 2, Model 2 = 5
Choice: B
Reason:
1. Requirement Alignment: Model 2 closely follows the outlined requirements by creating appropriate domain classes for distinct list workflows (`LongListEntry`, `ShortListEntry`) and accurately linking them to `Player` and `TargetProfile`. Model 1 struggles with this mapping, omitting the long list and embedding the short list into `ScoutingAssignment`—a major conceptual error since shortlisting happens *after* assignments and triggers *future* assignments. Additionally, Model 1 associates investigations and reports to the abstract `PlayerProfile` rather than the concrete `Player` being scouted.
2. Conceptual Relationships: Model 2 perfectly satisfies the requirement that "some of which is carried out by the head scout himself" by making `HeadScout` inherit from `Scout`, allowing `HeadScout` to be the target of the `ScoutingAssignment` association. Model 1 makes them siblings under `Employee` without defining how a head scout can be assigned to or submit a report. Model 2 also captures the recommendation types strictly via an Enum, avoiding string-based ambiguity.
3. Rejected or checked issues: While Model 1 includes a `Team` class, which is slightly outside the core scope of the text, I did not heavily penalize it for this minor addition; the primary focus was on the fatal misconnections of core domain entities like assignments and lists.
4. Overall judgment: Model 2 provides a highly accurate, domain-faithful structural representation of the requirements with solid multiplicities, inheritance, and association targets. Model 1 fails to capture the distinct lists and wrongly targets profiles instead of players for scouting assignments, making Model 2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</si>
  <si>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</si>
  <si>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`shortList : List&lt;Player&gt;` directly inside the `ScoutingAssignment` class, which couples the management of the shortlist with individual assignment execution. It also incorrectly associates `ScoutingAssignment` to `PlayerProfile` (`investigates`). Model 2 highly decouples these concepts by introducing dedicated `LongListEntry` and `ShortListEntry` classes that cleanly link a `Player` to a `TargetProfile`, and correctly associates `ScoutingAssignment` with `Player`.
2. Complexity: Model 1 = 2, Model 2 = 5; Evidence: Model 1 misses the long list concept entirely, flattens the organizational hierarchy by making `Scout` and `HeadScout` siblings (`Employee --|&gt; Scout` and `Employee --|&gt; HeadScout`), and represents the recommendation as a basic `String`. Model 2 balances complexity perfectly by correctly structuring the inheritance (`Scout &lt;|-- HeadScout`) and utilizing a `Recommendation` enum that explicitly captures the required states (`KEY_PLAYER`, `FIRST_TEAM_PLAYER`, etc.).
3. Practicability: Model 1 = 2, Model 2 = 5; Evidence: Model 1 is impractical for real-world use because it models the final offer merely as an association (`Director --&gt; "*" Player : makesOffer`), losing critical details of the offer. Model 2 introduces a `ContractOffer` class to capture the offer's data, and logically separates the stages of scouting into distinct, modular workflows that are easy to test, maintain, and implement.
Total: Model 1 = 6, Model 2 = 15
Choice: B
Reason:
1. Cohesion and Decoupling: Model 2 exhibits exceptional cohesion and low coupling by isolating the concepts of long lists and short lists into specific entry classes (`LongListEntry`, `ShortListEntry`). Model 1 suffers from poor cohesion by embedding the `shortList` inside `ScoutingAssignment`, conflating the list of selected players with the operational task of investigating them.
2. Complexity: Model 2 appropriately captures the domain's complexity without over-engineering. It successfully models the exact requirement constraints (like the specific recommendation outcomes) using enums, and properly structures the relationship between scouts and the head scout. Model 1 under-represents the domain complexity by missing the long list, misrepresenting the employee hierarchy, and relying heavily on unstructured strings.
3. Practicability: Model 2 translates the business rules into a highly practical, modular design. The progression from target profiles to long lists, scouting assignments, short lists, and finally a `ContractOffer` provides a clear and traceable pipeline for development. Model 1's design flaws, such as assignments investigating profiles rather than actual players, would make it confusing and rigid to implement.
4. Rejected or checked issues: I checked the usage of primitive types and multiplicities in both models. Both models use standard UML conventions, and no points were deducted for directional arrows or visibility markers. Model 1's use of lists as attributes (e.g., `List&lt;Player&gt;`) was evaluated based on domain cohesion rather than UML notation validity. 
5. Overall judgment: Model 2 is superior because it accurately and elegantly models the domain requirements with high cohesion, appropriate complexity, and excellent practicability. Model 1 structurally misrepresents several core workflows, making it a significantly weaker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</si>
  <si>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</si>
  <si>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basic employee roles and profiles but completely misses conceptual classes for "Long List" and "Short List", instead burying them as missing or incorrect attributes. Model 2 perfectly extracts the domain concepts by creating explicit `LongListEntry`, `ShortListEntry`, `ContractOffer`, and `TargetProfile` classes.
2. Associations/Multiplicities between classes for domain reasoning: Model 1 = 2, Model 2 = 5; Evidence: Model 1 features backwards inheritance relations (e.g., `Employee --|&gt; HeadCoach` means Employee inherits from HeadCoach). Furthermore, it incorrectly associates `ScoutingAssignment` and `ScoutingReport` to `PlayerProfile` instead of the `Player` being investigated. Model 2 correctly uses `Employee &lt;|-- HeadCoach` (HeadCoach inherits from Employee) and perfectly links `ScoutingAssignment` to `Player`, along with correct multiplicities for list entries.
3. Model attributes with appropriate data types: Model 1 = 2, Model 2 = 5; Evidence: Model 1 inappropriately places `shortList : List&lt;Player&gt;` as an attribute inside `ScoutingAssignment` (which is logically incorrect for the domain) and uses plain strings for structured data. Model 2 accurately models the `Recommendation` attribute using an Enum containing the exact values from the prompt (e.g., `KEY_PLAYER`, `FIRST_TEAM_PLAYER`) and keeps attributes well-typed.
4. Consistencies of Terminology with given context: Model 1 = 3, Model 2 = 5; Evidence: Model 1 misses the term "Long List" entirely and misplaces "Short List" within assignments. Model 2 adheres strictly to the prompt's terminology, utilizing `TargetProfile`, `LongListEntry`, `ShortListEntry`, and `ContractOffer`.
5. Adherence of UML class diagram standards: Model 1 = 3, Model 2 = 5; Evidence: Model 1 duplicates association relationships as class attributes (e.g., `+ relatedAssignment : ScoutingAssignment` inside `ScoutingReport` alongside `ScoutingReport --&gt; "1" relatedAssignment`) which is a poor UML practice. Model 2 cleanly separates attributes from structural associations and uses correct PlantUML syntax for inheritance and enums.
Total: Model 1 = 13, Model 2 = 25
Choice: B
Reason:
1. Appropriate conceptual classes aligned with the domain: Model 2 identifies all necessary workflow classes like `LongListEntry` and `ShortListEntry`, whereas Model 1 misses these critical conceptual structures.
2. Associations/Multiplicities between classes for domain reasoning: Model 1 has fundamental domain mapping errors, such as making `Employee` a subclass of `HeadCoach` and pointing scouting assignments to player profiles instead of actual players. Model 2 maps the complex relationships accurately, including the correct inheritance hierarchy and assignments investigating players.
3. Model attributes with appropriate data types: Model 2 uses appropriate Enums for recommendations matching the exact text requirements, while Model 1 relies on basic strings and incorrectly lumps the short list as an attribute of a single assignment.
4. Consistencies of Terminology with given context: Model 2 aligns perfectly with the provided text's terminology, whereas Model 1 drops or misplaces key terms like "long list".
5. Adherence of UML class diagram standards: Model 2 follows UML conventions cleanly. Model 1 duplicates associations as attributes and uses reversed inheritance arrows.
6. Overall judgment: Model 2 is vastly superior. It correctly models the business domain, uses proper inheritance and associations, leverages enums for specified types, and perfectly tracks the conceptual flow of players from a long list to a short list to a contract offer. Model 1 is deeply flawed in its domain logic, UML inheritance direction, and conceptual abstraction.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</si>
  <si>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</si>
  <si>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</si>
  <si>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</si>
  <si>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5, Model 2 = 4; Evidence: Model 1 correctly employs UML composition syntax (`*--`) for `FlightPlan` and `RouteSegment` (as required by "composed of multiple route segments"), whereas Model 2 uses a standard association line `--&gt;`. Additionally, Model 1 extracts explicitly described categories into accurate enumerations (e.g., `OperationalState`, `DutyStatus`, `SurfaceType`, `CrewRole`), while Model 2 heavily relies on basic `String` attributes for these fields. Model 2 also inappropriately models a structural relationship as an explicit method (`provideAccessToRunway()`) in `AirportTerminal` instead of solely relying on the association.
Total: Model 1 = 5, Model 2 = 4
Choice: A
Reason:
1. Alignment with Requirements and UML Semantics: Model 1 demonstrates a deeper understanding of real-world domain modeling and UML semantics. It accurately utilizes composition (`*--`) for parts explicitly described as "composed of" in the requirements (like route segments in a flight plan, and sub-sectors within airspace sectors). It also makes excellent use of enumerations to strongly type attributes with constrained values, ensuring a more robust and less error-prone conceptual model. Model 2 is solid but relies too heavily on `String` types for categorized fields and misses the semantic nuance of composition, opting for standard associations. 
2. Furthermore, Model 1 elegantly handles the requirement for "current operational status derived from an associated aircraft status record" by utilizing the relationship between `FlightInstance` and `AircraftStatus` to derive the information conceptually, while Model 2 just creates a static `String` property, missing the "derived" aspect.
3. Rejected or checked issues: Both models handled the relationship between `RouteSegment` and `Waypoint` well; Model 1 used a standard association with a multiplicity of "2", while Model 2 used two separate directed associations for start and end waypoints. Both are perfectly valid interpretations of "connects exactly two waypoints".
4. Overall judgment: Model 1 is better because it strictly adheres to UML semantics for composition, creates a highly typed and descriptive domain model using enumerations, and effectively translates domain logic (like derived attributes) into correct structural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</si>
  <si>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</si>
  <si>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employs 10 distinct enumerations (e.g., `DutyStatus`, `SurfaceType`, `OperationalState`) to encapsulate specific domain concepts and ensure strong internal cohesion within its classes. Model 2 relies heavily on basic `String` types for these same fields (e.g., `dutyStatus: String`, `surfaceType: String`, `operationalState: String`), which diminishes cohesion by failing to restrict attributes to their valid domain states.
2. Complexity: Model 1 = 5, Model 2 = 4; Evidence: Model 1 manages complexity appropriately by providing complete method signatures with parameters and return types (e.g., `allocate(requestTime: Date): boolean`, `accessTerminal(terminal: AirportTerminal): void`). Model 2 features an elegant self-association to handle sub-sectors (`AirspaceSector "1" --&gt; "0..*" AirspaceSector`) but overly simplifies its operations by omitting return types and some necessary parameters (e.g., `allocate(requestTime: DateTime)` and `accessTerminal()`).
3. Practicability: Model 1 = 5, Model 2 = 4; Evidence: Model 1 is highly practical for real-world programming and testing because it strictly types bounded attributes (e.g., `severity: SeverityLevel`, `criticality: Criticality`). Model 2's use of `String` for categories that have implicit or explicit closed values (e.g., `severityLevel: String`, `criticality: String`) makes the software more prone to runtime validation errors and less robust to test.
Total: Model 1 = 15, Model 2 = 12
Choice: A
Reason:
1. Cohesion and Decoupling: Model 1 successfully separates discrete, closed-set domain concepts into enumerations, giving each class tight cohesion and well-defined state boundaries. Model 2 lumps many of these into generic strings, missing an opportunity for better encapsulation.
2. Complexity: Model 1 appropriately balances the required depth by providing fully typed method signatures and explicit types, ensuring the structural complexity matches the domain's needs. Both models correctly avoid turning every noun into a class (e.g., Model 2's `AirspaceSector` self-association is a solid structural choice to limit class count).
3. Practicability: Model 1 provides a much stronger blueprint for implementation. By enforcing type safety on constrained attributes (like `Criticality`, `SeverityLevel`, `DutyStatus`) and explicitly defining parameter and return types in methods, it creates a robust, test-ready design. Model 2's heavy reliance on `String` types and incomplete method signatures reduces its practical viability for actual software development.
4. Overall judgment: Model 1 is noticeably better due to its comprehensive and pragmatic use of domain-specific types (enumerations) and detailed method signatures. This results in a more robust, testable, and developer-friendly architectural representation compared to Model 2's weakly typed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</si>
  <si>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</si>
  <si>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required conceptual classes such as `FlightInstance`, `AircraftStatus`, `FlightPlan`, `Runway`, `ControlTower`, and `RadarSystem`. Model 1 explicitly defines `SubSector` as a standalone class, while Model 2 represents sub-sectors via a self-association (`AirspaceSector "1" --&gt; "0..*" AirspaceSector`). Both are valid domain modeling choices.
2. Associations/Multiplicities between classes for domain reasoning: Model 1 = 5, Model 2 = 5; Evidence: Both accurately capture the complex relationships. For example, Model 2 explicitly models the connection to exactly two waypoints using distinct associations (`startWaypoint` and `endWaypoint`), which is highly precise. Model 1 also validly models this with a multiplicity of 2 (`RouteSegment --&gt; "2" Waypoint`). Both link `MaintenanceRecord` to both `AircraftStatus` and `Runway`, and map `CrewMember` to `FlightLog`.
3. Model attributes with appropriate data types: Model 1 = 5, Model 2 = 4; Evidence: Model 1 provides a highly robust type system, utilizing explicit Enums for constrained domains (e.g., `CrewRole`, `SeverityLevel`, `DutyStatus`, `SurfaceType`) and breaking down coordinates into native numeric types (`latitude: double`, `longitude: double`). Model 1 also includes proper parameter types and return types for methods (e.g., `verifyCertification(): boolean`). Model 2 heavily relies on `String` for these constrained fields (`role: String`, `dutyStatus: String`, `surfaceType: String`, `geographicCoordinates: String`) and omits return types for all of its methods (e.g., `verifyCertification()`).
4. Consistencies of Terminology with given context: Model 1 = 5, Model 2 = 5; Evidence: Both models strictly adhere to the domain terminology provided in the prompt, correctly using terms such as `PassengerManifest`, `AirTrafficController`, `CommunicationChannel`, and `AircraftStatus`.
5. Adherence of UML class diagram standards: Model 1 = 5, Model 2 = 5; Evidence: Both models generate syntactically correct PlantUML code and form clear diagrams. Model 1 makes excellent use of composition (`*--`) to represent whole-part relationships like `FlightPlan` owning `RouteSegment`s, while Model 2 effectively uses directed associations.
Total: Model 1 = 25, Model 2 = 24
Choice: A
Reason:
1. Both models do an excellent job mapping out the domain classes and intricate associations required by the prompt.
2. Model 1 is objectively better in its treatment of attributes and data types. It uses specific numeric types and creates comprehensive enumerations (`CrewRole`, `SurfaceType`, `DutyStatus`, `SeverityLevel`) to enforce domain constraints, whereas Model 2 leans heavily on generic `String` types for these attributes and coordinates. Furthermore, Model 1 correctly defines method signatures with parameter types and return types, which Model 2 omits.
3. Rejected issues: Model 1 utilizes two opposite unidirectional associations to simulate bidirectionality (e.g., `FlightInstance --&gt; "1" FlightPlan` and `FlightPlan --&gt; "1" FlightInstance`). Per the evaluation guidelines, this is a fully valid and semantically equivalent approach to a single line and was not penalized.
4. Overall judgment: While both are high-quality diagrams, Model 1's rigorous application of strict data types, method signatures, and enums gives it the edge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</si>
  <si>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</si>
  <si>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captures all required classes (e.g., `SubSector`, `NavigationAid`, `AirportTerminal`), attributes, and methods, along with precise cardinalities and correct associations (e.g., `WeatherReport` associated with `FlightPlan` and `RouteSegment`, `RouteSegment` connecting exactly `"2"` `Waypoint`s). Model 2 misses several explicitly required classes (`AirportTerminal`, `SubSector`, `NavigationAid`), wrongly merges NavigationAid properties into `Waypoint`, misses many associations (e.g., `RadarSystem` to `AirspaceSector`, `FlightLog` to `FlightInstance`), lacks cardinalities entirely, and includes a hallucinated `RoomMaster` class associated with `FlightInstance`.
Total: Model 1 = 5, Model 2 = 2
Choice: A
Reason:
1. Alignment with Requirements: Model 1 perfectly translates the complex textual requirements into a comprehensive UML class diagram. It accurately models derived attributes (omitting the string `operationalStatus` from `FlightInstance` to derive it via the `AircraftStatus` association as instructed), models the exact cardinalities requested (such as exactly `"2"` Waypoints per RouteSegment), and includes all required domain entities and methods. Model 2 omits crucial classes like `AirportTerminal` and `SubSector`, fails to separate `NavigationAid` from `Waypoint`, associates `WeatherReport` with the wrong class (`FlightInstance` instead of `FlightPlan` and `RouteSegment`), heavily overuses composition (`*--`) without specifying any cardinalities, and hallucinates a `RoomMaster` class that is never mentioned in the prompt.
2. Rejected or checked issues: I did not penalize Model 2 for not using `enum` types or using primitive aliases (like `String` instead of `str`), as per the forbidden penalties. The score difference is purely driven by missing domain elements, hallucinated classes, and incorrect architectural associations.
3. Overall judgment: Model 1 is far superior due to its strict adherence to the requirements, completeness, correct association mappings, detailed cardinalities, and lack of hallucinations. Model 2 is incomplete, inaccurate, and hallucinates out-of-scope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</si>
  <si>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</si>
  <si>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correctly maintains cohesion by separating `Waypoint` (latitude, longitude) and `NavigationAid` (type, frequency), linking them via an association (`Waypoint --&gt; "0..*" NavigationAid`). Model 2 merges navigation aid properties (`type`, `frequency`) into `Waypoint`, violating cohesion. Additionally, Model 2 improperly uses composition for loosely coupled entities (e.g., `FlightInstance *-- CrewMember`, `FlightInstance *-- WeatherReport`), implying incorrect strict lifecycle ownership. Model 2 also introduces an unexplained and uncoupled `RoomMaster` class (`FlightInstance -- RoomMaster`).
2. Complexity: Model 1 = 5, Model 2 = 2; Evidence: Model 1 effectively manages the domain's complexity by including all required conceptual classes such as `SubSector`, `AirportTerminal`, and `NavigationAid`. Model 2 overly simplifies the problem space, entirely omitting `SubSector` and `AirportTerminal` from the diagram, failing to meet the requirements for airspace and ground infrastructure representation.
3. Practicability: Model 1 = 5, Model 2 = 2; Evidence: Model 1 provides practical, implementation-ready details, such as method parameters defined in the prompt (e.g., `Runway.allocate(requestTime: Date)` and `FlightPlan.computeAltitudeAdjustment(emergencyStatus: boolean)`). Model 2 lists bare methods without parameters (e.g., `Runway.allocateRunway()`, `FlightPlan.calculateAltitude()`). Furthermore, Model 1 successfully links `ControllerDashboard` to `FlightInstance` to satisfy the requirement that it "displays real-time traffic for all flight instances", whereas Model 2 misses this connection entirely.
Total: Model 1 = 15, Model 2 = 6
Choice: A
Reason:
1. Cohesion and Decoupling: Model 1 demonstrates excellent structural design by properly segregating concepts (e.g., separating Waypoints and Navigation Aids) and utilizing appropriate association types. Model 2 abuses the composition relationship for independent concepts like Weather Reports and Crew Members, and hallucinates a `RoomMaster` entity.
2. Complexity: Model 1 fully addresses the complex requirements by modeling all necessary elements, including Sub-sectors and Terminals. Model 2 fails to capture the required depth by omitting several key classes requested in the prompt.
3. Practicability: Model 1 is highly practical as a blueprint, providing detailed method signatures and comprehensively mapping the interactions between the ATC dashboard, radar, and flights. Model 2 lacks method parameters and misses critical system linkages.
4. Overall judgment: Model 1 is vastly superior to Model 2. It accurately reflects the domain requirements, uses correct UML relationship semantics, and provides the necessary level of detail for real-world software design. Model 2 is incomplete, poorly associated, and contains hallucinatory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</si>
  <si>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</si>
  <si>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domain concepts including `AirportTerminal`, `NavigationAid`, and `SubSector`. Model 2 misses `AirportTerminal`, `NavigationAid`, and `SubSector`, and inexplicably hallucinates a class named `RoomMaster`.
2. Associations/Multiplicities between classes for domain reasoning: Model 1 = 5, Model 2 = 1; Evidence: Model 1 includes comprehensive associations with precise multiplicities (e.g., `RouteSegment --&gt; "2" Waypoint`, `AirspaceSector *-- "0..*" SubSector`). Model 2 completely omits multiplicities, incorrectly applies composition to living entities (`FlightInstance *-- CrewMember`, `ControlTower *-- AirTrafficController`), and links `FlightInstance` to the hallucinated `RoomMaster`.
3. Model attributes with appropriate data types: Model 1 = 5, Model 2 = 2; Evidence: Model 1 defines proper data types and enumerations (e.g., `OperationalState`, `ClearanceLevel`, `WeatherConditionType`). Model 2 merges `NavigationAid` attributes (`type`, `frequency`) into `Waypoint`, missing the separate entity, and defaults to `String` for complex properties instead of using specific enums.
4. Consistencies of Terminology with given context: Model 1 = 5, Model 2 = 2; Evidence: Model 1 strictly uses terminology from the prompt (e.g., `SubSector`, `AirportTerminal`). Model 2 introduces the completely irrelevant term `RoomMaster` and misses the noun concept of an airport terminal, only capturing it weakly as a method `accessAirportTerminals()`.
5. Adherence of UML class diagram standards: Model 1 = 5, Model 2 = 2; Evidence: Model 1 accurately applies PlantUML syntax for enumerations, multiplicities, and distinct association types (aggregation vs. association). Model 2 fails to provide multiplicities and structurally misuses UML composition (`*--`) for non-exclusive, non-dependent lifecycles (like `ControlTower *-- AirTrafficController`).
Total: Model 1 = 25, Model 2 = 9
Choice: A
Reason:
1. Appropriate conceptual classes aligned with the domain: Model 1 extracts all required entities perfectly, while Model 2 misses key infrastructure elements (Terminal, SubSector, NavAid) and hallucinates a class (`RoomMaster`).
2. Associations/Multiplicities between classes for domain reasoning: Model 1 defines meticulous and accurate relationships with multiplicities. Model 2 lacks all multiplicities and misapplies composition notation.
3. Rejected or checked issues: I checked the use of single-quote comments in Model 1 (e.g., `'opposite governs`) and ignored them for scoring as they are valid tooling annotations and do not violate UML semantics.
4. Overall judgment: Model 1 is an excellent, comprehensive, and semantically accurate UML class diagram that faithfully represents the complex air traffic control domain. Model 2 is incomplete, violates fundamental modeling concepts by using composition for personnel, lacks multiplicities, and introduces hallucinated elements. Model 1 is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</si>
  <si>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</si>
  <si>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1; Evidence: Model 1 captures all required classes, including `AirportTerminal` and `NavigationAid`, accurately models domain relationships with cardinalities, and correctly links classes (e.g., `FlightPlan` to `RouteSegment`, `Waypoint` referencing `NavigationAid`). Model 2 hallucinates a `RoomMaster` class in its relations (`FlightInstance -- RoomMaster`), completely misses the `AirportTerminal` and `NavigationAid` classes (wrongly placing `NavigationAid` attributes like `type` and `frequency` into `Waypoint`), omits the sub-sector relationship for `AirspaceSector`, and misapplies the composition relation (`*--`) to almost everything (e.g., `FlightInstance *-- WeatherReport`).
Total: Model 1 = 5, Model 2 = 1
Choice: A
Reason:
1. Alignment with Requirements: Model 1 flawlessly aligns with the detailed prompt, incorporating all attributes, conceptual classes, methods, and nuanced relationships with accurate multiplicities. Model 2 completely misses critical domain entities (`AirportTerminal`, `NavigationAid`), contains an overt hallucination (`RoomMaster`), and fails to capture the correct associations (e.g., it links `WeatherReport` to `FlightInstance` via composition, whereas the prompt explicitly says weather influences route segments and flight plans). 
2. Rejected or checked issues: Model 2 uses aliases like `Integer` or `Double` and single-direction associations, which are strictly allowed and were not penalized. The low score is solely based on missing requirements, hallucinations, and semantically incorrect relationships. 
3. Overall judgment: Model 1 is a meticulous, highly accurate representation of the requirements. Model 2 is incomplete, hallucinates nonexistent classes, mixes up attributes, and misuses UML composition semantics.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</si>
  <si>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</si>
  <si>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separating `Waypoint` (`geographicCoordinates`) from `NavigationAid` (`type`, `frequency`) and using appropriate associations. Model 2 merges `type` and `frequency` directly into `Waypoint`, reducing cohesion. Furthermore, Model 2 couples `FlightInstance` to a hallucinated `RoomMaster` class, and inappropriately uses strict composition for independent entities (e.g., `FlightInstance *-- CrewMember`, which implies crew members cease to exist if the flight is deleted).
2. Complexity: Model 1 = 5, Model 2 = 2; Evidence: Model 1 captures the conceptual complexity of the domain perfectly, identifying all necessary classes like `AirportTerminal` and `NavigationAid`, and managing hierarchies/structures like sub-sectors (`AirspaceSector "1" --&gt; "0..*" AirspaceSector`). Model 2 fails to reach the required complexity by completely omitting `AirportTerminal` and `NavigationAid` as classes, and missing the sub-sector relationship for `AirspaceSector`. 
3. Practicability: Model 1 = 5, Model 2 = 2; Evidence: Model 1 is highly practical, providing explicit multiplicities (e.g., `RouteSegment "1" --&gt; "1" Waypoint : startWaypoint` and `endWaypoint`) and covering all required domain logic, which is crucial for real-world database and software design. Model 2 lacks any multiplicities (leaving the design ambiguous), misses the required linkage between `FlightLog` and `FlightInstance`, and forgets the requirement that `RouteSegment` connects exactly two waypoints.
Total: Model 1 = 15, Model 2 = 6
Choice: A
Reason:
1. Cohesion and Decoupling: Model 1 properly isolates concepts into dedicated classes (separating navigation aids from waypoints) and uses correct relational semantics. Model 2 merges distinct concepts, hallucinates a `RoomMaster` class, and overuses composition (*--) for entities that clearly have independent lifecycles (like `CrewMember` and `PassengerManifest`).
2. Complexity: Model 1 strikes the right balance by modeling all nouns and entities specified in the prompt without over-engineering. Model 2 oversimplifies the domain by entirely omitting crucial structural elements required by the prompt, such as `AirportTerminal` and `NavigationAid`, as well as the recursive sub-sector relationship.
3. Practicability: Model 1 provides a complete, readable, and highly actionable blueprint with strict multiplicities, labeled roles, and complete method signatures. Model 2 is incomplete, lacks multiplicities (making cardinality impossible to determine), and misses key relationships defined in the text, rendering it impractical as a software design artifact.
4. Overall judgment: Model 1 is vastly superior because it faithfully translates all domain requirements into a semantically correct and comprehensive UML class diagram. Model 2 suffers from missing classes, hallucinated entities, incorrect relationship types, and a lack of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</si>
  <si>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</si>
  <si>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all required classes perfectly, including `AirportTerminal`, `NavigationAid`, and `AirspaceSector`. Model 2 misses `AirportTerminal` and `NavigationAid` entirely, and hallucinates an irrelevant class `RoomMaster` which is not in the domain.
2. Associations/Multiplicities between classes for domain reasoning: Model 1 = 5, Model 2 = 1; Evidence: Model 1 correctly maps all complex relationships with precise multiplicities (e.g., `RouteSegment "1" --&gt; "1" Waypoint : startWaypoint` and `endWaypoint` connecting exactly two waypoints, and `AirspaceSector "1" --&gt; "0..*" AirspaceSector` for sub-sectors). Model 2 completely lacks multiplicities and relies heavily on inappropriate composition associations (e.g., `FlightInstance *-- CrewMember`, `ControlTower *-- AirTrafficController`) while missing critical links like `FlightPlan` to `WeatherReport`.
3. Model attributes with appropriate data types: Model 1 = 5, Model 2 = 3; Evidence: Model 1 correctly assigns all attributes and utilizes enums for `ConditionType`, `ClearanceLevel`, and `NavAidType`, while also correctly parameterizing methods like `calculateAltitude(emergencyStatus: boolean)`. Model 2 incorrectly merges `NavigationAid` attributes (`type`, `frequency`) into `Waypoint`, misses the `emergencyStatus` parameter, and lacks attributes associated with the missing `AirportTerminal` class.
4. Consistencies of Terminology with given context: Model 1 = 5, Model 2 = 2; Evidence: Model 1 strictly adheres to the prompt's terminology (e.g., `SystemDashboard`, `NavigationAid`, `AirportTerminal`). Model 2 introduces severe inconsistencies by hallucinating `RoomMaster` and using `Dashboard` instead of `SystemDashboard`.
5. Adherence of UML class diagram standards: Model 1 = 5, Model 2 = 3; Evidence: Model 1 demonstrates excellent use of PlantUML syntax, cleanly representing directional associations, multiplicities, and enum typing. Model 2 is syntactically valid but abuses the composition operator (`*--`) for associations that do not represent strict whole-part lifecycle ownership (like controllers to a tower).
Total: Model 1 = 25, Model 2 = 12
Choice: A
Reason:
1. Appropriate conceptual classes aligned with the domain: Model 1 excellently identifies all domain concepts, whereas Model 2 misses key classes (AirportTerminal, NavigationAid) and invents a non-existent "RoomMaster" class.
2. Associations/Multiplicities between classes for domain reasoning: Model 1 captures all required relationships with accurate multiplicities and roles. Model 2 fails to provide any multiplicities, misses several crucial relationships, and misuses composition.
3. Model attributes with appropriate data types: Model 1 meticulously captures every attribute, method parameter, and utilizes enums properly. Model 2 misplaces attributes (putting NavigationAid properties into Waypoint) and misses method parameters.
4. Consistencies of Terminology with given context: Model 1 is perfectly aligned with the prompt's text. Model 2 introduces foreign terms.
5. Adherence of UML class diagram standards: Model 1 provides a highly professional, standard-compliant diagram. Model 2 is syntactically correct but semantically misapplies UML composition.
6. Overall judgment: Model 1 is vastly superior in every aspect, strictly following the domain requirements, providing accurate semantics, detailed multiplicities, and excellent object-oriented design, while Model 2 is incomplete, inaccurate, and hallucinates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</si>
  <si>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</si>
  <si>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and UML features: Model 1 = 4, Model 2 = 5; Evidence: The requirement explicitly states that a flight plan "is composed of multiple route segments". Model 2 accurately captures this using UML composition syntax (`FlightPlan *-- "1..*" RouteSegment`), whereas Model 1 only uses a standard association (`FlightPlan "1" --&gt; "*" RouteSegment`). Furthermore, the requirement states that crew members can "access specific airport terminals, and report maintenance issues." Model 2 models these structural relationships explicitly (`CrewMember --&gt; "0..*" AirportTerminal` and `CrewMember --&gt; "0..*" MaintenanceRecord`), whereas Model 1 only includes methods (`accessTerminal()` and `reportMaintenanceIssue()`) but fails to connect the `CrewMember` class to the `AirportTerminal` or `MaintenanceRecord` classes. Both models capture the "connects exactly two waypoints" logic well (Model 1 with explicit start and end associations, Model 2 with a `"2"` multiplicity). Model 2 correctly interprets the sector sub-division using composition (`AirspaceSector *-- "0..*" SubSector`), while Model 1's self-association (`AirspaceSector "1" --&gt; "0..*" AirspaceSector`) is also an acceptable composite pattern, but Model 2's explicit use of `*--` demonstrates closer attention to relationship types as requested.
Total: Model 1 = 4, Model 2 = 5
Choice: B
Reason:
1. Alignment with requirement and UML features: Model 2 is better because it strictly adheres to the instruction to focus on "types of relationships such as inheritance, aggregation, and composition." It uses the correct UML composition notation (`*--`) for entities described as being "composed of" or "containing" others, such as `FlightPlan` and `AirspaceSector`. Model 1 defaults to plain associations for these. Additionally, Model 2 is structurally more complete; it includes associations for CrewMembers interacting with Terminals and MaintenanceRecords, which Model 1 omitted structurally (only providing methods).
2. Both models successfully capture the extensive list of required attributes, methods, and base classes. Model 2 goes a bit further in utilizing enumerations for clearly constrained categorical fields (like `DutyStatus`, `DisplayMode`, `SeverityLevel`), which adds domain clarity without violating the hallucination constraint, as these types are directly inferred from the text.
3. Rejected or checked issues: Model 2 uses two opposite unidirectional associations (e.g., `FlightInstance --&gt; "1" FlightPlan` and `FlightPlan --&gt; "1" FlightInstance`) instead of a single bidirectional line. Per the forbidden penalties, this is 100% semantically equivalent and was not penalized. Model 1's representation of waypoints (`startWaypoint` and `endWaypoint`) is slightly more expressive than Model 2's `"2"` multiplicity, but this minor benefit does not outweigh Model 1's lack of composition relationships and missing structural links for the crew.
4. Overall judgment: Model 2 is selected as the better response because it provides a more robust and accurate UML structural representation, particularly concerning composition relationships and comprehensive associations between entities as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</si>
  <si>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</si>
  <si>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good cohesion by assigning appropriate attributes to classes. However, Model 2 better decouples components by explicitly mapping dependencies through associations. For example, while Model 1 gives `CrewMember` the methods `accessTerminal()` and `reportMaintenanceIssue()`, it lacks structural associations to `AirportTerminal` or `MaintenanceRecord`. Model 2 correctly includes both the operational methods and the structural associations (`CrewMember --&gt; "0..*" AirportTerminal` and `CrewMember --&gt; "0..*" MaintenanceRecord`). 
2. Complexity: Model 1 = 4, Model 2 = 5; Evidence: Model 1 utilizes 21 classes and 3 enums, often resorting to `String` for constrained domain concepts (e.g., `severityLevel: String` in `EventLog`, `surfaceType: String` in `Runway`, `dutyStatus: String` in `AirTrafficController`). Model 2 maintains an appropriate level of conceptual complexity by introducing 10 enums to capture these specific states (e.g., `SeverityLevel`, `SurfaceType`, `DutyStatus`), which correctly restricts values without inflating the model with unnecessary classes.
3. Practicability: Model 1 = 4, Model 2 = 5; Evidence: Model 2 provides a more practical blueprint for software implementation. It uses precise and mathematically usable types for geographic data (e.g., `latitude: double`, `longitude: double` in `Waypoint` and `NavigationAid`) compared to Model 1's overly simplistic `geographicCoordinates: String`. Furthermore, Model 2 consistently applies visibility modifiers (`+`, `-`) to define public interfaces and private data, and gives methods proper return types (e.g., `+allocate(requestTime: Date): boolean`), directly supporting programming and testing efforts.
Total: Model 1 = 12, Model 2 = 15
Choice: B
Reason:
1. Cohesion and Decoupling: Model 2 is superior because it structurally links `CrewMember` to `AirportTerminal` and `MaintenanceRecord` via associations, rather than just isolated methods, ensuring dependencies are visible in the architecture. Model 2 also correctly extracts restricted sets into enumerations.
2. Complexity: Model 2 strikes a perfect balance by utilizing enums to handle domain-specific constraints (like weather conditions, severity, and duty statuses) rather than relying on weakly-typed Strings like Model 1. 
3. Practicability: Model 2 is significantly more practical for actual software engineering. It uses accurate data types for spatial and geometric data (`double` vs `String`), specifies method return types, and applies standard visibility modifiers, making it much easier to translate into code.
4. Rejected or checked issues: I ignored Model 2's usage of single-quote PlantUML comments (e.g., `'opposite governs`) as they are standard tooling annotations and do not affect the UML semantics. I also considered both models' approaches to `AirspaceSector` sub-sectors (Model 1's self-association vs Model 2's `SubSector` class) as equally valid conceptualizations of the requirement.
5. Overall judgment: Model 2 is better. It provides a more precise, richly typed, and structurally complete class diagram that adheres closely to engineering best practices and the specific constraints of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</si>
  <si>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</si>
  <si>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classes required by the prompt, such as `FlightInstance`, `AircraftStatus`, `CrewMember`, `FlightPlan`, `AirspaceSector`, `Runway`, and `ControlTower`. Model 2 additionally models `SubSector` explicitly, while Model 1 handles it via a self-referencing relationship, both of which are valid conceptualizations.
2. Associations/Multiplicities between classes for domain reasoning: Model 1 = 5, Model 2 = 5; Evidence: Both models successfully capture the complex network of relationships. Model 1 correctly captures the waypoint connections using distinct role labels (`startWaypoint`, `endWaypoint`). Model 2 effectively uses UML composition (`*--`) to represent the "composed of" and "contain" phrasing in the prompt (e.g., `FlightPlan *-- "1..*" RouteSegment` and `AirspaceSector *-- "0..*" SubSector`) and elegantly maps the waypoint connection as `RouteSegment --&gt; "2" Waypoint`.
3. Model attributes with appropriate data types: Model 1 = 4, Model 2 = 5; Evidence: Model 1 includes all necessary attributes but leaves many categorical data points as generic `String` types (e.g., `dutyStatus: String`, `surfaceType: String`, `severityLevel: String`) and omits return types for methods (e.g., `verifyClearanceValidity()`). Model 2 applies stronger domain engineering by creating specific Enums for these categories (`DutyStatus`, `SurfaceType`, `SeverityLevel`) and providing explicit return types for all operations (e.g., `+verifyClearanceValidity(): boolean`).
4. Consistencies of Terminology with given context: Model 1 = 5, Model 2 = 4; Evidence: Model 1 uses terminology perfectly consistent with the text (e.g., `SystemDashboard`). Model 2 introduces a minor inconsistency by renaming the dashboard to `ControllerDashboard`.
5. Adherence of UML class diagram standards: Model 1 = 4, Model 2 = 5; Evidence: Model 1's syntax is valid, but it omits standard UML visibility markers (`+`, `-`) and method return types. Model 2 demonstrates excellent adherence to UML conventions, including strict use of visibility modifiers, full method signatures, and precise composite aggregation syntax (`*--`).
Total: Model 1 = 23, Model 2 = 24
Choice: B
Reason:
1. Attributes and Data Types: Model 2 is superior because it leverages specific Enumerations (`SurfaceType`, `DutyStatus`, `SeverityLevel`, etc.) rather than defaulting to generic Strings like Model 1. Model 2 also provides complete method signatures with appropriate return types.
2. UML Standards and Semantics: Model 2 fully adheres to UML standards by including visibility modifiers (`+`, `-`) and semantically accurate composition relationships (`*--`) where the text specifies strict containment ("composed of", "contains").
3. Rejected or checked issues: I checked the way both models handled the requirement that route segments connect exactly two waypoints. Model 1 used two separate 1-to-1 associations with role labels, while Model 2 used a single association with a multiplicity of "2". Since both approaches are semantically valid in UML, neither was penalized.
4. Overall judgment: While both models provide an exceptionally strong and accurate map of the domain, Model 2 is the better choice. It pushes beyond a basic conceptual map by applying software engineering best practices (domain Enums, visibility, method return types, and composition), making it more robust and implementation-ready despite a very minor naming deviation (`ControllerDashboard`).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</si>
  <si>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</si>
  <si>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Attributes, Cardinalities): Model 1 = 2, Model 2 = 5; Evidence: Model 1 hallucinates a class `RoomMaster` (`FlightInstance -- RoomMaster`), completely misses explicit classes like `AirportTerminal`, `NavigationAid`, and `SubSector`, omits all cardinalities, and creates incorrect associations (e.g., `FlightInstance *-- WeatherReport`, `RadarSystem` missing a link to `AirspaceSector`). Model 2 comprehensively models all required entities, captures explicit cardinalities (e.g., `RouteSegment --&gt; "2" Waypoint`), and correctly models complex relationships (e.g., linking `WeatherReport` to `FlightPlan` and `RouteSegment`, and linking `ControllerDashboard` to `FlightInstance`).
Total: Model 1 = 2, Model 2 = 5
Choice: B
Reason:
1. Alignment with Requirements: Model 2 follows the prompt meticulously. It includes all explicitly required domain entities (like `AirportTerminal`, `SubSector`, `NavigationAid`) and correctly captures their structural properties. Model 1 omits these concepts completely (e.g., missing the departure terminal requirement and blending navigation aids into waypoints). Model 1 also hallucinates an irrelevant `RoomMaster` class.
2. Relationships and Cardinalities: Model 2 explicitly defines exact multiplicities as required by the text (e.g., exactly two waypoints per route segment, one control tower per runway) while Model 1 provides zero multiplicity constraints. Model 2 correctly relates `RadarSystem` to `AirspaceSector` and `Dashboard` to `FlightInstance` for traffic display; Model 1 leaves these disconnected.
3. Rejected or checked issues: Model 2 leverages PlantUML enumerations to strictly enforce constrained values (e.g., `ClearanceLevel`, `WeatherConditionType`), which is an excellent and accurate design choice for the described requirements. We do not penalize Model 2's use of directional associations (`--&gt;`), as they are semantically valid and properly establish navigability based on the domain.
4. Overall judgment: Model 2 is an exceptionally accurate, complete, and detailed representation of the requirements. It effectively translates every sentence of the prompt into appropriate classes, attributes, methods, enumerations, and relationships with correct multiplicities. Model 1 is fundamentally incomplete, misses major concepts, entirely lacks cardinalities, and contains hallucinations, making Model 2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</si>
  <si>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</si>
  <si>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exhibits poor cohesion and incorrect coupling by associating `WeatherReport` directly with `FlightInstance` (`FlightInstance *-- WeatherReport`) instead of the required `FlightPlan` and `RouteSegment`. It also couples `FlightInstance` to an undefined, hallucinated class (`FlightInstance -- RoomMaster`). Model 2 correctly decouples these elements by associating `WeatherReport` with both `FlightPlan` and `RouteSegment`, and appropriately links `Runway` to `ControlTower` (`Runway --&gt; "1" ControlTower`) and `AirspaceSector` to `Runway` (`AirspaceSector --&gt; "0..*" Runway`), maintaining high domain cohesion.
2. Complexity: Model 1 = 2, Model 2 = 5; Evidence: Model 1 fails to capture the necessary complexity of the requirements by entirely omitting several explicitly required classes, such as `AirportTerminal`, `SubSector`, and `NavigationAid`. It also overuses primitive `String` types for constrained domains. Model 2 perfectly balances complexity by including all required conceptual classes and extracting fixed-value concepts into enumerations (e.g., `WeatherConditionType` for Clear, Cloudy, Storm, Fog; `NavAidType` for VOR, ILS), directly matching the domain constraints described in the prompt.
3. Practicability: Model 1 = 1, Model 2 = 5; Evidence: Model 1 is highly impractical due to missing crucial elements from the prompt (e.g., no way to represent gates since `AirportTerminal` is missing), hallucinating `RoomMaster` without defining it, and lacking multiplicities entirely. Model 2 is exceptionally practical; it uses clear method signatures with typed parameters (e.g., `computeAltitudeAdjustment(emergencyStatus: boolean)`), strict multiplicities that match the text (`RouteSegment --&gt; "2" Waypoint`), and organizes the diagram into readable domain sections, making it immediately viable for implementation and testing.
Total: Model 1 = 5, Model 2 = 15
Choice: B
Reason:
1. Cohesion and Decoupling: Model 2 accurately models the interactions between the different operational domains (Flight, Airspace, ATC), whereas Model 1 introduces nonsensical associations (like `RoomMaster`) and misplaces the weather influences onto `FlightInstance` rather than the `FlightPlan` and `RouteSegment` where they belong.
2. Complexity: Model 2 captures the precise level of detail required, including all nested sectors, navigation aids, and terminals. It leverages Enums to represent specific sets of states and types, whereas Model 1 strips out necessary complexity, missing multiple core classes and attributes entirely.
3. Practicability: Model 2 provides a comprehensive, well-structured, and highly readable blueprint complete with accurate multiplicities and specific data types. Model 1 is fundamentally broken for real-world usage due to its missing classes, undefined references, and lack of relational constraints.
4. Rejected or checked issues: I did not penalize Model 1 for using compositional associations (`*--`) vs Model 2's directed associations (`--&gt;`), as they represent valid, albeit different, structural choices. Instead, the focus was purely on the semantic accuracy and coverage of the domain requirements.
5. Overall judgment: Model 2 is significantly better. It comprehensively and accurately translates a complex set of domain requirements into a pristine, logically grouped, and highly detailed UML class diagram. Model 1 is incomplete, inaccurate, and contains hallucinatory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</si>
  <si>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</si>
  <si>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several critical domain classes including `AirportTerminal`, `SubSector`, and `NavigationAid` (merging its properties into `Waypoint`), and it hallucinates an irrelevant class `RoomMaster`. Model 2 correctly identifies and defines all required conceptual classes, including `AirportTerminal`, `SubSector`, and `NavigationAid`.
2. Associations/Multiplicities between classes for domain reasoning: Model 1 = 2, Model 2 = 5; Evidence: Model 1 omits all multiplicities (e.g., `RouteSegment -- Waypoint`) and misses several key associations such as `RouteSegment` to `WeatherReport`, `RadarSystem` to `AirspaceSector`, and `AirTrafficController` to `FlightPlan`. Model 2 includes complete and accurate associations with exact multiplicities, such as `RouteSegment --&gt; "2" Waypoint`, `FlightPlan *-- "1..*" RouteSegment`, and `RadarSystem --&gt; "1" AirspaceSector`.
3. Model attributes with appropriate data types: Model 1 = 3, Model 2 = 5; Evidence: Model 1 misses attributes for missing classes (e.g., `gate count` for terminals), lacks display modes in `Dashboard`, and omits parameters in method signatures. Model 2 accurately captures all attributes and methods (e.g., `gateCount` in `AirportTerminal`, `latitude`/`longitude` in `Waypoint`), includes required method parameters (`computeAltitudeAdjustment(emergencyStatus: boolean)`), and uses enumerated types effectively for domain-specific states (e.g., `WeatherConditionType`, `DisplayMode`).
4. Consistencies of Terminology with given context: Model 1 = 3, Model 2 = 5; Evidence: Model 1 introduces `RoomMaster`, which is a hallucinated term completely inconsistent with the air traffic control context. Model 2 rigorously adheres to the provided domain terminology without introducing extraneous or inappropriate terms.
5. Adherence of UML class diagram standards: Model 1 = 3, Model 2 = 5; Evidence: Model 1 applies PlantUML syntax correctly but misuses the composition relationship (`*--`) for associations that do not represent strict whole-part lifecycles (e.g., `FlightInstance *-- CrewMember`) and completely lacks multiplicities. Model 2 perfectly utilizes UML standards, including properly formatted enumerations, explicit data types, complete method signatures, and fully detailed associations with multiplicities and role names.
Total: Model 1 = 14, Model 2 = 25
Choice: B
Reason:
1. Appropriate conceptual classes aligned with the domain: Model 2 identifies all necessary conceptual entities, while Model 1 omits `AirportTerminal`, `SubSector`, and `NavigationAid`, and hallucinates `RoomMaster`.
2. Associations/Multiplicities between classes for domain reasoning: Model 2 accurately models all domain relationships and exact multiplicities (like 2 waypoints per route segment). Model 1 fails to provide any multiplicities and misses critical linkages like radar systems monitoring airspace sectors.
3. Model attributes with appropriate data types: Model 2 is exhaustive with attributes, proper data types, enums, and method parameters. Model 1 misses numerous attributes and parameters.
4. Consistencies of Terminology with given context: Model 2 faithfully uses the terminology provided in the prompt, whereas Model 1 introduces an out-of-context `RoomMaster` class.
5. Adherence of UML class diagram standards: Model 2 demonstrates standard UML conventions comprehensively. Model 1 is syntactically sound but semantically misuses composition and ignores multiplicity standards.
6. Rejected or checked issues: Model 2 includes PlantUML comments (e.g., `'opposite governs`) and language-specific primitive aliases (`boolean`, `double`); under the evaluation guidelines, these are perfectly acceptable and were not penalized.
7. Overall judgment: Model 2 is significantly better. It accurately translates a highly complex domain into a comprehensive, structurally sound, and semantically rich UML class diagram, whereas Model 1 struggles with missing elements, hallucinations, and a lack of relationship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</si>
  <si>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</si>
  <si>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introduces a hallucinated class (`FlightInstance -- RoomMaster`), completely misses the `AirportTerminal` class, merges `NavigationAid` attributes into `Waypoint`, misses sub-sectors for `AirspaceSector`, lacks all association multiplicities, and misses method parameters like `emergency status` in `calculateAltitude()`. Model 2 correctly models all required classes (including `AirportTerminal` and `NavigationAid`), accurately represents sub-sectors via self-association (`AirspaceSector "1" --&gt; "0..*" AirspaceSector`), includes exact method parameters (`calculateAltitude(emergencyStatus: boolean)`), and provides detailed associations with proper cardinalities and role names (e.g., `RouteSegment "1" --&gt; "1" Waypoint : startWaypoint`).
Total: Model 1 = 2, Model 2 = 5
Choice: B
Reason:
1. Requirement Alignment: Model 2 strictly adheres to the domain requirements, flawlessly capturing all classes, attributes, methods, and relationships. It uses enumerations appropriately for fixed lists (e.g., `ConditionType`, `ClearanceLevel`) and clearly defines all multiplicities and navigabilities. In contrast, Model 1 contains a blatant hallucination (`RoomMaster`), omits critical domain entities (`AirportTerminal`, `NavigationAid`), ignores method parameters mandated by the prompt, and fails to define any association cardinalities. 
2. Rejected or checked issues: I did not penalize Model 1 simply for using composition (`*--`) vs Model 2 using direct associations (`--&gt;`). However, Model 1's lack of multiplicities and missing classes are severe domain semantic errors.
3. Overall judgment: Model 2 is significantly better. It is a complete, highly accurate, and professional UML representation of the requirements, whereas Model 1 suffers from omissions, lack of detail, and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</si>
  <si>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</si>
  <si>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inappropriately uses composition (`*--`) for almost all relationships (e.g., `FlightInstance *-- CrewMember`, `Dashboard *-- RadarSystem`), artificially coupling entities that should have separate lifecycles. It also hallucinates an undefined entity (`FlightInstance -- RoomMaster`). Model 2 correctly employs directed associations with proper multiplicities (e.g., `FlightInstance "*" --&gt; "*" CrewMember`, `AirTrafficController "1" --&gt; "1" SystemDashboard`), maintaining loose coupling while clearly mapping domain dependencies.
2. Complexity: Model 1 = 2, Model 2 = 5; Evidence: Model 1 oversimplifies by omitting required domain concepts such as `AirportTerminal` and merging `NavigationAid` into `Waypoint` (violating the requirement that waypoints reference navigation aids). Model 2 correctly extracts necessary conceptual classes (`AirportTerminal`, `NavigationAid`) and utilizes enumerations (`ClearanceLevel`, `ConditionType`, `NavAidType`) to manage complexity and accurately reflect the detailed requirements without over-engineering.
3. Practicability: Model 1 = 2, Model 2 = 5; Evidence: Model 1 misses critical method parameters specified in the prompt (e.g., `allocateRunway()` instead of `allocate(requestTime)`, `calculateAltitude()` instead of `calculateAltitude(emergencyStatus)`). It also fails to capture structural constraints, such as a route segment connecting exactly two waypoints. Model 2 is highly practical and comprehensive, explicitly modeling constraints (e.g., `RouteSegment "1" --&gt; "1" Waypoint : startWaypoint` and `endWaypoint`), parameterizing methods correctly (`allocate(requestTime: DateTime)`), and accurately capturing self-associations (`AirspaceSector "1" --&gt; "0..*" AirspaceSector : contains sub-sectors`).
Total: Model 1 = 6, Model 2 = 15
Choice: B
Reason:
1. Cohesion and Decoupling: Model 2 is vastly superior. It correctly models associations with distinct roles, whereas Model 1 abuses UML composition (`*--`), incorrectly implying that a `CrewMember` is destroyed if a `FlightInstance` is deleted, and bizarrely links `FlightInstance` to a nonexistent `RoomMaster`.
2. Complexity: Model 2 accurately captures the required entities by including `AirportTerminal` and separating `NavigationAid` from `Waypoint`, whereas Model 1 omits or conflates these. Model 2's use of enums further organizes domain attributes perfectly.
3. Practicability: Model 2 is a fully functional design that includes all necessary method parameters (`emergencyStatus`, `requestTime`) and precise multiplicities representing business logic (such as exactly two waypoints per route segment). Model 1 lacks these practical details entirely.
4. Overall judgment: Model 2 is a comprehensive, accurate, and semantically correct UML class diagram that fully addresses the prompt. Model 1 is incomplete, suffers from hallucinations, and misuses UML relationships, making it significantly worse.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</si>
  <si>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</si>
  <si>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correctly identifies many classes but hallucinates a "RoomMaster" class and completely misses "AirportTerminal" and "NavigationAid" (merging the latter's attributes into "Waypoint"). Model 2 correctly identifies all classes, including "AirportTerminal" and "NavigationAid", and effectively uses enums (e.g., `ClearanceLevel`, `ConditionType`) to represent domain concepts.
2. Associations/Multiplicities between classes for domain reasoning: Model 1 = 1, Model 2 = 5; Evidence: Model 1 provides no multiplicities, creates an invalid association (`FlightInstance -- RoomMaster`), incorrectly associates `WeatherReport` directly with `FlightInstance` instead of `FlightPlan` and `RouteSegment`, misses the self-association for sub-sectors, and misses the constraint that route segments connect exactly two waypoints. Model 2 captures all required associations and multiplicities accurately, including self-associations (`AirspaceSector` containing sub-sectors) and the exactly-two waypoint constraint (`startWaypoint`, `endWaypoint`).
3. Model attributes with appropriate data types: Model 1 = 3, Model 2 = 5; Evidence: Model 1 captures basic attributes but misses method parameters (e.g., `calculateAltitude()` instead of `calculateAltitude(emergencyStatus: boolean)`), lacks the `displayMode` attribute for the dashboard, and omits the `AirportTerminal` properties. Model 2 explicitly defines all required attributes with correct data types, utilizes enums appropriately, and includes all necessary method parameters.
4. Consistencies of Terminology with given context: Model 1 = 3, Model 2 = 5; Evidence: Model 1 generally uses correct terminology but introduces "RoomMaster", which is a complete hallucination inconsistent with the aviation domain context, and uses "Dashboard" instead of "SystemDashboard". Model 2 maintains perfect terminology alignment with the provided requirements.
5. Adherence of UML class diagram standards: Model 1 = 4, Model 2 = 5; Evidence: Model 1 is syntactically valid in PlantUML but relies heavily on composition (`*--`) without specifying multiplicities, resulting in an incomplete standard representation. Model 2 excellently adheres to UML/PlantUML syntax, effectively utilizing labeled associations, clear multiplicities, and standard enum definitions.
Total: Model 1 = 14, Model 2 = 25
Choice: B
Reason:
1. Appropriate conceptual classes aligned with the domain: Model 2 extracts all necessary entities perfectly, whereas Model 1 misses key classes like "AirportTerminal" and hallucinates irrelevant ones.
2. Associations/Multiplicities between classes for domain reasoning: Model 2 expertly captures complex domain logic, such as route segments connecting two specific waypoints and weather reports influencing both flight plans and segments. Model 1 completely omits multiplicities and misplaces several key associations.
3. Model attributes with appropriate data types: Model 2 is comprehensive, incorporating method signatures with parameters and utilizing enums for defined sets of values. Model 1 omits several required parameters and attributes.
4. Consistencies of Terminology with given context: Model 2 strictly adheres to the domain text, whereas Model 1 includes the out-of-context term "RoomMaster".
5. Adherence of UML class diagram standards: Model 2 demonstrates excellent use of PlantUML features to render a complete, standard-compliant diagram, while Model 1 lacks fundamental multiplicity constraints.
6. Overall judgment: Model 2 is vastly superior due to its meticulous attention to domain requirements, precise relational modeling, complete attribute mapping, and flawless application of UML standards. Model 1 suffers from hallucinations, missing associations, and a lack of multiplicities.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</si>
  <si>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</si>
  <si>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</si>
  <si>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</si>
  <si>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Absence of Additions: Model 1 = 4, Model 2 = 3; Evidence: Model 1 successfully captures all domain concepts outlined in the text, including the generic `Protocol` class extended by `AssayProtocol`. However, it loses a point for violating the "no additions" instruction by hallucinating extra attributes (e.g., `Institution.address`, `ResearchProject.budget`, `ChemicalLibrary.capacity`). Model 2 strictly adheres to the text for attributes but fails to include the generic `Protocol` concept entirely, linking `StudyCohort` exclusively to `AssayProtocol` which contradicts "operate under protocols". Furthermore, Model 2 links `ClinicalTrial` to `DrugCandidate` instead of the stated `MolecularCompound` for enrollment.
2. Relationship Types and Cardinalities: Model 1 = 5, Model 2 = 2; Evidence: The instructions demand a detailed focus on the types of relationships such as inheritance, aggregation, and composition. Model 1 effectively utilizes composition (`*--`) for part-whole relationships explicitly described in the text (e.g., `ResearchProject *-- LaboratoryExperiment` for "encompasses" and `ClinicalTrial *-- StudyCohort` for "includes"). Model 2 completely ignores aggregation and composition, relying entirely on basic directed associations (`--&gt;`) and inheritance, failing to demonstrate the requested focus on relationship types.
Total: Model 1 = 9, Model 2 = 5
Choice: A
Reason:
1. Completeness and Absence of Additions: While Model 2 avoided hallucinating attributes, it missed an essential domain concept (`Protocol`), making its representation incomplete. Model 1 captured the entire domain accurately, mitigating the negative impact of its hallucinated attributes. 
2. Relationship Types and Cardinalities: Model 1 successfully applied advanced UML relationship types (composition) to model the structural hierarchy of the requirements, directly fulfilling the specific instruction. Model 2 ignored composition and aggregation entirely, resulting in weaker UML semantics.
3. Rejected or checked issues: Model 1 heavily utilized single-quote PlantUML comments (e.g., `'opposite projectLead`) at the end of its association lines. As per the forbidden penalties, these are standard tooling annotations and were strictly ignored for scoring purposes. Additionally, Model 1's use of a transparent refinement class `RegulatoryReview` between `RegulatoryAgency` and `DrugCandidate` is a standard modeling practice for the verb "review" and was not penalized.
4. Overall judgment: Model 1 is the superior model. It provides a much richer and more structurally accurate UML diagram that complies with the instruction to incorporate varying relationship types (composition/inheritance) and successfully covers all required functionalities and entities. Model 2 is too basic in its relationship mapping and misses key conceptual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</si>
  <si>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</si>
  <si>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correctly separates the general concept of a `Protocol` (operated under by a `StudyCohort`) from the specific `AssayProtocol` (which defines methods for compound classes). Model 2 links `StudyCohort` directly to `AssayProtocol`, inappropriately coupling clinical trial cohorts with laboratory assay methods, which lowers cohesion.
2. Complexity: Model 1 = 5, Model 2 = 4; Evidence: Model 1 introduces an appropriate level of complexity by utilizing enumerations for predefined categories (e.g., `TrialType`, `EventCategory`, `DevelopmentStage`) and employing inheritance for `Protocol`/`AssayProtocol`. Model 2 relies heavily on generic `String` attributes for these constrained fields and lacks the general `Protocol` class, oversimplifying the domain constraints.
3. Practicability: Model 1 = 5, Model 2 = 4; Evidence: Model 1 maps `StatisticalAnalysis` and `DataValidator` directly to `QuantitativeResult`, reflecting the practical reality that data inputs are what get validated and analyzed. Model 2 links `DataValidator` and `StatisticalAnalysis` generally to `LaboratoryExperiment`. Furthermore, Model 1 successfully captures the `compoundClass` detail in `AssayProtocol`, which Model 2 omits entirely.
Total: Model 1 = 15, Model 2 = 12
Choice: A
Reason:
1. Cohesion and Decoupling: Model 1 exhibits superior decoupling by correctly interpreting the domain boundaries. By introducing a base `Protocol` class, it avoids forcing clinical `StudyCohort`s to associate with laboratory `AssayProtocol`s. Model 2 conflates these concepts. Furthermore, Model 1's decision to link `DataValidator` and `StatisticalAnalysis` directly to the `QuantitativeResult` class makes the data pipeline cohesive and logically sound.
2. Complexity: Model 1 handles complexity much more robustly. It leverages UML features like enumerations to enforce constraints mentioned in the requirements (e.g., specific trial types, event categories, and severity levels). Model 2 simplifies these constraints into basic `String` fields. Model 1 also utilizes an intermediate `RegulatoryReview` class, which is a common and appropriate way to handle complex many-to-many interactions between agencies and candidates that typically require tracking review dates and decisions.
3. Rejected or checked issues: Model 1 utilizes an inheritance structure for `DrugCandidate` extending `Compound`, whereas Model 2 uses an association (`MolecularCompound` is a "basis for" `DrugCandidate`). Both approaches are acceptable interpretations of the requirement "serve as the basis for drug candidates" and were not used to penalize either model.
4. Overall judgment: Model 1 is decidedly better. It provides a highly accurate, domain-faithful representation of the requirements. It effectively uses object-oriented design principles like inheritance and enumerations, properly isolates clinical versus laboratory concepts, and maps relationships with a higher degree of precision for real-world application implementation. Model 2 is functional but misses nuanced details and misapplies the assay protocol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</si>
  <si>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</si>
  <si>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required concepts, including a general `Protocol` class, `AdverseEventReport`, and an explicit `RegulatoryReview` class to capture the review process. Model 2 lacks a generalized `Protocol` class (only providing `AssayProtocol`) and uses `AdverseEvent` instead of the requested `AdverseEventReport`.
2. Associations/Multiplicities between classes for domain reasoning: Model 1 = 5, Model 2 = 3; Evidence: Model 1 correctly associates `StudyCohort` with a generalized `Protocol` (`StudyCohort --&gt; "1..*" Protocol`), while treating `AssayProtocol` as a subclass. Model 2 incorrectly assigns clinical `StudyCohort` directly to `AssayProtocol` (`StudyCohort "*" --&gt; "1" AssayProtocol`), which represents a misunderstanding of the domain (assay protocols are lab methodologies, not clinical trial protocols). Additionally, Model 1 correctly links the `DataValidator` to `QuantitativeResult` (the data), whereas Model 2 links it to the experiment.
3. Model attributes with appropriate data types: Model 1 = 5, Model 2 = 4; Evidence: Model 1 leverages Enumerations (`DevelopmentStage`, `EventCategory`, `SeverityLevel`) to appropriately strongly-type attributes with categorical values provided in the text. Model 2 defaults to `String` types for these same attributes (`stage: String`, `category: String`, `severityLevel: String`), which is acceptable but less robust.
4. Consistencies of Terminology with given context: Model 1 = 5, Model 2 = 4; Evidence: Model 1 perfectly aligns with the required terminology, explicitly using `AdverseEventReport`, `Protocol`, and exact categories in its enums. Model 2 misses "Report" in adverse events and lacks the term "Protocol" distinct from assay protocols.
5. Adherence of UML class diagram standards: Model 1 = 5, Model 2 = 5; Evidence: Both models use correct PlantUML syntax, proper visibility, and valid association/composition arrows.
Total: Model 1 = 25, Model 2 = 20
Choice: A
Reason:
1. Appropriate conceptual classes aligned with the domain: Model 1 provides a more complete conceptual mapping by generalizing `Protocol` and distinguishing `AdverseEventReport` from the event itself, as well as capturing the regulatory review conceptually.
2. Associations/Multiplicities between classes for domain reasoning: Model 1 captures the domain logic much more accurately. Model 2 contains a significant domain error by directly assigning `StudyCohort` to `AssayProtocol`, whereas Model 1 correctly associates cohorts with generalized protocols and keeps assay protocols for compound identification. 
3. Model attributes with appropriate data types: Model 1 models constrained variables (like severity, stage, and category) as strongly typed Enums, which better reflects the specific categories listed in the requirements. Model 2 relies entirely on strings for these.
4. Consistencies of Terminology with given context: Model 1 remains strictly faithful to the prompt's terminology, whereas Model 2 drops a few key descriptor words (like "Report" and general "Protocols").
5. Adherence of UML class diagram standards: Both models are syntactically valid and adhere to PlantUML standards. 
6. Rejected or checked issues: Model 1's use of single-quote comments (`'opposite`) is a standard tooling annotation and was explicitly ignored for scoring, strictly adhering to the forbidden penalties guidelines. Model 1's decision to use inheritance (`Compound &lt;|-- DrugCandidate`) versus Model 2's association (`MolecularCompound "1" --&gt; "1" DrugCandidate`) are both treated as semantically valid interpretations of "serve as the basis for".
7. Overall judgment: Model 1 is significantly better due to its deeper understanding of the domain logic (especially regarding clinical cohorts vs. lab protocols) and its superior use of data types (enums) to capture business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</si>
  <si>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</si>
  <si>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1; Evidence: Model 1 extensively models the domain, explicitly including classes for `Institution`, `ChemicalLibrary`, `DosageRegimen`, `ToxicityProfile`, `AdverseEventReport`, `SafetyAssessment`, `StudyCohort`, `AssayProtocol`, `PharmacokineticStudy`, `RegulatoryAgency`, and `PublicationRecord` as required. Model 2 completely omits chemical libraries, safety assessments, adverse event reports, pharmacokinetic studies, regulatory agencies, publication records, and study cohorts. Model 2 also flattens detailed concepts like dosage regimens and toxicity profiles into simple `String` attributes on `DrugCandidate`.
Total: Model 1 = 5, Model 2 = 1
Choice: A
Reason:
1. Requirement Alignment: Model 1 demonstrates an excellent and thorough translation of the prompt's highly detailed requirements into a valid UML class diagram. It properly utilizes enums (e.g., `EventCategory`, `DevelopmentStage`), inheritances (`Compound` to `SmallMolecule`, `Biologic`, etc.), and precise associations with cardinalities to represent the interactions between drug candidates, safety assessments, target proteins, and regulatory bodies. Model 2 is severely underdeveloped, missing a vast majority of the explicitly requested conceptual classes and relationships, reducing complex interrelated entities into basic string attributes or omitting them entirely.
2. Rejected or checked issues: Model 1 uses single-quote comments (e.g., `'opposite parentProject`) at the end of relationship definitions. Following the evaluation guidelines, these are standard tooling annotations and were ignored for scoring, resulting in no penalty. 
3. Overall judgment: Model 1 is vastly superior because it captures the immense depth and breadth of the provided requirements, fully representing the end-to-end drug discovery platform. Model 2 fails to provide even a baseline representation of the requested domain complexities.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</si>
  <si>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</si>
  <si>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complex concepts into dedicated classes, such as breaking down `DrugCandidate`'s properties into `DosageRegimen` and `ToxicityProfile` classes, ensuring single responsibility. Model 2 reduces cohesion by using simple `String` attributes for `dosageRegimen` and `toxicityProfile` in `DrugCandidate`, and by grouping completely different domain concepts (`meanValue`, `timestamp`, `log`) into a single `Result` class.
2. Complexity: Model 1 = 5, Model 2 = 2; Evidence: Model 1 appropriately aligns with the extensive requirements, modeling over 30 distinct classes and enums, and correctly utilizing inheritance (e.g., `SmallMolecule`, `Biologic` extending `Compound`). Model 2 is far too simplistic for the prompt, capturing only 12 classes and omitting numerous critical domain entities like `ChemicalLibrary`, `StudyCohort`, `PharmacokineticStudy`, `AdverseEventReport`, and `RegulatoryAgency`.
3. Practicability: Model 1 = 5, Model 2 = 2; Evidence: Model 1 provides a highly practical, comprehensive blueprint for software development, complete with detailed attributes, modular structures, and explicit relationship multiplicities (e.g., `ClinicalTrial *-- "*" StudyCohort`). Model 2 is overly vague, omitting multiplicities entirely on its associations (e.g., `Researcher -- Project`, `Validator -- Experiment`), rendering it much less useful for real-world programming and testing.
Total: Model 1 = 15, Model 2 = 6
Choice: A
Reason:
1. Cohesion and Decoupling: Model 1 maintains high cohesion by encapsulating specific responsibilities within distinct classes (e.g., `SafetyAssessment`, `QuantitativeResult`, `ExperimentLog`). Model 2 suffers from low cohesion by flattening complex objects into strings and awkwardly grouping unrelated data (statistical means and experiment logs) into one class.
2. Complexity: Model 1 successfully navigates the complex domain by providing a well-balanced class hierarchy that captures all the intricate requirements, whereas Model 2 completely misses the mark, discarding a large majority of the required concepts.
3. Practicability: Model 1 is structurally sound and directly usable by developers, featuring clear cardinalities and relationships that support robust database or object-oriented modeling. Model 2's lack of multiplicities and missing domain elements make it an inadequate design document.
4. Rejected or checked issues: Model 1's use of single-quote PlantUML comments at the end of association lines (e.g., `'opposite projectLead`) was appropriately ignored as per the instructions regarding tooling annotations. Additionally, variations in primitive type naming (e.g., `Double` vs `double`) were not penalized.
5. Overall judgment: Model 1 is vastly superior as it thoroughly and accurately translates a complex set of requirements into a highly cohesive, well-structured, and practical software design. Model 2 is incomplete, overly simplistic, and lacks the structural rigor needed for a real-world application.```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</si>
  <si>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</si>
  <si>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extracts all the domain entities perfectly, including `Institution`, `ChemicalLibrary`, `DosageRegimen`, `ToxicityProfile`, `AdverseEventReport`, `RegulatoryAgency`, `StudyCohort`, and `PharmacokineticStudy`. Model 2 misses the vast majority of these domain concepts, only providing a skeleton of basic classes like `Researcher`, `Project`, and `Compound`.
2. Associations/Multiplicities between classes for domain reasoning: Model 1 = 5, Model 2 = 1; Evidence: Model 1 maps out a highly complex network of relationships with exact multiplicities (e.g., `ClinicalTrial *-- "*" StudyCohort`, `StudyCohort --&gt; "1..*" Protocol`, `DrugCandidate *-- "1" ToxicityProfile`). Model 2 completely omits all multiplicities (e.g., `Researcher -- Project`, `Project o-- Experiment`) and misses most of the critical domain relationships.
3. Model attributes with appropriate data types: Model 1 = 5, Model 2 = 2; Evidence: Model 1 accurately models attributes with proper types as requested by the text, such as `SimulationModel` having `solventInclusion: boolean` and `forceFieldConfig: String`, or `DosageRegimen` having `amount: double` and `frequency: int`. Model 2 misses most attributes and improperly flattens complex entities into basic strings (e.g., `dosageRegimen: String` and `toxicityProfile: String` inside `DrugCandidate`).
4. Consistencies of Terminology with given context: Model 1 = 5, Model 2 = 2; Evidence: Model 1 consistently uses the exact terminology from the requirements (e.g., `QuantitativeResult`, `ExperimentLog`, `BindingAffinity`, `AssayProtocol`). Model 2 relies on generic abstractions (like `Report` instead of `CompoundReport` and `Interaction` instead of `BindingAffinity`) and leaves out key domain terms.
5. Adherence of UML class diagram standards: Model 1 = 5, Model 2 = 3; Evidence: Model 1 demonstrates excellent use of PlantUML syntax, properly denoting inheritance (`&lt;|--`), composition (`*--`), and associations (`--&gt;`) with proper multiplicities. Model 2 is syntactically valid but fails to include multiplicities, which are standard and necessary components for a meaningful UML class diagram.
Total: Model 1 = 25, Model 2 = 10
Choice: A
Reason:
1. Appropriate conceptual classes aligned with the domain: Model 1 successfully extracts and models the highly detailed domain presented in the prompt, creating specific classes for cohorts, regimens, regulatory agencies, etc. Model 2 completely fails to capture the depth of the domain, missing over half of the required entities.
2. Associations/Multiplicities between classes for domain reasoning: Model 1 provides a fully connected and logically sound diagram with exact multiplicities mapping the complex workflow. Model 2 provides sparse connections and completely ignores multiplicities, making it impossible to derive domain rules from the diagram.
3. Model attributes with appropriate data types: Model 1 perfectly translates the textual requirements into correctly typed attributes. Model 2 omits most of the required data fields and incorrectly assigns string types to concepts that the text explicitly defines as having their own distinct sub-properties.
4. Rejected or checked issues: Model 1's use of single-quote comments at the end of association lines (e.g., `'opposite parentProject`) is a standard tooling annotation and was correctly ignored for scoring, as it does not affect UML semantics.
5. Overall judgment: Model 1 is vastly superior to Model 2. It provides an exceptionally thorough, accurate, and fully compliant UML diagram that strictly adheres to every detail of the extensive prompt. Model 2 is overly simplistic, incomplete, and misses critical domain reasoning elements like multiplicities and proper data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</si>
  <si>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</si>
  <si>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Model 1 includes all required concepts as distinct classes (e.g., `ChemicalLibrary`, `DosageRegimen`, `ToxicityProfile`, `AdverseEvent`, `SafetyAssessment`, `PharmacokineticStudy`, `RegulatoryAgency`, `PublicationRecord`, `StudyCohort`) and accurately models their attributes and relationships (e.g., `SimulationModel` simulating `MolecularCompound`, `StudyCohort` focusing on `TargetProtein`). Model 2 completely misses many of these entities (e.g., `ChemicalLibrary`, `AdverseEvent`, `SafetyAssessment`, `PharmacokineticStudy`, `RegulatoryAgency`, `PublicationRecord`), incorrectly collapses complex concepts into primitive string attributes (e.g., `dosageRegimen` and `toxicityProfile` inside `DrugCandidate`), and misses crucial associations (e.g., `Report` is not linked to `Compound`).
Total: Model 1 = 5, Model 2 = 2
Choice: A
Reason:
1. Requirement Alignment: Model 1 demonstrates an excellent understanding of the domain by strictly capturing the granular details of the prompt. It creates specific classes for `DosageRegimen`, `ToxicityProfile`, `SafetyAssessment`, and `AdverseEvent`, complete with required attributes like `isCarcinogenic` and `isLifeThreatening`. Furthermore, Model 1 successfully captures all edge elements of the prompt such as `PharmacokineticStudy`, `RegulatoryAgency`, and `PublicationRecord`. Model 2, on the other hand, is heavily oversimplified. It omits significant portions of the required domain, reduces complex object structures to mere strings, and fails to establish required linkages, such as connecting reports to specific molecules or simulation models to compounds.
2. Rejected or checked issues: While Model 2 uses aggregation (`o--`) instead of directed associations, this notation choice is not penalized. The critical failure of Model 2 lies entirely in its missing domain concepts and missing relationships, which are heavily penalized under the specific instructions. Model 1's use of inheritance for compound types versus Model 2's enum is considered semantically acceptable for both, but Model 1 is rewarded for overall completeness.
3. Overall judgment: Model 1 accurately models the dense requirements provided, ensuring all concepts, relationships, and attributes are present without hallucination. Model 2 is incomplete and inadequate for representing the requested system. Therefore,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</si>
  <si>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</si>
  <si>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demonstrates high cohesion by creating dedicated classes for distinct concepts like `ToxicityProfile`, `DosageRegimen`, `AdverseEvent`, `QuantitativeResult`, and `ExperimentLog`. Model 2 demonstrates lower cohesion by grouping complex, distinct concepts into simple string attributes (e.g., `dosageRegimen: String` and `toxicityProfile: String` within `DrugCandidate`, and `institution: String` within `Researcher`) and combining distinct experiment outputs (`meanValue`, `log`, `timestamp`) into a single `Result` class.
2. Complexity: Model 1 = 5, Model 2 = 2; Evidence: Model 1 balances complexity perfectly with the detailed requirement, providing a comprehensive set of classes (around 25) and utilizing inheritance for `MolecularCompound` subtypes (`SmallMolecule`, `Biologic`, etc.). Model 2 is severely oversimplified, utilizing only 14 classes and completely omitting required conceptual classes such as `StudyCohort`, `AdverseEvent`, `SafetyAssessment`, `PharmacokineticStudy`, `RegulatoryAgency`, `PublicationRecord`, `Institution`, and `ChemicalLibrary`.
3. Practicability: Model 1 = 5, Model 2 = 2; Evidence: Model 1 provides a highly practical and modular blueprint that supports robust testing and real-world implementation by explicitly mapping complex relationships (e.g., `SafetyAssessment` evaluating both `ToxicityProfile` and `DosageRegimen`, and linking to `AdverseEvent`). Model 2 is not practical for the defined scope as it lacks the necessary structural detail to track required scientific processes (e.g., missing `StudyCohort`, meaning it incorrectly links `Protocol` directly to `ClinicalTrial` instead of the cohort, and linking `Validator` directly to `DrugCandidate` rather than `AssayProtocol`).
Total: Model 1 = 15, Model 2 = 6
Choice: A
Reason:
1. Cohesion and Decoupling: Model 1 creates highly cohesive classes that encapsulate single concepts effectively. Model 2 heavily relies on string attributes to represent complex domain objects, leading to poor cohesion and limited extensibility.
2. Complexity: Model 1 captures the extensive domain complexity required by the prompt, creating distinct entities and hierarchies. Model 2 arbitrarily simplifies the domain, missing over a dozen explicitly requested entities.
3. Practicability: Model 1's detailed and faithful mapping of the requirements results in a practical, real-world design that supports the required functionalities and relationships. Model 2's omissions lead to structural inaccuracies that would hinder the development of the requested end-to-end platform.
4. Overall judgment: Model 1 is vastly superior. It accurately reflects the detailed domain requirements with appropriate class structures, clear associations, and excellent modularity. Model 2 oversimplifies the problem, missing numerous critical requirements and relying too heavily on basic string properties for complex domain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</si>
  <si>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</si>
  <si>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 comprehensive set of domain classes such as `Institution`, `ChemicalLibrary`, `DosageRegimen`, `ToxicityProfile`, `AdverseEvent`, `SafetyAssessment`, and `PharmacokineticStudy`. Model 2 completely misses these classes, reducing some to mere attributes (e.g., `dosageRegimen: String`, `toxicityProfile: String` in `DrugCandidate`) or omitting them entirely (e.g., `ChemicalLibrary`, `AdverseEvent`, `PharmacokineticStudy`).
2. Associations/Multiplicities between classes for domain reasoning: Model 1 = 5, Model 2 = 2; Evidence: Model 1 includes well-defined associations with explicit multiplicities and role labels (e.g., `Researcher "1" --&gt; "*" ResearchProject : leads`, `ToxicityProfile "1" --&gt; "*" AdverseEvent : flags`). Model 2 completely omits multiplicities (e.g., `Researcher -- Project`, `SimulationModel -- TargetProtein`) and misses many vital associations due to the missing domain classes.
3. Model attributes with appropriate data types: Model 1 = 5, Model 2 = 2; Evidence: Model 1 properly assigns attributes to their respective classes (e.g., `QuantitativeResult` has `observationDate` and `value`, `ExperimentLog` has `note` and `timestamp`). Model 2 flattens or misplaces attributes, such as placing `observationDate` inside `Experiment` instead of the result, combining the log and mean value into a single `Result` class, and missing numerous attributes from the text (e.g., `symptoms`, `severity`, `isLifeThreatening`).
4. Consistencies of Terminology with given context: Model 1 = 5, Model 2 = 3; Evidence: Model 1 uses exact terminology from the prompt (e.g., `QuantitativeResult`, `ExperimentLog`, `StatisticalAnalysis`, `AssayProtocol`). Model 2 deviates from the provided terms (e.g., using `Project` instead of `ResearchProject`, `Interaction` instead of `BindingAffinity`, and `Protocol` instead of `AssayProtocol`).
5. Adherence of UML class diagram standards: Model 1 = 5, Model 2 = 4; Evidence: Model 1 perfectly utilizes PlantUML syntax, including enums, inheritance (`&lt;|--`), and directional associations with multiplicities. Model 2 is syntactically correct and readable but fails to utilize standard UML multiplicity notations on its relationships.
Total: Model 1 = 25, Model 2 = 13
Choice: A
Reason:
1. Appropriate conceptual classes aligned with the domain: Model 1 perfectly extracts all entities mentioned in the complex domain. Model 2 inappropriately simplifies the domain by turning major concepts into string attributes or completely omitting them.
2. Associations/Multiplicities between classes for domain reasoning: Model 1 explicitly defines how every class interacts with exact multiplicities and directional labels. Model 2 relies on simple lines with no multiplicities, making the domain logic ambiguous.
3. Model attributes with appropriate data types: Model 1 correctly captures and categorizes the fine-grained attributes. Model 2 misses many attributes and groups others improperly.
4. Consistencies of Terminology with given context: Model 1 faithfully reuses the text's terminology, whereas Model 2 arbitrarily shortens names, leading to minor inconsistencies.
5. Adherence of UML class diagram standards: Both models parse well, but Model 1 is far more rigorous in its application of UML features like inheritance and multiplicities.
6. Overall judgment: Model 1 is vastly superior because it meticulously captures the intricate details, classes, attributes, and relationships described in the prompt. Model 2 is overly simplistic, misses a significant portion of the domain requirements, and lacks standard UML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</si>
  <si>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</si>
  <si>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Relationships, and Absence of Hallucinations: Model 1 = 5, Model 2 = 2; Evidence: Model 1 correctly includes exactly the attributes defined in the text (e.g., `LaboratoryExperiment` has `stage`, `sampleCount`, and `executionDate`; `SimulationModel` uses an enum with `ACTIVE` and `ARCHIVED`). It captures all required relationships, such as `SafetyAssessment` evaluating `ToxicityProfile` and `DosageRegimen`, without adding unrequested elements. Model 2 completely ignores the instruction "without making any hallucinations and additions" by inventing numerous attributes (e.g., `Institution.address`, `Researcher.email`, `ResearchProject.budget`, `ChemicalLibrary.capacity`, `RegulatoryAgency.jurisdiction`) and hallucinating enum values that were not detailed in the prompt (e.g., `DevelopmentStage` with `PHASE_I`, `PHASE_II`; `SeverityLevel` with `MILD`, `MODERATE`).
Total: Model 1 = 5, Model 2 = 2
Choice: A
Reason:
1. Alignment, Relationships, and Absence of Hallucinations: Both models do an excellent job of translating the complex domain into classes and relationships. Model 2 even uses composition (`*--`) effectively for elements like `ResearchProject` encompassing `LaboratoryExperiment` and `ClinicalTrial`, and correctly abstracts `Protocol` into a superclass for `AssayProtocol`. However, the prompt contains a strict constraint against making hallucinations and additions. Model 2 heavily violates this by generating dozens of invented attributes (IDs, emails, budgets, locations) and guessing standard industry enum values instead of strictly adhering to the text. Model 1 perfectly balances the required conceptual modeling while strictly limiting its properties and enumerations to the facts provided in the text. 
2. Rejected or checked issues: Model 1 maps the relationship for study cohorts operating under protocols by directly linking `StudyCohort` to `AssayProtocol`, whereas the text implies a more general `Protocol` might exist. However, Model 1's minor simplification here is vastly preferable to Model 2's massive injection of hallucinated data points. Model 2's usage of PlantUML comments (`'opposite`) is standard tooling and was ignored for scoring, per the guidelines.
4. Overall judgment: Model 1 is the clear winner because it faithfully and comprehensively models the provided domain text while strictly adhering to the instruction to avoid hallucinations and unprompted additions, a rule that Model 2 severely violates.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</si>
  <si>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</si>
  <si>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links `StatisticalAnalysis` directly to `LaboratoryExperiment` (`LaboratoryExperiment "1" --&gt; "1" StatisticalAnalysis : analyzed by`). Model 2 improves cohesion by linking `StatisticalAnalysis` directly to the actual data it analyzes (`StatisticalAnalysis --&gt; "*" QuantitativeResult : analyzes`), which aligns perfectly with the requirement "data from these experiments undergoes statistical analysis". Furthermore, Model 2 decouples `RegulatoryAgency` and `DrugCandidate` by introducing an intermediary `RegulatoryReview` class, effectively encapsulating the review action into a distinct, cohesive concept rather than a simple direct association as seen in Model 1.
2. Complexity: Model 1 = 4, Model 2 = 5; Evidence: Both models manage the baseline complexity well. Model 1 relies primarily on `String` attributes for categories, which under-represents the complexity of constrained domain concepts. Model 2 successfully incorporates domain-justified complexity by using Enums (`EventCategory`, `SeverityLevel`, `DevelopmentStage`, `TrialType`) to represent the specific categories explicitly listed in the prompt. Additionally, Model 2 introduces a conceptual `Protocol` superclass for `AssayProtocol`, accurately reflecting the domain requirement where cohorts "operate under protocols" generally, while "Assay protocols" are a specialized subset.
3. Practicability: Model 1 = 4, Model 2 = 5; Evidence: Model 2 offers a more robust and readable design for real-world implementation. In Model 2, `AssayProtocol` includes both `compoundClass` and `methodName`, which comprehensively captures the instruction "define methods to identify compound classes". Model 1 only provides a generic `method: String` attribute, missing the compound class aspect. Furthermore, Model 2 strictly follows the requirement that clinical trials "enroll specific compounds" by mapping `ClinicalTrial --&gt; "*" Compound : enrolls`, whereas Model 1 deviates slightly by exclusively linking trials to `DrugCandidate`. Model 2 also practically reuses the `DevelopmentStage` enum across both experiments and drug candidates to ensure data consistency.
Total: Model 1 = 12, Model 2 = 15
Choice: B
Reason:
1. Cohesion and Decoupling: Model 2 demonstrates superior cohesion by attaching statistical analysis directly to the quantitative data rather than the broader experiment class. It also successfully decouples regulatory agencies from candidates via a dedicated review class.
2. Complexity: Model 2 appropriately handles domain complexity by utilizing Enums for categorically constrained data (e.g., stages, severity levels) and implementing a proper inheritance hierarchy for generic versus specific protocols.
3. Practicability: Model 2 translates the prompt's requirements into highly accurate structural attributes (such as including the target compound classes within assay protocols) and faithfully models the enrollment of compounds into clinical trials, making it more robust and testable.
4. Rejected or checked issues: Model 2 includes many trailing single-quote comments (e.g., `'opposite employer`) and introduces primary key identifiers (`reportId`, `candidateId`, etc.). In accordance with the evaluation guidelines, these tooling annotations were strictly ignored, and the extra identifiers were neither rewarded nor penalized, as the decision was based purely on semantic accuracy and structural advantages.
5. Overall judgment: Model 2 is the better design because it provides a more nuanced, accurate, and object-oriented interpretation of the domain logic, correctly extracting intermediate processes (like regulatory reviews) and leveraging appropriate data types (enums) to ensure platform integrity.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</si>
  <si>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</si>
  <si>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concepts. However, Model 1 misses a generic `Protocol` class, merging it directly into `AssayProtocol`. Model 2 accurately captures `Protocol` as a superclass (`Protocol &lt;|-- AssayProtocol`), which better aligns with the requirement that cohorts operate under protocols while assay protocols are a specific type. Furthermore, Model 2 extracts domain constraints into explicit Enums (e.g., `EventCategory` with `ALLERGIC_REACTION`, `CARDIOVASCULAR`, `NEUROTOXICITY`), making the conceptual modeling excellent.
2. Associations/Multiplicities between classes for domain reasoning: Model 1 = 4, Model 2 = 5; Evidence: The requirement states clinical trials "enroll specific compounds" and cohorts "operate under protocols". Model 1 enrolls drug candidates (`DrugCandidate "*" --&gt; "*" ClinicalTrial : enrolled in`) and assigns assay protocols directly to cohorts (`StudyCohort "*" --&gt; "1" AssayProtocol`). Model 2 correctly connects trials to compounds (`ClinicalTrial --&gt; "*" Compound : enrolls`) and cohorts to generic protocols (`StudyCohort --&gt; "1..*" Protocol : operatesUnder`). Additionally, Model 2 connects the `DataValidator` to the `QuantitativeResult` (`QuantitativeResult --&gt; "1" DataValidator`), matching the phrase "data from these experiments... ensuring data integrity through a validator", whereas Model 1 links it to the `LaboratoryExperiment`.
3. Model attributes with appropriate data types: Model 1 = 4, Model 2 = 5; Evidence: The requirement specifies assay protocols "define methods to identify compound classes". Model 1 only provides `method: String` in `AssayProtocol`. Model 2 explicitly models this with `compoundClass: String` and `methodName: String`. Both models capture attributes well, but Model 2's usage of typed enums for attributes (e.g., `stage : DevelopmentStage`, `category : EventCategory`) provides a much stronger and safer data type representation than Model 1's reliance on `String`. Model 1 does correctly include `findings: String` in `PublicationRecord`, which Model 2 slightly overlooks, but Model 2's overall attribute typing is superior.
4. Consistencies of Terminology with given context: Model 1 = 5, Model 2 = 5; Evidence: Both models exhibit excellent terminology alignment. Model 1 uses `MolecularCompound`, `BindingAffinity`, and `SafetyAssessment`. Model 2 uses `Compound`, `BindingAffinity`, and `SafetyAssessment`. Both closely mirror the provided text.
5. Adherence of UML class diagram standards: Model 1 = 5, Model 2 = 5; Evidence: Both models use correct PlantUML syntax. Model 1 uses standard associations and inheritance. Model 2 effectively utilizes composition (`*--`) for strong whole-part relationships (e.g., `DrugCandidate *-- "1" DosageRegimen`) and standard annotations (single-quote comments) which are fully compliant with PlantUML tooling. 
Total: Model 1 = 22, Model 2 = 25
Choice: B
Reason:
1. Appropriate conceptual classes aligned with the domain: Model 2 is better because it recognizes the distinction between generic protocols and assay protocols, defining a `Protocol` superclass. It also captures fixed categorization requirements through structured Enums (`EventCategory`, `DevelopmentStage`, etc.).
2. Associations/Multiplicities between classes for domain reasoning: Model 2 follows the domain rules more accurately, particularly by enrolling `Compound` (not just `DrugCandidate`) in `ClinicalTrial`, and linking `StudyCohort` to `Protocol` rather than strictly to `AssayProtocol`.
3. Rejected or checked issues: Model 2 uses inheritance (`Compound &lt;|-- DrugCandidate`) to represent "serve as the basis for", while Model 1 uses an association (`MolecularCompound "1" --&gt; "1" DrugCandidate`). Both are valid object-oriented interpretations of the domain text and neither was penalized. Model 2's use of single-quote comments for opposite roles is standard PlantUML practice and was correctly ignored during scoring.
4. Overall judgment: Model 2 is better. It provides a slightly higher-fidelity representation of the domain logic, accurately modeling the enrollment of compounds into trials, separating general protocols from assay protocols, and employing well-defined Enums for constrained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</si>
  <si>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</si>
  <si>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Conceptual Accuracy: Model 1 = 2, Model 2 = 5; Evidence: Model 1 misses numerous key domain entities mandated by the text (e.g., `ChemicalLibrary`, `StudyCohort`, `DosageRegimen`, `ToxicityProfile`, `SafetyAssessment`, `PharmacokineticStudy`, `RegulatoryAgency`) and instead collapses required structural objects into primitive fields (e.g., `+toxicityProfile: String` inside `DrugCandidate`). It also fails to model the relationship between `Project` and `ClinicalTrial`. Model 2 faithfully translates all requested elements into well-defined classes and enums with exact requested attributes (e.g., `SimulationModel` containing `solventInclusion` and `forceFieldConfig`), correctly applies inheritance (`Compound &lt;|-- SmallMolecule`, `Protocol &lt;|-- AssayProtocol`), and thoroughly maps compositions and associations (e.g., `ClinicalTrial *-- "*" StudyCohort`).
Total: Model 1 = 2, Model 2 = 5
Choice: B
Reason:
1. Strict Alignment and Conceptual Accuracy: Model 2 brilliantly captures the massive scope of the provided requirement. It successfully identifies all the required structural concepts (from specific study types to regulatory agencies and safety assessments), properly establishing their relationships, cardinalities, and attributes. Conversely, Model 1 skips over half of the prompt's domain details, omitting crucial entities, missing relationships, and flattening complex objects into generic string attributes. 
2. Rejected or checked issues: I noticed Model 2 uses single-quote PlantUML comments to simulate opposite association roles (e.g., `'opposite parentProject`). As per the forbidden penalties, these are standard tooling annotations and are strictly ignored for scoring. Additionally, the minor contextual attributes added in Model 2 (like `budget` or `email`) align with the allowance for optional attributes to complete the project vision, and do not detract from its otherwise perfect domain mapping.
3. Overall judgment: Model 2 is vastly superior due to its exhaustive, highly accurate translation of a very detailed domain requirement, whereas Model 1 provides a superficial and incomplete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</si>
  <si>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</si>
  <si>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complex domain concepts like `dosageRegimen` and `toxicityProfile` as primitive `String` attributes within the `DrugCandidate` class, and merges `meanValue`, `timestamp`, and `log` into a single `Result` class. Model 2 maintains high cohesion by separating these into distinct classes (`DosageRegimen`, `ToxicityProfile`, `QuantitativeResult`, `ExperimentLog`, `StatisticalAnalysis`) with specific relationships.
2. Complexity: Model 1 = 2, Model 2 = 5; Evidence: Model 1 under-represents the system's complexity, containing only 14 classes and missing numerous required entities (e.g., `ChemicalLibrary`, `StudyCohort`, `PharmacokineticStudy`, `RegulatoryAgency`). Model 2 appropriately reflects the required complexity with 32 classes, utilizing meaningful inheritance structures (e.g., `SmallMolecule`, `Biologic`, `Peptide`, `SyntheticCompound` extending `Compound`, and `AssayProtocol` extending `Protocol`).
3. Practicability: Model 1 = 1, Model 2 = 5; Evidence: Model 1 is missing required workflows and entities such as safety assessments, regulatory reviews, publication records, and study cohorts, making it impractical for the described end-to-end platform. Model 2 includes all these entities (`SafetyAssessment`, `RegulatoryReview`, `PublicationRecord`, `StudyCohort`) and their relationships, offering a practical, comprehensive, and testable design.
Total: Model 1 = 5, Model 2 = 15
Choice: B
Reason:
1. Cohesion and Decoupling: Model 2 excels at separating concerns. For example, `DosageRegimen` and `ToxicityProfile` are modeled as separate classes rather than basic strings as seen in Model 1. Model 2 also correctly separates `ExperimentLog`, `QuantitativeResult`, and `StatisticalAnalysis`, whereas Model 1 awkwardly groups mixed concerns into a single `Result` class.
2. Complexity: Model 2 perfectly aligns with the domain complexity specified in the prompt. It captures 32 well-defined classes and models categorical types using appropriate inheritance hierarchies (like `Compound` subclasses) and enums. Model 1 oversimplifies the domain, dropping half of the required nouns entirely.
3. Practicability: Model 2 translates the entire requirements text into a complete, modular, and understandable UML representation suitable for real-world application design. Model 1 is missing vital platform features like regulatory tracking, publications, safety assessments, and clinical cohorts, rendering it essentially incomplete and unusable for the stated use case.
4. Rejected or checked issues: Model 2 uses PlantUML single-quote comments for opposite relation labels (e.g., `'opposite employer`). Per the forbidden penalties, this is standard tooling annotation and was not penalized.
5. Overall judgment: Model 2 is vastly superior due to its comprehensive and faithful coverage of the requirements, appropriate structural complexity, and strong adherence to object-oriented design principles. Model 1 is far too simplistic and omits significant portions of the required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</si>
  <si>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</si>
  <si>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a significant portion of the domain concepts, incorrectly collapsing them into simple attributes (e.g., `DosageRegimen` and `ToxicityProfile` are just `String` in `DrugCandidate`) and entirely omitting others (e.g., `AdverseEventReport`, `SafetyAssessment`, `PharmacokineticStudy`, `RegulatoryAgency`, `ChemicalLibrary`). Model 2 correctly extracts all these required concepts as distinct classes (e.g., `DosageRegimen`, `ToxicityProfile`, `PharmacokineticStudy`, `RegulatoryAgency`).
2. Associations/Multiplicities between classes for domain reasoning: Model 1 = 1, Model 2 = 5; Evidence: Model 1 completely omits multiplicities on its associations (e.g., `Researcher -- Project`, `Project o-- Experiment`) and is missing numerous critical relationships due to missing classes. Model 2 accurately captures complex relationships with proper multiplicities (e.g., `ResearchProject *-- "*" LaboratoryExperiment`, `DrugCandidate *-- "1" DosageRegimen`, `StudyCohort --&gt; "1..*" Protocol`).
3. Model attributes with appropriate data types: Model 1 = 2, Model 2 = 5; Evidence: Model 1 misses several required attributes (e.g., missing `solventInclusion` and `forceFieldConfig` in `SimulationModel`, missing validation date/status) and uses inappropriate types (e.g., `dosageRegimen: String`). Model 2 perfectly aligns with the prompt, breaking down attributes into proper types (e.g., `DosageRegimen` has `amount : double`, `frequency : int`, `unit : String`; `SimulationModel` has `solventInclusion : boolean`, `forceFieldConfig : String`).
4. Consistencies of Terminology with given context: Model 1 = 3, Model 2 = 5; Evidence: Model 1 generalizes or simplifies terms (e.g., using `Report` instead of `CompoundReport`, `Result` instead of `QuantitativeResult`, `Experiment` instead of `LaboratoryExperiment`). Model 2 rigorously applies the exact terminology from the text context (e.g., `QuantitativeResult`, `AdverseEventReport`, `CompoundReport`, `PharmacokineticStudy`).
5. Adherence of UML class diagram standards: Model 1 = 3, Model 2 = 5; Evidence: Model 1 is syntactically valid in PlantUML but relies on very basic notation, entirely skipping multiplicity annotations which are a major representation standard in UML class diagrams. Model 2 demonstrates excellent adherence to UML standards, effectively utilizing enums, generalization (`&lt;|--`), composition (`*--`), directionality, and multiplicities. 
Total: Model 1 = 11, Model 2 = 25
Choice: B
Reason:
1. Appropriate conceptual classes: Model 2 accurately models all complex domain entities as classes, whereas Model 1 wrongly simplifies comprehensive domain elements into basic `String` attributes and leaves out multiple critical components (e.g., regulatory agencies, pharmacokinetic studies, safety assessments).
2. Associations/Multiplicities: Model 2 provides a fully connected schema with explicit and correct multiplicities. Model 1 lacks multiplicities entirely.
3. Model attributes: Model 2 captures all detailed constraints and properties (like the properties of a dosage regimen) with appropriate data types, which Model 1 completely ignores.
4. Rejected or checked issues: Model 2 makes use of single-quote comments at the end of relation lines (e.g., `'opposite projectLead`). In accordance with the strict evaluation guidelines, these tooling annotations are perfectly acceptable and were correctly ignored as they do not contradict or obscure the UML semantics.
5. Overall judgment: Model 2 is vastly superior to Model 1. It is a complete, well-reasoned, and highly accurate domain model that strictly follows UML guidelines, while Model 1 is overly simplified and misses the majority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</si>
  <si>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</si>
  <si>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Functionalities: Model 1 = 2, Model 2 = 5; Evidence: Model 1 misses major required domains like safety assessments, clinical trial cohorts, pharmacokinetic studies, chemical libraries, and regulatory agencies. Model 2 comprehensively includes all required functionalities (e.g., `SafetyAssessment`, `StudyCohort`, `PharmacokineticStudy`, `RegulatoryAgency`) without adding hallucinated elements.
2. Conceptual Classes and Relationships: Model 1 = 2, Model 2 = 5; Evidence: Model 1 oversimplifies the domain, turning complex entities like `dosageRegimen` and `toxicityProfile` into simple String attributes within `DrugCandidate`. Model 2 accurately extracts these into independent conceptual classes (`DosageRegimen`, `ToxicityProfile`, `BindingAffinity`) and uses inheritance for compound classes (`SmallMolecule`, `Biologic`, etc. extending `MolecularCompound`).
3. Associations, Cardinalities, and Relationship Types: Model 1 = 1, Model 2 = 5; Evidence: Model 1 completely lacks cardinalities/multiplicities on its associations (e.g., `Researcher -- Project`, `TargetProtein -- Interaction`) and misses many required relationship links. Model 2 provides detailed directed associations with explicit cardinalities (e.g., `ResearchProject "1" --&gt; "*" LaboratoryExperiment : encompasses`) and clearly captures inheritance (`&lt;|--`).
4. Class Names and Attributes: Model 1 = 2, Model 2 = 5; Evidence: Model 1 misses most required attributes, such as `amount`, `frequency`, and `unit` for regimens, or `solventInclusion` for simulation models. Model 2 uses highly clear class names matching the text and includes all specific optional attributes requested (e.g., `isLifeThreatening` in `AdverseEvent`, `schemaVersion` in `DataValidator`).
Total: Model 1 = 7, Model 2 = 20
Choice: B
Reason:
1. Requirement Alignment &amp; Functionalities: Model 2 fully captures the complex domain described in the prompt, including safety tracking, regulatory agencies, and trial cohorts, whereas Model 1 omits more than half of the required business logic.
2. Conceptual Classes and Relationships: Model 2 properly identifies and structures all conceptual entities as distinct classes (e.g., `DosageRegimen`, `ToxicityProfile`, `AdverseEvent`), while Model 1 inappropriately flattens these essential concepts into basic String attributes.
3. Associations, Cardinalities, and Relationship Types: Model 2 correctly implements UML multiplicities, inheritance, and relationship role labels to detail the exact constraints of the system. Model 1 completely fails to provide any cardinalities and misses numerous critical domain links.
4. Class Names and Attributes: Model 2 faithfully includes all specific properties outlined in the prompt (e.g., `solventInclusion`, `forceFieldConfig`, `isLifeThreatening`), whereas Model 1 ignores the vast majority of these detailed attributes.
5. Overall judgment: Model 2 provides an exceptionally thorough, accurate, and detailed UML representation of the requirements. Model 1 is highly incomplete, missing significant domain concepts, attributes, and completely omitting cardinalities, making Model 2 drastically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</si>
  <si>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</si>
  <si>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exhibits low cohesion by using primitive `String` attributes in `DrugCandidate` for complex concepts like `dosageRegimen` and `toxicityProfile`. It also combines distinct concepts (statistical analysis, experiment logs, quantitative results) into a single `Result` class with `meanValue`, `timestamp`, and `log`. Model 2 achieves high cohesion by separating these into dedicated classes (`DosageRegimen`, `ToxicityProfile`, `StatisticalAnalysis`, `ExperimentLog`, `QuantitativeResult`) and decoupling them via appropriate associations.
2. Complexity: Model 1 = 2, Model 2 = 5; Evidence: Model 1 lacks the necessary complexity to fulfill the requirements, omitting over a dozen required domain entities including `Institution`, `ChemicalLibrary`, `AdverseEvent`, `SafetyAssessment`, `StudyCohort`, `PharmacokineticStudy`, `RegulatoryAgency`, and `PublicationRecord`. Model 2 demonstrates appropriate complexity, mapping all required nouns to classes and accurately utilizing an inheritance tree for compound classification (`MolecularCompound` as a superclass for `SmallMolecule`, `Biologic`, `Peptide`, `SyntheticCompound`).
3. Practicability: Model 1 = 2, Model 2 = 5; Evidence: Model 1's oversimplified design limits its practicability in a real-world scenario; for instance, the lack of an `AdverseEvent` or `StudyCohort` class makes it impossible to query patient notes or track cohort sizes as required. Model 2 is highly practical and modular, offering clear interfaces and relationships (e.g., `SafetyAssessment` explicitly evaluates `ToxicityProfile` and `DosageRegimen` while linking to `AdverseEvent`), which strongly supports subsequent programming and testing phases.
Total: Model 1 = 6, Model 2 = 15
Choice: B
Reason:
1. Cohesion and Decoupling: Model 2 ensures single-responsibility and high cohesion by breaking down complex nested data into independent, linked classes (e.g., separating `QuantitativeResult` from `ExperimentLog`). Model 1 inappropriately flattens complex objects into single classes or string attributes, leading to poor cohesion.
2. Complexity: Model 2 perfectly balances the structural complexity required by the prompt, capturing all entities, attributes, and inheritance relationships. Model 1 is vastly under-complex, completely ignoring large portions of the system's requirements like regulatory agencies, safety assessments, and publication records.
3. Practicability: Model 2 provides a highly practical, comprehensive, and readable architectural blueprint that developers can easily translate into relational database tables or object-oriented code. Model 1 is too incomplete to serve as a functional software design document.
4. Overall judgment: Model 2 is the clearly superior design. It meticulously translates a dense set of domain requirements into a well-structured, cohesive, and comprehensive UML class diagram. Model 1 is an incomplete, overly simplistic draft that fails to capture the core architectural needs of the described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</si>
  <si>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</si>
  <si>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the majority of domain concepts, lacking classes for `Institution`, `ChemicalLibrary`, `DosageRegimen`, `ToxicityProfile`, `AdverseEvent`, `SafetyAssessment`, `StudyCohort`, and `PharmacokineticStudy`. Model 2 explicitly and correctly defines all these required classes (e.g., `RegulatoryAgency`, `PublicationRecord`, `StudyCohort`).
2. Associations/Multiplicities between classes for domain reasoning: Model 1 = 1, Model 2 = 5; Evidence: Model 1 provides no multiplicities (e.g., `Researcher -- Project`) and misses critical relationships because of the missing classes. Model 2 provides comprehensive associations with explicit multiplicities and role labels mapping perfectly to the text (e.g., `Researcher "1" --&gt; "*" ResearchProject : leads`, `ToxicityProfile "1" --&gt; "*" AdverseEvent : flags`).
3. Model attributes with appropriate data types: Model 1 = 2, Model 2 = 5; Evidence: Model 1 flattens complex structural concepts into basic strings (e.g., `dosageRegimen: String` and `toxicityProfile: String` inside `DrugCandidate`) and misses attributes like `solventInclusion` and `forceFieldConfig` in `SimulationModel`. Model 2 correctly models these as distinct classes with appropriate typed attributes (e.g., `DosageRegimen` has `amount: Float`, `frequency: String`, `unit: String`).
4. Consistencies of Terminology with given context: Model 1 = 3, Model 2 = 5; Evidence: Model 1 uses generalized, less accurate terms like `Result` instead of `QuantitativeResult`, `Protocol` instead of `AssayProtocol`, and `Report` instead of `CompoundReport`. Model 2 consistently applies the exact domain terminology provided in the prompt (e.g., `MolecularCompound`, `PharmacokineticStudy`, `ExperimentLog`).
5. Adherence of UML class diagram standards: Model 1 = 4, Model 2 = 5; Evidence: Model 1 uses valid PlantUML syntax but lacks multiplicity notations which are essential for complete UML class diagrams. Model 2 fully adheres to UML notation standards, utilizing generalizations (`&lt;|--`), directed associations (`--&gt;`), explicit multiplicities, and association labels.
Total: Model 1 = 12, Model 2 = 25
Choice: B
Reason:
1. Appropriate conceptual classes aligned with the domain: Model 2 completely and accurately captures all the intricate entities required by the prompt, whereas Model 1 misses large portions of the domain logic (e.g., safety assessments, pharmacokinetics, and clinical trial specifics).
2. Associations/Multiplicities between classes for domain reasoning: Model 2 correctly implements labeled associations and multiplicities to connect the entire research ecosystem, while Model 1 completely omits multiplicities and lacks most associations due to the missing classes.
3. Model attributes with appropriate data types: Model 2 perfectly breaks down attributes into their appropriate classes and types, whereas Model 1 inappropriately lumps complex objects into generic string attributes.
4. Consistencies of Terminology with given context: Model 2 strictly utilizes the nuanced scientific vocabulary provided in the prompt, whereas Model 1 abstracts them into generic terms.
5. Adherence of UML class diagram standards: Model 2 uses a rich set of standard UML features (inheritance, multiplicities, explicit relation labels) flawlessly, while Model 1 offers a very sparse, though syntactically valid, diagram.
6. Overall judgment: Model 2 is significantly better. It accurately and exhaustively translates a complex set of domain requirements into a thorough, well-structured, and fully compliant UML class diagram, whereas Model 1 fails to capture the majority of the requirements.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</si>
  <si>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</si>
  <si>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</si>
  <si>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</si>
  <si>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attributes for `grainStructure` and `defectAnnotation` in `MaterialSpecimen` to satisfy "classify grain structure, and annotate any defects", whereas Model 2 completely omits these elements. Model 1 explicitly models cardinalities and compositions/aggregations for relationships (e.g., `AlloyBatch "1" *-- "1..*" MaterialSpecimen`), while Model 2 often relies on weak dependency arrows (`..&gt;`) without multiplicities (e.g., `StressTestRunner ..&gt; MaterialSpecimen`). Model 1 correctly captures `effectiveDate` for both `DesignConstraint` and `RegulatoryStandard`, whereas Model 2 misses it for `DesignConstraint`. Model 2 correctly places `coolingRate` and `peakTemperature` in `ThermalCycleSimulator` based on the text, whereas Model 1 places them in `ThermalAnalysisRun`, but Model 1's overall structural representation is far more complete.
Total: Model 1 = 5, Model 2 = 3
Choice: A
Reason:
1. Alignment with Requirements: Model 1 strictly aligns with the requirements, capturing necessary domain details like grain structure, defect annotations, test types, and effective dates on constraints. Model 1 also extensively utilizes proper UML compositions, aggregations, and associations with explicit cardinalities. Model 2 misses several required concepts (defects, grain structure, constraint effective date) and over-relies on simple dependency arrows. Furthermore, Model 2 fails to structurally represent historical records, such as test runs, quality reviews, or generated reports, instead putting properties like `inspector` and `isCertified` directly on a singleton-like `QualityAssurance` class.
2. Rejected or checked issues: Model 2 maps `coolingRate` and `peakTemperature` perfectly to `ThermalCycleSimulator`, while Model 1 places them in `ThermalAnalysisRun`. However, this single mapping advantage in Model 2 is heavily outweighed by its omission of other requirements and structurally weaker UML semantics. Model 1's addition of intermediate classes (e.g., `SummaryReport`, `StressTestRun`, `QualityAssuranceReview`) provides better traceability for domain reasoning and is explicitly allowed per the guidelines.
4. Overall judgment: Model 1 provides a significantly more thorough, detailed, and structurally sound UML class diagram that faithfully represents the requirements with proper object-oriented relationships, cardinalities, and attributes. Model 2 leaves out key data points and uses less descriptive modeling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</si>
  <si>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</si>
  <si>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transactional and event data from system modules by introducing dedicated classes like `QualityAssuranceReview` (containing inspector info) and `StressTestRun`. Model 2 couples inspector details (`inspector: String`, `isCertified: Boolean`) directly into the overall `QualityAssurance` class, which harms cohesion by tying a system module to a single inspector's state.
2. Complexity: Model 1 = 5, Model 2 = 3; Evidence: Model 1 matches the domain's intended complexity using explicit compositional classes like `ProcessingStep` and `Supplier`, and enums like `PhaseType` to manage states. Model 2 simplifies too much, utilizing primitive collections (`chemicalMakeup: Map` in `ElementComposition`, `processingSteps: List` in `HeatTreatmentProfile`) and hardcoding phase types as individual attributes (`austenite: Float`, `ferrite: Float`, etc.) within `PhaseDistribution`.
3. Practicability: Model 1 = 5, Model 2 = 3; Evidence: Model 1 is highly practical and comprehensive, capturing explicitly required details such as `grainStructure` and `defectAnnotation` in the `MaterialSpecimen` class, and generating concrete `SummaryReport` objects. Model 2 entirely omits the grain structure and defect attributes, and relies purely on a `compileReport()` method in `ReportGenerator` without defining an actual report output class, making it less viable for real-world implementation.
Total: Model 1 = 15, Model 2 = 9
Choice: A
Reason:
1. Cohesion and Decoupling: Model 1 demonstrates superior cohesion by isolating distinct domain occurrences and entities (e.g., extracting QA review details into `QualityAssuranceReview` and testing runs into `StressTestRun`). Model 2 improperly bundles inspector state into the `QualityAssurance` module class, reducing its modularity.
2. Complexity: Model 1 effectively balances domain complexity with appropriate object-oriented structures. It correctly uses a `Supplier` class connected to the `SupplierNetwork` and explicit `ProcessingStep` components. Model 2 overly simplifies by omitting the `Supplier` class entirely and using generic Maps and Lists to represent complex domain concepts.
3. Practicability: Model 1 accurately models the real-world requirements by including explicitly requested attributes like `grainStructure` and `defectAnnotation`, and by modeling deliverable assets like `SummaryReport` and `CostEstimation`. Model 2 misses several key attributes and deliverables, making its design incomplete.
4. Rejected or checked issues: Model 2's use of methods (e.g., `calculateExpenses()`) vs Model 1's use of classes for results (`CostEstimation`) was noted. Model 1's approach is not penalized for being longer; in fact, it is rewarded because the intermediate classes are necessary for tracing workflows and data records in an industrial system.
5. Overall judgment: Model 1 is significantly better because it provides a thorough, well-decoupled, and highly accurate representation of the requirements. Model 2 takes structural shortcuts that violate OOP best practices and omits critical domain information.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</si>
  <si>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</si>
  <si>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`Supplier` (for "vendors"), `SummaryReport` (for "summary reports"), and `ProcessingStep` (for "processing steps") as distinct classes derived from the text. Model 2 omits these concepts as classes, reducing them to generic collections, methods, or missing them entirely.
2. Associations/Multiplicities between classes for domain reasoning: Model 1 = 5, Model 2 = 3; Evidence: Model 1 robustly connects classes with exact structural associations and multiplicities (e.g., `StressTestRunner "1" --&gt; "1..*" StressTestRun`, `StressTestRun "1" *-- "1..*" PerformanceMetric`). Model 2 relies heavily on dependency arrows (`..&gt;`) without multiplicities for critical domain relations (e.g., `StressTestRunner ..&gt; PerformanceMetric`, `MicrostructureAnalysis ..&gt; SpectroscopyData`), leaving the structural bounds undefined.
3. Model attributes with appropriate data types: Model 1 = 5, Model 2 = 4; Evidence: Model 1 captures `grainStructure` and `defectAnnotation` in `MaterialSpecimen` as required by the text ("classify grain structure, and annotate any defects"). Model 2 completely misses these attributes. Furthermore, Model 1 effectively uses custom enumerations (e.g., `PhaseType`, `SurfaceFinish`) for better type safety.
4. Consistencies of Terminology with given context: Model 1 = 5, Model 2 = 5; Evidence: Both models faithfully use the terminology provided in the prompt, such as `PhaseDiagramCalculator`, `ProcessController`, `ExperimentalDataset`, and `ComplianceArchive`.
5. Adherence of UML class diagram standards: Model 1 = 5, Model 2 = 5; Evidence: Both models use valid PlantUML syntax, correctly format associations (e.g., `*--`, `--&gt;`), and properly represent class properties and methods without syntax errors.
Total: Model 1 = 25, Model 2 = 21
Choice: A
Reason:
1. Appropriate conceptual classes: Model 1 successfully captures all entities mentioned in the prompt, utilizing intermediate classes like `Supplier`, `SummaryReport`, and `ProcessingStep` to create a rich domain model. Model 2 misses these specific entities as standalone concepts.
2. Associations and Multiplicities: Model 1 provides a highly detailed structural model with proper multiplicities for almost all relationships, clearly establishing one-to-many and many-to-many rules. Model 2 overuses dependency relations, which lack multiplicity definitions and weaken the domain reasoning.
3. Attributes: Model 1 extracts complete attribute details from the text, notably the analysis properties for specimens (`grainStructure`, `defectAnnotation`), which Model 2 overlooks. Model 1 also utilizes strong typing through enums.
4. Rejected or checked issues: Model 2 uses a Map for `ElementComposition` and individual Float attributes for phases in `PhaseDistribution`, whereas Model 1 uses compositional classes with `1..*` multiplicities. Both approaches are semantically acceptable for modeling these constraints and were not penalized, but Model 1's inclusion of missing attributes and classes sets it apart.
5. Overall judgment: Model 1 provides a significantly more thorough, precise, and structurally sound domain model. It fully covers the attributes, associations, and implied classes present in the requirement text, making it the superior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</si>
  <si>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</si>
  <si>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5, Model 2 = 2; Evidence: Model 1 implements all required functionalities, including detailed workflow elements like `BatchRecord`, `SummaryReport`, and vendors (`Supplier`), strictly matching the text "stores Batch Records", "summary reports", and "finding vendors". Model 2 misses these entirely, omitting `BatchRecord`, `ProcessingStep`, `Supplier`, and `SummaryReport`.
2. Conceptual Classes Accuracy: Model 1 = 5, Model 2 = 2; Evidence: Model 1 accurately captures the required entities, utilizing appropriate transparent refinements like `QualityAssuranceReview` to handle the "certified inspectors approve batches" requirement, and `StressTestRun` to link the runner to the generated metrics. Model 2 includes base classes like `QualityAssurance` and `StressTestRunner` but leaves them empty and unlinked to the actual processes they represent.
3. Associations &amp; Multiplicities: Model 1 = 5, Model 2 = 2; Evidence: Model 1 explicitly defines multiplicities and relationship types, such as composition (`AlloyBatch "1" *-- "1..*" MaterialSpecimen`) and directed associations (`BatchRecord "*" --&gt; "1" AlloyBatch`). Model 2 largely uses unadorned associations (`MaterialSpecimen -- ElementComposition`) and is missing multiplicities for the vast majority of its relationships.
4. Attributes &amp; Clarity: Model 1 = 5, Model 2 = 2; Evidence: Model 1 provides rich attributes matching the prompt (e.g., `MaterialSpecimen` has `grainStructure` and `defectAnnotation`; `SafetyProtocol` has `emergencyStopEnabled` and limits). Model 1 also effectively uses enumerations for `PhaseType`, `SurfaceFinish`, and `QualityStatus`. Model 2 leaves many classes completely empty (e.g., `ExperimentPlanner`, `PhaseDiagramCalculator`, `OptimizationResult`).
Total: Model 1 = 20, Model 2 = 8
Choice: A
Reason:
1. Requirements Alignment: Model 1 captures the complete set of required features, including `ProcessingStep`, `BatchRecord`, `SummaryReport`, and `Supplier`, directly fulfilling the text's detailed specifications. Model 2 is severely incomplete and omits these entirely.
2. Conceptual Classes Accuracy: Model 1 translates complex requirements into accurate structural elements (like using `QualityAssuranceReview` for the approval process), whereas Model 2 provides a superficial list of empty classes for the later half of the prompt and fails to connect them properly.
3. Associations &amp; Multiplicities: Model 1 uses semantically rich UML syntax, properly denoting compositions (e.g., `*--` for `AlloyBatch` and `MaterialSpecimen`) and providing thorough cardinalities. Model 2 lacks multiplicities for most relationships and completely ignores compositions and aggregations.
4. Attributes &amp; Clarity: Model 1 details attributes exhaustively based on the prompt, utilizing enumerations and descriptive naming to achieve high domain fidelity. Model 2 leaves a significant portion of its classes devoid of any attributes, missing key properties like "grain structure" and "defects".
5. Overall judgment: Model 1 provides a highly professional, comprehensive, and semantically accurate UML class diagram that perfectly aligns with the detailed domain requirements. Model 2 is incomplete, lacking essential classes, attributes, multiplicities, and advanced relationship semantics.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</si>
  <si>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</si>
  <si>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demonstrates clear coupling through well-defined associations, compositions, and multiplicities linking related concepts (e.g., `ProcessController` manages `ThermalAnalysisRun`, utilizes `ThermalCycleSimulator`, and adheres to `SafetyProtocol`). Model 2 suffers from severe decoupling issues, leaving several classes completely disconnected from the rest of the system with no associations at all (e.g., `ThermalCycleSimulator`, `CostEstimator`, `SupplierNetwork`, `QualityAssurance`, `ReportGenerator`).
2. Complexity: Model 1 = 5, Model 2 = 2; Evidence: Model 1 appropriately balances complexity by distinguishing between classes and attributes, creating necessary intermediate concepts derived from the text like `BatchRecord`, `StressTestRun`, and `ProcessingStep`, and using Enumerations to restrict values. Model 2 is overly simplistic, leaving 16 classes completely empty (without attributes or operations) such as `ExperimentPlanner` and `ProcessController`. Model 2 also completely misses required concepts like `BatchRecord` ("Compliance Archive stores Batch Records"). 
3. Practicability: Model 1 = 5, Model 2 = 1; Evidence: Model 1 is highly practical and readable, offering a comprehensive and modular representation of the system with thorough attributes (e.g., `AlloyBatch` has `batchId`, `creationDate`, `name`), enums for standardizing data, and traceable pathways for generating reports and managing quality assurance. Model 2 is impractical for real-world software design as its lack of relationships prevents data traversal (e.g., no way for `QualityAssurance` to interact with batches, or `ReportGenerator` to access metrics) and its empty classes provide no blueprint for implementation.
Total: Model 1 = 15, Model 2 = 5
Choice: A
Reason:
1. Cohesion and Decoupling: Model 1 successfully links all components together, reflecting the interconnected nature of the requirement. Model 2 leaves crucial domain entities floating without any relationships to other classes, entirely failing to define how the system pieces interact.
2. Complexity: Model 1 provides a detailed and accurate level of complexity that perfectly matches the extensive requirements, modeling specific runs, records, and reports as distinct entities. Model 2 fails to expand upon the basic nouns, leaving most of them as empty boxes without attributes, and it misses explicitly requested classes like `BatchRecord` and `ProcessingStep`.
3. Practicability: Model 1 represents a viable, modular blueprint that a software engineer could use to implement a robust, testable database schema and application domain. It correctly uses compositions and associations to track intermediate states. Model 2 is far too incomplete to be usable, lacking the necessary properties and connectivity to support functionality like compliance tracking, cost estimation, or report generation.
4. Overall judgment: Model 1 is vastly superior. It comprehensively covers the domain with high fidelity, rich semantics, and strong structural integrity. Model 2 is incomplete, featuring unassociated and empty classes that fail to describe the basic mechanics of the requested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</si>
  <si>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</si>
  <si>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domain classes mentioned in the text, such as `ProcessingStep`, `BatchRecord`, `Supplier`, and `QualityAssuranceReview`. Model 2 misses several key classes explicitly required by the prompt, such as `BatchRecord` (needed for the Compliance Archive), `ProcessingStep` (defined by Heat Treatment Profiles), and `SummaryReport`.
2. Associations/Multiplicities between classes for domain reasoning: Model 1 = 5, Model 2 = 2; Evidence: Model 1 defines comprehensive associations with explicit multiplicities (e.g., `ComplianceArchive "1" *-- "1..*" BatchRecord`, `BatchRecord "*" --&gt; "1" AlloyBatch`). Model 2 omits multiplicities on almost all of its associations (e.g., `MaterialSpecimen -- ElementComposition`) and completely leaves out relationships for classes like `CostEstimator`, `SupplierNetwork`, `QualityAssurance`, and `ReportGenerator`.
3. Model attributes with appropriate data types: Model 1 = 5, Model 2 = 2; Evidence: Model 1 comprehensively models required attributes (e.g., `grainStructure` and `defectAnnotation` in `MaterialSpecimen`, `principalInvestigator` in `ResearchProject`, `dataIntegrityVerified` in `ExperimentalDataset`). Model 2 leaves a large number of classes completely empty (e.g., `PhaseDiagramCalculator`, `ExperimentalDataset`, `MicrostructureAnalysis`, `OptimizationResult`) and misses critical attributes like grain structure, defects, and principal investigator.
4. Consistencies of Terminology with given context: Model 1 = 5, Model 2 = 4; Evidence: Model 1 perfectly reflects the domain terminology across its enumerations and classes. Model 2 generally uses correct terminology for the classes it includes, but its omission of many domain concepts reduces its overall contextual consistency compared to Model 1.
5. Adherence of UML class diagram standards: Model 1 = 5, Model 2 = 3; Evidence: Model 1 fully utilizes UML/PlantUML features including compositions, explicit multiplicities, enums, and directed associations. Model 2 has valid syntax but leaves most associations as bare lines without multiplicities, making the structural domain rules unclear.
Total: Model 1 = 25, Model 2 = 14
Choice: A
Reason:
1. Appropriate conceptual classes: Model 1 successfully captures all intermediate and outcome-based classes (e.g., `BatchRecord`, `ProcessingStep`, `SummaryReport`), whereas Model 2 misses several required entities.
2. Associations/Multiplicities: Model 1 thoroughly maps the connections between system components with correct multiplicities. Model 2 fails to connect several isolated classes to the rest of the diagram and lacks multiplicity annotations on almost all associations.
3. Model attributes: Model 1 includes a highly detailed set of attributes accurately reflecting the prompt's requirements, utilizing custom Enums for constrained values. Model 2 has many empty classes and misses critical required attributes for the classes it does define.
4. Overall judgment: Model 1 is vastly superior. It provides a complete, robust, and detailed representation of the entire requirement text. Model 2 is an incomplete skeleton that fails to capture the necessary associations, attributes, and secondary conceptual classes required to model the domain effectively.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</si>
  <si>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</si>
  <si>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Model 1 includes all required classes including `BatchRecord`, accurately assigns attributes (e.g., `principalInvestigator` in `ResearchProject`), includes methods (e.g., `identifyStablePhases()` in `PhaseDiagramCalculator`), and defines specific relationships with composition and multiplicities (e.g., `AlloyBatch "1" *-- "0..*" MaterialSpecimen`). Model 2 completely misses the `BatchRecord` class, omits numerous attributes (e.g., `principalInvestigator` is missing from `ResearchProject`), misses all operations/methods, and uses mostly generic associations without aggregation, composition, or comprehensive multiplicities.
Total: Model 1 = 5, Model 2 = 2
Choice: A
Reason:
1. Requirement Alignment: Model 1 meticulously captures the domain concepts presented in the requirement. It models all requested entities, including `BatchRecord`, accurately places attributes, includes required operations/methods, and uses precise UML relationships like composition (`*--`) and directional dependencies (`..&gt;`) with clear multiplicities. Model 2 fails to capture the full scope of the text. Most notably, it entirely omits the `BatchRecord` class, directly connecting `ComplianceArchive` to `AlloyBatch`. Model 2 also ignores all behavioral methods described in the text (like filtering results, checking equilibrium), leaves out key attributes (like the principal investigator), and misses many vital relationships (such as linking `CostEstimator` to `ElementComposition` or `QualityAssurance` to `AlloyBatch`).
2. Rejected or checked issues: While Model 1 missed adding the specific methods "determine phase, classify grain structure, annotate defects" directly to `MaterialSpecimen`, its overall domain coverage, structural fidelity, and inclusion of complex associations far surpass Model 2. Model 2's use of simple associations (`--`) is not penalized under general rules, but its failure to model the actual domain links (like omitting `BatchRecord` and various system interactions) is a severe domain violation.
3. Overall judgment: Model 1 is far superior. It provides a highly detailed, accurate, and semantically rich class diagram that closely follows the complex domain requirements. Model 2 is incomplete, lacking a core class, missing almost all methods, and oversimplifying the relationships between the system's components.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</si>
  <si>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</si>
  <si>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accurately uses compositions for strict containment (`AlloyBatch "1" *-- "0..*" MaterialSpecimen`, `ResearchProject "1" *-- "0..*" ExperimentalDataset`) and directed dependencies for operational usage (`ExperimentPlanner ..&gt; HeatTreatmentProfile`, `QualityAssurance ..&gt; AlloyBatch`), demonstrating high cohesion and precise coupling. Model 2 relies heavily on undirected, generic associations without multiplicities (e.g., `MaterialSpecimen -- PhaseDistribution`, `ThermalAnalysisRun -- HeatTreatmentProfile`) and completely omits the `BatchRecord` class, which is required to link `RegulatoryStandard` to `AlloyBatch`, resulting in poorer domain decoupling.
2. Complexity: Model 1 = 4, Model 2 = 2; Evidence: Model 1 captures the necessary conceptual complexity by defining domain-specific attributes and methods for its classes (e.g., `HeatTreatmentProfile` with `processingSteps` and `isValidated`; `PhaseDiagramCalculator` with `identifyStablePhases()` and `checkEquilibrium()`), though it misses the analysis operations for `MaterialSpecimen`. Model 2 under-represents the required complexity by leaving 16 out of 25 classes completely empty (e.g., `ElementComposition`, `ProcessController`, `MicrostructureAnalysis`) and omitting `BatchRecord` entirely.
3. Practicability: Model 1 = 5, Model 2 = 1; Evidence: Model 1 is a highly practical software blueprint, explicitly modeling the functional behaviors required by the prompt through operations (e.g., `manageRun()` in `ProcessController`, `approveBatch()` in `QualityAssurance`) and comprehensive attributes. Model 2 lacks a single operation across all classes and misses critical attributes (e.g., `principalInvestigator` in `ResearchProject`, `processingSteps` in `HeatTreatmentProfile`), making it too incomplete for real-world programming, testing, or maintenance.
Total: Model 1 = 14, Model 2 = 5
Choice: A
Reason:
1. Cohesion and Decoupling: Model 1 effectively utilizes a mix of composition and dependency relationships to represent structural ownership and behavioral coupling clearly, whereas Model 2 relies almost entirely on basic, undirected associations without multiplicities. Model 1 also correctly models the `BatchRecord` as a linking entity.
2. Complexity: Model 1 strikes an appropriate balance by including the requisite attributes and methods to fulfill the prompt's domain rules. Model 2 fails to capture the system's complexity, leaving the majority of its classes completely empty and omitting a core domain entity (`BatchRecord`).
3. Practicability: Model 1 provides a readable and actionable design that includes both structural data (attributes) and behavioral interfaces (methods), which is vital for implementation and testing. Model 2's total lack of operations and significant attribute omissions make it an impractical artifact for software development.
4. Rejected or checked issues: Model 1 misses the specific analysis methods for `MaterialSpecimen` (determine phase, classify grain structure, annotate defects), which slightly reduces its perfection in complexity/coverage. However, this omission is minor compared to Model 2's pervasive emptiness. PlantUML visibility markers (e.g., `-` in Model 2) and structural layout were ignored during scoring.
5. Overall judgment: Model 1 is vastly superior to Model 2. It successfully translates the requirements into a rich, semantic class diagram with appropriate associations, attributes, and operations. Model 2 acts as a bare-bones sketch, missing most properties, all behaviors, and key structural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</si>
  <si>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</si>
  <si>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captures all requested classes including `BatchRecord` as specified in the text. Model 2 misses the `BatchRecord` class entirely.
2. Associations/Multiplicities between classes for domain reasoning: Model 1 = 5, Model 2 = 2; Evidence: Model 1 connects classes comprehensively with appropriate multiplicities and dependencies (e.g., `SupplierNetwork ..&gt; DesignConstraint`, `CostEstimator ..&gt; ElementComposition`, `ReportGenerator ..&gt; PerformanceMetric`). Model 2 fails to provide any associations for `CostEstimator`, `SupplierNetwork`, `QualityAssurance`, and `ReportGenerator`, leaving them completely disconnected from the rest of the diagram.
3. Model attributes with appropriate data types: Model 1 = 5, Model 2 = 2; Evidence: Model 1 correctly includes necessary attributes from the text, such as `coolingRate` and `peakTemperature` in `ThermalCycleSimulator`, and `principalInvestigator` and `budget` in `ResearchProject`. Model 2 leaves `ThermalCycleSimulator` empty, omits `principalInvestigator`, and incorrectly places `effectiveDate` in `DesignConstraint` instead of `RegulatoryStandard`.
4. Consistencies of Terminology with given context: Model 1 = 5, Model 2 = 4; Evidence: Model 1 correctly aligns with terms like `BatchRecord`, `primaryPhase`, and `qualityStatus`. Model 2 is mostly consistent but misses out on terminology linked to the omitted `BatchRecord` class.
5. Adherence of UML class diagram standards: Model 1 = 5, Model 2 = 5; Evidence: Both models use syntactically correct PlantUML notation. Model 1 effectively uses composition/aggregation and dependency arrows, while Model 2 sticks to standard associations, but both are valid standard UML representations.
Total: Model 1 = 25, Model 2 = 17
Choice: A
Reason:
1. Appropriate conceptual classes aligned with the domain: Model 1 is fully complete, while Model 2 misses the essential `BatchRecord` class explicitly requested to be stored in the Compliance Archive.
2. Associations/Multiplicities between classes for domain reasoning: Model 1 models the domain connections extensively, linking all modules together. Model 2 is severely lacking here, leaving several standalone classes (like CostEstimator, SupplierNetwork, QualityAssurance, ReportGenerator) floating without any structural or dependency connections.
3. Model attributes with appropriate data types: Model 1 extracts and assigns attributes accurately based on the text. Model 2 is highly incomplete regarding attributes and contradicts the requirements by placing `effectiveDate` under `DesignConstraint` instead of `RegulatoryStandard`.
4. Overall judgment: Model 1 is significantly better because it provides a complete, well-connected, and accurate representation of the domain logic, structural relationships, and attributes described in the prompt. Model 2 is heavily incomplete, leaving out crucial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</si>
  <si>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</si>
  <si>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misses several specific attributes mentioned in the requirement, such as grain structure and defect annotations for `MaterialSpecimen`, and the effective date for `DesignConstraint` ("Design Constraints and Regulatory Standards, which specify limit values and effective dates"). Model 2 captures all these attributes accurately. Model 2 also introduces transparent refinements that perfectly capture domain entities mentioned in the text, such as `Supplier` (for "finding vendors"), `SummaryReport` (for "summary reports"), and `QualityAssuranceReview` (for inspectors approving batches), whereas Model 1 leaves these as mere methods or weaker associations without dedicated conceptual representation.
Total: Model 1 = 4, Model 2 = 5
Choice: B
Reason:
1. Alignment with requirements: Model 2 is superior because it comprehensively captures all attributes explicitly mandated by the prompt (e.g., grain structure, defect annotation, effective dates for design constraints), which Model 1 omits. Furthermore, Model 2 accurately models the structural workflows described in the text through valid transparent refinements (such as `Supplier` to represent "finding vendors" and `SummaryReport` to represent "summary reports in various formats"), making its domain representation richer and more precise. 
2. Rejected or checked issues: Model 2 models the relationship "utilizing the Phase Diagram Calculator as a reference" with the association `PhaseDiagramCalculator "1" --&gt; "*" MicrostructureAnalysis: references for analysis`. Although the navigability arrow originates from the Calculator rather than the Analysis, this is structurally permissible and semantically equivalent under the evaluation guidelines. Model 1 models the recommendation of element compositions via an association to the `ElementComposition` class, while Model 2 uses a `recommendedComposition` String attribute. Both are acceptable ways to capture the requirement, though Model 1's approach is slightly more object-oriented; however, this minor difference is vastly outweighed by Model 2's complete attribute coverage.
3. Overall judgment: Model 2 is chosen as the better response because it provides complete attribute coverage and leverages appropriate conceptual classes to model the required business workflows fully, strictly adhering to the prompt's specifications without making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</si>
  <si>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</si>
  <si>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combines the service/module concept with specific transactional data, such as putting `inspector: String` and `isCertified: Boolean` directly into the `QualityAssurance` class. It also hardcodes specific phases (`austenite: Float`, etc.) as attributes inside `PhaseDistribution`. Model 2 decouples these concerns by introducing a `QualityAssuranceReview` class to handle the specific inspector details and uses a `PhaseType` enum combined with a `fraction` attribute in `PhaseDistribution`, resulting in much higher cohesion.
2. Complexity: Model 1 = 3, Model 2 = 5; Evidence: Model 1 hides structural complexity inside generic attributes, such as `processingSteps: List` in `HeatTreatmentProfile` and `chemicalMakeup: Map` in `ElementComposition`. Model 2 balances complexity effectively by explicitly defining `ProcessingStep` as a class and modeling `ElementComposition` with `elementName` and `percentage`. Furthermore, Model 2 distinguishes between the runner modules and the execution records (e.g., `StressTestRunner` vs. `StressTestRun`, `CostEstimator` vs. `CostEstimation`), which properly reflects the complexity of an enterprise system without overcomplicating it.
3. Practicability: Model 1 = 3, Model 2 = 5; Evidence: Model 1 misses explicit requirements, completely omitting "grain structure" and "annotate any defects" from `MaterialSpecimen`. Additionally, Model 1 lacks a class representing the "summary reports", instead placing `format: String` directly on the `ReportGenerator`. Model 2 is much more practical and domain-accurate, including `grainStructure` and `defectAnnotation` in `MaterialSpecimen`, and generating a distinct `SummaryReport` class using a `ReportFormat` enum.
Total: Model 1 = 9, Model 2 = 15
Choice: B
Reason:
1. Cohesion and Decoupling: Model 2 excels at separating concerns. It correctly separates static modules (like `QualityAssurance`) from their runtime execution records (`QualityAssuranceReview`), whereas Model 1 crams them together. Model 2's use of enumerations for phase types also makes the design far more modular and cohesive than Model 1's hardcoded float attributes.
2. Complexity: Model 2 introduces an appropriate level of complexity by extracting hidden collections into proper conceptual classes (like `ProcessingStep` and `Supplier`). This makes the system more traceable than Model 1, which heavily relies on opaque data types like `Map` and `List` that obscure the domain model.
3. Practicability: Model 2 captures the requirements much more faithfully. It includes critical attributes that Model 1 misses (like grain structure and defects) and creates tangible output entities (like `SummaryReport` and `CostEstimation`) that enhance readability, testing, and real-world applicability.
4. Rejected or checked issues: The inclusion of intermediate workflow classes in Model 2 (like `StressTestRun` and `CostEstimation`) was not penalized as "extra classes"; rather, they were rewarded under the complexity and practicability criteria for accurately representing domain reasoning and intermediate steps as permitted by the guidelines.
5. Overall judgment: Model 2 provides a highly modular, readable, and requirements-accurate design that perfectly distinguishes between system services and transactional records. Model 1 is too simplistic, misses several required attributes, and struggles with structural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</si>
  <si>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</si>
  <si>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captures the core concepts correctly (e.g., `MaterialSpecimen`, `StressTestRunner`, `QualityAssurance`) but limits itself to the raw nouns. Model 2 includes all core concepts and introduces transparent refinements like `StressTestRun`, `QualityAssuranceReview`, and `ProcessingStep`, which provide a much richer and more realistic conceptual model aligned with the domain workflows.
2. Associations/Multiplicities between classes for domain reasoning: Model 1 = 3, Model 2 = 5; Evidence: Model 1 relies heavily on weak dependencies without multiplicities for many structural relationships (e.g., `StressTestRunner ..&gt; MaterialSpecimen`, `OptimizationResult ..&gt; PerformanceMetric`, `ReportGenerator ..&gt; PerformanceMetric`). Model 2 properly utilizes directed associations and compositions with explicit multiplicities for almost all links (e.g., `StressTestRun "1" *-- "1..*" PerformanceMetric`, `ReportGenerator "*" --&gt; "*" PerformanceMetric`), enabling robust domain reasoning.
3. Model attributes with appropriate data types: Model 1 = 3, Model 2 = 5; Evidence: Model 1 misses required attributes: `MaterialSpecimen` lacks "grain structure" and "annotate defects", and `DesignConstraint` is missing "effective dates" despite the prompt explicitly mentioning them for constraints. Model 2 successfully includes `grainStructure` and `defectAnnotation` in `MaterialSpecimen`, `effectiveDate` in `DesignConstraint`, and enhances typing by employing well-defined enumerations (e.g., `PhaseType`, `SurfaceFinish`).
4. Consistencies of Terminology with given context: Model 1 = 5, Model 2 = 5; Evidence: Both models accurately apply the specific terminology given in the prompt, successfully using terms like `PhaseDiagramCalculator`, `ComplianceArchive`, `SupplierNetwork`, and `ExperimentalDataset`.
5. Adherence of UML class diagram standards: Model 1 = 5, Model 2 = 5; Evidence: Both models utilize valid PlantUML notation, correctly formatting class compartments, defining attributes/methods, and using proper relationship arrows without violating UML standards.
Total: Model 1 = 20, Model 2 = 25
Choice: B
Reason:
1. Appropriate conceptual classes: Model 2 is better. While both models extract the primary nouns, Model 2 adds intermediary entities (like `StressTestRun` and `QualityAssuranceReview`) that accurately represent the transactional nature of the system described in the prompt.
2. Associations/Multiplicities: Model 2 is significantly better. Model 1 overuses dependency lines (`..&gt;`) and frequently omits multiplicities for core relationships, rendering the exact structural connections vague. Model 2 meticulously defines aggregations, compositions, and associations with explicit multiplicities (`1..*`, `*`, `1`). 
3. Model attributes: Model 2 is superior. It captures all required data fields, including the grain structure and defect annotations on the specimen, and the effective date on design constraints—all of which Model 1 omitted. Model 2 also correctly incorporates Enums for fixed categorizations.
4. Rejected or checked issues: Model 2's association direction for `PhaseDiagramCalculator` to `MicrostructureAnalysis` is arguably reversed (`PhaseDiagramCalculator` pointing to `MicrostructureAnalysis`), but this is a minor navigability detail that does not subtract from the presence of a properly quantified structural relationship, especially when compared to Model 1's weak unquantified dependency.
5. Overall judgment: Model 2 is the much stronger submission. It demonstrates deeper domain modeling through accurate structural multiplicities, complete attribute coverage, the use of Enumerations, and the introduction of sensible intermediary classes that resolve complex operational descriptions.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</si>
  <si>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</si>
  <si>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explicitly required concepts such as "Batch Records" (it only links `ComplianceArchive -- AlloyBatch`) and processing steps for heat treatments. It also omits multiple required properties (e.g., no attributes for grain structure or defects in `MaterialSpecimen`, no principal investigator in `ResearchProject`, no stable phases in `PhaseDiagramCalculator`). Model 2 comprehensively includes these elements (e.g., modeling `BatchRecord`, `ProcessingStep`, `QualityAssuranceReview`, `SummaryReport`) and captures exact details using attributes and enumerations (`PhaseType`, `TestType`, `QualityStatus`). Furthermore, Model 2 effectively utilizes composition (`*--`) to represent whole-part relationships defined in the text (e.g., `AlloyBatch "1" *-- "1..*" MaterialSpecimen`), whereas Model 1 relies entirely on basic associations (`--`) with sparse cardinalities.
Total: Model 1 = 2, Model 2 = 5
Choice: B
Reason:
1. Alignment with Requirements: Model 2 rigorously translates the detailed text into a robust UML diagram. It captures necessary intermediate entities (like `BatchRecord`, `StressTestRun`, `SummaryReport`, and `Supplier`) that are explicitly or implicitly required to satisfy the domain logic (e.g., "A Compliance Archive stores Batch Records", "summary reports in various formats", "certified inspectors"). Model 1 is incomplete, entirely missing `BatchRecord` and failing to represent core attributes like the principal investigator, validation status, and phase/defect analysis details on specimens.
2. Conceptual Relationships and Multiplicities: Model 2 correctly applies composition to reflect terms like "contains," "possesses," and "encompasses" from the prompt (e.g., `ExperimentalDataset "1" *-- "*" SpectroscopyData`). Model 1 lacks relationship variety, ignoring aggregation/composition semantics completely, and omits many necessary cardinalities. 
3. Rejected or checked issues: Model 2 introduces classes like `Supplier`, `QualityAssuranceReview`, and `CostEstimation`. Following the guidelines, these are not penalized as hallucinations; they are transparent and traceable refinements directly supporting text requirements like "vendors", "certified inspectors approve batches", and "calculating raw material expenses".
4. Overall judgment: Model 2 is much better as it provides a highly accurate, semantically rich, and complete domain model that addresses every specific requirement, whereas Model 1 leaves out critical required classes, attributes, and relationship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</si>
  <si>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</si>
  <si>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uses vague, undirected associations (e.g., `StressTestRunner -- PerformanceMetric`) and includes many empty classes (e.g., `ElementComposition`, `ProcessController`), making it difficult to assess internal cohesion or the exact nature of the coupling. Model 2 demonstrates high cohesion by separating execution instances from managers (e.g., separating `StressTestRunner` from `StressTestRun`, `QualityAssurance` from `QualityAssuranceReview`) and clearly defines coupling through directed associations and compositions (e.g., `ExperimentalDataset "1" *-- "*" SpectroscopyData: aggregated data`).
2. Complexity: Model 1 = 2, Model 2 = 5; Evidence: Model 1 under-represents the domain complexity, missing explicit required concepts such as processing steps, batch records, and suppliers. Model 2 strikes an appropriate balance by modeling these distinct requirements as separate classes (`ProcessingStep`, `BatchRecord`, `Supplier`, `SummaryReport`) rather than stuffing them into monolithic classes, and intelligently utilizes enums (e.g., `PhaseType`, `RunState`) to manage attribute complexity without creating unnecessary classes. 
3. Practicability: Model 1 = 2, Model 2 = 5; Evidence: Model 1 lacks critical attributes mentioned in the requirements (e.g., `MaterialSpecimen` is missing grain structure and defect annotations; `ResearchProject` is missing the principal investigator) and leaves components like `QualityAssurance` completely isolated. Model 2 is highly practical and implementation-ready, featuring well-defined attributes across the board, explicitly defined enums for states/formats (e.g., `QualityStatus`, `ReportFormat`), and a modular structure that clearly maps out system interactions, greatly facilitating programming and testing.
Total: Model 1 = 6, Model 2 = 15
Choice: B
Reason:
1. Cohesion and Decoupling: Model 2 provides explicit, semantic relationships (compositions and directed associations with role names) and properly separates responsibilities into distinct classes, whereas Model 1 relies on basic, undirected lines and empty classes.
2. Complexity: Model 2 accurately reflects the complexity of the requirements by including necessary domain entities (`ProcessingStep`, `BatchRecord`, `Supplier`) that Model 1 completely omits. Model 2 also correctly uses enumerations to handle bounded sets of values.
3. Practicability: Model 2 captures all required fields, states, and relationships needed for a real-world application. Model 1 is far too abstract, missing vital data points (e.g., PI, grain structure, defects) and leaving several classes disconnected or completely empty, making it unusable for actual software design.
4. Overall judgment: Model 2 is vastly superior. It provides a comprehensive, detailed, and highly accurate representation of the requirements, demonstrating excellent software engineering practices. Model 1 is incomplete and overly simplistic.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</si>
  <si>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</si>
  <si>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correctly identifies several high-level classes but leaves many empty (e.g., `ElementComposition`, `ExperimentPlanner`) and completely misses explicitly requested workflow classes like `BatchRecord`, `ProcessingStep`, and `SummaryReport`. Model 2 fully captures the domain, including all intermediate classes (`BatchRecord`, `ProcessingStep`, `QualityAssuranceReview`) and creates appropriate enumerations for states and types (e.g., `PhaseType`, `QualityStatus`).
2. Associations/Multiplicities between classes for domain reasoning: Model 1 = 2, Model 2 = 5; Evidence: Model 1 provides very sparse relationships, often omitting multiplicities entirely (e.g., `MaterialSpecimen -- ElementComposition`, `ExperimentalDataset -- SpectroscopyData`) and missing critical links, such as connecting `MicrostructureAnalysis` to `MaterialSpecimen`. Model 2 correctly applies comprehensive associations, compositions, and multiplicities across the board (e.g., `ExperimentalDataset "1" *-- "*" SpectroscopyData`, `MicrostructureAnalysis "*" --&gt; "1" MaterialSpecimen`).
3. Model attributes with appropriate data types: Model 1 = 2, Model 2 = 5; Evidence: Model 1 leaves over half of its classes completely empty, missing explicitly stated attributes such as the principal investigator in `ResearchProject`, the chemical makeup in `ElementComposition`, and grain structure/defect annotations in `MaterialSpecimen`. Model 2 thoroughly populates classes with well-typed attributes representing all requirements (e.g., `principalInvestigator: String`, `grainStructure: String`, `elementName: String`, `percentage: double`).
4. Consistencies of Terminology with given context: Model 1 = 3, Model 2 = 5; Evidence: Model 1 aligns with the text for the terms it includes, but misses out on a significant amount of domain vocabulary due to omitted attributes and classes. Model 2 perfectly mirrors the prompt's terminology, faithfully capturing detailed jargon (e.g., Austenite, Ferrite, Martensite, and Pearlite are explicitly listed in a `PhaseType` enum).
5. Adherence of UML class diagram standards: Model 1 = 4, Model 2 = 5; Evidence: Model 1 is syntactically valid PlantUML but uses very basic associations and lacks full structural depth. Model 2 excellently demonstrates advanced UML principles, accurately utilizing aggregations/compositions (`*--`), enumerations, standard visibility, and proper type definitions.
Total: Model 1 = 14, Model 2 = 25
Choice: B
Reason:
1. Appropriate conceptual classes: Model 2 completely encapsulates the domain by extracting all explicitly mentioned and intermediate classes (like `BatchRecord` and `ProcessingStep`), whereas Model 1 misses several and leaves most others as empty shells.
2. Associations/Multiplicities: Model 2 applies strict multiplicities and clear compositional structures, making the data model coherent. Model 1 mostly connects classes with plain, multiplicity-less lines, failing to model crucial workflows (such as `MicrostructureAnalysis` linking to both specimens and data).
3. Model attributes: Model 2 captures almost every required attribute mentioned in the prompt with appropriate data types. Model 1 leaves the majority of its classes entirely devoid of attributes.
4. Overall judgment: Model 2 is vastly superior. It offers a comprehensive, highly detailed, and semantically accurate UML class diagram that fully satisfies the intricate domain requirements. Model 1 serves merely as a superficial list of nouns with very little structural or relational depth.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</si>
  <si>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</si>
  <si>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completely omits the `BatchRecord` class (connecting `ComplianceArchive`, `RegulatoryStandard`, and `AlloyBatch`), leaves several classes completely disconnected (`CostEstimator`, `SupplierNetwork`, `QualityAssurance`, `ReportGenerator`), and misses key attributes and relationships (e.g., `ThermalAnalysisRun` is not connected to the empty `ThermalCycleSimulator` class). Model 2 accurately captures all conceptual classes including `BatchRecord`, includes the required attributes and methods (e.g., `coolingRate` and `peakTemperature` in `ThermalCycleSimulator`, `processingSteps` in `HeatTreatmentProfile`), and fully connects all system modules matching the text (e.g., `CostEstimator` to `ElementComposition`, `ReportGenerator` to `PerformanceMetric` and `QualityAssurance`).
Total: Model 1 = 2, Model 2 = 5
Choice: B
Reason:
1. Alignment with Requirements: Model 2 provides a highly accurate and comprehensive UML diagram that perfectly aligns with the domain description. It captures every required entity, including intermediate entities like `BatchRecord`, and correctly maps out the intricate relationships (such as `MicrostructureAnalysis` correlating `MaterialSpecimen` with `SpectroscopyData` and referencing `PhaseDiagramCalculator`). Model 1 suffers from severe omissions—it misses the `BatchRecord` class entirely, leaves four major system components completely disconnected from the rest of the diagram, and misses numerous attributes and methods explicitly mentioned in the text.
2. Rejected or checked issues: Model 2 uses dependency arrows (`..&gt;`) for some operational relationships (e.g., `ProcessController` to `ThermalAnalysisRun`), which is perfectly acceptable for indicating usage or generation without strict structural association. This is not penalized.
3. Overall judgment: Model 2 is significantly better because it thoroughly and accurately translates the complex requirements into a fully connected, semantically rich class diagram, whereas Model 1 leaves large portions of the system unmodeled or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</si>
  <si>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</si>
  <si>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misses critical domain couplings explicitly stated in the requirements, such as failing to link `MicrostructureAnalysis` to `MaterialSpecimen` or `PhaseDiagramCalculator`, and missing the relationship between `ThermalAnalysisRun` and `ThermalCycleSimulator`. Model 2 accurately captures these dependencies (e.g., `MicrostructureAnalysis ..&gt; MaterialSpecimen`, `ThermalAnalysisRun ..&gt; ThermalCycleSimulator`) while keeping concerns properly separated, demonstrating high cohesion and appropriate domain coupling.
2. Complexity: Model 1 = 2, Model 2 = 5; Evidence: Model 1 is overly simplified and fails to capture the complexity detailed in the requirements. It misses the `BatchRecord` class entirely, instead linking `ComplianceArchive` directly to `AlloyBatch`, and lacks any methods (e.g., `ExperimentPlanner`, `PhaseDiagramCalculator` are completely empty). Model 2 correctly introduces `BatchRecord` to handle the many-to-one conceptual links and includes relevant methods like `identifyStablePhases()` and `checkEquilibrium()` in `PhaseDiagramCalculator`, perfectly matching the required complexity.
3. Practicability: Model 1 = 2, Model 2 = 5; Evidence: Model 1 is largely incomplete, lacking essential attributes (e.g., `processingSteps` in `HeatTreatmentProfile`, `principalInvestigator` in `ResearchProject`), methods, and clear relationship semantics, making it impractical as a software blueprint. Model 2 provides a highly readable, modular, and comprehensive representation. It utilizes directed associations, compositions (e.g., `AlloyBatch "1" *-- "0..*" MaterialSpecimen`), and dependency links with clear role descriptions (e.g., `validates`, `applies`, `generates`), making it an excellent and practical design for implementation.
Total: Model 1 = 6, Model 2 = 15
Choice: B
Reason:
1. Cohesion and Decoupling: Model 2 translates the domain's workflows into accurate structural relationships. For example, it correctly models `StressTestRunner` testing `MaterialSpecimen` and generating `PerformanceMetric`. Model 1 leaves many of these classes completely isolated or misses the dependencies (like `ThermalCycleSimulator` being orphaned).
2. Complexity: Model 2 handles the required structural complexity by including necessary intermediary concepts like `BatchRecord` to store `primaryPhase` and `qualityStatus`, and properly models behavioral complexity through methods (e.g., `filterResults()` in `ExperimentalDataset`). Model 1 treats almost every class merely as an empty noun or strips crucial attributes.
3. Practicability: Model 2 is a highly practical UML diagram that software engineers can actually use. It defines clear multiplicities, navigability, and semantic relationships (composition vs. dependency). Model 1 relies on basic, undirected lines without multiplicities for most associations and omits significant portions of the required data and behavior.
4. Rejected or checked issues: No penalties were applied for Model 2's use of specific primitive types (e.g., `Float`, `Decimal`, `String`) as they are standard aliases and perfectly acceptable.
5. Overall judgment: Model 2 is far superior because it meticulously translates the detailed requirements into a semantically rich, accurate, and actionable UML class diagram, whereas Model 1 provides a superficial and incomplete skeleton.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</si>
  <si>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</si>
  <si>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classes (e.g., `AlloyBatch`, `MaterialSpecimen`, `ThermalAnalysisRun`). However, Model 1 entirely misses the `BatchRecord` class, whereas Model 2 includes it.
2. Associations/Multiplicities between classes for domain reasoning: Model 1 = 2, Model 2 = 5; Evidence: Model 1 lacks numerous critical domain associations (e.g., `MicrostructureAnalysis` to `MaterialSpecimen` and `PhaseDiagramCalculator`, or `ReportGenerator` to `PerformanceMetric`) and omits multiplicities for most of the associations it does include (e.g., `MaterialSpecimen -- ElementComposition`). Model 2 captures all essential associations with clear multiplicities, such as `BatchRecord "0..*" --&gt; "1" AlloyBatch` and `MicrostructureAnalysis ..&gt; PhaseDiagramCalculator : references`.
3. Model attributes with appropriate data types: Model 1 = 2, Model 2 = 5; Evidence: Model 1 misses a vast majority of the required attributes and methods, such as `chemical makeup` in `ElementComposition`, `cooling rates` in `ThermalCycleSimulator`, `principal investigator` in `ResearchProject`, and `testType` in `StressTestRunner`. Model 2 successfully models all these attributes with appropriate types (e.g., `coolingRate: Float`, `principalInvestigator: String`) and includes relevant methods like `checkEquilibrium()`.
4. Consistencies of Terminology with given context: Model 1 = 3, Model 2 = 5; Evidence: Model 1 misplaces the `effectiveDate` attribute into `DesignConstraint` instead of `RegulatoryStandard` as specified in the text, and missing `BatchRecord` breaks the terminology mapping. Model 2 faithfully uses the terminology and structure provided in the requirement.
5. Adherence of UML class diagram standards: Model 1 = 4, Model 2 = 5; Evidence: Both models use valid PlantUML syntax. However, Model 1 relies on basic, undirected association lines (`--`) without specifying relationship types or navigability for most pairs. Model 2 comprehensively and correctly applies standard UML notations for composition (`*--`), dependency (`..&gt;`), and directed associations (`--&gt;`).
Total: Model 1 = 15, Model 2 = 25
Choice: B
Reason:
1. Appropriate conceptual classes aligned with the domain: Model 2 is complete, whereas Model 1 misses the `BatchRecord` class.
2. Associations/Multiplicities between classes for domain reasoning: Model 2 correctly maps out the complex web of interactions (such as optimizations, dependencies on calculators, and report compilation) with appropriate multiplicities, whereas Model 1 provides a very sparse and incomplete relationship map.
3. Model attributes with appropriate data types: Model 2 deeply captures the domain properties and behaviors as attributes and methods. Model 1 leaves more than half of its classes completely empty.
4. Consistencies of Terminology with given context: Model 2 perfectly aligns with the prompt's vocabulary and attribute locations. Model 1 misplaces attributes like `effectiveDate`.
5. Adherence of UML class diagram standards: Model 2 leverages proper semantic relationship lines (composition, directed association, dependency), making it a much stronger UML diagram than Model 1's simple solid lines.
6. Overall judgment: Model 2 is vastly superior. It accurately reflects the complex requirements, correctly assigning classes, relationships, attributes, and methods according to the domain description, while Model 1 is largely incomplete.
```</t>
  </si>
  <si>
    <t>基础模型</t>
  </si>
  <si>
    <t>范式</t>
  </si>
  <si>
    <t>方向</t>
  </si>
  <si>
    <t>候选对</t>
  </si>
  <si>
    <t>Judge最终结果</t>
  </si>
  <si>
    <t>人工最终结果</t>
  </si>
  <si>
    <t>有效(1/0)</t>
  </si>
  <si>
    <t>一致(1/0)</t>
  </si>
  <si>
    <t>Gemini-31-pro</t>
  </si>
  <si>
    <t>OpenCode</t>
  </si>
  <si>
    <t>Gemini-31-pro OpenCode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</si>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</sst>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1"/>
      <color theme="1"/>
      <name val="宋体"/>
      <charset val="134"/>
    </font>
    <font>
      <sz val="10"/>
      <name val="Calibri"/>
      <charset val="134"/>
    </font>
    <font>
      <sz val="10"/>
      <name val="宋体-简"/>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4"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4" fillId="35" borderId="0" applyNumberFormat="0" applyBorder="0" applyAlignment="0" applyProtection="0">
      <alignment vertical="center"/>
    </xf>
    <xf numFmtId="0" fontId="4" fillId="36" borderId="0" applyNumberFormat="0" applyBorder="0" applyAlignment="0" applyProtection="0">
      <alignment vertical="center"/>
    </xf>
    <xf numFmtId="0" fontId="24" fillId="37"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xf numFmtId="0" fontId="4" fillId="0" borderId="0" xfId="0" applyFont="1" applyFill="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B</v>
      </c>
      <c r="L2" t="s">
        <v>23</v>
      </c>
      <c r="M2">
        <f t="shared" ref="M2:M65" si="1">IF(OR(K2="",L2=""),"",--(K2=L2))</f>
        <v>0</v>
      </c>
    </row>
    <row r="3" ht="18" customHeight="1" spans="1:13">
      <c r="A3" t="s">
        <v>13</v>
      </c>
      <c r="B3" s="13" t="s">
        <v>14</v>
      </c>
      <c r="C3" t="s">
        <v>15</v>
      </c>
      <c r="D3" t="s">
        <v>24</v>
      </c>
      <c r="E3" t="s">
        <v>17</v>
      </c>
      <c r="F3" s="13" t="s">
        <v>25</v>
      </c>
      <c r="G3" t="s">
        <v>19</v>
      </c>
      <c r="H3" t="s">
        <v>20</v>
      </c>
      <c r="I3" t="s">
        <v>26</v>
      </c>
      <c r="J3" t="s">
        <v>27</v>
      </c>
      <c r="K3" t="str">
        <f t="shared" si="0"/>
        <v>D(平局)</v>
      </c>
      <c r="L3" t="s">
        <v>23</v>
      </c>
      <c r="M3">
        <f t="shared" si="1"/>
        <v>1</v>
      </c>
    </row>
    <row r="4" ht="18" customHeight="1" spans="1:13">
      <c r="A4" t="s">
        <v>13</v>
      </c>
      <c r="B4" s="13" t="s">
        <v>14</v>
      </c>
      <c r="C4" t="s">
        <v>15</v>
      </c>
      <c r="D4" t="s">
        <v>28</v>
      </c>
      <c r="E4" t="s">
        <v>17</v>
      </c>
      <c r="F4" s="13" t="s">
        <v>29</v>
      </c>
      <c r="G4" t="s">
        <v>19</v>
      </c>
      <c r="H4" t="s">
        <v>20</v>
      </c>
      <c r="I4" t="s">
        <v>30</v>
      </c>
      <c r="J4" t="s">
        <v>27</v>
      </c>
      <c r="K4" t="str">
        <f t="shared" si="0"/>
        <v>D(平局)</v>
      </c>
      <c r="L4" t="s">
        <v>23</v>
      </c>
      <c r="M4">
        <f t="shared" si="1"/>
        <v>1</v>
      </c>
    </row>
    <row r="5" ht="18" customHeight="1" spans="1:13">
      <c r="A5" t="s">
        <v>13</v>
      </c>
      <c r="B5" s="13" t="s">
        <v>14</v>
      </c>
      <c r="C5" t="s">
        <v>31</v>
      </c>
      <c r="D5" t="s">
        <v>16</v>
      </c>
      <c r="E5" t="s">
        <v>17</v>
      </c>
      <c r="F5" s="13" t="s">
        <v>32</v>
      </c>
      <c r="G5" t="s">
        <v>19</v>
      </c>
      <c r="H5" t="s">
        <v>20</v>
      </c>
      <c r="I5" t="s">
        <v>33</v>
      </c>
      <c r="J5" t="s">
        <v>34</v>
      </c>
      <c r="K5" t="str">
        <f t="shared" si="0"/>
        <v>A</v>
      </c>
      <c r="L5" t="s">
        <v>34</v>
      </c>
      <c r="M5">
        <f t="shared" si="1"/>
        <v>1</v>
      </c>
    </row>
    <row r="6" ht="18" customHeight="1" spans="1:13">
      <c r="A6" t="s">
        <v>13</v>
      </c>
      <c r="B6" s="13" t="s">
        <v>14</v>
      </c>
      <c r="C6" t="s">
        <v>31</v>
      </c>
      <c r="D6" t="s">
        <v>24</v>
      </c>
      <c r="E6" t="s">
        <v>17</v>
      </c>
      <c r="F6" s="13" t="s">
        <v>35</v>
      </c>
      <c r="G6" t="s">
        <v>19</v>
      </c>
      <c r="H6" t="s">
        <v>20</v>
      </c>
      <c r="I6" t="s">
        <v>36</v>
      </c>
      <c r="J6" t="s">
        <v>34</v>
      </c>
      <c r="K6" t="str">
        <f t="shared" si="0"/>
        <v>A</v>
      </c>
      <c r="L6" t="s">
        <v>34</v>
      </c>
      <c r="M6">
        <f t="shared" si="1"/>
        <v>1</v>
      </c>
    </row>
    <row r="7" ht="18" customHeight="1" spans="1:13">
      <c r="A7" t="s">
        <v>13</v>
      </c>
      <c r="B7" s="13" t="s">
        <v>14</v>
      </c>
      <c r="C7" t="s">
        <v>31</v>
      </c>
      <c r="D7" t="s">
        <v>28</v>
      </c>
      <c r="E7" t="s">
        <v>17</v>
      </c>
      <c r="F7" s="13" t="s">
        <v>37</v>
      </c>
      <c r="G7" t="s">
        <v>19</v>
      </c>
      <c r="H7" t="s">
        <v>20</v>
      </c>
      <c r="I7" t="s">
        <v>38</v>
      </c>
      <c r="J7" t="s">
        <v>34</v>
      </c>
      <c r="K7" t="str">
        <f t="shared" si="0"/>
        <v>A</v>
      </c>
      <c r="L7" t="s">
        <v>34</v>
      </c>
      <c r="M7">
        <f t="shared" si="1"/>
        <v>1</v>
      </c>
    </row>
    <row r="8" ht="18" customHeight="1" spans="1:13">
      <c r="A8" t="s">
        <v>13</v>
      </c>
      <c r="B8" s="13" t="s">
        <v>14</v>
      </c>
      <c r="C8" t="s">
        <v>39</v>
      </c>
      <c r="D8" t="s">
        <v>16</v>
      </c>
      <c r="E8" t="s">
        <v>17</v>
      </c>
      <c r="F8" s="13" t="s">
        <v>40</v>
      </c>
      <c r="G8" t="s">
        <v>19</v>
      </c>
      <c r="H8" t="s">
        <v>20</v>
      </c>
      <c r="I8" t="s">
        <v>41</v>
      </c>
      <c r="J8" t="s">
        <v>34</v>
      </c>
      <c r="K8" t="str">
        <f t="shared" si="0"/>
        <v>B</v>
      </c>
      <c r="L8" t="s">
        <v>22</v>
      </c>
      <c r="M8">
        <f t="shared" si="1"/>
        <v>1</v>
      </c>
    </row>
    <row r="9" ht="18" customHeight="1" spans="1:13">
      <c r="A9" t="s">
        <v>13</v>
      </c>
      <c r="B9" s="13" t="s">
        <v>14</v>
      </c>
      <c r="C9" t="s">
        <v>39</v>
      </c>
      <c r="D9" t="s">
        <v>24</v>
      </c>
      <c r="E9" t="s">
        <v>17</v>
      </c>
      <c r="F9" s="13" t="s">
        <v>42</v>
      </c>
      <c r="G9" t="s">
        <v>19</v>
      </c>
      <c r="H9" t="s">
        <v>20</v>
      </c>
      <c r="I9" t="s">
        <v>43</v>
      </c>
      <c r="J9" t="s">
        <v>34</v>
      </c>
      <c r="K9" t="str">
        <f t="shared" si="0"/>
        <v>B</v>
      </c>
      <c r="L9" t="s">
        <v>22</v>
      </c>
      <c r="M9">
        <f t="shared" si="1"/>
        <v>1</v>
      </c>
    </row>
    <row r="10" ht="18" customHeight="1" spans="1:13">
      <c r="A10" t="s">
        <v>13</v>
      </c>
      <c r="B10" s="13" t="s">
        <v>14</v>
      </c>
      <c r="C10" t="s">
        <v>39</v>
      </c>
      <c r="D10" t="s">
        <v>28</v>
      </c>
      <c r="E10" t="s">
        <v>17</v>
      </c>
      <c r="F10" s="13" t="s">
        <v>44</v>
      </c>
      <c r="G10" t="s">
        <v>19</v>
      </c>
      <c r="H10" t="s">
        <v>20</v>
      </c>
      <c r="I10" t="s">
        <v>45</v>
      </c>
      <c r="J10" t="s">
        <v>34</v>
      </c>
      <c r="K10" t="str">
        <f t="shared" si="0"/>
        <v>B</v>
      </c>
      <c r="L10" t="s">
        <v>22</v>
      </c>
      <c r="M10">
        <f t="shared" si="1"/>
        <v>1</v>
      </c>
    </row>
    <row r="11" ht="18" customHeight="1" spans="1:13">
      <c r="A11" t="s">
        <v>13</v>
      </c>
      <c r="B11" s="13" t="s">
        <v>14</v>
      </c>
      <c r="C11" t="s">
        <v>15</v>
      </c>
      <c r="D11" t="s">
        <v>16</v>
      </c>
      <c r="E11" t="s">
        <v>46</v>
      </c>
      <c r="F11" s="13" t="s">
        <v>47</v>
      </c>
      <c r="G11" t="s">
        <v>19</v>
      </c>
      <c r="H11" t="s">
        <v>20</v>
      </c>
      <c r="I11" t="s">
        <v>48</v>
      </c>
      <c r="J11" t="s">
        <v>34</v>
      </c>
      <c r="K11" t="str">
        <f t="shared" si="0"/>
        <v>B</v>
      </c>
      <c r="L11" t="s">
        <v>23</v>
      </c>
      <c r="M11">
        <f t="shared" si="1"/>
        <v>0</v>
      </c>
    </row>
    <row r="12" ht="18" customHeight="1" spans="1:13">
      <c r="A12" t="s">
        <v>13</v>
      </c>
      <c r="B12" s="13" t="s">
        <v>14</v>
      </c>
      <c r="C12" t="s">
        <v>15</v>
      </c>
      <c r="D12" t="s">
        <v>24</v>
      </c>
      <c r="E12" t="s">
        <v>46</v>
      </c>
      <c r="F12" s="13" t="s">
        <v>49</v>
      </c>
      <c r="G12" t="s">
        <v>19</v>
      </c>
      <c r="H12" t="s">
        <v>20</v>
      </c>
      <c r="I12" t="s">
        <v>50</v>
      </c>
      <c r="J12" t="s">
        <v>27</v>
      </c>
      <c r="K12" t="str">
        <f t="shared" si="0"/>
        <v>D(平局)</v>
      </c>
      <c r="L12" t="s">
        <v>23</v>
      </c>
      <c r="M12">
        <f t="shared" si="1"/>
        <v>1</v>
      </c>
    </row>
    <row r="13" ht="18" customHeight="1" spans="1:13">
      <c r="A13" t="s">
        <v>13</v>
      </c>
      <c r="B13" s="13" t="s">
        <v>14</v>
      </c>
      <c r="C13" t="s">
        <v>15</v>
      </c>
      <c r="D13" t="s">
        <v>28</v>
      </c>
      <c r="E13" t="s">
        <v>46</v>
      </c>
      <c r="F13" s="13" t="s">
        <v>51</v>
      </c>
      <c r="G13" t="s">
        <v>19</v>
      </c>
      <c r="H13" t="s">
        <v>20</v>
      </c>
      <c r="I13" t="s">
        <v>52</v>
      </c>
      <c r="J13" t="s">
        <v>27</v>
      </c>
      <c r="K13" t="str">
        <f t="shared" si="0"/>
        <v>D(平局)</v>
      </c>
      <c r="L13" t="s">
        <v>23</v>
      </c>
      <c r="M13">
        <f t="shared" si="1"/>
        <v>1</v>
      </c>
    </row>
    <row r="14" ht="18" customHeight="1" spans="1:13">
      <c r="A14" t="s">
        <v>13</v>
      </c>
      <c r="B14" s="13" t="s">
        <v>14</v>
      </c>
      <c r="C14" t="s">
        <v>31</v>
      </c>
      <c r="D14" t="s">
        <v>16</v>
      </c>
      <c r="E14" t="s">
        <v>46</v>
      </c>
      <c r="F14" s="13" t="s">
        <v>53</v>
      </c>
      <c r="G14" t="s">
        <v>19</v>
      </c>
      <c r="H14" t="s">
        <v>20</v>
      </c>
      <c r="I14" t="s">
        <v>54</v>
      </c>
      <c r="J14" t="s">
        <v>34</v>
      </c>
      <c r="K14" t="str">
        <f t="shared" si="0"/>
        <v>C</v>
      </c>
      <c r="L14" t="s">
        <v>34</v>
      </c>
      <c r="M14">
        <f t="shared" si="1"/>
        <v>0</v>
      </c>
    </row>
    <row r="15" ht="18" customHeight="1" spans="1:13">
      <c r="A15" t="s">
        <v>13</v>
      </c>
      <c r="B15" s="13" t="s">
        <v>14</v>
      </c>
      <c r="C15" t="s">
        <v>31</v>
      </c>
      <c r="D15" t="s">
        <v>24</v>
      </c>
      <c r="E15" t="s">
        <v>46</v>
      </c>
      <c r="F15" s="13" t="s">
        <v>55</v>
      </c>
      <c r="G15" t="s">
        <v>19</v>
      </c>
      <c r="H15" t="s">
        <v>20</v>
      </c>
      <c r="I15" t="s">
        <v>56</v>
      </c>
      <c r="J15" t="s">
        <v>22</v>
      </c>
      <c r="K15" t="str">
        <f t="shared" si="0"/>
        <v>A</v>
      </c>
      <c r="L15" t="s">
        <v>34</v>
      </c>
      <c r="M15">
        <f t="shared" si="1"/>
        <v>1</v>
      </c>
    </row>
    <row r="16" ht="18" customHeight="1" spans="1:13">
      <c r="A16" t="s">
        <v>13</v>
      </c>
      <c r="B16" s="13" t="s">
        <v>14</v>
      </c>
      <c r="C16" t="s">
        <v>31</v>
      </c>
      <c r="D16" t="s">
        <v>28</v>
      </c>
      <c r="E16" t="s">
        <v>46</v>
      </c>
      <c r="F16" s="13" t="s">
        <v>57</v>
      </c>
      <c r="G16" t="s">
        <v>19</v>
      </c>
      <c r="H16" t="s">
        <v>20</v>
      </c>
      <c r="I16" t="s">
        <v>58</v>
      </c>
      <c r="J16" t="s">
        <v>22</v>
      </c>
      <c r="K16" t="str">
        <f t="shared" si="0"/>
        <v>A</v>
      </c>
      <c r="L16" t="s">
        <v>34</v>
      </c>
      <c r="M16">
        <f t="shared" si="1"/>
        <v>1</v>
      </c>
    </row>
    <row r="17" ht="18" customHeight="1" spans="1:13">
      <c r="A17" t="s">
        <v>13</v>
      </c>
      <c r="B17" s="13" t="s">
        <v>14</v>
      </c>
      <c r="C17" t="s">
        <v>39</v>
      </c>
      <c r="D17" t="s">
        <v>16</v>
      </c>
      <c r="E17" t="s">
        <v>46</v>
      </c>
      <c r="F17" s="13" t="s">
        <v>59</v>
      </c>
      <c r="G17" t="s">
        <v>19</v>
      </c>
      <c r="H17" t="s">
        <v>20</v>
      </c>
      <c r="I17" t="s">
        <v>60</v>
      </c>
      <c r="J17" t="s">
        <v>22</v>
      </c>
      <c r="K17" t="str">
        <f t="shared" si="0"/>
        <v>B</v>
      </c>
      <c r="L17" t="s">
        <v>22</v>
      </c>
      <c r="M17">
        <f t="shared" si="1"/>
        <v>1</v>
      </c>
    </row>
    <row r="18" ht="18" customHeight="1" spans="1:13">
      <c r="A18" t="s">
        <v>13</v>
      </c>
      <c r="B18" s="13" t="s">
        <v>14</v>
      </c>
      <c r="C18" t="s">
        <v>39</v>
      </c>
      <c r="D18" t="s">
        <v>24</v>
      </c>
      <c r="E18" t="s">
        <v>46</v>
      </c>
      <c r="F18" s="13" t="s">
        <v>61</v>
      </c>
      <c r="G18" t="s">
        <v>19</v>
      </c>
      <c r="H18" t="s">
        <v>20</v>
      </c>
      <c r="I18" t="s">
        <v>62</v>
      </c>
      <c r="J18" t="s">
        <v>22</v>
      </c>
      <c r="K18" t="str">
        <f t="shared" si="0"/>
        <v>B</v>
      </c>
      <c r="L18" t="s">
        <v>22</v>
      </c>
      <c r="M18">
        <f t="shared" si="1"/>
        <v>1</v>
      </c>
    </row>
    <row r="19" ht="18" customHeight="1" spans="1:13">
      <c r="A19" t="s">
        <v>13</v>
      </c>
      <c r="B19" s="13" t="s">
        <v>14</v>
      </c>
      <c r="C19" t="s">
        <v>39</v>
      </c>
      <c r="D19" t="s">
        <v>28</v>
      </c>
      <c r="E19" t="s">
        <v>46</v>
      </c>
      <c r="F19" s="13" t="s">
        <v>63</v>
      </c>
      <c r="G19" t="s">
        <v>19</v>
      </c>
      <c r="H19" t="s">
        <v>20</v>
      </c>
      <c r="I19" t="s">
        <v>64</v>
      </c>
      <c r="J19" t="s">
        <v>22</v>
      </c>
      <c r="K19" t="str">
        <f t="shared" si="0"/>
        <v>B</v>
      </c>
      <c r="L19" t="s">
        <v>22</v>
      </c>
      <c r="M19">
        <f t="shared" si="1"/>
        <v>1</v>
      </c>
    </row>
    <row r="20" ht="18" customHeight="1" spans="1:13">
      <c r="A20" t="s">
        <v>65</v>
      </c>
      <c r="B20" s="13" t="s">
        <v>66</v>
      </c>
      <c r="C20" t="s">
        <v>15</v>
      </c>
      <c r="D20" t="s">
        <v>16</v>
      </c>
      <c r="E20" t="s">
        <v>17</v>
      </c>
      <c r="F20" s="13" t="s">
        <v>67</v>
      </c>
      <c r="G20" t="s">
        <v>19</v>
      </c>
      <c r="H20" t="s">
        <v>20</v>
      </c>
      <c r="I20" t="s">
        <v>68</v>
      </c>
      <c r="J20" t="s">
        <v>34</v>
      </c>
      <c r="K20" t="str">
        <f t="shared" si="0"/>
        <v>A</v>
      </c>
      <c r="L20" t="s">
        <v>34</v>
      </c>
      <c r="M20">
        <f t="shared" si="1"/>
        <v>1</v>
      </c>
    </row>
    <row r="21" ht="18" customHeight="1" spans="1:13">
      <c r="A21" t="s">
        <v>65</v>
      </c>
      <c r="B21" s="13" t="s">
        <v>66</v>
      </c>
      <c r="C21" t="s">
        <v>15</v>
      </c>
      <c r="D21" t="s">
        <v>24</v>
      </c>
      <c r="E21" t="s">
        <v>17</v>
      </c>
      <c r="F21" s="13" t="s">
        <v>69</v>
      </c>
      <c r="G21" t="s">
        <v>19</v>
      </c>
      <c r="H21" t="s">
        <v>20</v>
      </c>
      <c r="I21" t="s">
        <v>70</v>
      </c>
      <c r="J21" t="s">
        <v>34</v>
      </c>
      <c r="K21" t="str">
        <f t="shared" si="0"/>
        <v>A</v>
      </c>
      <c r="L21" t="s">
        <v>34</v>
      </c>
      <c r="M21">
        <f t="shared" si="1"/>
        <v>1</v>
      </c>
    </row>
    <row r="22" ht="18" customHeight="1" spans="1:13">
      <c r="A22" t="s">
        <v>65</v>
      </c>
      <c r="B22" s="13" t="s">
        <v>66</v>
      </c>
      <c r="C22" t="s">
        <v>15</v>
      </c>
      <c r="D22" t="s">
        <v>28</v>
      </c>
      <c r="E22" t="s">
        <v>17</v>
      </c>
      <c r="F22" s="13" t="s">
        <v>71</v>
      </c>
      <c r="G22" t="s">
        <v>19</v>
      </c>
      <c r="H22" t="s">
        <v>20</v>
      </c>
      <c r="I22" t="s">
        <v>72</v>
      </c>
      <c r="J22" t="s">
        <v>34</v>
      </c>
      <c r="K22" t="str">
        <f t="shared" si="0"/>
        <v>A</v>
      </c>
      <c r="L22" t="s">
        <v>34</v>
      </c>
      <c r="M22">
        <f t="shared" si="1"/>
        <v>1</v>
      </c>
    </row>
    <row r="23" ht="18" customHeight="1" spans="1:13">
      <c r="A23" t="s">
        <v>65</v>
      </c>
      <c r="B23" s="13" t="s">
        <v>66</v>
      </c>
      <c r="C23" t="s">
        <v>31</v>
      </c>
      <c r="D23" t="s">
        <v>16</v>
      </c>
      <c r="E23" t="s">
        <v>17</v>
      </c>
      <c r="F23" s="13" t="s">
        <v>73</v>
      </c>
      <c r="G23" t="s">
        <v>19</v>
      </c>
      <c r="H23" t="s">
        <v>20</v>
      </c>
      <c r="I23" t="s">
        <v>74</v>
      </c>
      <c r="J23" t="s">
        <v>34</v>
      </c>
      <c r="K23" t="str">
        <f t="shared" si="0"/>
        <v>A</v>
      </c>
      <c r="L23" t="s">
        <v>34</v>
      </c>
      <c r="M23">
        <f t="shared" si="1"/>
        <v>1</v>
      </c>
    </row>
    <row r="24" ht="18" customHeight="1" spans="1:13">
      <c r="A24" t="s">
        <v>65</v>
      </c>
      <c r="B24" s="13" t="s">
        <v>66</v>
      </c>
      <c r="C24" t="s">
        <v>31</v>
      </c>
      <c r="D24" t="s">
        <v>24</v>
      </c>
      <c r="E24" t="s">
        <v>17</v>
      </c>
      <c r="F24" s="13" t="s">
        <v>75</v>
      </c>
      <c r="G24" t="s">
        <v>19</v>
      </c>
      <c r="H24" t="s">
        <v>20</v>
      </c>
      <c r="I24" t="s">
        <v>76</v>
      </c>
      <c r="J24" t="s">
        <v>34</v>
      </c>
      <c r="K24" t="str">
        <f t="shared" si="0"/>
        <v>A</v>
      </c>
      <c r="L24" t="s">
        <v>34</v>
      </c>
      <c r="M24">
        <f t="shared" si="1"/>
        <v>1</v>
      </c>
    </row>
    <row r="25" ht="18" customHeight="1" spans="1:13">
      <c r="A25" t="s">
        <v>65</v>
      </c>
      <c r="B25" s="13" t="s">
        <v>66</v>
      </c>
      <c r="C25" t="s">
        <v>31</v>
      </c>
      <c r="D25" t="s">
        <v>28</v>
      </c>
      <c r="E25" t="s">
        <v>17</v>
      </c>
      <c r="F25" s="13" t="s">
        <v>77</v>
      </c>
      <c r="G25" t="s">
        <v>19</v>
      </c>
      <c r="H25" t="s">
        <v>20</v>
      </c>
      <c r="I25" t="s">
        <v>78</v>
      </c>
      <c r="J25" t="s">
        <v>34</v>
      </c>
      <c r="K25" t="str">
        <f t="shared" si="0"/>
        <v>A</v>
      </c>
      <c r="L25" t="s">
        <v>34</v>
      </c>
      <c r="M25">
        <f t="shared" si="1"/>
        <v>1</v>
      </c>
    </row>
    <row r="26" ht="18" customHeight="1" spans="1:13">
      <c r="A26" t="s">
        <v>65</v>
      </c>
      <c r="B26" s="13" t="s">
        <v>66</v>
      </c>
      <c r="C26" t="s">
        <v>39</v>
      </c>
      <c r="D26" t="s">
        <v>16</v>
      </c>
      <c r="E26" t="s">
        <v>17</v>
      </c>
      <c r="F26" s="13" t="s">
        <v>79</v>
      </c>
      <c r="G26" t="s">
        <v>19</v>
      </c>
      <c r="H26" t="s">
        <v>20</v>
      </c>
      <c r="I26" t="s">
        <v>80</v>
      </c>
      <c r="J26" t="s">
        <v>22</v>
      </c>
      <c r="K26" t="str">
        <f t="shared" si="0"/>
        <v>C</v>
      </c>
      <c r="L26" t="s">
        <v>27</v>
      </c>
      <c r="M26">
        <f t="shared" si="1"/>
        <v>1</v>
      </c>
    </row>
    <row r="27" ht="18" customHeight="1" spans="1:13">
      <c r="A27" t="s">
        <v>65</v>
      </c>
      <c r="B27" s="13" t="s">
        <v>66</v>
      </c>
      <c r="C27" t="s">
        <v>39</v>
      </c>
      <c r="D27" t="s">
        <v>24</v>
      </c>
      <c r="E27" t="s">
        <v>17</v>
      </c>
      <c r="F27" s="13" t="s">
        <v>81</v>
      </c>
      <c r="G27" t="s">
        <v>19</v>
      </c>
      <c r="H27" t="s">
        <v>20</v>
      </c>
      <c r="I27" t="s">
        <v>82</v>
      </c>
      <c r="J27" t="s">
        <v>22</v>
      </c>
      <c r="K27" t="str">
        <f t="shared" si="0"/>
        <v>C</v>
      </c>
      <c r="L27" t="s">
        <v>27</v>
      </c>
      <c r="M27">
        <f t="shared" si="1"/>
        <v>1</v>
      </c>
    </row>
    <row r="28" ht="18" customHeight="1" spans="1:13">
      <c r="A28" t="s">
        <v>65</v>
      </c>
      <c r="B28" s="13" t="s">
        <v>66</v>
      </c>
      <c r="C28" t="s">
        <v>39</v>
      </c>
      <c r="D28" t="s">
        <v>28</v>
      </c>
      <c r="E28" t="s">
        <v>17</v>
      </c>
      <c r="F28" s="13" t="s">
        <v>83</v>
      </c>
      <c r="G28" t="s">
        <v>19</v>
      </c>
      <c r="H28" t="s">
        <v>20</v>
      </c>
      <c r="I28" t="s">
        <v>84</v>
      </c>
      <c r="J28" t="s">
        <v>27</v>
      </c>
      <c r="K28" t="str">
        <f t="shared" si="0"/>
        <v>D(平局)</v>
      </c>
      <c r="L28" t="s">
        <v>27</v>
      </c>
      <c r="M28">
        <f t="shared" si="1"/>
        <v>0</v>
      </c>
    </row>
    <row r="29" ht="18" customHeight="1" spans="1:13">
      <c r="A29" t="s">
        <v>65</v>
      </c>
      <c r="B29" s="13" t="s">
        <v>66</v>
      </c>
      <c r="C29" t="s">
        <v>15</v>
      </c>
      <c r="D29" t="s">
        <v>16</v>
      </c>
      <c r="E29" t="s">
        <v>46</v>
      </c>
      <c r="F29" s="13" t="s">
        <v>85</v>
      </c>
      <c r="G29" t="s">
        <v>19</v>
      </c>
      <c r="H29" t="s">
        <v>20</v>
      </c>
      <c r="I29" t="s">
        <v>86</v>
      </c>
      <c r="J29" t="s">
        <v>22</v>
      </c>
      <c r="K29" t="str">
        <f t="shared" si="0"/>
        <v>A</v>
      </c>
      <c r="L29" t="s">
        <v>34</v>
      </c>
      <c r="M29">
        <f t="shared" si="1"/>
        <v>1</v>
      </c>
    </row>
    <row r="30" ht="18" customHeight="1" spans="1:13">
      <c r="A30" t="s">
        <v>65</v>
      </c>
      <c r="B30" s="13" t="s">
        <v>66</v>
      </c>
      <c r="C30" t="s">
        <v>15</v>
      </c>
      <c r="D30" t="s">
        <v>24</v>
      </c>
      <c r="E30" t="s">
        <v>46</v>
      </c>
      <c r="F30" s="13" t="s">
        <v>87</v>
      </c>
      <c r="G30" t="s">
        <v>19</v>
      </c>
      <c r="H30" t="s">
        <v>20</v>
      </c>
      <c r="I30" t="s">
        <v>88</v>
      </c>
      <c r="J30" t="s">
        <v>22</v>
      </c>
      <c r="K30" t="str">
        <f t="shared" si="0"/>
        <v>A</v>
      </c>
      <c r="L30" t="s">
        <v>34</v>
      </c>
      <c r="M30">
        <f t="shared" si="1"/>
        <v>1</v>
      </c>
    </row>
    <row r="31" ht="18" customHeight="1" spans="1:13">
      <c r="A31" t="s">
        <v>65</v>
      </c>
      <c r="B31" s="13" t="s">
        <v>66</v>
      </c>
      <c r="C31" t="s">
        <v>15</v>
      </c>
      <c r="D31" t="s">
        <v>28</v>
      </c>
      <c r="E31" t="s">
        <v>46</v>
      </c>
      <c r="F31" s="13" t="s">
        <v>89</v>
      </c>
      <c r="G31" t="s">
        <v>19</v>
      </c>
      <c r="H31" t="s">
        <v>20</v>
      </c>
      <c r="I31" t="s">
        <v>90</v>
      </c>
      <c r="J31" t="s">
        <v>22</v>
      </c>
      <c r="K31" t="str">
        <f t="shared" si="0"/>
        <v>A</v>
      </c>
      <c r="L31" t="s">
        <v>34</v>
      </c>
      <c r="M31">
        <f t="shared" si="1"/>
        <v>1</v>
      </c>
    </row>
    <row r="32" ht="18" customHeight="1" spans="1:13">
      <c r="A32" t="s">
        <v>65</v>
      </c>
      <c r="B32" s="13" t="s">
        <v>66</v>
      </c>
      <c r="C32" t="s">
        <v>31</v>
      </c>
      <c r="D32" t="s">
        <v>16</v>
      </c>
      <c r="E32" t="s">
        <v>46</v>
      </c>
      <c r="F32" s="13" t="s">
        <v>91</v>
      </c>
      <c r="G32" t="s">
        <v>19</v>
      </c>
      <c r="H32" t="s">
        <v>20</v>
      </c>
      <c r="I32" t="s">
        <v>92</v>
      </c>
      <c r="J32" t="s">
        <v>22</v>
      </c>
      <c r="K32" t="str">
        <f t="shared" si="0"/>
        <v>A</v>
      </c>
      <c r="L32" t="s">
        <v>34</v>
      </c>
      <c r="M32">
        <f t="shared" si="1"/>
        <v>1</v>
      </c>
    </row>
    <row r="33" ht="18" customHeight="1" spans="1:13">
      <c r="A33" t="s">
        <v>65</v>
      </c>
      <c r="B33" s="13" t="s">
        <v>66</v>
      </c>
      <c r="C33" t="s">
        <v>31</v>
      </c>
      <c r="D33" t="s">
        <v>24</v>
      </c>
      <c r="E33" t="s">
        <v>46</v>
      </c>
      <c r="F33" s="13" t="s">
        <v>93</v>
      </c>
      <c r="G33" t="s">
        <v>19</v>
      </c>
      <c r="H33" t="s">
        <v>20</v>
      </c>
      <c r="I33" t="s">
        <v>94</v>
      </c>
      <c r="J33" t="s">
        <v>22</v>
      </c>
      <c r="K33" t="str">
        <f t="shared" si="0"/>
        <v>A</v>
      </c>
      <c r="L33" t="s">
        <v>34</v>
      </c>
      <c r="M33">
        <f t="shared" si="1"/>
        <v>1</v>
      </c>
    </row>
    <row r="34" ht="18" customHeight="1" spans="1:13">
      <c r="A34" t="s">
        <v>65</v>
      </c>
      <c r="B34" s="13" t="s">
        <v>66</v>
      </c>
      <c r="C34" t="s">
        <v>31</v>
      </c>
      <c r="D34" t="s">
        <v>28</v>
      </c>
      <c r="E34" t="s">
        <v>46</v>
      </c>
      <c r="F34" s="13" t="s">
        <v>95</v>
      </c>
      <c r="G34" t="s">
        <v>19</v>
      </c>
      <c r="H34" t="s">
        <v>20</v>
      </c>
      <c r="I34" t="s">
        <v>96</v>
      </c>
      <c r="J34" t="s">
        <v>22</v>
      </c>
      <c r="K34" t="str">
        <f t="shared" si="0"/>
        <v>A</v>
      </c>
      <c r="L34" t="s">
        <v>34</v>
      </c>
      <c r="M34">
        <f t="shared" si="1"/>
        <v>1</v>
      </c>
    </row>
    <row r="35" ht="18" customHeight="1" spans="1:13">
      <c r="A35" t="s">
        <v>65</v>
      </c>
      <c r="B35" s="13" t="s">
        <v>66</v>
      </c>
      <c r="C35" t="s">
        <v>39</v>
      </c>
      <c r="D35" t="s">
        <v>16</v>
      </c>
      <c r="E35" t="s">
        <v>46</v>
      </c>
      <c r="F35" s="13" t="s">
        <v>97</v>
      </c>
      <c r="G35" t="s">
        <v>19</v>
      </c>
      <c r="H35" t="s">
        <v>20</v>
      </c>
      <c r="I35" t="s">
        <v>98</v>
      </c>
      <c r="J35" t="s">
        <v>34</v>
      </c>
      <c r="K35" t="str">
        <f t="shared" si="0"/>
        <v>C</v>
      </c>
      <c r="L35" t="s">
        <v>27</v>
      </c>
      <c r="M35">
        <f t="shared" si="1"/>
        <v>1</v>
      </c>
    </row>
    <row r="36" ht="18" customHeight="1" spans="1:13">
      <c r="A36" t="s">
        <v>65</v>
      </c>
      <c r="B36" s="13" t="s">
        <v>66</v>
      </c>
      <c r="C36" t="s">
        <v>39</v>
      </c>
      <c r="D36" t="s">
        <v>24</v>
      </c>
      <c r="E36" t="s">
        <v>46</v>
      </c>
      <c r="F36" s="13" t="s">
        <v>99</v>
      </c>
      <c r="G36" t="s">
        <v>19</v>
      </c>
      <c r="H36" t="s">
        <v>20</v>
      </c>
      <c r="I36" t="s">
        <v>100</v>
      </c>
      <c r="J36" t="s">
        <v>34</v>
      </c>
      <c r="K36" t="str">
        <f t="shared" si="0"/>
        <v>C</v>
      </c>
      <c r="L36" t="s">
        <v>27</v>
      </c>
      <c r="M36">
        <f t="shared" si="1"/>
        <v>1</v>
      </c>
    </row>
    <row r="37" ht="18" customHeight="1" spans="1:13">
      <c r="A37" t="s">
        <v>65</v>
      </c>
      <c r="B37" s="13" t="s">
        <v>66</v>
      </c>
      <c r="C37" t="s">
        <v>39</v>
      </c>
      <c r="D37" t="s">
        <v>28</v>
      </c>
      <c r="E37" t="s">
        <v>46</v>
      </c>
      <c r="F37" s="13" t="s">
        <v>101</v>
      </c>
      <c r="G37" t="s">
        <v>19</v>
      </c>
      <c r="H37" t="s">
        <v>20</v>
      </c>
      <c r="I37" t="s">
        <v>102</v>
      </c>
      <c r="J37" t="s">
        <v>34</v>
      </c>
      <c r="K37" t="str">
        <f t="shared" si="0"/>
        <v>C</v>
      </c>
      <c r="L37" t="s">
        <v>27</v>
      </c>
      <c r="M37">
        <f t="shared" si="1"/>
        <v>1</v>
      </c>
    </row>
    <row r="38" ht="18" customHeight="1" spans="1:13">
      <c r="A38" t="s">
        <v>103</v>
      </c>
      <c r="B38" s="13" t="s">
        <v>104</v>
      </c>
      <c r="C38" t="s">
        <v>15</v>
      </c>
      <c r="D38" t="s">
        <v>16</v>
      </c>
      <c r="E38" t="s">
        <v>17</v>
      </c>
      <c r="F38" s="13" t="s">
        <v>105</v>
      </c>
      <c r="G38" t="s">
        <v>19</v>
      </c>
      <c r="H38" t="s">
        <v>20</v>
      </c>
      <c r="I38" t="s">
        <v>106</v>
      </c>
      <c r="J38" t="s">
        <v>34</v>
      </c>
      <c r="K38" t="str">
        <f t="shared" si="0"/>
        <v>A</v>
      </c>
      <c r="L38" t="s">
        <v>34</v>
      </c>
      <c r="M38">
        <f t="shared" si="1"/>
        <v>1</v>
      </c>
    </row>
    <row r="39" ht="18" customHeight="1" spans="1:13">
      <c r="A39" t="s">
        <v>103</v>
      </c>
      <c r="B39" s="13" t="s">
        <v>104</v>
      </c>
      <c r="C39" t="s">
        <v>15</v>
      </c>
      <c r="D39" t="s">
        <v>24</v>
      </c>
      <c r="E39" t="s">
        <v>17</v>
      </c>
      <c r="F39" s="13" t="s">
        <v>107</v>
      </c>
      <c r="G39" t="s">
        <v>19</v>
      </c>
      <c r="H39" t="s">
        <v>20</v>
      </c>
      <c r="I39" t="s">
        <v>108</v>
      </c>
      <c r="J39" t="s">
        <v>34</v>
      </c>
      <c r="K39" t="str">
        <f t="shared" si="0"/>
        <v>A</v>
      </c>
      <c r="L39" t="s">
        <v>34</v>
      </c>
      <c r="M39">
        <f t="shared" si="1"/>
        <v>1</v>
      </c>
    </row>
    <row r="40" ht="18" customHeight="1" spans="1:13">
      <c r="A40" t="s">
        <v>103</v>
      </c>
      <c r="B40" s="13" t="s">
        <v>104</v>
      </c>
      <c r="C40" t="s">
        <v>15</v>
      </c>
      <c r="D40" t="s">
        <v>28</v>
      </c>
      <c r="E40" t="s">
        <v>17</v>
      </c>
      <c r="F40" s="13" t="s">
        <v>109</v>
      </c>
      <c r="G40" t="s">
        <v>19</v>
      </c>
      <c r="H40" t="s">
        <v>20</v>
      </c>
      <c r="I40" t="s">
        <v>110</v>
      </c>
      <c r="J40" t="s">
        <v>34</v>
      </c>
      <c r="K40" t="str">
        <f t="shared" si="0"/>
        <v>A</v>
      </c>
      <c r="L40" t="s">
        <v>34</v>
      </c>
      <c r="M40">
        <f t="shared" si="1"/>
        <v>1</v>
      </c>
    </row>
    <row r="41" ht="18" customHeight="1" spans="1:13">
      <c r="A41" t="s">
        <v>103</v>
      </c>
      <c r="B41" s="13" t="s">
        <v>104</v>
      </c>
      <c r="C41" t="s">
        <v>31</v>
      </c>
      <c r="D41" t="s">
        <v>16</v>
      </c>
      <c r="E41" t="s">
        <v>17</v>
      </c>
      <c r="F41" s="13" t="s">
        <v>111</v>
      </c>
      <c r="G41" t="s">
        <v>19</v>
      </c>
      <c r="H41" t="s">
        <v>20</v>
      </c>
      <c r="I41" t="s">
        <v>112</v>
      </c>
      <c r="J41" t="s">
        <v>34</v>
      </c>
      <c r="K41" t="str">
        <f t="shared" si="0"/>
        <v>A</v>
      </c>
      <c r="L41" t="s">
        <v>34</v>
      </c>
      <c r="M41">
        <f t="shared" si="1"/>
        <v>1</v>
      </c>
    </row>
    <row r="42" ht="18" customHeight="1" spans="1:13">
      <c r="A42" t="s">
        <v>103</v>
      </c>
      <c r="B42" s="13" t="s">
        <v>104</v>
      </c>
      <c r="C42" t="s">
        <v>31</v>
      </c>
      <c r="D42" t="s">
        <v>24</v>
      </c>
      <c r="E42" t="s">
        <v>17</v>
      </c>
      <c r="F42" s="13" t="s">
        <v>113</v>
      </c>
      <c r="G42" t="s">
        <v>19</v>
      </c>
      <c r="H42" t="s">
        <v>20</v>
      </c>
      <c r="I42" t="s">
        <v>114</v>
      </c>
      <c r="J42" t="s">
        <v>34</v>
      </c>
      <c r="K42" t="str">
        <f t="shared" si="0"/>
        <v>A</v>
      </c>
      <c r="L42" t="s">
        <v>34</v>
      </c>
      <c r="M42">
        <f t="shared" si="1"/>
        <v>1</v>
      </c>
    </row>
    <row r="43" ht="18" customHeight="1" spans="1:13">
      <c r="A43" t="s">
        <v>103</v>
      </c>
      <c r="B43" s="13" t="s">
        <v>104</v>
      </c>
      <c r="C43" t="s">
        <v>31</v>
      </c>
      <c r="D43" t="s">
        <v>28</v>
      </c>
      <c r="E43" t="s">
        <v>17</v>
      </c>
      <c r="F43" s="13" t="s">
        <v>115</v>
      </c>
      <c r="G43" t="s">
        <v>19</v>
      </c>
      <c r="H43" t="s">
        <v>20</v>
      </c>
      <c r="I43" t="s">
        <v>116</v>
      </c>
      <c r="J43" t="s">
        <v>34</v>
      </c>
      <c r="K43" t="str">
        <f t="shared" si="0"/>
        <v>A</v>
      </c>
      <c r="L43" t="s">
        <v>34</v>
      </c>
      <c r="M43">
        <f t="shared" si="1"/>
        <v>1</v>
      </c>
    </row>
    <row r="44" ht="18" customHeight="1" spans="1:13">
      <c r="A44" t="s">
        <v>103</v>
      </c>
      <c r="B44" s="13" t="s">
        <v>104</v>
      </c>
      <c r="C44" t="s">
        <v>39</v>
      </c>
      <c r="D44" t="s">
        <v>16</v>
      </c>
      <c r="E44" t="s">
        <v>17</v>
      </c>
      <c r="F44" s="13" t="s">
        <v>117</v>
      </c>
      <c r="G44" t="s">
        <v>19</v>
      </c>
      <c r="H44" t="s">
        <v>20</v>
      </c>
      <c r="I44" t="s">
        <v>118</v>
      </c>
      <c r="J44" t="s">
        <v>34</v>
      </c>
      <c r="K44" t="str">
        <f t="shared" si="0"/>
        <v>B</v>
      </c>
      <c r="L44" t="s">
        <v>22</v>
      </c>
      <c r="M44">
        <f t="shared" si="1"/>
        <v>1</v>
      </c>
    </row>
    <row r="45" ht="18" customHeight="1" spans="1:13">
      <c r="A45" t="s">
        <v>103</v>
      </c>
      <c r="B45" s="13" t="s">
        <v>104</v>
      </c>
      <c r="C45" t="s">
        <v>39</v>
      </c>
      <c r="D45" t="s">
        <v>24</v>
      </c>
      <c r="E45" t="s">
        <v>17</v>
      </c>
      <c r="F45" s="13" t="s">
        <v>119</v>
      </c>
      <c r="G45" t="s">
        <v>19</v>
      </c>
      <c r="H45" t="s">
        <v>20</v>
      </c>
      <c r="I45" t="s">
        <v>120</v>
      </c>
      <c r="J45" t="s">
        <v>34</v>
      </c>
      <c r="K45" t="str">
        <f t="shared" si="0"/>
        <v>B</v>
      </c>
      <c r="L45" t="s">
        <v>22</v>
      </c>
      <c r="M45">
        <f t="shared" si="1"/>
        <v>1</v>
      </c>
    </row>
    <row r="46" ht="18" customHeight="1" spans="1:13">
      <c r="A46" t="s">
        <v>103</v>
      </c>
      <c r="B46" s="13" t="s">
        <v>104</v>
      </c>
      <c r="C46" t="s">
        <v>39</v>
      </c>
      <c r="D46" t="s">
        <v>28</v>
      </c>
      <c r="E46" t="s">
        <v>17</v>
      </c>
      <c r="F46" s="13" t="s">
        <v>121</v>
      </c>
      <c r="G46" t="s">
        <v>19</v>
      </c>
      <c r="H46" t="s">
        <v>20</v>
      </c>
      <c r="I46" t="s">
        <v>122</v>
      </c>
      <c r="J46" t="s">
        <v>34</v>
      </c>
      <c r="K46" t="str">
        <f t="shared" si="0"/>
        <v>B</v>
      </c>
      <c r="L46" t="s">
        <v>22</v>
      </c>
      <c r="M46">
        <f t="shared" si="1"/>
        <v>1</v>
      </c>
    </row>
    <row r="47" ht="18" customHeight="1" spans="1:13">
      <c r="A47" t="s">
        <v>103</v>
      </c>
      <c r="B47" s="13" t="s">
        <v>104</v>
      </c>
      <c r="C47" t="s">
        <v>15</v>
      </c>
      <c r="D47" t="s">
        <v>16</v>
      </c>
      <c r="E47" t="s">
        <v>46</v>
      </c>
      <c r="F47" s="13" t="s">
        <v>123</v>
      </c>
      <c r="G47" t="s">
        <v>19</v>
      </c>
      <c r="H47" t="s">
        <v>20</v>
      </c>
      <c r="I47" t="s">
        <v>124</v>
      </c>
      <c r="J47" t="s">
        <v>22</v>
      </c>
      <c r="K47" t="str">
        <f t="shared" si="0"/>
        <v>A</v>
      </c>
      <c r="L47" t="s">
        <v>34</v>
      </c>
      <c r="M47">
        <f t="shared" si="1"/>
        <v>1</v>
      </c>
    </row>
    <row r="48" ht="18" customHeight="1" spans="1:13">
      <c r="A48" t="s">
        <v>103</v>
      </c>
      <c r="B48" s="13" t="s">
        <v>104</v>
      </c>
      <c r="C48" t="s">
        <v>15</v>
      </c>
      <c r="D48" t="s">
        <v>24</v>
      </c>
      <c r="E48" t="s">
        <v>46</v>
      </c>
      <c r="F48" s="13" t="s">
        <v>125</v>
      </c>
      <c r="G48" t="s">
        <v>19</v>
      </c>
      <c r="H48" t="s">
        <v>20</v>
      </c>
      <c r="I48" t="s">
        <v>126</v>
      </c>
      <c r="J48" t="s">
        <v>22</v>
      </c>
      <c r="K48" t="str">
        <f t="shared" si="0"/>
        <v>A</v>
      </c>
      <c r="L48" t="s">
        <v>34</v>
      </c>
      <c r="M48">
        <f t="shared" si="1"/>
        <v>1</v>
      </c>
    </row>
    <row r="49" ht="18" customHeight="1" spans="1:13">
      <c r="A49" t="s">
        <v>103</v>
      </c>
      <c r="B49" s="13" t="s">
        <v>104</v>
      </c>
      <c r="C49" t="s">
        <v>15</v>
      </c>
      <c r="D49" t="s">
        <v>28</v>
      </c>
      <c r="E49" t="s">
        <v>46</v>
      </c>
      <c r="F49" s="13" t="s">
        <v>127</v>
      </c>
      <c r="G49" t="s">
        <v>19</v>
      </c>
      <c r="H49" t="s">
        <v>20</v>
      </c>
      <c r="I49" t="s">
        <v>128</v>
      </c>
      <c r="J49" t="s">
        <v>22</v>
      </c>
      <c r="K49" t="str">
        <f t="shared" si="0"/>
        <v>A</v>
      </c>
      <c r="L49" t="s">
        <v>34</v>
      </c>
      <c r="M49">
        <f t="shared" si="1"/>
        <v>1</v>
      </c>
    </row>
    <row r="50" ht="18" customHeight="1" spans="1:13">
      <c r="A50" t="s">
        <v>103</v>
      </c>
      <c r="B50" s="13" t="s">
        <v>104</v>
      </c>
      <c r="C50" t="s">
        <v>31</v>
      </c>
      <c r="D50" t="s">
        <v>16</v>
      </c>
      <c r="E50" t="s">
        <v>46</v>
      </c>
      <c r="F50" s="13" t="s">
        <v>129</v>
      </c>
      <c r="G50" t="s">
        <v>19</v>
      </c>
      <c r="H50" t="s">
        <v>20</v>
      </c>
      <c r="I50" t="s">
        <v>130</v>
      </c>
      <c r="J50" t="s">
        <v>22</v>
      </c>
      <c r="K50" t="str">
        <f t="shared" si="0"/>
        <v>A</v>
      </c>
      <c r="L50" t="s">
        <v>34</v>
      </c>
      <c r="M50">
        <f t="shared" si="1"/>
        <v>1</v>
      </c>
    </row>
    <row r="51" ht="18" customHeight="1" spans="1:13">
      <c r="A51" t="s">
        <v>103</v>
      </c>
      <c r="B51" s="13" t="s">
        <v>104</v>
      </c>
      <c r="C51" t="s">
        <v>31</v>
      </c>
      <c r="D51" t="s">
        <v>24</v>
      </c>
      <c r="E51" t="s">
        <v>46</v>
      </c>
      <c r="F51" s="13" t="s">
        <v>131</v>
      </c>
      <c r="G51" t="s">
        <v>19</v>
      </c>
      <c r="H51" t="s">
        <v>20</v>
      </c>
      <c r="I51" t="s">
        <v>132</v>
      </c>
      <c r="J51" t="s">
        <v>22</v>
      </c>
      <c r="K51" t="str">
        <f t="shared" si="0"/>
        <v>A</v>
      </c>
      <c r="L51" t="s">
        <v>34</v>
      </c>
      <c r="M51">
        <f t="shared" si="1"/>
        <v>1</v>
      </c>
    </row>
    <row r="52" ht="18" customHeight="1" spans="1:13">
      <c r="A52" t="s">
        <v>103</v>
      </c>
      <c r="B52" s="13" t="s">
        <v>104</v>
      </c>
      <c r="C52" t="s">
        <v>31</v>
      </c>
      <c r="D52" t="s">
        <v>28</v>
      </c>
      <c r="E52" t="s">
        <v>46</v>
      </c>
      <c r="F52" s="13" t="s">
        <v>133</v>
      </c>
      <c r="G52" t="s">
        <v>19</v>
      </c>
      <c r="H52" t="s">
        <v>20</v>
      </c>
      <c r="I52" t="s">
        <v>134</v>
      </c>
      <c r="J52" t="s">
        <v>22</v>
      </c>
      <c r="K52" t="str">
        <f t="shared" si="0"/>
        <v>A</v>
      </c>
      <c r="L52" t="s">
        <v>34</v>
      </c>
      <c r="M52">
        <f t="shared" si="1"/>
        <v>1</v>
      </c>
    </row>
    <row r="53" ht="18" customHeight="1" spans="1:13">
      <c r="A53" t="s">
        <v>103</v>
      </c>
      <c r="B53" s="13" t="s">
        <v>104</v>
      </c>
      <c r="C53" t="s">
        <v>39</v>
      </c>
      <c r="D53" t="s">
        <v>16</v>
      </c>
      <c r="E53" t="s">
        <v>46</v>
      </c>
      <c r="F53" s="13" t="s">
        <v>135</v>
      </c>
      <c r="G53" t="s">
        <v>19</v>
      </c>
      <c r="H53" t="s">
        <v>20</v>
      </c>
      <c r="I53" t="s">
        <v>136</v>
      </c>
      <c r="J53" t="s">
        <v>22</v>
      </c>
      <c r="K53" t="str">
        <f t="shared" si="0"/>
        <v>B</v>
      </c>
      <c r="L53" t="s">
        <v>22</v>
      </c>
      <c r="M53">
        <f t="shared" si="1"/>
        <v>1</v>
      </c>
    </row>
    <row r="54" ht="18" customHeight="1" spans="1:13">
      <c r="A54" t="s">
        <v>103</v>
      </c>
      <c r="B54" s="13" t="s">
        <v>104</v>
      </c>
      <c r="C54" t="s">
        <v>39</v>
      </c>
      <c r="D54" t="s">
        <v>24</v>
      </c>
      <c r="E54" t="s">
        <v>46</v>
      </c>
      <c r="F54" s="13" t="s">
        <v>137</v>
      </c>
      <c r="G54" t="s">
        <v>19</v>
      </c>
      <c r="H54" t="s">
        <v>20</v>
      </c>
      <c r="I54" t="s">
        <v>138</v>
      </c>
      <c r="J54" t="s">
        <v>22</v>
      </c>
      <c r="K54" t="str">
        <f t="shared" si="0"/>
        <v>B</v>
      </c>
      <c r="L54" t="s">
        <v>22</v>
      </c>
      <c r="M54">
        <f t="shared" si="1"/>
        <v>1</v>
      </c>
    </row>
    <row r="55" ht="18" customHeight="1" spans="1:13">
      <c r="A55" t="s">
        <v>103</v>
      </c>
      <c r="B55" s="13" t="s">
        <v>104</v>
      </c>
      <c r="C55" t="s">
        <v>39</v>
      </c>
      <c r="D55" t="s">
        <v>28</v>
      </c>
      <c r="E55" t="s">
        <v>46</v>
      </c>
      <c r="F55" s="13" t="s">
        <v>139</v>
      </c>
      <c r="G55" t="s">
        <v>19</v>
      </c>
      <c r="H55" t="s">
        <v>20</v>
      </c>
      <c r="I55" t="s">
        <v>140</v>
      </c>
      <c r="J55" t="s">
        <v>22</v>
      </c>
      <c r="K55" t="str">
        <f t="shared" si="0"/>
        <v>B</v>
      </c>
      <c r="L55" t="s">
        <v>22</v>
      </c>
      <c r="M55">
        <f t="shared" si="1"/>
        <v>1</v>
      </c>
    </row>
    <row r="56" ht="18" customHeight="1" spans="1:13">
      <c r="A56" t="s">
        <v>141</v>
      </c>
      <c r="B56" s="13" t="s">
        <v>142</v>
      </c>
      <c r="C56" t="s">
        <v>15</v>
      </c>
      <c r="D56" t="s">
        <v>16</v>
      </c>
      <c r="E56" t="s">
        <v>17</v>
      </c>
      <c r="F56" s="13" t="s">
        <v>143</v>
      </c>
      <c r="G56" t="s">
        <v>19</v>
      </c>
      <c r="H56" t="s">
        <v>20</v>
      </c>
      <c r="I56" t="s">
        <v>144</v>
      </c>
      <c r="J56" t="s">
        <v>34</v>
      </c>
      <c r="K56" t="str">
        <f t="shared" si="0"/>
        <v>A</v>
      </c>
      <c r="L56" t="s">
        <v>34</v>
      </c>
      <c r="M56">
        <f t="shared" si="1"/>
        <v>1</v>
      </c>
    </row>
    <row r="57" ht="18" customHeight="1" spans="1:13">
      <c r="A57" t="s">
        <v>141</v>
      </c>
      <c r="B57" s="13" t="s">
        <v>142</v>
      </c>
      <c r="C57" t="s">
        <v>15</v>
      </c>
      <c r="D57" t="s">
        <v>24</v>
      </c>
      <c r="E57" t="s">
        <v>17</v>
      </c>
      <c r="F57" s="13" t="s">
        <v>145</v>
      </c>
      <c r="G57" t="s">
        <v>19</v>
      </c>
      <c r="H57" t="s">
        <v>20</v>
      </c>
      <c r="I57" t="s">
        <v>146</v>
      </c>
      <c r="J57" t="s">
        <v>22</v>
      </c>
      <c r="K57" t="str">
        <f t="shared" si="0"/>
        <v>B</v>
      </c>
      <c r="L57" t="s">
        <v>34</v>
      </c>
      <c r="M57">
        <f t="shared" si="1"/>
        <v>0</v>
      </c>
    </row>
    <row r="58" ht="18" customHeight="1" spans="1:13">
      <c r="A58" t="s">
        <v>141</v>
      </c>
      <c r="B58" s="13" t="s">
        <v>142</v>
      </c>
      <c r="C58" t="s">
        <v>15</v>
      </c>
      <c r="D58" t="s">
        <v>28</v>
      </c>
      <c r="E58" t="s">
        <v>17</v>
      </c>
      <c r="F58" s="13" t="s">
        <v>147</v>
      </c>
      <c r="G58" t="s">
        <v>19</v>
      </c>
      <c r="H58" t="s">
        <v>20</v>
      </c>
      <c r="I58" t="s">
        <v>148</v>
      </c>
      <c r="J58" t="s">
        <v>22</v>
      </c>
      <c r="K58" t="str">
        <f t="shared" si="0"/>
        <v>B</v>
      </c>
      <c r="L58" t="s">
        <v>34</v>
      </c>
      <c r="M58">
        <f t="shared" si="1"/>
        <v>0</v>
      </c>
    </row>
    <row r="59" ht="18" customHeight="1" spans="1:13">
      <c r="A59" t="s">
        <v>141</v>
      </c>
      <c r="B59" s="13" t="s">
        <v>142</v>
      </c>
      <c r="C59" t="s">
        <v>31</v>
      </c>
      <c r="D59" t="s">
        <v>16</v>
      </c>
      <c r="E59" t="s">
        <v>17</v>
      </c>
      <c r="F59" s="13" t="s">
        <v>149</v>
      </c>
      <c r="G59" t="s">
        <v>19</v>
      </c>
      <c r="H59" t="s">
        <v>20</v>
      </c>
      <c r="I59" t="s">
        <v>150</v>
      </c>
      <c r="J59" t="s">
        <v>34</v>
      </c>
      <c r="K59" t="str">
        <f t="shared" si="0"/>
        <v>A</v>
      </c>
      <c r="L59" t="s">
        <v>34</v>
      </c>
      <c r="M59">
        <f t="shared" si="1"/>
        <v>1</v>
      </c>
    </row>
    <row r="60" ht="18" customHeight="1" spans="1:13">
      <c r="A60" t="s">
        <v>141</v>
      </c>
      <c r="B60" s="13" t="s">
        <v>142</v>
      </c>
      <c r="C60" t="s">
        <v>31</v>
      </c>
      <c r="D60" t="s">
        <v>24</v>
      </c>
      <c r="E60" t="s">
        <v>17</v>
      </c>
      <c r="F60" s="13" t="s">
        <v>151</v>
      </c>
      <c r="G60" t="s">
        <v>19</v>
      </c>
      <c r="H60" t="s">
        <v>20</v>
      </c>
      <c r="I60" t="s">
        <v>152</v>
      </c>
      <c r="J60" t="s">
        <v>34</v>
      </c>
      <c r="K60" t="str">
        <f t="shared" si="0"/>
        <v>A</v>
      </c>
      <c r="L60" t="s">
        <v>34</v>
      </c>
      <c r="M60">
        <f t="shared" si="1"/>
        <v>1</v>
      </c>
    </row>
    <row r="61" ht="18" customHeight="1" spans="1:13">
      <c r="A61" t="s">
        <v>141</v>
      </c>
      <c r="B61" s="13" t="s">
        <v>142</v>
      </c>
      <c r="C61" t="s">
        <v>31</v>
      </c>
      <c r="D61" t="s">
        <v>28</v>
      </c>
      <c r="E61" t="s">
        <v>17</v>
      </c>
      <c r="F61" s="13" t="s">
        <v>153</v>
      </c>
      <c r="G61" t="s">
        <v>19</v>
      </c>
      <c r="H61" t="s">
        <v>20</v>
      </c>
      <c r="I61" t="s">
        <v>154</v>
      </c>
      <c r="J61" t="s">
        <v>34</v>
      </c>
      <c r="K61" t="str">
        <f t="shared" si="0"/>
        <v>A</v>
      </c>
      <c r="L61" t="s">
        <v>34</v>
      </c>
      <c r="M61">
        <f t="shared" si="1"/>
        <v>1</v>
      </c>
    </row>
    <row r="62" ht="18" customHeight="1" spans="1:13">
      <c r="A62" t="s">
        <v>141</v>
      </c>
      <c r="B62" s="13" t="s">
        <v>142</v>
      </c>
      <c r="C62" t="s">
        <v>39</v>
      </c>
      <c r="D62" t="s">
        <v>16</v>
      </c>
      <c r="E62" t="s">
        <v>17</v>
      </c>
      <c r="F62" s="13" t="s">
        <v>155</v>
      </c>
      <c r="G62" t="s">
        <v>19</v>
      </c>
      <c r="H62" t="s">
        <v>20</v>
      </c>
      <c r="I62" t="s">
        <v>156</v>
      </c>
      <c r="J62" t="s">
        <v>34</v>
      </c>
      <c r="K62" t="str">
        <f t="shared" si="0"/>
        <v>B</v>
      </c>
      <c r="L62" t="s">
        <v>22</v>
      </c>
      <c r="M62">
        <f t="shared" si="1"/>
        <v>1</v>
      </c>
    </row>
    <row r="63" ht="18" customHeight="1" spans="1:13">
      <c r="A63" t="s">
        <v>141</v>
      </c>
      <c r="B63" s="13" t="s">
        <v>142</v>
      </c>
      <c r="C63" t="s">
        <v>39</v>
      </c>
      <c r="D63" t="s">
        <v>24</v>
      </c>
      <c r="E63" t="s">
        <v>17</v>
      </c>
      <c r="F63" s="13" t="s">
        <v>157</v>
      </c>
      <c r="G63" t="s">
        <v>19</v>
      </c>
      <c r="H63" t="s">
        <v>20</v>
      </c>
      <c r="I63" t="s">
        <v>158</v>
      </c>
      <c r="J63" t="s">
        <v>34</v>
      </c>
      <c r="K63" t="str">
        <f t="shared" si="0"/>
        <v>B</v>
      </c>
      <c r="L63" t="s">
        <v>22</v>
      </c>
      <c r="M63">
        <f t="shared" si="1"/>
        <v>1</v>
      </c>
    </row>
    <row r="64" ht="18" customHeight="1" spans="1:13">
      <c r="A64" t="s">
        <v>141</v>
      </c>
      <c r="B64" s="13" t="s">
        <v>142</v>
      </c>
      <c r="C64" t="s">
        <v>39</v>
      </c>
      <c r="D64" t="s">
        <v>28</v>
      </c>
      <c r="E64" t="s">
        <v>17</v>
      </c>
      <c r="F64" s="13" t="s">
        <v>159</v>
      </c>
      <c r="G64" t="s">
        <v>19</v>
      </c>
      <c r="H64" t="s">
        <v>20</v>
      </c>
      <c r="I64" t="s">
        <v>160</v>
      </c>
      <c r="J64" t="s">
        <v>34</v>
      </c>
      <c r="K64" t="str">
        <f t="shared" si="0"/>
        <v>B</v>
      </c>
      <c r="L64" t="s">
        <v>22</v>
      </c>
      <c r="M64">
        <f t="shared" si="1"/>
        <v>1</v>
      </c>
    </row>
    <row r="65" ht="18" customHeight="1" spans="1:13">
      <c r="A65" t="s">
        <v>141</v>
      </c>
      <c r="B65" s="13" t="s">
        <v>142</v>
      </c>
      <c r="C65" t="s">
        <v>15</v>
      </c>
      <c r="D65" t="s">
        <v>16</v>
      </c>
      <c r="E65" t="s">
        <v>46</v>
      </c>
      <c r="F65" s="13" t="s">
        <v>161</v>
      </c>
      <c r="G65" t="s">
        <v>19</v>
      </c>
      <c r="H65" t="s">
        <v>20</v>
      </c>
      <c r="I65" t="s">
        <v>162</v>
      </c>
      <c r="J65" t="s">
        <v>34</v>
      </c>
      <c r="K65" t="str">
        <f t="shared" si="0"/>
        <v>B</v>
      </c>
      <c r="L65" t="s">
        <v>34</v>
      </c>
      <c r="M65">
        <f t="shared" si="1"/>
        <v>0</v>
      </c>
    </row>
    <row r="66" ht="18" customHeight="1" spans="1:13">
      <c r="A66" t="s">
        <v>141</v>
      </c>
      <c r="B66" s="13" t="s">
        <v>142</v>
      </c>
      <c r="C66" t="s">
        <v>15</v>
      </c>
      <c r="D66" t="s">
        <v>24</v>
      </c>
      <c r="E66" t="s">
        <v>46</v>
      </c>
      <c r="F66" s="13" t="s">
        <v>163</v>
      </c>
      <c r="G66" t="s">
        <v>19</v>
      </c>
      <c r="H66" t="s">
        <v>20</v>
      </c>
      <c r="I66" t="s">
        <v>164</v>
      </c>
      <c r="J66" t="s">
        <v>34</v>
      </c>
      <c r="K66" t="str">
        <f t="shared" ref="K66:K129" si="2">IF(OR(J66="",C66="",E66=""),"",IF(J66="C","D(平局)",IF(J66=IF(E66="l2r","A","B"),LEFT(C66,1),RIGHT(C66,1))))</f>
        <v>B</v>
      </c>
      <c r="L66" t="s">
        <v>34</v>
      </c>
      <c r="M66">
        <f t="shared" ref="M66:M129" si="3">IF(OR(K66="",L66=""),"",--(K66=L66))</f>
        <v>0</v>
      </c>
    </row>
    <row r="67" ht="18" customHeight="1" spans="1:13">
      <c r="A67" t="s">
        <v>141</v>
      </c>
      <c r="B67" s="13" t="s">
        <v>142</v>
      </c>
      <c r="C67" t="s">
        <v>15</v>
      </c>
      <c r="D67" t="s">
        <v>28</v>
      </c>
      <c r="E67" t="s">
        <v>46</v>
      </c>
      <c r="F67" s="13" t="s">
        <v>165</v>
      </c>
      <c r="G67" t="s">
        <v>19</v>
      </c>
      <c r="H67" t="s">
        <v>20</v>
      </c>
      <c r="I67" t="s">
        <v>166</v>
      </c>
      <c r="J67" t="s">
        <v>34</v>
      </c>
      <c r="K67" t="str">
        <f t="shared" si="2"/>
        <v>B</v>
      </c>
      <c r="L67" t="s">
        <v>34</v>
      </c>
      <c r="M67">
        <f t="shared" si="3"/>
        <v>0</v>
      </c>
    </row>
    <row r="68" ht="18" customHeight="1" spans="1:13">
      <c r="A68" t="s">
        <v>141</v>
      </c>
      <c r="B68" s="13" t="s">
        <v>142</v>
      </c>
      <c r="C68" t="s">
        <v>31</v>
      </c>
      <c r="D68" t="s">
        <v>16</v>
      </c>
      <c r="E68" t="s">
        <v>46</v>
      </c>
      <c r="F68" s="13" t="s">
        <v>167</v>
      </c>
      <c r="G68" t="s">
        <v>19</v>
      </c>
      <c r="H68" t="s">
        <v>20</v>
      </c>
      <c r="I68" t="s">
        <v>168</v>
      </c>
      <c r="J68" t="s">
        <v>22</v>
      </c>
      <c r="K68" t="str">
        <f t="shared" si="2"/>
        <v>A</v>
      </c>
      <c r="L68" t="s">
        <v>34</v>
      </c>
      <c r="M68">
        <f t="shared" si="3"/>
        <v>1</v>
      </c>
    </row>
    <row r="69" ht="18" customHeight="1" spans="1:13">
      <c r="A69" t="s">
        <v>141</v>
      </c>
      <c r="B69" s="13" t="s">
        <v>142</v>
      </c>
      <c r="C69" t="s">
        <v>31</v>
      </c>
      <c r="D69" t="s">
        <v>24</v>
      </c>
      <c r="E69" t="s">
        <v>46</v>
      </c>
      <c r="F69" s="13" t="s">
        <v>169</v>
      </c>
      <c r="G69" t="s">
        <v>19</v>
      </c>
      <c r="H69" t="s">
        <v>20</v>
      </c>
      <c r="I69" t="s">
        <v>170</v>
      </c>
      <c r="J69" t="s">
        <v>22</v>
      </c>
      <c r="K69" t="str">
        <f t="shared" si="2"/>
        <v>A</v>
      </c>
      <c r="L69" t="s">
        <v>34</v>
      </c>
      <c r="M69">
        <f t="shared" si="3"/>
        <v>1</v>
      </c>
    </row>
    <row r="70" ht="18" customHeight="1" spans="1:13">
      <c r="A70" t="s">
        <v>141</v>
      </c>
      <c r="B70" s="13" t="s">
        <v>142</v>
      </c>
      <c r="C70" t="s">
        <v>31</v>
      </c>
      <c r="D70" t="s">
        <v>28</v>
      </c>
      <c r="E70" t="s">
        <v>46</v>
      </c>
      <c r="F70" s="13" t="s">
        <v>171</v>
      </c>
      <c r="G70" t="s">
        <v>19</v>
      </c>
      <c r="H70" t="s">
        <v>20</v>
      </c>
      <c r="I70" t="s">
        <v>172</v>
      </c>
      <c r="J70" t="s">
        <v>22</v>
      </c>
      <c r="K70" t="str">
        <f t="shared" si="2"/>
        <v>A</v>
      </c>
      <c r="L70" t="s">
        <v>34</v>
      </c>
      <c r="M70">
        <f t="shared" si="3"/>
        <v>1</v>
      </c>
    </row>
    <row r="71" ht="18" customHeight="1" spans="1:13">
      <c r="A71" t="s">
        <v>141</v>
      </c>
      <c r="B71" s="13" t="s">
        <v>142</v>
      </c>
      <c r="C71" t="s">
        <v>39</v>
      </c>
      <c r="D71" t="s">
        <v>16</v>
      </c>
      <c r="E71" t="s">
        <v>46</v>
      </c>
      <c r="F71" s="13" t="s">
        <v>173</v>
      </c>
      <c r="G71" t="s">
        <v>19</v>
      </c>
      <c r="H71" t="s">
        <v>20</v>
      </c>
      <c r="I71" t="s">
        <v>174</v>
      </c>
      <c r="J71" t="s">
        <v>22</v>
      </c>
      <c r="K71" t="str">
        <f t="shared" si="2"/>
        <v>B</v>
      </c>
      <c r="L71" t="s">
        <v>22</v>
      </c>
      <c r="M71">
        <f t="shared" si="3"/>
        <v>1</v>
      </c>
    </row>
    <row r="72" ht="18" customHeight="1" spans="1:13">
      <c r="A72" t="s">
        <v>141</v>
      </c>
      <c r="B72" s="13" t="s">
        <v>142</v>
      </c>
      <c r="C72" t="s">
        <v>39</v>
      </c>
      <c r="D72" t="s">
        <v>24</v>
      </c>
      <c r="E72" t="s">
        <v>46</v>
      </c>
      <c r="F72" s="13" t="s">
        <v>175</v>
      </c>
      <c r="G72" t="s">
        <v>19</v>
      </c>
      <c r="H72" t="s">
        <v>20</v>
      </c>
      <c r="I72" t="s">
        <v>176</v>
      </c>
      <c r="J72" t="s">
        <v>22</v>
      </c>
      <c r="K72" t="str">
        <f t="shared" si="2"/>
        <v>B</v>
      </c>
      <c r="L72" t="s">
        <v>22</v>
      </c>
      <c r="M72">
        <f t="shared" si="3"/>
        <v>1</v>
      </c>
    </row>
    <row r="73" ht="18" customHeight="1" spans="1:13">
      <c r="A73" t="s">
        <v>141</v>
      </c>
      <c r="B73" s="13" t="s">
        <v>142</v>
      </c>
      <c r="C73" t="s">
        <v>39</v>
      </c>
      <c r="D73" t="s">
        <v>28</v>
      </c>
      <c r="E73" t="s">
        <v>46</v>
      </c>
      <c r="F73" s="13" t="s">
        <v>177</v>
      </c>
      <c r="G73" t="s">
        <v>19</v>
      </c>
      <c r="H73" t="s">
        <v>20</v>
      </c>
      <c r="I73" t="s">
        <v>178</v>
      </c>
      <c r="J73" t="s">
        <v>22</v>
      </c>
      <c r="K73" t="str">
        <f t="shared" si="2"/>
        <v>B</v>
      </c>
      <c r="L73" t="s">
        <v>22</v>
      </c>
      <c r="M73">
        <f t="shared" si="3"/>
        <v>1</v>
      </c>
    </row>
    <row r="74" ht="18" customHeight="1" spans="1:13">
      <c r="A74" t="s">
        <v>179</v>
      </c>
      <c r="B74" s="13" t="s">
        <v>180</v>
      </c>
      <c r="C74" t="s">
        <v>15</v>
      </c>
      <c r="D74" t="s">
        <v>16</v>
      </c>
      <c r="E74" t="s">
        <v>17</v>
      </c>
      <c r="F74" s="13" t="s">
        <v>181</v>
      </c>
      <c r="G74" t="s">
        <v>19</v>
      </c>
      <c r="H74" t="s">
        <v>20</v>
      </c>
      <c r="I74" t="s">
        <v>182</v>
      </c>
      <c r="J74" t="s">
        <v>34</v>
      </c>
      <c r="K74" t="str">
        <f t="shared" si="2"/>
        <v>A</v>
      </c>
      <c r="L74" t="s">
        <v>22</v>
      </c>
      <c r="M74">
        <f t="shared" si="3"/>
        <v>0</v>
      </c>
    </row>
    <row r="75" ht="18" customHeight="1" spans="1:13">
      <c r="A75" t="s">
        <v>179</v>
      </c>
      <c r="B75" s="13" t="s">
        <v>180</v>
      </c>
      <c r="C75" t="s">
        <v>15</v>
      </c>
      <c r="D75" t="s">
        <v>24</v>
      </c>
      <c r="E75" t="s">
        <v>17</v>
      </c>
      <c r="F75" s="13" t="s">
        <v>183</v>
      </c>
      <c r="G75" t="s">
        <v>19</v>
      </c>
      <c r="H75" t="s">
        <v>20</v>
      </c>
      <c r="I75" t="s">
        <v>184</v>
      </c>
      <c r="J75" t="s">
        <v>22</v>
      </c>
      <c r="K75" t="str">
        <f t="shared" si="2"/>
        <v>B</v>
      </c>
      <c r="L75" t="s">
        <v>22</v>
      </c>
      <c r="M75">
        <f t="shared" si="3"/>
        <v>1</v>
      </c>
    </row>
    <row r="76" ht="18" customHeight="1" spans="1:13">
      <c r="A76" t="s">
        <v>179</v>
      </c>
      <c r="B76" s="13" t="s">
        <v>180</v>
      </c>
      <c r="C76" t="s">
        <v>15</v>
      </c>
      <c r="D76" t="s">
        <v>28</v>
      </c>
      <c r="E76" t="s">
        <v>17</v>
      </c>
      <c r="F76" s="13" t="s">
        <v>185</v>
      </c>
      <c r="G76" t="s">
        <v>19</v>
      </c>
      <c r="H76" t="s">
        <v>20</v>
      </c>
      <c r="I76" t="s">
        <v>186</v>
      </c>
      <c r="J76" t="s">
        <v>34</v>
      </c>
      <c r="K76" t="str">
        <f t="shared" si="2"/>
        <v>A</v>
      </c>
      <c r="L76" t="s">
        <v>22</v>
      </c>
      <c r="M76">
        <f t="shared" si="3"/>
        <v>0</v>
      </c>
    </row>
    <row r="77" ht="18" customHeight="1" spans="1:13">
      <c r="A77" t="s">
        <v>179</v>
      </c>
      <c r="B77" s="13" t="s">
        <v>180</v>
      </c>
      <c r="C77" t="s">
        <v>31</v>
      </c>
      <c r="D77" t="s">
        <v>16</v>
      </c>
      <c r="E77" t="s">
        <v>17</v>
      </c>
      <c r="F77" s="13" t="s">
        <v>187</v>
      </c>
      <c r="G77" t="s">
        <v>19</v>
      </c>
      <c r="H77" t="s">
        <v>20</v>
      </c>
      <c r="I77" t="s">
        <v>188</v>
      </c>
      <c r="J77" t="s">
        <v>22</v>
      </c>
      <c r="K77" t="str">
        <f t="shared" si="2"/>
        <v>C</v>
      </c>
      <c r="L77" t="s">
        <v>34</v>
      </c>
      <c r="M77">
        <f t="shared" si="3"/>
        <v>0</v>
      </c>
    </row>
    <row r="78" ht="18" customHeight="1" spans="1:13">
      <c r="A78" t="s">
        <v>179</v>
      </c>
      <c r="B78" s="13" t="s">
        <v>180</v>
      </c>
      <c r="C78" t="s">
        <v>31</v>
      </c>
      <c r="D78" t="s">
        <v>24</v>
      </c>
      <c r="E78" t="s">
        <v>17</v>
      </c>
      <c r="F78" s="13" t="s">
        <v>189</v>
      </c>
      <c r="G78" t="s">
        <v>19</v>
      </c>
      <c r="H78" t="s">
        <v>20</v>
      </c>
      <c r="I78" t="s">
        <v>190</v>
      </c>
      <c r="J78" t="s">
        <v>34</v>
      </c>
      <c r="K78" t="str">
        <f t="shared" si="2"/>
        <v>A</v>
      </c>
      <c r="L78" t="s">
        <v>34</v>
      </c>
      <c r="M78">
        <f t="shared" si="3"/>
        <v>1</v>
      </c>
    </row>
    <row r="79" ht="18" customHeight="1" spans="1:13">
      <c r="A79" t="s">
        <v>179</v>
      </c>
      <c r="B79" s="13" t="s">
        <v>180</v>
      </c>
      <c r="C79" t="s">
        <v>31</v>
      </c>
      <c r="D79" t="s">
        <v>28</v>
      </c>
      <c r="E79" t="s">
        <v>17</v>
      </c>
      <c r="F79" s="13" t="s">
        <v>191</v>
      </c>
      <c r="G79" t="s">
        <v>19</v>
      </c>
      <c r="H79" t="s">
        <v>20</v>
      </c>
      <c r="I79" t="s">
        <v>192</v>
      </c>
      <c r="J79" t="s">
        <v>34</v>
      </c>
      <c r="K79" t="str">
        <f t="shared" si="2"/>
        <v>A</v>
      </c>
      <c r="L79" t="s">
        <v>34</v>
      </c>
      <c r="M79">
        <f t="shared" si="3"/>
        <v>1</v>
      </c>
    </row>
    <row r="80" ht="18" customHeight="1" spans="1:13">
      <c r="A80" t="s">
        <v>179</v>
      </c>
      <c r="B80" s="13" t="s">
        <v>180</v>
      </c>
      <c r="C80" t="s">
        <v>39</v>
      </c>
      <c r="D80" t="s">
        <v>16</v>
      </c>
      <c r="E80" t="s">
        <v>17</v>
      </c>
      <c r="F80" s="13" t="s">
        <v>193</v>
      </c>
      <c r="G80" t="s">
        <v>19</v>
      </c>
      <c r="H80" t="s">
        <v>20</v>
      </c>
      <c r="I80" t="s">
        <v>194</v>
      </c>
      <c r="J80" t="s">
        <v>22</v>
      </c>
      <c r="K80" t="str">
        <f t="shared" si="2"/>
        <v>C</v>
      </c>
      <c r="L80" t="s">
        <v>22</v>
      </c>
      <c r="M80">
        <f t="shared" si="3"/>
        <v>0</v>
      </c>
    </row>
    <row r="81" ht="18" customHeight="1" spans="1:13">
      <c r="A81" t="s">
        <v>179</v>
      </c>
      <c r="B81" s="13" t="s">
        <v>180</v>
      </c>
      <c r="C81" t="s">
        <v>39</v>
      </c>
      <c r="D81" t="s">
        <v>24</v>
      </c>
      <c r="E81" t="s">
        <v>17</v>
      </c>
      <c r="F81" s="13" t="s">
        <v>195</v>
      </c>
      <c r="G81" t="s">
        <v>19</v>
      </c>
      <c r="H81" t="s">
        <v>20</v>
      </c>
      <c r="I81" t="s">
        <v>196</v>
      </c>
      <c r="J81" t="s">
        <v>22</v>
      </c>
      <c r="K81" t="str">
        <f t="shared" si="2"/>
        <v>C</v>
      </c>
      <c r="L81" t="s">
        <v>22</v>
      </c>
      <c r="M81">
        <f t="shared" si="3"/>
        <v>0</v>
      </c>
    </row>
    <row r="82" ht="18" customHeight="1" spans="1:13">
      <c r="A82" t="s">
        <v>179</v>
      </c>
      <c r="B82" s="13" t="s">
        <v>180</v>
      </c>
      <c r="C82" t="s">
        <v>39</v>
      </c>
      <c r="D82" t="s">
        <v>28</v>
      </c>
      <c r="E82" t="s">
        <v>17</v>
      </c>
      <c r="F82" s="13" t="s">
        <v>197</v>
      </c>
      <c r="G82" t="s">
        <v>19</v>
      </c>
      <c r="H82" t="s">
        <v>20</v>
      </c>
      <c r="I82" t="s">
        <v>198</v>
      </c>
      <c r="J82" t="s">
        <v>34</v>
      </c>
      <c r="K82" t="str">
        <f t="shared" si="2"/>
        <v>B</v>
      </c>
      <c r="L82" t="s">
        <v>22</v>
      </c>
      <c r="M82">
        <f t="shared" si="3"/>
        <v>1</v>
      </c>
    </row>
    <row r="83" ht="18" customHeight="1" spans="1:13">
      <c r="A83" t="s">
        <v>179</v>
      </c>
      <c r="B83" s="13" t="s">
        <v>180</v>
      </c>
      <c r="C83" t="s">
        <v>15</v>
      </c>
      <c r="D83" t="s">
        <v>16</v>
      </c>
      <c r="E83" t="s">
        <v>46</v>
      </c>
      <c r="F83" s="13" t="s">
        <v>199</v>
      </c>
      <c r="G83" t="s">
        <v>19</v>
      </c>
      <c r="H83" t="s">
        <v>20</v>
      </c>
      <c r="I83" t="s">
        <v>200</v>
      </c>
      <c r="J83" t="s">
        <v>34</v>
      </c>
      <c r="K83" t="str">
        <f t="shared" si="2"/>
        <v>B</v>
      </c>
      <c r="L83" t="s">
        <v>22</v>
      </c>
      <c r="M83">
        <f t="shared" si="3"/>
        <v>1</v>
      </c>
    </row>
    <row r="84" ht="18" customHeight="1" spans="1:13">
      <c r="A84" t="s">
        <v>179</v>
      </c>
      <c r="B84" s="13" t="s">
        <v>180</v>
      </c>
      <c r="C84" t="s">
        <v>15</v>
      </c>
      <c r="D84" t="s">
        <v>24</v>
      </c>
      <c r="E84" t="s">
        <v>46</v>
      </c>
      <c r="F84" s="13" t="s">
        <v>201</v>
      </c>
      <c r="G84" t="s">
        <v>19</v>
      </c>
      <c r="H84" t="s">
        <v>20</v>
      </c>
      <c r="I84" t="s">
        <v>202</v>
      </c>
      <c r="J84" t="s">
        <v>34</v>
      </c>
      <c r="K84" t="str">
        <f t="shared" si="2"/>
        <v>B</v>
      </c>
      <c r="L84" t="s">
        <v>22</v>
      </c>
      <c r="M84">
        <f t="shared" si="3"/>
        <v>1</v>
      </c>
    </row>
    <row r="85" ht="18" customHeight="1" spans="1:13">
      <c r="A85" t="s">
        <v>179</v>
      </c>
      <c r="B85" s="13" t="s">
        <v>180</v>
      </c>
      <c r="C85" t="s">
        <v>15</v>
      </c>
      <c r="D85" t="s">
        <v>28</v>
      </c>
      <c r="E85" t="s">
        <v>46</v>
      </c>
      <c r="F85" s="13" t="s">
        <v>203</v>
      </c>
      <c r="G85" t="s">
        <v>19</v>
      </c>
      <c r="H85" t="s">
        <v>20</v>
      </c>
      <c r="I85" t="s">
        <v>204</v>
      </c>
      <c r="J85" t="s">
        <v>22</v>
      </c>
      <c r="K85" t="str">
        <f t="shared" si="2"/>
        <v>A</v>
      </c>
      <c r="L85" t="s">
        <v>22</v>
      </c>
      <c r="M85">
        <f t="shared" si="3"/>
        <v>0</v>
      </c>
    </row>
    <row r="86" ht="18" customHeight="1" spans="1:13">
      <c r="A86" t="s">
        <v>179</v>
      </c>
      <c r="B86" s="13" t="s">
        <v>180</v>
      </c>
      <c r="C86" t="s">
        <v>31</v>
      </c>
      <c r="D86" t="s">
        <v>16</v>
      </c>
      <c r="E86" t="s">
        <v>46</v>
      </c>
      <c r="F86" s="13" t="s">
        <v>205</v>
      </c>
      <c r="G86" t="s">
        <v>19</v>
      </c>
      <c r="H86" t="s">
        <v>20</v>
      </c>
      <c r="I86" t="s">
        <v>206</v>
      </c>
      <c r="J86" t="s">
        <v>34</v>
      </c>
      <c r="K86" t="str">
        <f t="shared" si="2"/>
        <v>C</v>
      </c>
      <c r="L86" t="s">
        <v>34</v>
      </c>
      <c r="M86">
        <f t="shared" si="3"/>
        <v>0</v>
      </c>
    </row>
    <row r="87" ht="18" customHeight="1" spans="1:13">
      <c r="A87" t="s">
        <v>179</v>
      </c>
      <c r="B87" s="13" t="s">
        <v>180</v>
      </c>
      <c r="C87" t="s">
        <v>31</v>
      </c>
      <c r="D87" t="s">
        <v>24</v>
      </c>
      <c r="E87" t="s">
        <v>46</v>
      </c>
      <c r="F87" s="13" t="s">
        <v>207</v>
      </c>
      <c r="G87" t="s">
        <v>19</v>
      </c>
      <c r="H87" t="s">
        <v>20</v>
      </c>
      <c r="I87" t="s">
        <v>208</v>
      </c>
      <c r="J87" t="s">
        <v>34</v>
      </c>
      <c r="K87" t="str">
        <f t="shared" si="2"/>
        <v>C</v>
      </c>
      <c r="L87" t="s">
        <v>34</v>
      </c>
      <c r="M87">
        <f t="shared" si="3"/>
        <v>0</v>
      </c>
    </row>
    <row r="88" ht="18" customHeight="1" spans="1:13">
      <c r="A88" t="s">
        <v>179</v>
      </c>
      <c r="B88" s="13" t="s">
        <v>180</v>
      </c>
      <c r="C88" t="s">
        <v>31</v>
      </c>
      <c r="D88" t="s">
        <v>28</v>
      </c>
      <c r="E88" t="s">
        <v>46</v>
      </c>
      <c r="F88" s="13" t="s">
        <v>209</v>
      </c>
      <c r="G88" t="s">
        <v>19</v>
      </c>
      <c r="H88" t="s">
        <v>20</v>
      </c>
      <c r="I88" t="s">
        <v>210</v>
      </c>
      <c r="J88" t="s">
        <v>34</v>
      </c>
      <c r="K88" t="str">
        <f t="shared" si="2"/>
        <v>C</v>
      </c>
      <c r="L88" t="s">
        <v>34</v>
      </c>
      <c r="M88">
        <f t="shared" si="3"/>
        <v>0</v>
      </c>
    </row>
    <row r="89" ht="18" customHeight="1" spans="1:13">
      <c r="A89" t="s">
        <v>179</v>
      </c>
      <c r="B89" s="13" t="s">
        <v>180</v>
      </c>
      <c r="C89" t="s">
        <v>39</v>
      </c>
      <c r="D89" t="s">
        <v>16</v>
      </c>
      <c r="E89" t="s">
        <v>46</v>
      </c>
      <c r="F89" s="13" t="s">
        <v>211</v>
      </c>
      <c r="G89" t="s">
        <v>19</v>
      </c>
      <c r="H89" t="s">
        <v>20</v>
      </c>
      <c r="I89" t="s">
        <v>212</v>
      </c>
      <c r="J89" t="s">
        <v>34</v>
      </c>
      <c r="K89" t="str">
        <f t="shared" si="2"/>
        <v>C</v>
      </c>
      <c r="L89" t="s">
        <v>22</v>
      </c>
      <c r="M89">
        <f t="shared" si="3"/>
        <v>0</v>
      </c>
    </row>
    <row r="90" ht="18" customHeight="1" spans="1:13">
      <c r="A90" t="s">
        <v>179</v>
      </c>
      <c r="B90" s="13" t="s">
        <v>180</v>
      </c>
      <c r="C90" t="s">
        <v>39</v>
      </c>
      <c r="D90" t="s">
        <v>24</v>
      </c>
      <c r="E90" t="s">
        <v>46</v>
      </c>
      <c r="F90" s="13" t="s">
        <v>213</v>
      </c>
      <c r="G90" t="s">
        <v>19</v>
      </c>
      <c r="H90" t="s">
        <v>20</v>
      </c>
      <c r="I90" t="s">
        <v>214</v>
      </c>
      <c r="J90" t="s">
        <v>34</v>
      </c>
      <c r="K90" t="str">
        <f t="shared" si="2"/>
        <v>C</v>
      </c>
      <c r="L90" t="s">
        <v>22</v>
      </c>
      <c r="M90">
        <f t="shared" si="3"/>
        <v>0</v>
      </c>
    </row>
    <row r="91" ht="18" customHeight="1" spans="1:13">
      <c r="A91" t="s">
        <v>179</v>
      </c>
      <c r="B91" s="13" t="s">
        <v>180</v>
      </c>
      <c r="C91" t="s">
        <v>39</v>
      </c>
      <c r="D91" t="s">
        <v>28</v>
      </c>
      <c r="E91" t="s">
        <v>46</v>
      </c>
      <c r="F91" s="13" t="s">
        <v>215</v>
      </c>
      <c r="G91" t="s">
        <v>19</v>
      </c>
      <c r="H91" t="s">
        <v>20</v>
      </c>
      <c r="I91" t="s">
        <v>216</v>
      </c>
      <c r="J91" t="s">
        <v>34</v>
      </c>
      <c r="K91" t="str">
        <f t="shared" si="2"/>
        <v>C</v>
      </c>
      <c r="L91" t="s">
        <v>22</v>
      </c>
      <c r="M91">
        <f t="shared" si="3"/>
        <v>0</v>
      </c>
    </row>
    <row r="92" ht="18" customHeight="1" spans="1:13">
      <c r="A92" t="s">
        <v>217</v>
      </c>
      <c r="B92" s="13" t="s">
        <v>218</v>
      </c>
      <c r="C92" t="s">
        <v>15</v>
      </c>
      <c r="D92" t="s">
        <v>16</v>
      </c>
      <c r="E92" t="s">
        <v>17</v>
      </c>
      <c r="F92" s="13" t="s">
        <v>219</v>
      </c>
      <c r="G92" t="s">
        <v>19</v>
      </c>
      <c r="H92" t="s">
        <v>20</v>
      </c>
      <c r="I92" t="s">
        <v>220</v>
      </c>
      <c r="J92" t="s">
        <v>34</v>
      </c>
      <c r="K92" t="str">
        <f t="shared" si="2"/>
        <v>A</v>
      </c>
      <c r="L92" t="s">
        <v>34</v>
      </c>
      <c r="M92">
        <f t="shared" si="3"/>
        <v>1</v>
      </c>
    </row>
    <row r="93" ht="18" customHeight="1" spans="1:13">
      <c r="A93" t="s">
        <v>217</v>
      </c>
      <c r="B93" s="13" t="s">
        <v>218</v>
      </c>
      <c r="C93" t="s">
        <v>15</v>
      </c>
      <c r="D93" t="s">
        <v>24</v>
      </c>
      <c r="E93" t="s">
        <v>17</v>
      </c>
      <c r="F93" s="13" t="s">
        <v>221</v>
      </c>
      <c r="G93" t="s">
        <v>19</v>
      </c>
      <c r="H93" t="s">
        <v>20</v>
      </c>
      <c r="I93" t="s">
        <v>222</v>
      </c>
      <c r="J93" t="s">
        <v>22</v>
      </c>
      <c r="K93" t="str">
        <f t="shared" si="2"/>
        <v>B</v>
      </c>
      <c r="L93" t="s">
        <v>34</v>
      </c>
      <c r="M93">
        <f t="shared" si="3"/>
        <v>0</v>
      </c>
    </row>
    <row r="94" ht="18" customHeight="1" spans="1:13">
      <c r="A94" t="s">
        <v>217</v>
      </c>
      <c r="B94" s="13" t="s">
        <v>218</v>
      </c>
      <c r="C94" t="s">
        <v>15</v>
      </c>
      <c r="D94" t="s">
        <v>28</v>
      </c>
      <c r="E94" t="s">
        <v>17</v>
      </c>
      <c r="F94" s="13" t="s">
        <v>223</v>
      </c>
      <c r="G94" t="s">
        <v>19</v>
      </c>
      <c r="H94" t="s">
        <v>20</v>
      </c>
      <c r="I94" t="s">
        <v>224</v>
      </c>
      <c r="J94" t="s">
        <v>34</v>
      </c>
      <c r="K94" t="str">
        <f t="shared" si="2"/>
        <v>A</v>
      </c>
      <c r="L94" t="s">
        <v>34</v>
      </c>
      <c r="M94">
        <f t="shared" si="3"/>
        <v>1</v>
      </c>
    </row>
    <row r="95" ht="18" customHeight="1" spans="1:13">
      <c r="A95" t="s">
        <v>217</v>
      </c>
      <c r="B95" s="13" t="s">
        <v>218</v>
      </c>
      <c r="C95" t="s">
        <v>31</v>
      </c>
      <c r="D95" t="s">
        <v>16</v>
      </c>
      <c r="E95" t="s">
        <v>17</v>
      </c>
      <c r="F95" s="13" t="s">
        <v>225</v>
      </c>
      <c r="G95" t="s">
        <v>19</v>
      </c>
      <c r="H95" t="s">
        <v>20</v>
      </c>
      <c r="I95" t="s">
        <v>226</v>
      </c>
      <c r="J95" t="s">
        <v>22</v>
      </c>
      <c r="K95" t="str">
        <f t="shared" si="2"/>
        <v>C</v>
      </c>
      <c r="L95" t="s">
        <v>27</v>
      </c>
      <c r="M95">
        <f t="shared" si="3"/>
        <v>1</v>
      </c>
    </row>
    <row r="96" ht="18" customHeight="1" spans="1:13">
      <c r="A96" t="s">
        <v>217</v>
      </c>
      <c r="B96" s="13" t="s">
        <v>218</v>
      </c>
      <c r="C96" t="s">
        <v>31</v>
      </c>
      <c r="D96" t="s">
        <v>24</v>
      </c>
      <c r="E96" t="s">
        <v>17</v>
      </c>
      <c r="F96" s="13" t="s">
        <v>227</v>
      </c>
      <c r="G96" t="s">
        <v>19</v>
      </c>
      <c r="H96" t="s">
        <v>20</v>
      </c>
      <c r="I96" t="s">
        <v>228</v>
      </c>
      <c r="J96" t="s">
        <v>22</v>
      </c>
      <c r="K96" t="str">
        <f t="shared" si="2"/>
        <v>C</v>
      </c>
      <c r="L96" t="s">
        <v>27</v>
      </c>
      <c r="M96">
        <f t="shared" si="3"/>
        <v>1</v>
      </c>
    </row>
    <row r="97" ht="18" customHeight="1" spans="1:13">
      <c r="A97" t="s">
        <v>217</v>
      </c>
      <c r="B97" s="13" t="s">
        <v>218</v>
      </c>
      <c r="C97" t="s">
        <v>31</v>
      </c>
      <c r="D97" t="s">
        <v>28</v>
      </c>
      <c r="E97" t="s">
        <v>17</v>
      </c>
      <c r="F97" s="13" t="s">
        <v>229</v>
      </c>
      <c r="G97" t="s">
        <v>19</v>
      </c>
      <c r="H97" t="s">
        <v>20</v>
      </c>
      <c r="I97" t="s">
        <v>230</v>
      </c>
      <c r="J97" t="s">
        <v>22</v>
      </c>
      <c r="K97" t="str">
        <f t="shared" si="2"/>
        <v>C</v>
      </c>
      <c r="L97" t="s">
        <v>27</v>
      </c>
      <c r="M97">
        <f t="shared" si="3"/>
        <v>1</v>
      </c>
    </row>
    <row r="98" ht="18" customHeight="1" spans="1:13">
      <c r="A98" t="s">
        <v>217</v>
      </c>
      <c r="B98" s="13" t="s">
        <v>218</v>
      </c>
      <c r="C98" t="s">
        <v>39</v>
      </c>
      <c r="D98" t="s">
        <v>16</v>
      </c>
      <c r="E98" t="s">
        <v>17</v>
      </c>
      <c r="F98" s="13" t="s">
        <v>231</v>
      </c>
      <c r="G98" t="s">
        <v>19</v>
      </c>
      <c r="H98" t="s">
        <v>20</v>
      </c>
      <c r="I98" t="s">
        <v>232</v>
      </c>
      <c r="J98" t="s">
        <v>22</v>
      </c>
      <c r="K98" t="str">
        <f t="shared" si="2"/>
        <v>C</v>
      </c>
      <c r="L98" t="s">
        <v>27</v>
      </c>
      <c r="M98">
        <f t="shared" si="3"/>
        <v>1</v>
      </c>
    </row>
    <row r="99" ht="18" customHeight="1" spans="1:13">
      <c r="A99" t="s">
        <v>217</v>
      </c>
      <c r="B99" s="13" t="s">
        <v>218</v>
      </c>
      <c r="C99" t="s">
        <v>39</v>
      </c>
      <c r="D99" t="s">
        <v>24</v>
      </c>
      <c r="E99" t="s">
        <v>17</v>
      </c>
      <c r="F99" s="13" t="s">
        <v>233</v>
      </c>
      <c r="G99" t="s">
        <v>19</v>
      </c>
      <c r="H99" t="s">
        <v>20</v>
      </c>
      <c r="I99" t="s">
        <v>234</v>
      </c>
      <c r="J99" t="s">
        <v>22</v>
      </c>
      <c r="K99" t="str">
        <f t="shared" si="2"/>
        <v>C</v>
      </c>
      <c r="L99" t="s">
        <v>27</v>
      </c>
      <c r="M99">
        <f t="shared" si="3"/>
        <v>1</v>
      </c>
    </row>
    <row r="100" ht="18" customHeight="1" spans="1:13">
      <c r="A100" t="s">
        <v>217</v>
      </c>
      <c r="B100" s="13" t="s">
        <v>218</v>
      </c>
      <c r="C100" t="s">
        <v>39</v>
      </c>
      <c r="D100" t="s">
        <v>28</v>
      </c>
      <c r="E100" t="s">
        <v>17</v>
      </c>
      <c r="F100" s="13" t="s">
        <v>235</v>
      </c>
      <c r="G100" t="s">
        <v>19</v>
      </c>
      <c r="H100" t="s">
        <v>20</v>
      </c>
      <c r="I100" t="s">
        <v>236</v>
      </c>
      <c r="J100" t="s">
        <v>22</v>
      </c>
      <c r="K100" t="str">
        <f t="shared" si="2"/>
        <v>C</v>
      </c>
      <c r="L100" t="s">
        <v>27</v>
      </c>
      <c r="M100">
        <f t="shared" si="3"/>
        <v>1</v>
      </c>
    </row>
    <row r="101" ht="18" customHeight="1" spans="1:13">
      <c r="A101" t="s">
        <v>217</v>
      </c>
      <c r="B101" s="13" t="s">
        <v>218</v>
      </c>
      <c r="C101" t="s">
        <v>15</v>
      </c>
      <c r="D101" t="s">
        <v>16</v>
      </c>
      <c r="E101" t="s">
        <v>46</v>
      </c>
      <c r="F101" s="13" t="s">
        <v>237</v>
      </c>
      <c r="G101" t="s">
        <v>19</v>
      </c>
      <c r="H101" t="s">
        <v>20</v>
      </c>
      <c r="I101" t="s">
        <v>238</v>
      </c>
      <c r="J101" t="s">
        <v>22</v>
      </c>
      <c r="K101" t="str">
        <f t="shared" si="2"/>
        <v>A</v>
      </c>
      <c r="L101" t="s">
        <v>34</v>
      </c>
      <c r="M101">
        <f t="shared" si="3"/>
        <v>1</v>
      </c>
    </row>
    <row r="102" ht="18" customHeight="1" spans="1:13">
      <c r="A102" t="s">
        <v>217</v>
      </c>
      <c r="B102" s="13" t="s">
        <v>218</v>
      </c>
      <c r="C102" t="s">
        <v>15</v>
      </c>
      <c r="D102" t="s">
        <v>24</v>
      </c>
      <c r="E102" t="s">
        <v>46</v>
      </c>
      <c r="F102" s="13" t="s">
        <v>239</v>
      </c>
      <c r="G102" t="s">
        <v>19</v>
      </c>
      <c r="H102" t="s">
        <v>20</v>
      </c>
      <c r="I102" t="s">
        <v>240</v>
      </c>
      <c r="J102" t="s">
        <v>34</v>
      </c>
      <c r="K102" t="str">
        <f t="shared" si="2"/>
        <v>B</v>
      </c>
      <c r="L102" t="s">
        <v>34</v>
      </c>
      <c r="M102">
        <f t="shared" si="3"/>
        <v>0</v>
      </c>
    </row>
    <row r="103" ht="18" customHeight="1" spans="1:13">
      <c r="A103" t="s">
        <v>217</v>
      </c>
      <c r="B103" s="13" t="s">
        <v>218</v>
      </c>
      <c r="C103" t="s">
        <v>15</v>
      </c>
      <c r="D103" t="s">
        <v>28</v>
      </c>
      <c r="E103" t="s">
        <v>46</v>
      </c>
      <c r="F103" s="13" t="s">
        <v>241</v>
      </c>
      <c r="G103" t="s">
        <v>19</v>
      </c>
      <c r="H103" t="s">
        <v>20</v>
      </c>
      <c r="I103" t="s">
        <v>242</v>
      </c>
      <c r="J103" t="s">
        <v>27</v>
      </c>
      <c r="K103" t="str">
        <f t="shared" si="2"/>
        <v>D(平局)</v>
      </c>
      <c r="L103" t="s">
        <v>34</v>
      </c>
      <c r="M103">
        <f t="shared" si="3"/>
        <v>0</v>
      </c>
    </row>
    <row r="104" ht="18" customHeight="1" spans="1:13">
      <c r="A104" t="s">
        <v>217</v>
      </c>
      <c r="B104" s="13" t="s">
        <v>218</v>
      </c>
      <c r="C104" t="s">
        <v>31</v>
      </c>
      <c r="D104" t="s">
        <v>16</v>
      </c>
      <c r="E104" t="s">
        <v>46</v>
      </c>
      <c r="F104" s="13" t="s">
        <v>243</v>
      </c>
      <c r="G104" t="s">
        <v>19</v>
      </c>
      <c r="H104" t="s">
        <v>20</v>
      </c>
      <c r="I104" t="s">
        <v>244</v>
      </c>
      <c r="J104" t="s">
        <v>34</v>
      </c>
      <c r="K104" t="str">
        <f t="shared" si="2"/>
        <v>C</v>
      </c>
      <c r="L104" t="s">
        <v>27</v>
      </c>
      <c r="M104">
        <f t="shared" si="3"/>
        <v>1</v>
      </c>
    </row>
    <row r="105" ht="18" customHeight="1" spans="1:13">
      <c r="A105" t="s">
        <v>217</v>
      </c>
      <c r="B105" s="13" t="s">
        <v>218</v>
      </c>
      <c r="C105" t="s">
        <v>31</v>
      </c>
      <c r="D105" t="s">
        <v>24</v>
      </c>
      <c r="E105" t="s">
        <v>46</v>
      </c>
      <c r="F105" s="13" t="s">
        <v>245</v>
      </c>
      <c r="G105" t="s">
        <v>19</v>
      </c>
      <c r="H105" t="s">
        <v>20</v>
      </c>
      <c r="I105" t="s">
        <v>246</v>
      </c>
      <c r="J105" t="s">
        <v>34</v>
      </c>
      <c r="K105" t="str">
        <f t="shared" si="2"/>
        <v>C</v>
      </c>
      <c r="L105" t="s">
        <v>27</v>
      </c>
      <c r="M105">
        <f t="shared" si="3"/>
        <v>1</v>
      </c>
    </row>
    <row r="106" ht="18" customHeight="1" spans="1:13">
      <c r="A106" t="s">
        <v>217</v>
      </c>
      <c r="B106" s="13" t="s">
        <v>218</v>
      </c>
      <c r="C106" t="s">
        <v>31</v>
      </c>
      <c r="D106" t="s">
        <v>28</v>
      </c>
      <c r="E106" t="s">
        <v>46</v>
      </c>
      <c r="F106" s="13" t="s">
        <v>247</v>
      </c>
      <c r="G106" t="s">
        <v>19</v>
      </c>
      <c r="H106" t="s">
        <v>20</v>
      </c>
      <c r="I106" t="s">
        <v>248</v>
      </c>
      <c r="J106" t="s">
        <v>34</v>
      </c>
      <c r="K106" t="str">
        <f t="shared" si="2"/>
        <v>C</v>
      </c>
      <c r="L106" t="s">
        <v>27</v>
      </c>
      <c r="M106">
        <f t="shared" si="3"/>
        <v>1</v>
      </c>
    </row>
    <row r="107" ht="18" customHeight="1" spans="1:13">
      <c r="A107" t="s">
        <v>217</v>
      </c>
      <c r="B107" s="13" t="s">
        <v>218</v>
      </c>
      <c r="C107" t="s">
        <v>39</v>
      </c>
      <c r="D107" t="s">
        <v>16</v>
      </c>
      <c r="E107" t="s">
        <v>46</v>
      </c>
      <c r="F107" s="13" t="s">
        <v>249</v>
      </c>
      <c r="G107" t="s">
        <v>19</v>
      </c>
      <c r="H107" t="s">
        <v>20</v>
      </c>
      <c r="I107" t="s">
        <v>250</v>
      </c>
      <c r="J107" t="s">
        <v>34</v>
      </c>
      <c r="K107" t="str">
        <f t="shared" si="2"/>
        <v>C</v>
      </c>
      <c r="L107" t="s">
        <v>27</v>
      </c>
      <c r="M107">
        <f t="shared" si="3"/>
        <v>1</v>
      </c>
    </row>
    <row r="108" ht="18" customHeight="1" spans="1:13">
      <c r="A108" t="s">
        <v>217</v>
      </c>
      <c r="B108" s="13" t="s">
        <v>218</v>
      </c>
      <c r="C108" t="s">
        <v>39</v>
      </c>
      <c r="D108" t="s">
        <v>24</v>
      </c>
      <c r="E108" t="s">
        <v>46</v>
      </c>
      <c r="F108" s="13" t="s">
        <v>251</v>
      </c>
      <c r="G108" t="s">
        <v>19</v>
      </c>
      <c r="H108" t="s">
        <v>20</v>
      </c>
      <c r="I108" t="s">
        <v>252</v>
      </c>
      <c r="J108" t="s">
        <v>34</v>
      </c>
      <c r="K108" t="str">
        <f t="shared" si="2"/>
        <v>C</v>
      </c>
      <c r="L108" t="s">
        <v>27</v>
      </c>
      <c r="M108">
        <f t="shared" si="3"/>
        <v>1</v>
      </c>
    </row>
    <row r="109" ht="18" customHeight="1" spans="1:13">
      <c r="A109" t="s">
        <v>217</v>
      </c>
      <c r="B109" s="13" t="s">
        <v>218</v>
      </c>
      <c r="C109" t="s">
        <v>39</v>
      </c>
      <c r="D109" t="s">
        <v>28</v>
      </c>
      <c r="E109" t="s">
        <v>46</v>
      </c>
      <c r="F109" s="13" t="s">
        <v>253</v>
      </c>
      <c r="G109" t="s">
        <v>19</v>
      </c>
      <c r="H109" t="s">
        <v>20</v>
      </c>
      <c r="I109" t="s">
        <v>254</v>
      </c>
      <c r="J109" t="s">
        <v>34</v>
      </c>
      <c r="K109" t="str">
        <f t="shared" si="2"/>
        <v>C</v>
      </c>
      <c r="L109" t="s">
        <v>27</v>
      </c>
      <c r="M109">
        <f t="shared" si="3"/>
        <v>1</v>
      </c>
    </row>
    <row r="110" ht="18" customHeight="1" spans="1:13">
      <c r="A110" t="s">
        <v>255</v>
      </c>
      <c r="B110" s="13" t="s">
        <v>256</v>
      </c>
      <c r="C110" t="s">
        <v>15</v>
      </c>
      <c r="D110" t="s">
        <v>16</v>
      </c>
      <c r="E110" t="s">
        <v>17</v>
      </c>
      <c r="F110" s="13" t="s">
        <v>257</v>
      </c>
      <c r="G110" t="s">
        <v>19</v>
      </c>
      <c r="H110" t="s">
        <v>20</v>
      </c>
      <c r="I110" t="s">
        <v>258</v>
      </c>
      <c r="J110" t="s">
        <v>34</v>
      </c>
      <c r="K110" t="str">
        <f t="shared" si="2"/>
        <v>A</v>
      </c>
      <c r="L110" t="s">
        <v>23</v>
      </c>
      <c r="M110">
        <f t="shared" si="3"/>
        <v>0</v>
      </c>
    </row>
    <row r="111" ht="18" customHeight="1" spans="1:13">
      <c r="A111" t="s">
        <v>255</v>
      </c>
      <c r="B111" s="13" t="s">
        <v>256</v>
      </c>
      <c r="C111" t="s">
        <v>15</v>
      </c>
      <c r="D111" t="s">
        <v>24</v>
      </c>
      <c r="E111" t="s">
        <v>17</v>
      </c>
      <c r="F111" s="13" t="s">
        <v>259</v>
      </c>
      <c r="G111" t="s">
        <v>19</v>
      </c>
      <c r="H111" t="s">
        <v>20</v>
      </c>
      <c r="I111" t="s">
        <v>260</v>
      </c>
      <c r="J111" t="s">
        <v>22</v>
      </c>
      <c r="K111" t="str">
        <f t="shared" si="2"/>
        <v>B</v>
      </c>
      <c r="L111" t="s">
        <v>23</v>
      </c>
      <c r="M111">
        <f t="shared" si="3"/>
        <v>0</v>
      </c>
    </row>
    <row r="112" s="10" customFormat="1" spans="1:13">
      <c r="A112" s="14" t="s">
        <v>255</v>
      </c>
      <c r="B112" s="13" t="s">
        <v>256</v>
      </c>
      <c r="C112" s="14" t="s">
        <v>15</v>
      </c>
      <c r="D112" s="14" t="s">
        <v>28</v>
      </c>
      <c r="E112" s="14" t="s">
        <v>17</v>
      </c>
      <c r="F112" s="13" t="s">
        <v>261</v>
      </c>
      <c r="G112" s="14" t="s">
        <v>19</v>
      </c>
      <c r="H112" s="14" t="s">
        <v>20</v>
      </c>
      <c r="I112" s="14" t="s">
        <v>262</v>
      </c>
      <c r="J112" s="14" t="s">
        <v>34</v>
      </c>
      <c r="K112" s="14" t="str">
        <f t="shared" si="2"/>
        <v>A</v>
      </c>
      <c r="L112" s="14" t="s">
        <v>23</v>
      </c>
      <c r="M112">
        <f t="shared" si="3"/>
        <v>0</v>
      </c>
    </row>
    <row r="113" s="10" customFormat="1" spans="1:13">
      <c r="A113" s="14" t="s">
        <v>255</v>
      </c>
      <c r="B113" s="13" t="s">
        <v>256</v>
      </c>
      <c r="C113" s="14" t="s">
        <v>31</v>
      </c>
      <c r="D113" s="14" t="s">
        <v>16</v>
      </c>
      <c r="E113" s="14" t="s">
        <v>17</v>
      </c>
      <c r="F113" s="13" t="s">
        <v>263</v>
      </c>
      <c r="G113" s="14" t="s">
        <v>19</v>
      </c>
      <c r="H113" s="14" t="s">
        <v>20</v>
      </c>
      <c r="I113" s="14" t="s">
        <v>264</v>
      </c>
      <c r="J113" s="14" t="s">
        <v>22</v>
      </c>
      <c r="K113" s="14" t="str">
        <f t="shared" si="2"/>
        <v>C</v>
      </c>
      <c r="L113" s="14" t="s">
        <v>34</v>
      </c>
      <c r="M113">
        <f t="shared" si="3"/>
        <v>0</v>
      </c>
    </row>
    <row r="114" s="10" customFormat="1" spans="1:13">
      <c r="A114" s="14" t="s">
        <v>255</v>
      </c>
      <c r="B114" s="13" t="s">
        <v>256</v>
      </c>
      <c r="C114" s="14" t="s">
        <v>31</v>
      </c>
      <c r="D114" s="14" t="s">
        <v>24</v>
      </c>
      <c r="E114" s="14" t="s">
        <v>17</v>
      </c>
      <c r="F114" s="13" t="s">
        <v>265</v>
      </c>
      <c r="G114" s="14" t="s">
        <v>19</v>
      </c>
      <c r="H114" s="14" t="s">
        <v>20</v>
      </c>
      <c r="I114" s="14" t="s">
        <v>266</v>
      </c>
      <c r="J114" s="14" t="s">
        <v>34</v>
      </c>
      <c r="K114" s="14" t="str">
        <f t="shared" si="2"/>
        <v>A</v>
      </c>
      <c r="L114" s="14" t="s">
        <v>34</v>
      </c>
      <c r="M114">
        <f t="shared" si="3"/>
        <v>1</v>
      </c>
    </row>
    <row r="115" s="10" customFormat="1" spans="1:13">
      <c r="A115" s="14" t="s">
        <v>255</v>
      </c>
      <c r="B115" s="13" t="s">
        <v>256</v>
      </c>
      <c r="C115" s="14" t="s">
        <v>31</v>
      </c>
      <c r="D115" s="14" t="s">
        <v>28</v>
      </c>
      <c r="E115" s="14" t="s">
        <v>17</v>
      </c>
      <c r="F115" s="13" t="s">
        <v>267</v>
      </c>
      <c r="G115" s="14" t="s">
        <v>19</v>
      </c>
      <c r="H115" s="14" t="s">
        <v>20</v>
      </c>
      <c r="I115" s="14" t="s">
        <v>268</v>
      </c>
      <c r="J115" s="14" t="s">
        <v>34</v>
      </c>
      <c r="K115" s="14" t="str">
        <f t="shared" si="2"/>
        <v>A</v>
      </c>
      <c r="L115" s="14" t="s">
        <v>34</v>
      </c>
      <c r="M115">
        <f t="shared" si="3"/>
        <v>1</v>
      </c>
    </row>
    <row r="116" s="10" customFormat="1" spans="1:13">
      <c r="A116" s="14" t="s">
        <v>255</v>
      </c>
      <c r="B116" s="13" t="s">
        <v>256</v>
      </c>
      <c r="C116" s="14" t="s">
        <v>39</v>
      </c>
      <c r="D116" s="14" t="s">
        <v>16</v>
      </c>
      <c r="E116" s="14" t="s">
        <v>17</v>
      </c>
      <c r="F116" s="13" t="s">
        <v>269</v>
      </c>
      <c r="G116" s="14" t="s">
        <v>19</v>
      </c>
      <c r="H116" s="14" t="s">
        <v>20</v>
      </c>
      <c r="I116" s="14" t="s">
        <v>270</v>
      </c>
      <c r="J116" s="14" t="s">
        <v>34</v>
      </c>
      <c r="K116" s="14" t="str">
        <f t="shared" si="2"/>
        <v>B</v>
      </c>
      <c r="L116" s="14" t="s">
        <v>22</v>
      </c>
      <c r="M116">
        <f t="shared" si="3"/>
        <v>1</v>
      </c>
    </row>
    <row r="117" s="10" customFormat="1" spans="1:13">
      <c r="A117" s="14" t="s">
        <v>255</v>
      </c>
      <c r="B117" s="13" t="s">
        <v>256</v>
      </c>
      <c r="C117" s="14" t="s">
        <v>39</v>
      </c>
      <c r="D117" s="14" t="s">
        <v>24</v>
      </c>
      <c r="E117" s="14" t="s">
        <v>17</v>
      </c>
      <c r="F117" s="13" t="s">
        <v>271</v>
      </c>
      <c r="G117" s="14" t="s">
        <v>19</v>
      </c>
      <c r="H117" s="14" t="s">
        <v>20</v>
      </c>
      <c r="I117" s="14" t="s">
        <v>272</v>
      </c>
      <c r="J117" s="14" t="s">
        <v>34</v>
      </c>
      <c r="K117" s="14" t="str">
        <f t="shared" si="2"/>
        <v>B</v>
      </c>
      <c r="L117" s="14" t="s">
        <v>22</v>
      </c>
      <c r="M117">
        <f t="shared" si="3"/>
        <v>1</v>
      </c>
    </row>
    <row r="118" s="10" customFormat="1" spans="1:13">
      <c r="A118" s="14" t="s">
        <v>255</v>
      </c>
      <c r="B118" s="13" t="s">
        <v>256</v>
      </c>
      <c r="C118" s="14" t="s">
        <v>39</v>
      </c>
      <c r="D118" s="14" t="s">
        <v>28</v>
      </c>
      <c r="E118" s="14" t="s">
        <v>17</v>
      </c>
      <c r="F118" s="13" t="s">
        <v>273</v>
      </c>
      <c r="G118" s="14" t="s">
        <v>19</v>
      </c>
      <c r="H118" s="14" t="s">
        <v>20</v>
      </c>
      <c r="I118" s="14" t="s">
        <v>274</v>
      </c>
      <c r="J118" s="14" t="s">
        <v>34</v>
      </c>
      <c r="K118" s="14" t="str">
        <f t="shared" si="2"/>
        <v>B</v>
      </c>
      <c r="L118" s="14" t="s">
        <v>22</v>
      </c>
      <c r="M118">
        <f t="shared" si="3"/>
        <v>1</v>
      </c>
    </row>
    <row r="119" s="10" customFormat="1" spans="1:13">
      <c r="A119" s="14" t="s">
        <v>255</v>
      </c>
      <c r="B119" s="13" t="s">
        <v>256</v>
      </c>
      <c r="C119" s="14" t="s">
        <v>15</v>
      </c>
      <c r="D119" s="14" t="s">
        <v>16</v>
      </c>
      <c r="E119" s="14" t="s">
        <v>46</v>
      </c>
      <c r="F119" s="13" t="s">
        <v>275</v>
      </c>
      <c r="G119" s="14" t="s">
        <v>19</v>
      </c>
      <c r="H119" s="14" t="s">
        <v>20</v>
      </c>
      <c r="I119" s="14" t="s">
        <v>276</v>
      </c>
      <c r="J119" s="14" t="s">
        <v>34</v>
      </c>
      <c r="K119" s="14" t="str">
        <f t="shared" si="2"/>
        <v>B</v>
      </c>
      <c r="L119" s="14" t="s">
        <v>23</v>
      </c>
      <c r="M119">
        <f t="shared" si="3"/>
        <v>0</v>
      </c>
    </row>
    <row r="120" s="10" customFormat="1" spans="1:13">
      <c r="A120" s="14" t="s">
        <v>255</v>
      </c>
      <c r="B120" s="13" t="s">
        <v>256</v>
      </c>
      <c r="C120" s="14" t="s">
        <v>15</v>
      </c>
      <c r="D120" s="14" t="s">
        <v>24</v>
      </c>
      <c r="E120" s="14" t="s">
        <v>46</v>
      </c>
      <c r="F120" s="13" t="s">
        <v>277</v>
      </c>
      <c r="G120" s="14" t="s">
        <v>19</v>
      </c>
      <c r="H120" s="14" t="s">
        <v>20</v>
      </c>
      <c r="I120" s="14" t="s">
        <v>278</v>
      </c>
      <c r="J120" s="14" t="s">
        <v>34</v>
      </c>
      <c r="K120" s="14" t="str">
        <f t="shared" si="2"/>
        <v>B</v>
      </c>
      <c r="L120" s="14" t="s">
        <v>23</v>
      </c>
      <c r="M120">
        <f t="shared" si="3"/>
        <v>0</v>
      </c>
    </row>
    <row r="121" s="10" customFormat="1" spans="1:13">
      <c r="A121" s="14" t="s">
        <v>255</v>
      </c>
      <c r="B121" s="13" t="s">
        <v>256</v>
      </c>
      <c r="C121" s="14" t="s">
        <v>15</v>
      </c>
      <c r="D121" s="14" t="s">
        <v>28</v>
      </c>
      <c r="E121" s="14" t="s">
        <v>46</v>
      </c>
      <c r="F121" s="13" t="s">
        <v>279</v>
      </c>
      <c r="G121" s="14" t="s">
        <v>19</v>
      </c>
      <c r="H121" s="14" t="s">
        <v>20</v>
      </c>
      <c r="I121" s="14" t="s">
        <v>280</v>
      </c>
      <c r="J121" s="14" t="s">
        <v>34</v>
      </c>
      <c r="K121" s="14" t="str">
        <f t="shared" si="2"/>
        <v>B</v>
      </c>
      <c r="L121" s="14" t="s">
        <v>23</v>
      </c>
      <c r="M121">
        <f t="shared" si="3"/>
        <v>0</v>
      </c>
    </row>
    <row r="122" s="10" customFormat="1" spans="1:13">
      <c r="A122" s="14" t="s">
        <v>255</v>
      </c>
      <c r="B122" s="13" t="s">
        <v>256</v>
      </c>
      <c r="C122" s="14" t="s">
        <v>31</v>
      </c>
      <c r="D122" s="14" t="s">
        <v>16</v>
      </c>
      <c r="E122" s="14" t="s">
        <v>46</v>
      </c>
      <c r="F122" s="13" t="s">
        <v>281</v>
      </c>
      <c r="G122" s="14" t="s">
        <v>19</v>
      </c>
      <c r="H122" s="14" t="s">
        <v>20</v>
      </c>
      <c r="I122" s="14" t="s">
        <v>282</v>
      </c>
      <c r="J122" s="14" t="s">
        <v>22</v>
      </c>
      <c r="K122" s="14" t="str">
        <f t="shared" si="2"/>
        <v>A</v>
      </c>
      <c r="L122" s="14" t="s">
        <v>34</v>
      </c>
      <c r="M122">
        <f t="shared" si="3"/>
        <v>1</v>
      </c>
    </row>
    <row r="123" s="10" customFormat="1" spans="1:13">
      <c r="A123" s="14" t="s">
        <v>255</v>
      </c>
      <c r="B123" s="13" t="s">
        <v>256</v>
      </c>
      <c r="C123" s="14" t="s">
        <v>31</v>
      </c>
      <c r="D123" s="14" t="s">
        <v>24</v>
      </c>
      <c r="E123" s="14" t="s">
        <v>46</v>
      </c>
      <c r="F123" s="13" t="s">
        <v>283</v>
      </c>
      <c r="G123" s="14" t="s">
        <v>19</v>
      </c>
      <c r="H123" s="14" t="s">
        <v>20</v>
      </c>
      <c r="I123" s="14" t="s">
        <v>284</v>
      </c>
      <c r="J123" s="14" t="s">
        <v>22</v>
      </c>
      <c r="K123" s="14" t="str">
        <f t="shared" si="2"/>
        <v>A</v>
      </c>
      <c r="L123" s="14" t="s">
        <v>34</v>
      </c>
      <c r="M123">
        <f t="shared" si="3"/>
        <v>1</v>
      </c>
    </row>
    <row r="124" s="10" customFormat="1" spans="1:13">
      <c r="A124" s="14" t="s">
        <v>255</v>
      </c>
      <c r="B124" s="13" t="s">
        <v>256</v>
      </c>
      <c r="C124" s="14" t="s">
        <v>31</v>
      </c>
      <c r="D124" s="14" t="s">
        <v>28</v>
      </c>
      <c r="E124" s="14" t="s">
        <v>46</v>
      </c>
      <c r="F124" s="13" t="s">
        <v>285</v>
      </c>
      <c r="G124" s="14" t="s">
        <v>19</v>
      </c>
      <c r="H124" s="14" t="s">
        <v>20</v>
      </c>
      <c r="I124" s="14" t="s">
        <v>286</v>
      </c>
      <c r="J124" s="14" t="s">
        <v>22</v>
      </c>
      <c r="K124" s="14" t="str">
        <f t="shared" si="2"/>
        <v>A</v>
      </c>
      <c r="L124" s="14" t="s">
        <v>34</v>
      </c>
      <c r="M124">
        <f t="shared" si="3"/>
        <v>1</v>
      </c>
    </row>
    <row r="125" s="10" customFormat="1" spans="1:13">
      <c r="A125" s="14" t="s">
        <v>255</v>
      </c>
      <c r="B125" s="13" t="s">
        <v>256</v>
      </c>
      <c r="C125" s="14" t="s">
        <v>39</v>
      </c>
      <c r="D125" s="14" t="s">
        <v>16</v>
      </c>
      <c r="E125" s="14" t="s">
        <v>46</v>
      </c>
      <c r="F125" s="13" t="s">
        <v>287</v>
      </c>
      <c r="G125" s="14" t="s">
        <v>19</v>
      </c>
      <c r="H125" s="14" t="s">
        <v>20</v>
      </c>
      <c r="I125" s="14" t="s">
        <v>288</v>
      </c>
      <c r="J125" s="14" t="s">
        <v>22</v>
      </c>
      <c r="K125" s="14" t="str">
        <f t="shared" si="2"/>
        <v>B</v>
      </c>
      <c r="L125" s="14" t="s">
        <v>22</v>
      </c>
      <c r="M125">
        <f t="shared" si="3"/>
        <v>1</v>
      </c>
    </row>
    <row r="126" s="10" customFormat="1" spans="1:13">
      <c r="A126" s="14" t="s">
        <v>255</v>
      </c>
      <c r="B126" s="13" t="s">
        <v>256</v>
      </c>
      <c r="C126" s="14" t="s">
        <v>39</v>
      </c>
      <c r="D126" s="14" t="s">
        <v>24</v>
      </c>
      <c r="E126" s="14" t="s">
        <v>46</v>
      </c>
      <c r="F126" s="13" t="s">
        <v>289</v>
      </c>
      <c r="G126" s="14" t="s">
        <v>19</v>
      </c>
      <c r="H126" s="14" t="s">
        <v>20</v>
      </c>
      <c r="I126" s="14" t="s">
        <v>290</v>
      </c>
      <c r="J126" s="14" t="s">
        <v>22</v>
      </c>
      <c r="K126" s="14" t="str">
        <f t="shared" si="2"/>
        <v>B</v>
      </c>
      <c r="L126" s="14" t="s">
        <v>22</v>
      </c>
      <c r="M126">
        <f t="shared" si="3"/>
        <v>1</v>
      </c>
    </row>
    <row r="127" s="10" customFormat="1" spans="1:13">
      <c r="A127" s="14" t="s">
        <v>255</v>
      </c>
      <c r="B127" s="13" t="s">
        <v>256</v>
      </c>
      <c r="C127" s="14" t="s">
        <v>39</v>
      </c>
      <c r="D127" s="14" t="s">
        <v>28</v>
      </c>
      <c r="E127" s="14" t="s">
        <v>46</v>
      </c>
      <c r="F127" s="13" t="s">
        <v>291</v>
      </c>
      <c r="G127" s="14" t="s">
        <v>19</v>
      </c>
      <c r="H127" s="14" t="s">
        <v>20</v>
      </c>
      <c r="I127" s="14" t="s">
        <v>292</v>
      </c>
      <c r="J127" s="14" t="s">
        <v>22</v>
      </c>
      <c r="K127" s="14" t="str">
        <f t="shared" si="2"/>
        <v>B</v>
      </c>
      <c r="L127" s="14" t="s">
        <v>22</v>
      </c>
      <c r="M127">
        <f t="shared" si="3"/>
        <v>1</v>
      </c>
    </row>
    <row r="128" s="10" customFormat="1" spans="1:13">
      <c r="A128" s="14" t="s">
        <v>293</v>
      </c>
      <c r="B128" s="13" t="s">
        <v>294</v>
      </c>
      <c r="C128" s="14" t="s">
        <v>15</v>
      </c>
      <c r="D128" s="14" t="s">
        <v>16</v>
      </c>
      <c r="E128" s="14" t="s">
        <v>17</v>
      </c>
      <c r="F128" s="13" t="s">
        <v>295</v>
      </c>
      <c r="G128" s="14" t="s">
        <v>19</v>
      </c>
      <c r="H128" s="14" t="s">
        <v>20</v>
      </c>
      <c r="I128" s="14" t="s">
        <v>296</v>
      </c>
      <c r="J128" s="14" t="s">
        <v>34</v>
      </c>
      <c r="K128" s="14" t="str">
        <f t="shared" si="2"/>
        <v>A</v>
      </c>
      <c r="L128" s="14" t="s">
        <v>34</v>
      </c>
      <c r="M128">
        <f t="shared" si="3"/>
        <v>1</v>
      </c>
    </row>
    <row r="129" s="10" customFormat="1" spans="1:13">
      <c r="A129" s="14" t="s">
        <v>293</v>
      </c>
      <c r="B129" s="13" t="s">
        <v>294</v>
      </c>
      <c r="C129" s="14" t="s">
        <v>15</v>
      </c>
      <c r="D129" s="14" t="s">
        <v>24</v>
      </c>
      <c r="E129" s="14" t="s">
        <v>17</v>
      </c>
      <c r="F129" s="13" t="s">
        <v>297</v>
      </c>
      <c r="G129" s="14" t="s">
        <v>19</v>
      </c>
      <c r="H129" s="14" t="s">
        <v>20</v>
      </c>
      <c r="I129" s="14" t="s">
        <v>298</v>
      </c>
      <c r="J129" s="14" t="s">
        <v>34</v>
      </c>
      <c r="K129" s="14" t="str">
        <f t="shared" si="2"/>
        <v>A</v>
      </c>
      <c r="L129" s="14" t="s">
        <v>34</v>
      </c>
      <c r="M129">
        <f t="shared" si="3"/>
        <v>1</v>
      </c>
    </row>
    <row r="130" s="10" customFormat="1" spans="1:13">
      <c r="A130" s="14" t="s">
        <v>293</v>
      </c>
      <c r="B130" s="13" t="s">
        <v>294</v>
      </c>
      <c r="C130" s="14" t="s">
        <v>15</v>
      </c>
      <c r="D130" s="14" t="s">
        <v>28</v>
      </c>
      <c r="E130" s="14" t="s">
        <v>17</v>
      </c>
      <c r="F130" s="13" t="s">
        <v>299</v>
      </c>
      <c r="G130" s="14" t="s">
        <v>19</v>
      </c>
      <c r="H130" s="14" t="s">
        <v>20</v>
      </c>
      <c r="I130" s="14" t="s">
        <v>300</v>
      </c>
      <c r="J130" s="14" t="s">
        <v>34</v>
      </c>
      <c r="K130" s="14" t="str">
        <f t="shared" ref="K130:K193" si="4">IF(OR(J130="",C130="",E130=""),"",IF(J130="C","D(平局)",IF(J130=IF(E130="l2r","A","B"),LEFT(C130,1),RIGHT(C130,1))))</f>
        <v>A</v>
      </c>
      <c r="L130" s="14" t="s">
        <v>34</v>
      </c>
      <c r="M130">
        <f t="shared" ref="M130:M193" si="5">IF(OR(K130="",L130=""),"",--(K130=L130))</f>
        <v>1</v>
      </c>
    </row>
    <row r="131" s="10" customFormat="1" spans="1:13">
      <c r="A131" s="14" t="s">
        <v>293</v>
      </c>
      <c r="B131" s="13" t="s">
        <v>294</v>
      </c>
      <c r="C131" s="14" t="s">
        <v>31</v>
      </c>
      <c r="D131" s="14" t="s">
        <v>16</v>
      </c>
      <c r="E131" s="14" t="s">
        <v>17</v>
      </c>
      <c r="F131" s="13" t="s">
        <v>301</v>
      </c>
      <c r="G131" s="14" t="s">
        <v>19</v>
      </c>
      <c r="H131" s="14" t="s">
        <v>20</v>
      </c>
      <c r="I131" s="14" t="s">
        <v>302</v>
      </c>
      <c r="J131" s="14" t="s">
        <v>34</v>
      </c>
      <c r="K131" s="14" t="str">
        <f t="shared" si="4"/>
        <v>A</v>
      </c>
      <c r="L131" s="14" t="s">
        <v>23</v>
      </c>
      <c r="M131">
        <f t="shared" si="5"/>
        <v>0</v>
      </c>
    </row>
    <row r="132" s="10" customFormat="1" spans="1:13">
      <c r="A132" s="14" t="s">
        <v>293</v>
      </c>
      <c r="B132" s="13" t="s">
        <v>294</v>
      </c>
      <c r="C132" s="14" t="s">
        <v>31</v>
      </c>
      <c r="D132" s="14" t="s">
        <v>24</v>
      </c>
      <c r="E132" s="14" t="s">
        <v>17</v>
      </c>
      <c r="F132" s="13" t="s">
        <v>303</v>
      </c>
      <c r="G132" s="14" t="s">
        <v>19</v>
      </c>
      <c r="H132" s="14" t="s">
        <v>20</v>
      </c>
      <c r="I132" s="14" t="s">
        <v>304</v>
      </c>
      <c r="J132" s="14" t="s">
        <v>34</v>
      </c>
      <c r="K132" s="14" t="str">
        <f t="shared" si="4"/>
        <v>A</v>
      </c>
      <c r="L132" s="14" t="s">
        <v>23</v>
      </c>
      <c r="M132">
        <f t="shared" si="5"/>
        <v>0</v>
      </c>
    </row>
    <row r="133" s="10" customFormat="1" spans="1:13">
      <c r="A133" s="14" t="s">
        <v>293</v>
      </c>
      <c r="B133" s="13" t="s">
        <v>294</v>
      </c>
      <c r="C133" s="14" t="s">
        <v>31</v>
      </c>
      <c r="D133" s="14" t="s">
        <v>28</v>
      </c>
      <c r="E133" s="14" t="s">
        <v>17</v>
      </c>
      <c r="F133" s="13" t="s">
        <v>305</v>
      </c>
      <c r="G133" s="14" t="s">
        <v>19</v>
      </c>
      <c r="H133" s="14" t="s">
        <v>20</v>
      </c>
      <c r="I133" s="14" t="s">
        <v>306</v>
      </c>
      <c r="J133" s="14" t="s">
        <v>34</v>
      </c>
      <c r="K133" s="14" t="str">
        <f t="shared" si="4"/>
        <v>A</v>
      </c>
      <c r="L133" s="14" t="s">
        <v>23</v>
      </c>
      <c r="M133">
        <f t="shared" si="5"/>
        <v>0</v>
      </c>
    </row>
    <row r="134" s="10" customFormat="1" spans="1:13">
      <c r="A134" s="14" t="s">
        <v>293</v>
      </c>
      <c r="B134" s="13" t="s">
        <v>294</v>
      </c>
      <c r="C134" s="14" t="s">
        <v>39</v>
      </c>
      <c r="D134" s="14" t="s">
        <v>16</v>
      </c>
      <c r="E134" s="14" t="s">
        <v>17</v>
      </c>
      <c r="F134" s="13" t="s">
        <v>307</v>
      </c>
      <c r="G134" s="14" t="s">
        <v>19</v>
      </c>
      <c r="H134" s="14" t="s">
        <v>20</v>
      </c>
      <c r="I134" s="14" t="s">
        <v>308</v>
      </c>
      <c r="J134" s="14" t="s">
        <v>34</v>
      </c>
      <c r="K134" s="14" t="str">
        <f t="shared" si="4"/>
        <v>B</v>
      </c>
      <c r="L134" s="14" t="s">
        <v>27</v>
      </c>
      <c r="M134">
        <f t="shared" si="5"/>
        <v>0</v>
      </c>
    </row>
    <row r="135" s="10" customFormat="1" spans="1:13">
      <c r="A135" s="14" t="s">
        <v>293</v>
      </c>
      <c r="B135" s="13" t="s">
        <v>294</v>
      </c>
      <c r="C135" s="14" t="s">
        <v>39</v>
      </c>
      <c r="D135" s="14" t="s">
        <v>24</v>
      </c>
      <c r="E135" s="14" t="s">
        <v>17</v>
      </c>
      <c r="F135" s="13" t="s">
        <v>309</v>
      </c>
      <c r="G135" s="14" t="s">
        <v>19</v>
      </c>
      <c r="H135" s="14" t="s">
        <v>20</v>
      </c>
      <c r="I135" s="14" t="s">
        <v>310</v>
      </c>
      <c r="J135" s="14" t="s">
        <v>34</v>
      </c>
      <c r="K135" s="14" t="str">
        <f t="shared" si="4"/>
        <v>B</v>
      </c>
      <c r="L135" s="14" t="s">
        <v>27</v>
      </c>
      <c r="M135">
        <f t="shared" si="5"/>
        <v>0</v>
      </c>
    </row>
    <row r="136" s="10" customFormat="1" spans="1:13">
      <c r="A136" s="14" t="s">
        <v>293</v>
      </c>
      <c r="B136" s="13" t="s">
        <v>294</v>
      </c>
      <c r="C136" s="14" t="s">
        <v>39</v>
      </c>
      <c r="D136" s="14" t="s">
        <v>28</v>
      </c>
      <c r="E136" s="14" t="s">
        <v>17</v>
      </c>
      <c r="F136" s="13" t="s">
        <v>311</v>
      </c>
      <c r="G136" s="14" t="s">
        <v>19</v>
      </c>
      <c r="H136" s="14" t="s">
        <v>20</v>
      </c>
      <c r="I136" s="14" t="s">
        <v>312</v>
      </c>
      <c r="J136" s="14" t="s">
        <v>22</v>
      </c>
      <c r="K136" s="14" t="str">
        <f t="shared" si="4"/>
        <v>C</v>
      </c>
      <c r="L136" s="14" t="s">
        <v>27</v>
      </c>
      <c r="M136">
        <f t="shared" si="5"/>
        <v>1</v>
      </c>
    </row>
    <row r="137" s="10" customFormat="1" spans="1:13">
      <c r="A137" s="14" t="s">
        <v>293</v>
      </c>
      <c r="B137" s="13" t="s">
        <v>294</v>
      </c>
      <c r="C137" s="14" t="s">
        <v>15</v>
      </c>
      <c r="D137" s="14" t="s">
        <v>16</v>
      </c>
      <c r="E137" s="14" t="s">
        <v>46</v>
      </c>
      <c r="F137" s="13" t="s">
        <v>313</v>
      </c>
      <c r="G137" s="14" t="s">
        <v>19</v>
      </c>
      <c r="H137" s="14" t="s">
        <v>20</v>
      </c>
      <c r="I137" s="14" t="s">
        <v>314</v>
      </c>
      <c r="J137" s="14" t="s">
        <v>22</v>
      </c>
      <c r="K137" s="14" t="str">
        <f t="shared" si="4"/>
        <v>A</v>
      </c>
      <c r="L137" s="14" t="s">
        <v>34</v>
      </c>
      <c r="M137">
        <f t="shared" si="5"/>
        <v>1</v>
      </c>
    </row>
    <row r="138" s="10" customFormat="1" spans="1:13">
      <c r="A138" s="14" t="s">
        <v>293</v>
      </c>
      <c r="B138" s="13" t="s">
        <v>294</v>
      </c>
      <c r="C138" s="14" t="s">
        <v>15</v>
      </c>
      <c r="D138" s="14" t="s">
        <v>24</v>
      </c>
      <c r="E138" s="14" t="s">
        <v>46</v>
      </c>
      <c r="F138" s="13" t="s">
        <v>315</v>
      </c>
      <c r="G138" s="14" t="s">
        <v>19</v>
      </c>
      <c r="H138" s="14" t="s">
        <v>20</v>
      </c>
      <c r="I138" s="14" t="s">
        <v>316</v>
      </c>
      <c r="J138" s="14" t="s">
        <v>22</v>
      </c>
      <c r="K138" s="14" t="str">
        <f t="shared" si="4"/>
        <v>A</v>
      </c>
      <c r="L138" s="14" t="s">
        <v>34</v>
      </c>
      <c r="M138">
        <f t="shared" si="5"/>
        <v>1</v>
      </c>
    </row>
    <row r="139" s="10" customFormat="1" spans="1:13">
      <c r="A139" s="14" t="s">
        <v>293</v>
      </c>
      <c r="B139" s="13" t="s">
        <v>294</v>
      </c>
      <c r="C139" s="14" t="s">
        <v>15</v>
      </c>
      <c r="D139" s="14" t="s">
        <v>28</v>
      </c>
      <c r="E139" s="14" t="s">
        <v>46</v>
      </c>
      <c r="F139" s="13" t="s">
        <v>317</v>
      </c>
      <c r="G139" s="14" t="s">
        <v>19</v>
      </c>
      <c r="H139" s="14" t="s">
        <v>20</v>
      </c>
      <c r="I139" s="14" t="s">
        <v>318</v>
      </c>
      <c r="J139" s="14" t="s">
        <v>22</v>
      </c>
      <c r="K139" s="14" t="str">
        <f t="shared" si="4"/>
        <v>A</v>
      </c>
      <c r="L139" s="14" t="s">
        <v>34</v>
      </c>
      <c r="M139">
        <f t="shared" si="5"/>
        <v>1</v>
      </c>
    </row>
    <row r="140" s="10" customFormat="1" spans="1:13">
      <c r="A140" s="14" t="s">
        <v>293</v>
      </c>
      <c r="B140" s="13" t="s">
        <v>294</v>
      </c>
      <c r="C140" s="14" t="s">
        <v>31</v>
      </c>
      <c r="D140" s="14" t="s">
        <v>16</v>
      </c>
      <c r="E140" s="14" t="s">
        <v>46</v>
      </c>
      <c r="F140" s="13" t="s">
        <v>319</v>
      </c>
      <c r="G140" s="14" t="s">
        <v>19</v>
      </c>
      <c r="H140" s="14" t="s">
        <v>20</v>
      </c>
      <c r="I140" s="14" t="s">
        <v>320</v>
      </c>
      <c r="J140" s="14" t="s">
        <v>22</v>
      </c>
      <c r="K140" s="14" t="str">
        <f t="shared" si="4"/>
        <v>A</v>
      </c>
      <c r="L140" s="14" t="s">
        <v>23</v>
      </c>
      <c r="M140">
        <f t="shared" si="5"/>
        <v>0</v>
      </c>
    </row>
    <row r="141" s="10" customFormat="1" spans="1:13">
      <c r="A141" s="14" t="s">
        <v>293</v>
      </c>
      <c r="B141" s="13" t="s">
        <v>294</v>
      </c>
      <c r="C141" s="14" t="s">
        <v>31</v>
      </c>
      <c r="D141" s="14" t="s">
        <v>24</v>
      </c>
      <c r="E141" s="14" t="s">
        <v>46</v>
      </c>
      <c r="F141" s="13" t="s">
        <v>321</v>
      </c>
      <c r="G141" s="14" t="s">
        <v>19</v>
      </c>
      <c r="H141" s="14" t="s">
        <v>20</v>
      </c>
      <c r="I141" s="14" t="s">
        <v>322</v>
      </c>
      <c r="J141" s="14" t="s">
        <v>22</v>
      </c>
      <c r="K141" s="14" t="str">
        <f t="shared" si="4"/>
        <v>A</v>
      </c>
      <c r="L141" s="14" t="s">
        <v>23</v>
      </c>
      <c r="M141">
        <f t="shared" si="5"/>
        <v>0</v>
      </c>
    </row>
    <row r="142" s="10" customFormat="1" spans="1:13">
      <c r="A142" s="14" t="s">
        <v>293</v>
      </c>
      <c r="B142" s="13" t="s">
        <v>294</v>
      </c>
      <c r="C142" s="14" t="s">
        <v>31</v>
      </c>
      <c r="D142" s="14" t="s">
        <v>28</v>
      </c>
      <c r="E142" s="14" t="s">
        <v>46</v>
      </c>
      <c r="F142" s="13" t="s">
        <v>323</v>
      </c>
      <c r="G142" s="14" t="s">
        <v>19</v>
      </c>
      <c r="H142" s="14" t="s">
        <v>20</v>
      </c>
      <c r="I142" s="14" t="s">
        <v>324</v>
      </c>
      <c r="J142" s="14" t="s">
        <v>22</v>
      </c>
      <c r="K142" s="14" t="str">
        <f t="shared" si="4"/>
        <v>A</v>
      </c>
      <c r="L142" s="14" t="s">
        <v>23</v>
      </c>
      <c r="M142">
        <f t="shared" si="5"/>
        <v>0</v>
      </c>
    </row>
    <row r="143" s="10" customFormat="1" spans="1:13">
      <c r="A143" s="14" t="s">
        <v>293</v>
      </c>
      <c r="B143" s="13" t="s">
        <v>294</v>
      </c>
      <c r="C143" s="14" t="s">
        <v>39</v>
      </c>
      <c r="D143" s="14" t="s">
        <v>16</v>
      </c>
      <c r="E143" s="14" t="s">
        <v>46</v>
      </c>
      <c r="F143" s="13" t="s">
        <v>325</v>
      </c>
      <c r="G143" s="14" t="s">
        <v>19</v>
      </c>
      <c r="H143" s="14" t="s">
        <v>20</v>
      </c>
      <c r="I143" s="14" t="s">
        <v>326</v>
      </c>
      <c r="J143" s="14" t="s">
        <v>34</v>
      </c>
      <c r="K143" s="14" t="str">
        <f t="shared" si="4"/>
        <v>C</v>
      </c>
      <c r="L143" s="14" t="s">
        <v>27</v>
      </c>
      <c r="M143">
        <f t="shared" si="5"/>
        <v>1</v>
      </c>
    </row>
    <row r="144" s="10" customFormat="1" spans="1:13">
      <c r="A144" s="14" t="s">
        <v>293</v>
      </c>
      <c r="B144" s="13" t="s">
        <v>294</v>
      </c>
      <c r="C144" s="14" t="s">
        <v>39</v>
      </c>
      <c r="D144" s="14" t="s">
        <v>24</v>
      </c>
      <c r="E144" s="14" t="s">
        <v>46</v>
      </c>
      <c r="F144" s="13" t="s">
        <v>327</v>
      </c>
      <c r="G144" s="14" t="s">
        <v>19</v>
      </c>
      <c r="H144" s="14" t="s">
        <v>20</v>
      </c>
      <c r="I144" s="14" t="s">
        <v>328</v>
      </c>
      <c r="J144" s="14" t="s">
        <v>34</v>
      </c>
      <c r="K144" s="14" t="str">
        <f t="shared" si="4"/>
        <v>C</v>
      </c>
      <c r="L144" s="14" t="s">
        <v>27</v>
      </c>
      <c r="M144">
        <f t="shared" si="5"/>
        <v>1</v>
      </c>
    </row>
    <row r="145" s="10" customFormat="1" spans="1:13">
      <c r="A145" s="14" t="s">
        <v>293</v>
      </c>
      <c r="B145" s="13" t="s">
        <v>294</v>
      </c>
      <c r="C145" s="14" t="s">
        <v>39</v>
      </c>
      <c r="D145" s="14" t="s">
        <v>28</v>
      </c>
      <c r="E145" s="14" t="s">
        <v>46</v>
      </c>
      <c r="F145" s="13" t="s">
        <v>329</v>
      </c>
      <c r="G145" s="14" t="s">
        <v>19</v>
      </c>
      <c r="H145" s="14" t="s">
        <v>20</v>
      </c>
      <c r="I145" s="14" t="s">
        <v>330</v>
      </c>
      <c r="J145" s="14" t="s">
        <v>34</v>
      </c>
      <c r="K145" s="14" t="str">
        <f t="shared" si="4"/>
        <v>C</v>
      </c>
      <c r="L145" s="14" t="s">
        <v>27</v>
      </c>
      <c r="M145">
        <f t="shared" si="5"/>
        <v>1</v>
      </c>
    </row>
    <row r="146" s="10" customFormat="1" spans="1:13">
      <c r="A146" s="14" t="s">
        <v>331</v>
      </c>
      <c r="B146" s="13" t="s">
        <v>332</v>
      </c>
      <c r="C146" s="14" t="s">
        <v>15</v>
      </c>
      <c r="D146" s="14" t="s">
        <v>16</v>
      </c>
      <c r="E146" s="14" t="s">
        <v>17</v>
      </c>
      <c r="F146" s="13" t="s">
        <v>333</v>
      </c>
      <c r="G146" s="14" t="s">
        <v>19</v>
      </c>
      <c r="H146" s="14" t="s">
        <v>20</v>
      </c>
      <c r="I146" s="14" t="s">
        <v>334</v>
      </c>
      <c r="J146" s="14" t="s">
        <v>22</v>
      </c>
      <c r="K146" s="14" t="str">
        <f t="shared" si="4"/>
        <v>B</v>
      </c>
      <c r="L146" s="14" t="s">
        <v>22</v>
      </c>
      <c r="M146">
        <f t="shared" si="5"/>
        <v>1</v>
      </c>
    </row>
    <row r="147" s="10" customFormat="1" spans="1:13">
      <c r="A147" s="14" t="s">
        <v>331</v>
      </c>
      <c r="B147" s="13" t="s">
        <v>332</v>
      </c>
      <c r="C147" s="14" t="s">
        <v>15</v>
      </c>
      <c r="D147" s="14" t="s">
        <v>24</v>
      </c>
      <c r="E147" s="14" t="s">
        <v>17</v>
      </c>
      <c r="F147" s="13" t="s">
        <v>335</v>
      </c>
      <c r="G147" s="14" t="s">
        <v>19</v>
      </c>
      <c r="H147" s="14" t="s">
        <v>20</v>
      </c>
      <c r="I147" s="14" t="s">
        <v>336</v>
      </c>
      <c r="J147" s="14" t="s">
        <v>34</v>
      </c>
      <c r="K147" s="14" t="str">
        <f t="shared" si="4"/>
        <v>A</v>
      </c>
      <c r="L147" s="14" t="s">
        <v>22</v>
      </c>
      <c r="M147">
        <f t="shared" si="5"/>
        <v>0</v>
      </c>
    </row>
    <row r="148" s="10" customFormat="1" spans="1:13">
      <c r="A148" s="14" t="s">
        <v>331</v>
      </c>
      <c r="B148" s="13" t="s">
        <v>332</v>
      </c>
      <c r="C148" s="14" t="s">
        <v>15</v>
      </c>
      <c r="D148" s="14" t="s">
        <v>28</v>
      </c>
      <c r="E148" s="14" t="s">
        <v>17</v>
      </c>
      <c r="F148" s="13" t="s">
        <v>337</v>
      </c>
      <c r="G148" s="14" t="s">
        <v>19</v>
      </c>
      <c r="H148" s="14" t="s">
        <v>20</v>
      </c>
      <c r="I148" s="14" t="s">
        <v>338</v>
      </c>
      <c r="J148" s="14" t="s">
        <v>34</v>
      </c>
      <c r="K148" s="14" t="str">
        <f t="shared" si="4"/>
        <v>A</v>
      </c>
      <c r="L148" s="14" t="s">
        <v>22</v>
      </c>
      <c r="M148">
        <f t="shared" si="5"/>
        <v>0</v>
      </c>
    </row>
    <row r="149" s="10" customFormat="1" spans="1:13">
      <c r="A149" s="14" t="s">
        <v>331</v>
      </c>
      <c r="B149" s="13" t="s">
        <v>332</v>
      </c>
      <c r="C149" s="14" t="s">
        <v>31</v>
      </c>
      <c r="D149" s="14" t="s">
        <v>16</v>
      </c>
      <c r="E149" s="14" t="s">
        <v>17</v>
      </c>
      <c r="F149" s="13" t="s">
        <v>339</v>
      </c>
      <c r="G149" s="14" t="s">
        <v>19</v>
      </c>
      <c r="H149" s="14" t="s">
        <v>20</v>
      </c>
      <c r="I149" s="14" t="s">
        <v>340</v>
      </c>
      <c r="J149" s="14" t="s">
        <v>34</v>
      </c>
      <c r="K149" s="14" t="str">
        <f t="shared" si="4"/>
        <v>A</v>
      </c>
      <c r="L149" s="14" t="s">
        <v>34</v>
      </c>
      <c r="M149">
        <f t="shared" si="5"/>
        <v>1</v>
      </c>
    </row>
    <row r="150" s="10" customFormat="1" spans="1:13">
      <c r="A150" s="14" t="s">
        <v>331</v>
      </c>
      <c r="B150" s="13" t="s">
        <v>332</v>
      </c>
      <c r="C150" s="14" t="s">
        <v>31</v>
      </c>
      <c r="D150" s="14" t="s">
        <v>24</v>
      </c>
      <c r="E150" s="14" t="s">
        <v>17</v>
      </c>
      <c r="F150" s="13" t="s">
        <v>341</v>
      </c>
      <c r="G150" s="14" t="s">
        <v>19</v>
      </c>
      <c r="H150" s="14" t="s">
        <v>20</v>
      </c>
      <c r="I150" s="14" t="s">
        <v>342</v>
      </c>
      <c r="J150" s="14" t="s">
        <v>34</v>
      </c>
      <c r="K150" s="14" t="str">
        <f t="shared" si="4"/>
        <v>A</v>
      </c>
      <c r="L150" s="14" t="s">
        <v>34</v>
      </c>
      <c r="M150">
        <f t="shared" si="5"/>
        <v>1</v>
      </c>
    </row>
    <row r="151" s="10" customFormat="1" spans="1:13">
      <c r="A151" s="14" t="s">
        <v>331</v>
      </c>
      <c r="B151" s="13" t="s">
        <v>332</v>
      </c>
      <c r="C151" s="14" t="s">
        <v>31</v>
      </c>
      <c r="D151" s="14" t="s">
        <v>28</v>
      </c>
      <c r="E151" s="14" t="s">
        <v>17</v>
      </c>
      <c r="F151" s="13" t="s">
        <v>343</v>
      </c>
      <c r="G151" s="14" t="s">
        <v>19</v>
      </c>
      <c r="H151" s="14" t="s">
        <v>20</v>
      </c>
      <c r="I151" s="14" t="s">
        <v>344</v>
      </c>
      <c r="J151" s="14" t="s">
        <v>34</v>
      </c>
      <c r="K151" s="14" t="str">
        <f t="shared" si="4"/>
        <v>A</v>
      </c>
      <c r="L151" s="14" t="s">
        <v>34</v>
      </c>
      <c r="M151">
        <f t="shared" si="5"/>
        <v>1</v>
      </c>
    </row>
    <row r="152" s="10" customFormat="1" spans="1:13">
      <c r="A152" s="14" t="s">
        <v>331</v>
      </c>
      <c r="B152" s="13" t="s">
        <v>332</v>
      </c>
      <c r="C152" s="14" t="s">
        <v>39</v>
      </c>
      <c r="D152" s="14" t="s">
        <v>16</v>
      </c>
      <c r="E152" s="14" t="s">
        <v>17</v>
      </c>
      <c r="F152" s="13" t="s">
        <v>345</v>
      </c>
      <c r="G152" s="14" t="s">
        <v>19</v>
      </c>
      <c r="H152" s="14" t="s">
        <v>20</v>
      </c>
      <c r="I152" s="14" t="s">
        <v>346</v>
      </c>
      <c r="J152" s="14" t="s">
        <v>34</v>
      </c>
      <c r="K152" s="14" t="str">
        <f t="shared" si="4"/>
        <v>B</v>
      </c>
      <c r="L152" s="14" t="s">
        <v>22</v>
      </c>
      <c r="M152">
        <f t="shared" si="5"/>
        <v>1</v>
      </c>
    </row>
    <row r="153" s="10" customFormat="1" spans="1:13">
      <c r="A153" s="14" t="s">
        <v>331</v>
      </c>
      <c r="B153" s="13" t="s">
        <v>332</v>
      </c>
      <c r="C153" s="14" t="s">
        <v>39</v>
      </c>
      <c r="D153" s="14" t="s">
        <v>24</v>
      </c>
      <c r="E153" s="14" t="s">
        <v>17</v>
      </c>
      <c r="F153" s="13" t="s">
        <v>347</v>
      </c>
      <c r="G153" s="14" t="s">
        <v>19</v>
      </c>
      <c r="H153" s="14" t="s">
        <v>20</v>
      </c>
      <c r="I153" s="14" t="s">
        <v>348</v>
      </c>
      <c r="J153" s="14" t="s">
        <v>34</v>
      </c>
      <c r="K153" s="14" t="str">
        <f t="shared" si="4"/>
        <v>B</v>
      </c>
      <c r="L153" s="14" t="s">
        <v>22</v>
      </c>
      <c r="M153">
        <f t="shared" si="5"/>
        <v>1</v>
      </c>
    </row>
    <row r="154" s="10" customFormat="1" spans="1:13">
      <c r="A154" s="14" t="s">
        <v>331</v>
      </c>
      <c r="B154" s="13" t="s">
        <v>332</v>
      </c>
      <c r="C154" s="14" t="s">
        <v>39</v>
      </c>
      <c r="D154" s="14" t="s">
        <v>28</v>
      </c>
      <c r="E154" s="14" t="s">
        <v>17</v>
      </c>
      <c r="F154" s="13" t="s">
        <v>349</v>
      </c>
      <c r="G154" s="14" t="s">
        <v>19</v>
      </c>
      <c r="H154" s="14" t="s">
        <v>20</v>
      </c>
      <c r="I154" s="14" t="s">
        <v>350</v>
      </c>
      <c r="J154" s="14" t="s">
        <v>34</v>
      </c>
      <c r="K154" s="14" t="str">
        <f t="shared" si="4"/>
        <v>B</v>
      </c>
      <c r="L154" s="14" t="s">
        <v>22</v>
      </c>
      <c r="M154">
        <f t="shared" si="5"/>
        <v>1</v>
      </c>
    </row>
    <row r="155" s="10" customFormat="1" spans="1:13">
      <c r="A155" s="14" t="s">
        <v>331</v>
      </c>
      <c r="B155" s="13" t="s">
        <v>332</v>
      </c>
      <c r="C155" s="14" t="s">
        <v>15</v>
      </c>
      <c r="D155" s="14" t="s">
        <v>16</v>
      </c>
      <c r="E155" s="14" t="s">
        <v>46</v>
      </c>
      <c r="F155" s="13" t="s">
        <v>351</v>
      </c>
      <c r="G155" s="14" t="s">
        <v>19</v>
      </c>
      <c r="H155" s="14" t="s">
        <v>20</v>
      </c>
      <c r="I155" s="14" t="s">
        <v>352</v>
      </c>
      <c r="J155" s="14" t="s">
        <v>22</v>
      </c>
      <c r="K155" s="14" t="str">
        <f t="shared" si="4"/>
        <v>A</v>
      </c>
      <c r="L155" s="14" t="s">
        <v>22</v>
      </c>
      <c r="M155">
        <f t="shared" si="5"/>
        <v>0</v>
      </c>
    </row>
    <row r="156" s="10" customFormat="1" spans="1:13">
      <c r="A156" s="14" t="s">
        <v>331</v>
      </c>
      <c r="B156" s="13" t="s">
        <v>332</v>
      </c>
      <c r="C156" s="14" t="s">
        <v>15</v>
      </c>
      <c r="D156" s="14" t="s">
        <v>24</v>
      </c>
      <c r="E156" s="14" t="s">
        <v>46</v>
      </c>
      <c r="F156" s="13" t="s">
        <v>353</v>
      </c>
      <c r="G156" s="14" t="s">
        <v>19</v>
      </c>
      <c r="H156" s="14" t="s">
        <v>20</v>
      </c>
      <c r="I156" s="14" t="s">
        <v>354</v>
      </c>
      <c r="J156" s="14" t="s">
        <v>34</v>
      </c>
      <c r="K156" s="14" t="str">
        <f t="shared" si="4"/>
        <v>B</v>
      </c>
      <c r="L156" s="14" t="s">
        <v>22</v>
      </c>
      <c r="M156">
        <f t="shared" si="5"/>
        <v>1</v>
      </c>
    </row>
    <row r="157" s="10" customFormat="1" spans="1:13">
      <c r="A157" s="14" t="s">
        <v>331</v>
      </c>
      <c r="B157" s="13" t="s">
        <v>332</v>
      </c>
      <c r="C157" s="14" t="s">
        <v>15</v>
      </c>
      <c r="D157" s="14" t="s">
        <v>28</v>
      </c>
      <c r="E157" s="14" t="s">
        <v>46</v>
      </c>
      <c r="F157" s="13" t="s">
        <v>355</v>
      </c>
      <c r="G157" s="14" t="s">
        <v>19</v>
      </c>
      <c r="H157" s="14" t="s">
        <v>20</v>
      </c>
      <c r="I157" s="14" t="s">
        <v>356</v>
      </c>
      <c r="J157" s="14" t="s">
        <v>34</v>
      </c>
      <c r="K157" s="14" t="str">
        <f t="shared" si="4"/>
        <v>B</v>
      </c>
      <c r="L157" s="14" t="s">
        <v>22</v>
      </c>
      <c r="M157">
        <f t="shared" si="5"/>
        <v>1</v>
      </c>
    </row>
    <row r="158" s="10" customFormat="1" spans="1:13">
      <c r="A158" s="14" t="s">
        <v>331</v>
      </c>
      <c r="B158" s="13" t="s">
        <v>332</v>
      </c>
      <c r="C158" s="14" t="s">
        <v>31</v>
      </c>
      <c r="D158" s="14" t="s">
        <v>16</v>
      </c>
      <c r="E158" s="14" t="s">
        <v>46</v>
      </c>
      <c r="F158" s="13" t="s">
        <v>357</v>
      </c>
      <c r="G158" s="14" t="s">
        <v>19</v>
      </c>
      <c r="H158" s="14" t="s">
        <v>20</v>
      </c>
      <c r="I158" s="14" t="s">
        <v>358</v>
      </c>
      <c r="J158" s="14" t="s">
        <v>22</v>
      </c>
      <c r="K158" s="14" t="str">
        <f t="shared" si="4"/>
        <v>A</v>
      </c>
      <c r="L158" s="14" t="s">
        <v>34</v>
      </c>
      <c r="M158">
        <f t="shared" si="5"/>
        <v>1</v>
      </c>
    </row>
    <row r="159" s="10" customFormat="1" spans="1:13">
      <c r="A159" s="14" t="s">
        <v>331</v>
      </c>
      <c r="B159" s="13" t="s">
        <v>332</v>
      </c>
      <c r="C159" s="14" t="s">
        <v>31</v>
      </c>
      <c r="D159" s="14" t="s">
        <v>24</v>
      </c>
      <c r="E159" s="14" t="s">
        <v>46</v>
      </c>
      <c r="F159" s="13" t="s">
        <v>359</v>
      </c>
      <c r="G159" s="14" t="s">
        <v>19</v>
      </c>
      <c r="H159" s="14" t="s">
        <v>20</v>
      </c>
      <c r="I159" s="14" t="s">
        <v>360</v>
      </c>
      <c r="J159" s="14" t="s">
        <v>22</v>
      </c>
      <c r="K159" s="14" t="str">
        <f t="shared" si="4"/>
        <v>A</v>
      </c>
      <c r="L159" s="14" t="s">
        <v>34</v>
      </c>
      <c r="M159">
        <f t="shared" si="5"/>
        <v>1</v>
      </c>
    </row>
    <row r="160" s="10" customFormat="1" spans="1:13">
      <c r="A160" s="14" t="s">
        <v>331</v>
      </c>
      <c r="B160" s="13" t="s">
        <v>332</v>
      </c>
      <c r="C160" s="14" t="s">
        <v>31</v>
      </c>
      <c r="D160" s="14" t="s">
        <v>28</v>
      </c>
      <c r="E160" s="14" t="s">
        <v>46</v>
      </c>
      <c r="F160" s="13" t="s">
        <v>361</v>
      </c>
      <c r="G160" s="14" t="s">
        <v>19</v>
      </c>
      <c r="H160" s="14" t="s">
        <v>20</v>
      </c>
      <c r="I160" s="14" t="s">
        <v>362</v>
      </c>
      <c r="J160" s="14" t="s">
        <v>22</v>
      </c>
      <c r="K160" s="14" t="str">
        <f t="shared" si="4"/>
        <v>A</v>
      </c>
      <c r="L160" s="14" t="s">
        <v>34</v>
      </c>
      <c r="M160">
        <f t="shared" si="5"/>
        <v>1</v>
      </c>
    </row>
    <row r="161" s="10" customFormat="1" spans="1:13">
      <c r="A161" s="14" t="s">
        <v>331</v>
      </c>
      <c r="B161" s="13" t="s">
        <v>332</v>
      </c>
      <c r="C161" s="14" t="s">
        <v>39</v>
      </c>
      <c r="D161" s="14" t="s">
        <v>16</v>
      </c>
      <c r="E161" s="14" t="s">
        <v>46</v>
      </c>
      <c r="F161" s="13" t="s">
        <v>363</v>
      </c>
      <c r="G161" s="14" t="s">
        <v>19</v>
      </c>
      <c r="H161" s="14" t="s">
        <v>20</v>
      </c>
      <c r="I161" s="14" t="s">
        <v>364</v>
      </c>
      <c r="J161" s="14" t="s">
        <v>22</v>
      </c>
      <c r="K161" s="14" t="str">
        <f t="shared" si="4"/>
        <v>B</v>
      </c>
      <c r="L161" s="14" t="s">
        <v>22</v>
      </c>
      <c r="M161">
        <f t="shared" si="5"/>
        <v>1</v>
      </c>
    </row>
    <row r="162" s="10" customFormat="1" spans="1:13">
      <c r="A162" s="14" t="s">
        <v>331</v>
      </c>
      <c r="B162" s="13" t="s">
        <v>332</v>
      </c>
      <c r="C162" s="14" t="s">
        <v>39</v>
      </c>
      <c r="D162" s="14" t="s">
        <v>24</v>
      </c>
      <c r="E162" s="14" t="s">
        <v>46</v>
      </c>
      <c r="F162" s="13" t="s">
        <v>365</v>
      </c>
      <c r="G162" s="14" t="s">
        <v>19</v>
      </c>
      <c r="H162" s="14" t="s">
        <v>20</v>
      </c>
      <c r="I162" s="14" t="s">
        <v>366</v>
      </c>
      <c r="J162" s="14" t="s">
        <v>22</v>
      </c>
      <c r="K162" s="14" t="str">
        <f t="shared" si="4"/>
        <v>B</v>
      </c>
      <c r="L162" s="14" t="s">
        <v>22</v>
      </c>
      <c r="M162">
        <f t="shared" si="5"/>
        <v>1</v>
      </c>
    </row>
    <row r="163" s="10" customFormat="1" spans="1:13">
      <c r="A163" s="14" t="s">
        <v>331</v>
      </c>
      <c r="B163" s="13" t="s">
        <v>332</v>
      </c>
      <c r="C163" s="14" t="s">
        <v>39</v>
      </c>
      <c r="D163" s="14" t="s">
        <v>28</v>
      </c>
      <c r="E163" s="14" t="s">
        <v>46</v>
      </c>
      <c r="F163" s="13" t="s">
        <v>367</v>
      </c>
      <c r="G163" s="14" t="s">
        <v>19</v>
      </c>
      <c r="H163" s="14" t="s">
        <v>20</v>
      </c>
      <c r="I163" s="14" t="s">
        <v>368</v>
      </c>
      <c r="J163" s="14" t="s">
        <v>22</v>
      </c>
      <c r="K163" s="14" t="str">
        <f t="shared" si="4"/>
        <v>B</v>
      </c>
      <c r="L163" s="14" t="s">
        <v>22</v>
      </c>
      <c r="M163">
        <f t="shared" si="5"/>
        <v>1</v>
      </c>
    </row>
    <row r="164" s="10" customFormat="1" spans="1:13">
      <c r="A164" s="14" t="s">
        <v>369</v>
      </c>
      <c r="B164" s="13" t="s">
        <v>370</v>
      </c>
      <c r="C164" s="14" t="s">
        <v>15</v>
      </c>
      <c r="D164" s="14" t="s">
        <v>16</v>
      </c>
      <c r="E164" s="14" t="s">
        <v>17</v>
      </c>
      <c r="F164" s="13" t="s">
        <v>371</v>
      </c>
      <c r="G164" s="14" t="s">
        <v>19</v>
      </c>
      <c r="H164" s="14" t="s">
        <v>20</v>
      </c>
      <c r="I164" s="14" t="s">
        <v>372</v>
      </c>
      <c r="J164" s="14" t="s">
        <v>34</v>
      </c>
      <c r="K164" s="14" t="str">
        <f t="shared" si="4"/>
        <v>A</v>
      </c>
      <c r="L164" s="14" t="s">
        <v>23</v>
      </c>
      <c r="M164">
        <f t="shared" si="5"/>
        <v>0</v>
      </c>
    </row>
    <row r="165" s="10" customFormat="1" spans="1:13">
      <c r="A165" s="14" t="s">
        <v>369</v>
      </c>
      <c r="B165" s="13" t="s">
        <v>370</v>
      </c>
      <c r="C165" s="14" t="s">
        <v>15</v>
      </c>
      <c r="D165" s="14" t="s">
        <v>24</v>
      </c>
      <c r="E165" s="14" t="s">
        <v>17</v>
      </c>
      <c r="F165" s="13" t="s">
        <v>373</v>
      </c>
      <c r="G165" s="14" t="s">
        <v>19</v>
      </c>
      <c r="H165" s="14" t="s">
        <v>20</v>
      </c>
      <c r="I165" s="14" t="s">
        <v>374</v>
      </c>
      <c r="J165" s="14" t="s">
        <v>34</v>
      </c>
      <c r="K165" s="14" t="str">
        <f t="shared" si="4"/>
        <v>A</v>
      </c>
      <c r="L165" s="14" t="s">
        <v>23</v>
      </c>
      <c r="M165">
        <f t="shared" si="5"/>
        <v>0</v>
      </c>
    </row>
    <row r="166" s="10" customFormat="1" spans="1:13">
      <c r="A166" s="14" t="s">
        <v>369</v>
      </c>
      <c r="B166" s="13" t="s">
        <v>370</v>
      </c>
      <c r="C166" s="14" t="s">
        <v>15</v>
      </c>
      <c r="D166" s="14" t="s">
        <v>28</v>
      </c>
      <c r="E166" s="14" t="s">
        <v>17</v>
      </c>
      <c r="F166" s="13" t="s">
        <v>375</v>
      </c>
      <c r="G166" s="14" t="s">
        <v>19</v>
      </c>
      <c r="H166" s="14" t="s">
        <v>20</v>
      </c>
      <c r="I166" s="14" t="s">
        <v>376</v>
      </c>
      <c r="J166" s="14" t="s">
        <v>34</v>
      </c>
      <c r="K166" s="14" t="str">
        <f t="shared" si="4"/>
        <v>A</v>
      </c>
      <c r="L166" s="14" t="s">
        <v>23</v>
      </c>
      <c r="M166">
        <f t="shared" si="5"/>
        <v>0</v>
      </c>
    </row>
    <row r="167" s="10" customFormat="1" spans="1:13">
      <c r="A167" s="14" t="s">
        <v>369</v>
      </c>
      <c r="B167" s="13" t="s">
        <v>370</v>
      </c>
      <c r="C167" s="14" t="s">
        <v>31</v>
      </c>
      <c r="D167" s="14" t="s">
        <v>16</v>
      </c>
      <c r="E167" s="14" t="s">
        <v>17</v>
      </c>
      <c r="F167" s="13" t="s">
        <v>377</v>
      </c>
      <c r="G167" s="14" t="s">
        <v>19</v>
      </c>
      <c r="H167" s="14" t="s">
        <v>20</v>
      </c>
      <c r="I167" s="14" t="s">
        <v>378</v>
      </c>
      <c r="J167" s="14" t="s">
        <v>34</v>
      </c>
      <c r="K167" s="14" t="str">
        <f t="shared" si="4"/>
        <v>A</v>
      </c>
      <c r="L167" s="14" t="s">
        <v>34</v>
      </c>
      <c r="M167">
        <f t="shared" si="5"/>
        <v>1</v>
      </c>
    </row>
    <row r="168" s="10" customFormat="1" spans="1:13">
      <c r="A168" s="14" t="s">
        <v>369</v>
      </c>
      <c r="B168" s="13" t="s">
        <v>370</v>
      </c>
      <c r="C168" s="14" t="s">
        <v>31</v>
      </c>
      <c r="D168" s="14" t="s">
        <v>24</v>
      </c>
      <c r="E168" s="14" t="s">
        <v>17</v>
      </c>
      <c r="F168" s="13" t="s">
        <v>379</v>
      </c>
      <c r="G168" s="14" t="s">
        <v>19</v>
      </c>
      <c r="H168" s="14" t="s">
        <v>20</v>
      </c>
      <c r="I168" s="14" t="s">
        <v>380</v>
      </c>
      <c r="J168" s="14" t="s">
        <v>34</v>
      </c>
      <c r="K168" s="14" t="str">
        <f t="shared" si="4"/>
        <v>A</v>
      </c>
      <c r="L168" s="14" t="s">
        <v>34</v>
      </c>
      <c r="M168">
        <f t="shared" si="5"/>
        <v>1</v>
      </c>
    </row>
    <row r="169" s="10" customFormat="1" spans="1:13">
      <c r="A169" s="14" t="s">
        <v>369</v>
      </c>
      <c r="B169" s="13" t="s">
        <v>370</v>
      </c>
      <c r="C169" s="14" t="s">
        <v>31</v>
      </c>
      <c r="D169" s="14" t="s">
        <v>28</v>
      </c>
      <c r="E169" s="14" t="s">
        <v>17</v>
      </c>
      <c r="F169" s="13" t="s">
        <v>381</v>
      </c>
      <c r="G169" s="14" t="s">
        <v>19</v>
      </c>
      <c r="H169" s="14" t="s">
        <v>20</v>
      </c>
      <c r="I169" s="14" t="s">
        <v>382</v>
      </c>
      <c r="J169" s="14" t="s">
        <v>34</v>
      </c>
      <c r="K169" s="14" t="str">
        <f t="shared" si="4"/>
        <v>A</v>
      </c>
      <c r="L169" s="14" t="s">
        <v>34</v>
      </c>
      <c r="M169">
        <f t="shared" si="5"/>
        <v>1</v>
      </c>
    </row>
    <row r="170" s="10" customFormat="1" spans="1:13">
      <c r="A170" s="14" t="s">
        <v>369</v>
      </c>
      <c r="B170" s="13" t="s">
        <v>370</v>
      </c>
      <c r="C170" s="14" t="s">
        <v>39</v>
      </c>
      <c r="D170" s="14" t="s">
        <v>16</v>
      </c>
      <c r="E170" s="14" t="s">
        <v>17</v>
      </c>
      <c r="F170" s="13" t="s">
        <v>383</v>
      </c>
      <c r="G170" s="14" t="s">
        <v>19</v>
      </c>
      <c r="H170" s="14" t="s">
        <v>20</v>
      </c>
      <c r="I170" s="14" t="s">
        <v>384</v>
      </c>
      <c r="J170" s="14" t="s">
        <v>34</v>
      </c>
      <c r="K170" s="14" t="str">
        <f t="shared" si="4"/>
        <v>B</v>
      </c>
      <c r="L170" s="14" t="s">
        <v>22</v>
      </c>
      <c r="M170">
        <f t="shared" si="5"/>
        <v>1</v>
      </c>
    </row>
    <row r="171" s="10" customFormat="1" spans="1:13">
      <c r="A171" s="14" t="s">
        <v>369</v>
      </c>
      <c r="B171" s="13" t="s">
        <v>370</v>
      </c>
      <c r="C171" s="14" t="s">
        <v>39</v>
      </c>
      <c r="D171" s="14" t="s">
        <v>24</v>
      </c>
      <c r="E171" s="14" t="s">
        <v>17</v>
      </c>
      <c r="F171" s="13" t="s">
        <v>385</v>
      </c>
      <c r="G171" s="14" t="s">
        <v>19</v>
      </c>
      <c r="H171" s="14" t="s">
        <v>20</v>
      </c>
      <c r="I171" s="14" t="s">
        <v>386</v>
      </c>
      <c r="J171" s="14" t="s">
        <v>34</v>
      </c>
      <c r="K171" s="14" t="str">
        <f t="shared" si="4"/>
        <v>B</v>
      </c>
      <c r="L171" s="14" t="s">
        <v>22</v>
      </c>
      <c r="M171">
        <f t="shared" si="5"/>
        <v>1</v>
      </c>
    </row>
    <row r="172" s="10" customFormat="1" spans="1:13">
      <c r="A172" s="14" t="s">
        <v>369</v>
      </c>
      <c r="B172" s="13" t="s">
        <v>370</v>
      </c>
      <c r="C172" s="14" t="s">
        <v>39</v>
      </c>
      <c r="D172" s="14" t="s">
        <v>28</v>
      </c>
      <c r="E172" s="14" t="s">
        <v>17</v>
      </c>
      <c r="F172" s="13" t="s">
        <v>387</v>
      </c>
      <c r="G172" s="14" t="s">
        <v>19</v>
      </c>
      <c r="H172" s="14" t="s">
        <v>20</v>
      </c>
      <c r="I172" s="14" t="s">
        <v>388</v>
      </c>
      <c r="J172" s="14" t="s">
        <v>34</v>
      </c>
      <c r="K172" s="14" t="str">
        <f t="shared" si="4"/>
        <v>B</v>
      </c>
      <c r="L172" s="14" t="s">
        <v>22</v>
      </c>
      <c r="M172">
        <f t="shared" si="5"/>
        <v>1</v>
      </c>
    </row>
    <row r="173" s="10" customFormat="1" spans="1:13">
      <c r="A173" s="14" t="s">
        <v>369</v>
      </c>
      <c r="B173" s="13" t="s">
        <v>370</v>
      </c>
      <c r="C173" s="14" t="s">
        <v>15</v>
      </c>
      <c r="D173" s="14" t="s">
        <v>16</v>
      </c>
      <c r="E173" s="14" t="s">
        <v>46</v>
      </c>
      <c r="F173" s="13" t="s">
        <v>389</v>
      </c>
      <c r="G173" s="14" t="s">
        <v>19</v>
      </c>
      <c r="H173" s="14" t="s">
        <v>20</v>
      </c>
      <c r="I173" s="14" t="s">
        <v>390</v>
      </c>
      <c r="J173" s="14" t="s">
        <v>22</v>
      </c>
      <c r="K173" s="14" t="str">
        <f t="shared" si="4"/>
        <v>A</v>
      </c>
      <c r="L173" s="14" t="s">
        <v>23</v>
      </c>
      <c r="M173">
        <f t="shared" si="5"/>
        <v>0</v>
      </c>
    </row>
    <row r="174" s="10" customFormat="1" spans="1:13">
      <c r="A174" s="14" t="s">
        <v>369</v>
      </c>
      <c r="B174" s="13" t="s">
        <v>370</v>
      </c>
      <c r="C174" s="14" t="s">
        <v>15</v>
      </c>
      <c r="D174" s="14" t="s">
        <v>24</v>
      </c>
      <c r="E174" s="14" t="s">
        <v>46</v>
      </c>
      <c r="F174" s="13" t="s">
        <v>391</v>
      </c>
      <c r="G174" s="14" t="s">
        <v>19</v>
      </c>
      <c r="H174" s="14" t="s">
        <v>20</v>
      </c>
      <c r="I174" s="14" t="s">
        <v>392</v>
      </c>
      <c r="J174" s="14" t="s">
        <v>22</v>
      </c>
      <c r="K174" s="14" t="str">
        <f t="shared" si="4"/>
        <v>A</v>
      </c>
      <c r="L174" s="14" t="s">
        <v>23</v>
      </c>
      <c r="M174">
        <f t="shared" si="5"/>
        <v>0</v>
      </c>
    </row>
    <row r="175" s="10" customFormat="1" spans="1:13">
      <c r="A175" s="14" t="s">
        <v>369</v>
      </c>
      <c r="B175" s="13" t="s">
        <v>370</v>
      </c>
      <c r="C175" s="14" t="s">
        <v>15</v>
      </c>
      <c r="D175" s="14" t="s">
        <v>28</v>
      </c>
      <c r="E175" s="14" t="s">
        <v>46</v>
      </c>
      <c r="F175" s="13" t="s">
        <v>393</v>
      </c>
      <c r="G175" s="14" t="s">
        <v>19</v>
      </c>
      <c r="H175" s="14" t="s">
        <v>20</v>
      </c>
      <c r="I175" s="14" t="s">
        <v>394</v>
      </c>
      <c r="J175" s="14" t="s">
        <v>22</v>
      </c>
      <c r="K175" s="14" t="str">
        <f t="shared" si="4"/>
        <v>A</v>
      </c>
      <c r="L175" s="14" t="s">
        <v>23</v>
      </c>
      <c r="M175">
        <f t="shared" si="5"/>
        <v>0</v>
      </c>
    </row>
    <row r="176" s="10" customFormat="1" spans="1:13">
      <c r="A176" s="14" t="s">
        <v>369</v>
      </c>
      <c r="B176" s="13" t="s">
        <v>370</v>
      </c>
      <c r="C176" s="14" t="s">
        <v>31</v>
      </c>
      <c r="D176" s="14" t="s">
        <v>16</v>
      </c>
      <c r="E176" s="14" t="s">
        <v>46</v>
      </c>
      <c r="F176" s="13" t="s">
        <v>395</v>
      </c>
      <c r="G176" s="14" t="s">
        <v>19</v>
      </c>
      <c r="H176" s="14" t="s">
        <v>20</v>
      </c>
      <c r="I176" s="14" t="s">
        <v>396</v>
      </c>
      <c r="J176" s="14" t="s">
        <v>22</v>
      </c>
      <c r="K176" s="14" t="str">
        <f t="shared" si="4"/>
        <v>A</v>
      </c>
      <c r="L176" s="14" t="s">
        <v>34</v>
      </c>
      <c r="M176">
        <f t="shared" si="5"/>
        <v>1</v>
      </c>
    </row>
    <row r="177" s="10" customFormat="1" spans="1:13">
      <c r="A177" s="14" t="s">
        <v>369</v>
      </c>
      <c r="B177" s="13" t="s">
        <v>370</v>
      </c>
      <c r="C177" s="14" t="s">
        <v>31</v>
      </c>
      <c r="D177" s="14" t="s">
        <v>24</v>
      </c>
      <c r="E177" s="14" t="s">
        <v>46</v>
      </c>
      <c r="F177" s="13" t="s">
        <v>397</v>
      </c>
      <c r="G177" s="14" t="s">
        <v>19</v>
      </c>
      <c r="H177" s="14" t="s">
        <v>20</v>
      </c>
      <c r="I177" s="14" t="s">
        <v>398</v>
      </c>
      <c r="J177" s="14" t="s">
        <v>22</v>
      </c>
      <c r="K177" s="14" t="str">
        <f t="shared" si="4"/>
        <v>A</v>
      </c>
      <c r="L177" s="14" t="s">
        <v>34</v>
      </c>
      <c r="M177">
        <f t="shared" si="5"/>
        <v>1</v>
      </c>
    </row>
    <row r="178" s="10" customFormat="1" spans="1:13">
      <c r="A178" s="14" t="s">
        <v>369</v>
      </c>
      <c r="B178" s="13" t="s">
        <v>370</v>
      </c>
      <c r="C178" s="14" t="s">
        <v>31</v>
      </c>
      <c r="D178" s="14" t="s">
        <v>28</v>
      </c>
      <c r="E178" s="14" t="s">
        <v>46</v>
      </c>
      <c r="F178" s="13" t="s">
        <v>399</v>
      </c>
      <c r="G178" s="14" t="s">
        <v>19</v>
      </c>
      <c r="H178" s="14" t="s">
        <v>20</v>
      </c>
      <c r="I178" s="14" t="s">
        <v>400</v>
      </c>
      <c r="J178" s="14" t="s">
        <v>22</v>
      </c>
      <c r="K178" s="14" t="str">
        <f t="shared" si="4"/>
        <v>A</v>
      </c>
      <c r="L178" s="14" t="s">
        <v>34</v>
      </c>
      <c r="M178">
        <f t="shared" si="5"/>
        <v>1</v>
      </c>
    </row>
    <row r="179" s="10" customFormat="1" spans="1:13">
      <c r="A179" s="14" t="s">
        <v>369</v>
      </c>
      <c r="B179" s="13" t="s">
        <v>370</v>
      </c>
      <c r="C179" s="14" t="s">
        <v>39</v>
      </c>
      <c r="D179" s="14" t="s">
        <v>16</v>
      </c>
      <c r="E179" s="14" t="s">
        <v>46</v>
      </c>
      <c r="F179" s="13" t="s">
        <v>401</v>
      </c>
      <c r="G179" s="14" t="s">
        <v>19</v>
      </c>
      <c r="H179" s="14" t="s">
        <v>20</v>
      </c>
      <c r="I179" s="14" t="s">
        <v>402</v>
      </c>
      <c r="J179" s="14" t="s">
        <v>22</v>
      </c>
      <c r="K179" s="14" t="str">
        <f t="shared" si="4"/>
        <v>B</v>
      </c>
      <c r="L179" s="14" t="s">
        <v>22</v>
      </c>
      <c r="M179">
        <f t="shared" si="5"/>
        <v>1</v>
      </c>
    </row>
    <row r="180" s="10" customFormat="1" spans="1:13">
      <c r="A180" s="14" t="s">
        <v>369</v>
      </c>
      <c r="B180" s="13" t="s">
        <v>370</v>
      </c>
      <c r="C180" s="14" t="s">
        <v>39</v>
      </c>
      <c r="D180" s="14" t="s">
        <v>24</v>
      </c>
      <c r="E180" s="14" t="s">
        <v>46</v>
      </c>
      <c r="F180" s="13" t="s">
        <v>403</v>
      </c>
      <c r="G180" s="14" t="s">
        <v>19</v>
      </c>
      <c r="H180" s="14" t="s">
        <v>20</v>
      </c>
      <c r="I180" s="14" t="s">
        <v>404</v>
      </c>
      <c r="J180" s="14" t="s">
        <v>22</v>
      </c>
      <c r="K180" s="14" t="str">
        <f t="shared" si="4"/>
        <v>B</v>
      </c>
      <c r="L180" s="14" t="s">
        <v>22</v>
      </c>
      <c r="M180">
        <f t="shared" si="5"/>
        <v>1</v>
      </c>
    </row>
    <row r="181" s="10" customFormat="1" spans="1:13">
      <c r="A181" s="14" t="s">
        <v>369</v>
      </c>
      <c r="B181" s="13" t="s">
        <v>370</v>
      </c>
      <c r="C181" s="14" t="s">
        <v>39</v>
      </c>
      <c r="D181" s="14" t="s">
        <v>28</v>
      </c>
      <c r="E181" s="14" t="s">
        <v>46</v>
      </c>
      <c r="F181" s="13" t="s">
        <v>405</v>
      </c>
      <c r="G181" s="14" t="s">
        <v>19</v>
      </c>
      <c r="H181" s="14" t="s">
        <v>20</v>
      </c>
      <c r="I181" s="14" t="s">
        <v>406</v>
      </c>
      <c r="J181" s="14" t="s">
        <v>22</v>
      </c>
      <c r="K181" s="14" t="str">
        <f t="shared" si="4"/>
        <v>B</v>
      </c>
      <c r="L181" s="14" t="s">
        <v>22</v>
      </c>
      <c r="M181">
        <f t="shared" si="5"/>
        <v>1</v>
      </c>
    </row>
    <row r="182" s="10" customFormat="1" spans="1:13">
      <c r="A182" s="14" t="s">
        <v>407</v>
      </c>
      <c r="B182" s="13" t="s">
        <v>408</v>
      </c>
      <c r="C182" s="14" t="s">
        <v>15</v>
      </c>
      <c r="D182" s="14" t="s">
        <v>16</v>
      </c>
      <c r="E182" s="14" t="s">
        <v>17</v>
      </c>
      <c r="F182" s="13" t="s">
        <v>409</v>
      </c>
      <c r="G182" s="14" t="s">
        <v>19</v>
      </c>
      <c r="H182" s="14" t="s">
        <v>20</v>
      </c>
      <c r="I182" s="14" t="s">
        <v>410</v>
      </c>
      <c r="J182" s="14" t="s">
        <v>34</v>
      </c>
      <c r="K182" s="14" t="str">
        <f t="shared" si="4"/>
        <v>A</v>
      </c>
      <c r="L182" s="14" t="s">
        <v>34</v>
      </c>
      <c r="M182">
        <f t="shared" si="5"/>
        <v>1</v>
      </c>
    </row>
    <row r="183" s="10" customFormat="1" spans="1:13">
      <c r="A183" s="14" t="s">
        <v>407</v>
      </c>
      <c r="B183" s="13" t="s">
        <v>408</v>
      </c>
      <c r="C183" s="14" t="s">
        <v>15</v>
      </c>
      <c r="D183" s="14" t="s">
        <v>24</v>
      </c>
      <c r="E183" s="14" t="s">
        <v>17</v>
      </c>
      <c r="F183" s="13" t="s">
        <v>411</v>
      </c>
      <c r="G183" s="14" t="s">
        <v>19</v>
      </c>
      <c r="H183" s="14" t="s">
        <v>20</v>
      </c>
      <c r="I183" s="14" t="s">
        <v>412</v>
      </c>
      <c r="J183" s="14" t="s">
        <v>34</v>
      </c>
      <c r="K183" s="14" t="str">
        <f t="shared" si="4"/>
        <v>A</v>
      </c>
      <c r="L183" s="14" t="s">
        <v>34</v>
      </c>
      <c r="M183">
        <f t="shared" si="5"/>
        <v>1</v>
      </c>
    </row>
    <row r="184" s="10" customFormat="1" spans="1:13">
      <c r="A184" s="14" t="s">
        <v>407</v>
      </c>
      <c r="B184" s="13" t="s">
        <v>408</v>
      </c>
      <c r="C184" s="14" t="s">
        <v>15</v>
      </c>
      <c r="D184" s="14" t="s">
        <v>28</v>
      </c>
      <c r="E184" s="14" t="s">
        <v>17</v>
      </c>
      <c r="F184" s="13" t="s">
        <v>413</v>
      </c>
      <c r="G184" s="14" t="s">
        <v>19</v>
      </c>
      <c r="H184" s="14" t="s">
        <v>20</v>
      </c>
      <c r="I184" s="14" t="s">
        <v>414</v>
      </c>
      <c r="J184" s="14" t="s">
        <v>34</v>
      </c>
      <c r="K184" s="14" t="str">
        <f t="shared" si="4"/>
        <v>A</v>
      </c>
      <c r="L184" s="14" t="s">
        <v>34</v>
      </c>
      <c r="M184">
        <f t="shared" si="5"/>
        <v>1</v>
      </c>
    </row>
    <row r="185" s="10" customFormat="1" spans="1:13">
      <c r="A185" s="14" t="s">
        <v>407</v>
      </c>
      <c r="B185" s="13" t="s">
        <v>408</v>
      </c>
      <c r="C185" s="14" t="s">
        <v>31</v>
      </c>
      <c r="D185" s="14" t="s">
        <v>16</v>
      </c>
      <c r="E185" s="14" t="s">
        <v>17</v>
      </c>
      <c r="F185" s="13" t="s">
        <v>415</v>
      </c>
      <c r="G185" s="14" t="s">
        <v>19</v>
      </c>
      <c r="H185" s="14" t="s">
        <v>20</v>
      </c>
      <c r="I185" s="14" t="s">
        <v>416</v>
      </c>
      <c r="J185" s="14" t="s">
        <v>34</v>
      </c>
      <c r="K185" s="14" t="str">
        <f t="shared" si="4"/>
        <v>A</v>
      </c>
      <c r="L185" s="14" t="s">
        <v>34</v>
      </c>
      <c r="M185">
        <f t="shared" si="5"/>
        <v>1</v>
      </c>
    </row>
    <row r="186" s="10" customFormat="1" spans="1:13">
      <c r="A186" s="14" t="s">
        <v>407</v>
      </c>
      <c r="B186" s="13" t="s">
        <v>408</v>
      </c>
      <c r="C186" s="14" t="s">
        <v>31</v>
      </c>
      <c r="D186" s="14" t="s">
        <v>24</v>
      </c>
      <c r="E186" s="14" t="s">
        <v>17</v>
      </c>
      <c r="F186" s="13" t="s">
        <v>417</v>
      </c>
      <c r="G186" s="14" t="s">
        <v>19</v>
      </c>
      <c r="H186" s="14" t="s">
        <v>20</v>
      </c>
      <c r="I186" s="14" t="s">
        <v>418</v>
      </c>
      <c r="J186" s="14" t="s">
        <v>34</v>
      </c>
      <c r="K186" s="14" t="str">
        <f t="shared" si="4"/>
        <v>A</v>
      </c>
      <c r="L186" s="14" t="s">
        <v>34</v>
      </c>
      <c r="M186">
        <f t="shared" si="5"/>
        <v>1</v>
      </c>
    </row>
    <row r="187" s="10" customFormat="1" spans="1:13">
      <c r="A187" s="14" t="s">
        <v>407</v>
      </c>
      <c r="B187" s="13" t="s">
        <v>408</v>
      </c>
      <c r="C187" s="14" t="s">
        <v>31</v>
      </c>
      <c r="D187" s="14" t="s">
        <v>28</v>
      </c>
      <c r="E187" s="14" t="s">
        <v>17</v>
      </c>
      <c r="F187" s="13" t="s">
        <v>419</v>
      </c>
      <c r="G187" s="14" t="s">
        <v>19</v>
      </c>
      <c r="H187" s="14" t="s">
        <v>20</v>
      </c>
      <c r="I187" s="14" t="s">
        <v>420</v>
      </c>
      <c r="J187" s="14" t="s">
        <v>34</v>
      </c>
      <c r="K187" s="14" t="str">
        <f t="shared" si="4"/>
        <v>A</v>
      </c>
      <c r="L187" s="14" t="s">
        <v>34</v>
      </c>
      <c r="M187">
        <f t="shared" si="5"/>
        <v>1</v>
      </c>
    </row>
    <row r="188" s="10" customFormat="1" spans="1:13">
      <c r="A188" s="14" t="s">
        <v>407</v>
      </c>
      <c r="B188" s="13" t="s">
        <v>408</v>
      </c>
      <c r="C188" s="14" t="s">
        <v>39</v>
      </c>
      <c r="D188" s="14" t="s">
        <v>16</v>
      </c>
      <c r="E188" s="14" t="s">
        <v>17</v>
      </c>
      <c r="F188" s="13" t="s">
        <v>421</v>
      </c>
      <c r="G188" s="14" t="s">
        <v>19</v>
      </c>
      <c r="H188" s="14" t="s">
        <v>20</v>
      </c>
      <c r="I188" s="14" t="s">
        <v>422</v>
      </c>
      <c r="J188" s="14" t="s">
        <v>34</v>
      </c>
      <c r="K188" s="14" t="str">
        <f t="shared" si="4"/>
        <v>B</v>
      </c>
      <c r="L188" s="14" t="s">
        <v>22</v>
      </c>
      <c r="M188">
        <f t="shared" si="5"/>
        <v>1</v>
      </c>
    </row>
    <row r="189" s="10" customFormat="1" spans="1:13">
      <c r="A189" s="14" t="s">
        <v>407</v>
      </c>
      <c r="B189" s="13" t="s">
        <v>408</v>
      </c>
      <c r="C189" s="14" t="s">
        <v>39</v>
      </c>
      <c r="D189" s="14" t="s">
        <v>24</v>
      </c>
      <c r="E189" s="14" t="s">
        <v>17</v>
      </c>
      <c r="F189" s="13" t="s">
        <v>423</v>
      </c>
      <c r="G189" s="14" t="s">
        <v>19</v>
      </c>
      <c r="H189" s="14" t="s">
        <v>20</v>
      </c>
      <c r="I189" s="14" t="s">
        <v>424</v>
      </c>
      <c r="J189" s="14" t="s">
        <v>34</v>
      </c>
      <c r="K189" s="14" t="str">
        <f t="shared" si="4"/>
        <v>B</v>
      </c>
      <c r="L189" s="14" t="s">
        <v>22</v>
      </c>
      <c r="M189">
        <f t="shared" si="5"/>
        <v>1</v>
      </c>
    </row>
    <row r="190" s="10" customFormat="1" spans="1:13">
      <c r="A190" s="14" t="s">
        <v>407</v>
      </c>
      <c r="B190" s="13" t="s">
        <v>408</v>
      </c>
      <c r="C190" s="14" t="s">
        <v>39</v>
      </c>
      <c r="D190" s="14" t="s">
        <v>28</v>
      </c>
      <c r="E190" s="14" t="s">
        <v>17</v>
      </c>
      <c r="F190" s="13" t="s">
        <v>425</v>
      </c>
      <c r="G190" s="14" t="s">
        <v>19</v>
      </c>
      <c r="H190" s="14" t="s">
        <v>20</v>
      </c>
      <c r="I190" s="14" t="s">
        <v>426</v>
      </c>
      <c r="J190" s="14" t="s">
        <v>34</v>
      </c>
      <c r="K190" s="14" t="str">
        <f t="shared" si="4"/>
        <v>B</v>
      </c>
      <c r="L190" s="14" t="s">
        <v>22</v>
      </c>
      <c r="M190">
        <f t="shared" si="5"/>
        <v>1</v>
      </c>
    </row>
    <row r="191" s="10" customFormat="1" spans="1:13">
      <c r="A191" s="14" t="s">
        <v>407</v>
      </c>
      <c r="B191" s="13" t="s">
        <v>408</v>
      </c>
      <c r="C191" s="14" t="s">
        <v>15</v>
      </c>
      <c r="D191" s="14" t="s">
        <v>16</v>
      </c>
      <c r="E191" s="14" t="s">
        <v>46</v>
      </c>
      <c r="F191" s="13" t="s">
        <v>427</v>
      </c>
      <c r="G191" s="14" t="s">
        <v>19</v>
      </c>
      <c r="H191" s="14" t="s">
        <v>20</v>
      </c>
      <c r="I191" s="14" t="s">
        <v>428</v>
      </c>
      <c r="J191" s="14" t="s">
        <v>34</v>
      </c>
      <c r="K191" s="14" t="str">
        <f t="shared" si="4"/>
        <v>B</v>
      </c>
      <c r="L191" s="14" t="s">
        <v>34</v>
      </c>
      <c r="M191">
        <f t="shared" si="5"/>
        <v>0</v>
      </c>
    </row>
    <row r="192" s="10" customFormat="1" spans="1:13">
      <c r="A192" s="14" t="s">
        <v>407</v>
      </c>
      <c r="B192" s="13" t="s">
        <v>408</v>
      </c>
      <c r="C192" s="14" t="s">
        <v>15</v>
      </c>
      <c r="D192" s="14" t="s">
        <v>24</v>
      </c>
      <c r="E192" s="14" t="s">
        <v>46</v>
      </c>
      <c r="F192" s="13" t="s">
        <v>429</v>
      </c>
      <c r="G192" s="14" t="s">
        <v>19</v>
      </c>
      <c r="H192" s="14" t="s">
        <v>20</v>
      </c>
      <c r="I192" s="14" t="s">
        <v>430</v>
      </c>
      <c r="J192" s="14" t="s">
        <v>22</v>
      </c>
      <c r="K192" s="14" t="str">
        <f t="shared" si="4"/>
        <v>A</v>
      </c>
      <c r="L192" s="14" t="s">
        <v>34</v>
      </c>
      <c r="M192">
        <f t="shared" si="5"/>
        <v>1</v>
      </c>
    </row>
    <row r="193" s="10" customFormat="1" spans="1:13">
      <c r="A193" s="14" t="s">
        <v>407</v>
      </c>
      <c r="B193" s="13" t="s">
        <v>408</v>
      </c>
      <c r="C193" s="14" t="s">
        <v>15</v>
      </c>
      <c r="D193" s="14" t="s">
        <v>28</v>
      </c>
      <c r="E193" s="14" t="s">
        <v>46</v>
      </c>
      <c r="F193" s="13" t="s">
        <v>431</v>
      </c>
      <c r="G193" s="14" t="s">
        <v>19</v>
      </c>
      <c r="H193" s="14" t="s">
        <v>20</v>
      </c>
      <c r="I193" s="14" t="s">
        <v>432</v>
      </c>
      <c r="J193" s="14" t="s">
        <v>22</v>
      </c>
      <c r="K193" s="14" t="str">
        <f t="shared" si="4"/>
        <v>A</v>
      </c>
      <c r="L193" s="14" t="s">
        <v>34</v>
      </c>
      <c r="M193">
        <f t="shared" si="5"/>
        <v>1</v>
      </c>
    </row>
    <row r="194" s="10" customFormat="1" spans="1:13">
      <c r="A194" s="14" t="s">
        <v>407</v>
      </c>
      <c r="B194" s="13" t="s">
        <v>408</v>
      </c>
      <c r="C194" s="14" t="s">
        <v>31</v>
      </c>
      <c r="D194" s="14" t="s">
        <v>16</v>
      </c>
      <c r="E194" s="14" t="s">
        <v>46</v>
      </c>
      <c r="F194" s="13" t="s">
        <v>433</v>
      </c>
      <c r="G194" s="14" t="s">
        <v>19</v>
      </c>
      <c r="H194" s="14" t="s">
        <v>20</v>
      </c>
      <c r="I194" s="14" t="s">
        <v>434</v>
      </c>
      <c r="J194" s="14" t="s">
        <v>22</v>
      </c>
      <c r="K194" s="14" t="str">
        <f t="shared" ref="K194:K217" si="6">IF(OR(J194="",C194="",E194=""),"",IF(J194="C","D(平局)",IF(J194=IF(E194="l2r","A","B"),LEFT(C194,1),RIGHT(C194,1))))</f>
        <v>A</v>
      </c>
      <c r="L194" s="14" t="s">
        <v>34</v>
      </c>
      <c r="M194">
        <f t="shared" ref="M194:M217" si="7">IF(OR(K194="",L194=""),"",--(K194=L194))</f>
        <v>1</v>
      </c>
    </row>
    <row r="195" s="10" customFormat="1" spans="1:13">
      <c r="A195" s="14" t="s">
        <v>407</v>
      </c>
      <c r="B195" s="13" t="s">
        <v>408</v>
      </c>
      <c r="C195" s="14" t="s">
        <v>31</v>
      </c>
      <c r="D195" s="14" t="s">
        <v>24</v>
      </c>
      <c r="E195" s="14" t="s">
        <v>46</v>
      </c>
      <c r="F195" s="13" t="s">
        <v>435</v>
      </c>
      <c r="G195" s="14" t="s">
        <v>19</v>
      </c>
      <c r="H195" s="14" t="s">
        <v>20</v>
      </c>
      <c r="I195" s="14" t="s">
        <v>436</v>
      </c>
      <c r="J195" s="14" t="s">
        <v>22</v>
      </c>
      <c r="K195" s="14" t="str">
        <f t="shared" si="6"/>
        <v>A</v>
      </c>
      <c r="L195" s="14" t="s">
        <v>34</v>
      </c>
      <c r="M195">
        <f t="shared" si="7"/>
        <v>1</v>
      </c>
    </row>
    <row r="196" s="10" customFormat="1" spans="1:13">
      <c r="A196" s="14" t="s">
        <v>407</v>
      </c>
      <c r="B196" s="13" t="s">
        <v>408</v>
      </c>
      <c r="C196" s="14" t="s">
        <v>31</v>
      </c>
      <c r="D196" s="14" t="s">
        <v>28</v>
      </c>
      <c r="E196" s="14" t="s">
        <v>46</v>
      </c>
      <c r="F196" s="13" t="s">
        <v>437</v>
      </c>
      <c r="G196" s="14" t="s">
        <v>19</v>
      </c>
      <c r="H196" s="14" t="s">
        <v>20</v>
      </c>
      <c r="I196" s="14" t="s">
        <v>438</v>
      </c>
      <c r="J196" s="14" t="s">
        <v>22</v>
      </c>
      <c r="K196" s="14" t="str">
        <f t="shared" si="6"/>
        <v>A</v>
      </c>
      <c r="L196" s="14" t="s">
        <v>34</v>
      </c>
      <c r="M196">
        <f t="shared" si="7"/>
        <v>1</v>
      </c>
    </row>
    <row r="197" s="10" customFormat="1" spans="1:13">
      <c r="A197" s="14" t="s">
        <v>407</v>
      </c>
      <c r="B197" s="13" t="s">
        <v>408</v>
      </c>
      <c r="C197" s="14" t="s">
        <v>39</v>
      </c>
      <c r="D197" s="14" t="s">
        <v>16</v>
      </c>
      <c r="E197" s="14" t="s">
        <v>46</v>
      </c>
      <c r="F197" s="13" t="s">
        <v>439</v>
      </c>
      <c r="G197" s="14" t="s">
        <v>19</v>
      </c>
      <c r="H197" s="14" t="s">
        <v>20</v>
      </c>
      <c r="I197" s="14" t="s">
        <v>440</v>
      </c>
      <c r="J197" s="14" t="s">
        <v>22</v>
      </c>
      <c r="K197" s="14" t="str">
        <f t="shared" si="6"/>
        <v>B</v>
      </c>
      <c r="L197" s="14" t="s">
        <v>22</v>
      </c>
      <c r="M197">
        <f t="shared" si="7"/>
        <v>1</v>
      </c>
    </row>
    <row r="198" s="10" customFormat="1" spans="1:13">
      <c r="A198" s="14" t="s">
        <v>407</v>
      </c>
      <c r="B198" s="13" t="s">
        <v>408</v>
      </c>
      <c r="C198" s="14" t="s">
        <v>39</v>
      </c>
      <c r="D198" s="14" t="s">
        <v>24</v>
      </c>
      <c r="E198" s="14" t="s">
        <v>46</v>
      </c>
      <c r="F198" s="13" t="s">
        <v>441</v>
      </c>
      <c r="G198" s="14" t="s">
        <v>19</v>
      </c>
      <c r="H198" s="14" t="s">
        <v>20</v>
      </c>
      <c r="I198" s="14" t="s">
        <v>442</v>
      </c>
      <c r="J198" s="14" t="s">
        <v>22</v>
      </c>
      <c r="K198" s="14" t="str">
        <f t="shared" si="6"/>
        <v>B</v>
      </c>
      <c r="L198" s="14" t="s">
        <v>22</v>
      </c>
      <c r="M198">
        <f t="shared" si="7"/>
        <v>1</v>
      </c>
    </row>
    <row r="199" s="10" customFormat="1" spans="1:13">
      <c r="A199" s="14" t="s">
        <v>407</v>
      </c>
      <c r="B199" s="13" t="s">
        <v>408</v>
      </c>
      <c r="C199" s="14" t="s">
        <v>39</v>
      </c>
      <c r="D199" s="14" t="s">
        <v>28</v>
      </c>
      <c r="E199" s="14" t="s">
        <v>46</v>
      </c>
      <c r="F199" s="13" t="s">
        <v>443</v>
      </c>
      <c r="G199" s="14" t="s">
        <v>19</v>
      </c>
      <c r="H199" s="14" t="s">
        <v>20</v>
      </c>
      <c r="I199" s="14" t="s">
        <v>444</v>
      </c>
      <c r="J199" s="14" t="s">
        <v>22</v>
      </c>
      <c r="K199" s="14" t="str">
        <f t="shared" si="6"/>
        <v>B</v>
      </c>
      <c r="L199" s="14" t="s">
        <v>22</v>
      </c>
      <c r="M199">
        <f t="shared" si="7"/>
        <v>1</v>
      </c>
    </row>
    <row r="200" s="10" customFormat="1" spans="1:13">
      <c r="A200" s="14" t="s">
        <v>445</v>
      </c>
      <c r="B200" s="13" t="s">
        <v>446</v>
      </c>
      <c r="C200" s="14" t="s">
        <v>15</v>
      </c>
      <c r="D200" s="14" t="s">
        <v>16</v>
      </c>
      <c r="E200" s="14" t="s">
        <v>17</v>
      </c>
      <c r="F200" s="13" t="s">
        <v>447</v>
      </c>
      <c r="G200" s="14" t="s">
        <v>19</v>
      </c>
      <c r="H200" s="14" t="s">
        <v>20</v>
      </c>
      <c r="I200" s="14" t="s">
        <v>448</v>
      </c>
      <c r="J200" s="14" t="s">
        <v>34</v>
      </c>
      <c r="K200" s="14" t="str">
        <f t="shared" si="6"/>
        <v>A</v>
      </c>
      <c r="L200" s="14" t="s">
        <v>34</v>
      </c>
      <c r="M200">
        <f t="shared" si="7"/>
        <v>1</v>
      </c>
    </row>
    <row r="201" s="10" customFormat="1" spans="1:13">
      <c r="A201" s="14" t="s">
        <v>445</v>
      </c>
      <c r="B201" s="13" t="s">
        <v>446</v>
      </c>
      <c r="C201" s="14" t="s">
        <v>15</v>
      </c>
      <c r="D201" s="14" t="s">
        <v>24</v>
      </c>
      <c r="E201" s="14" t="s">
        <v>17</v>
      </c>
      <c r="F201" s="13" t="s">
        <v>449</v>
      </c>
      <c r="G201" s="14" t="s">
        <v>19</v>
      </c>
      <c r="H201" s="14" t="s">
        <v>20</v>
      </c>
      <c r="I201" s="14" t="s">
        <v>450</v>
      </c>
      <c r="J201" s="14" t="s">
        <v>34</v>
      </c>
      <c r="K201" s="14" t="str">
        <f t="shared" si="6"/>
        <v>A</v>
      </c>
      <c r="L201" s="14" t="s">
        <v>34</v>
      </c>
      <c r="M201">
        <f t="shared" si="7"/>
        <v>1</v>
      </c>
    </row>
    <row r="202" s="10" customFormat="1" spans="1:13">
      <c r="A202" s="14" t="s">
        <v>445</v>
      </c>
      <c r="B202" s="13" t="s">
        <v>446</v>
      </c>
      <c r="C202" s="14" t="s">
        <v>15</v>
      </c>
      <c r="D202" s="14" t="s">
        <v>28</v>
      </c>
      <c r="E202" s="14" t="s">
        <v>17</v>
      </c>
      <c r="F202" s="13" t="s">
        <v>451</v>
      </c>
      <c r="G202" s="14" t="s">
        <v>19</v>
      </c>
      <c r="H202" s="14" t="s">
        <v>20</v>
      </c>
      <c r="I202" s="14" t="s">
        <v>452</v>
      </c>
      <c r="J202" s="14" t="s">
        <v>34</v>
      </c>
      <c r="K202" s="14" t="str">
        <f t="shared" si="6"/>
        <v>A</v>
      </c>
      <c r="L202" s="14" t="s">
        <v>34</v>
      </c>
      <c r="M202">
        <f t="shared" si="7"/>
        <v>1</v>
      </c>
    </row>
    <row r="203" s="10" customFormat="1" spans="1:13">
      <c r="A203" s="14" t="s">
        <v>445</v>
      </c>
      <c r="B203" s="13" t="s">
        <v>446</v>
      </c>
      <c r="C203" s="14" t="s">
        <v>31</v>
      </c>
      <c r="D203" s="14" t="s">
        <v>16</v>
      </c>
      <c r="E203" s="14" t="s">
        <v>17</v>
      </c>
      <c r="F203" s="13" t="s">
        <v>453</v>
      </c>
      <c r="G203" s="14" t="s">
        <v>19</v>
      </c>
      <c r="H203" s="14" t="s">
        <v>20</v>
      </c>
      <c r="I203" s="14" t="s">
        <v>454</v>
      </c>
      <c r="J203" s="14" t="s">
        <v>34</v>
      </c>
      <c r="K203" s="14" t="str">
        <f t="shared" si="6"/>
        <v>A</v>
      </c>
      <c r="L203" s="14" t="s">
        <v>34</v>
      </c>
      <c r="M203">
        <f t="shared" si="7"/>
        <v>1</v>
      </c>
    </row>
    <row r="204" s="10" customFormat="1" spans="1:13">
      <c r="A204" s="14" t="s">
        <v>445</v>
      </c>
      <c r="B204" s="13" t="s">
        <v>446</v>
      </c>
      <c r="C204" s="14" t="s">
        <v>31</v>
      </c>
      <c r="D204" s="14" t="s">
        <v>24</v>
      </c>
      <c r="E204" s="14" t="s">
        <v>17</v>
      </c>
      <c r="F204" s="13" t="s">
        <v>455</v>
      </c>
      <c r="G204" s="14" t="s">
        <v>19</v>
      </c>
      <c r="H204" s="14" t="s">
        <v>20</v>
      </c>
      <c r="I204" s="14" t="s">
        <v>456</v>
      </c>
      <c r="J204" s="14" t="s">
        <v>34</v>
      </c>
      <c r="K204" s="14" t="str">
        <f t="shared" si="6"/>
        <v>A</v>
      </c>
      <c r="L204" s="14" t="s">
        <v>34</v>
      </c>
      <c r="M204">
        <f t="shared" si="7"/>
        <v>1</v>
      </c>
    </row>
    <row r="205" s="10" customFormat="1" spans="1:13">
      <c r="A205" s="14" t="s">
        <v>445</v>
      </c>
      <c r="B205" s="13" t="s">
        <v>446</v>
      </c>
      <c r="C205" s="14" t="s">
        <v>31</v>
      </c>
      <c r="D205" s="14" t="s">
        <v>28</v>
      </c>
      <c r="E205" s="14" t="s">
        <v>17</v>
      </c>
      <c r="F205" s="13" t="s">
        <v>457</v>
      </c>
      <c r="G205" s="14" t="s">
        <v>19</v>
      </c>
      <c r="H205" s="14" t="s">
        <v>20</v>
      </c>
      <c r="I205" s="14" t="s">
        <v>458</v>
      </c>
      <c r="J205" s="14" t="s">
        <v>34</v>
      </c>
      <c r="K205" s="14" t="str">
        <f t="shared" si="6"/>
        <v>A</v>
      </c>
      <c r="L205" s="14" t="s">
        <v>34</v>
      </c>
      <c r="M205">
        <f t="shared" si="7"/>
        <v>1</v>
      </c>
    </row>
    <row r="206" s="10" customFormat="1" spans="1:13">
      <c r="A206" s="14" t="s">
        <v>445</v>
      </c>
      <c r="B206" s="13" t="s">
        <v>446</v>
      </c>
      <c r="C206" s="14" t="s">
        <v>39</v>
      </c>
      <c r="D206" s="14" t="s">
        <v>16</v>
      </c>
      <c r="E206" s="14" t="s">
        <v>17</v>
      </c>
      <c r="F206" s="13" t="s">
        <v>459</v>
      </c>
      <c r="G206" s="14" t="s">
        <v>19</v>
      </c>
      <c r="H206" s="14" t="s">
        <v>20</v>
      </c>
      <c r="I206" s="14" t="s">
        <v>460</v>
      </c>
      <c r="J206" s="14" t="s">
        <v>34</v>
      </c>
      <c r="K206" s="14" t="str">
        <f t="shared" si="6"/>
        <v>B</v>
      </c>
      <c r="L206" s="14" t="s">
        <v>22</v>
      </c>
      <c r="M206">
        <f t="shared" si="7"/>
        <v>1</v>
      </c>
    </row>
    <row r="207" s="10" customFormat="1" spans="1:13">
      <c r="A207" s="14" t="s">
        <v>445</v>
      </c>
      <c r="B207" s="13" t="s">
        <v>446</v>
      </c>
      <c r="C207" s="14" t="s">
        <v>39</v>
      </c>
      <c r="D207" s="14" t="s">
        <v>24</v>
      </c>
      <c r="E207" s="14" t="s">
        <v>17</v>
      </c>
      <c r="F207" s="13" t="s">
        <v>461</v>
      </c>
      <c r="G207" s="14" t="s">
        <v>19</v>
      </c>
      <c r="H207" s="14" t="s">
        <v>20</v>
      </c>
      <c r="I207" s="14" t="s">
        <v>462</v>
      </c>
      <c r="J207" s="14" t="s">
        <v>34</v>
      </c>
      <c r="K207" s="14" t="str">
        <f t="shared" si="6"/>
        <v>B</v>
      </c>
      <c r="L207" s="14" t="s">
        <v>22</v>
      </c>
      <c r="M207">
        <f t="shared" si="7"/>
        <v>1</v>
      </c>
    </row>
    <row r="208" s="10" customFormat="1" spans="1:13">
      <c r="A208" s="14" t="s">
        <v>445</v>
      </c>
      <c r="B208" s="13" t="s">
        <v>446</v>
      </c>
      <c r="C208" s="14" t="s">
        <v>39</v>
      </c>
      <c r="D208" s="14" t="s">
        <v>28</v>
      </c>
      <c r="E208" s="14" t="s">
        <v>17</v>
      </c>
      <c r="F208" s="13" t="s">
        <v>463</v>
      </c>
      <c r="G208" s="14" t="s">
        <v>19</v>
      </c>
      <c r="H208" s="14" t="s">
        <v>20</v>
      </c>
      <c r="I208" s="14" t="s">
        <v>464</v>
      </c>
      <c r="J208" s="14" t="s">
        <v>34</v>
      </c>
      <c r="K208" s="14" t="str">
        <f t="shared" si="6"/>
        <v>B</v>
      </c>
      <c r="L208" s="14" t="s">
        <v>22</v>
      </c>
      <c r="M208">
        <f t="shared" si="7"/>
        <v>1</v>
      </c>
    </row>
    <row r="209" s="10" customFormat="1" spans="1:13">
      <c r="A209" s="14" t="s">
        <v>445</v>
      </c>
      <c r="B209" s="13" t="s">
        <v>446</v>
      </c>
      <c r="C209" s="14" t="s">
        <v>15</v>
      </c>
      <c r="D209" s="14" t="s">
        <v>16</v>
      </c>
      <c r="E209" s="14" t="s">
        <v>46</v>
      </c>
      <c r="F209" s="13" t="s">
        <v>465</v>
      </c>
      <c r="G209" s="14" t="s">
        <v>19</v>
      </c>
      <c r="H209" s="14" t="s">
        <v>20</v>
      </c>
      <c r="I209" s="14" t="s">
        <v>466</v>
      </c>
      <c r="J209" s="14" t="s">
        <v>22</v>
      </c>
      <c r="K209" s="14" t="str">
        <f t="shared" si="6"/>
        <v>A</v>
      </c>
      <c r="L209" s="14" t="s">
        <v>34</v>
      </c>
      <c r="M209">
        <f t="shared" si="7"/>
        <v>1</v>
      </c>
    </row>
    <row r="210" s="10" customFormat="1" spans="1:13">
      <c r="A210" s="14" t="s">
        <v>445</v>
      </c>
      <c r="B210" s="13" t="s">
        <v>446</v>
      </c>
      <c r="C210" s="14" t="s">
        <v>15</v>
      </c>
      <c r="D210" s="14" t="s">
        <v>24</v>
      </c>
      <c r="E210" s="14" t="s">
        <v>46</v>
      </c>
      <c r="F210" s="13" t="s">
        <v>467</v>
      </c>
      <c r="G210" s="14" t="s">
        <v>19</v>
      </c>
      <c r="H210" s="14" t="s">
        <v>20</v>
      </c>
      <c r="I210" s="14" t="s">
        <v>468</v>
      </c>
      <c r="J210" s="14" t="s">
        <v>22</v>
      </c>
      <c r="K210" s="14" t="str">
        <f t="shared" si="6"/>
        <v>A</v>
      </c>
      <c r="L210" s="14" t="s">
        <v>34</v>
      </c>
      <c r="M210">
        <f t="shared" si="7"/>
        <v>1</v>
      </c>
    </row>
    <row r="211" s="10" customFormat="1" spans="1:13">
      <c r="A211" s="14" t="s">
        <v>445</v>
      </c>
      <c r="B211" s="13" t="s">
        <v>446</v>
      </c>
      <c r="C211" s="14" t="s">
        <v>15</v>
      </c>
      <c r="D211" s="14" t="s">
        <v>28</v>
      </c>
      <c r="E211" s="14" t="s">
        <v>46</v>
      </c>
      <c r="F211" s="13" t="s">
        <v>469</v>
      </c>
      <c r="G211" s="14" t="s">
        <v>19</v>
      </c>
      <c r="H211" s="14" t="s">
        <v>20</v>
      </c>
      <c r="I211" s="14" t="s">
        <v>470</v>
      </c>
      <c r="J211" s="14" t="s">
        <v>22</v>
      </c>
      <c r="K211" s="14" t="str">
        <f t="shared" si="6"/>
        <v>A</v>
      </c>
      <c r="L211" s="14" t="s">
        <v>34</v>
      </c>
      <c r="M211">
        <f t="shared" si="7"/>
        <v>1</v>
      </c>
    </row>
    <row r="212" s="10" customFormat="1" spans="1:13">
      <c r="A212" s="14" t="s">
        <v>445</v>
      </c>
      <c r="B212" s="13" t="s">
        <v>446</v>
      </c>
      <c r="C212" s="14" t="s">
        <v>31</v>
      </c>
      <c r="D212" s="14" t="s">
        <v>16</v>
      </c>
      <c r="E212" s="14" t="s">
        <v>46</v>
      </c>
      <c r="F212" s="13" t="s">
        <v>471</v>
      </c>
      <c r="G212" s="14" t="s">
        <v>19</v>
      </c>
      <c r="H212" s="14" t="s">
        <v>20</v>
      </c>
      <c r="I212" s="14" t="s">
        <v>472</v>
      </c>
      <c r="J212" s="14" t="s">
        <v>22</v>
      </c>
      <c r="K212" s="14" t="str">
        <f t="shared" si="6"/>
        <v>A</v>
      </c>
      <c r="L212" s="14" t="s">
        <v>34</v>
      </c>
      <c r="M212">
        <f t="shared" si="7"/>
        <v>1</v>
      </c>
    </row>
    <row r="213" s="10" customFormat="1" spans="1:13">
      <c r="A213" s="14" t="s">
        <v>445</v>
      </c>
      <c r="B213" s="13" t="s">
        <v>446</v>
      </c>
      <c r="C213" s="14" t="s">
        <v>31</v>
      </c>
      <c r="D213" s="14" t="s">
        <v>24</v>
      </c>
      <c r="E213" s="14" t="s">
        <v>46</v>
      </c>
      <c r="F213" s="13" t="s">
        <v>473</v>
      </c>
      <c r="G213" s="14" t="s">
        <v>19</v>
      </c>
      <c r="H213" s="14" t="s">
        <v>20</v>
      </c>
      <c r="I213" s="14" t="s">
        <v>474</v>
      </c>
      <c r="J213" s="14" t="s">
        <v>22</v>
      </c>
      <c r="K213" s="14" t="str">
        <f t="shared" si="6"/>
        <v>A</v>
      </c>
      <c r="L213" s="14" t="s">
        <v>34</v>
      </c>
      <c r="M213">
        <f t="shared" si="7"/>
        <v>1</v>
      </c>
    </row>
    <row r="214" s="10" customFormat="1" spans="1:13">
      <c r="A214" s="14" t="s">
        <v>445</v>
      </c>
      <c r="B214" s="13" t="s">
        <v>446</v>
      </c>
      <c r="C214" s="14" t="s">
        <v>31</v>
      </c>
      <c r="D214" s="14" t="s">
        <v>28</v>
      </c>
      <c r="E214" s="14" t="s">
        <v>46</v>
      </c>
      <c r="F214" s="13" t="s">
        <v>475</v>
      </c>
      <c r="G214" s="14" t="s">
        <v>19</v>
      </c>
      <c r="H214" s="14" t="s">
        <v>20</v>
      </c>
      <c r="I214" s="14" t="s">
        <v>476</v>
      </c>
      <c r="J214" s="14" t="s">
        <v>22</v>
      </c>
      <c r="K214" s="14" t="str">
        <f t="shared" si="6"/>
        <v>A</v>
      </c>
      <c r="L214" s="14" t="s">
        <v>34</v>
      </c>
      <c r="M214">
        <f t="shared" si="7"/>
        <v>1</v>
      </c>
    </row>
    <row r="215" s="10" customFormat="1" spans="1:13">
      <c r="A215" s="14" t="s">
        <v>445</v>
      </c>
      <c r="B215" s="13" t="s">
        <v>446</v>
      </c>
      <c r="C215" s="14" t="s">
        <v>39</v>
      </c>
      <c r="D215" s="14" t="s">
        <v>16</v>
      </c>
      <c r="E215" s="14" t="s">
        <v>46</v>
      </c>
      <c r="F215" s="13" t="s">
        <v>477</v>
      </c>
      <c r="G215" s="14" t="s">
        <v>19</v>
      </c>
      <c r="H215" s="14" t="s">
        <v>20</v>
      </c>
      <c r="I215" s="14" t="s">
        <v>478</v>
      </c>
      <c r="J215" s="14" t="s">
        <v>22</v>
      </c>
      <c r="K215" s="14" t="str">
        <f t="shared" si="6"/>
        <v>B</v>
      </c>
      <c r="L215" s="14" t="s">
        <v>22</v>
      </c>
      <c r="M215">
        <f t="shared" si="7"/>
        <v>1</v>
      </c>
    </row>
    <row r="216" s="10" customFormat="1" spans="1:13">
      <c r="A216" s="14" t="s">
        <v>445</v>
      </c>
      <c r="B216" s="13" t="s">
        <v>446</v>
      </c>
      <c r="C216" s="14" t="s">
        <v>39</v>
      </c>
      <c r="D216" s="14" t="s">
        <v>24</v>
      </c>
      <c r="E216" s="14" t="s">
        <v>46</v>
      </c>
      <c r="F216" s="13" t="s">
        <v>479</v>
      </c>
      <c r="G216" s="14" t="s">
        <v>19</v>
      </c>
      <c r="H216" s="14" t="s">
        <v>20</v>
      </c>
      <c r="I216" s="14" t="s">
        <v>480</v>
      </c>
      <c r="J216" s="14" t="s">
        <v>22</v>
      </c>
      <c r="K216" s="14" t="str">
        <f t="shared" si="6"/>
        <v>B</v>
      </c>
      <c r="L216" s="14" t="s">
        <v>22</v>
      </c>
      <c r="M216">
        <f t="shared" si="7"/>
        <v>1</v>
      </c>
    </row>
    <row r="217" s="10" customFormat="1" spans="1:13">
      <c r="A217" s="14" t="s">
        <v>445</v>
      </c>
      <c r="B217" s="13" t="s">
        <v>446</v>
      </c>
      <c r="C217" s="14" t="s">
        <v>39</v>
      </c>
      <c r="D217" s="14" t="s">
        <v>28</v>
      </c>
      <c r="E217" s="14" t="s">
        <v>46</v>
      </c>
      <c r="F217" s="13" t="s">
        <v>481</v>
      </c>
      <c r="G217" s="14" t="s">
        <v>19</v>
      </c>
      <c r="H217" s="14" t="s">
        <v>20</v>
      </c>
      <c r="I217" s="14" t="s">
        <v>482</v>
      </c>
      <c r="J217" s="14" t="s">
        <v>22</v>
      </c>
      <c r="K217" s="14" t="str">
        <f t="shared" si="6"/>
        <v>B</v>
      </c>
      <c r="L217" s="14" t="s">
        <v>22</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K175:K217 L175:L217">
      <formula1>"A,B,C,D(平局)"</formula1>
    </dataValidation>
    <dataValidation type="list" sqref="L2:L174">
      <formula1>"是,否"</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24</v>
      </c>
      <c r="H1" s="8" t="s">
        <v>28</v>
      </c>
      <c r="I1" s="8" t="s">
        <v>487</v>
      </c>
      <c r="J1" s="8" t="s">
        <v>488</v>
      </c>
      <c r="K1" s="8" t="s">
        <v>489</v>
      </c>
      <c r="L1" s="8" t="s">
        <v>490</v>
      </c>
    </row>
    <row r="2" spans="1:12">
      <c r="A2" s="9" t="s">
        <v>491</v>
      </c>
      <c r="B2" s="9" t="s">
        <v>492</v>
      </c>
      <c r="C2" s="9" t="s">
        <v>17</v>
      </c>
      <c r="D2" s="9" t="s">
        <v>445</v>
      </c>
      <c r="E2" s="9" t="s">
        <v>15</v>
      </c>
      <c r="F2" s="9" t="s">
        <v>34</v>
      </c>
      <c r="G2" s="9" t="s">
        <v>34</v>
      </c>
      <c r="H2" s="9" t="s">
        <v>34</v>
      </c>
      <c r="I2" s="9" t="str">
        <f>IF(MAX(COUNTIF(F2:H2,"A"),COUNTIF(F2:H2,"B"),COUNTIF(F2:H2,"C"),COUNTIF(F2:H2,"D(平局)"))&lt;2,"D(平局)",IF(COUNTIF(F2:H2,"A")&gt;=2,"A",IF(COUNTIF(F2:H2,"B")&gt;=2,"B",IF(COUNTIF(F2:H2,"C")&gt;=2,"C","D(平局)"))))</f>
        <v>A</v>
      </c>
      <c r="J2" s="9" t="s">
        <v>34</v>
      </c>
      <c r="K2" s="9">
        <f t="shared" ref="K2:K65" si="0">--(I2&lt;&gt;"无多数")</f>
        <v>1</v>
      </c>
      <c r="L2" s="9">
        <f>IF(K2=0,"",--(I2=J2))</f>
        <v>1</v>
      </c>
    </row>
    <row r="3" spans="1:12">
      <c r="A3" s="9" t="s">
        <v>491</v>
      </c>
      <c r="B3" s="9" t="s">
        <v>492</v>
      </c>
      <c r="C3" s="9" t="s">
        <v>17</v>
      </c>
      <c r="D3" s="9" t="s">
        <v>445</v>
      </c>
      <c r="E3" s="9" t="s">
        <v>31</v>
      </c>
      <c r="F3" s="9" t="s">
        <v>34</v>
      </c>
      <c r="G3" s="9" t="s">
        <v>34</v>
      </c>
      <c r="H3" s="9" t="s">
        <v>34</v>
      </c>
      <c r="I3" s="9" t="str">
        <f t="shared" ref="I3:I34" si="1">IF(MAX(COUNTIF(F3:H3,"A"),COUNTIF(F3:H3,"B"),COUNTIF(F3:H3,"C"),COUNTIF(F3:H3,"D(平局)"))&lt;2,"D(平局)",IF(COUNTIF(F3:H3,"A")&gt;=2,"A",IF(COUNTIF(F3:H3,"B")&gt;=2,"B",IF(COUNTIF(F3:H3,"C")&gt;=2,"C","D(平局)"))))</f>
        <v>A</v>
      </c>
      <c r="J3" s="9" t="s">
        <v>34</v>
      </c>
      <c r="K3" s="9">
        <f t="shared" si="0"/>
        <v>1</v>
      </c>
      <c r="L3" s="9">
        <f t="shared" ref="L3:L34" si="2">IF(K3=0,"",--(I3=J3))</f>
        <v>1</v>
      </c>
    </row>
    <row r="4" spans="1:12">
      <c r="A4" s="9" t="s">
        <v>491</v>
      </c>
      <c r="B4" s="9" t="s">
        <v>492</v>
      </c>
      <c r="C4" s="9" t="s">
        <v>17</v>
      </c>
      <c r="D4" s="9" t="s">
        <v>445</v>
      </c>
      <c r="E4" s="9" t="s">
        <v>39</v>
      </c>
      <c r="F4" s="9" t="s">
        <v>22</v>
      </c>
      <c r="G4" s="9" t="s">
        <v>22</v>
      </c>
      <c r="H4" s="9" t="s">
        <v>22</v>
      </c>
      <c r="I4" s="9" t="str">
        <f t="shared" si="1"/>
        <v>B</v>
      </c>
      <c r="J4" s="9" t="s">
        <v>22</v>
      </c>
      <c r="K4" s="9">
        <f t="shared" si="0"/>
        <v>1</v>
      </c>
      <c r="L4" s="9">
        <f t="shared" si="2"/>
        <v>1</v>
      </c>
    </row>
    <row r="5" spans="1:12">
      <c r="A5" s="9" t="s">
        <v>491</v>
      </c>
      <c r="B5" s="9" t="s">
        <v>492</v>
      </c>
      <c r="C5" s="9" t="s">
        <v>17</v>
      </c>
      <c r="D5" s="9" t="s">
        <v>407</v>
      </c>
      <c r="E5" s="9" t="s">
        <v>15</v>
      </c>
      <c r="F5" s="9" t="s">
        <v>34</v>
      </c>
      <c r="G5" s="9" t="s">
        <v>34</v>
      </c>
      <c r="H5" s="9" t="s">
        <v>34</v>
      </c>
      <c r="I5" s="9" t="str">
        <f t="shared" si="1"/>
        <v>A</v>
      </c>
      <c r="J5" s="9" t="s">
        <v>34</v>
      </c>
      <c r="K5" s="9">
        <f t="shared" si="0"/>
        <v>1</v>
      </c>
      <c r="L5" s="9">
        <f t="shared" si="2"/>
        <v>1</v>
      </c>
    </row>
    <row r="6" spans="1:12">
      <c r="A6" s="9" t="s">
        <v>491</v>
      </c>
      <c r="B6" s="9" t="s">
        <v>492</v>
      </c>
      <c r="C6" s="9" t="s">
        <v>17</v>
      </c>
      <c r="D6" s="9" t="s">
        <v>407</v>
      </c>
      <c r="E6" s="9" t="s">
        <v>31</v>
      </c>
      <c r="F6" s="9" t="s">
        <v>34</v>
      </c>
      <c r="G6" s="9" t="s">
        <v>34</v>
      </c>
      <c r="H6" s="9" t="s">
        <v>34</v>
      </c>
      <c r="I6" s="9" t="str">
        <f t="shared" si="1"/>
        <v>A</v>
      </c>
      <c r="J6" s="9" t="s">
        <v>34</v>
      </c>
      <c r="K6" s="9">
        <f t="shared" si="0"/>
        <v>1</v>
      </c>
      <c r="L6" s="9">
        <f t="shared" si="2"/>
        <v>1</v>
      </c>
    </row>
    <row r="7" spans="1:12">
      <c r="A7" s="9" t="s">
        <v>491</v>
      </c>
      <c r="B7" s="9" t="s">
        <v>492</v>
      </c>
      <c r="C7" s="9" t="s">
        <v>17</v>
      </c>
      <c r="D7" s="9" t="s">
        <v>407</v>
      </c>
      <c r="E7" s="9" t="s">
        <v>39</v>
      </c>
      <c r="F7" s="9" t="s">
        <v>22</v>
      </c>
      <c r="G7" s="9" t="s">
        <v>22</v>
      </c>
      <c r="H7" s="9" t="s">
        <v>22</v>
      </c>
      <c r="I7" s="9" t="str">
        <f t="shared" si="1"/>
        <v>B</v>
      </c>
      <c r="J7" s="9" t="s">
        <v>22</v>
      </c>
      <c r="K7" s="9">
        <f t="shared" si="0"/>
        <v>1</v>
      </c>
      <c r="L7" s="9">
        <f t="shared" si="2"/>
        <v>1</v>
      </c>
    </row>
    <row r="8" spans="1:12">
      <c r="A8" s="9" t="s">
        <v>491</v>
      </c>
      <c r="B8" s="9" t="s">
        <v>492</v>
      </c>
      <c r="C8" s="9" t="s">
        <v>17</v>
      </c>
      <c r="D8" s="9" t="s">
        <v>369</v>
      </c>
      <c r="E8" s="9" t="s">
        <v>15</v>
      </c>
      <c r="F8" s="9" t="s">
        <v>34</v>
      </c>
      <c r="G8" s="9" t="s">
        <v>34</v>
      </c>
      <c r="H8" s="9" t="s">
        <v>34</v>
      </c>
      <c r="I8" s="9" t="str">
        <f t="shared" si="1"/>
        <v>A</v>
      </c>
      <c r="J8" s="9" t="s">
        <v>23</v>
      </c>
      <c r="K8" s="9">
        <f t="shared" si="0"/>
        <v>1</v>
      </c>
      <c r="L8" s="9">
        <f t="shared" si="2"/>
        <v>0</v>
      </c>
    </row>
    <row r="9" spans="1:12">
      <c r="A9" s="9" t="s">
        <v>491</v>
      </c>
      <c r="B9" s="9" t="s">
        <v>492</v>
      </c>
      <c r="C9" s="9" t="s">
        <v>17</v>
      </c>
      <c r="D9" s="9" t="s">
        <v>369</v>
      </c>
      <c r="E9" s="9" t="s">
        <v>31</v>
      </c>
      <c r="F9" s="9" t="s">
        <v>34</v>
      </c>
      <c r="G9" s="9" t="s">
        <v>34</v>
      </c>
      <c r="H9" s="9" t="s">
        <v>34</v>
      </c>
      <c r="I9" s="9" t="str">
        <f t="shared" si="1"/>
        <v>A</v>
      </c>
      <c r="J9" s="9" t="s">
        <v>34</v>
      </c>
      <c r="K9" s="9">
        <f t="shared" si="0"/>
        <v>1</v>
      </c>
      <c r="L9" s="9">
        <f t="shared" si="2"/>
        <v>1</v>
      </c>
    </row>
    <row r="10" spans="1:12">
      <c r="A10" s="9" t="s">
        <v>491</v>
      </c>
      <c r="B10" s="9" t="s">
        <v>492</v>
      </c>
      <c r="C10" s="9" t="s">
        <v>17</v>
      </c>
      <c r="D10" s="9" t="s">
        <v>369</v>
      </c>
      <c r="E10" s="9" t="s">
        <v>39</v>
      </c>
      <c r="F10" s="9" t="s">
        <v>22</v>
      </c>
      <c r="G10" s="9" t="s">
        <v>22</v>
      </c>
      <c r="H10" s="9" t="s">
        <v>22</v>
      </c>
      <c r="I10" s="9" t="str">
        <f t="shared" si="1"/>
        <v>B</v>
      </c>
      <c r="J10" s="9" t="s">
        <v>22</v>
      </c>
      <c r="K10" s="9">
        <f t="shared" si="0"/>
        <v>1</v>
      </c>
      <c r="L10" s="9">
        <f t="shared" si="2"/>
        <v>1</v>
      </c>
    </row>
    <row r="11" spans="1:12">
      <c r="A11" s="9" t="s">
        <v>491</v>
      </c>
      <c r="B11" s="9" t="s">
        <v>492</v>
      </c>
      <c r="C11" s="9" t="s">
        <v>17</v>
      </c>
      <c r="D11" s="9" t="s">
        <v>13</v>
      </c>
      <c r="E11" s="9" t="s">
        <v>15</v>
      </c>
      <c r="F11" s="9" t="s">
        <v>22</v>
      </c>
      <c r="G11" s="9" t="s">
        <v>23</v>
      </c>
      <c r="H11" s="9" t="s">
        <v>23</v>
      </c>
      <c r="I11" s="9" t="str">
        <f t="shared" si="1"/>
        <v>D(平局)</v>
      </c>
      <c r="J11" s="9" t="s">
        <v>23</v>
      </c>
      <c r="K11" s="9">
        <f t="shared" si="0"/>
        <v>1</v>
      </c>
      <c r="L11" s="9">
        <f t="shared" si="2"/>
        <v>1</v>
      </c>
    </row>
    <row r="12" spans="1:12">
      <c r="A12" s="9" t="s">
        <v>491</v>
      </c>
      <c r="B12" s="9" t="s">
        <v>492</v>
      </c>
      <c r="C12" s="9" t="s">
        <v>17</v>
      </c>
      <c r="D12" s="9" t="s">
        <v>13</v>
      </c>
      <c r="E12" s="9" t="s">
        <v>31</v>
      </c>
      <c r="F12" s="9" t="s">
        <v>34</v>
      </c>
      <c r="G12" s="9" t="s">
        <v>34</v>
      </c>
      <c r="H12" s="9" t="s">
        <v>34</v>
      </c>
      <c r="I12" s="9" t="str">
        <f t="shared" si="1"/>
        <v>A</v>
      </c>
      <c r="J12" s="9" t="s">
        <v>34</v>
      </c>
      <c r="K12" s="9">
        <f t="shared" si="0"/>
        <v>1</v>
      </c>
      <c r="L12" s="9">
        <f t="shared" si="2"/>
        <v>1</v>
      </c>
    </row>
    <row r="13" spans="1:12">
      <c r="A13" s="9" t="s">
        <v>491</v>
      </c>
      <c r="B13" s="9" t="s">
        <v>492</v>
      </c>
      <c r="C13" s="9" t="s">
        <v>17</v>
      </c>
      <c r="D13" s="9" t="s">
        <v>13</v>
      </c>
      <c r="E13" s="9" t="s">
        <v>39</v>
      </c>
      <c r="F13" s="9" t="s">
        <v>22</v>
      </c>
      <c r="G13" s="9" t="s">
        <v>22</v>
      </c>
      <c r="H13" s="9" t="s">
        <v>22</v>
      </c>
      <c r="I13" s="9" t="str">
        <f t="shared" si="1"/>
        <v>B</v>
      </c>
      <c r="J13" s="9" t="s">
        <v>22</v>
      </c>
      <c r="K13" s="9">
        <f t="shared" si="0"/>
        <v>1</v>
      </c>
      <c r="L13" s="9">
        <f t="shared" si="2"/>
        <v>1</v>
      </c>
    </row>
    <row r="14" spans="1:12">
      <c r="A14" s="9" t="s">
        <v>491</v>
      </c>
      <c r="B14" s="9" t="s">
        <v>492</v>
      </c>
      <c r="C14" s="9" t="s">
        <v>17</v>
      </c>
      <c r="D14" s="9" t="s">
        <v>179</v>
      </c>
      <c r="E14" s="9" t="s">
        <v>15</v>
      </c>
      <c r="F14" s="9" t="s">
        <v>34</v>
      </c>
      <c r="G14" s="9" t="s">
        <v>22</v>
      </c>
      <c r="H14" s="9" t="s">
        <v>34</v>
      </c>
      <c r="I14" s="9" t="str">
        <f t="shared" si="1"/>
        <v>A</v>
      </c>
      <c r="J14" s="9" t="s">
        <v>22</v>
      </c>
      <c r="K14" s="9">
        <f t="shared" si="0"/>
        <v>1</v>
      </c>
      <c r="L14" s="9">
        <f t="shared" si="2"/>
        <v>0</v>
      </c>
    </row>
    <row r="15" spans="1:12">
      <c r="A15" s="9" t="s">
        <v>491</v>
      </c>
      <c r="B15" s="9" t="s">
        <v>492</v>
      </c>
      <c r="C15" s="9" t="s">
        <v>17</v>
      </c>
      <c r="D15" s="9" t="s">
        <v>179</v>
      </c>
      <c r="E15" s="9" t="s">
        <v>31</v>
      </c>
      <c r="F15" s="9" t="s">
        <v>27</v>
      </c>
      <c r="G15" s="9" t="s">
        <v>34</v>
      </c>
      <c r="H15" s="9" t="s">
        <v>34</v>
      </c>
      <c r="I15" s="9" t="str">
        <f t="shared" si="1"/>
        <v>A</v>
      </c>
      <c r="J15" s="9" t="s">
        <v>34</v>
      </c>
      <c r="K15" s="9">
        <f t="shared" si="0"/>
        <v>1</v>
      </c>
      <c r="L15" s="9">
        <f t="shared" si="2"/>
        <v>1</v>
      </c>
    </row>
    <row r="16" spans="1:12">
      <c r="A16" s="9" t="s">
        <v>491</v>
      </c>
      <c r="B16" s="9" t="s">
        <v>492</v>
      </c>
      <c r="C16" s="9" t="s">
        <v>17</v>
      </c>
      <c r="D16" s="9" t="s">
        <v>179</v>
      </c>
      <c r="E16" s="9" t="s">
        <v>39</v>
      </c>
      <c r="F16" s="9" t="s">
        <v>27</v>
      </c>
      <c r="G16" s="9" t="s">
        <v>27</v>
      </c>
      <c r="H16" s="9" t="s">
        <v>22</v>
      </c>
      <c r="I16" s="9" t="str">
        <f t="shared" si="1"/>
        <v>C</v>
      </c>
      <c r="J16" s="9" t="s">
        <v>22</v>
      </c>
      <c r="K16" s="9">
        <f t="shared" si="0"/>
        <v>1</v>
      </c>
      <c r="L16" s="9">
        <f t="shared" si="2"/>
        <v>0</v>
      </c>
    </row>
    <row r="17" spans="1:12">
      <c r="A17" s="9" t="s">
        <v>491</v>
      </c>
      <c r="B17" s="9" t="s">
        <v>492</v>
      </c>
      <c r="C17" s="9" t="s">
        <v>17</v>
      </c>
      <c r="D17" s="9" t="s">
        <v>103</v>
      </c>
      <c r="E17" s="9" t="s">
        <v>15</v>
      </c>
      <c r="F17" s="9" t="s">
        <v>34</v>
      </c>
      <c r="G17" s="9" t="s">
        <v>34</v>
      </c>
      <c r="H17" s="9" t="s">
        <v>34</v>
      </c>
      <c r="I17" s="9" t="str">
        <f t="shared" si="1"/>
        <v>A</v>
      </c>
      <c r="J17" s="9" t="s">
        <v>34</v>
      </c>
      <c r="K17" s="9">
        <f t="shared" si="0"/>
        <v>1</v>
      </c>
      <c r="L17" s="9">
        <f t="shared" si="2"/>
        <v>1</v>
      </c>
    </row>
    <row r="18" spans="1:12">
      <c r="A18" s="9" t="s">
        <v>491</v>
      </c>
      <c r="B18" s="9" t="s">
        <v>492</v>
      </c>
      <c r="C18" s="9" t="s">
        <v>17</v>
      </c>
      <c r="D18" s="9" t="s">
        <v>103</v>
      </c>
      <c r="E18" s="9" t="s">
        <v>31</v>
      </c>
      <c r="F18" s="9" t="s">
        <v>34</v>
      </c>
      <c r="G18" s="9" t="s">
        <v>34</v>
      </c>
      <c r="H18" s="9" t="s">
        <v>34</v>
      </c>
      <c r="I18" s="9" t="str">
        <f t="shared" si="1"/>
        <v>A</v>
      </c>
      <c r="J18" s="9" t="s">
        <v>34</v>
      </c>
      <c r="K18" s="9">
        <f t="shared" si="0"/>
        <v>1</v>
      </c>
      <c r="L18" s="9">
        <f t="shared" si="2"/>
        <v>1</v>
      </c>
    </row>
    <row r="19" spans="1:12">
      <c r="A19" s="9" t="s">
        <v>491</v>
      </c>
      <c r="B19" s="9" t="s">
        <v>492</v>
      </c>
      <c r="C19" s="9" t="s">
        <v>17</v>
      </c>
      <c r="D19" s="9" t="s">
        <v>103</v>
      </c>
      <c r="E19" s="9" t="s">
        <v>39</v>
      </c>
      <c r="F19" s="9" t="s">
        <v>22</v>
      </c>
      <c r="G19" s="9" t="s">
        <v>22</v>
      </c>
      <c r="H19" s="9" t="s">
        <v>22</v>
      </c>
      <c r="I19" s="9" t="str">
        <f t="shared" si="1"/>
        <v>B</v>
      </c>
      <c r="J19" s="9" t="s">
        <v>22</v>
      </c>
      <c r="K19" s="9">
        <f t="shared" si="0"/>
        <v>1</v>
      </c>
      <c r="L19" s="9">
        <f t="shared" si="2"/>
        <v>1</v>
      </c>
    </row>
    <row r="20" spans="1:12">
      <c r="A20" s="9" t="s">
        <v>491</v>
      </c>
      <c r="B20" s="9" t="s">
        <v>492</v>
      </c>
      <c r="C20" s="9" t="s">
        <v>17</v>
      </c>
      <c r="D20" s="9" t="s">
        <v>65</v>
      </c>
      <c r="E20" s="9" t="s">
        <v>15</v>
      </c>
      <c r="F20" s="9" t="s">
        <v>34</v>
      </c>
      <c r="G20" s="9" t="s">
        <v>34</v>
      </c>
      <c r="H20" s="9" t="s">
        <v>34</v>
      </c>
      <c r="I20" s="9" t="str">
        <f t="shared" si="1"/>
        <v>A</v>
      </c>
      <c r="J20" s="9" t="s">
        <v>34</v>
      </c>
      <c r="K20" s="9">
        <f t="shared" si="0"/>
        <v>1</v>
      </c>
      <c r="L20" s="9">
        <f t="shared" si="2"/>
        <v>1</v>
      </c>
    </row>
    <row r="21" spans="1:12">
      <c r="A21" s="9" t="s">
        <v>491</v>
      </c>
      <c r="B21" s="9" t="s">
        <v>492</v>
      </c>
      <c r="C21" s="9" t="s">
        <v>17</v>
      </c>
      <c r="D21" s="9" t="s">
        <v>65</v>
      </c>
      <c r="E21" s="9" t="s">
        <v>31</v>
      </c>
      <c r="F21" s="9" t="s">
        <v>34</v>
      </c>
      <c r="G21" s="9" t="s">
        <v>34</v>
      </c>
      <c r="H21" s="9" t="s">
        <v>34</v>
      </c>
      <c r="I21" s="9" t="str">
        <f t="shared" si="1"/>
        <v>A</v>
      </c>
      <c r="J21" s="9" t="s">
        <v>34</v>
      </c>
      <c r="K21" s="9">
        <f t="shared" si="0"/>
        <v>1</v>
      </c>
      <c r="L21" s="9">
        <f t="shared" si="2"/>
        <v>1</v>
      </c>
    </row>
    <row r="22" spans="1:12">
      <c r="A22" s="9" t="s">
        <v>491</v>
      </c>
      <c r="B22" s="9" t="s">
        <v>492</v>
      </c>
      <c r="C22" s="9" t="s">
        <v>17</v>
      </c>
      <c r="D22" s="9" t="s">
        <v>65</v>
      </c>
      <c r="E22" s="9" t="s">
        <v>39</v>
      </c>
      <c r="F22" s="9" t="s">
        <v>27</v>
      </c>
      <c r="G22" s="9" t="s">
        <v>27</v>
      </c>
      <c r="H22" s="9" t="s">
        <v>23</v>
      </c>
      <c r="I22" s="9" t="str">
        <f t="shared" si="1"/>
        <v>C</v>
      </c>
      <c r="J22" s="9" t="s">
        <v>27</v>
      </c>
      <c r="K22" s="9">
        <f t="shared" si="0"/>
        <v>1</v>
      </c>
      <c r="L22" s="9">
        <f t="shared" si="2"/>
        <v>1</v>
      </c>
    </row>
    <row r="23" spans="1:12">
      <c r="A23" s="9" t="s">
        <v>491</v>
      </c>
      <c r="B23" s="9" t="s">
        <v>492</v>
      </c>
      <c r="C23" s="9" t="s">
        <v>17</v>
      </c>
      <c r="D23" s="9" t="s">
        <v>141</v>
      </c>
      <c r="E23" s="9" t="s">
        <v>15</v>
      </c>
      <c r="F23" s="9" t="s">
        <v>34</v>
      </c>
      <c r="G23" s="9" t="s">
        <v>22</v>
      </c>
      <c r="H23" s="9" t="s">
        <v>22</v>
      </c>
      <c r="I23" s="9" t="str">
        <f t="shared" si="1"/>
        <v>B</v>
      </c>
      <c r="J23" s="9" t="s">
        <v>34</v>
      </c>
      <c r="K23" s="9">
        <f t="shared" si="0"/>
        <v>1</v>
      </c>
      <c r="L23" s="9">
        <f t="shared" si="2"/>
        <v>0</v>
      </c>
    </row>
    <row r="24" spans="1:12">
      <c r="A24" s="9" t="s">
        <v>491</v>
      </c>
      <c r="B24" s="9" t="s">
        <v>492</v>
      </c>
      <c r="C24" s="9" t="s">
        <v>17</v>
      </c>
      <c r="D24" s="9" t="s">
        <v>141</v>
      </c>
      <c r="E24" s="9" t="s">
        <v>31</v>
      </c>
      <c r="F24" s="9" t="s">
        <v>34</v>
      </c>
      <c r="G24" s="9" t="s">
        <v>34</v>
      </c>
      <c r="H24" s="9" t="s">
        <v>34</v>
      </c>
      <c r="I24" s="9" t="str">
        <f t="shared" si="1"/>
        <v>A</v>
      </c>
      <c r="J24" s="9" t="s">
        <v>34</v>
      </c>
      <c r="K24" s="9">
        <f t="shared" si="0"/>
        <v>1</v>
      </c>
      <c r="L24" s="9">
        <f t="shared" si="2"/>
        <v>1</v>
      </c>
    </row>
    <row r="25" spans="1:12">
      <c r="A25" s="9" t="s">
        <v>491</v>
      </c>
      <c r="B25" s="9" t="s">
        <v>492</v>
      </c>
      <c r="C25" s="9" t="s">
        <v>17</v>
      </c>
      <c r="D25" s="9" t="s">
        <v>141</v>
      </c>
      <c r="E25" s="9" t="s">
        <v>39</v>
      </c>
      <c r="F25" s="9" t="s">
        <v>22</v>
      </c>
      <c r="G25" s="9" t="s">
        <v>22</v>
      </c>
      <c r="H25" s="9" t="s">
        <v>22</v>
      </c>
      <c r="I25" s="9" t="str">
        <f t="shared" si="1"/>
        <v>B</v>
      </c>
      <c r="J25" s="9" t="s">
        <v>22</v>
      </c>
      <c r="K25" s="9">
        <f t="shared" si="0"/>
        <v>1</v>
      </c>
      <c r="L25" s="9">
        <f t="shared" si="2"/>
        <v>1</v>
      </c>
    </row>
    <row r="26" spans="1:12">
      <c r="A26" s="9" t="s">
        <v>491</v>
      </c>
      <c r="B26" s="9" t="s">
        <v>492</v>
      </c>
      <c r="C26" s="9" t="s">
        <v>17</v>
      </c>
      <c r="D26" s="9" t="s">
        <v>255</v>
      </c>
      <c r="E26" s="9" t="s">
        <v>15</v>
      </c>
      <c r="F26" s="9" t="s">
        <v>34</v>
      </c>
      <c r="G26" s="9" t="s">
        <v>22</v>
      </c>
      <c r="H26" s="9" t="s">
        <v>34</v>
      </c>
      <c r="I26" s="9" t="str">
        <f t="shared" si="1"/>
        <v>A</v>
      </c>
      <c r="J26" s="9" t="s">
        <v>23</v>
      </c>
      <c r="K26" s="9">
        <f t="shared" si="0"/>
        <v>1</v>
      </c>
      <c r="L26" s="9">
        <f t="shared" si="2"/>
        <v>0</v>
      </c>
    </row>
    <row r="27" spans="1:12">
      <c r="A27" s="9" t="s">
        <v>491</v>
      </c>
      <c r="B27" s="9" t="s">
        <v>492</v>
      </c>
      <c r="C27" s="9" t="s">
        <v>17</v>
      </c>
      <c r="D27" s="9" t="s">
        <v>255</v>
      </c>
      <c r="E27" s="9" t="s">
        <v>31</v>
      </c>
      <c r="F27" s="9" t="s">
        <v>27</v>
      </c>
      <c r="G27" s="9" t="s">
        <v>34</v>
      </c>
      <c r="H27" s="9" t="s">
        <v>34</v>
      </c>
      <c r="I27" s="9" t="str">
        <f t="shared" si="1"/>
        <v>A</v>
      </c>
      <c r="J27" s="9" t="s">
        <v>34</v>
      </c>
      <c r="K27" s="9">
        <f t="shared" si="0"/>
        <v>1</v>
      </c>
      <c r="L27" s="9">
        <f t="shared" si="2"/>
        <v>1</v>
      </c>
    </row>
    <row r="28" spans="1:12">
      <c r="A28" s="9" t="s">
        <v>491</v>
      </c>
      <c r="B28" s="9" t="s">
        <v>492</v>
      </c>
      <c r="C28" s="9" t="s">
        <v>17</v>
      </c>
      <c r="D28" s="9" t="s">
        <v>255</v>
      </c>
      <c r="E28" s="9" t="s">
        <v>39</v>
      </c>
      <c r="F28" s="9" t="s">
        <v>22</v>
      </c>
      <c r="G28" s="9" t="s">
        <v>22</v>
      </c>
      <c r="H28" s="9" t="s">
        <v>22</v>
      </c>
      <c r="I28" s="9" t="str">
        <f t="shared" si="1"/>
        <v>B</v>
      </c>
      <c r="J28" s="9" t="s">
        <v>22</v>
      </c>
      <c r="K28" s="9">
        <f t="shared" si="0"/>
        <v>1</v>
      </c>
      <c r="L28" s="9">
        <f t="shared" si="2"/>
        <v>1</v>
      </c>
    </row>
    <row r="29" spans="1:12">
      <c r="A29" s="9" t="s">
        <v>491</v>
      </c>
      <c r="B29" s="9" t="s">
        <v>492</v>
      </c>
      <c r="C29" s="9" t="s">
        <v>17</v>
      </c>
      <c r="D29" s="9" t="s">
        <v>331</v>
      </c>
      <c r="E29" s="9" t="s">
        <v>15</v>
      </c>
      <c r="F29" s="9" t="s">
        <v>22</v>
      </c>
      <c r="G29" s="9" t="s">
        <v>34</v>
      </c>
      <c r="H29" s="9" t="s">
        <v>34</v>
      </c>
      <c r="I29" s="9" t="str">
        <f t="shared" si="1"/>
        <v>A</v>
      </c>
      <c r="J29" s="9" t="s">
        <v>22</v>
      </c>
      <c r="K29" s="9">
        <f t="shared" si="0"/>
        <v>1</v>
      </c>
      <c r="L29" s="9">
        <f t="shared" si="2"/>
        <v>0</v>
      </c>
    </row>
    <row r="30" spans="1:12">
      <c r="A30" s="9" t="s">
        <v>491</v>
      </c>
      <c r="B30" s="9" t="s">
        <v>492</v>
      </c>
      <c r="C30" s="9" t="s">
        <v>17</v>
      </c>
      <c r="D30" s="9" t="s">
        <v>331</v>
      </c>
      <c r="E30" s="9" t="s">
        <v>31</v>
      </c>
      <c r="F30" s="9" t="s">
        <v>34</v>
      </c>
      <c r="G30" s="9" t="s">
        <v>34</v>
      </c>
      <c r="H30" s="9" t="s">
        <v>34</v>
      </c>
      <c r="I30" s="9" t="str">
        <f t="shared" si="1"/>
        <v>A</v>
      </c>
      <c r="J30" s="9" t="s">
        <v>34</v>
      </c>
      <c r="K30" s="9">
        <f t="shared" si="0"/>
        <v>1</v>
      </c>
      <c r="L30" s="9">
        <f t="shared" si="2"/>
        <v>1</v>
      </c>
    </row>
    <row r="31" spans="1:12">
      <c r="A31" s="9" t="s">
        <v>491</v>
      </c>
      <c r="B31" s="9" t="s">
        <v>492</v>
      </c>
      <c r="C31" s="9" t="s">
        <v>17</v>
      </c>
      <c r="D31" s="9" t="s">
        <v>331</v>
      </c>
      <c r="E31" s="9" t="s">
        <v>39</v>
      </c>
      <c r="F31" s="9" t="s">
        <v>22</v>
      </c>
      <c r="G31" s="9" t="s">
        <v>22</v>
      </c>
      <c r="H31" s="9" t="s">
        <v>22</v>
      </c>
      <c r="I31" s="9" t="str">
        <f t="shared" si="1"/>
        <v>B</v>
      </c>
      <c r="J31" s="9" t="s">
        <v>22</v>
      </c>
      <c r="K31" s="9">
        <f t="shared" si="0"/>
        <v>1</v>
      </c>
      <c r="L31" s="9">
        <f t="shared" si="2"/>
        <v>1</v>
      </c>
    </row>
    <row r="32" spans="1:12">
      <c r="A32" s="9" t="s">
        <v>491</v>
      </c>
      <c r="B32" s="9" t="s">
        <v>492</v>
      </c>
      <c r="C32" s="9" t="s">
        <v>17</v>
      </c>
      <c r="D32" s="9" t="s">
        <v>217</v>
      </c>
      <c r="E32" s="9" t="s">
        <v>15</v>
      </c>
      <c r="F32" s="9" t="s">
        <v>34</v>
      </c>
      <c r="G32" s="9" t="s">
        <v>22</v>
      </c>
      <c r="H32" s="9" t="s">
        <v>34</v>
      </c>
      <c r="I32" s="9" t="str">
        <f t="shared" si="1"/>
        <v>A</v>
      </c>
      <c r="J32" s="9" t="s">
        <v>34</v>
      </c>
      <c r="K32" s="9">
        <f t="shared" si="0"/>
        <v>1</v>
      </c>
      <c r="L32" s="9">
        <f t="shared" si="2"/>
        <v>1</v>
      </c>
    </row>
    <row r="33" spans="1:12">
      <c r="A33" s="9" t="s">
        <v>491</v>
      </c>
      <c r="B33" s="9" t="s">
        <v>492</v>
      </c>
      <c r="C33" s="9" t="s">
        <v>17</v>
      </c>
      <c r="D33" s="9" t="s">
        <v>217</v>
      </c>
      <c r="E33" s="9" t="s">
        <v>31</v>
      </c>
      <c r="F33" s="9" t="s">
        <v>27</v>
      </c>
      <c r="G33" s="9" t="s">
        <v>27</v>
      </c>
      <c r="H33" s="9" t="s">
        <v>27</v>
      </c>
      <c r="I33" s="9" t="str">
        <f t="shared" si="1"/>
        <v>C</v>
      </c>
      <c r="J33" s="9" t="s">
        <v>27</v>
      </c>
      <c r="K33" s="9">
        <f t="shared" si="0"/>
        <v>1</v>
      </c>
      <c r="L33" s="9">
        <f t="shared" si="2"/>
        <v>1</v>
      </c>
    </row>
    <row r="34" spans="1:12">
      <c r="A34" s="9" t="s">
        <v>491</v>
      </c>
      <c r="B34" s="9" t="s">
        <v>492</v>
      </c>
      <c r="C34" s="9" t="s">
        <v>17</v>
      </c>
      <c r="D34" s="9" t="s">
        <v>217</v>
      </c>
      <c r="E34" s="9" t="s">
        <v>39</v>
      </c>
      <c r="F34" s="9" t="s">
        <v>27</v>
      </c>
      <c r="G34" s="9" t="s">
        <v>27</v>
      </c>
      <c r="H34" s="9" t="s">
        <v>27</v>
      </c>
      <c r="I34" s="9" t="str">
        <f t="shared" si="1"/>
        <v>C</v>
      </c>
      <c r="J34" s="9" t="s">
        <v>27</v>
      </c>
      <c r="K34" s="9">
        <f t="shared" si="0"/>
        <v>1</v>
      </c>
      <c r="L34" s="9">
        <f t="shared" si="2"/>
        <v>1</v>
      </c>
    </row>
    <row r="35" spans="1:12">
      <c r="A35" s="9" t="s">
        <v>491</v>
      </c>
      <c r="B35" s="9" t="s">
        <v>492</v>
      </c>
      <c r="C35" s="9" t="s">
        <v>17</v>
      </c>
      <c r="D35" s="9" t="s">
        <v>293</v>
      </c>
      <c r="E35" s="9" t="s">
        <v>15</v>
      </c>
      <c r="F35" s="9" t="s">
        <v>34</v>
      </c>
      <c r="G35" s="9" t="s">
        <v>34</v>
      </c>
      <c r="H35" s="9" t="s">
        <v>34</v>
      </c>
      <c r="I35" s="9" t="str">
        <f t="shared" ref="I35:I66" si="3">IF(MAX(COUNTIF(F35:H35,"A"),COUNTIF(F35:H35,"B"),COUNTIF(F35:H35,"C"),COUNTIF(F35:H35,"D(平局)"))&lt;2,"D(平局)",IF(COUNTIF(F35:H35,"A")&gt;=2,"A",IF(COUNTIF(F35:H35,"B")&gt;=2,"B",IF(COUNTIF(F35:H35,"C")&gt;=2,"C","D(平局)"))))</f>
        <v>A</v>
      </c>
      <c r="J35" s="9" t="s">
        <v>34</v>
      </c>
      <c r="K35" s="9">
        <f t="shared" si="0"/>
        <v>1</v>
      </c>
      <c r="L35" s="9">
        <f t="shared" ref="L35:L66" si="4">IF(K35=0,"",--(I35=J35))</f>
        <v>1</v>
      </c>
    </row>
    <row r="36" spans="1:12">
      <c r="A36" s="9" t="s">
        <v>491</v>
      </c>
      <c r="B36" s="9" t="s">
        <v>492</v>
      </c>
      <c r="C36" s="9" t="s">
        <v>17</v>
      </c>
      <c r="D36" s="9" t="s">
        <v>293</v>
      </c>
      <c r="E36" s="9" t="s">
        <v>31</v>
      </c>
      <c r="F36" s="9" t="s">
        <v>34</v>
      </c>
      <c r="G36" s="9" t="s">
        <v>34</v>
      </c>
      <c r="H36" s="9" t="s">
        <v>34</v>
      </c>
      <c r="I36" s="9" t="str">
        <f t="shared" si="3"/>
        <v>A</v>
      </c>
      <c r="J36" s="9" t="s">
        <v>23</v>
      </c>
      <c r="K36" s="9">
        <f t="shared" si="0"/>
        <v>1</v>
      </c>
      <c r="L36" s="9">
        <f t="shared" si="4"/>
        <v>0</v>
      </c>
    </row>
    <row r="37" spans="1:12">
      <c r="A37" s="9" t="s">
        <v>491</v>
      </c>
      <c r="B37" s="9" t="s">
        <v>492</v>
      </c>
      <c r="C37" s="9" t="s">
        <v>17</v>
      </c>
      <c r="D37" s="9" t="s">
        <v>293</v>
      </c>
      <c r="E37" s="9" t="s">
        <v>39</v>
      </c>
      <c r="F37" s="9" t="s">
        <v>22</v>
      </c>
      <c r="G37" s="9" t="s">
        <v>22</v>
      </c>
      <c r="H37" s="9" t="s">
        <v>27</v>
      </c>
      <c r="I37" s="9" t="str">
        <f t="shared" si="3"/>
        <v>B</v>
      </c>
      <c r="J37" s="9" t="s">
        <v>27</v>
      </c>
      <c r="K37" s="9">
        <f t="shared" si="0"/>
        <v>1</v>
      </c>
      <c r="L37" s="9">
        <f t="shared" si="4"/>
        <v>0</v>
      </c>
    </row>
    <row r="38" spans="1:12">
      <c r="A38" s="9" t="s">
        <v>491</v>
      </c>
      <c r="B38" s="9" t="s">
        <v>492</v>
      </c>
      <c r="C38" s="9" t="s">
        <v>46</v>
      </c>
      <c r="D38" s="9" t="s">
        <v>445</v>
      </c>
      <c r="E38" s="9" t="s">
        <v>15</v>
      </c>
      <c r="F38" s="9" t="s">
        <v>34</v>
      </c>
      <c r="G38" s="9" t="s">
        <v>34</v>
      </c>
      <c r="H38" s="9" t="s">
        <v>34</v>
      </c>
      <c r="I38" s="9" t="str">
        <f t="shared" si="3"/>
        <v>A</v>
      </c>
      <c r="J38" s="9" t="s">
        <v>34</v>
      </c>
      <c r="K38" s="9">
        <f t="shared" si="0"/>
        <v>1</v>
      </c>
      <c r="L38" s="9">
        <f t="shared" si="4"/>
        <v>1</v>
      </c>
    </row>
    <row r="39" spans="1:12">
      <c r="A39" s="9" t="s">
        <v>491</v>
      </c>
      <c r="B39" s="9" t="s">
        <v>492</v>
      </c>
      <c r="C39" s="9" t="s">
        <v>46</v>
      </c>
      <c r="D39" s="9" t="s">
        <v>445</v>
      </c>
      <c r="E39" s="9" t="s">
        <v>31</v>
      </c>
      <c r="F39" s="9" t="s">
        <v>34</v>
      </c>
      <c r="G39" s="9" t="s">
        <v>34</v>
      </c>
      <c r="H39" s="9" t="s">
        <v>34</v>
      </c>
      <c r="I39" s="9" t="str">
        <f t="shared" si="3"/>
        <v>A</v>
      </c>
      <c r="J39" s="9" t="s">
        <v>34</v>
      </c>
      <c r="K39" s="9">
        <f t="shared" si="0"/>
        <v>1</v>
      </c>
      <c r="L39" s="9">
        <f t="shared" si="4"/>
        <v>1</v>
      </c>
    </row>
    <row r="40" spans="1:12">
      <c r="A40" s="9" t="s">
        <v>491</v>
      </c>
      <c r="B40" s="9" t="s">
        <v>492</v>
      </c>
      <c r="C40" s="9" t="s">
        <v>46</v>
      </c>
      <c r="D40" s="9" t="s">
        <v>445</v>
      </c>
      <c r="E40" s="9" t="s">
        <v>39</v>
      </c>
      <c r="F40" s="9" t="s">
        <v>22</v>
      </c>
      <c r="G40" s="9" t="s">
        <v>22</v>
      </c>
      <c r="H40" s="9" t="s">
        <v>22</v>
      </c>
      <c r="I40" s="9" t="str">
        <f t="shared" si="3"/>
        <v>B</v>
      </c>
      <c r="J40" s="9" t="s">
        <v>22</v>
      </c>
      <c r="K40" s="9">
        <f t="shared" si="0"/>
        <v>1</v>
      </c>
      <c r="L40" s="9">
        <f t="shared" si="4"/>
        <v>1</v>
      </c>
    </row>
    <row r="41" spans="1:12">
      <c r="A41" s="9" t="s">
        <v>491</v>
      </c>
      <c r="B41" s="9" t="s">
        <v>492</v>
      </c>
      <c r="C41" s="9" t="s">
        <v>46</v>
      </c>
      <c r="D41" s="9" t="s">
        <v>407</v>
      </c>
      <c r="E41" s="9" t="s">
        <v>15</v>
      </c>
      <c r="F41" s="9" t="s">
        <v>22</v>
      </c>
      <c r="G41" s="9" t="s">
        <v>34</v>
      </c>
      <c r="H41" s="9" t="s">
        <v>34</v>
      </c>
      <c r="I41" s="9" t="str">
        <f t="shared" si="3"/>
        <v>A</v>
      </c>
      <c r="J41" s="9" t="s">
        <v>34</v>
      </c>
      <c r="K41" s="9">
        <f t="shared" si="0"/>
        <v>1</v>
      </c>
      <c r="L41" s="9">
        <f t="shared" si="4"/>
        <v>1</v>
      </c>
    </row>
    <row r="42" spans="1:12">
      <c r="A42" s="9" t="s">
        <v>491</v>
      </c>
      <c r="B42" s="9" t="s">
        <v>492</v>
      </c>
      <c r="C42" s="9" t="s">
        <v>46</v>
      </c>
      <c r="D42" s="9" t="s">
        <v>407</v>
      </c>
      <c r="E42" s="9" t="s">
        <v>31</v>
      </c>
      <c r="F42" s="9" t="s">
        <v>34</v>
      </c>
      <c r="G42" s="9" t="s">
        <v>34</v>
      </c>
      <c r="H42" s="9" t="s">
        <v>34</v>
      </c>
      <c r="I42" s="9" t="str">
        <f t="shared" si="3"/>
        <v>A</v>
      </c>
      <c r="J42" s="9" t="s">
        <v>34</v>
      </c>
      <c r="K42" s="9">
        <f t="shared" si="0"/>
        <v>1</v>
      </c>
      <c r="L42" s="9">
        <f t="shared" si="4"/>
        <v>1</v>
      </c>
    </row>
    <row r="43" spans="1:12">
      <c r="A43" s="9" t="s">
        <v>491</v>
      </c>
      <c r="B43" s="9" t="s">
        <v>492</v>
      </c>
      <c r="C43" s="9" t="s">
        <v>46</v>
      </c>
      <c r="D43" s="9" t="s">
        <v>407</v>
      </c>
      <c r="E43" s="9" t="s">
        <v>39</v>
      </c>
      <c r="F43" s="9" t="s">
        <v>22</v>
      </c>
      <c r="G43" s="9" t="s">
        <v>22</v>
      </c>
      <c r="H43" s="9" t="s">
        <v>22</v>
      </c>
      <c r="I43" s="9" t="str">
        <f t="shared" si="3"/>
        <v>B</v>
      </c>
      <c r="J43" s="9" t="s">
        <v>22</v>
      </c>
      <c r="K43" s="9">
        <f t="shared" si="0"/>
        <v>1</v>
      </c>
      <c r="L43" s="9">
        <f t="shared" si="4"/>
        <v>1</v>
      </c>
    </row>
    <row r="44" spans="1:12">
      <c r="A44" s="9" t="s">
        <v>491</v>
      </c>
      <c r="B44" s="9" t="s">
        <v>492</v>
      </c>
      <c r="C44" s="9" t="s">
        <v>46</v>
      </c>
      <c r="D44" s="9" t="s">
        <v>369</v>
      </c>
      <c r="E44" s="9" t="s">
        <v>15</v>
      </c>
      <c r="F44" s="9" t="s">
        <v>34</v>
      </c>
      <c r="G44" s="9" t="s">
        <v>34</v>
      </c>
      <c r="H44" s="9" t="s">
        <v>34</v>
      </c>
      <c r="I44" s="9" t="str">
        <f t="shared" si="3"/>
        <v>A</v>
      </c>
      <c r="J44" s="9" t="s">
        <v>23</v>
      </c>
      <c r="K44" s="9">
        <f t="shared" si="0"/>
        <v>1</v>
      </c>
      <c r="L44" s="9">
        <f t="shared" si="4"/>
        <v>0</v>
      </c>
    </row>
    <row r="45" spans="1:12">
      <c r="A45" s="9" t="s">
        <v>491</v>
      </c>
      <c r="B45" s="9" t="s">
        <v>492</v>
      </c>
      <c r="C45" s="9" t="s">
        <v>46</v>
      </c>
      <c r="D45" s="9" t="s">
        <v>369</v>
      </c>
      <c r="E45" s="9" t="s">
        <v>31</v>
      </c>
      <c r="F45" s="9" t="s">
        <v>34</v>
      </c>
      <c r="G45" s="9" t="s">
        <v>34</v>
      </c>
      <c r="H45" s="9" t="s">
        <v>34</v>
      </c>
      <c r="I45" s="9" t="str">
        <f t="shared" si="3"/>
        <v>A</v>
      </c>
      <c r="J45" s="9" t="s">
        <v>34</v>
      </c>
      <c r="K45" s="9">
        <f t="shared" si="0"/>
        <v>1</v>
      </c>
      <c r="L45" s="9">
        <f t="shared" si="4"/>
        <v>1</v>
      </c>
    </row>
    <row r="46" spans="1:12">
      <c r="A46" s="9" t="s">
        <v>491</v>
      </c>
      <c r="B46" s="9" t="s">
        <v>492</v>
      </c>
      <c r="C46" s="9" t="s">
        <v>46</v>
      </c>
      <c r="D46" s="9" t="s">
        <v>369</v>
      </c>
      <c r="E46" s="9" t="s">
        <v>39</v>
      </c>
      <c r="F46" s="9" t="s">
        <v>22</v>
      </c>
      <c r="G46" s="9" t="s">
        <v>22</v>
      </c>
      <c r="H46" s="9" t="s">
        <v>22</v>
      </c>
      <c r="I46" s="9" t="str">
        <f t="shared" si="3"/>
        <v>B</v>
      </c>
      <c r="J46" s="9" t="s">
        <v>22</v>
      </c>
      <c r="K46" s="9">
        <f t="shared" si="0"/>
        <v>1</v>
      </c>
      <c r="L46" s="9">
        <f t="shared" si="4"/>
        <v>1</v>
      </c>
    </row>
    <row r="47" spans="1:12">
      <c r="A47" s="9" t="s">
        <v>491</v>
      </c>
      <c r="B47" s="9" t="s">
        <v>492</v>
      </c>
      <c r="C47" s="9" t="s">
        <v>46</v>
      </c>
      <c r="D47" s="9" t="s">
        <v>13</v>
      </c>
      <c r="E47" s="9" t="s">
        <v>15</v>
      </c>
      <c r="F47" s="9" t="s">
        <v>22</v>
      </c>
      <c r="G47" s="9" t="s">
        <v>23</v>
      </c>
      <c r="H47" s="9" t="s">
        <v>23</v>
      </c>
      <c r="I47" s="9" t="str">
        <f t="shared" si="3"/>
        <v>D(平局)</v>
      </c>
      <c r="J47" s="9" t="s">
        <v>23</v>
      </c>
      <c r="K47" s="9">
        <f t="shared" si="0"/>
        <v>1</v>
      </c>
      <c r="L47" s="9">
        <f t="shared" si="4"/>
        <v>1</v>
      </c>
    </row>
    <row r="48" spans="1:12">
      <c r="A48" s="9" t="s">
        <v>491</v>
      </c>
      <c r="B48" s="9" t="s">
        <v>492</v>
      </c>
      <c r="C48" s="9" t="s">
        <v>46</v>
      </c>
      <c r="D48" s="9" t="s">
        <v>13</v>
      </c>
      <c r="E48" s="9" t="s">
        <v>31</v>
      </c>
      <c r="F48" s="9" t="s">
        <v>27</v>
      </c>
      <c r="G48" s="9" t="s">
        <v>34</v>
      </c>
      <c r="H48" s="9" t="s">
        <v>34</v>
      </c>
      <c r="I48" s="9" t="str">
        <f t="shared" si="3"/>
        <v>A</v>
      </c>
      <c r="J48" s="9" t="s">
        <v>34</v>
      </c>
      <c r="K48" s="9">
        <f t="shared" si="0"/>
        <v>1</v>
      </c>
      <c r="L48" s="9">
        <f t="shared" si="4"/>
        <v>1</v>
      </c>
    </row>
    <row r="49" spans="1:12">
      <c r="A49" s="9" t="s">
        <v>491</v>
      </c>
      <c r="B49" s="9" t="s">
        <v>492</v>
      </c>
      <c r="C49" s="9" t="s">
        <v>46</v>
      </c>
      <c r="D49" s="9" t="s">
        <v>13</v>
      </c>
      <c r="E49" s="9" t="s">
        <v>39</v>
      </c>
      <c r="F49" s="9" t="s">
        <v>22</v>
      </c>
      <c r="G49" s="9" t="s">
        <v>22</v>
      </c>
      <c r="H49" s="9" t="s">
        <v>22</v>
      </c>
      <c r="I49" s="9" t="str">
        <f t="shared" si="3"/>
        <v>B</v>
      </c>
      <c r="J49" s="9" t="s">
        <v>22</v>
      </c>
      <c r="K49" s="9">
        <f t="shared" si="0"/>
        <v>1</v>
      </c>
      <c r="L49" s="9">
        <f t="shared" si="4"/>
        <v>1</v>
      </c>
    </row>
    <row r="50" spans="1:12">
      <c r="A50" s="9" t="s">
        <v>491</v>
      </c>
      <c r="B50" s="9" t="s">
        <v>492</v>
      </c>
      <c r="C50" s="9" t="s">
        <v>46</v>
      </c>
      <c r="D50" s="9" t="s">
        <v>179</v>
      </c>
      <c r="E50" s="9" t="s">
        <v>15</v>
      </c>
      <c r="F50" s="9" t="s">
        <v>22</v>
      </c>
      <c r="G50" s="9" t="s">
        <v>22</v>
      </c>
      <c r="H50" s="9" t="s">
        <v>34</v>
      </c>
      <c r="I50" s="9" t="str">
        <f t="shared" si="3"/>
        <v>B</v>
      </c>
      <c r="J50" s="9" t="s">
        <v>22</v>
      </c>
      <c r="K50" s="9">
        <f t="shared" si="0"/>
        <v>1</v>
      </c>
      <c r="L50" s="9">
        <f t="shared" si="4"/>
        <v>1</v>
      </c>
    </row>
    <row r="51" spans="1:12">
      <c r="A51" s="9" t="s">
        <v>491</v>
      </c>
      <c r="B51" s="9" t="s">
        <v>492</v>
      </c>
      <c r="C51" s="9" t="s">
        <v>46</v>
      </c>
      <c r="D51" s="9" t="s">
        <v>179</v>
      </c>
      <c r="E51" s="9" t="s">
        <v>31</v>
      </c>
      <c r="F51" s="9" t="s">
        <v>27</v>
      </c>
      <c r="G51" s="9" t="s">
        <v>27</v>
      </c>
      <c r="H51" s="9" t="s">
        <v>27</v>
      </c>
      <c r="I51" s="9" t="str">
        <f t="shared" si="3"/>
        <v>C</v>
      </c>
      <c r="J51" s="9" t="s">
        <v>34</v>
      </c>
      <c r="K51" s="9">
        <f t="shared" si="0"/>
        <v>1</v>
      </c>
      <c r="L51" s="9">
        <f t="shared" si="4"/>
        <v>0</v>
      </c>
    </row>
    <row r="52" spans="1:12">
      <c r="A52" s="9" t="s">
        <v>491</v>
      </c>
      <c r="B52" s="9" t="s">
        <v>492</v>
      </c>
      <c r="C52" s="9" t="s">
        <v>46</v>
      </c>
      <c r="D52" s="9" t="s">
        <v>179</v>
      </c>
      <c r="E52" s="9" t="s">
        <v>39</v>
      </c>
      <c r="F52" s="9" t="s">
        <v>27</v>
      </c>
      <c r="G52" s="9" t="s">
        <v>27</v>
      </c>
      <c r="H52" s="9" t="s">
        <v>27</v>
      </c>
      <c r="I52" s="9" t="str">
        <f t="shared" si="3"/>
        <v>C</v>
      </c>
      <c r="J52" s="9" t="s">
        <v>22</v>
      </c>
      <c r="K52" s="9">
        <f t="shared" si="0"/>
        <v>1</v>
      </c>
      <c r="L52" s="9">
        <f t="shared" si="4"/>
        <v>0</v>
      </c>
    </row>
    <row r="53" spans="1:12">
      <c r="A53" s="9" t="s">
        <v>491</v>
      </c>
      <c r="B53" s="9" t="s">
        <v>492</v>
      </c>
      <c r="C53" s="9" t="s">
        <v>46</v>
      </c>
      <c r="D53" s="9" t="s">
        <v>103</v>
      </c>
      <c r="E53" s="9" t="s">
        <v>15</v>
      </c>
      <c r="F53" s="9" t="s">
        <v>34</v>
      </c>
      <c r="G53" s="9" t="s">
        <v>34</v>
      </c>
      <c r="H53" s="9" t="s">
        <v>34</v>
      </c>
      <c r="I53" s="9" t="str">
        <f t="shared" si="3"/>
        <v>A</v>
      </c>
      <c r="J53" s="9" t="s">
        <v>34</v>
      </c>
      <c r="K53" s="9">
        <f t="shared" si="0"/>
        <v>1</v>
      </c>
      <c r="L53" s="9">
        <f t="shared" si="4"/>
        <v>1</v>
      </c>
    </row>
    <row r="54" spans="1:12">
      <c r="A54" s="9" t="s">
        <v>491</v>
      </c>
      <c r="B54" s="9" t="s">
        <v>492</v>
      </c>
      <c r="C54" s="9" t="s">
        <v>46</v>
      </c>
      <c r="D54" s="9" t="s">
        <v>103</v>
      </c>
      <c r="E54" s="9" t="s">
        <v>31</v>
      </c>
      <c r="F54" s="9" t="s">
        <v>34</v>
      </c>
      <c r="G54" s="9" t="s">
        <v>34</v>
      </c>
      <c r="H54" s="9" t="s">
        <v>34</v>
      </c>
      <c r="I54" s="9" t="str">
        <f t="shared" si="3"/>
        <v>A</v>
      </c>
      <c r="J54" s="9" t="s">
        <v>34</v>
      </c>
      <c r="K54" s="9">
        <f t="shared" si="0"/>
        <v>1</v>
      </c>
      <c r="L54" s="9">
        <f t="shared" si="4"/>
        <v>1</v>
      </c>
    </row>
    <row r="55" spans="1:12">
      <c r="A55" s="9" t="s">
        <v>491</v>
      </c>
      <c r="B55" s="9" t="s">
        <v>492</v>
      </c>
      <c r="C55" s="9" t="s">
        <v>46</v>
      </c>
      <c r="D55" s="9" t="s">
        <v>103</v>
      </c>
      <c r="E55" s="9" t="s">
        <v>39</v>
      </c>
      <c r="F55" s="9" t="s">
        <v>22</v>
      </c>
      <c r="G55" s="9" t="s">
        <v>22</v>
      </c>
      <c r="H55" s="9" t="s">
        <v>22</v>
      </c>
      <c r="I55" s="9" t="str">
        <f t="shared" si="3"/>
        <v>B</v>
      </c>
      <c r="J55" s="9" t="s">
        <v>22</v>
      </c>
      <c r="K55" s="9">
        <f t="shared" si="0"/>
        <v>1</v>
      </c>
      <c r="L55" s="9">
        <f t="shared" si="4"/>
        <v>1</v>
      </c>
    </row>
    <row r="56" spans="1:12">
      <c r="A56" s="9" t="s">
        <v>491</v>
      </c>
      <c r="B56" s="9" t="s">
        <v>492</v>
      </c>
      <c r="C56" s="9" t="s">
        <v>46</v>
      </c>
      <c r="D56" s="9" t="s">
        <v>65</v>
      </c>
      <c r="E56" s="9" t="s">
        <v>15</v>
      </c>
      <c r="F56" s="9" t="s">
        <v>34</v>
      </c>
      <c r="G56" s="9" t="s">
        <v>34</v>
      </c>
      <c r="H56" s="9" t="s">
        <v>34</v>
      </c>
      <c r="I56" s="9" t="str">
        <f t="shared" si="3"/>
        <v>A</v>
      </c>
      <c r="J56" s="9" t="s">
        <v>34</v>
      </c>
      <c r="K56" s="9">
        <f t="shared" si="0"/>
        <v>1</v>
      </c>
      <c r="L56" s="9">
        <f t="shared" si="4"/>
        <v>1</v>
      </c>
    </row>
    <row r="57" spans="1:12">
      <c r="A57" s="9" t="s">
        <v>491</v>
      </c>
      <c r="B57" s="9" t="s">
        <v>492</v>
      </c>
      <c r="C57" s="9" t="s">
        <v>46</v>
      </c>
      <c r="D57" s="9" t="s">
        <v>65</v>
      </c>
      <c r="E57" s="9" t="s">
        <v>31</v>
      </c>
      <c r="F57" s="9" t="s">
        <v>34</v>
      </c>
      <c r="G57" s="9" t="s">
        <v>34</v>
      </c>
      <c r="H57" s="9" t="s">
        <v>34</v>
      </c>
      <c r="I57" s="9" t="str">
        <f t="shared" si="3"/>
        <v>A</v>
      </c>
      <c r="J57" s="9" t="s">
        <v>34</v>
      </c>
      <c r="K57" s="9">
        <f t="shared" si="0"/>
        <v>1</v>
      </c>
      <c r="L57" s="9">
        <f t="shared" si="4"/>
        <v>1</v>
      </c>
    </row>
    <row r="58" spans="1:12">
      <c r="A58" s="9" t="s">
        <v>491</v>
      </c>
      <c r="B58" s="9" t="s">
        <v>492</v>
      </c>
      <c r="C58" s="9" t="s">
        <v>46</v>
      </c>
      <c r="D58" s="9" t="s">
        <v>65</v>
      </c>
      <c r="E58" s="9" t="s">
        <v>39</v>
      </c>
      <c r="F58" s="9" t="s">
        <v>27</v>
      </c>
      <c r="G58" s="9" t="s">
        <v>27</v>
      </c>
      <c r="H58" s="9" t="s">
        <v>27</v>
      </c>
      <c r="I58" s="9" t="str">
        <f t="shared" si="3"/>
        <v>C</v>
      </c>
      <c r="J58" s="9" t="s">
        <v>27</v>
      </c>
      <c r="K58" s="9">
        <f t="shared" si="0"/>
        <v>1</v>
      </c>
      <c r="L58" s="9">
        <f t="shared" si="4"/>
        <v>1</v>
      </c>
    </row>
    <row r="59" spans="1:12">
      <c r="A59" s="9" t="s">
        <v>491</v>
      </c>
      <c r="B59" s="9" t="s">
        <v>492</v>
      </c>
      <c r="C59" s="9" t="s">
        <v>46</v>
      </c>
      <c r="D59" s="9" t="s">
        <v>141</v>
      </c>
      <c r="E59" s="9" t="s">
        <v>15</v>
      </c>
      <c r="F59" s="9" t="s">
        <v>22</v>
      </c>
      <c r="G59" s="9" t="s">
        <v>22</v>
      </c>
      <c r="H59" s="9" t="s">
        <v>22</v>
      </c>
      <c r="I59" s="9" t="str">
        <f t="shared" si="3"/>
        <v>B</v>
      </c>
      <c r="J59" s="9" t="s">
        <v>34</v>
      </c>
      <c r="K59" s="9">
        <f t="shared" si="0"/>
        <v>1</v>
      </c>
      <c r="L59" s="9">
        <f t="shared" si="4"/>
        <v>0</v>
      </c>
    </row>
    <row r="60" spans="1:12">
      <c r="A60" s="9" t="s">
        <v>491</v>
      </c>
      <c r="B60" s="9" t="s">
        <v>492</v>
      </c>
      <c r="C60" s="9" t="s">
        <v>46</v>
      </c>
      <c r="D60" s="9" t="s">
        <v>141</v>
      </c>
      <c r="E60" s="9" t="s">
        <v>31</v>
      </c>
      <c r="F60" s="9" t="s">
        <v>34</v>
      </c>
      <c r="G60" s="9" t="s">
        <v>34</v>
      </c>
      <c r="H60" s="9" t="s">
        <v>34</v>
      </c>
      <c r="I60" s="9" t="str">
        <f t="shared" si="3"/>
        <v>A</v>
      </c>
      <c r="J60" s="9" t="s">
        <v>34</v>
      </c>
      <c r="K60" s="9">
        <f t="shared" si="0"/>
        <v>1</v>
      </c>
      <c r="L60" s="9">
        <f t="shared" si="4"/>
        <v>1</v>
      </c>
    </row>
    <row r="61" spans="1:12">
      <c r="A61" s="9" t="s">
        <v>491</v>
      </c>
      <c r="B61" s="9" t="s">
        <v>492</v>
      </c>
      <c r="C61" s="9" t="s">
        <v>46</v>
      </c>
      <c r="D61" s="9" t="s">
        <v>141</v>
      </c>
      <c r="E61" s="9" t="s">
        <v>39</v>
      </c>
      <c r="F61" s="9" t="s">
        <v>22</v>
      </c>
      <c r="G61" s="9" t="s">
        <v>22</v>
      </c>
      <c r="H61" s="9" t="s">
        <v>22</v>
      </c>
      <c r="I61" s="9" t="str">
        <f t="shared" si="3"/>
        <v>B</v>
      </c>
      <c r="J61" s="9" t="s">
        <v>22</v>
      </c>
      <c r="K61" s="9">
        <f t="shared" si="0"/>
        <v>1</v>
      </c>
      <c r="L61" s="9">
        <f t="shared" si="4"/>
        <v>1</v>
      </c>
    </row>
    <row r="62" spans="1:12">
      <c r="A62" s="9" t="s">
        <v>491</v>
      </c>
      <c r="B62" s="9" t="s">
        <v>492</v>
      </c>
      <c r="C62" s="9" t="s">
        <v>46</v>
      </c>
      <c r="D62" s="9" t="s">
        <v>255</v>
      </c>
      <c r="E62" s="9" t="s">
        <v>15</v>
      </c>
      <c r="F62" s="9" t="s">
        <v>22</v>
      </c>
      <c r="G62" s="9" t="s">
        <v>22</v>
      </c>
      <c r="H62" s="9" t="s">
        <v>22</v>
      </c>
      <c r="I62" s="9" t="str">
        <f t="shared" si="3"/>
        <v>B</v>
      </c>
      <c r="J62" s="9" t="s">
        <v>23</v>
      </c>
      <c r="K62" s="9">
        <f t="shared" si="0"/>
        <v>1</v>
      </c>
      <c r="L62" s="9">
        <f t="shared" si="4"/>
        <v>0</v>
      </c>
    </row>
    <row r="63" spans="1:12">
      <c r="A63" s="9" t="s">
        <v>491</v>
      </c>
      <c r="B63" s="9" t="s">
        <v>492</v>
      </c>
      <c r="C63" s="9" t="s">
        <v>46</v>
      </c>
      <c r="D63" s="9" t="s">
        <v>255</v>
      </c>
      <c r="E63" s="9" t="s">
        <v>31</v>
      </c>
      <c r="F63" s="9" t="s">
        <v>34</v>
      </c>
      <c r="G63" s="9" t="s">
        <v>34</v>
      </c>
      <c r="H63" s="9" t="s">
        <v>34</v>
      </c>
      <c r="I63" s="9" t="str">
        <f t="shared" si="3"/>
        <v>A</v>
      </c>
      <c r="J63" s="9" t="s">
        <v>34</v>
      </c>
      <c r="K63" s="9">
        <f t="shared" si="0"/>
        <v>1</v>
      </c>
      <c r="L63" s="9">
        <f t="shared" si="4"/>
        <v>1</v>
      </c>
    </row>
    <row r="64" spans="1:12">
      <c r="A64" s="9" t="s">
        <v>491</v>
      </c>
      <c r="B64" s="9" t="s">
        <v>492</v>
      </c>
      <c r="C64" s="9" t="s">
        <v>46</v>
      </c>
      <c r="D64" s="9" t="s">
        <v>255</v>
      </c>
      <c r="E64" s="9" t="s">
        <v>39</v>
      </c>
      <c r="F64" s="9" t="s">
        <v>22</v>
      </c>
      <c r="G64" s="9" t="s">
        <v>22</v>
      </c>
      <c r="H64" s="9" t="s">
        <v>22</v>
      </c>
      <c r="I64" s="9" t="str">
        <f t="shared" si="3"/>
        <v>B</v>
      </c>
      <c r="J64" s="9" t="s">
        <v>22</v>
      </c>
      <c r="K64" s="9">
        <f t="shared" si="0"/>
        <v>1</v>
      </c>
      <c r="L64" s="9">
        <f t="shared" si="4"/>
        <v>1</v>
      </c>
    </row>
    <row r="65" spans="1:12">
      <c r="A65" s="9" t="s">
        <v>491</v>
      </c>
      <c r="B65" s="9" t="s">
        <v>492</v>
      </c>
      <c r="C65" s="9" t="s">
        <v>46</v>
      </c>
      <c r="D65" s="9" t="s">
        <v>331</v>
      </c>
      <c r="E65" s="9" t="s">
        <v>15</v>
      </c>
      <c r="F65" s="9" t="s">
        <v>34</v>
      </c>
      <c r="G65" s="9" t="s">
        <v>22</v>
      </c>
      <c r="H65" s="9" t="s">
        <v>22</v>
      </c>
      <c r="I65" s="9" t="str">
        <f t="shared" si="3"/>
        <v>B</v>
      </c>
      <c r="J65" s="9" t="s">
        <v>22</v>
      </c>
      <c r="K65" s="9">
        <f t="shared" si="0"/>
        <v>1</v>
      </c>
      <c r="L65" s="9">
        <f t="shared" si="4"/>
        <v>1</v>
      </c>
    </row>
    <row r="66" spans="1:12">
      <c r="A66" s="9" t="s">
        <v>491</v>
      </c>
      <c r="B66" s="9" t="s">
        <v>492</v>
      </c>
      <c r="C66" s="9" t="s">
        <v>46</v>
      </c>
      <c r="D66" s="9" t="s">
        <v>331</v>
      </c>
      <c r="E66" s="9" t="s">
        <v>31</v>
      </c>
      <c r="F66" s="9" t="s">
        <v>34</v>
      </c>
      <c r="G66" s="9" t="s">
        <v>34</v>
      </c>
      <c r="H66" s="9" t="s">
        <v>34</v>
      </c>
      <c r="I66" s="9" t="str">
        <f t="shared" si="3"/>
        <v>A</v>
      </c>
      <c r="J66" s="9" t="s">
        <v>34</v>
      </c>
      <c r="K66" s="9">
        <f t="shared" ref="K66:K73" si="5">--(I66&lt;&gt;"无多数")</f>
        <v>1</v>
      </c>
      <c r="L66" s="9">
        <f t="shared" si="4"/>
        <v>1</v>
      </c>
    </row>
    <row r="67" spans="1:12">
      <c r="A67" s="9" t="s">
        <v>491</v>
      </c>
      <c r="B67" s="9" t="s">
        <v>492</v>
      </c>
      <c r="C67" s="9" t="s">
        <v>46</v>
      </c>
      <c r="D67" s="9" t="s">
        <v>331</v>
      </c>
      <c r="E67" s="9" t="s">
        <v>39</v>
      </c>
      <c r="F67" s="9" t="s">
        <v>22</v>
      </c>
      <c r="G67" s="9" t="s">
        <v>22</v>
      </c>
      <c r="H67" s="9" t="s">
        <v>22</v>
      </c>
      <c r="I67" s="9" t="str">
        <f>IF(MAX(COUNTIF(F67:H67,"A"),COUNTIF(F67:H67,"B"),COUNTIF(F67:H67,"C"),COUNTIF(F67:H67,"D(平局)"))&lt;2,"D(平局)",IF(COUNTIF(F67:H67,"A")&gt;=2,"A",IF(COUNTIF(F67:H67,"B")&gt;=2,"B",IF(COUNTIF(F67:H67,"C")&gt;=2,"C","D(平局)"))))</f>
        <v>B</v>
      </c>
      <c r="J67" s="9" t="s">
        <v>22</v>
      </c>
      <c r="K67" s="9">
        <f t="shared" si="5"/>
        <v>1</v>
      </c>
      <c r="L67" s="9">
        <f>IF(K67=0,"",--(I67=J67))</f>
        <v>1</v>
      </c>
    </row>
    <row r="68" spans="1:12">
      <c r="A68" s="9" t="s">
        <v>491</v>
      </c>
      <c r="B68" s="9" t="s">
        <v>492</v>
      </c>
      <c r="C68" s="9" t="s">
        <v>46</v>
      </c>
      <c r="D68" s="9" t="s">
        <v>217</v>
      </c>
      <c r="E68" s="9" t="s">
        <v>15</v>
      </c>
      <c r="F68" s="9" t="s">
        <v>34</v>
      </c>
      <c r="G68" s="9" t="s">
        <v>22</v>
      </c>
      <c r="H68" s="9" t="s">
        <v>23</v>
      </c>
      <c r="I68" s="9" t="str">
        <f>IF(MAX(COUNTIF(F68:H68,"A"),COUNTIF(F68:H68,"B"),COUNTIF(F68:H68,"C"),COUNTIF(F68:H68,"D(平局)"))&lt;2,"D(平局)",IF(COUNTIF(F68:H68,"A")&gt;=2,"A",IF(COUNTIF(F68:H68,"B")&gt;=2,"B",IF(COUNTIF(F68:H68,"C")&gt;=2,"C","D(平局)"))))</f>
        <v>D(平局)</v>
      </c>
      <c r="J68" s="9" t="s">
        <v>34</v>
      </c>
      <c r="K68" s="9">
        <f t="shared" si="5"/>
        <v>1</v>
      </c>
      <c r="L68" s="9">
        <f>IF(K68=0,"",--(I68=J68))</f>
        <v>0</v>
      </c>
    </row>
    <row r="69" spans="1:12">
      <c r="A69" s="9" t="s">
        <v>491</v>
      </c>
      <c r="B69" s="9" t="s">
        <v>492</v>
      </c>
      <c r="C69" s="9" t="s">
        <v>46</v>
      </c>
      <c r="D69" s="9" t="s">
        <v>217</v>
      </c>
      <c r="E69" s="9" t="s">
        <v>31</v>
      </c>
      <c r="F69" s="9" t="s">
        <v>27</v>
      </c>
      <c r="G69" s="9" t="s">
        <v>27</v>
      </c>
      <c r="H69" s="9" t="s">
        <v>27</v>
      </c>
      <c r="I69" s="9" t="str">
        <f>IF(MAX(COUNTIF(F69:H69,"A"),COUNTIF(F69:H69,"B"),COUNTIF(F69:H69,"C"),COUNTIF(F69:H69,"D(平局)"))&lt;2,"D(平局)",IF(COUNTIF(F69:H69,"A")&gt;=2,"A",IF(COUNTIF(F69:H69,"B")&gt;=2,"B",IF(COUNTIF(F69:H69,"C")&gt;=2,"C","D(平局)"))))</f>
        <v>C</v>
      </c>
      <c r="J69" s="9" t="s">
        <v>27</v>
      </c>
      <c r="K69" s="9">
        <f t="shared" si="5"/>
        <v>1</v>
      </c>
      <c r="L69" s="9">
        <f>IF(K69=0,"",--(I69=J69))</f>
        <v>1</v>
      </c>
    </row>
    <row r="70" spans="1:12">
      <c r="A70" s="9" t="s">
        <v>491</v>
      </c>
      <c r="B70" s="9" t="s">
        <v>492</v>
      </c>
      <c r="C70" s="9" t="s">
        <v>46</v>
      </c>
      <c r="D70" s="9" t="s">
        <v>217</v>
      </c>
      <c r="E70" s="9" t="s">
        <v>39</v>
      </c>
      <c r="F70" s="9" t="s">
        <v>27</v>
      </c>
      <c r="G70" s="9" t="s">
        <v>27</v>
      </c>
      <c r="H70" s="9" t="s">
        <v>27</v>
      </c>
      <c r="I70" s="9" t="str">
        <f>IF(MAX(COUNTIF(F70:H70,"A"),COUNTIF(F70:H70,"B"),COUNTIF(F70:H70,"C"),COUNTIF(F70:H70,"D(平局)"))&lt;2,"D(平局)",IF(COUNTIF(F70:H70,"A")&gt;=2,"A",IF(COUNTIF(F70:H70,"B")&gt;=2,"B",IF(COUNTIF(F70:H70,"C")&gt;=2,"C","D(平局)"))))</f>
        <v>C</v>
      </c>
      <c r="J70" s="9" t="s">
        <v>27</v>
      </c>
      <c r="K70" s="9">
        <f t="shared" si="5"/>
        <v>1</v>
      </c>
      <c r="L70" s="9">
        <f>IF(K70=0,"",--(I70=J70))</f>
        <v>1</v>
      </c>
    </row>
    <row r="71" spans="1:12">
      <c r="A71" s="9" t="s">
        <v>491</v>
      </c>
      <c r="B71" s="9" t="s">
        <v>492</v>
      </c>
      <c r="C71" s="9" t="s">
        <v>46</v>
      </c>
      <c r="D71" s="9" t="s">
        <v>293</v>
      </c>
      <c r="E71" s="9" t="s">
        <v>15</v>
      </c>
      <c r="F71" s="9" t="s">
        <v>34</v>
      </c>
      <c r="G71" s="9" t="s">
        <v>34</v>
      </c>
      <c r="H71" s="9" t="s">
        <v>34</v>
      </c>
      <c r="I71" s="9" t="str">
        <f>IF(MAX(COUNTIF(F71:H71,"A"),COUNTIF(F71:H71,"B"),COUNTIF(F71:H71,"C"),COUNTIF(F71:H71,"D(平局)"))&lt;2,"D(平局)",IF(COUNTIF(F71:H71,"A")&gt;=2,"A",IF(COUNTIF(F71:H71,"B")&gt;=2,"B",IF(COUNTIF(F71:H71,"C")&gt;=2,"C","D(平局)"))))</f>
        <v>A</v>
      </c>
      <c r="J71" s="9" t="s">
        <v>34</v>
      </c>
      <c r="K71" s="9">
        <f t="shared" si="5"/>
        <v>1</v>
      </c>
      <c r="L71" s="9">
        <f>IF(K71=0,"",--(I71=J71))</f>
        <v>1</v>
      </c>
    </row>
    <row r="72" spans="1:12">
      <c r="A72" s="9" t="s">
        <v>491</v>
      </c>
      <c r="B72" s="9" t="s">
        <v>492</v>
      </c>
      <c r="C72" s="9" t="s">
        <v>46</v>
      </c>
      <c r="D72" s="9" t="s">
        <v>293</v>
      </c>
      <c r="E72" s="9" t="s">
        <v>31</v>
      </c>
      <c r="F72" s="9" t="s">
        <v>34</v>
      </c>
      <c r="G72" s="9" t="s">
        <v>34</v>
      </c>
      <c r="H72" s="9" t="s">
        <v>34</v>
      </c>
      <c r="I72" s="9" t="str">
        <f>IF(MAX(COUNTIF(F72:H72,"A"),COUNTIF(F72:H72,"B"),COUNTIF(F72:H72,"C"),COUNTIF(F72:H72,"D(平局)"))&lt;2,"D(平局)",IF(COUNTIF(F72:H72,"A")&gt;=2,"A",IF(COUNTIF(F72:H72,"B")&gt;=2,"B",IF(COUNTIF(F72:H72,"C")&gt;=2,"C","D(平局)"))))</f>
        <v>A</v>
      </c>
      <c r="J72" s="9" t="s">
        <v>23</v>
      </c>
      <c r="K72" s="9">
        <f t="shared" si="5"/>
        <v>1</v>
      </c>
      <c r="L72" s="9">
        <f>IF(K72=0,"",--(I72=J72))</f>
        <v>0</v>
      </c>
    </row>
    <row r="73" spans="1:12">
      <c r="A73" s="9" t="s">
        <v>491</v>
      </c>
      <c r="B73" s="9" t="s">
        <v>492</v>
      </c>
      <c r="C73" s="9" t="s">
        <v>46</v>
      </c>
      <c r="D73" s="9" t="s">
        <v>293</v>
      </c>
      <c r="E73" s="9" t="s">
        <v>39</v>
      </c>
      <c r="F73" s="9" t="s">
        <v>27</v>
      </c>
      <c r="G73" s="9" t="s">
        <v>27</v>
      </c>
      <c r="H73" s="9" t="s">
        <v>27</v>
      </c>
      <c r="I73" s="9" t="str">
        <f>IF(MAX(COUNTIF(F73:H73,"A"),COUNTIF(F73:H73,"B"),COUNTIF(F73:H73,"C"),COUNTIF(F73:H73,"D(平局)"))&lt;2,"D(平局)",IF(COUNTIF(F73:H73,"A")&gt;=2,"A",IF(COUNTIF(F73:H73,"B")&gt;=2,"B",IF(COUNTIF(F73:H73,"C")&gt;=2,"C","D(平局)"))))</f>
        <v>C</v>
      </c>
      <c r="J73" s="9" t="s">
        <v>27</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84</v>
      </c>
      <c r="F7" s="5">
        <f>E7/D7</f>
        <v>0.777777777777778</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0.366255144032922</v>
      </c>
      <c r="H7" s="6">
        <f>(F7-G7)/(1-G7)</f>
        <v>0.649350649350649</v>
      </c>
    </row>
    <row r="8" spans="1:8">
      <c r="A8" t="s">
        <v>491</v>
      </c>
      <c r="B8" t="s">
        <v>492</v>
      </c>
      <c r="C8" t="s">
        <v>46</v>
      </c>
      <c r="D8">
        <f>COUNTIFS(实验结果!$K$2:$K$217,"&lt;&gt;",实验结果!$L$2:$L$217,"&lt;&gt;",实验结果!$E$2:$E$217,C8)</f>
        <v>108</v>
      </c>
      <c r="E8">
        <f>SUMIFS(实验结果!$M$2:$M$217,实验结果!$K$2:$K$217,"&lt;&gt;",实验结果!$L$2:$L$217,"&lt;&gt;",实验结果!$E$2:$E$217,C8)</f>
        <v>83</v>
      </c>
      <c r="F8" s="5">
        <f>E8/D8</f>
        <v>0.768518518518518</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0.34156378600823</v>
      </c>
      <c r="H8" s="6">
        <f>(F8-G8)/(1-G8)</f>
        <v>0.6484375</v>
      </c>
    </row>
    <row r="9" spans="1:8">
      <c r="A9" t="s">
        <v>491</v>
      </c>
      <c r="B9" t="s">
        <v>492</v>
      </c>
      <c r="C9" t="s">
        <v>501</v>
      </c>
      <c r="D9">
        <f>COUNTIFS(实验结果!$K$2:$K$217,"&lt;&gt;",实验结果!$L$2:$L$217,"&lt;&gt;")</f>
        <v>216</v>
      </c>
      <c r="E9">
        <f>SUMIFS(实验结果!$M$2:$M$217,实验结果!$K$2:$K$217,"&lt;&gt;",实验结果!$L$2:$L$217,"&lt;&gt;")</f>
        <v>167</v>
      </c>
      <c r="F9" s="5">
        <f>E9/D9</f>
        <v>0.773148148148148</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0.353909465020576</v>
      </c>
      <c r="H9" s="6">
        <f>(F9-G9)/(1-G9)</f>
        <v>0.648885350318471</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27</v>
      </c>
      <c r="G14" s="5">
        <f t="shared" ref="G14:G22" si="0">F14/E14</f>
        <v>0.75</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0.361111111111111</v>
      </c>
      <c r="I14" s="6">
        <f t="shared" ref="I14:I22" si="1">(G14-H14)/(1-H14)</f>
        <v>0.608695652173913</v>
      </c>
    </row>
    <row r="15" spans="1:9">
      <c r="A15" t="s">
        <v>491</v>
      </c>
      <c r="B15" t="s">
        <v>492</v>
      </c>
      <c r="C15" t="s">
        <v>17</v>
      </c>
      <c r="D15" t="s">
        <v>24</v>
      </c>
      <c r="E15">
        <f>COUNTIFS(实验结果!$K$2:$K$217,"&lt;&gt;",实验结果!$L$2:$L$217,"&lt;&gt;",实验结果!$E$2:$E$217,C15,实验结果!$D$2:$D$217,D15)</f>
        <v>36</v>
      </c>
      <c r="F15">
        <f>SUMIFS(实验结果!$M$2:$M$217,实验结果!$K$2:$K$217,"&lt;&gt;",实验结果!$L$2:$L$217,"&lt;&gt;",实验结果!$E$2:$E$217,C15,实验结果!$D$2:$D$217,D15)</f>
        <v>28</v>
      </c>
      <c r="G15" s="5">
        <f t="shared" si="0"/>
        <v>0.777777777777778</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0.361882716049383</v>
      </c>
      <c r="I15" s="6">
        <f t="shared" si="1"/>
        <v>0.651753325272068</v>
      </c>
    </row>
    <row r="16" spans="1:9">
      <c r="A16" t="s">
        <v>491</v>
      </c>
      <c r="B16" t="s">
        <v>492</v>
      </c>
      <c r="C16" t="s">
        <v>17</v>
      </c>
      <c r="D16" t="s">
        <v>28</v>
      </c>
      <c r="E16">
        <f>COUNTIFS(实验结果!$K$2:$K$217,"&lt;&gt;",实验结果!$L$2:$L$217,"&lt;&gt;",实验结果!$E$2:$E$217,C16,实验结果!$D$2:$D$217,D16)</f>
        <v>36</v>
      </c>
      <c r="F16">
        <f>SUMIFS(实验结果!$M$2:$M$217,实验结果!$K$2:$K$217,"&lt;&gt;",实验结果!$L$2:$L$217,"&lt;&gt;",实验结果!$E$2:$E$217,C16,实验结果!$D$2:$D$217,D16)</f>
        <v>29</v>
      </c>
      <c r="G16" s="5">
        <f t="shared" si="0"/>
        <v>0.805555555555556</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0.375771604938272</v>
      </c>
      <c r="I16" s="6">
        <f t="shared" si="1"/>
        <v>0.688504326328801</v>
      </c>
    </row>
    <row r="17" spans="1:9">
      <c r="A17" t="s">
        <v>491</v>
      </c>
      <c r="B17" t="s">
        <v>492</v>
      </c>
      <c r="C17" t="s">
        <v>46</v>
      </c>
      <c r="D17" t="s">
        <v>16</v>
      </c>
      <c r="E17">
        <f>COUNTIFS(实验结果!$K$2:$K$217,"&lt;&gt;",实验结果!$L$2:$L$217,"&lt;&gt;",实验结果!$E$2:$E$217,C17,实验结果!$D$2:$D$217,D17)</f>
        <v>36</v>
      </c>
      <c r="F17">
        <f>SUMIFS(实验结果!$M$2:$M$217,实验结果!$K$2:$K$217,"&lt;&gt;",实验结果!$L$2:$L$217,"&lt;&gt;",实验结果!$E$2:$E$217,C17,实验结果!$D$2:$D$217,D17)</f>
        <v>26</v>
      </c>
      <c r="G17" s="5">
        <f t="shared" si="0"/>
        <v>0.722222222222222</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0.341820987654321</v>
      </c>
      <c r="I17" s="6">
        <f t="shared" si="1"/>
        <v>0.577960140679953</v>
      </c>
    </row>
    <row r="18" spans="1:9">
      <c r="A18" t="s">
        <v>491</v>
      </c>
      <c r="B18" t="s">
        <v>492</v>
      </c>
      <c r="C18" t="s">
        <v>46</v>
      </c>
      <c r="D18" t="s">
        <v>24</v>
      </c>
      <c r="E18">
        <f>COUNTIFS(实验结果!$K$2:$K$217,"&lt;&gt;",实验结果!$L$2:$L$217,"&lt;&gt;",实验结果!$E$2:$E$217,C18,实验结果!$D$2:$D$217,D18)</f>
        <v>36</v>
      </c>
      <c r="F18">
        <f>SUMIFS(实验结果!$M$2:$M$217,实验结果!$K$2:$K$217,"&lt;&gt;",实验结果!$L$2:$L$217,"&lt;&gt;",实验结果!$E$2:$E$217,C18,实验结果!$D$2:$D$217,D18)</f>
        <v>29</v>
      </c>
      <c r="G18" s="5">
        <f t="shared" si="0"/>
        <v>0.805555555555556</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0.341820987654321</v>
      </c>
      <c r="I18" s="6">
        <f t="shared" si="1"/>
        <v>0.704572098475967</v>
      </c>
    </row>
    <row r="19" spans="1:9">
      <c r="A19" t="s">
        <v>491</v>
      </c>
      <c r="B19" t="s">
        <v>492</v>
      </c>
      <c r="C19" t="s">
        <v>46</v>
      </c>
      <c r="D19" t="s">
        <v>28</v>
      </c>
      <c r="E19">
        <f>COUNTIFS(实验结果!$K$2:$K$217,"&lt;&gt;",实验结果!$L$2:$L$217,"&lt;&gt;",实验结果!$E$2:$E$217,C19,实验结果!$D$2:$D$217,D19)</f>
        <v>36</v>
      </c>
      <c r="F19">
        <f>SUMIFS(实验结果!$M$2:$M$217,实验结果!$K$2:$K$217,"&lt;&gt;",实验结果!$L$2:$L$217,"&lt;&gt;",实验结果!$E$2:$E$217,C19,实验结果!$D$2:$D$217,D19)</f>
        <v>28</v>
      </c>
      <c r="G19" s="5">
        <f t="shared" si="0"/>
        <v>0.777777777777778</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0.341049382716049</v>
      </c>
      <c r="I19" s="6">
        <f t="shared" si="1"/>
        <v>0.662763466042155</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53</v>
      </c>
      <c r="G20" s="5">
        <f t="shared" si="0"/>
        <v>0.736111111111111</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0.351466049382716</v>
      </c>
      <c r="I20" s="6">
        <f t="shared" si="1"/>
        <v>0.593099345627603</v>
      </c>
    </row>
    <row r="21" spans="1:9">
      <c r="A21" t="s">
        <v>491</v>
      </c>
      <c r="B21" t="s">
        <v>492</v>
      </c>
      <c r="C21" t="s">
        <v>501</v>
      </c>
      <c r="D21" t="s">
        <v>24</v>
      </c>
      <c r="E21">
        <f>COUNTIFS(实验结果!$K$2:$K$217,"&lt;&gt;",实验结果!$L$2:$L$217,"&lt;&gt;",实验结果!$D$2:$D$217,D21)</f>
        <v>72</v>
      </c>
      <c r="F21">
        <f>SUMIFS(实验结果!$M$2:$M$217,实验结果!$K$2:$K$217,"&lt;&gt;",实验结果!$L$2:$L$217,"&lt;&gt;",实验结果!$D$2:$D$217,D21)</f>
        <v>57</v>
      </c>
      <c r="G21" s="5">
        <f t="shared" si="0"/>
        <v>0.791666666666667</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0.351851851851852</v>
      </c>
      <c r="I21" s="6">
        <f t="shared" si="1"/>
        <v>0.678571428571428</v>
      </c>
    </row>
    <row r="22" spans="1:9">
      <c r="A22" t="s">
        <v>491</v>
      </c>
      <c r="B22" t="s">
        <v>492</v>
      </c>
      <c r="C22" t="s">
        <v>501</v>
      </c>
      <c r="D22" t="s">
        <v>28</v>
      </c>
      <c r="E22">
        <f>COUNTIFS(实验结果!$K$2:$K$217,"&lt;&gt;",实验结果!$L$2:$L$217,"&lt;&gt;",实验结果!$D$2:$D$217,D22)</f>
        <v>72</v>
      </c>
      <c r="F22">
        <f>SUMIFS(实验结果!$M$2:$M$217,实验结果!$K$2:$K$217,"&lt;&gt;",实验结果!$L$2:$L$217,"&lt;&gt;",实验结果!$D$2:$D$217,D22)</f>
        <v>57</v>
      </c>
      <c r="G22" s="5">
        <f t="shared" si="0"/>
        <v>0.791666666666667</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0.358410493827161</v>
      </c>
      <c r="I22" s="6">
        <f t="shared" si="1"/>
        <v>0.675285628382441</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28</v>
      </c>
      <c r="G27" s="5">
        <f>F27/E27</f>
        <v>0.777777777777778</v>
      </c>
      <c r="H27" s="5">
        <f>F27/D27</f>
        <v>0.777777777777778</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0.644004944375772</v>
      </c>
    </row>
    <row r="28" spans="1:9">
      <c r="A28" t="s">
        <v>491</v>
      </c>
      <c r="B28" t="s">
        <v>492</v>
      </c>
      <c r="C28" t="s">
        <v>46</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29</v>
      </c>
      <c r="G28" s="5">
        <f>F28/E28</f>
        <v>0.805555555555556</v>
      </c>
      <c r="H28" s="5">
        <f>F28/D28</f>
        <v>0.805555555555556</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0.706976744186047</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57</v>
      </c>
      <c r="G29" s="5">
        <f>F29/E29</f>
        <v>0.791666666666667</v>
      </c>
      <c r="H29" s="5">
        <f>F29/D29</f>
        <v>0.791666666666667</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0.676452965847813</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2026-08-16T19:40:32Z</dcterms:created>
  <dcterms:modified xsi:type="dcterms:W3CDTF">2026-08-16T19:40:46Z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CE3DE6EAC78F406D998B2C4DC42D569D_12</vt:lpwstr>
  </property>
  <property fmtid="{D5CDD505-2E9C-101B-9397-08002B2CF9AE}" pid="3" name="KSOProductBuildVer">
    <vt:lpwstr>2052-12.1.0.20305</vt:lpwstr>
  </property>
</Properties>
</file>