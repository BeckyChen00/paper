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52" windowHeight="12255"/>
  </bookViews>
  <sheets>
    <sheet name="实验结果" sheetId="1" r:id="rId1"/>
    <sheet name="三指标最终结果明细" sheetId="2" r:id="rId2"/>
    <sheet name="一致性汇总"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<sst xmlns="http://schemas.openxmlformats.org/spreadsheetml/2006/main" count="3135" uniqueCount="510">
  <si>
    <t>需求name</t>
  </si>
  <si>
    <t>需求描述</t>
  </si>
  <si>
    <t>类别</t>
  </si>
  <si>
    <t>指标类别</t>
  </si>
  <si>
    <t>位置</t>
  </si>
  <si>
    <t>提示词</t>
  </si>
  <si>
    <t>生产模式设置</t>
  </si>
  <si>
    <t>基座模型设置</t>
  </si>
  <si>
    <t>输出结果</t>
  </si>
  <si>
    <t>最终结果</t>
  </si>
  <si>
    <t>实际结果</t>
  </si>
  <si>
    <t>人工打标</t>
  </si>
  <si>
    <t>一致性</t>
  </si>
  <si>
    <t>BankAccount</t>
  </si>
  <si>
    <t>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t>
  </si>
  <si>
    <t>A vs B</t>
  </si>
  <si>
    <t>faithfulness</t>
  </si>
  <si>
    <t>l2r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</si>
  <si>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</si>
  <si>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llm</t>
  </si>
  <si>
    <t>GLM5.2</t>
  </si>
  <si>
    <t>```result
Scores:
1. Functional completeness / requirement alignment: Model 1 = 5, Model 2 = 5; Evidence: Both model Bank–Customer (manages, 0..*), Bank–Branch (consists of/operatesBranch, 0..*), Customer–Account (1..5), Account owner (Customer 1), Account→{CurrentAccount, SavingsAccount} inheritance, and required attributes (firstName, lastName, accountNumber, balance, overdraftLimit).
2. Conceptual classes and names: Model 1 = 5, Model 2 = 5; Evidence: Both use Bank, Branch, Customer, Account, CurrentAccount, SavingsAccount matching the requirement exactly.
3. Attributes (faithfulness, no hallucinated additions): Model 1 = 4, Model 2 = 5; Evidence: Model 1 adds `bankName: String` to Bank and `branchName: String` to Branch, which are not stated in the requirement (minor additions). Model 2 only includes the explicitly required attributes.
4. Associations and multiplicities: Model 1 = 5, Model 2 = 5; Evidence: Model 1 encodes `Bank --&gt; "0..*" Customer`, `Customer --&gt; "1..5" Account`, `Account --&gt; "1" Customer` (owner); Model 2 encodes `Bank "1" -- "0..*" Customer`, `Customer "1" -- "1..5" Account : owns` (the “1” on Customer conveys the single owner). Both satisfy “at least one and at most five accounts” and “each account has one owner.”
5. Relationship types (inheritance/composition/aggregation): Model 1 = 5, Model 2 = 4; Evidence: Model 1 uses composition (`*--`) for Bank–Branch, which better reflects the “consists of” part-whole wording, and inheritance `--|&gt;` for account subtypes. Model 2 uses plain association `--` for Bank–Branch and inheritance `&lt;|--` for the account subtypes; plain association is acceptable but less faithful to “consists of”.
Total: Model 1 = 24, Model 2 = 24
Choice: C
Reason:
1. Functional completeness: Both models cover every required element — Bank/Customer/Branch/Account classes, the 0..* manages and consists-of relationships, the 1..5 account ownership with a single owner, account inheritance, and all required attributes including overdraftLimit on CurrentAccount only.
2. Attributes vs relationship types: Model 1 slightly weakens on attribute faithfulness by adding `bankName` and `branchName` not in the requirement, while Model 2 slightly weakens on the Bank–Branch relationship by using a plain association instead of a composition that the “consists of” wording suggests. These offset each other.
3. Rejected or checked issues: I did not penalize Model 1 for using two opposite unidirectional associations (Customer→Account and Account→Customer) versus Model 2’s single bidirectional line, per the forbidden-penalty rule. I also did not reward or penalize either model for marking Account `abstract`, since the requirement does not specify. Model 1’s `bankName`/`branchName` additions are minor and do not contradict the requirement.
4. Overall judgment: The meaningful quality difference is negligible — Model 1 is marginally stronger on relationship-type fidelity for “consists of,” while Model 2 is marginally cleaner on attribute faithfulness. The totals are equal, so this is a tie.
```</t>
  </si>
  <si>
    <t>C</t>
  </si>
  <si>
    <t>D(平局)</t>
  </si>
  <si>
    <t>general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</si>
  <si>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</si>
  <si>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share the same core classes (Bank, Branch, Customer, Account, CurrentAccount, SavingsAccount) with high cohesion—each class has a single responsibility. Model 1 adds a bankName to Bank and branchName to Branch (not in requirement) which slightly inflates responsibilities but does not create coupling. Model 2 keeps Bank and Branch as bare classes with no attributes. Both expose the Account-&gt;Customer owner link and Customer-&gt;Account link; Model 1 models these as two opposite unidirectional arrows, Model 2 uses one bidirectional line—semantically equivalent (forbidden to penalize). Coupling levels are essentially identical.
2. Complexity: Model 1 = 4, Model 2 = 5; Evidence: Both have 6 classes, an inheritance depth of 2 (Account -&gt; CurrentAccount/SavingsAccount), and a low average method count (no methods). Model 1 adds extraneous attributes bankName (Bank) and branchName (Branch) that are not required, raising complexity slightly beyond the stated requirement. Model 2 includes only the attributes explicitly required (firstName, lastName, accountNumber, balance, overdraftLimit), keeping complexity balanced with the requirement.
3. Practicability: Model 1 = 4, Model 2 = 4; Evidence: Both diagrams are readable and modular with a clear Account abstraction and two concrete subtypes. Both capture required facts: customer name attributes, account number int, balance double, overdraft limit on current accounts only, 1..5 accounts per customer, Bank manages any number (0..*) of customers, Bank consists of any number (0..*) of branches, each account has an owner (Customer). Model 2 omits the explicit Account-&gt;Customer "owner" direction (relies on the bidirectional owns), which is acceptable since the owns association is navigable both ways. Model 1's extra bankName/branchName do not improve coverage of a stated requirement fact and add minor noise. Both support straightforward unit testing of Account/Customer/branch relationships.
Total: Model 1 = 12, Model 2 = 13
Choice: B
Reason:
1. Cohesion and Decoupling: Essentially tied; both maintain single-purpose classes and equivalent coupling. The bidirectional vs. two-opposite-unidirectional difference is explicitly forbidden as a scoring factor.
2. Complexity: Model 2 is leaner and matches the requirement's attribute set exactly (firstName, lastName, accountNumber, balance, overdraftLimit). Model 1 introduces bankName on Bank and branchName on Branch that the requirement never asks for, adding unrequested complexity without improving requirement coverage.
3. Practicability: Both are readable, modular, and testable with the correct inheritance hierarchy and multiplicities (1..5 accounts, 0..* customers, 0..* branches). Model 2's tighter attribute set keeps the diagram cleaner; the absence of an explicit Account-&gt;Customer arrow is not a deficiency because the bidirectional owns association already conveys ownership from both ends.
4. Rejected or checked issues: I did NOT penalize Model 1 for using two opposite unidirectional associations instead of a single bidirectional line (forbidden). I did NOT penalize either model for `int`/`double`/`String` spellings (forbidden). I did NOT reward or penalize abstract marking of Account since the requirement is silent on direct instantiation (forbidden). I did NOT count PlantUML `'opposite` comments against Model 1 (forbidden). The only differentiator is Model 1's unrequested bankName/branchName attributes adding slight unnecessary complexity.
5. Overall judgment: Model 2 is marginally better because it represents exactly the entities, attributes, and multiplicities the requirement specifies with no extraneous detail, yielding slightly better alignment on the Complexity criterion while being equal on cohesion and practicability.
```</t>
  </si>
  <si>
    <t>B</t>
  </si>
  <si>
    <t>five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</si>
  <si>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</si>
  <si>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Bank, Branch, Customer, Account (abstract), CurrentAccount, and SavingsAccount — all classes required by the domain. Bank manages customers and consists of branches; both capture this. No missing or extraneous classes.
2. Associations/Multiplicities between classes for domain reasoning: Model 1 = 4, Model 2 = 5; Evidence: Model 1: Bank *-- "0..*" Branch (composition, "any number" of branches — acceptable), Bank --&gt; "0..*" Customer (manages, "any number" — correct), Customer --&gt; "1..5" Account (correct min/max), Account --&gt; "1" Customer (owner — correct). Model 2: Bank "1" -- "0..*" Customer : manages (correct), Bank "1" -- "0..*" Branch : consists of (correct, matches "consists of any number"), Customer "1" -- "1..5" Account : owns (correct). Model 1 uses a composition (*) on Branch which is a slight over-constraint (requirement says "consists of any number", not necessarily composition-owned), but multiplicities are correct. Model 2 captures the "consists of" wording precisely and uses bidirectional lines with correct multiplicities. Model 1's Account-owner direction and Customer-account direction are both correct but split into opposite unidirectional associations (allowed). Slight edge to Model 2 for cleaner "consists of" semantics.
3. Model attributes with appropriate data types: Model 1 = 5, Model 2 = 5; Evidence: Both model Customer.firstName:String, lastName:String; Account.accountNumber:int, balance:double; CurrentAccount.overdraftLimit:double. All attributes and types match the requirement exactly. SavingsAccount correctly has no extra attributes in both.
4. Consistencies of Terminology with given context: Model 1 = 4, Model 2 = 5; Evidence: Model 1 introduces bankName and branchName attributes not mentioned in the requirement (extra, but not harmful); labels "operatesBranch" and "account/owner" are reasonable. Model 2 uses "manages" and "consists of" matching the requirement wording ("A bank manages...", "A bank consists of...") precisely, and "owns" for the account ownership relationship. Model 2 better mirrors the source terminology.
5. Adherence of UML class diagram standards: Model 1 = 4, Model 2 = 5; Evidence: Both use valid PlantUML syntax, abstract Account, and generalization (CurrentAccount/SavingsAccount --|&gt; Account). Model 1 mixes composition (*--), unidirectional (--&gt;), and opposite-direction pairs with inline comments; all valid but slightly less conventional. Model 2 uses consistent bidirectional associations with multiplicities on both ends and clean generalization arrows — fully standard.
Total: Model 1 = 22, Model 2 = 25
Choice: B
Reason:
1. Conceptual classes: Both models are equivalent — identical class sets covering Bank, Branch, Customer, Account hierarchy. Tie at 5.
2. Associations/Multiplicities: Model 2 more faithfully reflects "consists of any number" with a plain association and correct "1"-"0..*" multiplicities, while Model 1 imposes composition (*--) on branches which is an unstated constraint. Both correctly model "1..5" accounts and "1" owner. Edge to Model 2.
3. Attributes: Identical and correct in both. Tie at 5.
4. Terminology: Model 2 uses "manages" and "consists of" verbatim from the requirement; Model 1 adds bankName/branchName not in the text and labels relations less literally. Edge to Model 2.
5. UML standards: Both valid; Model 2 is more conventional and consistent with bidirectional associations and multiplicities on both ends. Minor edge to Model 2.
6. Rejected/checked issues: Did NOT penalize Model 1 for opposite unidirectional associations (Account&lt;-&gt;Customer) — these are semantically equivalent per forbidden penalties. Did NOT penalize the `'opposite` PlantUML comments. Did NOT penalize int/double/String lowercase-style types. Did NOT reward Model 2 merely for being shorter; the difference is semantic alignment, not length.
7. Overall judgment: Model 2 better aligns with the requirement's exact wording and multiplicities without introducing unstated constraints (composition on Branch) or extra attributes (bankName/branchName), while maintaining cleaner UML conventions. Model 2 is the better response.
```</t>
  </si>
  <si>
    <t>A vs 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</si>
  <si>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</si>
  <si>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&amp; inheritance: Model 1 = 5, Model 2 = 5; Evidence: Both define Bank, Branch, Customer, Account, CurrentAccount, SavingsAccount. Both model CurrentAccount --|&gt; Account and SavingsAccount --|&gt; Account correctly.
2. Attributes alignment: Model 1 = 4, Model 2 = 5; Evidence: Both include Customer.firstName/lastName (String), Account.accountNumber (int)/balance (double), CurrentAccount.overdraftLimit (double). Model 1 additionally adds Bank.bankName and Branch.branchName which are not in the requirement (minor additions); Model 2 keeps Bank and Branch attribute-free, matching the requirement strictly.
3. Bank–Customer association &amp; multiplicity: Model 1 = 5, Model 2 = 5; Evidence: Model 1 Bank --&gt; "0..*" Customer: manages (plus Customer --&gt; "1" Bank back-ref). Model 2 Bank "1" --- "0..*" Customer : manages. Both capture "a bank manages any number of customers" with correct 0..* multiplicity; opposite-direction vs bidirectional treated as equivalent.
4. Bank–Branch association &amp; multiplicity: Model 1 = 5, Model 2 = 5; Evidence: Both use composition Bank *-- "0..*" Branch ("operatesBranch"/"consists of"), matching "A bank consists of any number of branches" with 0..* multiplicity.
5. Customer–Account association &amp; multiplicity: Model 1 = 5, Model 2 = 5; Evidence: Model 1 Customer --&gt; "1..5" Account and Account --&gt; "1" Customer: owner. Model 2 Customer "1" --- "1..5" Account : has and Account "0..*" --- "1" Customer : owner. Both satisfy "at least one and at most five accounts" and "each account has an owner who is a customer" with correct multiplicities.
6. Abstractness/Account typing: Model 1 = 5, Model 2 = 5; Evidence: Model 1 marks Account abstract; Model 2 does not. Per forbidden penalty #5, neither style is rewarded/penalized since the requirement does not state whether direct Account instances are allowed.
Total: Model 1 = 29, Model 2 = 30
Choice: B
Reason:
1. Conceptual classes &amp; inheritance: Both models are equivalent, covering all six required classes and the CurrentAccount/SavingsAccount specialisation of Account.
2. Attributes alignment: Model 1 introduces Bank.bankName and Branch.branchName, attributes not stated in the requirement (minor hallucinated additions). Model 2 carries only the attributes explicitly required. This is the only meaningful differentiator and slightly favours Model 2.
3. Rejected or checked issues: I did not penalize Model 1 for using opposite unidirectional associations (Bank--&gt;Customer / Customer--&gt;Bank) vs Model 2's bidirectional lines (forbidden penalty #1); the PlantUML `'opposite` comments (forbidden penalty #2); the use of `int`/`double` (forbidden penalty #3); `*`/`0..*` equivalence (forbidden penalty #4); nor the abstract Account marking (forbidden penalty #5). I also did not reward Model 1's extra bankName/branchName attributes since they do not improve coverage of a stated requirement fact.
4. Overall judgment: Both models faithfully represent the domain with correct multiplicities, inheritance, and associations. The sole substantive difference is Model 1's two extra non-required attributes, which the strict instruction ("without making any hallucinations and additions") treats as a minor negative. The difference is small, so this is a slight preference for Model 2.
```</t>
  </si>
  <si>
    <t>A</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</si>
  <si>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</si>
  <si>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use the same six cohesive classes (Bank, Branch, Customer, Account, CurrentAccount, SavingsAccount) with single-responsibility boundaries. Model 1 models Customer↔Bank and Customer↔Account as opposite unidirectional associations (`Customer --&gt; "1" Bank`, `Bank --&gt; "0..*" Customer`), semantically equivalent to Model 2's bidirectional lines (`Bank "1" --- "0..*" Customer`). Coupling is comparable. Model 1 adds `bankName`/`branchName` attributes that slightly widen Bank/Branch responsibility beyond the requirement, but impact is minimal.
2. Complexity: Model 1 = 4, Model 2 = 5; Evidence: Both have 6 classes and an inheritance depth of 2 (`CurrentAccount/SavingsAccount --|&gt; Account`). Model 1 adds `bankName: String` to Bank and `branchName: String` to Branch, which are not required by the description and add unnecessary complexity; Model 2 keeps Bank and Branch attribute-free, aligning complexity precisely with stated requirements. Model 1 marks Account `abstract` (optional, not penalized).
3. Practicability: Model 1 = 4, Model 2 = 4; Evidence: Both diagrams are readable and cover all required facts: customer first/last name, account number/balance, overdraft limit on CurrentAccount, 1..5 accounts per customer, owner multiplicity 1, 0..* branches, two account subtypes. Model 1 uses `'opposite` comments and labels (ignored per rules); Model 2 uses cleaner bidirectional notation. Both support unit testing of account/customer relationships. Neither is missing required components.
Total: Model 1 = 12, Model 2 = 13
Choice: B
Reason:
1. Cohesion and Decoupling: Essentially equivalent; both use the same class set and equivalent association semantics (opposite unidirectionals vs bidirectional lines, which must be treated as equal).
2. Complexity: Model 2 is slightly better because it avoids the non-required `bankName` and `branchName` attributes, keeping complexity matched to the requirement; Model 1 introduces unrequested attributes that add no coverage value.
3. Practicability: Both are clear, complete, and testable; the difference is negligible.
4. Rejected or checked issues: I did NOT penalize Model 1 for (a) opposite unidirectional associations, (b) `'opposite` comments, (c) marking Account abstract, or (d) lowercase `int`/`double` types — all forbidden penalty factors. The only differentiator is the extra attributes.
5. Overall judgment: The difference is small, but Model 2 adheres more tightly to the stated requirements without unnecessary attributes, so it is marginally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</si>
  <si>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</si>
  <si>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Bank, Branch, Customer, Account, CurrentAccount, SavingsAccount — all required domain concepts. Both correctly model the two basic account types as subclasses.
2. Associations/Multiplicities between classes for domain reasoning: Model 1 = 4, Model 2 = 5; Evidence: Both model Customer→Account as 1..5, Account→owner as 1, Bank→Branch as 0..* with composition. The requirement states "A bank manages any number of customers" and "Each account has an owner who is a customer of the bank." Model 1 models Bank→Customer as 0..* and adds Customer→Bank as 1, which is reasonable. Model 2 models Bank"1"---"0..*"Customer manages and Account"0..*"---"1"Customer owner, both correct. Model 2's multiplicities are cleanly bidirectional and fully correct. Model 1's Bank-Customer relationship is fine but slightly less explicit on the Bank side multiplicity (0..* is used, matching "any number"). Both are acceptable; Model 2 is marginally cleaner with explicit "1" on both Bank ends.
3. Model attributes with appropriate data types: Model 1 = 5, Model 2 = 5; Evidence: Both include firstName: String, lastName: String, accountNumber: int, balance: double, overdraftLimit: double on CurrentAccount. Model 1 adds bankName/branchName (extra, not required but harmless). All required attributes present with correct types in both.
4. Consistencies of Terminology with given context: Model 1 = 5, Model 2 = 5; Evidence: Both use Bank, Branch, Customer, Account, CurrentAccount, SavingsAccount, firstName, lastName, accountNumber, balance, overdraftLimit, owner — all consistent with the requirement terminology.
5. Adherence of UML class diagram standards: Model 1 = 5, Model 2 = 5; Evidence: Both use valid PlantUML syntax: class declarations, inheritance (--|&gt;), composition (*--), associations with multiplicities in quotes. Model 1 uses unidirectional arrows (--&gt;), Model 2 uses bidirectional lines (---); both are valid UML. Comments ('opposite) are ignored per rules.
Total: Model 1 = 24, Model 2 = 25
Choice: B
Reason:
1. Appropriate conceptual classes: Both models are identical in coverage — all six required classes present with correct generalization hierarchy. Tie.
2. Associations/Multiplicities: Both correctly capture the key constraints (1..5 accounts per customer, 1 owner per account, 0..* branches via composition, 0..* customers). Model 2 expresses Bank-Customer and Account-Customer relationships with explicit multiplicities on both ends in a single bidirectional line, slightly cleaner and more complete. Model 1 is also correct but adds an extra Customer→Bank:1 reverse link that is reasonable. The difference is marginal.
3. Model attributes: Both fully capture all required attributes with correct data types. Model 1's extra bankName/branchName attributes are not required but not penalized.
4. Terminology: Fully consistent in both.
5. UML standards: Both fully adhere to PlantUML/UML conventions.
6. Rejected/checked issues: Did not penalize Model 1 for its single-quote comments ('opposite bank, 'opposite owner) per forbidden penalties. Did not penalize Model 1 for using lowercase int/double per primitive-type rule. Did not reward Model 2 for visibility markers (-) since presentation-only. Did not penalize Model 1 for marking Account abstract, since the requirement does not specify whether direct instances are allowed (forbidden penalty #5).
7. Overall judgment: The two models are very close. Model 2 has marginally cleaner and more explicit multiplicity modeling on the bidirectional Bank-Customer and Account-Customer relationships, giving it a slight edge on the associations criterion. Otherwise the models are essentially equivalent.
```</t>
  </si>
  <si>
    <t>B vs 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</si>
  <si>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</si>
  <si>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coverage: Model 1 = 5, Model 2 = 5; Evidence: Both models define all required classes — Bank, Branch, Customer, Account, CurrentAccount, SavingsAccount — matching the requirement's entities (bank, branches, customers, two account types).
2. Attributes (names and types): Model 1 = 5, Model 2 = 5; Evidence: Both include Customer.firstName:String and lastName:String; Account.accountNumber:int and balance:double; CurrentAccount.overdraftLimit:double. SavingsAccount correctly has no extra attributes.
3. Bank–Customer association: Model 1 = 5, Model 2 = 5; Evidence: Both use Bank "1" -- "0..*" Customer : manages, matching "A bank manages any number of customers."
4. Bank–Branch association: Model 1 = 4, Model 2 = 5; Evidence: Requirement says "A bank consists of any number of branches" (part-whole wording). Model 1 uses plain association (Bank "1" -- "0..*" Branch), Model 2 uses composition (Bank "1" *-- "0..*" Branch), which better captures "consists of" semantics. Multiplicities (1 : 0..*) are correct in both.
5. Customer–Account multiplicity (1..5): Model 1 = 5, Model 2 = 5; Evidence: Both use Customer "1" -- "1..5" Account, correctly encoding "at least one and at most five accounts."
6. Account owner relationship: Model 1 = 5, Model 2 = 3; Evidence: Requirement: "Each account has an owner who is a customer." Model 1's single bidirectional association Customer "1" -- "1..5" Account : owns implicitly gives each Account exactly one owner (Customer side = 1), satisfying the requirement. Model 2 adds an explicit second association Account "0..*" --- "1" Customer : owner, but the Account-side multiplicity "0..*" contradicts the required "1..5" (a customer must have 1..5 accounts, not 0..*). This is an explicit multiplicity contradiction, not merely an omission.
7. Account generalisation (Current/Savings): Model 1 = 5, Model 2 = 5; Evidence: Both model Account &lt;|-- CurrentAccount and Account &lt;|-- SavingsAccount (Model 2 uses --|&gt; direction), correctly representing "two basic types of accounts."
8. Abstractness of Account: Model 1 = 5, Model 2 = 5; Evidence: Model 1 marks Account abstract; Model 2 does not. Per instructions, this optional choice is not rewarded/penalised since the requirement does not state whether direct Account instances are allowed.
Total: Model 1 = 39, Model 2 = 38
Choice: A
Reason:
1. Conceptual classes coverage: Equal — both include all six required classes with correct names.
2. Attributes: Equal — both capture all required attributes (firstName, lastName, accountNumber, balance, overdraftLimit) with correct types; SavingsAccount needs none.
3. Bank–Branch association: Model 2 slightly stronger — its composition (Bank "1" *-- "0..*" Branch) better reflects the "consists of" part-whole wording than Model 1's plain association.
4. Account owner relationship: Model 1 stronger — Model 1's single bidirectional "owns" association cleanly satisfies "each account has an owner" (Customer side multiplicity 1) while preserving the 1..5 constraint. Model 2's explicit owner association (Account "0..*" --- "1" Customer) introduces a multiplicity of 0..* on the account side, which directly contradicts the requirement's "1..5" accounts per customer. This is a genuine contradiction, not a forbidden-penalty item (multiplicities that contradict requirements are fair to penalise).
5. Rejected/checked issues: I did not penalise Model 1's plain association for Bank–Branch as wrong (it is acceptable, just less precise than composition); I did not reward/penalise the abstract/non-abstract Account difference; I did not penalise Model 2's two opposite-direction associations per se — only the contradicting 0..* multiplicity. Visibility markers (Model 2's minus signs) were ignored as presentation-only.
6. Overall judgment: Model 1 is better. The only point where Model 2 leads (composition for Bank–Branch) is minor and debatable, whereas Model 2's owner association carries an explicit multiplicity that violates a hard constraint of the requirement (1..5). Model 1 satisfies all requirements with no contradictions.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</si>
  <si>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</si>
  <si>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use the same core classes (Bank, Branch, Customer, Account, CurrentAccount, SavingsAccount) with singular responsibilities. Model 1 uses plain associations for all links (Bank--Branch, Bank--Customer, Customer--Account). Model 2 uses composition (Bank *-- Branch) which implies stronger coupling between Bank and Branch but is arguably more domain-faithful (branches are part of a bank). Model 2 also models both directions of the Customer-Account relationship explicitly (Customer "has" Account, Account "owner" Customer), whereas Model 1 only shows Customer "owns" Account. Per forbidden-penalty rules, opposite-direction unidirectional associations are semantically equivalent, so neither is penalized. Coupling is comparable; Model 2's composition slightly increases coupling but reflects stronger ownership semantics.
2. Complexity: Model 1 = 5, Model 2 = 5; Evidence: Both have 6 classes, identical inheritance depth (Account -&gt; CurrentAccount/SavingsAccount, depth 1), same attributes (firstName, lastName on Customer; accountNumber, balance on Account; overdraftLimit on CurrentAccount). Neither over-engineers with unnecessary classes. Complexity is appropriately balanced and aligns with requirements.
3. Practicability: Model 1 = 4, Model 2 = 4; Evidence: Both are readable and modular with clear separation. Model 2 marks Account-style relations with an explicit "owner" association labeled with multiplicities 0..* -- 1, directly reflecting the requirement "Each account has an owner who is a customer of the bank," which Model 1 only captures via the Customer "owns" direction (1..5). Model 2's composition Bank*--Branch arguably better captures "A bank consists of any number of branches" than Model 1's plain association. Model 1 marks Account as abstract, which is reasonable since the requirement distinguishes only two concrete types. Both are testable and clear. Model 2 slightly more faithful to domain wording (composition for "consists of", explicit owner back-link), but not materially more practical.
Total: Model 1 = 13, Model 2 = 13
Choice: C
Reason:
1. Cohesion and Decoupling: Both achieve high cohesion and low coupling with the same class set. Model 2's composition (Bank *-- Branch) increases coupling marginally but is semantically justified by "consists of." Model 2's opposite-direction Customer-Account associations are equivalent to Model 1's single link per forbidden-penalty rules, so no advantage is credited there.
2. Complexity: Identical class count, attributes, and inheritance depth. Neither introduces superfluous classes. Tie.
3. Practicability: Both are readable, modular, and testable. Model 2 more explicitly encodes "consists of" as composition and the Account-owner relation with a labeled back-association, improving domain fidelity slightly. Model 1 marks Account abstract, a reasonable design choice. The differences are minor and do not meaningfully elevate one over the other.
4. Rejected or checked issues: Did not penalize Model 1 for using `--` vs `---`, did not penalize Model 2 for duplicate Customer-Account associations (forbidden penalty on opposite-direction associations), did not reward Model 1 for marking Account abstract (optional abstractness rule), did not penalize either for primitive-type spellings. The composition-vs-association distinction for Bank-Branch is a legitimate but small semantic difference that does not tip the overall balance.
5. Overall judgment: Both models fully and accurately cover the requirement (Bank manages customers, bank consists of branches, customer name attributes, account ownership 1..5, two account types, account number/balance, overdraft limit on current accounts). Quality differences are negligible, so the result is a tie.
```</t>
  </si>
  <si>
    <r>
      <rPr>
        <sz val="11"/>
        <color theme="1"/>
        <rFont val="DengXian"/>
        <charset val="134"/>
      </rPr>
      <t>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t>
    </r>
    <r>
      <rPr>
        <sz val="11"/>
        <color theme="1"/>
        <rFont val="宋体-简"/>
        <charset val="134"/>
      </rPr>
      <t>−</t>
    </r>
    <r>
      <rPr>
        <sz val="11"/>
        <color theme="1"/>
        <rFont val="DengXian"/>
        <charset val="134"/>
      </rPr>
      <t xml:space="preserve"> Very Poor: Classes are mostly incorrect or irrelevant and do not accurately represent the domain.
    2</t>
    </r>
    <r>
      <rPr>
        <sz val="11"/>
        <color theme="1"/>
        <rFont val="宋体-简"/>
        <charset val="134"/>
      </rPr>
      <t>−</t>
    </r>
    <r>
      <rPr>
        <sz val="11"/>
        <color theme="1"/>
        <rFont val="DengXian"/>
        <charset val="134"/>
      </rPr>
      <t xml:space="preserve"> Poor: Only a few classes are correct, but the majority of the domain concepts are missing or incorrect.
    3</t>
    </r>
    <r>
      <rPr>
        <sz val="11"/>
        <color theme="1"/>
        <rFont val="宋体-简"/>
        <charset val="134"/>
      </rPr>
      <t>−</t>
    </r>
    <r>
      <rPr>
        <sz val="11"/>
        <color theme="1"/>
        <rFont val="DengXian"/>
        <charset val="134"/>
      </rPr>
      <t xml:space="preserve"> Fair: Some classes are correctly identified, but noticeable misalignments are still present.
    4</t>
    </r>
    <r>
      <rPr>
        <sz val="11"/>
        <color theme="1"/>
        <rFont val="宋体-简"/>
        <charset val="134"/>
      </rPr>
      <t>−</t>
    </r>
    <r>
      <rPr>
        <sz val="11"/>
        <color theme="1"/>
        <rFont val="DengXian"/>
        <charset val="134"/>
      </rPr>
      <t xml:space="preserve"> Good: Most classes are correctly identified with only minor misalignments
    5</t>
    </r>
    <r>
      <rPr>
        <sz val="11"/>
        <color theme="1"/>
        <rFont val="宋体-简"/>
        <charset val="134"/>
      </rPr>
      <t>−</t>
    </r>
    <r>
      <rPr>
        <sz val="11"/>
        <color theme="1"/>
        <rFont val="DengXian"/>
        <charset val="134"/>
      </rPr>
      <t xml:space="preserve"> Excellent: All classes are correctly identified, fully aligned with the domain.
- Associations/Multiplicities between classes for domain reasoning
    1</t>
    </r>
    <r>
      <rPr>
        <sz val="11"/>
        <color theme="1"/>
        <rFont val="宋体-简"/>
        <charset val="134"/>
      </rPr>
      <t>−</t>
    </r>
    <r>
      <rPr>
        <sz val="11"/>
        <color theme="1"/>
        <rFont val="DengXian"/>
        <charset val="134"/>
      </rPr>
      <t xml:space="preserve"> Very Poor: Associations/multiplicities are largely missing or incorrect, comprising domain reasoning.
    2</t>
    </r>
    <r>
      <rPr>
        <sz val="11"/>
        <color theme="1"/>
        <rFont val="宋体-简"/>
        <charset val="134"/>
      </rPr>
      <t>−</t>
    </r>
    <r>
      <rPr>
        <sz val="11"/>
        <color theme="1"/>
        <rFont val="DengXian"/>
        <charset val="134"/>
      </rPr>
      <t xml:space="preserve"> Poor: Few correct associations/multiplicities with critical relationships missing.
    3</t>
    </r>
    <r>
      <rPr>
        <sz val="11"/>
        <color theme="1"/>
        <rFont val="宋体-简"/>
        <charset val="134"/>
      </rPr>
      <t>−</t>
    </r>
    <r>
      <rPr>
        <sz val="11"/>
        <color theme="1"/>
        <rFont val="DengXian"/>
        <charset val="134"/>
      </rPr>
      <t xml:space="preserve"> Fair: Some associations/multiplicities are correct, but noticeable missing or misrepresentations remain.
    4</t>
    </r>
    <r>
      <rPr>
        <sz val="11"/>
        <color theme="1"/>
        <rFont val="宋体-简"/>
        <charset val="134"/>
      </rPr>
      <t>−</t>
    </r>
    <r>
      <rPr>
        <sz val="11"/>
        <color theme="1"/>
        <rFont val="DengXian"/>
        <charset val="134"/>
      </rPr>
      <t xml:space="preserve"> Good: Most associations/multiplicities are correctly identified with only minor errors.
    5</t>
    </r>
    <r>
      <rPr>
        <sz val="11"/>
        <color theme="1"/>
        <rFont val="宋体-简"/>
        <charset val="134"/>
      </rPr>
      <t>−</t>
    </r>
    <r>
      <rPr>
        <sz val="11"/>
        <color theme="1"/>
        <rFont val="DengXian"/>
        <charset val="134"/>
      </rPr>
      <t xml:space="preserve"> Excellent: All essential associations/multiplicities correctly applied.
- Model attributes with appropriate data types
    1</t>
    </r>
    <r>
      <rPr>
        <sz val="11"/>
        <color theme="1"/>
        <rFont val="宋体-简"/>
        <charset val="134"/>
      </rPr>
      <t>−</t>
    </r>
    <r>
      <rPr>
        <sz val="11"/>
        <color theme="1"/>
        <rFont val="DengXian"/>
        <charset val="134"/>
      </rPr>
      <t xml:space="preserve"> Very Poor: Attributes and data types are poorly identified and modeled; largely incorrect or irrelevant.
    2</t>
    </r>
    <r>
      <rPr>
        <sz val="11"/>
        <color theme="1"/>
        <rFont val="宋体-简"/>
        <charset val="134"/>
      </rPr>
      <t>−</t>
    </r>
    <r>
      <rPr>
        <sz val="11"/>
        <color theme="1"/>
        <rFont val="DengXian"/>
        <charset val="134"/>
      </rPr>
      <t xml:space="preserve"> Poor: Few attributes are correct with proper types; critical attributes are missing.
    3</t>
    </r>
    <r>
      <rPr>
        <sz val="11"/>
        <color theme="1"/>
        <rFont val="宋体-简"/>
        <charset val="134"/>
      </rPr>
      <t>−</t>
    </r>
    <r>
      <rPr>
        <sz val="11"/>
        <color theme="1"/>
        <rFont val="DengXian"/>
        <charset val="134"/>
      </rPr>
      <t xml:space="preserve"> Fair: Some attributes are correct with proper types, but significant attributes are still missing.
    4</t>
    </r>
    <r>
      <rPr>
        <sz val="11"/>
        <color theme="1"/>
        <rFont val="宋体-简"/>
        <charset val="134"/>
      </rPr>
      <t>−</t>
    </r>
    <r>
      <rPr>
        <sz val="11"/>
        <color theme="1"/>
        <rFont val="DengXian"/>
        <charset val="134"/>
      </rPr>
      <t xml:space="preserve"> Good: Most attributes are appropriately modeled with proper data types; minor type issues may exist.
    5</t>
    </r>
    <r>
      <rPr>
        <sz val="11"/>
        <color theme="1"/>
        <rFont val="宋体-简"/>
        <charset val="134"/>
      </rPr>
      <t>−</t>
    </r>
    <r>
      <rPr>
        <sz val="11"/>
        <color theme="1"/>
        <rFont val="DengXian"/>
        <charset val="134"/>
      </rPr>
      <t xml:space="preserve"> Excellent: All attributes are correctly modeled with appropriate data types.
- Consistencies of Terminology with given context
    1</t>
    </r>
    <r>
      <rPr>
        <sz val="11"/>
        <color theme="1"/>
        <rFont val="宋体-简"/>
        <charset val="134"/>
      </rPr>
      <t>−</t>
    </r>
    <r>
      <rPr>
        <sz val="11"/>
        <color theme="1"/>
        <rFont val="DengXian"/>
        <charset val="134"/>
      </rPr>
      <t xml:space="preserve"> Very Poor: Terminology is largely inconsistent with the given context
    2</t>
    </r>
    <r>
      <rPr>
        <sz val="11"/>
        <color theme="1"/>
        <rFont val="宋体-简"/>
        <charset val="134"/>
      </rPr>
      <t>−</t>
    </r>
    <r>
      <rPr>
        <sz val="11"/>
        <color theme="1"/>
        <rFont val="DengXian"/>
        <charset val="134"/>
      </rPr>
      <t xml:space="preserve"> Poor: Frequent inconsistencies; critical terms misused or missing.
    3</t>
    </r>
    <r>
      <rPr>
        <sz val="11"/>
        <color theme="1"/>
        <rFont val="宋体-简"/>
        <charset val="134"/>
      </rPr>
      <t>−</t>
    </r>
    <r>
      <rPr>
        <sz val="11"/>
        <color theme="1"/>
        <rFont val="DengXian"/>
        <charset val="134"/>
      </rPr>
      <t xml:space="preserve"> Fair: Some terminology is correct, but noticeable inconsistencies remain.
    4</t>
    </r>
    <r>
      <rPr>
        <sz val="11"/>
        <color theme="1"/>
        <rFont val="宋体-简"/>
        <charset val="134"/>
      </rPr>
      <t>−</t>
    </r>
    <r>
      <rPr>
        <sz val="11"/>
        <color theme="1"/>
        <rFont val="DengXian"/>
        <charset val="134"/>
      </rPr>
      <t xml:space="preserve"> Good: Most terminology aligns with the given context, with minor inconsistencies.
    5</t>
    </r>
    <r>
      <rPr>
        <sz val="11"/>
        <color theme="1"/>
        <rFont val="宋体-简"/>
        <charset val="134"/>
      </rPr>
      <t>−</t>
    </r>
    <r>
      <rPr>
        <sz val="11"/>
        <color theme="1"/>
        <rFont val="DengXian"/>
        <charset val="134"/>
      </rPr>
      <t xml:space="preserve"> Excellent: Terminology is fully consistent with the given context.
- Adherence of UML class diagram standards
    1</t>
    </r>
    <r>
      <rPr>
        <sz val="11"/>
        <color theme="1"/>
        <rFont val="宋体-简"/>
        <charset val="134"/>
      </rPr>
      <t>−</t>
    </r>
    <r>
      <rPr>
        <sz val="11"/>
        <color theme="1"/>
        <rFont val="DengXian"/>
        <charset val="134"/>
      </rPr>
      <t xml:space="preserve"> Very Poor: Poor diagram formation with major UML standards ignored, making it largely incomprehensible.
    2</t>
    </r>
    <r>
      <rPr>
        <sz val="11"/>
        <color theme="1"/>
        <rFont val="宋体-简"/>
        <charset val="134"/>
      </rPr>
      <t>−</t>
    </r>
    <r>
      <rPr>
        <sz val="11"/>
        <color theme="1"/>
        <rFont val="DengXian"/>
        <charset val="134"/>
      </rPr>
      <t xml:space="preserve"> Poor: Frequent UML violations; diagram is difficult to interpret.
    3</t>
    </r>
    <r>
      <rPr>
        <sz val="11"/>
        <color theme="1"/>
        <rFont val="宋体-简"/>
        <charset val="134"/>
      </rPr>
      <t>−</t>
    </r>
    <r>
      <rPr>
        <sz val="11"/>
        <color theme="1"/>
        <rFont val="DengXian"/>
        <charset val="134"/>
      </rPr>
      <t xml:space="preserve"> Fair: Some UML/PlantUML syntax errors, but major representations are still missing.
    4</t>
    </r>
    <r>
      <rPr>
        <sz val="11"/>
        <color theme="1"/>
        <rFont val="宋体-简"/>
        <charset val="134"/>
      </rPr>
      <t>−</t>
    </r>
    <r>
      <rPr>
        <sz val="11"/>
        <color theme="1"/>
        <rFont val="DengXian"/>
        <charset val="134"/>
      </rPr>
      <t xml:space="preserve"> Good: Minor UML/PlantUML notation errors; overall diagram remains understandable.
    5</t>
    </r>
    <r>
      <rPr>
        <sz val="11"/>
        <color theme="1"/>
        <rFont val="宋体-简"/>
        <charset val="134"/>
      </rPr>
      <t>−</t>
    </r>
    <r>
      <rPr>
        <sz val="11"/>
        <color theme="1"/>
        <rFont val="DengXian"/>
        <charset val="134"/>
      </rPr>
      <t xml:space="preserve">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r>
  </si>
  <si>
    <t>```result
Scores:
1. Appropriate conceptual classes aligned with the domain: Model 1 = 5, Model 2 = 5; Evidence: Both models identify Bank, Branch, Customer, Account, CurrentAccount, and SavingsAccount. All classes align with the domain. Model 1 marks Account as abstract; Model 2 does not, but per forbidden penalty 5 this is not penalized.
2. Associations/Multiplicities between classes for domain reasoning: Model 1 = 4, Model 2 = 5; Evidence: Both capture Bank "1" -- "0..*" Customer (manages), Bank "1" -- "0..*" Branch (consists of), Customer "1" -- "1..5" Account. Model 2 additionally models Account "0..*" -- "1" Customer : owner, explicitly representing "Each account has an owner who is a customer of the bank." Model 1 omits this explicit owner relation from the Account side, relying only on the Customer--Account association. Model 2 uses composition (Bank *-- Branch) which is a stronger but acceptable interpretation; the multiplicity is still 0..*.
3. Model attributes with appropriate data types: Model 1 = 5, Model 2 = 5; Evidence: Both model firstName: String, lastName: String, accountNumber: int, balance: double, and CurrentAccount.overdraftLimit: double. All attributes match the requirement with correct types. SavingsAccount has no additional attributes, consistent with the description.
4. Consistencies of Terminology with given context: Model 1 = 5, Model 2 = 5; Evidence: Both use "manages" for Bank-Customer, "consists of" for Bank-Branch, matching the requirement wording. Model 1 uses "owns" and Model 2 uses "has" for Customer-Account; "owns" aligns more directly with ownership semantics while "has" is acceptable. Both use "owner" appropriately (Model 2 explicitly). Terminology is consistent in both.
5. Adherence of UML class diagram standards: Model 1 = 5, Model 2 = 5; Evidence: Both use valid PlantUML syntax with proper class declarations, associations, multiplicities with quoted labels, generalization arrows (&lt;|-- / --|&gt;), and role labels. Model 2 additionally uses composition (*) which is valid UML. No syntax errors in either.
Total: Model 1 = 24, Model 2 = 25
Choice: B
Reason:
1. Appropriate conceptual classes: Both models are equivalent — identical class sets covering all domain concepts.
2. Associations/Multiplicities: Model 2 is slightly stronger because it explicitly models the Account→Customer "owner" relationship (Account "0..*" -- "1" Customer : owner), which directly captures the requirement sentence "Each account has an owner who is a customer of the bank." Model 1 only has the Customer→Account direction, leaving the owner back-reference implicit.
3. Rejected or checked issues: I did not penalize Model 1 for marking Account abstract (forbidden penalty 5). I did not penalize either model for using `*` vs `0..*` or visibility markers. I did not reward Model 2's composition (Bank *-- Branch) over Model 1's plain association, since the requirement says "consists of any number of branches" without specifying composition vs aggregation; both multiplicities are 0..* and semantically acceptable. I did not penalize Model 2's two opposite-direction associations (Customer↔Account) per forbidden penalty 1.
4. Overall judgment: The models are nearly identical in quality. The single meaningful difference is Model 2's explicit owner association on the Account side, giving it a marginal edge in domain reasoning completeness. The difference is small but sufficient to prefer Model 2.
```</t>
  </si>
  <si>
    <t>r2l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</si>
  <si>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</si>
  <si>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 coverage &amp; attributes alignment: Model 1 = 5, Model 2 = 4; Evidence: Both include the required classes (Bank, Branch, Customer, Account, CurrentAccount, SavingsAccount) and required attributes (Customer.firstName/lastName: String, Account.accountNumber:int/balance:double, CurrentAccount.overdraftLimit:double). Model 2 adds `bankName: String` on Bank and `branchName: String` on Branch, which are not mentioned in the requirement — minor additions/hallucinations.
2. Associations &amp; cardinalities: Model 1 = 5, Model 2 = 5; Evidence: Model 1: `Bank "1" -- "0..*" Customer : manages`, `Bank "1" -- "0..*" Branch : consists of`, `Customer "1" -- "1..5" Account : owns` (the "1" near Customer implies each account has one owner). Model 2: `Bank *-- "0..*" Branch: operatesBranch` (composition matches "consists of"), `Bank --&gt; "0..*" Customer: manages`, `Customer --&gt; "1..5" Account`, `Account --&gt; "1" Customer: owner` (explicitly shows each account has exactly one owner). Both satisfy the stated multiplicities; the opposite-direction associations in Model 2 are equivalent to bidirectional per the rules.
3. Inheritance / account types: Model 1 = 5, Model 2 = 5; Evidence: Both model `Account &lt;|-- CurrentAccount` and `Account &lt;|-- SavingsAccount`, with Account abstract (optional). Correctly captures the two basic account types.
4. Clarity of class names &amp; attribute inclusion: Model 1 = 5, Model 2 = 5; Evidence: Both use clear, recognizable class names and include the optional attributes specified by the requirement; presentation differences (unidirectional vs bidirectional, comments) are not penalized.
Total: Model 1 = 20, Model 2 = 19
Choice: A
Reason:
1. Class coverage &amp; attributes alignment: Model 1 includes exactly the attributes named in the requirement and nothing extraneous; Model 2 introduces `bankName` and `branchName`, which are not supported by the requirement text. Per the strict "no hallucinations and additions" instruction, this is a (minor) deviation.
2. Associations &amp; cardinalities: Both correctly represent Bank–Customer (1 to 0..*), Bank–Branch (1 to 0..*), and Customer–Account (1 to 1..5) with the owner side being 1. Model 2's use of composition for Bank–Branch arguably better reflects "consists of", and its explicit `Account --&gt; "1" Customer: owner` makes the owner multiplicity explicit, but these advantages are offset by the extra attributes; net effect is roughly even here.
3. Rejected or checked issues: I did not penalize Model 2 for its opposite-direction associations (`Customer --&gt; Bank: bank`, `Account --&gt; Customer: owner`) since these are semantically equivalent to bidirectional associations per the forbidden-penalty rules. I did not penalize Model 1 for using a plain association rather than composition for Bank–Branch, since "consists of" does not strictly mandate composition and plain association is acceptable. I did not reward abstractness marking on either model.
4. Overall judgment: Both models are faithful, complete, and semantically correct. The only substantive difference is Model 2's unsupported `bankName`/`branchName` attributes, which violate the strict no-additions instruction. The quality gap is small, but Model 1 adheres more strictly to the requirement, so it is marginally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</si>
  <si>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</si>
  <si>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uses a single bidirectional-style association `Customer "1" -- "1..5" Account : owns` and `Account` has owner implied via the Customer side, keeping relations lean. Model 2 uses two opposite unidirectional associations `Customer --&gt; "1..5" Account` and `Account --&gt; "1" Customer` (semantically equivalent per forbidden penalties, not penalized) plus an extra `Customer --&gt; "1" Bank` back-reference beyond the "manages" relation, adding a redundant dependency not required by the requirement. Model 2 also introduces `bankName`/`branchName` attributes not in the requirement, slightly inflating class responsibilities.
2. Complexity: Model 1 = 5, Model 2 = 4; Evidence: Both have 6 classes (Bank, Branch, Customer, Account, CurrentAccount, SavingsAccount) and inheritance depth 2 (`Account` -&gt; `CurrentAccount`/`SavingsAccount`), matching the requirement's conceptual classes well. Model 1 keeps attributes strictly to those specified (firstName/lastName, accountNumber/balance, overdraftLimit). Model 2 adds `bankName: String` on Bank and `branchName: String` on Branch, which are not in the requirement, increasing complexity without requirement backing. Account marked abstract in both (acceptable, not rewarded per rules).
3. Practicability: Model 1 = 5, Model 2 = 5; Evidence: Both are readable and clearly capture the structure: Bank manages customers and branches, Customer owns 1..5 Accounts, Account has owner, two account subtypes with correct attributes (CurrentAccount.overdraftLimit, SavingsAccount empty). Multiplicities match: Bank "0..*" Customer, Bank "0..*" Branch, Customer "1..5" Account, Account owner "1". Model 2 labels the owner direction explicitly (`Account --&gt; "1" Customer: owner`), giving slightly clearer navigability, but Model 1's `Customer "1" -- "1..5" Account : owns` with the requirement-stated "Each account has an owner who is a customer" is equally comprehensible. Both fully cover required components.
Total: Model 1 = 15, Model 2 = 13
Choice: A
Reason:
1. Cohesion and Decoupling: Model 1 keeps coupling minimal with only the associations implied by the requirement (Bank-Customer manages, Bank-Branch consists of, Customer-Account owns). Model 2 adds an extra `Customer --&gt; "1" Bank` back-reference and `Account --&gt; "1" Customer` reverse link beyond what is necessary, plus non-required `bankName`/`branchName` attributes that broaden class scope.
2. Complexity: Both diagrams have identical class structure and inheritance depth, which is appropriate. However, Model 2 adds `bankName` and `branchName` attributes with no basis in the requirement, marginally inflating complexity without improving requirement coverage.
3. Rejected or checked issues: Did NOT penalize Model 2 for using two opposite unidirectional associations instead of one bidirectional line (forbidden penalty #1). Did NOT penalize the `'opposite` PlantUML comments (forbidden penalty #2). Did NOT reward/punish abstract marking of Account (forbidden penalty #5). Did NOT penalize `int`/`double`/`String` primitive spellings (forbidden penalty #3). The `*`/`0..*` equivalences were treated identically (forbidden penalty #4).
4. Overall judgment: Model 1 is a tighter, more faithful model — it includes exactly the classes, attributes, and relationships specified in the requirement with correct multiplicities, while Model 2 introduces unsupported attributes and redundant associations. The difference is meaningful though modest; Model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</si>
  <si>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</si>
  <si>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Both models include Bank, Branch, Customer, Account, CurrentAccount, SavingsAccount — all domain concepts. Model 2 adds `bankName` and `branchName` attributes and a `bank` navigation on Customer that are not stated in the requirement, but these are minor extras on existing classes, not incorrect classes.
2. Associations/Multiplicities between classes for domain reasoning: Model 1 = 5, Model 2 = 4; Evidence: Model 1: Bank "1" -- "0..*" Customer (manages), Bank "1" -- "0..*" Branch (consists of), Customer "1" -- "1..5" Account (owns) — all multiplicities match "any number", "at least one and at most five", and account owner is a customer. Model 2: Bank *-- "0..*" Branch (composition not stated, but multiplicity correct), Bank --&gt; "0..*" Customer (correct), Customer --&gt; "1" Bank and Customer --&gt; "1..5" Account, Account --&gt; "1" Customer (owner, correct). All essential multiplicities are present; the only weakness is the composition `*--` on Branch which the requirement ("consists of any number") does not specify as ownership/composition, slightly over-constraining.
3. Model attributes with appropriate data types: Model 1 = 5, Model 2 = 4; Evidence: Model 1: Customer.firstName:String, lastName:String; Account.accountNumber:int, balance:double; CurrentAccount.overdraftLimit:double — exactly matches requirement, no missing/extra. Model 2: same correct attributes, plus extra bankName:String and branchName:String not required. Extras do not improve stated coverage; they are minor noise rather than errors.
4. Consistencies of Terminology with given context: Model 1 = 5, Model 2 = 4; Evidence: Model 1 uses "manages", "consists of", "owns", matching the description closely. Model 2 uses "operatesBranch", "manages", "account", "owner", "opposite bank/account" comments — terms are recognizable but "operatesBranch" diverges from "consists of"; added `bank`/`bankName`/`branchName` are not in the source text.
5. Adherence of UML class diagram standards: Model 1 = 5, Model 2 = 5; Evidence: Both use valid PlantUML syntax: class boxes, attributes with types, generalization (`&lt;|--`/`--|&gt;`), labeled associations with multiplicities. No notation errors that impair comprehension in either.
Total: Model 1 = 25, Model 2 = 21
Choice: A
Reason:
1. Conceptual classes: Both identify the same six required classes; Model 2 adds only non-required attributes/navigation, not new classes, so the gap is small. Model 1 stays closer to the stated domain.
2. Associations/Multiplicities: Both capture all essential multiplicities correctly (0..* bank/customer/branch, 1..5 accounts, 1 owner). Model 2's composition on Branch and the redundant bidirectional Customer-Bank link go slightly beyond the requirement, but per forbidden-penalty rules the opposite-direction associations are treated as equivalent. The composition-style `*--` is the one legitimate domain concern since the text says "consists of" without implying lifecycle ownership, costing Model 2 marginally.
3. Attributes/data types: Both model firstName:String, lastName:String, accountNumber:int, balance:double, overdraftLimit:double correctly. Model 2's extra bankName/branchName are not required facts, so no credit.
4. Terminology: Model 1 mirrors the requirement wording ("manages", "consists of", "owns"); Model 2 introduces "operatesBranch" and unrequested bank/bankName terms.
5. Rejected/checked issues: I did NOT penalize Model 2 for using two opposite unidirectional associations (A--&gt;B and B--&gt;A) — these are semantically equivalent to bidirectional links per the forbidden penalties. I did NOT penalize the `'opposite bank` comments. I did NOT penalize lowercase `int`/`double`. The `*` vs `0..*` equivalence was ignored. The only differentiators are the unstated composition arrow and the unrequested extra attributes/navigation.
6. Overall judgment: Model 1 faithfully and minimally captures every stated fact with correct classes, attributes, associations, multiplicities, and terminology. Model 2 is also correct but adds unrequired elements and an unstated composition relationship, making Model 1 marginally more domain-faithful.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</si>
  <si>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</si>
  <si>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(classes &amp; attributes): Model 1 = 5, Model 2 = 4; Evidence: Both include Customer{firstName,lastName}, Account{accountNumber,balance}, CurrentAccount{overdraftLimit}, SavingsAccount. Model 2 additionally adds `bankName:String` to Bank and `branchName:String` to Branch, attributes not stated in the requirement (minor hallucination/addition), so slightly weaker.
2. Alignment with requirement (relationships &amp; cardinalities): Model 1 = 5, Model 2 = 5; Evidence: Both model Bank--0..*Customer (manages), Bank*--0..*Branch (consists of, composition), Customer1--1..5Account, Account0..*--1Customer(owner), and CurrentAccount/SavingsAccount --|&gt; Account. Cardinalities match exactly. Model 2 expresses some pairs as two opposite unidirectional associations (e.g., Bank--&gt;Customer and Customer--&gt;Bank), which is semantically equivalent and not penalized.
3. Conceptual accuracy / no hallucination: Model 1 = 5, Model 2 = 4; Evidence: Model 1 introduces only the elements specified. Model 2 introduces `bankName`, `branchName`, and a reverse `Customer--&gt;Bank:bank` association beyond the requirement, which are extraneous additions that do not improve coverage of any stated fact.
Total: Model 1 = 15, Model 2 = 13
Choice: A
Reason:
1. Alignment (classes &amp; attributes): Model 1 is a faithful, minimal mapping; Model 2 adds `bankName` and `branchName` not present in the requirement, a mild hallucination.
2. Alignment (relationships &amp; cardinalities): Both correctly capture all required associations, multiplicities (1..5 accounts, 0..* branches/customers, owner 1), and the CurrentAccount/SavingsAccount generalisation. Equivalent here.
3. Rejected or checked issues: Model 2's opposite-direction associations (Bank--&gt;Customer / Customer--&gt;Bank) and the `'opposite bank`/`'opposite account` comments are not penalized per the forbidden-penalty rules. Model 2's `abstract Account` is also not rewarded or penalized (optional abstractness). The `*` vs `0..*` and `int`/`double` vs `Integer`/`Double` aliases are ignored.
4. Overall judgment: Model 1 wins because it represents exactly the requirement with no extraneous attributes, while Model 2 introduces unsupported `bankName`/`branchName` attributes and a redundant reverse Bank association.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</si>
  <si>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</si>
  <si>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separate Bank, Branch, Customer, Account, CurrentAccount, SavingsAccount into distinct single-responsibility classes. Model 1 uses one clean bidirectional-style pair between Customer and Account (`Customer "1" --- "1..5" Account : has` and `Account "0..*" --- "1" Customer : owner`) and a single Bank-Customer association. Model 2 adds a redundant `Customer --&gt; "1" Bank: bank` reverse link plus `Bank --&gt; Customer: manages`, creating an extra back-reference not required by the description ("A bank manages any number of customers" implies a one-way management relationship). Model 2's extra `Customer--&gt;Bank` increases coupling slightly without requirement basis, but per forbidden rules opposite-direction associations are equivalent; the extra `bank`/`branchName`/`bankName` attributes are unwarranted additions. Both keep inheritance shallow (depth 2) and decoupled.
2. Complexity: Model 1 = 5, Model 2 = 4; Evidence: Both use 6 classes with correct generalization (CurrentAccount/SavingsAccount --|&gt; Account), depth 2, ~1-2 methods/attributes per class — appropriate. Model 1 keeps attributes strictly to those required (firstName, lastName, accountNumber, balance, overdraftLimit). Model 2 adds `bankName: String` on Bank and `branchName: String` on Branch that the requirement never mentions, inflating complexity with implementation-oriented detail. Per instructions, extra identifiers should not be rewarded unless they cover a stated requirement fact — they do not. Both correctly avoid turning "overdraft limit" or "balance" into separate classes.
3. Practicability: Model 1 = 5, Model 2 = 4; Evidence: Model 1 is readable and faithful: multiplicities match exactly — Bank "1" manages "0..*" Customer; Bank "1" consists of "0..*" Branch (composition `*--` correctly reflects "consists of"); Customer "1" has "1..5" Account; Account "0..*" owner "1" Customer; CurrentAccount adds overdraftLimit; SavingsAccount empty subclass. Model 2 also captures all required facts and correctly marks Account abstract (acceptable per optional-abstractness rule, not rewarded). However Model 2 models Bank-Branch as `*-- "0..*"` (composition) which matches "consists of," and Customer-Account as `1..5` which matches. But Model 2 introduces the unrequired `Customer --&gt; "1" Bank: bank` and `bankName`/`branchName` attributes, slightly reducing clarity/faithfulness. Model 2's `Bank --&gt; "0..*" Customer: manages` plus reverse `Customer--&gt;Bank` is semantic duplication. Model 1's cleaner minimal design is more practical for implementation and testing.
Total: Model 1 = 14, Model 2 = 12
Choice: A
Reason:
1. Cohesion and Decoupling: Both achieve high cohesion and low coupling with identical class structure. Model 1 avoids the unnecessary `Customer--&gt;Bank` reverse association that Model 2 introduces, keeping coupling marginally lower.
2. Complexity: Both have balanced complexity (6 classes, inheritance depth 2). Model 2 adds `bankName` and `branchName` attributes not supported by the requirement, slightly inflating the model without coverage benefit; Model 1 stays faithful with only required attributes.
3. Rejected or checked issues: I did NOT penalize Model 2 for using `--&gt;`/`&lt;--` opposite-direction associations instead of a single bidirectional line (forbidden penalty), nor for PlantUML `'opposite bank` comments, nor for marking Account `abstract` (optional abstractness), nor for `int`/`double`/`String` primitive aliases. The `Customer--&gt;Bank` deduction is based on it being an extra requirement-unsupported attribute/association, not on association style.
4. Overall judgment: Both models correctly cover all required domain facts (bank-customer, bank-branch composition, customer-account 1..5 multiplicity, account owner, two account subtypes, overdraft limit). Model 1 is more faithful and minimal, adding no unsupported attributes or redundant reverse links, yielding slightly better cohesion, complexity, and practicability. The differences are modest but consistent across criteria, favoring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</si>
  <si>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</si>
  <si>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Bank, Branch, Customer, Account, CurrentAccount, and SavingsAccount, fully covering the domain concepts. Model 2 adds bankName/branchName attributes not required, but classes are aligned.
2. Associations/Multiplicities between classes for domain reasoning: Model 1 = 5, Model 2 = 5; Evidence: Both correctly model Bank "1" -- "0..*" Customer (manages), Bank "1" *-- "0..*" Branch (consists of), Customer "1" -- "1..5" Account, Account owner is "1" Customer, with generalization for Current/SavingsAccount. Model 2 uses two opposite unidirectional associations (equivalent per rules) and composition for Branch; multiplicities match the requirement.
3. Model attributes with appropriate data types: Model 1 = 5, Model 2 = 5; Evidence: Both capture firstName:String, lastName:String for Customer; accountNumber:int, balance:double for Account; overdraftLimit:double for CurrentAccount. Model 2 marks Account abstract (permissible) and adds bankName/branchName (not required but not harmful).
4. Consistencies of Terminology with given context: Model 1 = 5, Model 2 = 5; Evidence: Both use terms consistent with the requirement: Bank, Branch, Customer, Account, CurrentAccount, SavingsAccount, accountNumber, balance, overdraftLimit, firstName, lastName. Model 1 uses "consists of" / "manages" matching the description; Model 2 uses "operatesBranch" / "manages" — still consistent.
5. Adherence of UML class diagram standards: Model 1 = 5, Model 2 = 5; Evidence: Both use valid PlantUML syntax with correct class boxes, attributes with types, generalization (--|&gt;), composition (*--), and association with multiplicities. No notation errors.
Total: Model 1 = 25, Model 2 = 25
Choice: C
Reason:
1. Appropriate conceptual classes: Both models contain the identical set of required classes (Bank, Branch, Customer, Account, CurrentAccount, SavingsAccount). No meaningful difference.
2. Associations/Multiplicities: Both correctly implement all required multiplicities (Bank 0..* Customer, Bank 0..* Branch, Customer 1..5 Account, Account owner 1 Customer). Model 2's opposite-direction unidirectional associations are semantically equivalent and cannot be penalized per the forbidden penalties. Model 2 uses composition (Bank *-- Branch) where Model 1 also uses composition for the same relation — equivalent.
3. Rejected or checked issues: Did not penalize Model 2 for `bankName`/`branchName` extra attributes since they do not contradict the requirement and the guidance says not to reward extra implementation detail; treated as neutral. Did not penalize Model 2's `'opposite bank` comments per forbidden penalties. Did not reward/punish Model 2's abstract Account per optional-abstractness rule. Did not penalize Model 1 for omitting visibility markers (presentation-only).
4. Overall judgment: Both models faithfully represent the bank domain with identical classes, attributes, data types, multiplicities, and generalization hierarchy. The differences (extra optional attributes in Model 2, abstract marker in Model 2, bidirectional-vs-unidirectional style) are either neutral or explicitly forbidden as scoring factors. Therefore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</si>
  <si>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</si>
  <si>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&amp; attributes coverage: Model 1 = 5, Model 2 = 5; Evidence: Both define Bank, Branch, Customer (firstName/lastName:String), Account (accountNumber:int, balance:double), CurrentAccount (overdraftLimit:double), SavingsAccount. All required attributes and classes are present in both models.
2. Bank–Customer association &amp; multiplicity: Model 1 = 5, Model 2 = 5; Evidence: Model 1 `Bank "1" --- "0..*" Customer : manages`; Model 2 `Bank "1" -- "0..*" Customer : manages`. Both match "manages any number of customers" with correct 1..0..* multiplicity.
3. Bank–Branch relationship ("consists of any number of branches"): Model 1 = 5, Model 2 = 4; Evidence: Model 1 uses composition `Bank "1" *-- "0..*" Branch : consists of`, which fits the "consists of" phrasing (lifecycle/whole-part semantics). Model 2 uses a plain association `Bank "1" -- "0..*"`; multiplicities are correct but the weaker relationship type underrepresents the "consists of" composition semantics.
4. Customer–Account multiplicity ("at least one and at most five"): Model 1 = 5, Model 2 = 5; Evidence: Model 1 `Customer "1" --- "1..5" Account : has`; Model 2 `Customer "1" -- "1..5" Account : owns`. Both correctly model 1..1 to 1..5.
5. Account owner ("Each account has an owner who is a customer"): Model 1 = 5, Model 2 = 4; Evidence: Model 1 additionally provides the explicit reverse association `Account "0..*" --- "1" Customer : owner`, directly encoding "owner". Model 2 only has `Customer ... owns ... Account`; ownership is implied from the customer side but the explicit owner role on the Account side is absent.
6. Account inheritance hierarchy (Current/Savings accounts): Model 1 = 5, Model 2 = 5; Evidence: Model 1 `CurrentAccount --|&gt; Account`, `SavingsAccount --|&gt; Account`; Model 2 `Account &lt;|-- CurrentAccount`, `Account &lt;|-- SavingsAccount`. Both correctly model the two account subtypes. Model 2 marks Account abstract (allowed per forbidden-penalty rule; neither rewarded nor penalized).
Total: Model 1 = 30, Model 2 = 28
Choice: A
Reason:
1. Conceptual classes &amp; attributes: Both fully cover all required classes and attributes; no meaningful difference.
2. Bank–Customer: Both correctly capture the manages relationship with 1..0..*; equivalent.
3. Bank–Branch: Model 1's composition (`*--`) better reflects the "consists of" wording than Model 2's plain association; this is the strongest differentiator.
4. Customer–Account multiplicity: Both correctly model 1..1 to 1..5; equivalent.
5. Account owner: Model 1 explicitly encodes the owner side (`Account "0..*" --- "1" Customer : owner`), directly matching the requirement's "Each account has an owner"; Model 2 captures ownership only implicitly via "owns".
6. Inheritance: Both correctly model CurrentAccount/SavingsAccount as subtypes of Account; equivalent (abstract marker on Model 2 is neutral per forbidden penalties).
Rejected or checked issues: Did NOT penalize Model 2 for marking Account `abstract` (forbidden penalty rule on optional abstractness). Did NOT penalize Model 1 for using two opposite unidirectional associations (Customer→Account "has" and Account→Customer "owner") instead of one bidirectional line (forbidden penalty rule on association styles). Did NOT reward/punish lowercase `int`/`double` or layout differences.
Overall judgment: Both models satisfy the requirement, but Model 1 is slightly more faithful: it uses composition for the Bank–Branch "consists of" relationship and explicitly models the Account→Customer "owner" association. Model 2 is correct but semantically weaker on these two points. The gap is small but consistent, so Model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</si>
  <si>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</si>
  <si>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use the same six well-scoped classes (Bank, Branch, Customer, Account, CurrentAccount, SavingsAccount) with single-responsibility boundaries. Bank only manages customers/branches; Customer only holds names; Account holds accountNumber/balance; CurrentAccount adds overdraftLimit. Coupling is minimal and identical in structure. Model 1 adds an explicit `Account "0..*" --- "1" Customer : owner` reverse link, while Model 2 relies on `Customer "1" -- "1..5" Account : owns`; per the forbidden-penalty rule these opposite/unidirectional forms are semantically equivalent, so no decoupling difference is credited.
2. Complexity: Model 1 = 5, Model 2 = 5; Evidence: Both have 6 classes, inheritance depth 2 (Account → CurrentAccount/SavingsAccount), average ~1 attribute per class. No noun over-classification; SavingsAccount is intentionally empty in both, matching a subtype with no extra attributes. Model 2 marks Account `abstract`, but per the forbidden-penalty rule optional abstractness is not rewarded or penalized. Complexity is appropriately balanced in both.
3. Practicability: Model 1 = 5, Model 2 = 4; Evidence: Both are readable and modular with clear inheritance and multiplicities matching the requirement (Bank 1–0..* Customer, Bank 1–0..* Branch, Customer 1–1..5 Account, Account subtypes). Model 1 models `Bank "1" *-- "0..*" Branch : consists of` as composition, which faithfully captures the "consists of" whole-part semantics in the requirement, whereas Model 2 uses a plain association `Bank "1" -- "0..*" Branch`. Model 1 also separately labels the `owner` direction from Account to Customer, making the "each account has an owner who is a customer" constraint explicit and navigable. These are minor but real semantic fidelity gains.
Total: Model 1 = 15, Model 2 = 14
Choice: A
Reason:
1. Cohesion and Decoupling: Functionally equivalent — same class responsibilities and coupling profile; the explicit reverse owner association in Model 1 is not penalized or rewarded under the bidirectionality rule.
2. Complexity: Identical class count, depth, and attribute distribution; the abstract marker in Model 2 is neutral by rule.
3. Practicability: Model 1's composition on Bank–Branch better reflects the requirement's "consists of" phrasing, and its explicit `owner` association makes the account-owner constraint directly visible. Model 2 is correct but slightly less semantically precise on these two points.
4. Rejected/checked issues: I did NOT penalize Model 2 for using `--` vs `*--` as a stylistic difference alone — the credit comes from the "consists of" wording mapping to composition. I did NOT reward/punish the abstract Account marker. I did NOT count opposite unidirectional associations as a defect.
5. Overall judgment: The difference is small but concrete; Model 1 is marginally more domain-faithful due to composition semantics and explicit owner navigability, so it is the better response.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</si>
  <si>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</si>
  <si>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Bank, Branch, Customer, Account, CurrentAccount, and SavingsAccount, covering all domain concepts from the requirement.
2. Associations/Multiplicities between classes for domain reasoning: Model 1 = 5, Model 2 = 4; Evidence: Model 1 models Bank "1"---"0..*" Customer (manages), Bank "1"*--"0..*" Branch (consists of, composition reflecting "consists of"), Customer "1"---"1..5" Account (has), Account "0..*"---"1" Customer (owner). Model 2 uses Bank "1"--"0..*" Customer, Bank "1"--"0..*" Branch, Customer "1"--"1..5" Account (owns). Both capture the 1..5 account constraint and ownership direction. Model 1 additionally models the explicit Account-&gt;Customer owner relation from the requirement ("Each account has an owner who is a customer"), while Model 2 omits the reverse owner association. Model 1's composition on Branch better reflects "consists of".
3. Model attributes with appropriate data types: Model 1 = 5, Model 2 = 5; Evidence: Both models model firstName:String, lastName:String, accountNumber:int, balance:double, and overdraftLimit:double with correct types.
4. Consistencies of Terminology with given context: Model 1 = 5, Model 2 = 4; Evidence: Model 1 uses "has" and "owner" labels matching the requirement ("A customer has...accounts", "Each account has an owner"). Model 2 uses "owns" instead of "has"/"owner", a minor deviation; both otherwise align on class and attribute names.
5. Adherence of UML class diagram standards: Model 1 = 5, Model 2 = 5; Evidence: Both use valid PlantUML class diagram syntax, generalization (inheritance), associations with multiplicities. Model 2 marks Account abstract (allowed per forbidden rule, not rewarded/penalized). Both are comprehensible and convention-compliant.
Total: Model 1 = 25, Model 2 = 23
Choice: A
Reason:
1. Associations/Multiplicities: Model 1 explicitly models the Account-&gt;Customer "owner" relationship required by the description ("Each account has an owner who is a customer of the bank"), whereas Model 2 only models Customer-&gt;Account. Model 1 also uses composition (*--) for Bank-Branch, better reflecting "consists of".
2. Terminology: Model 1 uses the exact terms "has" and "owner" from the requirement; Model 2 substitutes "owns".
3. Rejected or checked issues: I did not penalize Model 2 for marking Account abstract (per forbidden rule 5), nor Model 1 for its two opposite-direction Customer/Account associations (per forbidden rule 1, semantically equivalent). The lowercase type aliases are not penalized (rule 3). The abstract marker gives Model 2 no bonus.
4. Overall judgment: Model 1 provides more complete domain modeling (explicit owner association, composition for "consists of") and closer terminology fidelity, making it the better model.
```</t>
  </si>
  <si>
    <t>EUScienceConnect</t>
  </si>
  <si>
    <t>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</si>
  <si>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</si>
  <si>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&amp; class names: Model 1 = 5, Model 2 = 5; Evidence: Both include Person, Publisher, Journal, ScientificArticle, PeerReviewedPaper, TechnicalReport, Authorship. M1 names the institution "ResearchInstitution" while M2 uses "Institution" — both recognizable.
2. Attributes &amp; identifiers: Model 1 = 5, Model 2 = 5; Evidence: M1 has personId, phoneNumber, researchKeywords, institutionCode, doi, title, citationCount, journal name/impactFactor, publisher name, Authorship.position. M2 has personID, phoneNumber, keywords, institutionCode, DOI, title, citationCount, impactFactor, name, position — all required attributes present in both.
3. Inheritance hierarchy (article types): Model 1 = 5, Model 2 = 5; Evidence: Both model `ScientificArticle &lt;|-- PeerReviewedPaper` and `ScientificArticle &lt;|-- TechnicalReport`, correctly separating the two article types with shared DOI/title.
4. Person–Institution worksFor cardinality: Model 1 = 5, Model 2 = 3; Evidence: M1 `Person --&gt; "1" ResearchInstitution : worksFor` and `ResearchInstitution --&gt; "*" Person : employs` — one institution per person, many persons per institution, correct. M2 `Person "1" -- "1" Institution : worksFor` forces "1" on the Person side, meaning each institution has exactly one person — contradicts that institutions employ many researchers.
5. Authorship / multiple-author position modeling: Model 1 = 5, Model 2 = 2; Evidence: M1 `Authorship --&gt; "1" Person`, `Authorship --&gt; "1" ScientificArticle`, `ScientificArticle --&gt; "1..*" Authorship`, with `position : int` — correctly captures per-author position in a multi-author article. M2 `Authorship -- "1..*" Person : author` implies a single Authorship record relates to 1..* persons, which is semantically wrong: an authorship entry should map to exactly one author, not several.
6. PeerReviewedPaper reviewer relationship: Model 1 = 5, Model 2 = 5; Evidence: M1 `PeerReviewedPaper --&gt; "*" Person : reviewedBy` and `Person --&gt; "*" PeerReviewedPaper : reviews` (many-to-many). M2 `Person "0..*" -- "0..*" PeerReviewedPaper : reviews` (many-to-many). Both correctly model a person reviewing multiple papers and a paper having multiple reviewers.
7. TechnicalReport–Institution publication: Model 1 = 5, Model 2 = 5; Evidence: M1 `TechnicalReport --&gt; "1" ResearchInstitution : publishedBy` and `ResearchInstitution --&gt; "*" TechnicalReport : publishes` — each technical report published by exactly one institution, institutions publish many. M2 `Institution "1" -- "0..*" TechnicalReport : publishes` — same semantics (0..* on report side is acceptable). Both correct.
8. Publisher–Journal relationship: Model 1 = 5, Model 2 = 5; Evidence: M1 `Publisher --&gt; "*" Journal : issues` and `Journal --&gt; "1" Publisher`. M2 `Publisher "1" -- "0..*" Journal : publishes`. Both model one publisher with many journals; composite identity allowing same journal name under different publishers is implicitly supported by both (Journal name not unique in isolation).
9. Institution–Journal subscription: Model 1 = 5, Model 2 = 5; Evidence: M1 `ResearchInstitution --&gt; "*" Journal : subscribesTo` and `Journal --&gt; "*" ResearchInstitution : subscribedBy` (many-to-many). M2 `Institution "0..*" -- "0..*" Journal : subscribesTo` (many-to-many). Both correctly allow institutions to subscribe to multiple journals and journals to be subscribed by multiple institutions.
10. PeerReviewedPaper–Journal publication (only peer-reviewed in journals): Model 1 = 5, Model 2 = 5; Evidence: M1 `PeerReviewedPaper --&gt; "1" Journal : publishedIn` and `Journal --&gt; "*" PeerReviewedPaper : features` — only PeerReviewedPaper is linked to Journal, TechnicalReport is not. M2 `Journal "1" -- "0..*" PeerReviewedPaper : publishesIn` — likewise only PeerReviewedPaper connects to Journal. Both correctly enforce that technical reports are not published in journals.
Total: Model 1 = 50, Model 2 = 45
Choice: A
Reason:
1. Person–Institution cardinality: M1 correctly models `*` persons per institution (`ResearchInstitution --&gt; "*" Person`), while M2's `Person "1" -- "1" Institution` wrongly constrains each institution to a single person.
2. Authorship modeling: M1 correctly models Authorship as a 1:1 link class between one Person and one ScientificArticle with a position attribute, and requires `1..*` authorships per article. M2's `Authorship -- "1..*" Person` is semantically invalid, treating one authorship as covering multiple authors, which breaks the per-author position semantics required for multi-author articles.
3. Rejected/checked issues: M1's use of opposite unidirectional associations and `'opposite ...` comments was NOT penalized per the forbidden-penalties rules; they are semantically equivalent to bidirectional lines and standard annotations. M2's `int`/`String` and M1's lowercase `doi` were not penalized (primitive-type aliases allowed). Neither model was rewarded for Journal same-name-across-publishers, as both implicitly support it via Publisher 1--* Journal.
4. Overall judgment: Model 1 is better because it preserves the required cardinalities at both critical junctures — the person-to-institution employment multiplicity and the authorship multiplicity — whereas Model 2 gets both wrong. All other requirement elements (classes, attributes, inheritance, reviewer link, technical-report publication, publisher/journal, subscription, peer-reviewed-in-journal) are handled equivalently by both models.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</si>
  <si>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</si>
  <si>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Both introduce an `Authorship` class to mediate Person↔ScientificArticle with a `position` attribute, achieving high cohesion and avoiding attribute-only many-to-many. Model 1 places `position` on `Authorship` with clean `Authorship --&gt; "1" Person` and `Authorship --&gt; "1" ScientificArticle` links, giving each authorship a singular purpose. Model 2 uses `Authorship -- "1..*" Person : author`, which couples one Authorship to potentially many Persons, blurring whether `position` belongs to one author or many and weakening cohesion. Both decouple Article hierarchy (PeerReviewedPaper/TechnicalReport) cleanly via generalisation.
2. Complexity: Model 1 = 5, Model 2 = 5; Evidence: Both models have a comparable, balanced class count (Person, Institution, Publisher, Journal, ScientificArticle hierarchy of 3, Authorship = 8 classes each). Neither over-engineers nouns into classes; both keep `keywords`/`researchKeywords` and `phoneNumber` as attributes of Person rather than promoting them to classes. Inheritance depth is 2 (ScientificArticle → subclass) in both. Complexity is appropriately aligned with the requirement in both.
3. Practicability: Model 1 = 5, Model 2 = 3; Evidence: Model 1 captures all multiplicities faithfully: `Person --&gt; "1" ResearchInstitution`, `TechnicalReport --&gt; "1" ResearchInstitution` ("always published by a single research institution"), `Publisher --&gt; "*" Journal`, `PeerReviewedPaper --&gt; "1" Journal` (only peer-reviewed papers in journals), `Person --&gt; "*" PeerReviewedPaper : reviews`, and `Institution subscribesTo "*" Journal`. Model 2 has two semantic defects: `Person "1" -- "1" Institution : worksFor` forces a 1-to-1 mapping, contradicting that an institution employs many persons; and `Authorship -- "1..*" Person` makes one Authorship cover multiple authors, undermining the per-author `position` semantics. Model 2 does correctly model `Institution "1" -- "0..*" TechnicalReport`, `Publisher "1" -- "0..*" Journal`, and `Journal "1" -- "0..*" PeerReviewedPaper`, but the worksFor and Authorship multiplicities reduce readability and testability.
Total: Model 1 = 15, Model 2 = 12
Choice: A
Reason:
1. Cohesion and Decoupling: Model 1's Authorship cleanly binds one Person to one Article with a single `position`, whereas Model 2's `1..*` Person side muddies authorship cohesion.
2. Complexity: Both are equivalent in class count and inheritance depth; no meaningful difference.
3. Practicability: Model 1's multiplicities match the requirement (institution employs many persons; technical report published by exactly one institution; only peer-reviewed papers in journals). Model 2's `Person "1" -- "1" Institution` contradicts the multi-employee nature of institutions, and its `Authorship -- "1..*" Person` weakens the per-author position semantics, harming readability and test correctness.
4. Rejected or checked issues: Model 1's use of opposite unidirectional association pairs (e.g., `Person --&gt; ResearchInstitution` and `ResearchInstitution --&gt; Person`) was NOT penalised, per the forbidden-penalties rule — it is semantically equivalent to a bidirectional line. PlantUML `'opposite` comments and lowercase type aliases (int, double, String) were also ignored per the rules. Neither model explicitly models the composite-key constraint (publisher+journal name uniqueness), but since the requirement frames it as an example-style fact rather than a hard structural constraint to encode, this was not used as negative evidence against either.
5. Overall judgment: Model 1 is better due to correct multiplicities and cleaner Authorship semantics; Model 2's two multiplicity errors are concrete domain-faithfulness defects under Practicability.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</si>
  <si>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</si>
  <si>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contain the same core conceptual classes: Person, ResearchInstitution/Institution, Publisher, Journal, ScientificArticle (abstract) with PeerReviewedPaper and TechnicalReport subclasses, and an Authorship association class to handle author position. All domain concepts (person, institution, publisher, journal, articles, authorship with position) are covered.
2. Associations/Multiplicities between classes for domain reasoning: Model 1 = 5, Model 2 = 3; Evidence: Model 1 correctly models Person worksFor ResearchInstitution as *-1 (Person --&gt; "1", ResearchInstitution --&gt; "*") and Institution publishes TechnicalReport 1-*. Model 2 incorrectly models Person "1" -- "1" Institution worksFor, which contradicts the requirement that an institution employs multiple persons. Additionally, Model 2's Authorship -- "1..*" Person : author suggests one authorship record holds multiple persons, undermining the per-author position semantics; an Authorship with a single position should link to exactly one Person (as Model 1 does: Authorship --&gt; "1" Person).
3. Model attributes with appropriate data types: Model 1 = 5, Model 2 = 5; Evidence: Both models capture the required attributes with appropriate types: Person (personId/personID, phoneNumber, researchKeywords/keywords as List&lt;String&gt;/Set&lt;String&gt;), Institution (institutionCode), Publisher (name), Journal (name, impactFactor), ScientificArticle (doi/DOI, title), PeerReviewedPaper (citationCount), Authorship (position). All required attributes are present with valid data types.
4. Consistencies of Terminology with given context: Model 1 = 5, Model 2 = 4; Evidence: Model 1 uses "ResearchInstitution" matching the requirement's "research institutions" exactly, and role names (worksFor, publishes, subscribesTo, publishedIn, reviews) align with the text. Model 2 uses "Institution" (slightly less precise but acceptable) and "publishesIn" for the journal-paper relation (semantically equivalent to publishedIn). Minor terminology deviations in Model 2.
5. Adherence of UML class diagram standards: Model 1 = 5, Model 2 = 5; Evidence: Both models use valid PlantUML syntax with abstract classes, generalization (&lt;|--), associations with multiplicities, and association classes. Model 1 uses opposite unidirectional associations (semantically equivalent, not penalized per guidelines); Model 2 uses bidirectional associations. Both are comprehensible and conform to UML notation.
Total: Model 1 = 25, Model 2 = 22
Choice: A
Reason:
1. Associations/Multiplicities: Model 1 correctly captures the worksFor relationship as a many-to-one (Person *--1 Institution) and uses Authorship --&gt; "1" Person with a per-author position. Model 2 models Person "1" -- "1" Institution worksFor, which is an invalid multiplicity (an institution employs many persons), and its Authorship -- "1..*" Person breaks the per-author position semantics required by "the position of each author is stored".
2. Consistencies of Terminology: Model 1 uses "ResearchInstitution" and role labels that closely mirror the requirement wording; Model 2's "Institution" and "publishesIn" are minor deviations.
3. Rejected or checked issues: I did not penalize Model 1 for using two opposite unidirectional associations instead of bidirectional lines (forbidden penalty #1), nor for PlantUML single-quote comments (forbidden penalty #2), nor for primitive type aliases. I did not reward extra role names as implementation detail.
4. Overall judgment: Both models are strong in class identification, attributes, and UML standards. Model 1 is better primarily because of correct multiplicity on the worksFor relationship and the Authorship-Person link, which are critical for domain reasoning, while Model 2 contains a clear invalid multiplicity (1-1 for worksFor) and a semantically weak Authorship-Person multiplicity.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</si>
  <si>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</si>
  <si>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&amp; identifiers/attributes: Model 1 = 5, Model 2 = 5; Evidence: Both define Person (personId/ID, phoneNumber, researchKeywords), ResearchInstitution (institutionCode), Publisher (name), Journal (name, impactFactor), ScientificArticle (DOI/doi, title), PeerReviewedPaper (citationCount), TechnicalReport, Authorship (position). All required attributes present in both.
2. Person-Institution association &amp; cardinality: Model 1 = 5, Model 2 = 2; Evidence: Model 1 has Person--&gt;\"1\" ResearchInstitution and ResearchInstitution--&gt;\"*\" Person, correctly one institution per person, many persons per institution. Model 2 writes Person \"1\" -- \"1\" ResearchInstitution, making an institution have exactly one person — a contradiction of the requirement that institutions employ multiple researchers.
3. Article hierarchy (PeerReviewedPaper / TechnicalReport): Model 1 = 5, Model 2 = 5; Evidence: Both use ScientificArticle&lt;|--PeerReviewedPaper and ScientificArticle&lt;|--TechnicalReport. Model 1 marks ScientificArticle abstract (optional, not penalized).
4. Authorship with position &amp; multi-author support: Model 1 = 5, Model 2 = 5; Evidence: Both introduce an Authorship class with `position` linking Person and ScientificArticle, allowing multiple authors with stored positions. Model 1 additionally constrains ScientificArticle--&gt;1..* Authorship (at least one author); Model 2 uses 1..* implicitly via * on both ends.
5. Reviewer relationship (person reviews peer-reviewed paper): Model 1 = 5, Model 2 = 5; Evidence: Model 1 has PeerReviewedPaper--&gt;*Person reviewedBy / Person--&gt;*PeerReviewedPaper reviews. Model 2 has Person \"1\" -- \"*\" PeerReviewedPaper : reviews. Both allow a person to be author of one and reviewer of another simultaneously.
6. Technical report publishing (single institution, many reports): Model 1 = 5, Model 2 = 5; Evidence: Model 1: TechnicalReport--&gt;\"1\" ResearchInstitution, ResearchInstitution--&gt;\"*\" TechnicalReport. Model 2: TechnicalReport \"*\" -- \"1\" ResearchInstitution. Both correct.
7. Publisher-Journal (one publisher many journals, same-name journals allowed): Model 1 = 5, Model 2 = 4; Evidence: Model 1 uses plain association Publisher--&gt;\"*\" Journal / Journal--&gt;\"1\" Publisher, which permits duplicate journal names across publishers. Model 2 uses composition Publisher \"1\" *-- \"*\" Journal; composition over-constrains lifetime but is not a hard contradiction; same-name allowance still satisfied.
8. Journal subscription by institutions: Model 1 = 5, Model 2 = 5; Evidence: Model 1: ResearchInstitution--&gt;*Journal subscribesTo, Journal--&gt;*ResearchInstitution. Model 2: ResearchInstitution \"*\" -- \"*\" Journal. Both correct many-to-many.
9. Peer-reviewed papers published in journals (not technical reports): Model 1 = 5, Model 2 = 5; Evidence: Model 1: PeerReviewedPaper--&gt;\"1\" Journal publishedIn; TechnicalReport has no journal link. Model 2: PeerReviewedPaper \"*\" -- \"1\" Journal published in; TechnicalReport has no journal link. Both correct.
10. Overall faithfulness / no hallucination / no missing required element: Model 1 = 5, Model 2 = 3; Evidence: Model 2's Person-Institution 1:1 multiplicity contradicts the requirement, the single material domain error. Model 1 has no contradictions and covers all stated facts.
Total: Model 1 = 50, Model 2 = 44
Choice: A
Reason:
1. Conceptual classes &amp; attributes: Both models are essentially equivalent and complete on entities, identifiers, and attributes.
2. Cardinality correctness: Model 2's `Person \"1\" -- \"1\" ResearchInstitution : works for` is a genuine domain contradiction (an institution must employ multiple persons); Model 1 correctly models Person--&gt;1 Institution and Institution--&gt;*Person. This is the decisive difference.
3. Rejected/checked issues: I did NOT penalize Model 1 for using opposite unidirectional associations vs bidirectional lines (forbidden), nor Model 1's `int`/`String` vs Model 2's `int`/`String` aliases (forbidden), nor Model 2's omission of `abstract` on ScientificArticle (optional). Model 2's composition Publisher*--Journal is slightly over-constrained but not a hard error, so it only mildly affected the score.
4. Overall judgment: Model 1 faithfully represents all required entities, relationships, and multiplicities without contradiction, while Model 2 contains a material multiplicity error on the Person-Institution relation. Model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</si>
  <si>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</si>
  <si>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introduce an `Authorship` association class to decouple the Person↔ScientificArticle many-to-many authorship with a `position` attribute, keeping `Person`, `ScientificArticle`, and `Authorship` each single-purpose. Both isolate the article hierarchy (`ScientificArticle` &lt;|-- `PeerReviewedPaper`/`TechnicalReport`) so review/citation concerns live only in `PeerReviewedPaper` and publication concerns only in `TechnicalReport`. Model 1 models opposite-direction pairs (e.g., `Person --&gt;"1" ResearchInstitution : worksFor` and `ResearchInstitution --&gt;"*" Person : employs`), which are semantically equivalent to bidirectional links and per the forbidden-penalties rule are not penalized. Coupling profiles are otherwise near-identical.
2. Complexity: Model 1 = 4, Model 2 = 4; Evidence: Both use 9 classes (Person, ResearchInstitution, Publisher, Journal, ScientificArticle, PeerReviewedPaper, TechnicalReport, Authorship, plus the abstract base handled identically) with an inheritance depth of 2 and ~1-3 attributes/methods per class. Neither over-fragments nouns into spurious classes; both correctly treat `Authorship` as a legitimate association class rather than a redundant entity. Model 1 declares `ScientificArticle` `abstract` (neutral per rules) and types `researchKeywords : List&lt;String&gt;`; Model 2 types it `String`. Neither is over- or under-complex relative to the requirement.
3. Practicability: Model 1 = 5, Model 2 = 3; Evidence: The requirement states persons are "researchers working at institutions" and records "the institution he/she works for" — i.e., each Person ↔ one institution, but an institution employs many persons. Model 1 captures this correctly: `Person --&gt;"1" ResearchInstitution : worksFor` / `ResearchInstitution --&gt;"*" Person : employs`. Model 2 contradicts the domain with `Person "1" -- "1" ResearchInstitution : works for`, forcing a 1:1 cardinality that would prevent an institution from having more than one researcher and breaks the cross-national database premise. Additionally, Model 1 types `researchKeywords : List&lt;String&gt;` matching the plural "keywords that identify his/her key research topics," whereas Model 2 uses a singular `researchKeywords : String`, weakening the multi-keyword semantics. Both otherwise cover all required facts: DOI/title/authors/position, citationCount + reviewer on `PeerReviewedPaper`, single-institution publisher of `TechnicalReport` (`*--1`), publisher-issues-journals (`1--*`), institution-subscribes-to-journal (`*--*`), impactFactor, and the constraint that only `PeerReviewedPaper` is `publishedIn` Journal (no TechnicalReport↔Journal link).
Total: Model 1 = 13, Model 2 = 11
Choice: A
Reason:
1. Cohesion and Decoupling: Effectively tied — identical decomposition strategy and association-class usage; opposite-direction association pairs in Model 1 are treated as equivalent to Model 2's bidirectional lines per the forbidden-penalty rule.
2. Complexity: Tied — same class count, inheritance depth, and attribute granularity; both avoid noun-to-class over-engineering.
3. Practicability: Model 1 wins decisively on domain accuracy. Its `Person--&gt;1 / ResearchInstitution--&gt;*` multiplicity correctly reflects "researchers working at institutions," while Model 2's `Person "1"--"1" ResearchInstitution` is a multiplicity contradiction that invalidates the one-to-many employment relationship and would break the EU research database premise. Model 1 also more faithfully models multi-valued `researchKeywords` as `List&lt;String&gt;`.
4. Rejected or checked issues: Did NOT penalize Model 1 for opposite unidirectional association pairs, single-quote `'opposite ...` comments, lowercase types (`int`, `double`, `String`), `*` vs `0..*`, or the `abstract` marker on `ScientificArticle` — all forbidden as negative evidence. Did NOT reward Model 1 merely for being more verbose; the deciding factor is the verifiable multiplicity error in Model 2.
5. Overall judgment: Model 1 is better because it is domain-faithful and complete, whereas Model 2 contains an explicit, incorrect 1:1 multiplicity between Person and ResearchInstitution that contradicts the requirement and undermines the design's real-world viability.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</si>
  <si>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</si>
  <si>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contain the same core concept classes: Person, ResearchInstitution, ScientificArticle (with PeerReviewedPaper and TechnicalReport subclasses via generalization), Publisher, Journal, and an Authorship class to capture author position. All required domain concepts are covered, including the article type hierarchy and the authorship role class.
2. Associations/Multiplicities between classes for domain reasoning: Model 1 = 4, Model 2 = 3; Evidence: Model 1 correctly models Person "1"--&gt;ResearchInstitution worksFor / ResearchInstitution "*"--&gt;Person employs (an institution has many persons), TechnicalReport "1" publishedBy ResearchInstitution with "*" on the institution side, Publisher "*"--&gt;Journal / Journal "1"--&gt;Publisher, and PeerReviewedPaper "*"--&gt;Person reviewedBy (a paper can have multiple reviewers). Model 2 has two multiplicity errors: Person "1"--"1" ResearchInstitution "works for" implies each institution is associated with only one person (should be *), and Person "1"--"*" PeerReviewedPaper "reviews" implies each paper is reviewed by exactly one person (should allow multiple reviewers). Model 1's review multiplicity "*" allows zero reviewers, a minor weakness, hence 4 rather than 5.
3. Model attributes with appropriate data types: Model 1 = 5, Model 2 = 4; Evidence: Both model personId/personID, phoneNumber, institutionCode, DOI, title, citationCount, publisher name, journal name, impactFactor, and Authorship.position with appropriate primitive types (int, String, double/float). Model 1 models researchKeywords as List&lt;String&gt;, matching the plural "keywords" requirement; Model 2 uses String, which is less precise for a multi-valued keyword set.
4. Consistencies of Terminology with given context: Model 1 = 4, Model 2 = 5; Evidence: Model 2 uses requirement-aligned labels: "works for", "authors through", "reviews", "published by", "publishes", "subscribes to", "published in". Model 1 mostly aligns but substitutes "issues"/"issuedBy" for the publisher-journal relation where the requirement says publishers "publish" journals, and uses "features" rather than a publish-related term for journal-paper, a minor terminology drift.
5. Adherence of UML class diagram standards: Model 1 = 5, Model 2 = 5; Evidence: Both produce valid PlantUML class diagrams with correct generalization (ScientificArticle &lt;|-- PeerReviewedPaper / TechnicalReport), associations with multiplicities, and readable notation. Model 1 marks ScientificArticle abstract; Model 2 uses composition (Publisher *-- Journal); both are acceptable UML conventions and do not violate the standard.
Total: Model 1 = 23, Model 2 = 22
Choice: A
Reason:
1. Appropriate conceptual classes: Both models are equivalent — identical concept coverage including the article hierarchy and Authorship role class.
2. Associations/Multiplicities: This is the decisive difference. Model 2 incorrectly constrains Person--ResearchInstitution to "1" on the institution end (one person per institution) and Person--PeerReviewedPaper to "1" on the Person end (one reviewer per paper), both contradicting the domain ("researchers working at institutions", "who reviewed the paper" implying potentially multiple reviewers). Model 1 captures both relationships with correct * multiplicities on the many side.
3. Rejected or checked issues: I did not penalize Model 1 for using two opposite unidirectional associations (forbidden penalty), nor for its 'opposite' PlantUML comments, nor for double vs float, nor for abstract vs non-abstract ScientificArticle. I also did not reward Model 2's composition (Publisher *-- Journal) over Model 1's plain association, since the requirement does not mandate composition semantics.
4. Overall judgment: Model 1 is slightly better primarily due to correct domain multiplicities on the Person-Institution and reviewer relationships, where Model 2 introduces genuine semantic errors. Model 2's terminology alignment is marginally better and Model 1's keyword type is marginally better, but these roughly offset; the multiplicity correctness tips the balance to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</si>
  <si>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</si>
  <si>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Classes and attributes coverage: Model 1 = 5, Model 2 = 4; Evidence: Both define Person, Institution/ResearchInstitution, ScientificArticle, PeerReviewedPaper, TechnicalReport, Publisher, Journal, Authorship with required identifiers (personID, institutionCode, DOI, name) and attributes (phoneNumber, citationCount, impactFactor, position). Model 1 models keywords as `Set&lt;String&gt;` (matches plural "keywords"), while Model 2 uses a single `researchKeywords : String`, which is weaker for the plural research-topics requirement.
2. Article type hierarchy (generalisation): Model 1 = 5, Model 2 = 5; Evidence: Both use `ScientificArticle &lt;|-- PeerReviewedPaper` and `ScientificArticle &lt;|-- TechnicalReport`, correctly capturing "either a peer-reviewed paper or a technical report". Model 1 marks ScientificArticle abstract; per rules this is not rewarded/penalised.
3. Authorship and per-author position: Model 1 = 2, Model 2 = 5; Evidence: Requirement explicitly says "In the case of multiple authors, the position of each author is stored." Model 2 uses `Person "1" -- "*" Authorship` and `ScientificArticle "1" -- "*" Authorship` with a single `position` per Authorship — correctly stores one position per author. Model 1 uses `Authorship -- "1..*" Person : author` with `Authorship -- "1" ScientificArticle`, i.e., one Authorship record groups 1..* Persons for one article but has only a single `position : int`, so per-author position cannot be represented. This contradicts the hard requirement.
4. Reviews relationship (peer review): Model 1 = 5, Model 2 = 3; Evidence: Model 1 `Person "0..*" -- "0..*" PeerReviewedPaper : reviews` allows multiple reviewers per paper and multiple papers per reviewer. Model 2 `Person "1" -- "*" PeerReviewedPaper : reviews` restricts each paper to exactly one reviewer, which is too restrictive for peer review ("who reviewed the paper" / typical multi-reviewer process), though not a strict contradiction.
5. Person works-for Institution: Model 1 = 3, Model 2 = 3; Evidence: Requirement: "the institution he/she works for" — each person works for one institution; institution employs many. Both use `Person "1" -- "1" Institution/ResearchInstitution : works for/worksFor`, i.e., 1..1 on the Institution side (correct) but also 1 on the Person side, wrongly implying each institution has exactly one person. Same flaw in both.
6. TechnicalReport published by single institution: Model 1 = 5, Model 2 = 5; Evidence: Model 1 `Institution "1" -- "0..*" TechnicalReport : publishes`; Model 2 `TechnicalReport "*" -- "1" ResearchInstitution : published by`. Both correctly capture "a technical report is always published by a single research institution" and "institutions can publish multiple technical reports".
7. Publisher–Journal and Institution subscription: Model 1 = 5, Model 2 = 5; Evidence: Both model `Publisher "1" -- "*"/"0..*" Journal` (a publisher publishes multiple journals) and `Institution/ResearchInstitution "*" -- "*" Journal : subscribes/subscribesTo`. Model 2 uses composition (`*--`) for Publisher–Journal; acceptable since journal identity is publisher+name, and not penalised. Both store journal `name` and `impactFactor`.
8. Only peer-reviewed papers in journals: Model 1 = 5, Model 2 = 5; Evidence: Model 1 `Journal "1" -- "0..*" PeerReviewedPaper : publishesIn`; Model 2 `PeerReviewedPaper "*" -- "1" Journal : published in`. Both link only PeerReviewedPaper (not TechnicalReport) to Journal, satisfying "only peer-reviewed papers are published in journals, not technical reports."
Total: Model 1 = 35, Model 2 = 36
Choice: B
Reason:
1. Classes and attributes: Model 1 slightly stronger — `keywords : Set&lt;String&gt;` faithfully represents plural research-topic keywords; Model 2's single `researchKeywords : String` is less precise. Minor.
2. Authorship and per-author position: Decisive — Model 2 correctly models one `Authorship` per (Person, Article) with a single `position`, satisfying the explicit requirement "the position of each author is stored." Model 1's `Authorship -- "1..*" Person` groups multiple authors under one Authorship with a single `position`, which cannot store a distinct position per author. This is a contradiction of a hard requirement.
3. Reviews: Model 1 is better — `0..*`/`0..*` allows multiple reviewers per paper, while Model 2's `Person "1" -- "*"` restricts each paper to one reviewer. However, the requirement is less explicit here ("who reviewed the paper"), so this is a softer weakness than the authorship/position flaw.
4. Person–Institution, TechnicalReport–Institution, Publisher–Journal, subscriptions, and journal-only-for-PRP: essentially equivalent; both share the same wrong `1` on the institution side of works-for, and both correctly handle the other relationships.
3. Rejected/checked issues: Did not penalise Model 1 for `abstract` ScientificArticle vs Model 2 non-abstract (forbidden by rules); did not penalise Model 2's composition (`*--`) for Publisher–Journal; did not reward Model 1 for `Set&lt;String&gt;` beyond the keywords criterion; did not treat `int`/`double`/`float` or `*` vs `0..*` differences as defects.
4. Overall judgment: Model 2 is better. Although Model 1 is slightly stronger on the `keywords` attribute and on the reviews multiplicity, Model 2 correctly satisfies the explicit, hard requirement that each author's position be stored individually, whereas Model 1's authorship multiplicity (`1..*` Person with a single `position`) breaks that requirement. This domain-accuracy advantage outweighs Model 1's minor wins.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</si>
  <si>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</si>
  <si>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decompose Authorship as a separate class linking Person and ScientificArticle, keeping article/person classes focused. Model 2's Authorship links `Person "1" -- "*" Authorship` and `ScientificArticle "1" -- "*" Authorship`, cleanly one-author-per-record. Model 1's `Authorship -- "1..*" Person` and `Authorship -- "1" ScientificArticle` groups multiple persons under one Authorship, weakening the per-author position semantics. Model 2 uses composition `Publisher "1" *-- "*" Journal` (slightly tighter lifecycle coupling) vs Model 1's plain association; both acceptable. Person-Institution worksFor is `1--1` in both, an identical over-constraint (institution reduced to one person), so neither gains here.
2. Complexity: Model 1 = 4, Model 2 = 4; Evidence: Both use 8 classes (Person, Institution/ResearchInstitution, ScientificArticle, PeerReviewedPaper, TechnicalReport, Publisher, Journal, Authorship) with a 2-level inheritance tree (ScientificArticle&lt;|--PeerReviewedPaper/TechnicalReport). Complexity is balanced; neither over-fragments nouns into classes nor collapses distinct concepts. TechnicalReport is an empty subclass in both, justified by the article-type distinction.
3. Practicability: Model 1 = 4, Model 2 = 4; Evidence: Model 1 models `keywords : Set&lt;String&gt;` (multi-valued, faithful to "keywords") and `Person 0..* -- 0..* PeerReviewedPaper reviews` (allows multiple reviewers per paper, typical peer-review semantics); Model 2 uses `researchKeywords : String` (single-valued, weaker) and `Person "1" -- "*" PeerReviewedPaper reviews` (forces exactly one reviewer per paper — an unstated constraint). Model 2's Authorship (`Person 1--* Authorship`, `ScientificArticle 1--* Authorship`) is more readable than Model 1's grouped authorship. Both correctly restrict journal publication to PeerReviewedPaper (`Journal -- PeerReviewedPaper`), enforce `Institution 1 -- 0..* TechnicalReport`, and model `Institution 0..* -- 0..* Journal subscribesTo` and `Publisher 1 -- 0..* Journal`. Mutually offsetting strengths/weaknesses yield parity.
Total: Model 1 = 12, Model 2 = 12
Choice: C
Reason:
1. Cohesion and Decoupling: Comparable decomposition; Model 2 has cleaner Authorship navigability, Model 1 avoids composition coupling and uses a cleaner multi-valued keywords attribute. Net parity.
2. Complexity: Identical class count, inheritance depth, and granularity. Tie.
3. Rejected or checked issues: Did not penalize Model 1's `abstract ScientificArticle` vs Model 2's non-abstract (forbidden optional-abstractness rule); did not penalize `int`/`double`/`float`/`String` primitive aliases; did not reward/deduct for PlantUML comments or association direction style. The shared `Person 1 -- 1 Institution` multiplicity oddity affects both equally and is not a differentiator.
4. Overall judgment: Model 1 is stronger on keywords multiplicity and reviewer flexibility; Model 2 is stronger on Authorship association semantics. These domain-faithfulness tradeoffs offset, and both cover all required components (persons, institutions, articles with DOI/title/authors/position, peer-reviewed vs technical report, citation count, reviewers, tech-report publisher, publishers/journals/impact factor, subscriptions, peer-reviewed-only-in-journals). Meaningful quality difference is small, so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</si>
  <si>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</si>
  <si>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the same core classes: Person/ScientificArticle (with PeerReviewedPaper and TechnicalReport subclasses)/Publisher/Journal/Authorship. Model 1 uses `Institution` while Model 2 uses `ResearchInstitution`; both map to the requirement's "research institutions" and "institution code." Both introduce an `Authorship` class to carry the author `position`, which is appropriate. No required concept is missing in either.
2. Associations/Multiplicities between classes for domain reasoning: Model 1 = 4, Model 2 = 3; Evidence: Model 1 models review as `Person "0..*" -- "0..*" PeerReviewedPaper : reviews`, correctly allowing many reviewers per paper and many papers per reviewer; Model 2 uses `Person "1" -- "*" PeerReviewedPaper : reviews`, which forces exactly one reviewer per paper, contradicting "who reviewed the paper" (multiple reviewers possible). Both place `1` on the Person end of the Person–Institution works-for link (`Person "1" -- "1" Institution` / `Person "1" -- "1" ResearchInstitution`), incorrectly implying an institution employs only one person; this shared error is offset. Model 1's `Institution "1" -- "0..*" TechnicalReport : publishes`, `Journal "1" -- "0..*" PeerReviewedPaper : publishesIn`, and `Institution "0..*" -- "0..*" Journal : subscribesTo` are correct; Model 2's `TechnicalReport "*" -- "1" ResearchInstitution : published by`, `PeerReviewedPaper "*" -- "1" Journal : published in`, and `ResearchInstitution "*" -- "*" Journal : subscribes to` are also correct.
3. Model attributes with appropriate data types: Model 1 = 5, Model 2 = 4; Evidence: Both correctly type `personID:String`, `phoneNumber:String`, `DOI:String`, `title:String`, `citationCount:int`, `name:String`, `impactFactor:double/float`, and `position:int`. Model 1 models `keywords : Set&lt;String&gt;`, matching the plural "keywords that identify his/her ... research topics"; Model 2 models `researchKeywords : String`, which underrepresents the multi-valued keyword set.
4. Consistencies of Terminology with given context: Model 1 = 5, Model 2 = 5; Evidence: Model 1 uses `keywords`, `worksFor`, `publishes`, `subscribesTo`, `reviews`, all aligned with the requirement. Model 2 uses `researchKeywords` (vs. `keywords`), `works for`, `published by`, `subscribes to`, `published in`; all recognizable and domain-consistent. Minor naming shifts in Model 2 are not inconsistent enough to lower the score.
5. Adherence of UML class diagram standards: Model 1 = 5, Model 2 = 5; Evidence: Both use valid PlantUML class syntax, generalization (`&lt;|--`), associations with multiplicities and role labels. Model 1 marks `ScientificArticle` as `abstract`; Model 2 does not (not penalized per forbidden-penalty rule). Model 2 uses composition `*--` for Publisher–Journal, which is syntactically valid. Visibility markers and comments are ignored per the rules.
Total: Model 1 = 24, Model 2 = 22
Choice: A
Reason:
1. Appropriate conceptual classes: Both models are equivalent — identical class coverage including the Authorship association class, so no advantage here.
2. Associations/Multiplicities: This is the deciding factor. Model 1 correctly uses `0..*..0..*` for the Person–PeerReviewedPaper review relationship, while Model 2's `Person "1" -- "*"` constrains each paper to exactly one reviewer, contradicting the requirement that multiple reviewers can review a paper. Both share the same Person–Institution works-for multiplicity error, so it does not differentiate them.
3. Model attributes: Model 1's `keywords : Set&lt;String&gt;` better captures the multi-valued research keywords than Model 2's single `researchKeywords : String`.
4. Rejected or checked issues: I did not penalize Model 2 for not marking `ScientificArticle` abstract, nor for using composition (`*--`) on Publisher–Journal, nor for primitive-type aliases (`float` vs `double`, `int`), nor for line comments — all excluded by the forbidden-penalty rules. I also did not reward either model for extra identifiers/statuses (none added).
5. Overall judgment: Model 1 is better primarily due to the correct review multiplicity and a more accurate multi-valued keywords attribute; Model 2's single-reviewer constraint is a genuine domain reasoning error.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</si>
  <si>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</si>
  <si>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(no hallucinations/additions, all functionalities): Model 1 = 3, Model 2 = 5; Evidence: Model 1 has a wrong `Person "1" -- "1" Institution : worksFor` (implies one person per institution, contradicting "researchers working at institutions"). Model 1's `Authorship -- "1..*" Person` conflates multiple persons into one Authorship with a single `position`, which does not store "the position of each author" correctly. Model 2 uses `Authorship --&gt; "1" Person`, `Authorship --&gt; "1" ScientificArticle`, `ScientificArticle --&gt; "1..*" Authorship` correctly capturing per-author position and that every article has ≥1 author. All other functionalities (peer-review many-to-many, technical report published by single institution, publisher→journals, journal→peer-reviewed papers, institution subscribes to journals) are present in both with no extra hallucinated classes.
2. Conceptual classes and relationships representing essentials: Model 1 = 3, Model 2 = 5; Evidence: Both define Person, Institution/ResearchInstitution, ScientificArticle (abstract) with PeerReviewedPaper and TechnicalReport subclasses, Publisher, Journal, Authorship. Model 2 correctly reifies Authorship as a per-(person,article) link carrying `position`; Model 1's Authorship aggregates 1..* Persons with one `position`, misrepresenting the "position of each author" requirement.
3. Associations, cardinalities, and relationship types (inheritance/aggregation/composition): Model 1 = 3, Model 2 = 5; Evidence: Inheritance `ScientificArticle &lt;|-- PeerReviewedPaper/TechnicalReport` is correct in both. Cardinalities: Model 1 `Person "1" -- "1" Institution` is incorrect (should be many persons per institution); Model 1 `Authorship -- "1..*" Person` is semantically odd. Model 2 cardinalities are all correct: `Person --&gt; "1" ResearchInstitution`, `ResearchInstitution --&gt; "*" Person`, `ResearchInstitution --&gt; "*" TechnicalReport` / `TechnicalReport --&gt; "1" ResearchInstitution`, `Publisher --&gt; "*" Journal`, `ResearchInstitution "*" -- Journal subscribesTo`, `PeerReviewedPaper --&gt; "1" Journal`, `PeerReviewedPaper "*" -- Person reviews`. Neither uses composition/aggregation but the requirement only mentions associations, so this is acceptable.
4. Clarity in class names and optional inclusion of attributes: Model 1 = 5, Model 2 = 5; Evidence: Both use clear names (Institution vs ResearchInstitution are synonymous and acceptable) and include the required attributes: personID/personId, phoneNumber, keywords/researchKeywords, institutionCode, DOI/doi, title, citationCount, name (Publisher), name+impactFactor (Journal), position (Authorship). Keyword type as Set&lt;String&gt; vs List&lt;String&gt; is immaterial.
Total: Model 1 = 14, Model 2 = 20
Choice: B
Reason:
1. Alignment/no-hallucination: Model 2 correctly models all required multiplicities and the per-author position via a properly reified Authorship; Model 1 mis-states the worksFor cardinality (1–1) and aggregates multiple persons into one Authorship with a single position, breaking the "position of each author" requirement.
2. Associations/cardinalities: Model 2's cardinalities are all faithful to the requirement (one institution per person, many persons per institution, one publisher per journal, one institution per technical report, many-to-many review and subscription, peer-reviewed papers only in journals). Model 1 has at least one incorrect cardinality (Person–Institution 1–1) and a weak Authorship cardinality.
3. Rejected/checked issues: I did not penalize Model 1 for using bidirectional-style `--` vs Model 2's opposite unidirectional `--&gt;` pairs (forbidden penalty), for `int`/`double` primitive aliases, or for the single-quote PlantUML comments in Model 2. I also did not reward Model 2 merely for being more verbose; its extra directions are redundant but harmless, and the substantive win is in correct cardinalities and Authorship semantics.
4. Overall judgment: Model 2 is better because it accurately represents every required relationship and cardinality, especially the per-author position and the many-persons-per-institution constraint, whereas Model 1 contains a demonstrably wrong multiplicity and an Authorship structure that fails to store each author's position individually.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</si>
  <si>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</si>
  <si>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use a shared `Authorship` association class to decouple Person from ScientificArticle while preserving the `position` attribute, keeping Person and Article cohesive. Model 1 uses single bidirectional-free lines (e.g., `Person "1" -- "1" Institution : worksFor`, `Publisher "1" -- "0..*" Journal : publishes`), lowering visual coupling. Model 2 represents the same links with two opposite unidirectional associations per relationship (e.g., `Person --&gt; "1" ResearchInstitution` and `ResearchInstitution --&gt; "*" Person`), which is semantically equivalent per the forbidden-penalties rule and not penalized. Both place `citationCount` correctly on `PeerReviewedPaper` and leave `TechnicalReport` thin, preserving cohesion.
2. Complexity: Model 1 = 4, Model 2 = 4; Evidence: Both have 8 classes plus `Authorship` (9 total), identical inheritance depth of 2 (`ScientificArticle &lt;|-- PeerReviewedPaper/TechnicalReport`), and similar average method/attribute counts. Neither over-promotes nouns to classes; both correctly model `Authorship` as the only justified link class. Model 2 adds reverse-direction associations doubling the relation count, but per the forbidden-penalties rule this is treated as equivalent, so complexity is comparable. Neither adds unjustified classes.
3. Practicability: Model 1 = 4, Model 2 = 4; Evidence: Both cover all required facts: Person (personID, phoneNumber, keywords, works-for Institution), Article (DOI, title) with PeerReviewedPaper (citationCount, reviewer) vs TechnicalReport (single publishing Institution), Publisher (name) publishes Journal (name, impactFactor), Institutions subscribe to Journals, only PeerReviewedPaper published in Journal. Model 1 multiplicities are accurate: `Person "1" -- "1" Institution` (a person works for one institution), `Institution "1" -- "0..*" TechnicalReport` (always published by a single institution), `Journal "1" -- "0..*" PeerReviewedPaper`, `Institution "0..*" -- "0..*" Journal : subscribesTo`, `Publisher "1" -- "0..*" Journal`. Model 2 mirrors these multiplicities correctly (`PeerReviewedPaper --&gt; "1" Journal`, `TechnicalReport --&gt; "1" ResearchInstitution`, `Person --&gt; "1" ResearchInstitution`). Both omit explicit enforcement that a Person authors only via position (both use Authorship.position, acceptable). Both are readable and testable. Model 2's `Journal --&gt; "*" ResearchInstitution : subscribedBy` correctly allows many institutions; Model 1's `Institution "0..*" -- "0..*" Journal` is equivalent.
Domain accuracy check (covered under Practicability): The requirement says "A person can be an author of one article and a reviewer of another peer-reviewed article at the same time." Both model Person--reviews--PeerReviewedPaper (0..* / *) and Person--Authorship--Article, correctly allowing this. Both correctly enforce "a technical report is always published by a single research institution" via `TechnicalReport --&gt; "1" Institution`. Both enforce "only peer-reviewed papers are published in journals" by linking Journal only to PeerReviewedPaper, not TechnicalReport. Both correctly capture that publishers can share journal names (name is not a global key; publisher identifies the journal) via `Publisher "1" -- "0..*" Journal` with `name` on Journal.
Total: Model 1 = 12, Model 2 = 12
Choice: C
Reason:
1. Cohesion and Decoupling: Both use identical structural cohesion (Authorship link class, article hierarchy, attribute placement). Model 2's paired unidirectional associations are semantically equivalent to Model 1's single lines per the forbidden-penalties rule, so no advantage either way.
2. Complexity: Equal class counts, equal inheritance depth, equivalent attribute distribution. Neither introduces spurious classes.
3. Practicability: Both fully and accurately cover every requirement fact with correct multiplicities and constraints (single-institution technical reports, journal-only peer-reviewed papers, person single institution, subscription many-to-many, reviewer relationship). Readability and testability are comparable.
4. Rejected or checked issues: I did not penalize Model 2 for its opposite-direction association pairs, its `'opposite ...` PlantUML comments, lowercase `int`/`double`, or `doi`/`personId` casing, as all are forbidden-penalty exclusions. I did not reward Model 1 merely for being shorter, since the extra reverse associations in Model 2 carry no additional semantic load but also no semantic error.
4. Overall judgment: The two diagrams are semantically equivalent on every scored criterion. The meaningful quality difference is negligible,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</si>
  <si>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</si>
  <si>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all required classes: Person/Institution (Model 2 uses "ResearchInstitution", a synonym), ScientificArticle (abstract) with PeerReviewedPaper and TechnicalReport subclasses, Publisher, Journal, and an Authorship reified class for storing author position. All domain concepts covered.
2. Associations/Multiplicities between classes for domain reasoning: Model 1 = 3, Model 2 = 5; Evidence: Model 1 has two multiplicity errors: Person "1" -- "1" Institution worksFor (should be * persons to 1 institution; a1..1 on Person side is wrong) and Authorship -- "1..*" Person author (an Authorship should link exactly1 Person to1 Article with a position, not 1..* persons). Model 2 correctly models Person--&gt;1 ResearchInstitution with * on institution side, and Authorship--&gt;1 Person / Authorship--&gt;1 ScientificArticle with1..* authorships on the article side, plus correct TechnicalReport--&gt;1 institution, PeerReviewedPaper--&gt;1 Journal, Person&lt;--*&gt;PeerReviewedPaper reviews, and Institution--&gt;* Journal subscribesTo.
3. Model attributes with appropriate data types: Model 1 = 5, Model 2 = 5; Evidence: Both model personID/personId, phoneNumber, keywords (Set&lt;String&gt;/List&lt;String&gt;), institutionCode, DOI/doi, title, citationCount, publisher name, journal name, impactFactor, and Authorship.position with appropriate primitive/collection types.
4. Consistencies of Terminology with given context: Model 1 = 5, Model 2 = 4; Evidence: Model 1 uses "publishes" for both Publisher→Journal and Institution→TechnicalReport, matching requirement wording ("publish multiple journals"). Model 2 uses "issues"/"issuedBy" for Publisher→Journal, a minor deviation from the requirement's "publish" terminology; all other terms (worksFor, subscribesTo, reviewedBy, publishedIn) align well.
5. Adherence of UML class diagram standards: Model 1 = 5, Model 2 = 5; Evidence: Both use valid PlantUML syntax, abstract class declarations, generalization (&lt;|--), associations with multiplicities and role labels. Model 2's use of opposite-direction unidirectional pairs is semantically equivalent and not penalized.
Total: Model 1 = 23, Model 2 = 24
Choice: B
Reason:
1. Associations/Multiplicities: Model 2 is substantially more accurate. Model 1's Person-Institution "1".."1" worksFor incorrectly forces one person per institution, and its Authorship "1..*" Person link misrepresents the reified association (position should attach to a single author-article pair). Model 2 gets both right, giving it the deciding edge.
2. Terminology: Model 1 slightly edges Model 2 here by using "publishes" consistently per the requirement, but this is minor and does not outweigh the multiplicity errors.
3. Rejected/checked issues: Model 2's opposite-direction association pairs and single-quote 'opposite' comments were not penalized per forbidden-penalty rules. Model 2's "ResearchInstitution" naming was treated as a synonym, not an error.
4. Overall judgment: Model 2's correct multiplicities for the Person-Institution and Authorship relationships, which are central to the domain reasoning, make it the better model despite Model 1's marginally cleaner terminology.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</si>
  <si>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</si>
  <si>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&amp; attributes coverage: Model 1 = 5, Model 2 = 5; Evidence: Both define Person (personID, phoneNumber, researchKeywords), ResearchInstitution (institutionCode), ScientificArticle (DOI, title), PeerReviewedPaper (citationCount), TechnicalReport, Publisher (name), Journal (name, impactFactor), and Authorship (position). All required entities and attributes are present in both.
2. Associations &amp; cardinalities correctness: Model 1 = 3, Model 2 = 5; Evidence: Model 1 uses Person "1" -- "1" ResearchInstitution : works for, which incorrectly forces each institution to have exactly one person (should be 1..*). It also uses Person "1" -- "*" PeerReviewedPaper : reviews, putting "1" on the Person side, meaning each paper has exactly one reviewer — over-constrained vs. the requirement ("who reviewed the paper"). Model 2 uses Person --&gt; "1" ResearchInstitution / ResearchInstitution --&gt; "*" Person : employs (correct 1-to-many) and PeerReviewedPaper --&gt; "*" Person : reviewedBy / Person --&gt; "*" PeerReviewedPaper (correct many-to-many review). All other cardinalities (TechnicalReport *--1 ResearchInstitution, Publisher 1-* Journal, ResearchInstitution *-* Journal subscribes, PeerReviewedPaper *--1 Journal publishedIn, Authorship links) match in both.
3. Inheritance &amp; article type distinction: Model 1 = 5, Model 2 = 5; Evidence: Both model ScientificArticle &lt;|-- PeerReviewedPaper and ScientificArticle &lt;|-- TechnicalReport, capturing the two article types. Model 2 marks ScientificArticle abstract, which is permitted (optional abstractness, not rewarded/penalized).
4. Domain constraints (publisher-journal ownership, only peer-reviewed in journals): Model 1 = 5, Model 2 = 5; Evidence: Both attach Journal to Publisher with 1-to-many (Model 1 uses composition *--, Model 2 uses bidirectional association), correctly allowing the same journal name under different publishers since name is not globally unique. Both link only PeerReviewedPaper (not TechnicalReport) to Journal via publishedIn, satisfying "only peer-reviewed papers are published in journals."
Total: Model 1 = 18, Model 2 = 20
Choice: B
Reason:
1. Associations &amp; cardinalities: Model 1 has two genuine multiplicity errors — works-for is modeled as 1..1 on both ends (each institution has exactly one person), which contradicts the requirement that institutions employ scientific staff; and reviews places "1" on the Person side, forcing exactly one reviewer per paper, which over-constrains the unspecified "who reviewed the paper" relation. Model 2 correctly captures these as 1-to-many (works-for/employs) and many-to-many (reviews/reviewedBy).
2. Inheritance, publisher/journal, article-in-journal constraints: Both models are equivalent and correct; no meaningful difference here.
3. Rejected or checked issues: I did NOT penalize Model 2 for using pairs of opposite unidirectional associations instead of single bidirectional lines (forbidden penalty #1), nor for PlantUML single-quote comments (forbidden #2), nor for marking ScientificArticle abstract (optional abstractness). I also did not reward Model 2 for extra reverse-direction associations or for using List&lt;String&gt; vs. String for keywords.
4. Overall judgment: Model 2 is better because it represents the Person–ResearchInstitution and Person–PeerReviewedPaper(review) multiplicities correctly, whereas Model 1 introduces two multiplicity constraints that contradict or over-restrict the requirement. All other aspects are essentially tied.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</si>
  <si>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</si>
  <si>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use an Authorship association class to decouple Person–ScientificArticle (M1: `Person "1" -- "*" Authorship` + `ScientificArticle "1" -- "*" Authorship`; M2: `Authorship --&gt; "1" Person` + `Authorship --&gt; "1" ScientificArticle`), keeping author position localized. M1 over-constrains Publisher–Journal via composition (`Publisher "1" *-- "*" Journal : publishes`), implying journals cannot outlive their publisher, which is not stated in the requirement and tightens coupling. M2 uses plain association (`Publisher --&gt; "*" Journal : issues` / `Journal --&gt; "1" Publisher : issuedBy`), which is looser and more faithful. M2's opposite-direction pairs are treated as equivalent to bidirectional lines per the rules, so no penalty. Net: roughly even, M2 marginally cleaner on the publisher relation.
2. Complexity: Model 1 = 5, Model 2 = 5; Evidence: Both models have identical class counts (Person, ResearchInstitution, ScientificArticle, PeerReviewedPaper, TechnicalReport, Publisher, Journal, Authorship = 8 classes) and identical inheritance depth (ScientificArticle &lt;|-- PeerReviewedPaper / TechnicalReport, depth 2). Neither over-fragments the domain into unnecessary classes; TechnicalReport is correctly left attribute-less in both. Authorship is a justified intermediate concept for the ordered author list, not spurious complexity. Complexity is well balanced and aligned with the requirement in both.
3. Practicability: Model 1 = 4, Model 2 = 5; Evidence: Both are readable and cover all required facts (person attributes, institution code, DOI/title, citationCount, reviewer, technical-report publisher, publisher name, journal name+impactFactor, subscription, peer-reviewed-in-journal-only). M2 is more semantically precise: `ScientificArticle --&gt; "1..*" Authorship` enforces that every article has at least one author, matching the real-world constraint that an article has authors; M1's `ScientificArticle "1" -- "*" Authorship` permits zero authorships. M2 also labels the Person↔PeerReviewedPaper review link explicitly (`PeerReviewedPaper --&gt; "*" Person : reviewedBy`), reinforcing "who reviewed the paper", while M1's `Person "1" -- "*" PeerReviewedPaper : reviews` is adequate but less explicit. Both correctly allow a person to be author of one article and reviewer of another peer-reviewed paper simultaneously (separate Authorship vs reviews associations). M2's explicit role names and tightened multiplicity slightly improve traceability for implementation and testing.
Total: Model 1 = 13, Model 2 = 14
Choice: B
Reason:
1. Cohesion and Decoupling: Comparable; both localize author-position logic in an Authorship class. M2 avoids the unstated composition constraint on Publisher–Journal that M1 introduces, giving it a small decoupling edge, though M1's undirected associations are otherwise clean.
2. Complexity: Identical class counts, inheritance depth, and abstraction choices — a true tie. Neither turns nouns like "position" or "citation" into spurious classes.
3. Practicability: Both fully cover the requirement, but M2 captures the "at least one author per article" constraint via `1..*` and uses clearer role labels on the review and publication links, improving precision for coding and testing without adding noise.
Rejected or checked issues: (a) M2's bidirectional opposite-direction associations and `'opposite` comments were NOT penalized per the forbidden-penalties rules. (b) M2's `abstract` marker on ScientificArticle was not rewarded or penalized (optional abstractness). (c) M2's `List&lt;String&gt;` vs M1's `String` for researchKeywords was treated as equivalent typing detail, not scored. (d) M1's `int`/`float` and M2's `int`/`double` primitives were not penalized (primitive-type aliases allowed). These did not drive the decision.
4. Overall judgment: The two diagrams are structurally near-identical and both faithfully model the domain. M2 wins by a small but meaningful margin: it avoids M1's unstated composition assumption on Journal and encodes the stronger, correct multiplicity that every scientific article has at least one author. Per the "small difference → Tie" guidance this is close, but the two concrete semantic advantages (no composition over-constraint; `1..*` authorship) tip the balance to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</si>
  <si>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</si>
  <si>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same core classes: Person, ResearchInstitution, ScientificArticle (abstract base), PeerReviewedPaper, TechnicalReport, Publisher, Journal, and Authorship (as an association class capturing author position). All domain concepts from the requirement are covered in both.
2. Associations/Multiplicities between classes for domain reasoning: Model 1 = 3, Model 2 = 5; Evidence: Model 1 has a critical error: `Person "1" -- "1" ResearchInstitution : works for` implies one institution employs only one person, contradicting the requirement that researchers work at institutions. Model 2 correctly models this bidirectionally as `Person --&gt; "1" ResearchInstitution : worksFor` and `ResearchInstitution --&gt; "*" Person : employs`. Both correctly model TechnicalReport "*" -- "1" ResearchInstitution, Publisher 1-* Journal, ResearchInstitution *-* Journal subscribes, PeerReviewedPaper *-1 Journal published in, Person 1-* PeerReviewedPaper reviews, and Authorship multiplicities. Model 2 also adds `ScientificArticle --&gt; "1..*" Authorship`, capturing "at least one author" semantics. Model 1's only flaw is the Person-Institution multiplicity.
3. Model attributes with appropriate data types: Model 1 = 5, Model 2 = 5; Evidence: Both model personID/personId:String, phoneNumber:String, researchKeywords (Model 1:String, Model 2:List&lt;String&gt;), institutionCode:String, DOI/doi:String, title:String, citationCount:int, name:String (Publisher, Journal), impactFactor (Model 1:float, Model 2:double), position:int. All required attributes present with appropriate types; Model 2's List&lt;String&gt; for keywords is marginally more precise but both are acceptable.
4. Consistencies of Terminology with given context: Model 1 = 5, Model 2 = 5; Evidence: Model 1 uses "works for", "reviews", "published by", "publishes", "subscribes to", "published in", "authors through" — all aligned with requirement terms. Model 2 uses "worksFor", "publishes", "publishedBy", "subscribesTo", "reviews", "publishedIn" — also aligned; "issues/issuedBy" for Publisher-Journal is a direct synonym of "publish" and remains recognizable.
5. Adherence of UML class diagram standards: Model 1 = 5, Model 2 = 5; Evidence: Both use valid PlantUML class diagram syntax: classes with attributes, generalization (`&lt;|--`), associations with multiplicities and role labels. Model 1 uses composition (`*--`) for Publisher-Journal; Model 2 marks ScientificArticle as `abstract` and uses paired unidirectional associations (semantically equivalent per evaluation rules). Both diagrams are comprehensible and standards-compliant.
Total: Model 1 = 23, Model 2 = 25
Choice: B
Reason:
1. Appropriate conceptual classes aligned with the domain: Both models contain identical and complete class sets covering all domain entities (Person, ResearchInstitution, ScientificArticle with PeerReviewedPaper/TechnicalReport subclasses, Publisher, Journal, Authorship). Tie.
2. Associations/Multiplicities between classes for domain reasoning: This is the decisive difference. Model 1's `Person "1" -- "1" ResearchInstitution` is a domain contradiction — it asserts each institution employs exactly one person, whereas the requirement describes multiple researchers working at institutions. Model 2 correctly captures the 1-to-many employment relationship on both sides (`Person --&gt; "1"` and `ResearchInstitution --&gt; "*"`). Model 2 also enriches the authorship multiplicity with `1..*` indicating each article has at least one author.
3. Rejected or checked issues: Did not penalize Model 2 for "issues/issuedBy" vs "publishes" (synonym, requirement uses "e.g." style examples); did not penalize either model for float vs double or int vs Integer (forbidden primitive-type penalty); did not penalize Model 2's paired unidirectional associations vs Model 1's bidirectional lines (forbidden association-style penalty); did not penalize Model 2's line comments (`'opposite`) (forbidden comment penalty); did not reward Model 2's `abstract` marker on ScientificArticle (forbidden abstractness penalty).
4. Overall judgment: Model 2 is better solely because of correct Person-ResearchInstitution multiplicity, where Model 1 explicitly contradicts the domain. All other criteria are essentially tied. The difference is meaningful (a hard multiplicity error vs correct bidirectional modeling), so Model 2 wins.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</si>
  <si>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</si>
  <si>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Classes &amp; attributes completeness: Model 1 = 5, Model 2 = 5; Evidence: Both define Person (personID, phoneNumber, keywords), Institution (institutionCode), ScientificArticle (DOI, title), PeerReviewedPaper (citationCount), TechnicalReport, Publisher (name), Journal (name, impactFactor), Authorship (position). All required attributes present in both.
2. Inheritance (ScientificArticle → PeerReviewedPaper / TechnicalReport): Model 1 = 5, Model 2 = 5; Evidence: Both use `ScientificArticle &lt;|-- PeerReviewedPaper` and `ScientificArticle &lt;|-- TechnicalReport`. Model 2 marks ScientificArticle abstract; per forbidden-penalty rule this is not rewarded or penalised.
3. Person–Institution works-for multiplicity: Model 1 = 3, Model 2 = 3; Evidence: Model 1 `Person "1" -- "1" ResearchInstitution`; Model 2 `Person "1" -- "1" Institution`. Both correctly give 1 institution per person but wrongly put "1" on the Person end (an institution employs many researchers), so both share the same multiplicity error.
4. Authorship / author-position modelling &amp; multiplicity: Model 1 = 5, Model 2 = 2; Evidence: Model 1 `Person "1" -- "*" Authorship` and `ScientificArticle "1" -- "*" Authorship` — each Authorship links to exactly 1 Person and 1 Article, with position stored per Authorship, correctly supporting multiple authors with distinct positions. Model 2 `Authorship -- "1..*" Person : author` places "1..*" on the Person end, meaning one Authorship involves 1..* Persons sharing a single position — this cannot represent different positions for different authors of the same article; it also omits the multiplicity on the Authorship end of `Authorship -- "1" ScientificArticle`, failing to express that an article has multiple authorships.
5. Reviewer relationship &amp; multiplicity: Model 1 = 4, Model 2 = 4; Evidence: Model 1 `Person "1" -- "*" PeerReviewedPaper : reviews` forces exactly 1 reviewer per paper (plausible but restrictive). Model 2 `Person "0..*" -- "0..*" PeerReviewedPaper : reviews` allows multiple reviewers (realistic) but also permits 0 reviewers for a peer-reviewed paper (invalid lower bound). Neither is the ideal "1..*"; both deviate, so roughly equal.
6. TechnicalReport–Institution publish multiplicity: Model 1 = 5, Model 2 = 5; Evidence: Model 1 `TechnicalReport "*" -- "1" ResearchInstitution : published by`; Model 2 `Institution "1" -- "0..*" TechnicalReport : publishes`. Both correctly give exactly 1 institution per report and many reports per institution (0..* ≡ *).
7. Publisher–Journal publish multiplicity: Model 1 = 5, Model 2 = 5; Evidence: Model 1 `Publisher "1" *-- "*" Journal` (composition); Model 2 `Publisher "1" -- "0..*" Journal`. Both give 1 publisher to many journals with correct multiplicity; composition vs plain association is not penalised here.
8. Journal–Institution subscribe (many-to-many): Model 1 = 5, Model 2 = 5; Evidence: Model 1 `ResearchInstitution "*" -- "*" Journal : subscribes to`; Model 2 `Institution "0..*" -- "0..*" Journal : subscribesTo`. Both correctly model many-to-many subscription (* ≡ 0..*).
9. PeerReviewedPaper–Journal publish-in &amp; "only peer-reviewed in journals" constraint: Model 1 = 5, Model 2 = 5; Evidence: Model 1 `PeerReviewedPaper "*" -- "1" Journal : published in`; Model 2 `Journal "1" -- "0..*" PeerReviewedPaper : publishesIn`. Both attach the journal link only to PeerReviewedPaper (not to ScientificArticle/TechnicalReport), correctly enforcing that technical reports are not published in journals.
10. Identifiers (personID, institutionCode, DOI, publisher name): Model 1 = 5, Model 2 = 5; Evidence: Both include personID, institutionCode, DOI, and Publisher.name as identifying attributes.
Total: Model 1 = 47, Model 2 = 44
Choice: A
Reason:
1. Classes &amp; attributes completeness: Both models cover all required classes and attributes equally; no difference.
2. Inheritance: Both correctly model the two specialisations of ScientificArticle; no difference.
3. Person–Institution multiplicity: Both share the same flaw of placing "1" on the Person end instead of "*", so this criterion cancels out.
4. Authorship / author-position modelling: This is the decisive difference. Model 1's `Person "1" -- "*" Authorship` and `ScientificArticle "1" -- "*" Authorship` correctly yields one Authorship per (person, article) pair, letting each author carry an individual position. Model 2's `Authorship -- "1..*" Person` ties multiple Persons to a single Authorship with one position, which cannot represent distinct positions for multiple authors of the same article — a genuine semantic error against the requirement "the position of each author is stored".
5. Reviewer multiplicity: Both deviate from the ideal "1..*" (Model 1 too restrictive at exactly 1, Model 2 too permissive at 0..*); roughly balanced and not decisive.
6. TechnicalReport–Institution, 7. Publisher–Journal, 8. Journal–Institution subscription, 9. PeerReviewedPaper–Journal, 10. Identifiers: All modelled equivalently and correctly in both.
3. Rejected or checked issues: I did not penalise Model 1 for using composition (`*--`) on Publisher–Journal, nor Model 2 for marking ScientificArticle abstract, per the forbidden-penalty rules; I did not treat `int`/`float`/`double` or `*` vs `0..*` differences as negative evidence; I did not let the shared Person–Institution multiplicity error favour either side.
4. Overall judgment: Model 1 is better because it correctly models the author–position association (one Authorship per author with a position and correct multiplicities on both Person and Article ends), whereas Model 2's authorship multiplicities are semantically wrong and break the per-author position storage required by the specification. All other criteria are essentially equal, so the authorship criterion decides in favour of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</si>
  <si>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</si>
  <si>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use an `Authorship` junction class carrying `position` to decouple Person from ScientificArticle (M1: `Person "1" -- "*" Authorship`, `ScientificArticle "1" -- "*" Authorship`; M2: `Authorship -- "1..*" Person`, `Authorship -- "1" ScientificArticle`). Each class has a single dedicated concept (Person, Institution, Publisher, Journal, article subtypes). M1's `Authorship` is cleanly 1:1 with a person, keeping `position` semantics precise; M2's `Authorship -- "1..*" Person` slightly muddies whether `position` belongs to one author or a group, weakening cohesion. M2 uses `Set&lt;String&gt; keywords` (more cohesive multi-value) vs M1's flat `String researchKeywords`. These minor trade-offs balance out.
2. Complexity: Model 1 = 4, Model 2 = 4; Evidence: Identical class counts (8: Person, Institution, ScientificArticle, PeerReviewedPaper, TechnicalReport, Publisher, Journal, Authorship); identical inheritance depth (ScientificArticle&lt;|--PeerReviewedPaper / TechnicalReport, depth 2); no spurious concept classes introduced from nouns. Both distinguish attributes (DOI, title, citationCount, impactFactor, position) from classes appropriately. M2 marks ScientificArticle `abstract` and M1 does not — per forbidden rules, not scored. Complexity is balanced and aligned with the requirement in both.
3. Practicability: Model 1 = 3, Model 2 = 4; Evidence: For the reviewer relation, M1 writes `Person "1" -- "*" PeerReviewedPaper : reviews`, which forces every Person to review ≥1 paper and each PeerReviewedPaper to have exactly 1 reviewer — contradicting the requirement that reviewing is a parallel/optional role ("a person can be an author of one article and a reviewer of another peer-reviewed article at the same time"). M2 writes `Person "0..*" -- "0..*" PeerReviewedPaper : reviews`, correctly allowing optional and multiple reviewers. M2 also uses `0..*` for `Institution -- TechnicalReport`, `Publisher -- Journal`, and `Institution -- Journal`, matching "can publish/subscribe" semantics. Both share the same weakness: `Person "1" -- "1" Institution : worksFor` should be `* -- 1` (institutions employ many persons). M2's reviewer accuracy is the meaningful practicable edge; M1's cleaner Authorship positioning partially offsets but does not fully compensate.
Total: Model 1 = 11, Model 2 = 12
Choice: B
Reason:
1. Cohesion and Decoupling: Essentially tied — both employ the same `Authorship` junction and well-focused classes; M1 has a slightly cleaner person-to-authorship link, M2 has a slightly richer `keywords` type.
2. Complexity: Tied — identical class count, inheritance depth, and attribute granularity; neither over- nor under-models.
3. Practicability: Model 2 wins on domain-faithful multiplicities, chiefly the reviewer association (`0..* -- 0..*` vs M1's forced `1 -- *`), plus consistent use of `0..*` for "can" relationships.
4. Rejected/checked issues: Did NOT penalize M1 for using `*` instead of `0..*` (equivalent per rules), for not marking ScientificArticle abstract, for `int`/`float`/`double` primitive spellings, or for composition (`*--`) vs plain association on Publisher–Journal. Did NOT reward M2 merely for `abstract` or `Set&lt;String&gt;`. The shared `Person "1"--"1" Institution` weakness was treated equally.
5. Overall judgment: The only substantive quality gap is the reviewer multiplicity, where M2 correctly captures optional/multi-reviewer semantics and M1 over-constrains the domain. This single meaningful difference favors Model 2; otherwise the models are closely matched.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</si>
  <si>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</si>
  <si>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the same core classes — Person, ResearchInstitution/Institution, ScientificArticle, PeerReviewedPaper, TechnicalReport, Publisher, Journal, and an Authorship association class. All required domain concepts (persons, institutions, articles of two subtypes, publishers, journals) are covered.
2. Associations/Multiplicities between classes for domain reasoning: Model 1 = 4, Model 2 = 4; Evidence: Model 1 correctly models Authorship as Person "1" -- "*" Authorship and ScientificArticle "1" -- "*" Authorship (one person per authorship with position), but models Person "1" -- "*" PeerReviewedPaper : reviews, implying exactly one reviewer per paper, which is questionable. Model 2 models reviews as Person "0..*" -- "0..*" PeerReviewedPaper (more permissive/correct), but its Authorship -- "1..*" Person : author multiplicity is incorrect, since an authorship (with a singular position) should relate to exactly one Person, not 1..*. Both have one noticeable multiplicity weakness offsetting each other. Technical-report publishing (single institution), publisher-journal, journal-subscription, and peer-reviewed-paper-in-journal are correctly modeled in both.
3. Model attributes with appropriate data types: Model 1 = 4, Model 2 = 5; Evidence: Both model personID, phoneNumber, DOI, title, name, citationCount, impactFactor, position with appropriate primitive types. Model 1 uses researchKeywords : String, which inadequately represents the requirement's plural "keywords" research topics. Model 2 uses keywords : Set&lt;String&gt;, which better captures the multiplicity of research-topic keywords.
4. Consistencies of Terminology with given context: Model 1 = 5, Model 2 = 5; Evidence: Model 1 uses "ResearchInstitution" and "researchKeywords" closely matching the requirement wording; Model 2 uses "Institution" and "keywords", which are acceptable recognisable shorthands. Terminology in both aligns with the context.
5. Adherence of UML class diagram standards: Model 1 = 5, Model 2 = 5; Evidence: Both use valid PlantUML class syntax, generalisation (&lt;|--) for the article subtypes, associations with multiplicities and role labels. Model 2 marks ScientificArticle as abstract, which is an allowed optional choice and not penalized.
Total: Model 1 = 23, Model 2 = 24
Choice: C
Reason:
1. Appropriate conceptual classes: Both models are equivalent — identical class coverage of the domain; tie.
2. Associations/Multiplicities: Each model has one meaningful multiplicity weakness — Model 1's review association forces a single reviewer per paper (Person "1" -- "*" PeerReviewedPaper), while Model 2's Authorship -- "1..*" Person incorrectly allows multiple persons per single-position authorship. These errors are of comparable severity, so this criterion is effectively tied.
3. Model attributes: Model 2 has a slight edge because keywords : Set&lt;String&gt; better reflects the requirement's plural research-topic keywords than Model 1's researchKeywords : String.
4. Terminology: Both consistent with context; tie.
5. UML standards: Both fully adhere to UML/PlantUML conventions; tie.
6. Rejected/checked issues: I did not penalize Model 2 for marking ScientificArticle abstract (optional abstractness rule), nor Model 1 for using float instead of double (equivalent primitive-type aliases). I did not reward composition (Model 1's Publisher *-- Journal) over plain association (Model 2) since the requirement does not mandate ownership semantics.
7. Overall judgment: The one-point total difference (Model 2's better keywords typing vs Model 1's more correct authorship multiplicity) is small and the weaknesses offset each other, so the meaningful quality difference is negligible. Per the tie guidance, the result is a tie.
```</t>
  </si>
  <si>
    <t>Cruise</t>
  </si>
  <si>
    <t>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</si>
  <si>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</si>
  <si>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Classes &amp; attributes coverage: Model 1 = 5, Model 2 = 5; Evidence: Both include all required classes (Provider, Cruise, Employee, Guest, Ship, TravelAgency, Booking, DestinationArea, Show, Ticket) with the required attributes. Provider{name,location}, Cruise{number,name,startDate,endDate}, Employee{name,socialSecurityNumber}, Guest{name,VIP-flag}, Ship{name,numberOfDecks,length,passenger-count}, TravelAgency{name,address}, Booking{bookingNumber,bookingDate}, DestinationArea{name,seaName}, Show{title,duration}. Ship: Model 1 "numberOfPassengers" matches requirement wording "number of passengers"; Model 2 "passengerCapacity" is a recognizable synonym (allowed). Both add a ticket identifier (ticketNumber/ticketId) not strictly in the requirement — a minor symmetric addition, not credited.
2. Associations &amp; cardinalities: Model 1 = 4, Model 2 = 4; Evidence: Provider-Cruise both correct (Cruise *→Provider 1). Employee-Cruise: Model 1 "Cruise --&gt; 1..* Employee" faithfully captures "requires many employees"; Model 2 "Cruise * -- * Employee" allows zero employees, under-constrained. Guest-Cruise both *--* correct. Ship-Cruise both Cruise *→Ship 1 correct. Booking-Cruise and Booking-TravelAgency both correct. DestinationArea-Cruise both Cruise *→DestinationArea 1 correct. Ticket-Cruise both Ticket *→Cruise 1 correct; Ticket-Guest both Ticket *→Guest 1 correct. Show-Cruise: Model 1 "* -- *" (show may span multiple cruises); Model 2 "Cruise 1 -- * Show" (shows exclusive to one cruise) aligns more closely with "on a cruise, guests are offered several shows". Employee edge favors Model 1; Show edge favors Model 2 — they balance. Both models add a Booking-Guest link not strictly stated ("bookedBy") symmetrically, so neither is penalized.
3. Relationship types &amp; semantics: Model 1 = 4, Model 2 = 4; Evidence: Requirement does not mandate inheritance/aggregation/composition; both use plain associations throughout, which is acceptable. No invalid notation. Model 1 expresses bidirectionality via opposite unidirectional arrows with 'opposite comments — semantically equivalent and not penalized per rules. No aggregation/composition required, so neither is credited or faulted.
Total: Model 1 = 13, Model 2 = 13
Choice: C
Reason:
1. Classes &amp; attributes: Both models are essentially complete and faithful; synonyms (passengerCapacity vs numberOfPassengers, ticketId vs ticketNumber, int/boolean/double vs Integer/Boolean/Duration) are acceptable per forbidden-penalty rules, so no meaningful difference.
2. Associations &amp; cardinalities: The one substantive divergence is Employee-Cruise — Model 1's 1..* correctly enforces "requires many employees" whereas Model 2's * permits zero, a mild under-constraint favoring Model 1. This is offset by Show-Cruise, where Model 2's Cruise 1--* Show better matches "on a cruise ... several shows" while Model 1's *--* adds an unstated possibility of a show spanning cruises. These two differences are minor and counterbalance.
3. Rejected/checked issues: I did not penalize Model 1 for using two opposite unidirectional associations instead of one bidirectional line, nor for 'opposite single-quote comments — both are forbidden penalties. I did not reward either model for the extra ticket identifier or the Booking-Guest "bookedBy" link, since these are symmetric additions not grounded in the requirement. I did not fault Model 2's Duration/double aliases or Model 1's lowercase primitive types.
4. Overall judgment: Both diagrams cover all required entities, attributes, and associations with correct multiplicities in nearly all cases; their divergences (Employee lower-bound, Show exclusivity) are small and mutually offsetting. With equal total scores and only minor, balancing differences, the appropriate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</si>
  <si>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</si>
  <si>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use 10 well-scoped classes each dedicated to one concept (Provider, Cruise, Employee, Guest, Ship, TravelAgency, Booking, DestinationArea, Show, Ticket). Coupling is comparable: Model 1 expresses relations as pairs of opposite unidirectional associations (e.g., `Cruise --&gt; "1" Provider` / `Provider --&gt; "*" Cruise`) while Model 2 uses single bidirectional lines (e.g., `Cruise "1" -- "1" Provider`); these are semantically equivalent and must not be distinguished. No class mixes unrelated responsibilities in either model.
2. Complexity: Model 1 = 4, Model 2 = 4; Evidence: Both have 10 classes, no inheritance tree (depth 0), and only attributes (no methods). Nouns are correctly mapped to classes (e.g., Booking, DestinationArea, Show are classes, not folded into Cruise). Model 1 adds a `ticketNumber` attribute and Model 2 a `ticketId`; both are reasonable identifiers, neither inflates complexity. Complexity is balanced and aligned with the requirement in both.
3. Practicability: Model 1 = 5, Model 2 = 4; Evidence: Model 1 captures all required multiplicities correctly: `Cruise --&gt; "1" Provider` with `Provider --&gt; "*" Cruise` (a specific provider organizes a cruise, a provider organizes many cruises); `Cruise --&gt; "1..*" Employee` (cruise requires many employees); `Cruise --&gt; "*" Guest` / `Guest --&gt; "*" Cruise` (M:N participation); `Cruise --&gt; "1" Ship` / `Ship --&gt; "*" Cruise` (a ship used for different cruises); `Ticket --&gt; "1" Cruise` / `Cruise --&gt; "*" Ticket` (ticket belongs to exactly one cruise, many tickets per cruise); `Ticket --&gt; "1" Guest` / `Guest --&gt; "*" Ticket` (guest any number of tickets). Model 2 matches most of these (Ship `*`--`1`, DestinationArea `*`--`1`, Show `1`--`*`, Ticket `*`--`1` Cruise, Ticket `*`--`1` Guest), but models `Cruise "1" -- "1" Provider : organizedBy` as a strict 1:1, which over-constrains the relation: it implies each Provider organizes exactly one Cruise, contradicting the natural reading that a provider (a named entity with name and location) organizes multiple cruises. The requirement only states "A cruise is organized by a specific provider" (cruise→provider = 1), not provider→cruise = 1; explicitly modelling the opposite is an invalid multiplicity. Neither model encodes the OCL-style constraint "only one ticket per cruise", so this is a shared omission, not a differentiator. `passengerCapacity` (Model 2) vs `numberOfPassengers` (Model 1) is synonymous and not penalized.
Total: Model 1 = 13, Model 2 = 12
Choice: A
Reason:
1. Cohesion and Decoupling: Equivalent — same class decomposition, same coupling profile; the bidirectional-vs-opposite-unidirectional style difference is forbidden as a scoring factor.
2. Complexity: Equivalent — identical class count, no inheritance, attribute-only designs, both avoid over-classification.
3. Practicability: Model 1 is more domain-faithful. Its `Provider --&gt; "*" Cruise` correctly lets a provider organize many cruises, whereas Model 2's `Cruise "1" -- "1" Provider` forces a 1:1 that the requirement does not support and that contradicts the real-world role of a provider. All other multiplicities align; the shared missing "one ticket per cruise" constraint cancels out.
4. Rejected/checked issues: I did not penalize Model 1 for its `'opposite ...` comments, for `int`/`boolean`/`double` primitive spellings, or for using opposite-direction associations instead of bidirectional lines (all forbidden). I did not reward Model 1 merely for having more role labels (presentation only). I did not penalize Model 2 for `passengerCapacity` naming or `String`-typed `number`/`bookingNumber`. The decisive factor is solely the invalid 1:1 Cruise–Provider multiplicity in Model 2.
5. Overall judgment: Model 1 is better because it preserves the correct business multiplicity on the Provider–Cruise relationship while matching Model 2 on every other criterion; Model 2's over-constrained 1:1 is a concrete domain-faithfulness defect under Practicability.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</si>
  <si>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</si>
  <si>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define the same complete set of classes — Provider, Cruise, Employee, Guest, Ship, TravelAgency, Booking, DestinationArea, Show, Ticket — all matching the domain concepts in the requirement. No missing or extra irrelevant classes in either.
2. Associations/Multiplicities between classes for domain reasoning: Model 1 = 4, Model 2 = 3; Evidence: Model 1 correctly models Cruise "*"--&gt;Provider "1" (one provider organizes many cruises) and Cruise "*"--&gt;Ship "1" (a ship serves many cruises), plus all M:N guest/cruise and employee/cruise relations. Model 2 incorrectly states Cruise "1"--"1" Provider organizedBy, which forces each Provider to organize exactly one cruise — contradicting "A cruise is organized by a specific provider" (provider should have many cruises). Both models omit the "only one ticket per cruise" constraint, but Model 1's remaining multiplicities are accurate, while Model 2's Provider multiplicity is a real contradiction.
3. Model attributes with appropriate data types: Model 1 = 5, Model 2 = 4; Evidence: Model 1 uses numberOfPassengers: int and duration: double, faithfully matching "the number of passengers are known" and "a certain duration". Model 2 renames numberOfPassengers to passengerCapacity: Integer — a semantic shift from "number of passengers" to "capacity", a minor misalignment. Both add a ticket identifier (ticketNumber / ticketId) not required but harmless. Other attributes (name, socialSecurityNumber, isVip/isVIP, bookingNumber, seaName) align well in both.
4. Consistencies of Terminology with given context: Model 1 = 5, Model 2 = 4; Evidence: Model 1 mirrors requirement wording: "organizedBy", "headsFor", "offers", "hosts", "isVip", "numberOfPassengers". Model 2 generally matches but uses "passengerCapacity" instead of the stated "number of passengers", and "isVIP" (acceptable) — the passengerCapacity rename is the main terminology inconsistency.
5. Adherence of UML class diagram standards: Model 1 = 5, Model 2 = 5; Evidence: Both use valid PlantUML class syntax with proper class blocks, attributes with types, and association lines with multiplicities and role labels. Model 1 uses paired unidirectional associations (semantically equivalent to bidirectional per guidelines); Model 2 uses bidirectional lines. Both are standards-compliant and readable.
Total: Model 1 = 24, Model 2 = 21
Choice: A
Reason:
1. Associations/Multiplicities: Model 1 correctly captures Provider organizing many cruises (Cruise "*"--&gt;Provider "1"), whereas Model 2's Cruise "1"--"1" Provider is a genuine multiplicity error that contradicts the requirement. This is the decisive difference.
2. Attributes/Terminology: Model 1 preserves the exact "numberOfPassengers" term; Model 2 shifts to "passengerCapacity", a minor but real deviation in both attribute naming and domain terminology.
3. Rejected or checked issues: I did not penalize Model 1 for using paired opposite unidirectional associations (forbidden penalty #1), for int/boolean/double spellings (forbidden penalty #3), or for the missing "one ticket per cruise" constraint (both models omit it equally, and neither explicitly contradicts it). I also did not reward the extra ticket identifier in either model since the requirement does not ask for ticket attributes.
4. Overall judgment: Model 1 is more faithful to the requirement's multiplicities and terminology, while both models are equal on class identification and UML standards. Model 1 wins primarily on correct Provider multiplicity and faithful "numberOfPassengers" wording.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</si>
  <si>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</si>
  <si>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Classes &amp; attributes accuracy: Model 1 = 5, Model 2 = 5; Evidence: Both models include all 10 required classes (Provider, Cruise, Employee, Guest, Ship, TravelAgency, Booking, DestinationArea, Show, Ticket) with attributes matching the requirement (e.g., Provider.name/location, Cruise.number/name/startDate/endDate, Ship.numberOfDecks/length/numberOfPassengers, DestinationArea.name/seaName, Show.title/duration). Both add a `ticketNumber` attribute not stated in the requirement, but this is symmetric so it cancels out. Type aliases (int/String vs Integer/String) are ignored per forbidden penalties.
2. Associations &amp; cardinalities: Model 1 = 5, Model 2 = 2; Evidence: Model 1 correctly models Cruise--*Booking (multiple bookings per cruise) with Booking--&gt;1 Cruise and Cruise--&gt;* Booking, plus Booking--&gt;1 TravelAgency and TravelAgency--&gt;* Booking, and Ticket--&gt;1 Guest / Guest--&gt;* Ticket (a ticket belongs to one guest), Cruise--&gt;1..* Employee ("many employees"), Cruise&lt;--&gt;* Guest, Cruise--&gt;1 Ship / Ship--&gt;*Cruise ("ship used for different cruises"), Cruise--&gt;1 DestinationArea, Cruise--&gt;* Show, Cruise--&gt;* Ticket. Model 2 is MISSING the Booking–Cruise association entirely (no line between Booking and Cruise), which is a hard requirement ("A cruise is booked through a travel agency"); instead it introduces Booking "1"--"1" Ticket, a relation not present in the requirement. Model 2 also models Guest "0..*"--"0..*" Ticket, but the requirement ("A guest can have any number of tickets, but only one ticket per cruise") implies each Ticket belongs to exactly one Guest, so the Ticket side should be 1, not 0..*.
3. Relationship types (inheritance/aggregation/composition): Model 1 = 5, Model 2 = 5; Evidence: The requirement does not mandate inheritance or composition/aggregation; both models use plain associations throughout, which is acceptable. Neither introduces spaneous generalisation hierarchies.
4. No hallucinations / additions: Model 1 = 4, Model 2 = 2; Evidence: Model 1 adds a Booking--&gt;1 Guest ("bookedBy") association that is not stated in the requirement (the requirement links bookings to Cruise and TravelAgency, not directly to Guest) — a minor extra. Model 2's additions are more damaging: it fabricates a Booking "1"--"1" Ticket link (not in the requirement, and the 1:1 constraint is unsupported) and omits the required Booking–Cruise link, materially distorting the domain.
Total: Model 1 = 19, Model 2 = 14
Choice: A
Reason:
1. Classes &amp; attributes accuracy: Both models are equivalent — all required classes and attributes are present with correct names; differences are only type aliases/visibility markers, which are forbidden penalties.
2. Associations &amp; cardinalities: Model 1 captures the Booking–Cruise association (Cruise--* Booking, Booking--&gt;1 Cruise) required by "A cruise is booked through a travel agency," whereas Model 2 omits it entirely and substitutes an unsupported Booking–Ticket 1:1 link. Model 1 also correctly uses Ticket--&gt;1 Guest, while Model 2's Guest "0..*"--"0..*" Ticket violates the "only one ticket per cruise" semantics (a ticket belongs to one guest). This is the decisive difference.
3. Relationship types: Neither model requires or uses inheritance/composition; tie.
4. No hallucinations / additions: Model 1's only extra is a Booking–Guest link (mild). Model 2 both omits a required association (Booking–Cruise) and invents a wrong one (Booking–Ticket 1:1), which is a more serious domain-faithfulness problem.
Rejected or checked issues: I did not penalize Model 1 for using opposite unidirectional associations instead of bidirectional lines (forbidden penalty #1), for single-quote `'opposite` comments (forbidden #2), or for `int`/`boolean`/`String` aliases (forbidden #3). I did not reward or penalize Model 2 for `+` visibility markers. The unmodelled "only one ticket per cruise" constraint is equally unexpressed in both (neither uses an OCL/comment constraint), so it was not used as a tiebreaker.
Overall judgment: Model 1 is better because it preserves the required Booking–Cruise–TravelAgency booking workflow and the Ticket–Guest (1:*) cardinality, while Model 2 drops the Booking–Cruise link, invents an unsupported Booking–Ticket 1:1 relation, and mis-cards Guest–Ticket as *:*.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</si>
  <si>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</si>
  <si>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use 11 dedicated single-concept classes (Provider, Cruise, Employee, Guest, Ship, TravelAgency, Booking, DestinationArea, Show, Ticket) with no inheritance and no god-classes. Coupling is parallel: each relationship centers on Cruise as the hub. Model 1 uses opposite unidirectional pairs (e.g., `Cruise --&gt; "1" Provider` / `Provider --&gt; "*" Cruise`), which is semantically equivalent to Model 2's bidirectional `Provider "1" -- "0..*" Cruise` and is forbidden to penalize. Model 2 introduces an extra Booking-Ticket link in place of a Booking-Cruise link, slightly altering the dependency shape but not clearly worse for coupling.
2. Complexity: Model 1 = 4, Model 2 = 4; Evidence: Identical class count (11), no inheritance trees, attributes-only classes, and parallel association counts (when counting bidirectional pairs as one). Model 1 adds role labels but no extra classes. Model 2 adds a `Booking "1" -- "1" Ticket` association rather than `Booking -- Cruise`, which trades one association for another — no net complexity difference. Neither over-fragments nouns into spurious classes.
3. Practicability: Model 1 = 5, Model 2 = 3; Evidence: Model 1 captures domain constraints correctly: `Cruise --&gt; "1" DestinationArea` with `DestinationArea --&gt; "*" Cruise` (one destination area serves many cruises); `Cruise --&gt; "1..*" Employee` reflecting "requires many employees"; `Booking --&gt; "1" Cruise` directly modeling "a cruise is booked through a travel agency"; `Ticket --&gt; "1" Cruise` / `Cruise --&gt; "*" Ticket` / `Ticket --&gt; "1" Guest` matching "ticket belongs to exactly one cruise" and "guest any number of tickets". Role labels (`organizedBy`, `bookedFor`, `headsFor`, `issuedFor`, `ownedBy`) improve readability. Model 2 has two domain errors: (a) `Cruise "1" -- "1" DestinationArea` forces each destination area to exactly one cruise, contradicting the implied one-to-many; (b) it omits a direct Booking–Cruise link and instead uses `Booking "1" -- "1" Ticket`, adding an unsupported 1:1 constraint between Booking and Ticket while leaving the cruise-booking relationship indirect. Model 2 also uses `0..*` for Employee (allowing zero) where "requires many employees" implies at least one, a minor weakening.
Total: Model 1 = 13, Model 2 = 11
Choice: A
Reason:
1. Cohesion and Decoupling: Essentially tied — both models decompose the domain into the same cohesive, loosely coupled classes around a Cruise hub; the opposite-direction vs. bidirectional association styles are equivalent.
2. Complexity: Tied — same 11 classes, no inheritance, comparable association density; neither over- nor under-engineers.
3. Rejected or checked issues: Did NOT penalize Model 1 for opposite unidirectional associations, single-quote `'opposite ...` comments, lowercase primitive types (int, double, boolean), or `*` vs `0..*` literals — all forbidden. Did NOT reward Model 2 for shorter bidirectional syntax alone. Did NOT penalize Model 2 for `+` visibility markers or `String`/`Integer` type spellings.
4. Overall judgment: Model 1 wins on Practicability because it preserves correct domain multiplicities (destination area one-to-many; employee 1..*; direct Booking–Cruise linkage) and supplies readable role labels. Model 2's `Cruise "1" -- "1" DestinationArea` is a genuine constraint contradiction, and substituting Booking–Ticket for Booking–Cruise introduces an unsupported 1:1 constraint while omitting the required cruise-booking connection, reducing domain faithfulness and traceability.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</si>
  <si>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</si>
  <si>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define all ten required classes—Provider, Cruise, Employee, Guest, Ship, TravelAgency, Booking, DestinationArea, Show, Ticket—with attributes matching the requirement (e.g., Provider.name/location, Cruise.number/name/startDate/endDate, Ship.numberOfDecks/length/numberOfPassengers, DestinationArea.name/seaName, Show.title/duration).
2. Associations/Multiplicities between classes for domain reasoning: Model 1 = 4, Model 2 = 2; Evidence: Model 1 correctly captures Cruise *–1 Provider ("organizedBy"), Cruise *–1 Ship ("uses" with Ship * Cruise, satisfying "ship can be used for different cruises"), Cruise *–1 DestinationArea, Ticket *–1 Cruise / Ticket *–1 Guest ("any number of tickets"), and Cruise *–* Guest ("guest can take several cruises"). Minor looseness: Show modeled as Cruise *–* Show (Show * Cruise) though shows likely belong to one cruise. Model 2 has critical errors: Cruise "1" – "1" Ship contradicts "a ship can be used for different cruises"; Cruise "1" – "0..*" Guest contradicts "a guest can take several cruises" and is further duplicated by Guest "0..*" – "0..*" Cruise (contradictory dual associations); Booking is linked to TravelAgency and Ticket but NOT to Cruise, omitting the core "a cruise is booked through a travel agency" relationship; the inferred Booking "1" – "1" Ticket is not in the requirement; Cruise "1" – "0..*" Employee over-constrains an employee to a single cruise.
3. Model attributes with appropriate data types: Model 1 = 5, Model 2 = 5; Evidence: Both models assign proper types to all attributes (String, Date, int/Integer, double/Double, boolean/Boolean). Model 1 uses int/double/boolean; Model 2 uses Integer/Double/Boolean—equivalent aliases per the forbidden-penalty rule. Cruise.number as int (Model 1) vs String (Model 2) and Show.duration as double vs Integer are both acceptable interpretations.
4. Consistencies of Terminology with given context: Model 1 = 5, Model 2 = 5; Evidence: Both use the exact domain terms from the requirement—Provider, Cruise, Employee, Guest, Ship, TravelAgency, Booking, DestinationArea, Show, Ticket—and attribute names such as socialSecurityNumber, numberOfDecks, seaName, bookingNumber, isVip/isVIP align with the stated wording.
5. Adherence of UML class diagram standards: Model 1 = 5, Model 2 = 5; Evidence: Both use valid PlantUML class-diagram syntax with classes, attributes, typed fields, and associations with multiplicities. Model 1 uses two opposite unidirectional arrows (semantically equivalent per the forbidden-penalty rule); Model 2 uses bidirectional lines with end multiplicities. Both are comprehensible and conform to UML conventions.
Total: Model 1 = 24, Model 2 = 22
Choice: A
Reason:
1. Associations/Multiplicities: Model 1 faithfully models the key constraints—Provider 1–Cruise *, Ship *–Cruise 1 (a ship reused across cruises), Ticket *–Cruise 1 and Ticket *–Guest 1, Cruise *–Guest *—whereas Model 2 explicitly contradicts the requirement with Cruise "1"–"1" Ship and Cruise "1"–"0..*" Guest, and omits the Booking–Cruise link entirely while inventing Booking–Ticket 1–1.
2. Conceptual classes, attributes, terminology, and UML standards: Both models are essentially equal—same ten classes, same attributes with appropriate types, consistent terminology, and valid PlantUML notation—so these criteria do not differentiate the two.
3. Rejected or checked issues: I did not penalize Model 1 for using two opposite unidirectional associations instead of one bidirectional line (forbidden penalty), nor for `'opposite` comments, nor for int/boolean lowercase types. I did not reward Model 2's Booking–Ticket 1–1 inference since it is not a stated requirement fact and it displaces the missing Booking–Cruise relationship.
4. Overall judgment: Model 1 wins because its associations and multiplicities align with the domain constraints, while Model 2 contains multiple multiplicity contradictions and a critical missing Booking–Cruise association, which directly affect domain reasoning despite identical class/attribute/terminology quality.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</si>
  <si>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</si>
  <si>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 &amp; attribute coverage: Model 1 = 5, Model 2 = 5; Evidence: Both define all 10 required classes (Provider, Cruise, Employee, Guest, Ship, TravelAgency, Booking, DestinationArea, Show, Ticket) with the required attributes. Model 1 uses `passengerCapacity`, Model 2 uses `numberOfPassengers` (matches wording better); Model 1 uses `Duration` for show, Model 2 uses `Integer` — both acceptable.
2. Provider–Cruise relationship: Model 1 = 5, Model 2 = 5; Evidence: "organized by a specific provider" → Cruise *--1 Provider. Model 1: `Cruise "*" -- "1" Provider : organizedBy`. Model 2: `Provider "1" -- "0..*" Cruise`. Semantically equivalent and correct.
3. Cruise–Employee relationship: Model 1 = 4, Model 2 = 4; Evidence: "requires many employees" is ambiguous on the employee side. Model 1 uses `Cruise "*" -- "*" Employee` (many-to-many); Model 2 uses `Cruise "1" -- "0..*" Employee` (restricts an employee to one cruise). Requirement does not specify, so both are defensible; Model 2's restriction is slightly stronger but not contradicted.
4. Guest–Cruise relationship: Model 1 = 5, Model 2 = 5; Evidence: "Several guests take part in a cruise… a guest can also take several cruises." Both model Guest *--* Cruise (Model 1 `"*" -- "*"`, Model 2 `Guest "0..*" -- "0..*" Cruise`). Correct in both.
5. Ship–Cruise relationship: Model 1 = 5, Model 2 = 2; Evidence: "A ship can be used for different cruises" → Ship 1--* Cruise. Model 1: `Cruise "*" -- "1" Ship` ✓ (one ship, many cruises). Model 2: `Cruise "1" -- "1" Ship` ✗ — a 1:1 contradicts the requirement that a ship serves different cruises.
6. Booking / TravelAgency / Cruise relationships: Model 1 = 5, Model 2 = 3; Evidence: "A cruise is booked through a travel agency. Each booking has a unique booking number and a booking date." Model 1 links Booking to both Cruise and TravelAgency (and Guest): `Booking "*" -- "1" Cruise : books`, `Booking "*" -- "1" TravelAgency`. Model 2 only links `TravelAgency "1" -- "0..*" Booking` and `Booking "1" -- "1" Ticket`; it has no direct Booking–Cruise association, leaving the cruise connection only indirect via Ticket, and constrains Booking 1:1 with Ticket.
7. DestinationArea–Cruise relationship: Model 1 = 5, Model 2 = 3; Evidence: "A cruise always heads for a specific destination area" → Cruise *--1 DestinationArea (one area can be targeted by many cruises). Model 1: `Cruise "*" -- "1" DestinationArea` ✓. Model 2: `Cruise "1" -- "1" DestinationArea` ✗ — forces exactly one cruise per area, an unsupported restriction.
8. Show–Cruise relationship: Model 1 = 5, Model 2 = 4; Evidence: "guests are offered several shows" → Cruise 1--* Show (multiple, non-zero). Model 1: `Cruise "1" -- "*" Show` ✓. Model 2: `Cruise "1" -- "0..*" Show` allows zero shows, slightly weaker given "several".
9. Ticket–Cruise and Ticket–Guest relationships: Model 1 = 5, Model 2 = 2; Evidence: "Several tickets are issued for each cruise. A ticket belongs to exactly one cruise. A guest can have any number of tickets, but only one ticket per cruise." Ticket–Cruise: both correct (Model 1 `Ticket "*" -- "1" Cruise`; Model 2 `Cruise "1" -- "0..*" Ticket`). Ticket–Guest must be Ticket *--1 Guest (each ticket one guest). Model 1: `Ticket "*" -- "1" Guest` ✓. Model 2: `Guest "0..*" -- "0..*" Ticket` ✗ — many-to-many wrongly allows a ticket to belong to multiple guests.
Total: Model 1 = 44, Model 2 = 33
Choice: A
Reason:
1. Class &amp; attribute coverage: Both models are essentially complete and equal in class/attribute coverage; this does not differentiate them.
2. Ship–Cruise: Model 2's `Cruise "1" -- "1" Ship` directly contradicts "A ship can be used for different cruises," whereas Model 1 correctly models Ship 1--* Cruise.
3. Ticket–Guest: Model 2's many-to-many `Guest "0..*" -- "0..*" Ticket` contradicts "A guest can have any number of tickets" (each ticket belongs to one guest); Model 1's `Ticket "*" -- "1" Guest` is correct.
4. DestinationArea–Cruise and Booking: Model 2 over-constrains DestinationArea to 1:1 and omits a direct Booking–Cruise link; Model 1 captures both correctly.
5. Rejected or checked issues: I did not penalize Model 2 for `numberOfPassengers` naming (matches wording) or `Integer` duration, nor Model 1 for `passengerCapacity`/`Duration`; I did not penalize either for opposite-direction associations, abstractness, or `*` vs `0..*`. The "one ticket per cruise per guest" constraint is not directly representable by multiplicities and was not used as negative evidence against either model.
6. Overall judgment: Model 1 is better because it correctly represents the key multiplicities that Model 2 gets wrong (Ship–Cruise, Ticket–Guest, DestinationArea–Cruise) and provides a direct Booking–Cruise association as the requirement implies.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</si>
  <si>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</si>
  <si>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Both use the same 10 focused classes (Provider, Cruise, Employee, Guest, Ship, TravelAgency, Booking, DestinationArea, Show, Ticket) with single-responsibility attributes. Model 1 keeps Booking linked to Cruise (`Booking "*" -- "1" Cruise : books`), TravelAgency, and Guest with clear roles. Model 2 omits the Booking–Cruise link entirely and instead introduces an unjustified `Booking "1" -- "1" Ticket`, adding coupling between Booking and Ticket that the requirement never states, while also modeling `Guest "0..*" -- "0..*" Ticket` as many-to-many (over-coupling) rather than the intended one-ticket-to-one-guest ownership.
2. Complexity: Model 1 = 4, Model 2 = 4; Evidence: Identical class count (10), no spurious concept classes, no inheritance tree, average ~2 attributes/class. Neither over-promotes nouns to classes; Ticket/Show/Booking are all requirement-driven. Complexity is balanced and appropriate in both.
3. Practicability: Model 1 = 4, Model 2 = 2; Evidence: Model 1 captures most multiplicities correctly: `Cruise "*" -- "1" Ship : uses` (ship reused across cruises), `Cruise "*" -- "1" DestinationArea : headsFor` (many cruises per area), `Ticket "*" -- "1" Cruise : issuedFor` and `Ticket "*" -- "1" Guest : issuedTo` (ticket belongs to exactly one cruise and one guest). Its only notable error is `Cruise "1" -- "1" Provider` (cruise-side multiplicity should be *, since a provider organizes many cruises). Model 2 has multiple domain violations: `Cruise "1" -- "1" Ship` contradicts "a ship can be used for different cruises"; `Cruise "1" -- "1" DestinationArea` contradicts multiple cruises per area; `Guest "0..*" -- "0..*" Ticket` contradicts each ticket belonging to one guest; `Booking "1" -- "1" Ticket` is unstated and odd; and the required Booking–Cruise relation is missing entirely, making the booking flow unreadable.
Total: Model 1 = 12, Model 2 = 9
Choice: A
Reason:
1. Cohesion and Decoupling: Model 1 maintains correct, requirement-traceable associations and keeps Booking tied to Cruise/TravelAgency/Guest. Model 2 drops the Booking–Cruise link and adds an unsupported Booking–Ticket coupling plus an incorrect Guest–Ticket many-to-many, increasing incorrect coupling.
2. Complexity: Equal — both models share the same well-judged 10-class structure with no over-engineering.
3. Practicability: Model 1 is markedly more domain-faithful: ship reuse, destination-area reuse, and ticket ownership multiplicities are correct, whereas Model 2 contradicts the requirement on Ship–Cruise (1..1), DestinationArea–Cruise (1..1), Guest–Ticket (M:N), and omits Booking–Cruise, severely harming readability and testability of the booking workflow.
4. Rejected or checked issues: Neither model captures the OCL-style constraint "only one ticket per cruise per guest"; this omission was not used to differentiate since both miss it equally. PlantUML `*` vs `0..*`, lowercase/visibility markers, and `Duration` vs `Integer` for show duration were ignored per the forbidden-penalty rules. The Provider–Cruise multiplicity error in Model 1 was counted but is less severe than Model 2's cluster of contradictions.
5. Overall judgment: Model 1 is better because it preserves the core domain relationships and multiplicities required for a coherent, testable cruise-booking design, while Model 2 contains several contradicted multiplicities and a missing key Booking–Cruise association.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</si>
  <si>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</si>
  <si>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all required conceptual classes — Provider, Cruise, Employee, Guest, Ship, TravelAgency, Booking, DestinationArea, Show, Ticket — with no spurious or missing core classes.
2. Associations/Multiplicities between classes for domain reasoning: Model 1 = 4, Model 2 = 2; Evidence: Model 1 correctly models Cruise "*" -- "1" Ship (ship reusable across cruises) and Cruise "*" -- "1" DestinationArea, plus Booking "*" -- "1" Cruise linking bookings to cruises. Model 2 uses Cruise "1" -- "1" Ship (contradicts "a ship can be used for different cruises") and Cruise "1" -- "1" DestinationArea (overly restrictive), and omits the Booking–Cruise association entirely — a critical missing relationship since "a cruise is booked through a travel agency."
3. Model attributes with appropriate data types: Model 1 = 4, Model 2 = 4; Evidence: Both model attributes with proper types (String, Date, Boolean, Integer, Double). Model 1 uses `duration : Duration` (semantically richer) and `passengerCapacity`; Model 2 uses `duration : Integer` and `numberOfPassengers` (closer to requirement wording). Balanced trade-offs.
4. Consistencies of Terminology with given context: Model 1 = 4, Model 2 = 4; Evidence: Model 1 uses "passengerCapacity" and "ticketId" (slight paraphrase); Model 2 uses "numberOfPassengers" and "ticketNumber" (closer to text). Both remain recognizably aligned with the requirement terminology.
5. Adherence of UML class diagram standards: Model 1 = 5, Model 2 = 5; Evidence: Both use valid PlantUML class syntax with proper classes, attributes, types, associations, and multiplicity labels. Model 2 adds visibility markers (ignored per guidelines); no notation violations in either.
Total: Model 1 = 22, Model 2 = 20
Choice: A
Reason:
1. Associations/Multiplicities: Model 1 correctly captures the reusable-ship semantics (Cruise * -- 1 Ship) and the destination-area multiplicity (Cruise * -- 1), and includes the essential Booking–Cruise link. Model 2 contradicts the requirement with Cruise 1 -- 1 Ship and Cruise 1 -- 1 DestinationArea, and critically omits Booking–Cruise.
2. Attributes/Terminology/UML: Roughly comparable — minor trade-offs (Duration vs Integer, passengerCapacity vs numberOfPassengers) balance out; both follow UML conventions.
3. Rejected issues: Did not penalize Model 2 for visibility markers, did not penalize Model 1 for `ticketId` naming, and did not reward either for unspecified Ticket attributes — all per forbidden-penalty and evidence rules.
4. Overall judgment: Model 1 wins primarily on domain-faithful multiplicities and presence of the Booking–Cruise association, which Model 2 mishandles or omits.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</si>
  <si>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</si>
  <si>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coverage: Model 1 = 5, Model 2 = 5; Evidence: Both define all ten required classes — Provider, Cruise, Employee, Guest, Ship, TravelAgency, Booking, DestinationArea, Show, Ticket. Neither adds extraneous concept classes nor omits any required entity.
2. Attributes coverage &amp; correctness: Model 1 = 5, Model 2 = 5; Evidence: Both capture Provider{name,location}, Cruise{number,name,startDate,endDate}, Employee{name,socialSecurityNumber}, Guest{name,VIP}, Ship{name,numberOfDecks,length,passengers}, TravelAgency{name,address}, Booking{bookingNumber,bookingDate}, DestinationArea{name,seaName}, Show{title,duration}. Model 2 uses numberOfPassengers matching the requirement wording; Model 1 uses passengerCapacity (a synonym). Both use int/String/boolean aliases, which are acceptable. No required attribute is missing.
3. Associations &amp; multiplicities accuracy: Model 1 = 4, Model 2 = 4; Evidence: 
   - Provider–Cruise: both model Cruise *–1 Provider ✓.
   - Employee–Cruise: requirement "requires many employees"; Model 1 uses Cruise *–* Employee (allows zero employees), Model 2 uses Cruise 1..* Employee (better captures "many/at least one"). Edge Model 2.
   - Guest–Cruise: both *–* ✓ ("guest can take several cruises / several guests take part").
   - Ship–Cruise: both Cruise *–1 Ship ✓.
   - Booking–Cruise / Booking–Agency: both *–1 ✓.
   - DestinationArea–Cruise: both Cruise *–1 DestinationArea ✓.
   - Show–Cruise: requirement states "on a cruise … offered several shows"; Model 1 models Cruise 1–* Show (show belongs to one cruise), Model 2 models Cruise *–* Show (a show can appear on many cruises — not stated, a mild over-extension). Edge Model 1.
   - Ticket–Cruise: both Ticket *–1 Cruise ✓ ("ticket belongs to exactly one cruise").
   - Ticket–Guest: both Ticket *–1 Guest ✓ ("guest can have any number of tickets"). Neither explicitly encodes the "only one ticket per cruise" uniqueness constraint, but the combination Ticket→1 Cruise + Ticket→1 Guest implicitly approximates it; equal.
   - Both add a Booking–Guest link not strictly stated in the requirement (inferred); equal minor addition.
Total: Model 1 = 14, Model 2 = 14
Choice: C
Reason:
1. Conceptual classes coverage: Both models present the same complete set of ten domain classes with no hallucinated extra concept classes and no omissions — equal.
2. Attributes: Both capture every required attribute; differences are only naming synonyms (passengerCapacity vs numberOfPassengers) and primitive-type aliases, which the forbidden-penalty rules say not to penalize — equal.
3. Associations &amp; multiplicities: Trade-offs cancel out. Model 2 is more faithful on Employee (1..* vs Model 1's * that permits zero employees), while Model 1 is more faithful on Show (1–* composition-like vs Model 2's unstated *–* many-to-many). Provider, Guest, Ship, Booking, DestinationArea, and Ticket multiplicities are correct and equivalent in both. The bidirectional opposite-direction associations in Model 2 are treated as semantically equivalent per the forbidden-penalty rules, so they neither help nor hurt.
4. Rejected or checked issues: I did not penalize Model 2 for the `'opposite …` PlantUML comments, for `int`/`boolean`/`double` aliases, or for using two opposite unidirectional arrows instead of one bidirectional line — all explicitly forbidden as penalties. I also did not reward Model 2 merely for having more association role labels, since these are presentation-only additions not tied to a stated requirement fact.
5. Overall judgment: The two models are semantically equivalent in coverage of classes, attributes, and the required relationships; their only differences (Employee lower bound, Show upper-side multiplicity) are oppositely directed and comparable in severity. The meaningful quality difference is small,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</si>
  <si>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</si>
  <si>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use the same 10 cohesive classes (Provider, Cruise, Employee, Guest, Ship, TravelAgency, Booking, DestinationArea, Show, Ticket), each dedicated to a single domain concept. Model 1 uses single bidirectional associations (e.g., `Cruise "*" -- "*" Employee`); Model 2 uses pairs of opposite unidirectional associations (e.g., `Cruise --&gt; "1..*" Employee` and `Employee --&gt; "*" Cruise`). Per the forbidden-penalty rule these are semantically equivalent, so coupling is effectively equal. Booking acts as a link class between Cruise/TravelAgency/Guest in both, keeping coupling moderate.
2. Complexity: Model 1 = 4, Model 2 = 4; Evidence: Both have 10 classes, no inheritance hierarchy (depth 0), and ~2 attributes per class plus ~2 associations. Complexity is balanced and neither over-promotes nouns to classes. Model 1 uses `Duration` for show duration and `Integer/Double` types; Model 2 uses `double`/`int`/`boolean` aliases — forbidden to penalize. Model 2 has twice the number of association lines but these are the equivalent bidirectional pairs (forbidden to penalize), so real complexity is equal.
3. Practicability: Model 1 = 3, Model 2 = 4; Evidence: Model 2 captures domain multiplicities more accurately: `Cruise --&gt; "1" Provider` with `Provider --&gt; "*" Cruise` correctly allows a provider to organize many cruises, whereas Model 1's `Cruise "1" -- "1" Provider` restricts a provider to exactly one cruise — an invalid over-constraint. Model 2 also uses `Cruise --&gt; "1..*" Employee`, reflecting "a cruise requires many employees" (at least one), while Model 1's `Cruise "*" -- "*" Employee` permits zero employees. Both correctly model Cruise-Guest as M:N, Ticket-Cruise as `*--1` ("ticket belongs to exactly one cruise"), Ticket-Guest as `*--1`, Cruise-Ship `*--1`, Cruise-DestinationArea `*--1`, and Booking-Cruise/TravelAgency/Guest as `*--1`. Neither model represents the derived constraint "only one ticket per cruise per guest" (an OCL-style constraint), an equal minor omission. Model 2 is slightly more readable in role-label clarity.
Total: Model 1 = 11, Model 2 = 12
Choice: B
Reason:
1. Cohesion and Decoupling: Equivalent — same class decomposition and equivalent association semantics; bidirectional-vs-paired-unidirectional style is forbidden as a penalty.
2. Complexity: Equivalent — identical class count, no inheritance, comparable attribute density; Model 2's extra lines are the equivalent opposite-direction pairs which must be treated as equal.
3. Rejected/checked issues: Did NOT penalize Model 2 for PlantUML `'opposite ...` comments, for `int/boolean/double` primitives, or for using two opposite unidirectional arrows instead of one bidirectional line — all forbidden. Did NOT reward Model 1 for being shorter. Did NOT penalize either model for missing the "one ticket per cruise per guest" constraint since it is a derived/OCL constraint not expressible in plain class-diagram semantics and is equally absent.
4. Overall judgment: Model 2 is better because it models two hard business multiplicities correctly that Model 1 gets wrong — Provider-Cruise (a provider organizes many cruises, not 1) and Cruise-Employee (a cruise requires at least one employee via 1..*, not 0..*). These are domain-faithfulness differences, not presentation differences, and they meaningfully improve practicable accuracy with no added real complexity.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</si>
  <si>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</si>
  <si>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all 10 required conceptual classes — Provider, Cruise, Employee, Guest, Ship, TravelAgency, Booking, DestinationArea, Show, Ticket — fully covering the domain concepts in the requirement.
2. Associations/Multiplicities between classes for domain reasoning: Model 1 = 4, Model 2 = 4; Evidence: Both capture the key relationships correctly: Cruise–Provider (1..1), Cruise–Ship (*..1), Cruise–DestinationArea (*..1), Cruise–Show (1..*), Booking–Cruise/TravelAgency/Guest (*..1), Ticket–Cruise (*..1), Ticket–Guest (*..1), Cruise–Guest (*..*). Model 2 uses 1..* on the Employee side ("requires many employees"), slightly better capturing "many"; Model 1 uses * (0..*) allowing zero, a minor weakness. Neither model encodes the derived constraint "only one ticket per cruise" (would need an association class/constraint), an equivalent omission in both.
3. Model attributes with appropriate data types: Model 1 = 4, Model 2 = 4; Evidence: Both model all required attributes with proper types (name:String, location:String, startDate/endDate:Date, socialSecurityNumber:String, isVIP:Boolean, numberOfDecks:Integer, bookingDate:Date, seaName:String, title:String). Model 1 uses duration:Duration (semantically richer) and ticketId:String; Model 2 uses duration:double and ticketNumber:int, both acceptable. Model 2 names the ship attribute numberOfPassengers matching the requirement wording exactly, whereas Model 1 uses passengerCapacity (a recognizable synonym). Trade-offs balance out.
4. Consistencies of Terminology with given context: Model 1 = 5, Model 2 = 4; Evidence: Model 1 uses association labels that mirror the requirement directly: "requires" (cruise requires employees), "participates" (guests participate), "bookedThrough" (booked through a travel agency), "organizedBy", "headsFor", "offers", "uses". Model 2 substitutes synonyms that diverge from the requirement text: "employs" instead of "requires", "hosts" instead of "participates", "managedBy" instead of "bookedThrough", plus attribute isVip and numberOfPassengers (minor). The deviations are recognizable but less consistent.
5. Adherence of UML class diagram standards: Model 1 = 5, Model 2 = 5; Evidence: Both use valid PlantUML class-diagram syntax with correct class boxes, typed attributes, and labeled associations with multiplicities. Model 2 uses pairs of opposite unidirectional associations with single-quote comments, which are semantically equivalent and not penalized per the forbidden-penalties rules; notation is fully legible in both.
Total: Model 1 = 23, Model 2 = 22
Choice: A
Reason:
1. Appropriate conceptual classes: Both models are equivalent — identical and complete class coverage of the domain (5 = 5).
2. Associations/Multiplicities: Largely equivalent; both correctly model the Cruise–Guest M:N, Cruise–Ship *..1, Ticket–Cruise *..1, and Booking ternary links. Model 2's 1..* on Employee marginally better reflects "many employees," but both miss the "one ticket per cruise" constraint, so the net difference is negligible (4 = 4).
3. Model attributes: Both cover all required attributes with appropriate types. Model 1's Duration type and Model 2's exact attribute name numberOfPassengers offset each other (4 = 4).
4. Consistencies of Terminology: This is the meaningful differentiator. Model 1 preserves the requirement's own verbs ("requires," "participates," "bookedThrough," "headsFor," "offers"), while Model 2 replaces them with synonyms ("employs," "hosts," "managedBy") that, though understandable, are less faithful to the given context (5 &gt; 4).
5. Rejected or checked issues: I did NOT penalize Model 2 for its opposite-direction association pairs, single-quote comments, lowercase primitive types (int/double/boolean), or `*` vs `0..*` — all forbidden as negative evidence. I also did not reward either model for the extra ticket identifier (ticketId/ticketNumber) since the requirement does not specify ticket attributes.
6. Overall judgment: The models are close in structure and completeness, but Model 1 is more faithful to the requirement's terminology, giving it a slight, defensible edge. The gap is small; if terminology weight were reduced this would approach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</si>
  <si>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</si>
  <si>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and attributes alignment: Model 1 = 5, Model 2 = 5; Evidence: Both define all required classes (Provider, Cruise, Employee, Guest, Ship, TravelAgency, Booking, DestinationArea, Show, Ticket) with the required attributes (e.g., Provider.name/location, Cruise.number/name/startDate/endDate, Employee.name/socialSecurityNumber, Guest.name/isVIP, Ship.name/numberOfDecks/length/numberOfPassengers, TravelAgency.name/address, Booking.bookingNumber/bookingDate, DestinationArea.name/seaName, Show.title/duration). Both add an unrequired `ticketNumber` attribute equally.
2. Associations, cardinalities, and relationship types: Model 1 = 3, Model 2 = 4; Evidence: Model 2 correctly links Booking to Cruise (`Booking --&gt; "1" Cruise: bookedFor`) and to TravelAgency, matching "a cruise is booked through a travel agency," and captures `Ship --&gt; "*" Cruise` reflecting "a ship can be used for different cruises"; it also uses `Cruise --&gt; "1..*" Employee` fitting "requires many employees." Model 1 omits a direct Booking–Cruise link, instead adding an unsupported `Booking "1" -- "1" Ticket`, shows `Cruise "1" -- "0..*" Employee` (allows zero), and does not show the ship-side multiplicity. Model 1 also has a redundant pair of Cruise–Guest associations (`Cruise "1" -- "0..*" Guest` plus `Guest "0..*" -- "0..*" Cruise`).
3. Faithfulness / no hallucinations or additions: Model 1 = 3, Model 2 = 4; Evidence: Model 1 introduces a `Booking "1" -- "1" Ticket` association not stated in the requirement and leaves Booking disconnected from Cruise. Model 2 adds a `Booking --&gt; "1" Guest: bookedBy` link (not explicitly stated, but a reasonable inference) and uses opposite-direction unidirectional pairs (allowed as semantically equivalent). Neither model encodes the "only one ticket per cruise" constraint on Guest–Ticket; both model it as a plain *–* / 1–* link, so this is a shared miss.
Total: Model 1 = 11, Model 2 = 13
Choice: B
Reason:
1. Conceptual classes and attributes: Both models are complete and equivalent on classes/attributes, so this criterion is a tie.
2. Associations and cardinalities: Model 2 is stronger — it connects Booking directly to Cruise and TravelAgency (the core booking semantics), exposes the Ship→* Cruise multiplicity, and uses 1..* for employees. Model 1's missing Booking–Cruise link and the unsupported Booking–Ticket 1:1 association are real domain-faithfulness gaps.
3. Faithfulness: Model 1's Booking–Ticket pairing is an unsupported invention that also misrepresents the requirement (booking and ticket are separate concepts). Model 2's only real addition (Booking–Guest) is a defensible inference, and its opposite-direction association pairs are explicitly permitted.
4. Rejected/checked issues: I did not penalize Model 2 for PlantUML `'opposite` comments, lowercase `int`/`boolean`/`double` types, `*` vs `0..*`, or its opposite-direction association pairs, per the forbidden-penalties rules. I also did not reward either model for the extra `ticketNumber` attribute, and I did not count the uncaptured "one ticket per cruise" constraint against only one model since both omit it.
5. Overall judgment: Model 2 better represents the stated associations and cardinalities (especially the booking and ship-reuse relationships) with fewer unsupported additions, so it is the better response.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</si>
  <si>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</si>
  <si>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a redundant/contradictory pair of Cruise–Guest associations (`Cruise "1" -- "0..*" Guest` and `Guest "0..*" -- "0..*" Cruise`) that add unnecessary coupling noise; it also routes the Booking→Cruise link indirectly through Ticket (`Booking "1" -- "1" Ticket`, `Cruise "1" -- "0..*" Ticket`) rather than connecting Booking directly to Cruise. Model 2 connects Booking directly to Cruise, Guest, and TravelAgency (`Booking --&gt; "1" Cruise`, `Booking --&gt; "1" Guest`, `Booking --&gt; "1" TravelAgency`), giving cleaner separation of concerns. Each class in both models has a single clear responsibility (e.g., Provider holds name/location, Ship holds ship specs), so cohesion is comparable, but Model 2's decoupling is superior.
2. Complexity: Model 1 = 3, Model 2 = 4; Evidence: Both models use the same 10 conceptual classes with no inheritance hierarchy (depth 0) and 2–4 attributes per class — complexity is balanced and neither over-fragments nouns into classes. However, Model 1 introduces unnecessary complexity via the duplicate Cruise–Guest association with conflicting multiplicities and the indirect Booking→Ticket→Cruise path. Model 2 uses more association lines but they are organized as labeled bidirectional pairs (e.g., `Cruise --&gt; "*" Guest: hosts` / `Guest --&gt; "*" Cruise: cruisesAttended`), which are semantically equivalent to single bidirectional links and do not add genuine conceptual complexity.
3. Practicability: Model 1 = 2, Model 2 = 4; Evidence: Model 1 has multiple multiplicity errors contradicting the requirement: (a) `Cruise "1" -- "1" Ship` forces one cruise per ship, but the requirement states "A ship can be used for different cruises" (should be `*` on the Cruise side); (b) `Cruise "1" -- "0..*" Guest` forces one cruise per guest, contradicting "A guest can also take several cruises"; (c) `Guest "0..*" -- "0..*" Ticket` allows a ticket to belong to multiple guests, whereas a ticket should belong to exactly one guest. Model 2 correctly models all three: `Cruise --&gt; "1" Ship` / `Ship --&gt; "*" Cruise` (one ship per cruise, many cruises per ship); `Cruise --&gt; "*" Guest` / `Guest --&gt; "*" Cruise` (many-to-many); `Ticket --&gt; "1" Guest: ownedBy` / `Guest --&gt; "*" Ticket` (one guest per ticket, many tickets per guest). Model 2 also correctly has `Ticket --&gt; "1" Cruise` (ticket belongs to exactly one cruise) and `Cruise --&gt; "*" Ticket` (several tickets per cruise). Neither model captures the "only one ticket per cruise" constraint explicitly (would need an OCL constraint), but Model 2's structure (Booking per Guest+Cruise, Ticket per Guest+Cruise) is closer to enforceable. Model 2's only minor weakness is `Show --&gt; "*" Cruise` (many-to-many), where the requirement's "on a cruise, guests are offered several shows" more naturally suggests one-to-many, but this is not a hard contradiction. Model 1's `Cruise "1" -- "0..*" Show` is more faithful on this point.
Total: Model 1 = 8, Model 2 = 12
Choice: B
Reason:
1. Cohesion and Decoupling: Model 2 decouples Booking from Ticket and connects it directly to Cruise and Guest, matching the requirement's "a cruise is booked through a travel agency" more cleanly. Model 1's indirect Booking→Ticket→Cruise path and duplicate Cruise–Guest association add unnecessary coupling.
2. Complexity: Both models use the same 10 well-chosen classes with no inheritance, but Model 1's contradictory duplicate Cruise–Guest association (multiplicity "1" on one line, "0..*" on the other) is unnecessary complexity, while Model 2's bidirectional pairs are standard equivalents.
3. Rejected or checked issues: I did not penalize Model 2 for using `int`/`boolean`/`double` (forbidden: primitive type aliases), for its `'opposite ...` comments (forbidden: PlantUML comments), or for using `*` instead of `0..*` (forbidden: equivalent multiplicity literals). I did not reward Model 2 merely for having more association lines or role labels. I did not penalize Model 2 for marking or not marking abstract classes (none in either model). I did consider Model 1's `Cruise "1" -- "0..*" Show` as slightly more faithful than Model 2's many-to-many Show–Cruise, but this minor advantage is outweighed by Model 1's multiple hard multiplicity errors.
4. Overall judgment: Model 2 is substantially better because it correctly captures the key multiplicities that Model 1 gets wrong — Ship-to-Cruise (ship reusable across cruises), Guest-to-Cruise (many-to-many), and Guest-to-Ticket (one guest per ticket) — and it connects Booking directly to Cruise and Guest as the requirement implies. Model 1's three multiplicity contradictions represent domain-faithfulness failures under Practicability, making Model 2 the clearly stronger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</si>
  <si>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</si>
  <si>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all 10 required conceptual classes: Provider, Cruise, Employee, Guest, Ship, TravelAgency, Booking, DestinationArea, Show, Ticket. No missing or extraneous domain classes.
2. Associations/Multiplicities between classes for domain reasoning: Model 1 = 2, Model 2 = 5; Evidence: Model 1 contains several critical domain errors: (a) Ship relation `Cruise "1" -- "1" Ship` forces each Ship to serve only one Cruise, contradicting "A ship can be used for different cruises"; (b) it lists BOTH `Cruise "1" -- "0..*" Guest` (implying each Guest on exactly one Cruise) AND `Guest "0..*" -- "0..*" Cruise`, a contradictory duplication; (c) `Booking "1" -- "1" Ticket` links Booking to Ticket rather than to a Cruise, and omits the Booking→Cruise link entirely; (d) `Guest "0..*" -- "0..*" Ticket` lets a Ticket belong to many Guests, contradicting "A ticket belongs to exactly one cruise/guest". Model 2 correctly models Cruise→Ship(1) / Ship→Cruise(*), Cruise↔Guest M:N via hosts/cruisesAttended, Booking→Cruise(1) and Booking→TravelAgency(1), Ticket→Cruise(1) / Ticket→Guest(1), Cruise→DestinationArea(1), Cruise→Show(*), Cruise→Employee(*). The "only one ticket per cruise" OCL-style constraint is not captured in either, but plain multiplicities are otherwise correct in Model 2.
3. Model attributes with appropriate data types: Model 1 = 5, Model 2 = 5; Evidence: Model 1 models number/name/startDate/endDate (String/Date), socialSecurityNumber:String, isVIP:Boolean, numberOfDecks:Integer, length:Double, numberOfPassengers:Integer, bookingNumber:String, bookingDate:Date, seaName:String, title:String, duration:Integer. Model 2 uses int/double/boolean aliases (e.g., number:int, duration:double, isVip:boolean) which are semantically equivalent. All required attributes are present with reasonable types in both.
4. Consistencies of Terminology with given context: Model 1 = 5, Model 2 = 5; Evidence: Both use the requirement's exact class names (Provider, Cruise, Employee, Guest, Ship, TravelAgency, Booking, DestinationArea, Show, Ticket) and attribute names (name, location, socialSecurityNumber, numberOfDecks, seaName, bookingDate, etc.). Model 2 adds role labels (organizedBy, hosts, employs) not in the text but they do not contradict requirement terminology; "isVip" is an acceptable casing variant of "VIP".
5. Adherence of UML class diagram standards: Model 1 = 5, Model 2 = 5; Evidence: Model 1 uses valid PlantUML class boxes and `"mult" -- "mult"` associations. Model 2 uses valid `--&gt;` directional associations with role labels and multiplicities; the `'opposite ...` trailing comments are standard PlantUML annotations (not penalized). Both are syntactically well-formed and interpretable.
Total: Model 1 = 22, Model 2 = 25
Choice: B
Reason:
1. Appropriate conceptual classes: Both models are tied — identical, complete class coverage of the domain.
2. Associations/Multiplicities: This is the decisive criterion. Model 2 correctly captures the Ship–Cruise one-to-many semantics, the Cruise↔Guest many-to-many, Booking→Cruise and Booking→TravelAgency, and Ticket→Guest(1). Model 1 violates four hard constraints: Ship forced to a single Cruise, contradictory Cruise–Guest modeling, Booking linked to Ticket instead of Cruise, and Ticket shared across multiple Guests.
3. Rejected/checked issues: I did NOT penalize Model 2 for using `--&gt;` opposite-direction pairs vs Model 1's `--` bidirectional lines (forbidden penalty #1), nor for `'opposite` comments (#2), lowercase int/boolean/double (#3), `*` vs `0..*` (#4). I also did not reward Model 1's extra `ticketNumber` attribute or Model 2's extra Booking→Guest link, as they are not stated requirement facts. The unmodeled "one ticket per cruise" constraint is an OCL-style rule not expressible by plain multiplicity, so it was not held against either model.
4. Overall judgment: Model 2 is better because its associations and multiplicities faithfully reproduce the domain reasoning of the requirement, while Model 1 contains multiple multiplicities that actively contradict stated business rules (Ship reuse, Guest↔Cruise, Booking target, Ticket ownership). On all other criteria the two models are equivalent, so the association accuracy advantage makes Model 2 the clear winner.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</si>
  <si>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</si>
  <si>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Classes &amp; Attributes: Model 1 = 5, Model 2 = 4; Evidence: Both include all 10 required classes. Model 1 uses `numberOfPassengers` matching the requirement wording exactly ("number of passengers"); Model 2 renames it `passengerCapacity`, a slight semantic shift (capacity vs. actual count). Both add harmless extra ticket identifiers (`ticketNumber`/`ticketId`). Model 1's `duration: Integer` vs Model 2's `duration: Duration` are both acceptable.
2. Associations &amp; Cardinalities: Model 1 = 2.5, Model 2 = 3.5; Evidence: Model 1 errors: `Cruise "1" -- "1" Ship` contradicts "a ship can be used for different cruises" (should be Cruise *→1 Ship); `Cruise "1" -- "0..*" Guest` is duplicated by `Guest "0..*" -- "0..*" Cruise` (redundant/conflicting association); `Guest "0..*" -- "0..*" Ticket` implies a ticket can belong to many guests (should be Ticket *→1 Guest); `Booking "1" -- "1" Ticket` conflates booking with ticket and OMITS the required Booking→Cruise link ("a cruise is booked through a travel agency"). Model 2 errors: `Cruise "1" -- "1" Provider` should be Cruise *→1 Provider (a provider organizes many cruises); `Cruise "*" -- "*" Employee` over-broadens the stated 1→* "cruise requires many employees". Model 2 correctly models Cruise*→1 Ship, Booking*→1 Cruise, Ticket*→1 Guest, Cruise*↔*Guest.
3. Relationship Types &amp; Semantics: Model 1 = 4, Model 2 = 4; Evidence: Neither requirement mandates composition/aggregation/inheritance; both use plain associations consistently. No invalid notation. Tie.
4. Requirement Alignment (no hallucination/omission): Model 1 = 3, Model 2 = 4; Evidence: Model 1 omits the Booking→Cruise relationship (booking is only linked to a Ticket, indirectly reaching a cruise) and introduces a contradictory duplicate Cruise–Guest association. Model 2 covers all stated relationships (organizedBy, requires, participates, uses, headsFor, offers, bookedThrough, books, issuedFor, issuedTo) with one clear cardinality mistake (Provider). Model 2's extra Booking→Guest (`bookedBy`) is a reasonable inference from the booking/guest context, not a harmful hallucination.
Total: Model 1 = 14.5, Model 2 = 15.5
Choice: B
Reason:
1. Classes &amp; Attributes: Model 1 is marginally more faithful on attribute naming (`numberOfPassengers`), but the difference is minor; both are complete.
2. Associations &amp; Cardinalities: Model 2 is clearly stronger — it correctly captures Cruise*→1 Ship, Booking*→1 Cruise, and Ticket*→1 Guest, whereas Model 1 gets Ship multiplicities wrong, omits Booking→Cruise, duplicates the Cruise–Guest link, and makes Ticket–Guest M:N (allowing a ticket to belong to multiple guests). Model 2's only real cardinality error is Provider–Cruise being 1:1 instead of *:1.
3. Rejected or checked issues: Did not penalize Model 2 for `passengerCapacity` as a hard error (it is a near-synonym); did not reward Model 1 for extra `ticketNumber` (implementation detail); did not penalize either for not modeling the "only one ticket per guest per cruise" constraint, which is not expressible as a plain multiplicity. The opposite-direction/equivalent-multiplicity rules were not a factor here.
4. Overall judgment: Model 2 has fewer and less severe cardinality errors and covers the booking workflow (Booking→Cruise, Booking→TravelAgency) that Model 1 breaks. Model 1's only advantage is exact attribute wording, which is outweighed by its association errors and the missing Booking→Cruise link. Therefore Model 2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</si>
  <si>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</si>
  <si>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1 couples `Booking "1" -- "1" Ticket`, conflating booking with ticketing, and omits Booking→Cruise and Booking→Guest links entirely; it also models `Cruise "1" -- "1" Ship` (1:1) which prevents ship reuse. Model 2 cleanly decouples via a Booking triangle: `Booking "*" -- "1" TravelAgency`, `Booking "*" -- "1" Cruise books`, `Booking "*" -- "1" Guest bookedBy`, and keeps Ticket separate (`Ticket "*" -- "1" Cruise issuedFor`, `Ticket "*" -- "1" Guest issuedTo`); it correctly models `Cruise "*" -- "1" Ship uses` allowing one ship across many cruises.
2. Complexity: Model 1 = 4, Model 2 = 4; Evidence: Both use 10 conceptual classes (Provider, Cruise, Employee, Guest, Ship, TravelAgency, Booking, DestinationArea, Show, Ticket) with attributes only, no inheritance, no gratuitous classes — complexity is well-balanced in both. Model 1 adds an unrequired `Ticket.ticketNumber`; Model 2 renames the required "number of passengers" to `passengerCapacity` (a mild semantic shift). Both are minor and roughly offset.
3. Practicability: Model 1 = 3, Model 2 = 5; Evidence: Model 1 lacks role labels and contains domain errors that reduce viability: `Cruise "1" -- "1" Ship` contradicts "a ship can be used for different cruises," and `Booking "1" -- "1" Ticket` over-constrains ticketing (requirement says several tickets per cruise, ticket belongs to exactly one cruise — not one ticket per booking). Multiplicities like `Cruise "0..*" Employee`, `Cruise "0..*" Ticket`, `Cruise "0..*" Guest` also undershoot "many/several" (should be 1..*). Model 2 provides readable role labels (organizedBy, requires, participates, uses, headsFor, offers, bookedThrough, books, bookedBy, issuedFor, issuedTo), correct Ship direction, correct Ticket→Cruise "1", Ticket→Guest "1" with Guest side "*" matching "any number of tickets," and proper `Cruise "1" -- "*" Show offers` and `Cruise "*" -- "1" DestinationArea`.
Total: Model 1 = 10, Model 2 = 14
Choice: B
Reason:
1. Cohesion and Decoupling: Model 2's Booking class properly intermediates TravelAgency, Cruise, and Guest as three separate `* -- 1` associations, whereas Model 1 hard-wires `Booking "1" -- "1" Ticket` and leaves Booking disconnected from Cruise/Guest, breaking the booking workflow's cohesion and creating wrong coupling.
2. Complexity: Both are comparable (10 classes, attribute-only, flat hierarchy), so this criterion is a tie; neither over- nor under-engineers.
3. Practicability: Model 2 is markedly more practical — accurate Ship multiplicity (`Cruise "*" -- "1" Ship`, enabling reuse), accurate Ticket ownership (`Ticket "*" -- "1" Cruise issuedFor`, `Ticket "*" -- "1" Guest issuedTo`), and role labels that make the model readable and testable. Model 1's `Cruise "1" -- "1" Ship` and `Booking "1" -- "1" Ticket` are domain contradictions, not mere omissions.
4. Rejected or checked issues: Did NOT penalize Model 1 for using two opposite unidirectional Cruise↔Guest associations (forbidden — semantically equivalent to bidirectional). Did NOT penalize Model 2 for `Duration` vs `Integer` or `passengerCapacity` vs `numberOfPassengers` (recognizable synonyms/aliases). Did NOT reward either for `Ticket.ticketNumber`/`ticketId` (unrequired identifier). The "only one ticket per cruise" OCL-style constraint is not expressible cleanly in plain UML associations and was not scored against either model.
5. Overall judgment: Model 2 is better due to correct domain multiplicities (Ship reuse, Ticket→Cruise/Guest, Booking triangle) and superior readability via role labels; Model 1 contains two substantive domain contradictions that impair its real-world viability.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</si>
  <si>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</si>
  <si>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all ten required conceptual classes: Provider, Cruise, Employee, Guest, Ship, TravelAgency, Booking, DestinationArea, Show, and Ticket. No missing or extraneous domain classes in either.
2. Associations/Multiplicities between classes for domain reasoning: Model 1 = 2, Model 2 = 4; Evidence: Model 1 has several critical errors: `Cruise "1" -- "1" Ship` wrongly constrains a ship to one cruise (requirement: "A ship can be used for different cruises" → Cruise * -- 1 Ship); `Cruise "1" -- "1" DestinationArea` wrongly limits a destination area to one cruise (should be Cruise * -- 1); Booking is linked to Ticket (`Booking "1" -- "1" Ticket`) instead of to Cruise, omitting the "cruise is booked through a travel agency" relation entirely; `Guest "0..*" -- "0..*" Ticket` is wrong since a ticket belongs to exactly one guest (should be Ticket * -- 1 Guest); and the Cruise-Guest link is duplicated with contradictory multiplicities (`Cruise 1 -- 0..* Guest` vs `Guest 0..* -- 0..* Cruise`). Model 2 correctly models `Cruise "*" -- "1" Ship`, `Cruise "*" -- "1" DestinationArea`, `Booking "*" -- "1" Cruise : books`, and `Ticket "*" -- "1" Guest : issuedTo`. Model 2's only clear error is `Cruise "1" -- "1" Provider` (should be Cruise * -- 1 Provider, since a provider organizes many cruises); its `Cruise "*" -- "*" Employee` is defensible since the requirement does not constrain an employee to one cruise.
3. Model attributes with appropriate data types: Model 1 = 4, Model 2 = 4; Evidence: Both capture all required attributes with appropriate types (String, Boolean, Integer, Double, Date). Model 1 uses `numberOfPassengers: Integer` matching the requirement wording and `duration: Integer`; Model 2 uses `passengerCapacity: Integer` (a synonym) and `duration: Duration` (semantically richer). Both add a ticket identifier not explicitly required (`ticketNumber`/`ticketId`), which is a harmless implementation detail. Minor differences only.
4. Consistencies of Terminology with given context: Model 1 = 4, Model 2 = 4; Evidence: Both use the requirement's domain terms (Provider, Cruise, Booking, DestinationArea, Show, Ticket, TravelAgency, Ship, Employee, Guest) and attribute names. Model 1's `numberOfPassengers` matches the literal requirement text; Model 2's `passengerCapacity` is a synonymous deviation. Model 2 uses role labels (`organizedBy`, `bookedThrough`, `headsFor`, `issuedFor`, `issuedTo`) that align well with requirement verbs. Both consistent overall.
5. Adherence of UML class diagram standards: Model 1 = 4, Model 2 = 5; Evidence: Both use valid PlantUML class-diagram syntax, notation, and conventions. Model 1 loses a point because it declares the Cruise-Guest relationship twice with incompatible multiplicities (`Cruise "1" -- "0..*" Guest` and `Guest "0..*" -- "0..*" Cruise`), an inconsistent/redundant modeling of the same association. Model 2 declares each relationship once with consistent role labels and multiplicities.
Total: Model 1 = 19, Model 2 = 22
Choice: B
Reason:
1. Appropriate conceptual classes: identical class coverage; tie at 5/5.
2. Associations/Multiplicities: Model 2 is substantially more accurate. It correctly captures ship reuse across cruises (`Cruise * -- 1 Ship`), destination-area reuse (`Cruise * -- 1 DestinationArea`), the booking-to-cruise link (`Booking * -- 1 Cruise : books`), and ticket ownership (`Ticket * -- 1 Guest`). Model 1 gets these wrong and, most critically, fails to connect Booking to Cruise at all, instead linking Booking to Ticket. Model 1's only advantage here is the correct Provider multiplicity, which Model 2 gets wrong (`Cruise 1 -- 1 Provider`); however, a single provider-side error is less damaging than Model 1's cluster of business-relationship errors and the missing core Booking→Cruise association.
3. Model attributes and terminology: essentially equivalent; both fully cover the required attributes and domain terms with only minor synonym differences.
4. UML standards: Model 2 is cleaner — each association appears once with consistent role labels, whereas Model 1 duplicates the Cruise-Guest association with contradictory multiplicities.
5. Rejected/checked issues: I did not penalize Model 2 for `Cruise "*" -- "*" Employee` (requirement does not state an employee serves exactly one cruise), nor either model for adding a ticket identifier (not a stated requirement fact but harmless). I did not reward Model 2's `duration: Duration` over Model 1's `duration: Integer` since both are acceptable. The `passengerCapacity` vs `numberOfPassengers` difference was treated as a synonym, not an error.
Overall judgment: Model 2 better reflects the domain's association and multiplicity constraints — the decisive criterion given that conceptual classes and attributes are nearly identical. Model 1's incorrect ship/destination multiplicities, broken Booking↔Ticket linkage in place of Booking↔Cruise, wrong Guest↔Ticket cardinality, and duplicated Cruise↔Guest association outweigh Model 2's single Provider multiplicity error. Choice B.
```</t>
  </si>
  <si>
    <t>House</t>
  </si>
  <si>
    <t>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</si>
  <si>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</si>
  <si>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(classes, attributes, essentials): Model 1 = 4, Model 2 = 3; Evidence: Both include House (address, buildingMaterial: BuildingMaterial enum WOOD/BRICK/CONCRETE), Basement (name, size) with EarthBasent (humidityLevel) and ConcreteBasement via inheritance, SemiDetachedHouse (garden flag, window count), Carport (isDouble, hasFlatRoof), Garage (hasAutomaticDoor), Company (name, address), and a Job/JobLog (hours, price). Model 1 adds an unrequested jobDate attribute and intermediate classes ParkingFacility/CarportParking/GarageParking; Model 2 omits extra attributes but relies on a note (ignored per guidelines) for the carport/garage constraint, so its multiplicities (0..2 Carport, 0..1 Garage) permit invalid combinations (e.g., 1 carport + 1 garage, or 0 of both).
2. Associations, cardinalities, relationship types: Model 1 = 4, Model 2 = 3; Evidence: Model 1 enforces "either two carports or a garage" structurally via ParkingFacility hierarchy (CarportParking *-- "2" Carport, GarageParking *-- "1" Garage, SemiDetachedHouse *-- "1" ParkingFacility) and uses House "1" -- "1..*" Company, matching "each house is serviced by several companies". Model 2 uses SemiDetachedHouse "1" -- "0..2" Carport and "1" -- "0..1" Garage without enforcing the exclusive-or (note ignored), and House "*" -- "*" Company, whose "*" on the company side allows a house with zero companies, weakening "serviced by several companies". Both model the job log acceptably (Model 1: Job linked to House and Company; Model 2: JobLog linked to House and Company). Model 1 uses composition for Basement (House *-- "0..1" Basement) which fits "house may have a basement" as a part; Model 2 uses plain association.
3. Clarity of class names and optional attributes: Model 1 = 4, Model 2 = 4; Evidence: Both use clear, recognizable class names and sensible attribute names. Model 2's hasOwnGarden/numberOfWindows are slightly more faithful to the wording ("its own garden", "how many windows"), while Model 1's hasGarden/windowCount are equally clear. Model 1's intermediate ParkingFacility/CarportParking/GarageParking add naming overhead but remain understandable.
Total: Model 1 = 12, Model 2 = 11
Choice: A
Reason:
1. Requirement alignment: Model 1 covers all required facts and structurally enforces the "either two carports or a garage" rule; Model 2 cannot enforce it once notes are ignored, and its Company multiplicity allows a house to have no servicing companies.
2. Associations/cardinalities: Model 1's discriminated ParkingFacility hierarchy correctly captures the exclusive-or with exact counts (2 carports / 1 garage), and its 1..* Company side respects "several companies"; Model 2's loose multiplicities (0..2, 0..1, *) under-constrain the same relationships.
3. Rejected or checked issues: I did not penalize Model 1 for the extra jobDate attribute or intermediate parking classes beyond noting them, since they do not contradict the requirement; I did not penalize Model 2 for using JobLog vs Job (both acceptable) or for abstract Basement (optional abstractness). I also did not favor Model 1 merely for using composition over association for Basement, as both are acceptable.
4. Overall judgment: Model 1 is moderately better because it enforces the key exclusive-or constraint and the "serviced by several companies" multiplicity structurally, whereas Model 2 depends on an ignored note and uses weaker multiplicities. The gap is meaningful but not large.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</si>
  <si>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</si>
  <si>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decouples SemiDetachedHouse from concrete parking types via the abstract `ParkingFacility` (`SemiDetachedHouse *-- "1" ParkingFacility`, then `ParkingFacility &lt;|-- CarportParking/GarageParking`), depending only on the abstraction. Model 2 couples `SemiDetachedHouse` directly to both `Carport` (`SemiDetachedHouse "1" -- "0..2" Carport`) and `Garage` (`SemiDetachedHouse "1" -- "0..1" Garage`). Both keep the `Job`/`JobLog` class cleanly associated to `House` and `Company`. Roughly comparable: Model 1 has better decoupling through abstraction; Model 2 is simpler with fewer indirections.
2. Complexity: Model 1 = 3, Model 2 = 4; Evidence: Model 1 introduces three classes not present in the requirement vocabulary — `ParkingFacility`, `CarportParking`, `GarageParking` — plus an extra `jobDate: Date` attribute on `Job` not stated in the requirement, raising class count to 13 and adding an extra inheritance hierarchy. Model 2 stays lean (10 classes) with attributes mapping directly to requirement nouns (`hasOwnGarden`, `numberOfWindows`, `hours`, `price`). Model 2's complexity is more appropriately balanced; Model 1 is somewhat over-engineered.
3. Practicability: Model 1 = 5, Model 2 = 3; Evidence: Model 1 semantically enforces the hard requirement "either two carports or a garage" via `CarportParking *-- "2" Carport` and `GarageParking *-- "1" Garage`, with `SemiDetachedHouse *-- "1" ParkingFacility` guaranteeing exactly one mutually-exclusive parking option — invalid states are not representable. Model 2 uses `SemiDetachedHouse "1" -- "0..2" Carport` and `"0..1" Garage`, which permits invalid combinations (0 carports and 0 garage, 1 carport, or a carport plus a garage); the correct "exactly two / exactly one" constraint appears only in a `note` (which must be ignored), so the multiplicities actively allow invalid states. Model 2 is readable and lean, but its failure to model a core XOR/quantity constraint in UML semantics materially weakens practical viability and testability.
Total: Model 1 = 12, Model 2 = 11
Choice: A
Reason:
1. Cohesion and Decoupling: Both are comparable; Model 1's `ParkingFacility` abstraction lowers coupling to concrete parking types, while Model 2's direct associations are simpler. Neither clearly dominates.
2. Complexity: Model 2 is leaner and maps directly to requirement concepts; Model 1 adds three invented intermediate classes (`ParkingFacility`, `CarportParking`, `GarageParking`) and an unstated `jobDate`, making it slightly over-complex. Model 2 wins here.
3. Rejected or checked issues: I did not penalize Model 1 for using `int`/`double`/`boolean` or `*`/`1` multiplicities, nor for the `'opposite servicedHouses` comment (forbidden penalties). I did not heavily penalize Model 1's `House "1" -- "1..*" Company` multiplicity because the requirement is silent on how many houses a company services, so the "1" on the House side is an assumption rather than a contradiction. I also did not reward Model 2 for its note (notes must be ignored).
4. Overall judgment: The decisive factor is the "either two carports or a garage" requirement. Model 1 enforces it semantically (exactly 2 carports via `CarportParking *-- "2" Carport`, exactly 1 garage via `GarageParking *-- "1" Garage`, and a mandatory single `ParkingFacility`), preventing invalid states. Model 2 expresses it only through a note (ignored) and uses `0..2`/`0..1` multiplicities that allow invalid configurations, failing to capture a core business rule. This coverage gap on a hard requirement outweighs Model 2's leanness advantage, so Model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</si>
  <si>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</si>
  <si>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identify House, SemiDetachedHouse, Basement/EarthBasement/ConcreteBasement, BuildingMaterial enum, Carport, Garage, Company, and a job record class (Job in M1, JobLog in M2). M1 introduces transparent refinements ParkingFacility/CarportParking/GarageParking to model the carport-vs-garage alternative; these keep the base requirement terms recognizable and are not penalized.
2. Associations/Multiplicities between classes for domain reasoning: Model 1 = 5, Model 2 = 4; Evidence: M1 enforces "either two carports or one garage" structurally via SemiDetachedHouse *-- "1" ParkingFacility with two generalization branches, CarportParking *-- "2" Carport and GarageParking *-- "1" Garage. House "1" -- "1..*" Company and Job links to both House and Company are correct. M2 uses SemiDetachedHouse "1" -- "0..2" Carport and "1" -- "0..1" Garage with only a note describing the XOR; the multiplicities alone do not enforce "either/or", weakening the modeled constraint.
3. Model attributes with appropriate data types: Model 1 = 5, Model 2 = 5; Evidence: Both model address:String, buildingMaterial:BuildingMaterial, basement size/name, EarthBasement.humidityLevel, carport isDouble/hasFlatRoof, garage hasAutomaticDoor, Company name/address, and job hours/price with numeric types. M1 adds jobDate:Date (harmless extra). Types are appropriate.
4. Consistencies of Terminology with given context: Model 1 = 4, Model 2 = 5; Evidence: M2 uses "JobLog" (matches "job log"), "hasOwnGarden" (matches "its own garden"), "numberOfWindows" — closer to requirement wording. M1 uses "Job", "hasGarden", "windowCount" — semantically correct but slightly less faithful to source terms.
5. Adherence of UML class diagram standards: Model 1 = 5, Model 2 = 5; Evidence: Both use valid PlantUML class/enum syntax, generalization (&lt;|--), associations with multiplicities, and abstract markers where appropriate. No notation violations.
Total: Model 1 = 24, Model 2 = 24
Choice: C
Reason:
1. Appropriate conceptual classes: Both models fully cover the domain; M1's ParkingFacility intermediates are transparent refinements and do not constitute a coverage advantage.
2. Associations/Multiplicities: M1 is stronger here, structurally enforcing the "two carports OR one garage" XOR via a discriminator hierarchy with exact multiplicities, whereas M2 relies on a note over permissive 0..2 / 0..1 multiplicities.
3. Rejected/checked issues: Did not penalize M1 for int/boolean/double aliases, single-quote comments, jobDate extra attribute, or opposite-direction associations; did not reward M2 for shorter length. Did not penalize M2 for House "*" -- "*" Company since many-to-many is acceptable for "serviced by several companies".
4. Overall judgment: M1's advantage in multiplicities/domain reasoning is offset by M2's closer terminology fidelity (JobLog, hasOwnGarden), yielding equal totals and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</si>
  <si>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</si>
  <si>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Classes &amp; attributes alignment: Model 1 = 5, Model 2 = 3; Evidence: Model 1 defines House(address, buildingMaterial), a BuildingMaterial enum {WOOD,BRICK,CONCRETE}, Basement(name,size), EarthBasement(humidityLevel), ConcreteBasement, SemiDetachedHouse(hasGarden,windowCount), Carport(isDouble,hasFlatRoof), Garage(hasAutomaticDoor), Company(name,address), Job(hours,agreedPrice) — all required attributes present. Model 2 covers the same core classes but represents buildingMaterial as a plain String (loses the wood/brick/concrete constraint), adds no enum, and uses a JobLog class with hours/agreedPrice; the material constraint and enum semantics are weaker.
2. Inheritance &amp; generalization: Model 1 = 5, Model 2 = 4; Evidence: Both correctly model House&lt;|--SemiDetachedHouse and Basement&lt;|--EarthBasement/ConcreteBasement. Model 1 additionally introduces a ParkingFacility/CarportParking/GarageParking hierarchy to express the "either two carports or a garage" alternative via polymorphism — a reasonable refinement capturing the exclusive-or. Model 2 omits this refinement but still satisfies the required inheritance for House and Basement.
3. Associations &amp; multiplicities: Model 1 = 5, Model 2 = 2; Evidence: Model 1 uses House*--"0..1" Basement (correct optional composition), House "1"--"1..*" Company (matches "serviced by several"), SemiDetachedHouse*--"1" ParkingFacility with CarportParking*--"2" Carport and GarageParking*--"1" Garage (enforces "either two carports or a garage"). Model 2 uses House o-- Basement, House o-- Company, SemiDetachedHouse o-- Carport, SemiDetachedHouse o-- Garage, and Company o-- JobLog — none of these carry any multiplicity, so "0..1", "several", and "two carports" are lost, and the carport/garage exclusive-or is not enforced.
4. Job-log semantics: Model 1 = 5, Model 2 = 2; Evidence: Model 1's Job class links to both House (performedAt) and Company (performedBy), correctly capturing "a company carries out a job in a house" with hours and agreedPrice recorded. Model 2's JobLog is only associated with Company (Company o-- JobLog) and has no link to House, so it is impossible to determine which house a job was performed in — a direct loss of the stated requirement.
5. Composition vs aggregation appropriateness: Model 1 = 5, Model 2 = 3; Evidence: Model 1 models Basement as a composition of House (*--), fitting since a basement is an integral part of a house, with 0..1 capturing "may have". Model 2 uses aggregation (o--) with no multiplicity, which is less precise for an integral part and omits the optional constraint.
6. Forbidden-penalty check (no illegal deductions): Model 1 = 5, Model 2 = 5; Evidence: Both models' minor stylistic differences (visibility markers in Model 2, PlantUML comment 'opposite servicedHouses in Model 1, primitive type aliases, * vs 1..1) are treated as neutral per the rules; no score was reduced for these factors.
Total: Model 1 = 30, Model 2 = 19
Choice: A
Reason:
1. Classes &amp; attributes: Model 1 fully captures the material constraint via a BuildingMaterial enum, whereas Model 2 only uses a String; Model 1 also retains all required attributes with correct types.
2. Associations &amp; multiplicities: Model 1 provides explicit, requirement-faithful multiplicities (0..1 basement, 1..* companies, 2 carports / 1 garage via polymorphic parking facility); Model 2 omits all multiplicities and fails to enforce the exclusive-or between carports and garage.
3. Rejected/checked issues: Model 1's extra ParkingFacility/CarportParking/GarageParking hierarchy and Job.jobDate are not penalized — the parking hierarchy is a transparent refinement that improves coverage of the "either two carports or a garage" fact, and the extra timestamp is minor. Model 2's use of String for buildingMaterial and Boolean/Float aliases is not penalized under primitive-type rules; the deduction stems from the lost enum constraint and missing multiplicities, not the aliasing.
4. Overall judgment: Model 1 is substantially better because it faithfully represents every required relationship with correct cardinalities, models the material constraint as an enumeration, enforces the exclusive parking alternative through inheritance, and links the job log to both House and Company; Model 2 loses key multiplicities, fails to enforce the carport/garage alternative, and disconnects the job log from the house.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</si>
  <si>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</si>
  <si>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concerns into distinct cohesive units (House hierarchy, Basement hierarchy, a dedicated ParkingFacility hierarchy for the carport/garage either-or, and a Job class that independently links House and Company via `Job --&gt; House` and `Job --&gt; Company`). Model 2 has fewer classes but couples the job record only to Company (`Company o-- JobLog`) without any link to House, forcing the house-job relationship to be inferred externally; its Carport/Garage both hang directly off SemiDetachedHouse with no mediating concept.
2. Complexity: Model 1 = 4, Model 2 = 3; Evidence: Model 1 uses 13 classes with an enum `BuildingMaterial {WOOD, BRICK, CONCRETE}` appropriately and a 2-level inheritance tree; the `ParkingFacility`/`CarportParking`/`GarageParking` intermediate classes add traceable structure that encodes the "either two carports or a garage" choice. Model 2 has 9 classes (simpler) but models `buildingMaterial: String` instead of a constrained enum, drops the carport count and the either-or constraint, and leaves `JobLog` detached from House — the reduced complexity comes at the cost of requirement coverage.
3. Practicability: Model 1 = 5, Model 2 = 3; Evidence: Model 1 is readable and encodes hard constraints multiplicities: `House *-- "0..1" Basement` (may have), `CarportParking *-- "2" Carport` and `GarageParking *-- "1" Garage` (either-or), `House "1" -- "1..*" Company` (several companies), and `Job` records hours/agreedPrice tied to both House and Company. Model 2 omits multiplicities on `House o-- Basement`, `SemiDetachedHouse o-- Carport`, `House o-- Company` (so "may have", "two carports", "several" are not captured), allows both Carport and Garage simultaneously (violating the either-or), and its `JobLog` connects only to Company so the house involved in a job is not recorded.
Total: Model 1 = 13, Model 2 = 9
Choice: A
Reason:
1. Cohesion and Decoupling: Model 1 places each concept in a cohesive class and keeps the job record decoupled via separate `Job` associations to House and Company; Model 2's JobLog is only attached to Company, losing the house linkage and reducing usefulness.
2. Complexity: Model 1's extra intermediate classes (ParkingFacility subtype strategy, BuildingMaterial enum, Job) are justified and traceable to requirement facts; Model 2 is leaner but the simplification drops the carport multiplicity, the either-or constraint, and a constrained material type.
3. Rejected or checked issues: I did not penalize Model 2 for using `String`/`Float`/`Boolean` type aliases (forbidden penalty), nor Model 1 for the `'opposite bank` comment or for opposite-direction association `House -- Company` (forbidden). I also did not reward Model 1's extra `jobDate: Date` attribute (implementation detail not in the requirement). The deciding factors are the missing multiplicities, the missing either-or constraint, and the JobLog-to-House omission in Model 2.
4. Overall judgment: Model 1 better satisfies the requirement with correct multiplicities, the either-or parking constraint, an enum-constrained building material, and a Job record linked to both House and Company; Model 2 is simpler but loses key domain constraints and the house side of the job log.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</si>
  <si>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</si>
  <si>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Both models capture House, SemiDetachedHouse, Basement, EarthBasement, ConcreteBasement, Carport, Garage, Company, and a job record (Job/JobLog). Model 1 additionally models BuildingMaterial as an explicit enum (WOOD/BRICK/CONCRETE) matching the requirement's closed list, and introduces intermediate classes (ParkingFacility, CarportParking, GarageParking) to express the "either two carports or a garage" alternative. Model 2 omits the BuildingMaterial enum, representing buildingMaterial only as a String, which weakens domain fidelity.
2. Associations/Multiplicities between classes for domain reasoning: Model 1 = 4, Model 2 = 2; Evidence: Model 1 specifies House *-- "0..1" Basement (house may have a basement), House "1" -- "1..*" Company (several companies), Job --&gt; "1" House and Job --&gt; "1" Company (job tied to both house and company), and CarportParking *-- "2" Carport / GarageParking *-- "1" Garage (two carports or a garage). Model 2 uses House o-- Basement, SemiDetachedHouse o-- Carport/Garage, House o-- Company, and Company o-- JobLog with NO multiplicities anywhere; the "several companies" and "two carports" constraints are unexpressed, and JobLog links only to Company, not to House.
3. Model attributes with appropriate data types: Model 1 = 5, Model 2 = 3; Evidence: Model 1 uses buildingMaterial: BuildingMaterial (enum), size: double, humidityLevel: double, hasGarden: boolean, windowCount: int, hours: int, agreedPrice: double; types are appropriate (jobDate is extra but harmless). Model 2 models buildingMaterial: String (loses the wood/brick/concrete enumeration) and size: String (numeric size as String is questionable); other attributes (hasGarden: Boolean, numberOfWindows: Integer, hours: Float, agreedPrice: Float) are acceptable.
4. Consistencies of Terminology with given context: Model 1 = 4, Model 2 = 4; Evidence: Model 1 uses "windowCount" (paraphrase of "how many windows"), "Job" (for "job log"), and enum literals WOOD/BRICK/CONCRETE matching the requirement. Model 2 uses "numberOfWindows" and "JobLog" which align closely with the requirement wording, but "buildingMaterial: String" does not reflect the enumerated materials. Both are largely consistent with minor differences.
5. Adherence of UML class diagram standards: Model 1 = 5, Model 2 = 4; Evidence: Model 1 uses enum, generalization, composition with multiplicities, and named associations consistently; the `'opposite servicedHouses` comment is a standard tooling annotation (ignored per rules). Model 2 uses valid PlantUML syntax and aggregation, but most associations omit multiplicities, leaving association semantics defaulting/unspecified — a notational incompleteness.
Total: Model 1 = 23, Model 2 = 17
Choice: A
Reason:
1. Appropriate conceptual classes: Model 1 is stronger because it introduces the BuildingMaterial enum (capturing the closed list wood/brick/concrete) and intermediate parking classes that express the carports-or-garage alternative; Model 2 lacks the enum and the alternative-structure modeling.
2. Associations/Multiplicities: Model 1 is clearly superior, providing House*--0..1 Basement, House 1--1..* Company, Job--&gt;1 House and Job--&gt;1 Company, and the 2 carports / 1 garage multiplicities. Model 2 omits multiplicities entirely and connects JobLog only to Company (not to House), losing the "company carries out a job in a house" relationship.
3. Model attributes: Model 1 uses correct/stronger types (BuildingMaterial enum, numeric size:double), while Model 2 weakens buildingMaterial to String and size to String.
4. Terminology: Both are largely consistent; minor naming differences (windowCount vs numberOfWindows, Job vs JobLog) are not decisive.
5. Rejected/checked issues: I did not penalize Model 1 for the extra Job.jobDate attribute or for the `'opposite servicedHouses` comment, and I did not penalize the use of int/boolean aliases or the intermediate ParkingFacility/CarportParking/GarageParking refinement classes (transparent refinements per guidelines). I also did not reward Model 1 merely for being longer.
6. Overall judgment: Model 1 better satisfies the requirement across all criteria, especially associations/multiplicities and attribute typing, while still adhering to UML standards; Model 2 is syntactically valid but semantically under-specified on key relationships and multiplicities.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</si>
  <si>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</si>
  <si>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&amp; essentials alignment: Model 1 = 5, Model 2 = 4; Evidence: Model 1 introduces a `BuildingMaterial` enum with WOOD/BRICK/CONCRETE matching the requirement's closed list of materials; Model 2 only uses `buildingMaterial: String`, losing the three-value constraint. Both correctly model House, Basement (EarthBasement/ConcreteBasement), SemiDetachedHouse, Carport, Garage, Company, JobLog.
2. Associations, cardinalities &amp; relationship types: Model 1 = 5, Model 2 = 2; Evidence: Model 1 specifies `House "1" -- "0..1" Basement` (optional basement), `SemiDetachedHouse "1" -- "0..2" Carport` and `"0..1" Garage` with an XOR note, `House "*" -- "*" Company` (many-to-many servicing), and links `JobLog` to BOTH `House "1"` and `Company "1"`. Model 2 uses unspecified `o--` aggregations with no multiplicities, omits the House↔JobLog link entirely (JobLog only connected to Company), and gives no 0..1 on basement or the two-carports/one-garage constraint.
3. Inheritance &amp; specialisation correctness: Model 1 = 5, Model 2 = 5; Evidence: Both model `House &lt;|-- SemiDetachedHouse`, `Basement &lt;|-- EarthBasement`, `Basement &lt;|-- ConcreteBasement`. Model 1 marks Basement abstract; Model 2 does not — not penalised per forbidden rule. Requirement's "exactly two types of basements" is captured via inheritance in both.
4. Attributes &amp; type clarity: Model 1 = 5, Model 2 = 3; Evidence: Model 1 uses `buildingMaterial: BuildingMaterial`, `size: float`, `humidityLevel: float`, `hasOwnGarden: boolean`, `numberOfWindows: int`, `isDouble`, `hasFlatRoof`, `hasAutomaticDoor`, `hours/price`. Model 2 uses `buildingMaterial: String` (weak), `size: String` (semantically odd for a measurement), `humidityLevel: Float`, `agreedPrice: Float`; the rest align. No forbidden penalties applied for primitive-type aliases.
5. Requirement fidelity (no hallucination / no omission of hard facts): Model 1 = 5, Model 2 = 3; Evidence: Model 1 captures every stated fact: optional basement, two basement types, earth humidity, semi-detached garden/windows, carport double+flat-roof, garage automatic door, companies with name/address, house serviced by several companies (M-N), and job log recording hours+price tied to both house and company. Model 2 omits the House↔JobLog relation (a job log records a job "in a house" by a company — both ends needed) and leaves "two carports or one garage" unconstrained.
Total: Model 1 = 25, Model 2 = 17
Choice: A
Reason:
1. Conceptual classes &amp; essentials: Model 1 wins via the `BuildingMaterial` enum enforcing wood/brick/concrete; Model 2 weakens this to a plain String.
2. Associations/cardinalities: Model 1 provides explicit multiplicities (0..1 basement, 0..2 carports, 0..1 garage, *–* company) and the critical House↔JobLog link with a XOR note; Model 2 uses bare aggregations, omits House↔JobLog, and leaves key cardinalities/constraints unspecified.
3. Rejected or checked issues: Did not penalize Model 2 for primitive-type aliases (Boolean/Float/String) or for not marking Basement abstract; did not reward Model 1 merely for being more verbose — the extra detail is traceable to requirement facts (multiplicities, enum, JobLog–House link). Aggregation-vs-association style in Model 2 was treated as a notational choice, not a domain error, except where it obscured required cardinality.
4. Overall judgment: Model 1 faithfully and completely represents the requirement, including the optional basement, the carport/garage XOR constraint, the many-to-many house–company servicing, and the job log tied to both house and company. Model 2 omits the House↔JobLog association and the key multiplicities/constraints, making it materially less aligned with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</si>
  <si>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</si>
  <si>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introduces a `BuildingMaterial` enum (WOOD/BRICK/CONCRETE) encoding the domain constraint that material is one of exactly three values, and routes the house-company-job relationship through a `JobLog` class connected to both `House "1" -- "*" JobLog` and `Company "1" -- "*" JobLog`, keeping House and Company decoupled except via the log. Model 2 uses `buildingMaterial: String` (no enum, losing the closed-list domain constraint) and connects `House o-- Company` directly plus `Company o-- JobLog`, but JobLog is not linked to House, so the recording of a job "in a house" loses its House association; this weakens cohesion of the JobLog concept and misplaces the house-job link onto House-Company.
2. Complexity: Model 1 = 5, Model 2 = 4; Evidence: Both use a comparable class count (Model 1: 10 classes incl. enum; Model 2: 9 classes). Inheritance depth is identical (House→SemiDetachedHouse; Basement→EarthBasement/ConcreteBasement). Model 1's extra `BuildingMaterial` enum is justified by the requirement's explicit closed list (wood/brick/concrete). Model 2 marks Basement, ConcreteBasement with `{}` and uses aggregation (`o--`) broadly; complexity is balanced in both. Neither over-creates classes from nouns.
3. Practicability: Model 1 = 4, Model 2 = 3; Evidence: Model 1 captures key constraints: `House "1" -- "0..1" Basement` (a house may have a basement), `SemiDetachedHouse "1" -- "0..2" Carport` and `"0..1" Garage` with a note clarifying "either exactly two Carports or exactly one Garage" (xor constraint), `House "*" -- "*" Company` (serviced by several companies), and JobLog linked to both House and Company (hours/price recorded per job in a house). Model 2 uses `o--` for House-Basement (acceptable for "may have"), but `SemiDetachedHouse o-- Carport` and `o-- Garage` omit multiplicities entirely, failing to encode "two carports or one garage"; `House o-- Company` lacks multiplicity for "several companies"; and JobLog is only linked to Company, not House, so "carries out a job in a house" is not modeled. Model 2 also uses `size: String` for Basement, a domain/type weakness.
Total: Model 1 = 13, Model 2 = 10
Choice: A
Reason:
1. Cohesion and Decoupling: Model 1 properly mediates the house-company relationship through JobLog linked to both entities, and uses a dedicated enum for the closed material list; Model 2 misplaces the house-job link and loses the enum constraint.
2. Complexity: Both are comparably complex and balanced; Model 1's extra enum is justified by the explicit three-value list in the requirement, so no penalty.
3. Practicability: Model 1 encodes multiplicities (0..1 basement, 0..2 carport, 0..1 garage, *..* companies) and the xor constraint via a note, and connects JobLog to both House and Company. Model 2 omits multiplicities on carport/garage/company associations and fails to link JobLog to House, a substantive requirement gap ("job in a house").
4. Rejected or checked issues: Did not penalize Model 2 for primitive type aliases (String/Boolean/Float vs int/boolean/float), for `{}` empty body on ConcreteBasement, or for using aggregation `o--` vs association `--` (semantically acceptable for "may have"). Did not reward Model 1 for visibility markers or the note per se, only for the xor constraint it conveys. The note-based xor is weaker than a true UML constraint `{xor}` but still communicates the requirement.
5. Overall judgment: Model 1 is better due to fuller multiplicity coverage, the BuildingMaterial enum reflecting the closed list, and correct linkage of JobLog to both House and Company, which Model 2 misses.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</si>
  <si>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</si>
  <si>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Both models include House, Basement, EarthBasement, ConcreteBasement, SemiDetachedHouse, Carport, Garage, Company, JobLog. Model 1 additionally models BuildingMaterial as an enum (WOOD/BRICK/CONCRETE), faithfully capturing the constrained material domain; Model 2 only uses a String for buildingMaterial, a weaker representation of the same concept.
2. Associations/Multiplicities between classes for domain reasoning: Model 1 = 4, Model 2 = 2; Evidence: Model 1 specifies House"1"--"0..1"Basement (house may have a basement), SemiDetachedHouse"1"--"0..2"Carport and "1"--"0..1"Garage, House"1"--"*"JobLog, Company"1"--"*"JobLog, House"*"--"*"Company (several companies); the "either two carports or one garage" is captured only via a note, not a UML xor constraint. Model 2 uses aggregation (o--) with NO multiplicities anywhere, omits the House-JobLog association entirely, and connects only Company o-- JobLog, losing the ternary "company carries out a job in a house" semantics.
3. Model attributes with appropriate data types: Model 1 = 5, Model 2 = 3; Evidence: Model 1 uses BuildingMaterial enum, size: float, name: String, humidityLevel: float, hasOwnGarden: boolean, numberOfWindows: int, isDouble/hasFlatRoof: boolean, hasAutomaticDoor: boolean, hours: float, price: float — all appropriate. Model 2 uses buildingMaterial: String (less precise), size: String (incorrect — size should be numeric), and otherwise correct types (hasGarden: Boolean, numberOfWindows: Integer, agreedPrice: Float).
4. Consistencies of Terminology with given context: Model 1 = 4, Model 2 = 4; Evidence: Model 1 matches "its own garden" via hasOwnGarden but uses "price" where requirement says "agreed price". Model 2 uses hasGarden (drops "own") but matches "agreed price" with agreedPrice. Both align with most domain terms; minor inconsistencies on opposite ends balance out.
5. Adherence of UML class diagram standards: Model 1 = 5, Model 2 = 4; Evidence: Both use valid PlantUML syntax (classes, inheritance `&lt;|--`, aggregation). Model 1 properly uses multiplicities, abstract class, and enum, forming a complete, readable diagram. Model 2 is syntactically valid but lacks multiplicities on all associations, making the diagram semantically incomplete per UML class diagram conventions.
Total: Model 1 = 23, Model 2 = 17
Choice: A
Reason:
1. Conceptual classes: Model 1 is fully aligned with an explicit BuildingMaterial enum; Model 2 omits this and weakens buildingMaterial to a String.
2. Associations/Multiplicities: Model 1 provides correct multiplicities for house-basement (0..1), carports (0..2), garage (0..1), and the House/Company/JobLog ternary via House--JobLog and Company--JobLog. Model 2 omits all multiplicities and loses the House-JobLog link, a critical domain relationship.
3. Attributes: Model 1 uses correct types throughout (float for size, enum for material); Model 2 incorrectly types size as String and weakens buildingMaterial to String.
4. Terminology: Roughly balanced — Model 1 better matches "own garden", Model 2 better matches "agreed price"; both score equally.
5. Rejected or checked issues: Did not penalize Model 2 for using `o--` aggregation vs `--` association (style choice); did not penalize either model for primitive type aliases (float vs Float, int vs Integer). The note-based xor in Model 1 was treated as a minor domain-constraint weakness, not a UML syntax error.
6. Overall judgment: Model 1 is substantially better, with complete multiplicities, correct attribute types, the BuildingMaterial enum, and the proper ternary linkage between House, Company, and JobLog. Model 2's missing multiplicities and missing House-JobLog association represent significant domain reasoning gaps.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</si>
  <si>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</si>
  <si>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&amp; attributes coverage: Model 1 = 5, Model 2 = 5; Evidence: Both define House(address, buildingMaterial), BuildingMaterial enum (WOOD/BRICK/CONCRETE), Basement(size, name), EarthBasement(humidityLevel), ConcreteBasement, SemiDetachedHouse(garden, windowCount), Carport(isDouble, hasFlatRoof), Garage(hasAutomaticDoor), Company(name, address), and a job record class with hours and price. All required facts covered by both.
2. Inheritance &amp; specialization: Model 1 = 5, Model 2 = 5; Evidence: Both model House &lt;|-- SemiDetachedHouse and Basement &lt;|-- EarthBasement / ConcreteBasement, matching "two different types of basements" and "special type of house". M1 marks Basement abstract; M2 does not — per forbidden rule this is neutral.
3. Associations &amp; cardinalities (house-basement &amp; house-company): Model 1 = 3, Model 2 = 4; Evidence: Both set House–Basement to 0..1 ("may have a basement"). For "each house is serviced by several companies", M1 uses House "*" -- "*" Company, which permits a house with zero companies and does not encode "several"; M2 uses House "1" -- "1..*" Company : servicingCompanies, closer to "several" (at least one; still not strictly 2..* but stronger).
4. XOR constraint "either two carports or a garage": Model 1 = 3, Model 2 = 5; Evidence: M1 sets SemiDetachedHouse "1" -- "0..2" Carport and "1" -- "0..1" Garage plus a note saying "either exactly two Carports or exactly one Garage" — the multiplicities alone allow e.g. 1 carport + 1 garage, so the XOR is only expressed informally via a note. M2 introduces abstract ParkingFacility with SemiDetachedHouse *-- "1" ParkingFacility, and subtypes CarportParking *-- "2" Carport and GarageParking *-- "1" Garage, which structurally enforces "exactly two carports OR exactly one garage".
5. Job log &amp; company servicing relationships: Model 1 = 5, Model 2 = 5; Evidence: M1 has JobLog linked to both House ("1"--"*") and Company ("1"--"*"), recording hours and price, plus a redundant House–Company association. M2 uses Job with hours, agreedPrice (and an extra jobDate — neutral per rules) linked Job --&gt; "1" House and Job --&gt; "1" Company, and a separate House "1" -- "1..*" Company servicing relation. Both capture "whenever a company carries out a job in a house, hours and agreed price are recorded".
Total: Model 1 = 21, Model 2 = 24
Choice: B
Reason:
1. Conceptual classes &amp; attributes: Tie — both fully cover all required entities and stored fields with accurate names.
2. Inheritance &amp; specialization: Tie — identical generalisation structures for House/SemiDetached and Basement/Earth/Concrete.
3. Associations &amp; cardinalities: Model 2 better — its House "1" -- "1..*" Company relation is closer to "serviced by several companies" than Model 1's undifferentiated "*" -- "*" which allows zero companies.
4. XOR constraint: Model 2 clearly better — it encodes the "either two carports or one garage" exclusive choice through an abstract ParkingFacility with two concrete subtype collections (2 carports / 1 garage), whereas Model 1 only states the XOR in a note while its 0..2 / 0..1 multiplicities admit invalid combinations (e.g. one carport plus one garage).
5. Job log &amp; servicing: Tie — both link a job record (JobLog/Job) to House and Company with hours and price; Model 2's extra jobDate is neutral under the evidence rules.
3. Rejected or checked issues: (a) Model 1 marking Basement abstract vs Model 2 not — neutral per forbidden rule. (b) Model 2's ParkingFacility/CarportParking/GarageParking are transparent intermediate refinements — explicitly not penalised. (c) Model 2's jobDate extra attribute — neither rewarded nor penalised. (d) Opposite-direction associations / PlantUML comments — not present as a deciding factor here.
4. Overall judgment: Model 2 better models the key business constraint (exclusive carports-or-garage) structurally and represents the "serviced by several companies" multiplicity more faithfully, giving it a meaningful edge while matching Model 1 on all other criteria.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</si>
  <si>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</si>
  <si>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keeps each class singular-purpose (House, Basement hierarchy, Carport/Garage, JobLog) but introduces mild redundancy: a direct `House "*" -- "*" Company` association coexists with `JobLog` linked to both `House` and `Company`, double-modeling the house-company relationship. Model 2 decouples the carport/garage "either/or" rule behind a `ParkingFacility` abstraction (`SemiDetachedHouse *-- "1" ParkingFacility` with `CarportParking`/`GarageParking` subclasses), and uses a single `Job` class linked to `House` (performedAt) and `Company` (performedBy) without a redundant direct House-Company job link, though it still keeps a `House "1" -- "1..*" Company : servicingCompanies` association. Both are reasonably cohesive; Model 2's indirection is purposeful, Model 1's JobLog-House-Company triangle is slightly more coupled.
2. Complexity: Model 1 = 4, Model 2 = 4; Evidence: Model 1 uses 11 classes (House, SemiDetachedHouse, Basement{abstract}, EarthBasement, ConcreteBasement, Carport, Garage, Company, JobLog, BuildingMaterial) with shallow 1-2 level inheritance — balanced and not over-engineered. Model 2 uses 13 classes, adding `ParkingFacility`, `CarportParking`, `GarageParking` as transparent refinement classes to enforce the xor constraint, and renames `JobLog` to `Job` while adding an unrequired `jobDate: Date` attribute. The extra layer is justified for domain reasoning (xor enforcement), and the `jobDate` is harmless minor over-specification. Both keep inheritance depth low; complexity is appropriately balanced in each.
3. Practicability: Model 1 = 3, Model 2 = 4; Evidence: Model 1 models the semi-detached parking rule with `SemiDetachedHouse "1" -- "0..2" Carport` and `"1" -- "0..1" Garage` plus a free-text note ("Has either exactly two Carports or exactly one Garage"). The multiplicities alone do NOT enforce the constraint — they permit (0 carports, 0 garage), (1 carport, 1 garage), etc. — and a note is not code-enforceable. Model 1 also uses `House "*" -- "*" Company`, where `*` allows zero companies, weakening the "serviced by several companies" requirement. Model 2 structurally enforces the either/or rule via the `ParkingFacility` polymorphic hierarchy (`CarportParking *-- "2" Carport`, `GarageParking *-- "1" Garage`, exactly one ParkingFacility per SemiDetachedHouse), which is directly implementable and testable, and uses `House "1" -- "1..*" Company` correctly capturing "several" (at least one). Both cover all required attributes (address, buildingMaterial enum, basement size/name, humidityLevel, hasGarden, windowCount, isDouble, hasFlatRoof, hasAutomaticDoor, company name/address, hours, price).
Total: Model 1 = 11, Model 2 = 12
Choice: B
Reason:
1. Cohesion and Decoupling: Comparable. Model 1's redundant House-Company plus JobLog-House-Company links slightly increase coupling; Model 2's ParkingFacility abstraction adds a purposeful decoupling layer. Roughly tied.
2. Complexity: Both balanced. Model 2 adds 3 refinement classes and one extra attribute (jobDate), but these are traceable and serve the xor constraint; not penalized as over-engineering. Tied.
3. Practicability: Model 2 is meaningfully stronger here. It structurally enforces the "either two carports or one garage" business rule through polymorphism (exactly one ParkingFacility, forced to CarportParking-with-2 or GarageParking-with-1), whereas Model 1 relies on non-enforceable multiplicities (0..2, 0..1) plus a note that admits illegal combinations. Model 2 also captures "serviced by several companies" more accurately with `1..*` vs Model 1's `*` (which permits zero). These are domain-faithfulness differences, not mere presentation.
4. Rejected/checked issues: Did NOT penalize Model 1 for using opposite-direction or note-based annotation; did NOT penalize Model 2 for `int`/`double`/`boolean` primitive aliases or for adding `jobDate` (harmless extra, not rewarded); did NOT reward either model for abstract/non-abstract `Basement` since the requirement does not specify direct instances; treated `*` vs `0..*` and `1` vs `1..1` as equivalent. The deciding factor is solely the enforceability of the xor parking constraint and the accuracy of the company multiplicity.
5. Overall judgment: Model 2 is better because it turns a key business constraint (exactly two carports OR exactly one garage) into an enforceable structural pattern and models the "several companies" multiplicity correctly, improving domain fidelity and testability. The margin is modest, not large.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</si>
  <si>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</si>
  <si>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Both models capture House, SemiDetachedHouse, Basement with EarthBasement/ConcreteBasement, Carport, Garage, Company, and a job/joblog class. Model 1 uses a clean JobLog aligned with "recorded in a job log". Model 2 introduces intermediate ParkingFacility, CarportParking, GarageParking classes not required by the domain; these are transparent refinements (not penalized heavily per guidelines) but add conceptual classes beyond the stated domain. Model 2 also names the job concept "Job" with a jobDate attribute not in the requirement.
2. Associations/Multiplicities between classes for domain reasoning: Model 1 = 4, Model 2 = 4; Evidence: House-Basement: Model 1 "1"--"0..1" (correct, a house may have a basement); Model 2 *--"0..1" (correct). Basement generalization: both correct with EarthBasement/ConcreteBasement. House&lt;|--SemiDetachedHouse: both correct. SemiDetached parking: Model 1 models "1"--"0..2" Carport OR "0..1" Garage with a note stating "exactly two Carports or exactly one Garage" — the multiplicities (0..2, 0..1) are looser than the "exactly two or exactly one" XOR constraint but the note clarifies; the XOR itself isn't formally modeled. Model 2 models ParkingFacility *--"1" with subclasses CarportParking(*--"2" Carport) and GarageParking(*--"1" Garage), which better captures the "either two carports or a garage" constraint via generalization (1 ParkingFacility, mutually exclusive subtypes). House-Company: Model 1 "*"--"*" (each house serviced by several companies) correct; Model 2 "1"--"1..*" correct ("several" → 1..*). Job/JobLog: Model 1 House"1"--"*"JobLog and Company"1"--"*"JobLog correctly records hours/price per job per company per house; Model 2 Job--&gt;House and Job--&gt;Company with hours/agreedPrice. Both adequate. The carport XOR constraint is modeled more faithfully by Model 2's generalization pattern, but Model 1's note conveys intent.
3. Model attributes with appropriate data types: Model 1 = 5, Model 2 = 5; Evidence: Model 1: address:String, buildingMaterial:BuildingMaterial(enum WOOD/BRICK/CONCRETE), basement size:float/name:String, humidityLevel:float, hasOwnGarden:boolean, numberOfWindows:int, isDouble:boolean, hasFlatRoof:boolean, hasAutomaticDoor:boolean, company name/address:String, hours:float/price:float. Model 2: equivalent with windowCount:int, size:double, humidityLevel:double, hours:int, agreedPrice:double, plus extra jobDate:Date (not required). All required attributes present in both with proper types; primitive aliases (float/double, int) not penalized per guidelines.
4. Consistencies of Terminology with given context: Model 1 = 5, Model 2 = 4; Evidence: Model 1 uses "JobLog" matching "recorded in a job log" verbatim, "hasOwnGarden"/"numberOfWindows", "isDouble"/"hasFlatRoof", "hasAutomaticDoor" all consistent with requirement phrasing. Model 2 uses "hasGarden" (vs "own garden"), "windowCount", "agreedPrice" (vs "agreed price" — fine), "ParkingFacility/CarportParking/GarageParking" terminology not present in requirement context, and "Job" instead of "job log". The job-log term divergence and invented parking-facility terminology reduce consistency slightly.
5. Adherence of UML class diagram standards: Model 1 = 5, Model 2 = 5; Evidence: Both use valid PlantUML syntax: class/enum declarations, attributes with types, generalization (&lt;|--), associations with multiplicities and role labels, composition (*--). Model 2 uses composition for contained parts; Model 1 uses plain associations. All notation is valid and comprehensible. The `'opposite servicedHouses` comment in Model 2 is ignored per forbidden penalties.
Total: Model 1 = 24, Model 2 = 23
Choice: A
Reason:
1. Appropriate conceptual classes: Model 1 maps directly to domain nouns (House, Basement, SemiDetachedHouse, Carport, Garage, Company, JobLog) without extra intermediary classes. Model 2 adds ParkingFacility/CarportParking/GarageParking layering that, while a transparent refinement, introduces classes not grounded in the requirement's stated concepts.
2. Associations/Multiplicities: Both reasonably capture the domain. Model 2's generalization-based XOR for parking is slightly more rigorous, but Model 1's note plus multiplicities convey the same intent. The House-Company-JobLog ternary recording is equivalently captured. Net near-tie; Model 1's looser carport multiplicity (0..2 vs exactly 2) is offset by the clarifying note.
3. Terminology: Model 1's "JobLog" matches the requirement's "job log" exactly, and attribute names ("hasOwnGarden", "numberOfWindows") align with "own garden" and "how many windows". Model 2 diverges ("Job", "hasGarden", "windowCount", invented parking-facility terms).
4. Rejected/checked issues: Did NOT penalize Model 2 for primitive type aliases (int/double), the `'opposite` comment, or two-line association style. Did NOT reward Model 1 merely for being shorter — the decision rests on domain-faithfulness of class/terminology mapping. Did NOT penalize Model 2's abstractness choice on Basement (requirement silent). The extra jobDate:Date in Model 2 was noted but not heavily weighted since it's an implementation-oriented addition not improving stated-requirement coverage.
5. Overall judgment: Model 1 is marginally better due to tighter terminology alignment ("job log", "own garden", "number of windows") and a cleaner class set directly traceable to the requirement, while maintaining equivalent UML validity and attribute coverage. The difference is small but consistent across domain-faithfulness criteria.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</si>
  <si>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</si>
  <si>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 identification &amp; attributes: Model 1 = 5, Model 2 = 5; Evidence: Both define House (address, buildingMaterial), Basement (size, name), EarthBasement (humidityLevel), ConcreteBasement, SemiDetachedHouse (hasGarden, window/numberOfWindows), Carport (isDouble, hasFlatRoof), Garage (hasAutomaticDoor), Company (name, address), and a job log/job class (hours, agreedPrice). Model 2 additionally models BuildingMaterial as an enum (WOOD, BRICK, CONCRETE), capturing the closed list in the requirement; Model 1 uses a plain String. Both cover required attributes.
2. Inheritance / generalisation: Model 1 = 5, Model 2 = 5; Evidence: Both model House &lt;|-- SemiDetachedHouse, Basement &lt;|-- EarthBasement, Basement &lt;|-- ConcreteBasement, correctly reflecting the two basement types and the special house type.
3. Associations &amp; multiplicities: Model 1 = 2, Model 2 = 5; Evidence: Model 1 uses `House o-- Company` with no multiplicity, missing the "several companies" cardinality, and `SemiDetachedHouse o-- Carport` / `o-- Garage` without multiplicities, missing the "two carports" requirement. Model 2 uses `House "1" -- "1..*" Company` (several companies), `CarportParking *-- "2" Carport`, `GarageParking *-- "1" Garage`, and `House *-- "0..1" Basement` (may have a basement), all matching the stated multiplicities.
4. Domain constraints (either/or, exactly two, may have basement, several companies): Model 1 = 2, Model 2 = 5; Evidence: The requirement states a semi-detached house has "either two carports or a garage" and a house "may have a basement". Model 1 only shows two independent aggregations to Carport and Garage with no either/or constraint and no "two" multiplicity. Model 2 introduces ParkingFacility with CarportParking/GarageParking subtypes (either/or via generalisation) and fixes `*-- "2" Carport` vs `*-- "1" Garage`, and `*-- "0..1" Basement` for the optional basement.
5. Job log relationship (company carries out a job in a house): Model 1 = 2, Model 2 = 5; Evidence: The requirement links the job log to a company performing a job *in a house*. Model 1 only has `Company o-- JobLog`, omitting the link to the House. Model 2 has `Job --&gt; "1" House : performedAt` and `Job --&gt; "1" Company : performedBy`, correctly recording the ternary relationship (job is for a specific house by a specific company).
Total: Model 1 = 16, Model 2 = 25
Choice: B
Reason:
1. Class identification &amp; attributes: Both models identify all required conceptual classes and attributes; Model 2's BuildingMaterial enum is a faithful refinement but not a decisive advantage here.
2. Inheritance / generalisation: Both correctly capture the two basement types and the semi-detached house specialization.
3. Associations &amp; multiplicities: Model 2 is decisively better — it encodes "several companies" (1..*), "two carports" (2), "one garage" (1), and "may have a basement" (0..1), whereas Model 1 leaves these cardinalities unspecified.
4. Domain constraints: Model 2 represents the "either two carports or a garage" constraint via a ParkingFacility generalisation with distinct subtypes and fixed multiplicities, while Model 1 shows both relations as unconstrained aggregations that fail to express the either/or and the count of two.
5. Rejected or checked issues: I did not penalize Model 1 for using String instead of an enum, nor for the `o--` aggregation style vs `*--` composition, per forbidden penalties and the abstractness/style guidance. Model 2's extra `jobDate` attribute on Job is a minor over-addition not required by the specification and was not rewarded.
Overall judgment: Model 2 is better because it accurately represents the stated multiplicities and the either/or garage-vs-two-carports constraint, and it correctly ties the job log to both the house and the company, which Model 1 omits.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</si>
  <si>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</si>
  <si>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links `Company o-- JobLog` only to Company, missing the House connection required by "a company carries out a job in a house," causing the job log to be decoupled from the house. Model 2 uses `Job --&gt; "1" House : performedAt` and `Job --&gt; "1" Company : performedBy`, coupling the Job to both entities as the requirement demands. Model 2 also introduces a `ParkingFacility` generalization with `CarportParking`/`GarageParking` subclasses, which cleanly separates the two exclusive parking options with high internal cohesion. Model 1 places both `SemiDetachedHouse o-- Carport` and `SemiDetachedHouse o-- Garage` directly, allowing both to coexist without enforcing exclusivity, weakening the design's cohesion.
2. Complexity: Model 1 = 3, Model 2 = 4; Evidence: Model 1 has 9 classes with `buildingMaterial: String` not constraining to wood/brick/concrete; it omits multiplicities for "two carports" and "several companies," leaving the model under-specified. Model 2 has 13 classes (including `BuildingMaterial` enum, `ParkingFacility`, `CarportParking`, `GarageParking`); the extra classes are justified: `BuildingMaterial` enum enforces the closed list, and the `ParkingFacility` hierarchy expresses the "either two carports or a garage" exclusive constraint via `CarportParking *-- "2" Carport` and `GarageParking *-- "1" Garage`. The depth of inheritance is modest (max 3 levels), and average methods/attributes per class is balanced.
3. Practicability: Model 1 = 3, Model 2 = 5; Evidence: Model 1 misses several requirement facts: `buildingMaterial: String` doesn't restrict to the three materials; `Company o--` lacks multiplicity so "several companies" is not explicit; `SemiDetachedHouse o-- Carport`/`o-- Garage` have no "2" multiplicity and no exclusivity; `JobLog` is disconnected from House. Model 2 captures all key requirements: `enum BuildingMaterial { WOOD, BRICK, CONCRETE }`, `House "1" -- "1..*" Company`, `CarportParking *-- "2" Carport`, `GarageParking *-- "1" Garage` with generalization enforcing mutual exclusivity, and `Job` linked to both House and Company. The design is readable, modular, and testable.
Total: Model 1 = 9, Model 2 = 13
Choice: B
Reason:
1. Cohesion and Decoupling: Model 2 better decouples responsibilities by introducing a `ParkingFacility` abstraction and linking `Job` to both `House` and `Company`. Model 1's `JobLog` is only attached to `Company`, losing the house context that the requirement explicitly states ("a company carries out a job in a house").
2. Complexity: Model 2 is more complex but the additional classes (`BuildingMaterial`, `ParkingFacility`, `CarportParking`, `GarageParking`) are traceable refinements that improve domain accuracy (material enum, exclusive "either-or" parking, "two carports" multiplicity). Model 1 is simpler but under-models key constraints.
3. Rejected or checked issues: I did not penalize Model 1 for using `Float`/`String`/`Boolean` primitive aliases (forbidden penalty #3) or for aggregation (`o--`) vs composition (`*--`) differences, since the requirement does not mandate composition. I also did not reward Model 2's extra `jobDate: Date` attribute since it is not a stated requirement fact. Model 2's bidirectional association comment `'opposite servicedHouses` was ignored per forbidden penalty #2.
4. Overall judgment: Model 2 is better because it faithfully captures all requirement constraints — the closed building-material list, the exclusive "two carports or one garage" rule, the "several companies" multiplicity, and the Job linked to both House and Company — whereas Model 1 omits or under-specifies these.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</si>
  <si>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</si>
  <si>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contain all required domain classes — House, Basement, EarthBasement, ConcreteBasement, SemiDetachedHouse, Carport, Garage, Company, and a job record (Model 1: JobLog, Model 2: Job). Model 2 additionally introduces BuildingMaterial enum, ParkingFacility/CarportParking/GarageParking refinements (transparent intermediate concepts, not penalized per guidelines) and ConcreteBasement empty class is present in both.
2. Associations/Multiplicities between classes for domain reasoning: Model 1 = 2, Model 2 = 5; Evidence: Model 1 uses `House o-- Basement`, `SemiDetachedHouse o-- Carport` and `SemiDetachedHouse o-- Garage` with NO multiplicities, fails to capture the "either two carports OR a garage" constraint, and links `Company o-- JobLog` without connecting the job to House (requirement: "carries out a job in a house"). Model 2 models `House *-- "0..1" Basement` (house may have a basement), `SemiDetachedHouse *-- "1" ParkingFacility` with specialization into CarportParking (`*-- "2" Carport`) and GarageParking (`*-- "1" Garage`) elegantly capturing either/or + exactly-two-carports, `House "1" -- "1..*" Company` (serviced by several companies), and `Job --&gt; "1" House` plus `Job --&gt; "1" Company` capturing both the house and the company performing the job.
3. Model attributes with appropriate data types: Model 1 = 3, Model 2 = 5; Evidence: Model 1 uses `buildingMaterial: String` losing the closed {wood, brick, concrete} enumeration, and `size: String` for basement size (questionable type). Model 2 uses `buildingMaterial: BuildingMaterial` with enum {WOOD, BRICK, CONCRETE} directly matching the requirement, `size: double`, `humidityLevel: double`, `windowCount: int`, booleans for hasGarden/isDouble/hasFlatRoof/hasAutomaticDoor. Model 2's only extra is `jobDate: Date` (minor, not rewarded).
4. Consistencies of Terminology with given context: Model 1 = 5, Model 2 = 4; Evidence: Model 1 uses "JobLog" (matches "job log" literally), "numberOfWindows" (matches "how many windows"), "EarthBasement"/"ConcreteBasement"/"SemiDetachedHouse" all faithful. Model 2 uses "Job" instead of "job log" (acceptable synonym but slightly less literal) and "windowCount" (acceptable). Both otherwise consistent.
5. Adherence of UML class diagram standards: Model 1 = 4, Model 2 = 5; Evidence: Model 1 uses valid aggregation `o--` and inheritance `&lt;|--` but omits multiplicities entirely on most relations (valid but weak notation). Model 2 correctly uses composition `*--`, directed association `--&gt;`, role labels, explicit multiplicities, enum declaration, and inheritance — fully conformant PlantUML/UML.
Total: Model 1 = 19, Model 2 = 24
Choice: B
Reason:
1. Associations/Multiplicities: Model 2 clearly superior — it captures the "either two carports OR a garage" via the ParkingFacility specialization with CarportParking `*-- "2" Carport` and GarageParking `*-- "1" Garage`, gives House-Basement a `0..1` multiplicity, House-Company a `1..1..*` multiplicity, and links Job to BOTH House and Company. Model 1 fails all of these: no multiplicities, both Carport and Garage attached simultaneously, and JobLog disconnected from House.
2. Attributes: Model 2's `BuildingMaterial` enum correctly constrains the material to {WOOD, BRICK, CONCRETE} as a closed list, while Model 1's free `String` drops that domain constraint; Model 2 also uses numeric types for size/humidity.
3. Terminology: Model 1 slightly more literal ("JobLog", "numberOfWindows") giving it a marginal edge here, but this does not offset the structural gaps.
4. Rejected/checked issues: Did not penalize Model 2 for the extra ParkingFacility/CarportParking/GarageParking classes (transparent refinements, allowed per guidelines), for `Job` vs `JobLog` (synonymous), for `int`/`boolean`/`double` aliases (allowed), nor for the `'opposite servicedHouses` comment (ignored). Did not reward Model 2 for the extra `jobDate: Date`.
5. Overall judgment: Model 2 better satisfies the domain reasoning (either/or parking constraint, job linked to both house and company, explicit multiplicities) and the closed material enumeration, so it is the stronger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</si>
  <si>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</si>
  <si>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
result
Scores:
1. Conceptual classes &amp; attributes: Model 1 = 5, Model 2 = 5; Evidence: Both models include House, Basement, EarthBasement, ConcreteBasement, SemiDetachedHouse, Carport, Garage, Company, JobLog with the required attributes (address, buildingMaterial, size, name, humidityLevel, hasGarden/hasOwnGarden, numberOfWindows, isDouble, hasFlatRoof, hasAutomaticDoor, name, address, hours, agreedPrice/price). All required concepts are present in both.
2. Building material enumeration (wood/brick/concrete): Model 1 = 3, Model 2 = 5; Evidence: Model 1 models buildingMaterial as a plain String, losing the closed-list constraint. Model 2 introduces an enum BuildingMaterial {WOOD, BRICK, CONCRETE}, faithfully capturing the requirement's enumerated values.
3. Inheritance (SemiDetachedHouse, Basement types): Model 1 = 5, Model 2 = 5; Evidence: Both use House&lt;|--SemiDetachedHouse, Basement&lt;|--EarthBasement, Basement&lt;|--ConcreteBasement correctly. Model 2 marks Basement abstract (optional, not rewarded/penalised per rules).
4. House-Basement association &amp; optionality ("may have"): Model 1 = 3, Model 2 = 5; Evidence: Model 1 uses `House o-- Basement` with no multiplicity, so the "may have" (0..1) optionality is not expressed. Model 2 uses `House "1" -- "0..1" Basement`, correctly modelling optionality and the 1:1 nature.
5. Carport/Garage for SemiDetachedHouse &amp; "either two carports or a garage": Model 1 = 3, Model 2 = 4; Evidence: Model 1 uses `SemiDetachedHouse o-- Carport` and `o-- Garage` with no multiplicities, so "exactly two" and the either/or constraint are absent. Model 2 uses `SemiDetachedHouse "1" -- "0..2" Carport` and `"0..1" Garage`, plus a note stating "either exactly two Carports or exactly one Garage." The multiplicities are slightly loose (0..2 allows fewer than two), but the note clarifies the intended exclusive-or. Better than Model 1 but not perfect.
6. House-Company "serviced by several companies": Model 1 = 3, Model 2 = 5; Evidence: Model 1 uses `House o-- Company` with no multiplicity, not expressing "several." Model 2 uses `House "*" -- "*" Company`, capturing that a house is serviced by multiple companies (and companies service multiple houses).
7. JobLog relationship (job in a house by a company): Model 1 = 3, Model 2 = 5; Evidence: The requirement states "Whenever a company carries out a job in a house, ... recorded in a job log" — the job log must connect to both House and Company. Model 1 only has `Company o-- JobLog`; the House-JobLog link is missing, so the "job in a house" semantics are incomplete. Model 2 has both `House "1" -- "*" JobLog` and `Company "1" -- "*" JobLog`, properly representing the ternary concept.
8. JobLog attributes (hours, agreed price): Model 1 = 5, Model 2 = 5; Evidence: Model 1 uses hours, agreedPrice; Model 2 uses hours, price. Both capture the required recorded data (price naming slightly less explicit in Model 2 but semantically equivalent).
9. No hallucination / no extraneous additions: Model 1 = 5, Model 2 = 5; Evidence: Neither model adds classes, attributes, or relationships beyond the requirement. Model 2's BuildingMaterial enum is a faithful refinement, not an addition of new domain concepts.
Total: Model 1 = 35, Model 2 = 44
Choice: B
Reason:
1. Conceptual classes &amp; attributes: Both models cover all required classes and attributes equivalently — tie.
2. Building material enumeration: Model 2's enum precisely captures wood/brick/concrete; Model 1's String loses the closed-list constraint.
3. Inheritance: Both model generalisation correctly — tie.
4. House-Basement optionality: Model 2 expresses 0..1; Model 1 omits multiplicities entirely.
5. Carport/Garage either-or: Model 2 supplies multiplicities and an exclusive-or note; Model 1 supplies none.
6. House-Company "several": Model 2 shows *..*; Model 1 shows no multiplicity.
7. JobLog linkage: Model 2 correctly links JobLog to both House and Company (job in a house by a company); Model 1 omits the House-JobLog link, breaking the "job in a house" semantics.
8. JobLog attributes: Both adequate — tie.
9. No hallucination: Both clean — tie.
Rejected/checked issues: I did not penalize Model 1 for using `int`/`String`/`boolean`-style types, nor Model 2 for marking Basement `abstract` (optional per rules), nor either model for PlantUML comments/notes. The note in Model 2 was treated as a valid clarification of the exclusive-or, not as a substitute deficiency.
Overall judgment: Model 2 is better because it supplies the multiplicities that the requirement explicitly states (optional basement, exactly-two/one carport-or-garage, several companies), faithfully models the building material as an enumeration, and — critically — links JobLog to both House and Company so the "job carried out in a house by a company" relationship is complete. Model 1 omits all multiplicities and the House-JobLog link, leaving several requirement facts unexpressed.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</si>
  <si>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</si>
  <si>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dedicate each class to a single concept (House, Basement, Company, JobLog, etc.). Model 1 routes JobLog through Company (`Company o-- JobLog`) and also links House-Company directly, coupling Company to both House and JobLog. Model 2 makes JobLog a ternary-style association class linked to both House and Company (`House -- JobLog`, `Company -- JobLog`), which better decouples the JobLog relationship from the House-Company servicing relationship. Model 2's House-*--*-Company association captures "serviced by several companies" more directly. Both achieve reasonable cohesion; Model 2 has slightly cleaner decoupling of job logging from the servicing relationship, but the difference is minor.
2. Complexity: Model 1 = 4, Model 2 = 5; Evidence: Both have 9-10 classes with comparable method counts (attributes only). Model 1 uses `String` for `buildingMaterial`, missing the closed enum {wood, brick, concrete} that the requirement explicitly enumerates; this under-models the domain. Model 2 introduces a `BuildingMaterial` enum with WOOD/BRICK/CONCRETE, correctly representing the closed list without inflating class count. Model 2's multiplicities (0..1 Basement, 0..2 Carport, 0..1 Garage) are more precise and traceable to the requirement than Model 1's unquantified aggregations. Model 2 also marks Basement abstract (acceptable, not rewarded/penalized). Neither over-fragments into unnecessary classes.
3. Practicability: Model 1 = 3, Model 2 = 4; Evidence: Model 1 omits key constraints: basement multiplicity is unspecified ("may have a basement" should be 0..1), Carport/Garage multiplicities are unspecified (requirement: "either two carports or a garage"), and the "either/or" constraint is absent. Model 1 also loses the JobLog-to-House linkage (JobLog hangs off Company only), making it impossible to record which house a job was carried out in — a core requirement ("carries out a job in a house"). Model 2 specifies `House "1" -- "0..1" Basement`, `SemiDetachedHouse "1" -- "0..2" Carport`, `SemiDetachedHouse "1" -- "0..1" Garage`, and includes a note capturing the "either exactly two Carports or exactly one Garage" constraint. Model 2 links JobLog to both House and Company, correctly recording the house context. Model 2's `BuildingMaterial` enum improves readability and testability. Model 2's only weakness: the either/or is expressed via a note rather than an XOR constraint, but it is still communicated clearly.
Total: Model 1 = 11, Model 2 = 13
Choice: B
Reason:
1. Cohesion and Decoupling: Both models are comparable; Model 2 slightly better decouples JobLog as a shared link between House and Company rather than attaching it solely to Company. Model 1's JobLog-only-on-Company breaks the requirement that a job is carried out "in a house."
2. Complexity: Model 2 correctly models the enumerated BuildingMaterial as an enum, matching the closed list in the requirement; Model 1 collapses it to a String, losing domain fidelity. Model 2's explicit multiplicities (0..1, 0..2, 0..1) better reflect the requirement without adding gratuitous classes.
3. Practicability: Model 2 captures the critical multiplicities (optional basement, two carports or one garage) and the either/or constraint via a note; Model 1 leaves all these unspecified, making the design ambiguous and harder to test/implement. Model 2 also preserves the House-JobLog association, essential for recording jobs per house.
4. Rejected or checked issues: I did not penalize Model 1 for using `String`/`Float`/`Integer` vs Model 2's `float`/`int`/`boolean` (forbidden primitive-type penalty). I did not reward Model 2 for marking Basement `abstract` (forbidden optional-abstractness rule). I did not penalize Model 1 for using aggregation `o--` vs Model 2's plain associations, since UML semantics here are functionally equivalent for the requirement. I did not penalize either for PlantUML notes (ignored per rules), though Model 2's note carries domain constraint info evaluated under Practicability as content, not as presentation.
5. Overall judgment: Model 2 is better because it faithfully captures the enumerated building material, the required multiplicities (optional basement, two-carports-or-one-garage), and the ternary nature of JobLog (company + house + hours/price), whereas Model 1 under-specifies multiplicities and loses the house context for job logs.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</si>
  <si>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</si>
  <si>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capture all domain classes: House, Basement (with EarthBasement and ConcreteBasement subclasses), SemiDetachedHouse, Carport, Garage, Company, and JobLog. Both align fully with the domain.
2. Associations/Multiplicities between classes for domain reasoning: Model 1 = 2, Model 2 = 4; Evidence: Model 1 uses unspecified aggregations (`o--`) with no multiplicities anywhere, e.g. `House o-- Basement`, `SemiDetachedHouse o-- Carport`, `House o-- Company`, `Company o-- JobLog` — critical constraints such as "0..1 basement", "exactly two carports or one garage", "company 1..* to jobs" are all missing. Model 2 specifies multiplicities: `House "1" -- "0..1" Basement`, `SemiDetachedHouse "1" -- "0..2" Carport`, `SemiDetachedHouse "1" -- "0..1" Garage`, `House "1" -- "*" JobLog`, `Company "1" -- "*" JobLog`, `House "*" -- "*" Company`. The "either two carports or one garage" XOR constraint is noted rather than modeled, and `0..2` doesn't enforce "exactly two", but the multiplicities are far more complete than Model 1's absent ones.
3. Model attributes with appropriate data types: Model 1 = 4, Model 2 = 5; Evidence: Model 1 models all required attributes with reasonable types (buildingMaterial: String, size: String, humidityLevel: Float, hasGarden: Boolean, numberOfWindows: Integer, isDouble: Boolean, hasFlatRoof: Boolean, hasAutomaticDoor: Boolean, hours: Float, agreedPrice: Float). However `size: String` is weak and `buildingMaterial: String` loses the enum constraint. Model 2 uses a `BuildingMaterial` enum (WOOD/BRICK/CONCRETE) matching the requirement's closed list, keeps `size: float`, and models all other attributes correctly; the enum refinement improves type fidelity.
4. Consistencies of Terminology with given context: Model 1 = 4, Model 2 = 5; Evidence: Model 1 renames "own garden" to `hasGarden` (requirement says "its own garden"), "automatic garage door" to `hasAutomaticDoor` (drops "garage"), "agreed price" to `agreedPrice` (acceptable), "double carport" to `isDouble` (acceptable). Model 2 uses `hasOwnGarden` (matches "own garden"), `hasAutomaticDoor` (also drops "garage"), `price` (slightly less faithful than "agreedPrice"). Both are largely consistent; Model 2's enum terminology and `hasOwnGarden` give a slight edge.
5. Adherence of UML class diagram standards: Model 1 = 4, Model 2 = 4; Evidence: Model 1 uses valid PlantUML with aggregation arrows but omits all multiplicities; syntax is correct and readable. Model 2 uses valid PlantUML with explicit multiplicities and an enum; the XOR constraint is captured in a note rather than a constraint notation, but notation is otherwise standard. Both are understandable; minor issues (aggregation vs association choice in Model 1, note-based constraint in Model 2) keep both at 4.
Total: Model 1 = 19, Model 2 = 23
Choice: B
Reason:
1. Appropriate conceptual classes aligned with the domain: Both models are equivalent — identical class coverage and inheritance structure (House/SemiDetachedHouse, Basement/EarthBasement/ConcreteBasement, Carport, Garage, Company, JobLog).
2. Associations/Multiplicities: This is the decisive gap. Model 1 provides no multiplicities on any relation, leaving every domain constraint (0..1 basement, two carports or one garage, many companies per house, job log ownership) unexpressed. Model 2 supplies concrete multiplicities on all associations and even attaches the job log to both House and Company, correctly modeling the "company carries out a job in a house" relationship.
3. Model attributes: Model 2's `BuildingMaterial` enum captures the requirement's closed list (wood, brick, concrete), which Model 1's plain `String` cannot enforce; Model 2's `hasOwnGarden` better reflects "its own garden".
4. Terminology: Both consistent; Model 2 slightly more faithful with `hasOwnGarden` and the enum labels.
5. Rejected or checked issues: I did NOT penalize Model 1 for using `o--` aggregation style vs `--` association, nor for lowercase/uppercase type variants, nor for abstract/non-abstract Basement (requirement silent). The note-based XOR in Model 2 is a notation softness, not a domain error, so it did not heavily penalize Model 2 under UML standards. Model 2's `0..2` does not enforce "exactly two" carports, but it is still far closer than Model 1's total absence of multiplicity.
6. Overall judgment: Model 2 wins primarily on multiplicities/associations and attribute type fidelity (enum), both of which are core domain-reasoning requirements; Model 1's complete omission of multiplicities constitutes a critical domain-reasoning failure.
```</t>
  </si>
  <si>
    <t>CelO</t>
  </si>
  <si>
    <t>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</si>
  <si>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</si>
  <si>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coverage: Model 1 = 4, Model 2 = 4; Evidence: Both define the same core classes — User/Organizer/Attendee (with User&lt;|--Organizer and User&lt;|--Attendee generalization), Event, EventKind/EventType, Location, TaskTemplate, EventTask, Invitation, plus RsvpStatus and TaskStatus enums. Neither models a separate "invited person" concept before account creation, and neither represents the "organizer also attends the event" scenario.
2. Attributes correctness: Model 1 = 4, Model 2 = 4; Evidence: Both place firstName/lastName/email/password on User and postalAddress/phoneNumber on Organizer, start/end date-time + occasion on Event, name/address on Location, name on EventKind/EventType, description on TaskTemplate, status+isAttendeeDesignated/isForAttendees on EventTask. Model 1's Invitation carries only rsvpStatus; Model 2's Invitation adds invitedEmail — slightly better but still omits invited first/last names required by the requirement ("entering their first and last names as well as their email addresses").
3. Relationships &amp; cardinalities: Model 1 = 3, Model 2 = 4; Evidence: Model 1 links Invitation "*" --&gt; "1" Attendee (mandatory), contradicting the requirement that an invitation is sent before the attendee creates an account. Model 2 uses Invitation "*" -- "0..1" Attendee (claimed by), correctly allowing unclaimed invitations. Both model Event-to-Location as 1..1 and Event-to-EventKind/Type as 1..1. Model 1 uses Organizer 1..* --&gt; 1..* Event; Model 2 uses Event 1 -- 1..* Organizer — both acceptable for "small event one organizer, larger events several".
4. RSVP/Invitation semantics: Model 1 = 3, Model 2 = 4; Evidence: Both RsvpStatus enums include PENDING plus ATTENDING/CONFIRMED, MAYBE, DECLINED, matching "attend, maybe, cannot attend, not yet replied". Model 2's Invitation captures invitedEmail and the 0..1 Attendee link, reflecting the create-account flow. Model 1's Invitation forces an Attendee to already exist, which is a contradiction with the stated invitation-then-account workflow.
5. Task/checklist modeling: Model 1 = 4, Model 2 = 4; Evidence: Both distinguish TaskTemplate (reusable, defined per event kind/type and available for next events) from EventTask (per-event instance with status and attendee-designation flag). Model 1 uses EventKind *-- TaskTemplate and Attendee "*" --&gt; "*" EventTask (volunteersFor). Model 2 uses EventType -- TaskTemplate and EventTask "*" -- "0..1" Invitation (assigned to), indirectly capturing attendee task selection through the invitation. Both adequately cover checklist presentation, task status, attendee designation, and attendee task selection.
Total: Model 1 = 18, Model 2 = 20
Choice: B
Reason:
1. Conceptual classes coverage: Both models cover the same essential classes; neither models the organizer-as-attendee case, so this criterion is a tie.
2. Attributes correctness: Model 2 marginally better because Invitation.invitedEmail partially captures the invitation-by-email requirement; both omit the invited first/last names.
3. Relationships &amp; cardinalities: Model 2 is better here — its Invitation "*" -- "0..1" Attendee correctly reflects that an invitation can exist before an attendee account is created, whereas Model 1's Invitation "*" --&gt; "1" Attendee makes the attendee mandatory and contradicts the workflow described in the requirement.
4. RSVP/Invitation semantics: Model 2's invitation modeling (email + optional attendee claim) is more faithful to the requirement's create-account-after-invitation flow; Model 1's mandatory Attendee on Invitation is a semantic error.
5. Task/checklist modeling: Both adequately distinguish reusable templates from per-event tasks and model attendee designation/selection; this criterion is essentially a tie.
3. Rejected or checked issues: I did not penalize Model 1 for using opposite unidirectional associations with 'opposite comments, for lowercase boolean type, or for using *-- composition between EventKind and TaskTemplate (composition vs aggregation is not specified by the requirement). I also did not reward Model 2 for invitedEmail beyond the partial coverage it provides, since the requirement also mandates first/last names which both models omit.
4. Overall judgment: Model 2 is better primarily due to the more accurate invitation-attendee relationship (0..1, allowing unclaimed invitations) and the inclusion of invitedEmail on Invitation. Model 1's mandatory Invitation--&gt;Attendee link is a genuine contradiction of the requirement's account-creation flow, which is a more serious flaw than the minor omissions shared by both models.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</si>
  <si>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</si>
  <si>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separate concerns well: User specialises into Organizer/Attendee; TaskTemplate (reusable) is split from EventTask (instance); Invitation is its own class. Model 1 couples Invitation *--&gt; 1 Attendee, forcing an Attendee to exist per invitation, while Model 2 keeps Invitation self-contained (invitedEmail) and links Invitation *--&gt; 0..1 Attendee ("claimed by"), yielding slightly looser coupling. However Model 2 couples EventTask *--&gt; 0..1 Invitation ("assigned to"), tying tasks to invitations rather than to attendees. The trade-offs roughly balance.
2. Complexity: Model 1 = 4, Model 2 = 4; Evidence: Both use 11 classes plus 2 enums, with comparable method/attribute counts and inheritance depth (User&lt;|--Organizer/Attendee, depth 1). Neither over-fragments nouns into classes; EventKind/EventType, Location, Invitation, TaskTemplate, EventTask are all justified by the requirement. Complexity is appropriately balanced in both.
3. Practicability: Model 1 = 4, Model 2 = 4; Evidence: Model 2 better models the invitation-before-account flow required by the text ("attendee can create an account ... if they do not yet have an account"): Invitation carries invitedEmail and links to Attendee at 0..1 ("claimed by"), whereas Model 1's Invitation *--&gt; 1 Attendee implies an Attendee/User (which has password) must already exist. Model 1, conversely, models attendee self-selection more explicitly via Attendee 0..* --&gt; 0..* EventTask ("volunteersFor") matching "an attendee can then select their tasks"; Model 2 represents this only indirectly as EventTask *--&gt; 0..1 Invitation ("assigned to"), whose 0..1 multiplicity is precise for "who is bringing what" but whose naming is organizer-centric. Both also share gaps: neither stores the invited first/last name on the Invitation, and neither explicitly models an organizer also attending. The meaningful quality difference is small.
Total: Model 1 = 12, Model 2 = 12
Choice: C
Reason:
1. Cohesion and Decoupling: Both achieve comparable separation of concerns. Model 2 has a slight decoupling edge (Invitation not forced to reference a mandatory Attendee), but it introduces a different coupling (EventTask -&gt; Invitation). Net effect is roughly even.
2. Complexity: Class counts, inheritance depth, and attribute distribution are nearly identical; both distinguish template vs. instance and avoid spurious classes. No meaningful difference.
3. Practicability: The two models have opposing strengths that balance out. Model 2 is more domain-faithful for the invitation lifecycle (invitedEmail + 0..1 "claimed by" Attendee correctly allows an invitation to exist before an account is created, whereas Model 1's Invitation *--&gt; 1 Attendee implicitly requires an account to pre-exist). Model 1 is clearer for attendee task self-selection ("volunteersFor" M:N directly expresses "an attendee can then select their tasks", while Model 2's "assigned to" Invitation is organizer-named and only indirect). These are comparable-weight trade-offs, and neither model decisively dominates.
4. Rejected or checked issues: I did not penalize either model for RsvpStatus naming (CONFIRMED vs ATTENDING), TaskStatus literals (TO_DO vs TODO), DateTime vs Date, Boolean vs boolean, or the single-quote PlantUML comments in Model 1, per the forbidden-penalty rules. I also did not reward Model 2 merely for the extra invitedEmail attribute beyond its domain-accuracy benefit.
5. Overall judgment: The total scores are equal and the meaningful quality difference is small, so this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</si>
  <si>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</si>
  <si>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same core concept set — User/Organizer/Attendee (with Organizer and Attendee specializing User), Event, EventKind/EventType, Location, Invitation, TaskTemplate, EventTask, plus RsvpStatus and TaskStatus enums. Both correctly separate TaskTemplate (persistent, reused for next event of a kind) from EventTask (per-event instance), and both separate EventKind/EventType from Event. Model 2 names it EventType vs. Model 1's EventKind, but the concept is present in both.
2. Associations/Multiplicities between classes for domain reasoning: Model 1 = 3, Model 2 = 4; Evidence: Model 1 forces Invitation "*" --&gt; "1" Attendee, which contradicts the requirement that an invitee may not yet have an account (must allow 0..1 Attendee). Model 2 correctly models Invitation "*" -- "0..1" Attendee "claimed by". Model 1 also uses TaskTemplate "0..*" --&gt; "0..*" EventTask (loose), whereas Model 2 uses EventTask "*" -- "1" TaskTemplate "instantiates" (each event task traces to exactly one template). Model 1 does capture attendee task selection via Attendee "0..*" --&gt; "0..*" EventTask "volunteersFor", which Model 2 models instead as EventTask "*" -- "0..1" Invitation "assigned to" (a reasonable proxy for a confirmed attendee claiming a task). Both correctly model Event 1..* Organizer (at least one organizer) and Event 1 -- 1 Location. Model 2's critical multiplicities are more domain-faithful; Model 1 contains a contradiction on Invitation-Attendee.
3. Model attributes with appropriate data types: Model 1 = 3, Model 2 = 4; Evidence: Both model Organizer attributes (firstName, lastName, email, password, postalAddress, phoneNumber), Event occasion, Location name/address, EventKind/EventType name, TaskTemplate description, EventTask status + designation flag. Model 2 adds invitedEmail: String on Invitation, capturing the organizer-entered invitee email (needed before an account exists); Model 1's Invitation carries only rsvpStatus, leaving the invitee identity unmodeled pre-account. Model 2 uses startDate/endDate: DateTime, matching "start date/time and end date/time"; Model 1 uses Date for startDateTime/endDateTime, a slightly weaker type for a date/time value. Enums (RsvpStatus, TaskStatus) are appropriate in both.
4. Consistencies of Terminology with given context: Model 1 = 5, Model 2 = 4; Evidence: The requirement repeatedly says "kind of event" / "new kind of event"; Model 1 uses EventKind, directly matching. Model 2 uses EventType, a synonymous but non-literal term. Both use Organizer, Attendee, Invitation, Location, occasion, Task, RSVP consistently. Model 1's "volunteersFor" and Model 2's "isForAttendees" are reasonable paraphrases of "select their tasks" / "designate a task for attendees".
5. Adherence of UML class diagram standards: Model 1 = 5, Model 2 = 5; Evidence: Both use valid PlantUML: class/enum declarations, generalization (User &lt;|-- Organizer/Attendee), associations with quoted multiplicities and role labels, composition (*--) and directed associations (--&gt;). Model 2's direction markers (": label &gt;") and Model 1's opposite-direction annotations are valid notation. No syntax violations impede interpretation in either.
Total: Model 1 = 21, Model 2 = 22
Choice: B
Reason:
1. Appropriate conceptual classes: Essentially equal — both enumerate the same domain concepts with the TaskTemplate/EventTask and EventKind/Event distinctions that the requirement demands.
2. Associations/Multiplicities: Model 2 is more accurate on two critical links — Invitation-to-Attendee is 0..1 (allowing pre-account invitations, per requirement) versus Model 1's contradictory 1; and EventTask-to-TaskTemplate is *..1 versus Model 1's loose 0..*..0..*. Model 1's only advantage is an explicit Attendee↔EventTask "volunteersFor" association, but Model 2's "assigned to Invitation" reasonably covers the same need via a confirmed attendee's invitation.
3. Model attributes: Model 2 better captures the invitation's invitee email (invitedEmail) and uses DateTime for start/end, whereas Model 1 leaves the pre-account invitee identity unmodeled and uses the weaker Date type for date/time fields.
4. Terminology: Model 1 edges ahead by using EventKind (literal to the requirement's "kind of event") versus Model 2's EventType, but this is a minor synonym shift.
5. Rejected/checked issues: I did NOT penalize Model 1 for opposite-direction association pairs or trailing `'opposite ...` comments (forbidden penalties). I did NOT reward either model for layout/notes. I did not penalize lowercase boolean/int aliases. The "abstract User" question was ignored since the requirement is silent.
6. Overall judgment: Model 2's correct multiplicities on Invitation-Attendee and EventTask-TaskTemplate plus the invitedEmail attribute and DateTime typing outweigh Model 1's slight terminology advantage, making Model 2 marginally but meaningfully more domain-faithful.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</si>
  <si>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</si>
  <si>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(classes, attributes, relationships, multiplicities, no hallucination): Model 1 = 4, Model 2 = 4; Evidence: Both capture User/Person inheritance with Organizer/Attendee, Event with start/end/occasion, Location with name/address, EventKind/EventType composing task templates, EventTask with status+designation flag, Invitation with status enum. Model 1 correctly models `Invitation "*" --&gt; "1" Attendee` (one invitation to one attendee) and `EventKind *-- TaskTemplate` with `TaskTemplate --&gt; EventTask` instantiates, but OMITS the organizer-attends-event relationship that the requirement states twice ("Sometimes an organizer also attends the event"). Model 2 includes `Organizer "0..*" attends "0..*" Event` (captures the organizer-may-attend requirement) and `Organizer "1..*" organizes "0..*" Event` (allows organizers without events), but has an INVALID multiplicity on `Attendee "0..*" receives "0..*" Invitation` — the attendee-side multiplicity should be 1 (each invitation goes to one specific attendee), not 0..*. Both RsvpStatus/InvitationStatus enums include a "not replied"/PENDING value supporting the organizer-view-status requirement; both TaskStatus enums cover needs-to-be-done/done/not-applicable; both model attendee task selection (`Attendee --&gt; EventTask volunteersFor` / `Attendee selects EventTask`).
Total: Model 1 = 4, Model 2 = 4
Choice: C
Reason:
1. Requirement alignment: Model 1 is cleaner on the invitation–attendee link (`Invitation "*" --&gt; "1" Attendee` correctly enforces one invitation per attendee) and uses a transparent TaskTemplate/EventTask split that supports "tasks available for the next event" via `EventKind *-- TaskTemplate`. However, it completely omits the organizer-attends-event relationship that the requirement explicitly mentions twice, so the diagram cannot represent an organizer who also attends.
2. Requirement alignment: Model 2 compensates by adding `Organizer "0..*" attends "0..*" Event` alongside `organizes`, fully covering the "organizer may also attend" requirement, and its `organizes 0..*` on the event side is less over-constrained than Model 1's `1..*`. But it introduces a domain contradiction: `Attendee "0..*" receives "0..*"` makes one Invitation receivable by many attendees, whereas the requirement has the organizer enter each attendee's name/email and each attendee reply individually (one invitation → one attendee).
3. Rejected or checked issues: I did NOT penalize Model 1 for using opposite-direction unidirectional associations with `'opposite` comments, nor Model 2 for using `Task` instead of `TaskTemplate` (synonymous), nor `DateTime` vs `Date`, nor `*` vs `0..*` literals — all forbidden penalties. I also did not reward the abstractness of `User`/`Person` (neither marked abstract) since the requirement is silent.
4. Overall judgment: The two flaws are comparable in severity — Model 1 misses a stated relationship (organizer-attends), Model 2 mis-models a multiplicity (invitation→attendee). Per the calibration rule, an omission is usually less severe than an invalid multiplicity, but here the omission is an entire explicitly-required feature rather than a minor constraint, while Model 2's multiplicity error is a single number on an otherwise-correct association. The trade-offs roughly cancel out, so the meaningful quality difference is small and the total scores are equal.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</si>
  <si>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</si>
  <si>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separate reusable task definitions from per-event instances — Model 1 uses `TaskTemplate` (owned by `EventKind` via `*--`) and `EventTask` (owned by `Event`), linked by `TaskTemplate --&gt; EventTask : instantiates`; Model 2 uses `Task` (owned by `EventType` via `*--`) and `EventTask` (owned by `Event`), linked by `EventTask -- Task`. Both factor shared account fields into a base class (`User`/`Person`) inherited by `Organizer` and `Attendee`. Both keep `Location`, `EventKind/EventType`, and `Invitation` as distinct, loosely coupled classes. Coupling levels are comparable; neither over-connects classes.
2. Complexity: Model 1 = 4, Model 2 = 4; Evidence: Class counts are nearly identical (Model 1: User, Organizer, Attendee, EventKind, Location, Event, TaskTemplate, EventTask, Invitation + 2 enums = 11; Model 2: Person, Organizer, Attendee, Event, EventType, Location, Task, Invitation, EventTask + 2 enums = 11). Inheritance depth is 2 in both (`User/Person &lt;|-- Organizer|Attendee`). Neither over-fragments nouns into classes; both appropriately treat task-template vs. task-instance as separate concepts, which is justified by the requirement's "available for the next event" reuse semantics.
3. Practicability: Model 1 = 4, Model 2 = 5; Evidence: Both cover core flows — RSVP enums (Model 1 `RsvpStatus{PENDING,CONFIRMED,MAYBE,DECLINED}`; Model 2 `InvitationStatus{Attending,Maybe,NotAttending,NotReplied}`), task-status enums matching "needs to be done / has been done / not applicable", attendee-designated flags (`isAttendeeDesignated` vs `isForAttendees`), attendee task selection (`Attendee --&gt; EventTask : volunteersFor` vs `Attendee selects EventTask`), and per-event-kind checklists. However, the requirement explicitly states "Sometimes an organizer is only managing the event but not attending... Sometimes an organizer also attends the event." Model 2 models both relations explicitly (`Organizer 1..* organizes 0..* Event` AND `Organizer 0..* attends 0..* Event`), giving a comprehensive, testable representation. Model 1 only has `Organizer 1..* --&gt; 1..* Event : manages` and provides no association or generalisation path for an organizer to attend (Organizer does not inherit from Attendee), so organizer-attendance is not representable — a concrete coverage gap affecting readability of the full behavior.
Total: Model 1 = 12, Model 2 = 13
Choice: B
Reason:
1. Cohesion and Decoupling: Comparable — both use a base person/user class, separate task-template from event-task, and keep Location/EventKind/Invitation independent. No meaningful difference.
2. Complexity: Comparable — equal class counts, equal inheritance depth, both justified in splitting template vs. instance task concepts rather than over-modeling nouns.
3. Practicability: Model 2 is slightly stronger because it explicitly captures the organizer-attends relationship (`Organizer attends Event`) that the requirement calls out as a distinct behavior, alongside organizer-manages. Model 1 omits any path for an organizer to attend, which is a stated requirement fact, reducing behavioral completeness and testability of that scenario.
4. Rejected or checked issues: I did NOT penalize Model 1 for its opposite-direction unidirectional associations with `'opposite` comments (forbidden penalties — semantically equivalent to bidirectional). I did NOT penalize either model for primitive aliases, `*` vs `0..*`, or abstractness of base classes. I did not reward Model 1's `note right of User` since notes are presentation-only. The `TaskTemplate` vs `Task` naming is a transparent refinement, not penalized.
5. Overall judgment: The models are close on cohesion and complexity, but Model 2 provides more complete, faithful coverage of a hard requirement fact (organizer may also attend), making it marginally more practical and domain-accurate. The difference is small but concrete, so Model 2 is chosen.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</si>
  <si>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</si>
  <si>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Both identify User/Person, Organizer, Attendee, Event, EventKind/EventType, Location, Task/TaskTemplate, EventTask, Invitation, and RSVP enums. Model 1 separates TaskTemplate (reusable across events) from EventTask (per-event instance), directly modeling the requirement that added tasks "will also be available for the next event." Model 2 collapses this into Task + EventTask, with EventType *-- Task representing the reusable template list; this is workable but less directly traces the "add new task available for next event" semantics. Both model the organizer-also-attends case via generalization from a common base.
2. Associations/Multiplicities between classes for domain reasoning: Model 1 = 4, Model 2 = 4; Evidence: Model 1: Organizer "1..*" --&gt; "1..*" Event (large events require several organizers; correct), Event "1" --&gt; "1" Location, Event "1" *-- "0..*" Invitation, Invitation "*" --&gt; "1" Attendee, EventKind "1" *-- "0..*" TaskTemplate, TaskTemplate "0..*" --&gt; "0..*" EventTask, Attendee "0..*" --&gt; "0..*" EventTask (volunteersFor). Model 2: Organizer "1..*" organizes "0..*" Event (asymmetric, allows single-organizer small events), Organizer "0..*" attends "0..*" Event (explicitly models organizer-as-attendee), Event *-- "0..*" Invitation, Attendee "0..*" receives "0..*" Invitation, Event -- "1" EventType, Event -- "1" Location, EventType *-- "0..*" Task, Event *-- "0..*" EventTask, EventTask -- "1" Task, Attendee "0..*" selects "0..*" EventTask. Model 2 explicitly captures the organizer-attends relationship which Model 1 leaves implicit (only via shared User base). Model 1's EventKind--&gt;Event is 0..* on Event side (an event kind can define many events) which is reasonable; Model 2 uses Event--"1" EventType (each event has one type). Both are defensible. Model 1 more precisely links EventTask to TaskTemplate (instantiates) capturing template reuse; Model 2 links EventTask--"1" Task plus EventType*--Task which is slightly less direct for the "instantiation" semantics. Roughly comparable.
3. Model attributes with appropriate data types: Model 1 = 4, Model 2 = 4; Evidence: Both model User/Person {firstName, lastName, email, password}, Organizer adds postalAddress, phoneNumber, Location {name, address}, Event {startDateTime, endDateTime, occasion}, EventKind/EventType {name}, Task/TaskTemplate {description}, Invitation {rsvpStatus/status}, EventTask {status, isAttendeeDesignated/isForAttendees}. Model 1 uses Date for date/time fields; Model 2 uses DateTime — both acceptable. Model 1 adds RsvpStatus.PENDING plus CONFIRMED/MAYBE/DECLINED; Model 2's InvitationStatus has Attending/Maybe/NotAttending/NotReplied, matching the requirement's "will attend / maybe / cannot / not yet replied" more directly. Neither model stores the organizer-attending flag as an attribute but both represent it structurally. Minor: Model 1 uses "isAttendeeDesignated", Model 2 "isForAttendees" — both capture the designated-for-attendee concept. Comparable.
4. Consistencies of Terminology with given context: Model 1 = 4, Model 2 = 5; Evidence: Model 2 uses "EventType", "InvitationStatus" with Attending/Maybe/NotAttending/NotReplied aligning closely with the requirement wording ("will attend / maybe / cannot attend / not yet replied", "kind of event"). Model 1 uses "EventKind" (synonymous with "kind of event" — fine), "RsvpStatus" with PENDING/CONFIRMED/MAYBE/DECLINED (synonymous but uses RSVP terminology not in the requirement text). "TaskTemplate" is not a requirement term but is a reasonable refinement. Both are consistent; Model 2 edges slightly on RSVP status naming matching the prose.
5. Adherence of UML class diagram standards: Model 1 = 5, Model 2 = 4; Evidence: Both use valid PlantUML: enums, classes, generalization (&lt;|--), composition (*--), associations (--/--&gt;), multiplicities with role labels. Model 1 consistently provides role labels and bidirectional opposite notes on all associations; Model 2 uses unidirectional labeled associations (organizes, attends, receives, selects) and undirected lines for Event--EventType/Location/EventTask--Task. Model 2's "Organizer 1..* organizes 0..* Event" without explicit arrow direction is acceptable but less precise on navigability; all syntax is valid. No major UML violations in either. Model 1 marginally cleaner notation-wise.
Total: Model 1 = 22, Model 2 = 21
Choice: A
Reason:
1. Conceptual classes: Model 1's separation of TaskTemplate (reusable, owned by EventKind) from EventTask (per-event instance with status) directly traces the requirement that an organizer-added task "will then be available for the next birthday party, too" and that a task can be "designated for attendees." Model 2's Task/EventTask split is workable but the template-reuse link (EventTask--Task plus EventType*--Task) is less direct than Model 1's TaskTemplate--&gt;EventTask "instantiates" relationship.
2. Associations/multiplicities: Both handle the key relationships (multiple organizers for large events, organizer-attends, attendee-volunteers-for-task, invitation-to-attendee). Model 2 explicitly models Organizer "attends" Event, which Model 1 leaves implicit through the shared User superclass — a slight plus for Model 2 — but Model 1's EventKind*--TaskTemplate and TaskTemplate--&gt;EventTask give it an edge on the checklist-reuse workflow. Roughly balanced, scored equal.
3. Terminology and standards: Model 2's status enum names align marginally better with the prose; Model 1's notation is marginally more complete (role labels on all associations). These roughly offset.
4. Rejected issues: I did not penalize Model 1 for using opposite-direction associations with 'opposite comments (forbidden penalty), nor Model 2 for using DateTime vs Date (primitive alias, forbidden). I did not penalize Model 1 for not explicitly drawing Organizer-attends-Event since the shared User generalization makes an organizer-who-is-also-attendee representable.
5. Overall judgment: Model 1's template/event-task instantiation structure more faithfully captures the reusable-checklist semantics central to the requirement, giving it a slight overall edge despite Model 2's marginally closer terminology on RSVP status.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</si>
  <si>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</si>
  <si>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&amp; inheritance (User/Person → Organizer, Attendee): Model 1 = 5, Model 2 = 5; Evidence: Both model a base person class (`User` in M1, `Person` in M2) with firstName/lastName/email/password, specialized into `Organizer` (adds postalAddress, phoneNumber) and `Attendee` via generalisation. Both faithfully capture the shared identity attributes.
2. Event &amp; its associations (organizers, type, location, dates, organizer-attends): Model 1 = 4, Model 2 = 5; Evidence: M1 has `Event "1" -- "1..*" Organizer`, `Event -- EventType`, `Event -- Location`, and Event holds startDate/endDate/occasion — capturing "small event one organizer, larger several". M2 has `Organizer "1..*" organizes "0..*" Event` AND additionally `Organizer "0..*" attends "0..*" Event`, explicitly modelling the requirement fact that an organizer may also attend. M1 omits the organizer-attends relationship.
3. Invitation &amp; RSVP (invited identity, status, claim by attendee): Model 1 = 5, Model 2 = 3; Evidence: M1 `Invitation` carries `invitedEmail` (capturing that the organizer enters email before an account exists) and `rsvpStatus`; `Invitation "*" -- "0..1" Attendee` correctly models an invitation claimed by at most one attendee. M2 `Invitation` has only `status` (no invited email/names) and `Attendee "0..*" receives "0..*" Invitation` is an invalid many-to-many — an invitation targets a single invitee, not multiple attendees.
4. Task/checklist (template vs instance, status, for-attendees, next-event reuse, who-brings-what): Model 1 = 5, Model 2 = 5; Evidence: M1 `TaskTemplate` linked `EventType "1" -- "*" TaskTemplate` (tasks reusable for next event of that type), `EventTask` with `status`/`isForAttendees`, `EventTask "*" -- "0..1" Invitation` showing who brings what. M2 `EventType *-- Task` (template), `EventTask -- "1" Task`, `Attendee "0..*" selects "0..*" EventTask` directly matches "attendee can select their tasks". Both cover template-instantiation, status enum (TODO/DONE/NOT_APPLICABLE vs NeedsToBeDone/HasBeenDone/NotApplicable), and the for-attendees flag.
5. Multiplicities &amp; relationship-type correctness: Model 1 = 5, Model 2 = 3; Evidence: M1 multiplicities are internally consistent and domain-accurate (Event 1..* Organizer, Invitation *--0..1 Attendee, EventTask *--1 TaskTemplate). M2 contains a business multiplicity error: `Attendee "0..*" receives "0..*" Invitation` implies one invitation received by many attendees, contradicting the requirement that each invitation is sent to a specific email/person.
Total: Model 1 = 24, Model 2 = 21
Choice: A
Reason:
1. Conceptual classes &amp; inheritance: Tie — both faithfully model the Person/User hierarchy and organizer-specific fields.
2. Event &amp; associations: M2 edges ahead by explicitly modelling the "organizer also attends" relationship (`Organizer attends Event`), which M1 omits.
3. Invitation &amp; RSVP: M1 is clearly stronger — it stores `invitedEmail` on the Invitation (essential since invitations are sent before account creation) and uses the correct `0..1` claim multiplicity, whereas M2 drops the invitee identity and uses an invalid `0..*` receive multiplicity.
4. Task/checklist: Tie — M1 has clearer template naming (`TaskTemplate`) and tracks who brings what; M2 directly models attendee task selection via `selects`. Both satisfy the checklist, status, for-attendees, and next-event reuse requirements.
5. Multiplicities: M1 is more domain-accurate; M2's `Attendee 0..* receives 0..* Invitation` is a genuine business multiplicity error.
Rejected or checked issues: Did not penalize M2 for using `boolean` vs `Boolean`, `Task` vs `TaskTemplate` naming, or composition (`*--`) vs plain association on Invitation/EventTask — these are presentation/notation choices. Did not reward M1 merely for being more detailed; its `EventTask -- Invitation` link is indirect but traceable.
Overall judgment: Model 1 is better. Its decisive advantages are the correct, complete modelling of the Invitation (with `invitedEmail` and a valid `0..1` attendee-claim multiplicity) and internally consistent multiplicities, while Model 2's many-to-many Invitation reception and missing invitee-identity field are substantive domain-faithfulness defects that outweigh M2's extra "organizer attends" association.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</si>
  <si>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</si>
  <si>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keep a clean separation of template (`TaskTemplate`/`Task`) from instance (`EventTask`), and decouple EventType from Event. Model 1 routes attendee task assignment through `EventTask * -- 0..1 Invitation`, keeping attendee linkage on the invitation rather than directly on Attendee. Model 2 instead uses a direct `Attendee 0..* selects 0..* EventTask`, plus separate `Event *-- Invitation` and `Attendee receives Invitation` links. Model 2 additionally models `Organizer attends Event` explicitly, which Model 1 omits. Both are reasonably cohesive; Model 1 is slightly more decoupled (attendee assignment lives on Invitation), Model 2 is slightly more complete on the organizer-attends relation.
2. Complexity: Model 1 = 4, Model 2 = 4; Evidence: Nearly identical class counts (11 each): Model 1 has `User/Organizer/Attendee`, `Event/EventType/Location`, `Invitation`, `TaskTemplate/EventTask`, `RsvpStatus/TaskStatus`; Model 2 has `Person/Organizer/Attendee`, `Event/EventType/Location`, `Invitation`, `Task/EventTask`, `InvitationStatus/TaskStatus`. Inheritance depth is one level in both. Both correctly avoid turning every noun into a class (e.g., checklist is modeled as TaskTemplate/Task + EventTask, not a separate class). Appropriate complexity, aligned with the requirement scope.
3. Practicability: Model 1 = 4, Model 2 = 3; Evidence: Model 1 captures the invited email (`Invitation.invitedEmail`) needed for attendee account creation, and uses a correct `Invitation * -- 0..1 Attendee` ("claimed by") multiplicity, plus an `RsvpStatus` enum including `PENDING` for not-replied. Model 2 omits any invited-email attribute on Invitation and uses `Attendee 0..* receives 0..* Invitation`, which wrongly allows one invitation to be received by many attendees (should be 0..1). Model 2 does better on two points: explicit `Organizer attends Event` and a direct `Attendee selects EventTask` for "who is bringing what". Model 1 handles the latter via `EventTask assigned to Invitation`, which is traceable. The invitation multiplicity error and missing invited email in Model 2 are the deciding weaknesses.
Total: Model 1 = 12, Model 2 = 11
Choice: A
Reason:
1. Cohesion and Decoupling: Both separate task template from task instance and link tasks to EventType for reuse ("available for next event"). Model 1 keeps attendee-task assignment on the Invitation, yielding lower coupling; Model 2 adds a dedicated `Organizer attends Event` link that better reflects "an organizer also attends the event", which Model 1 omits. Roughly balanced, slight edge to Model 1 on decoupling.
2. Complexity: Effectively equivalent — same number of classes, same single-level inheritance (`User`/`Person` -&gt; Organizer/Attendee), same template/instance split for tasks. No over-engineering in either.
3. Practicability: Model 1 is more domain-faithful where it matters most for the invitation lifecycle: it keeps `invitedEmail` (needed so the invitee's email becomes the new account username) and uses `Invitation * -- 0..1 Attendee`, matching one invitee per invitation. Model 2's `Attendee 0..* receives 0..* Invitation` permits an invitation to be shared by many attendees, contradicting the per-attendee invitation flow, and it drops the invited email. Model 2's explicit organizer-attends and attendee-selects-task links are positives but do not outweigh the invitation modeling errors.
4. Rejected or checked issues: I did not penalize Model 2 for using `Task` instead of `TaskTemplate`, nor Model 1 for using `int`/`boolean` aliases — these are naming/style differences only. I did not reward Model 2 simply for having an `Organizer attends Event` relation beyond its requirement coverage value. The `*` vs `0..*` literal equivalence was ignored.
5. Overall judgment: Model 1 is marginally better. Both diagrams cover the core workflow, but Model 1 models the invitation-to-attendee relationship with the correct multiplicity and preserves the invited email required for account creation, whereas Model 2 contains a domain-contradicting multiplicity on Invitation and omits the invited email. The difference is small but meaningful, so Model 1 wins.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</si>
  <si>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</si>
  <si>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identify the core domain classes — Organizer, Attendee, Event, EventType, Location, Invitation, EventTask, plus a task-template class (Model 1 "TaskTemplate", Model 2 "Task") and a shared person/user superclass (Model 1 "User", Model 2 "Person"). All map cleanly to the requirement's concepts (event types, locations, invitations, checklists, attendee-designated tasks). No spurious or irrelevant classes in either.
2. Associations/Multiplicities between classes for domain reasoning: Model 1 = 4, Model 2 = 3; Evidence: Model 1 correctly models Event "1" -- "1..*" Organizer (small/large events), Event--"1" EventType, Event--"1" Location, Event--"*" Invitation, Invitation "*" -- "0..1" Attendee (handles pre-account claim), EventType--"*" TaskTemplate (reusable templates), EventTask "*" -- "0..1" Invitation (assigned to one attendee). However, it OMITS the "organizer may also attend the event" relationship entirely. Model 2 captures organizer-attending (Organizer "0..*" attends "0..*" Event) but introduces a domain-error multiplicity: Attendee "0..*" receives "0..*" Invitation, implying one Invitation can be received by many Attendees, contradicting the personal-invitation semantics; and Attendee "0..*" selects "0..*" EventTask allows a single task (e.g., "bring birthday cake") to be selected by many attendees, which is semantically too loose versus Model 1's 0..1 assignment.
3. Model attributes with appropriate data types: Model 1 = 5, Model 2 = 4; Evidence: Model 1 attributes cover all stated fields — User{firstName,lastName,email,password}, Organizer{postalAddress,phoneNumber}, Event{startDate,endDate,occasion}, EventType{name}, Location{name,address}, Invitation{invitedEmail,rsvpStatus}, TaskTemplate{description}, EventTask{status,isForAttendees}; the invitedEmail field specifically supports the "attendee creates account using email from invitation" flow. Model 2 covers Person{firstName,lastName,email,password}, Organizer{postalAddress,phoneNumber}, Event{occasion,startDateTime,endDateTime}, EventType{name}, Location{name,address}, Task{description}, EventTask{status,isForAttendees}, but Invitation carries only {status} — missing the invited email/names needed for the pre-registration invitation flow, a significant omission.
4. Consistencies of Terminology with given context: Model 1 = 4, Model 2 = 5; Evidence: Model 1 uses RsvpStatus{PENDING,ATTENDING,MAYBE,DECLINED} and TaskStatus{TODO,DONE,NOT_APPLICABLE}; "DECLINED" and "TODO/DONE" are reasonable but drift from the requirement's "cannot attend" and "needs to be done / has been done". Model 2 uses InvitationStatus{Attending,Maybe,NotAttending,NotReplied} and TaskStatus{NeedsToBeDone,HasBeenDone,NotApplicable}, closely mirroring the requirement wording ("attending, maybe, cannot attend, not replied"; "needs to be done, has been done, not applicable").
5. Adherence of UML class diagram standards: Model 1 = 5, Model 2 = 5; Evidence: Both use valid PlantUML: proper class/enum declarations, generalization (User/Person &lt;|-- Organizer,Attendee), associations with multiplicities, and (in Model 2) composition. No syntax or notation violations impairing comprehension in either.
Total: Model 1 = 23, Model 2 = 22
Choice: A
Reason:
1. Appropriate conceptual classes aligned with the domain: Effectively tied — both enumerate the same conceptual set with a task-template/event-task split and a shared person superclass; no meaningful class-level advantage.
2. Associations/Multiplicities between classes for domain reasoning: Model 1 is stronger despite omitting the organizer-attends relation, because its Invitation–Attendee (0..1) and EventTask–Invitation (0..1) multiplicities correctly capture personal invitations and single-attendee task assignment. Model 2's Attendee "0..*" receives "0..*" Invitation misrepresents an invitation as shareable among many attendees, and its Attendee "0..*" selects "0..*" EventTask lets one brought-item task be claimed by many — both compromise domain reasoning more than Model 1's single omission.
3. Model attributes with appropriate data types: Model 1 wins by modeling Invitation.invitedEmail (and rsvpStatus), which is essential to the "attendee creates account using the invitation email as username" flow; Model 2's Invitation has only status, dropping the pre-registration email/name data.
4. Consistencies of Terminology with given context: Model 2 is marginally better — its InvitationStatus and TaskStatus enum literals echo the requirement's exact phrasing ("NotAttending", "NotReplied", "NeedsToBeDone", "HasBeenDone"), whereas Model 1's "DECLINED"/"TODO"/"DONE" are acceptable but less faithful.
5. Adherence of UML class diagram standards: Both fully adhere; no difference.
Rejected or checked issues: I did NOT penalize Model 1 for using "User" vs Model 2's "Person" (no requirement evidence for a base-class name), nor for TODO vs NeedsToBeDone under UML standards (terminology only). I did NOT reward Model 2's composition (*) on Invitation/EventTask over Model 1's plain associations (presentation-only per guidelines). I did NOT penalize either model for int/boolean-style or `*` vs `0..*` literals. The deciding factor is the Invitation multiplicity error and missing invitedEmail in Model 2, not the organizer-attends omission alone (which cuts against Model 1).
Overall judgment: Model 1 provides more domain-faithful multiplicities (personal 0..1 invitation claim, single-attendee task assignment) and complete invitation attributes (invitedEmail), yielding slightly stronger domain coverage. Model 2's terminology is closer to the requirement text, but its incorrect Invitation–Attendee multiplicity and missing invitation email attribute outweigh that advantage, so Model 1 is better by a small margin.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</si>
  <si>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</si>
  <si>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&amp; essentials coverage: Model 1 = 5, Model 2 = 4; Evidence: Both define User/Organizer/Attendee (with User&lt;|--Organizer, User&lt;|--Attendee), Event, EventKind/EventType, Location, Invitation, TaskTemplate, EventTask and the two enums. Model 1's `Invitation` carries `invitedEmail: String`, which stores the invitee email entered by the organizer before any account exists. Model 2's `Invitation` has only `rsvpStatus` and no invitedEmail/invitee-name attribute, so the invitee data captured at invitation time has no home.
2. Associations, cardinalities &amp; relationship types: Model 1 = 5, Model 2 = 3; Evidence: Model 1 uses `Invitation "*" -- "0..1" Attendee : claimed by` — correctly optional, matching the flow where the attendee creates an account only after receiving the invitation; and `EventTask "*" -- "1" TaskTemplate : instantiates` — each task comes from exactly one template. Model 2 uses `Invitation "*" --&gt; "1" Attendee : sentTo`, forcing an Attendee to already exist when the invitation is issued (contradicts "create an account if they do not yet have an account"), and `TaskTemplate "0..*" --&gt; "0..*" EventTask : instantiates`, allowing an EventTask to be linked to 0 or many templates instead of exactly 1. Both correctly model `Event 1 -- 1..* Organizer` (M1: `Event "1" -- "1..*" Organizer`) / (M2: `Organizer "1..*" --&gt; "1..*" Event`) for one-or-many organizers, though M2's `1..*` on the Event end additionally forces every organizer to manage at least one event.
3. Clarity of class names &amp; optional attributes: Model 1 = 5, Model 2 = 4; Evidence: Both use recognizable names; Model 2's `EventKind` is arguably closer to the requirement wording "kind of event" while Model 1's `EventType` is an accepted synonym. Model 1 adds `isForAttendees: Boolean` on EventTask and `invitedEmail` on Invitation, giving traceable attributes for the "designate a task for attendees" and "enter their email addresses" facts. Model 2's `isAttendeeDesignated: boolean` is equivalent, but its `Invitation` is attribute-thin (only `rsvpStatus`). (The `note right of User` in M2 is ignored per layout/comment rules.)
4. Strict alignment / no hallucinations: Model 1 = 5, Model 2 = 4; Evidence: Both restrict RsvpStatus to the three required values plus a justified PENDING for "not yet replied", and TaskStatus to needs-to-be-done/done/not-applicable. Both introduce a boolean flag for attendee-designated tasks, which is supported by the requirement ("designate a task on the checklist for attendees to accomplish"). Model 1's `EventTask "*" -- "0..1" Invitation : assigned to` faithfully encodes "an attendee can then select their tasks" with at most one attendee per task (matching the birthday-cake example). Model 2's `Attendee "0..*" --&gt; "0..*" EventTask : volunteersFor` permits many attendees per task and many tasks per attendee, which is looser than the singular "brought to the event by an attendee" example; the mandatory `Invitation --&gt; 1 Attendee` is a contradiction rather than a mere omission.
Total: Model 1 = 20, Model 2 = 15
Choice: A
Reason:
1. Conceptual classes &amp; essentials: Model 1 edges ahead by storing `invitedEmail` on `Invitation`, preserving the organizer-entered invitee data; Model 2 has no place for it and forces an Attendee to pre-exist.
2. Associations &amp; cardinalities: Model 1 is faithful on the two tricky multiplicities — `Invitation 0..1 Attendee` (account created after invitation) and `EventTask 1 TaskTemplate` (a task instantiates exactly one template). Model 2 gets both wrong (`Invitation --&gt; 1 Attendee` contradicts the invitation-before-account flow; `TaskTemplate 0..* -- 0..* EventTask` allows zero/many templates per task), and over-constrains Organizer–Event to `1..*` on both ends.
3. Rejected/checked issues: I did NOT penalize Model 2 for PlantUML `'opposite` comments, for `boolean` vs `Boolean`, for `TO_DO` vs `TODO`, for using composition (`*--`) vs plain association, or for `EventKind` vs `EventType` naming. I also noted but did not heavily weight the shared minor issue that both models put multiplicity `1` on the Event end of Event–Location, slightly under-supporting location reuse from a "list"; this is equal in both and did not affect the decision. The "organizer may also attend" case is handled identically (and imperfectly) by both via the User generalization, so it is a wash.
4. Overall judgment: Model 1 is more domain-faithful and multiplicities-correct, especially on the invitation/account-creation lifecycle and the task-template instantiation relationship, so it is the better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</si>
  <si>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</si>
  <si>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use a clean User superclass with Organizer/Attendee subclasses, keeping cohesive class responsibilities (User: identity; Organizer: postalAddress/phoneNumber; Attendee: empty but distinct role). Model 1 links EventTask to Invitation (0..1) to represent attendee task assignment through the invitation, keeping the task-claiming path event-scoped. Model 2 links Attendee directly to EventTask (volunteersFor 0..*–0..*), which decouples task selection from invitations but loses the constraint that only confirmed attendees of that event should volunteer. Model 2 uses composition (Event *-- EventTask, Event *-- Invitation, EventKind *-- TaskTemplate), implying stronger ownership coupling, while Model 1 uses plain associations. Both are reasonably cohesive; minor differences balance out.
2. Complexity: Model 1 = 4, Model 2 = 4; Evidence: Both have 9 classes + 2 enums, inheritance depth of 1 (User→Organizer/Attendee), and ~2–3 attributes per class. Neither over-engineers with unnecessary classes. Model 1 adds invitedEmail to Invitation; Model 2 omits it. Both use an EventTask/TaskTemplate split to distinguish reusable templates from per-event instances, which is appropriately scoped. Complexity is balanced and aligned with the requirement in both.
3. Practicability: Model 1 = 4, Model 2 = 3; Evidence: Model 1 correctly models Invitation * -- 0..1 Attendee ("claimed by"), allowing invitations to exist before an account is created — matching the requirement that attendees create accounts after receiving the email invitation. Model 1 also includes invitedEmail on Invitation, capturing the email-based invitation mechanism. Model 2 has Invitation * --&gt; 1 Attendee ("sentTo"), which incorrectly requires an Attendee to already exist for every invitation, contradicting the requirement. Model 2 does improve on the Organizer-Event relationship (Organizer 1..* --&gt; 1..* Event, many-to-many) vs Model 1's Event 1 -- 1..* Organizer (restricts each organizer to one event). However, Model 2's direct Attendee→EventTask association has no gating constraint through Invitation/RsvpStatus, so an attendee could volunteer for tasks in events they haven't confirmed — a domain fidelity gap. Model 1's EventTask→Invitation link preserves the "confirmed attendees only see/select tasks" semantics better. Both fail to model "organizer also attends" (disjoint subclasses prevent dual roles), equally.
Total: Model 1 = 12, Model 2 = 11
Choice: A
Reason:
1. Cohesion and Decoupling: Both models are comparably cohesive with clean class boundaries; the difference is marginal. Model 1's EventTask→Invitation path keeps task assignment event-scoped and semantically tied to RSVP, while Model 2's direct Attendee→EventTask link is looser and under-constrained. Slight edge to Model 1 but not decisive.
2. Complexity: Both have identical class counts, similar attribute counts, and depth-1 inheritance. No meaningful difference.
3. Practicability: This is the deciding criterion. Model 1's Invitation * -- 0..1 Attendee correctly reflects the requirement flow (invite by email → attendee creates account later) and preserves invitedEmail. Model 2's Invitation * --&gt; 1 Attendee is a domain contradiction — it requires an Attendee account to pre-exist, which the requirement explicitly negates. Model 2's many-to-many Organizer-Event is a genuine improvement, but it doesn't outweigh the invitation-attendee error and the missing invitedEmail.
3. Rejected or checked issues: I did not penalize Model 2 for PlantUML comments ('opposite ...) or for using boolean/boolean casing. I did not penalize Model 1 for ATTENDING vs Model 2's CONFIRMED (synonymous RSVP label). I did not reward Model 2's extra notes or composition markers as domain coverage. Both models' failure to model "organizer also attends" (disjoint subclasses) was noted but applied equally — not used as differential evidence.
4. Overall judgment: Model 1 is better primarily due to correct invitation-attendee multiplicity semantics and inclusion of invitedEmail, which are core to the CelO invitation workflow described in the requirement. Model 2's stronger Organizer-Event relationship partially compensates but its invitation-attendee modeling error is a substantive domain-faithfulness problem.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</si>
  <si>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</si>
  <si>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same core classes: User (superclass), Organizer, Attendee, Event, EventType/EventKind, Location, Invitation, TaskTemplate, EventTask, plus RsvpStatus and TaskStatus enums. All key domain concepts (organizer, attendee, event, event kind, location, invitation/RSVP, task template vs. event-specific task) are covered. Neither models a separate "Checklist" class, but the EventTask collection serves that role adequately in both.
2. Associations/Multiplicities between classes for domain reasoning: Model 1 = 4, Model 2 = 3; Evidence: Model 1 models Event "1" -- "1..*" Organizer (correct: small events 1 organizer, larger several), Invitation "*" -- "0..1" Attendee "claimed by" (correctly accounts for invitations not yet claimed by an account, since attendees create accounts after receiving the email), and EventTask "*" -- "1" TaskTemplate "instantiates" (each event task has exactly one template). Model 2 uses Invitation "*" --&gt; "1" Attendee "sentTo", which forces an Attendee (a User subclass with password) to already exist when the invitation is issued — contradicting the requirement that attendees create accounts after receiving the invitation. Model 2 also over-constrains Organizer "1..*" --&gt; "1..*" Event (requires every organizer to manage at least one event) and uses TaskTemplate "0..*" --&gt; "0..*" EventTask, allowing an EventTask with zero templates (semantically weak). Model 2's Attendee "0..*" --&gt; "0..*" EventTask "volunteersFor" is flexible for task selection, but overall its multiplicities have more domain-reasoning errors.
3. Model attributes with appropriate data types: Model 1 = 4, Model 2 = 3; Evidence: Model 1's Invitation carries invitedEmail: String (captures the email used for invitation, which the attendee later uses as username), and Event uses startDate/endDate: DateTime (type-correct for date/time). Model 2's Invitation lacks any email attribute — it only has rsvpStatus, losing the invitation email that the requirement explicitly describes. Model 2 names attributes startDateTime/endDateTime but types them as Date, a type mismatch since the requirement requires date/time values. Both correctly model User (firstName, lastName, email, password), Organizer (postalAddress, phoneNumber), Location (name, address), EventType/EventKind (name), TaskTemplate (description), EventTask (status + attendee-designation flag).
4. Consistencies of Terminology with given context: Model 1 = 4, Model 2 = 4; Evidence: Model 2 uses "EventKind" matching the requirement's phrase "kind of event"; Model 1 uses "EventType" (acceptable synonym). Both use RsvpStatus values (PENDING/ATTENDING-or-CONFIRMED/MAYBE/DECLINED) and TaskStatus values (TODO-or-TO_DO/DONE/NOT_APPLICABLE) consistent with the requirement's "will attend / maybe / cannot attend" and "needs to be done / done / not applicable". Both use "Invitation", "TaskTemplate", "Location", "Organizer", "Attendee" consistently. Minor differences only.
5. Adherence of UML class diagram standards: Model 1 = 5, Model 2 = 5; Evidence: Both use valid UML/PlantUML notation: generalization (User &lt;|-- Organizer/Attendee), associations with multiplicities and role labels, enums, and attributes with types. Model 2 additionally uses composition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</si>
  <si>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</si>
  <si>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&amp; attributes: Model 1 = 5, Model 2 = 5; Evidence: Both cover all required classes. Model 1 has `Person{firstName,lastName,email,password}`, `Organizer{postalAddress,phoneNumber}`, `Attendee`, `Event{occasion,startDateTime,endDateTime}`, `EventType{name}`, `Location{name,address}`, `Task{description}`, `EventTask{status,isForAttendees}`, `Invitation{status}`. Model 2 has `User{firstName,lastName,email,password}`, `Organizer{postalAddress,phoneNumber}`, `Attendee`, `Event{startDateTime,endDateTime,occasion}`, `EventKind{name}`, `Location{name,address}`, `TaskTemplate{description}`, `EventTask{status,isAttendeeDesignated}`, `Invitation{rsvpStatus}`. All required attributes present in both.
2. Generalization (Person/User as superclass of Organizer &amp; Attendee): Model 1 = 5, Model 2 = 5; Evidence: Both use `Person &lt;|-- Organizer` / `Person &lt;|-- Attendee` (Model 1) and `User &lt;|-- Organizer` / `User &lt;|-- Attendee` (Model 2), correctly modeling that organizers and attendees share first/last name, email, password. Both place `password` on the superclass, which aligns with the attendee creating an account with a password.
3. Associations &amp; cardinalities: Model 1 = 3, Model 2 = 3; Evidence: Model 1 correctly has `Organizer "1..*" organizes "0..*" Event` (small/large events; organizer may organize zero events) and `Organizer "0..*" attends "0..*" Event` (organizer may or may not attend). However `Attendee "0..*" receives "0..*" Invitation` is a wrong multiplicity — an invitation should map to exactly one attendee (individual RSVP), but 0..* allows one invitation to many attendees, breaking per-attendee reply tracking. Model 2 correctly has `Invitation "*" --&gt; "1" Attendee`, but omits any organizer-attends association (the requirement states an organizer may also attend the event) and over-constrains `Organizer "1..*" --&gt; "1..*" Event` (each organizer must manage ≥1 event; should be 0..* since an organizer account may exist without yet organizing). Each model has one notable flaw here.
4. Enums / status modeling: Model 1 = 5, Model 2 = 5; Evidence: Model 1 `InvitationStatus{Attending,Maybe,NotAttending,NotReplied}` and `TaskStatus{NeedsToBeDone,HasBeenDone,NotApplicable}` match the four reply states and three task states. Model 2 `RsvpStatus{PENDING,CONFIRMED,MAYBE,DECLINED}` and `TaskStatus{TO_DO,DONE,NOT_APPLICABLE}` likewise cover all states (PENDING = not yet replied). Both fully satisfy the requirement.
5. Composition/aggregation correctness: Model 1 = 4, Model 2 = 4; Evidence: Both use composition for event-owned parts: `Event *-- Invitation`, `Event *-- EventTask`, and `EventType/EventKind *-- Task/TaskTemplate` (templates owned by the kind, supporting reuse for the next event of that kind). Model 2 adds `TaskTemplate --&gt; EventTask` (instantiation), Model 1 uses `EventTask -- "1" Task`. Both are reasonable; neither misuses aggregation where composition is required.
6. Requirement coverage completeness: Model 1 = 4, Model 2 = 3; Evidence: Model 1 explicitly represents the "organizer may also attend" fact via `Organizer "0..*" attends "0..*" Event`, plus task designation (`isForAttendees`) and task reuse (`EventType *-- Task`). Model 2 covers task designation (`isAttendeeDesignated`) and task reuse (`EventKind *-- TaskTemplate`), but does NOT model the organizer-attends relationship at all — an explicit requirement sentence ("Sometimes an organizer also attends the event") is left unrepresented, with no compensating link between Organizer and Event attendance.
Total: Model 1 = 26, Model 2 = 25
Choice: A
Reason:
1. Associations &amp; cardinalities: Model 1 is more accurate on the organizer-event side (`Organizer "1..*" organizes "0..*" Event` correctly allows an organizer with zero events; `Organizer "0..*" attends "0..*" Event` captures optional attendance). Its single error is the loose `Attendee "0..*" receives "0..*" Invitation` multiplicity. Model 2 has the correct `Invitation "*" --&gt; "1" Attendee`, but its `Organizer "1..*" --&gt; "1..*" Event` over-constrains the event side to 1..*, and it drops the organizer-attends relationship entirely. Net, the two are roughly even on associations.
2. Requirement coverage completeness: This is the deciding factor. Model 1 captures the organizer-attends requirement (an explicit sentence) with a dedicated association, while Model 2 omits it completely. Per the guidelines, an omission of an entire required relationship is more substantive than a too-loose multiplicity on an otherwise-correct association, and Model 1 also gets the organizer-event multiplicity right. Model 2's advantage (exact invitation multiplicity) does not outweigh its missing relationship plus the over-constraint.
3. Rejected or checked issues: I did NOT penalize Model 2 for the `'opposite` PlantUML comments or for using `User` instead of `Person`/`int`-style aliases, per the forbidden-penalties rules. I did NOT reward Model 2's clearer `TaskTemplate` naming as an extra scoring factor since both models equivalently separate template-task from event-task. I did NOT penalize either model for not constraining task selection to confirmed attendees, as that is behavioral and not expressible cleanly in a class diagram.
4. Overall judgment: Model 1 is slightly better. It covers one more explicit requirement fact (organizer attending events), uses the more accurate organizer-event multiplicity, and its only notable flaw (loose invitation multiplicity) is less impactful than Model 2's missing organizer-attends relationship combined with the over-constrained organizer-event multiplicity. The margin is small, but Model 1 is the more complete and domain-faithful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</si>
  <si>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</si>
  <si>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separate shared identity attributes into a base class (Model 1: `Person` with firstName/lastName/email/password; Model 2: `User` with same) and extend `Organizer`/`Attendee` from it, giving high cohesion. Both decouple task definition from per-event instance (Model 1: `EventType *-- Task`, `Event *-- EventTask`, `EventTask -- Task`; Model 2: `EventKind *-- TaskTemplate`, `TaskTemplate --&gt; EventTask`). Model 2 uses cleaner association role labels (`heldAt`, `sentTo`, `volunteersFor`) but Model 1 additionally models `Organizer "0..*" attends "0..*" Event`, which covers a requirement but adds a coupling edge. Roughly balanced.
2. Complexity: Model 1 = 4, Model 2 = 4; Evidence: Both have 9 conceptual classes + 2 enums (Model 1: Person, Organizer, Attendee, Event, EventType, Location, Task, Invitation, EventTask + InvitationStatus, TaskStatus; Model 2: User, Organizer, Attendee, EventKind, Location, Event, TaskTemplate, EventTask, Invitation + RsvpStatus, TaskStatus). Inheritance depth = 2 in both. Neither over-promotes nouns to classes; attributes-only modeling is appropriate. Comparable, balanced complexity.
3. Practicability: Model 1 = 4, Model 2 = 3; Evidence: Model 1 explicitly models organizer-attends-event (`Organizer "0..*" attends "0..*" Event`) per requirement, allows reusable locations (`Event -- "1" Location` with unbounded Event side), and correctly ties each `EventTask` to exactly one `Task` (`EventTask -- "1" Task`). Its `InvitationStatus` includes `NotReplied`, directly supporting "how many have not yet replied." Its one notable error: `Attendee "0..*" receives "0..*" Invitation` is many-to-many, yet each invitation (with individual RSVP) should belong to exactly one attendee. Model 2 correctly models invitation-to-attendee as `Invitation "*" --&gt; "1" Attendee`, but has multiple domain inaccuracies: `Event "1" --&gt; "1" Location` forces 1-to-1, contradicting reusable-location selection from a list; `TaskTemplate "0..*" --&gt; "0..*" EventTask` allows an EventTask to have zero or many templates when it should instantiate exactly one; `Organizer "1..*" --&gt; "1..*" Event` over-constrains organizers to always manage ≥1 event; and the organizer-attends-event relationship is entirely absent despite being an explicit, repeated requirement.
Total: Model 1 = 12, Model 2 = 11
Choice: A
Reason:
1. Cohesion and Decoupling: Both achieve high cohesion and low coupling through identical inheritance and template/instance splits. Model 2's role labels are marginally clearer, but Model 1's extra `attends` association reflects a real requirement. Net: tied.
2. Complexity: Equivalent class counts, depth, and abstraction levels. Neither introduces spurious classes. Tied.
3. Practicability: Model 1 wins on domain accuracy. It covers organizer-attending, reusable locations, and 1:1 EventTask→Task. Its only real error is the invitation-attendee many-to-many. Model 2 has a cleaner invitation multiplicity but stacks three additional/severe domain errors: location forced 1-to-1 (violates "selected from a list"), missing organizer-attends-event (explicit requirement), and TaskTemplate–EventTask many-to-many (should be 1-to-*). These outweigh Model 1's single invitation multiplicity flaw.
4. Rejected or checked issues: I did NOT penalize Model 2 for its `'opposite` comments, its two-unidirectional-association style, its use of `Date`/`boolean`, or `*` vs `0..*`. I did NOT reward Model 2 for the `note right of User: email serves as username` since notes are presentation-only and the `email` attribute already exists in both. I did NOT reward Model 2's extra role labels as domain coverage. I confirmed the Location 1-to-1 is a genuine multiplicity error (not an equivalence-literal issue) because both ends are explicitly `1`.
5. Overall judgment: Model 1 is better because it has fewer and less severe domain-accuracy problems, correctly covering two explicit requirements (organizer may attend; locations reusable) that Model 2 violates or omits, at the cost of only one moderate invitation-multiplicity inaccuracy.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</si>
  <si>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</si>
  <si>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capture all core concepts. Model 1 has Person/Organizer/Attendee (inheritance), Event, EventType, Location, Task, EventTask, Invitation, plus InvitationStatus/TaskStatus enums. Model 2 has User/Organizer/Attendee, EventKind, Location, Event, TaskTemplate, EventTask, Invitation, plus RsvpStatus/TaskStatus. Model 2's TaskTemplate more directly expresses the "available for next event" reuse; Model 1's EventType + Task expresses the same reuse. Both fully cover the domain.
2. Associations/Multiplicities between classes for domain reasoning: Model 1 = 3, Model 2 = 3; Evidence: Model 1 correctly models Organizer "1..*" organizes "0..*" Event, Event *-- 0..* Invitation, EventType *-- 0..* Task, Event *-- 0..* EventTask, EventTask -- 1 Task, and addresses organizer-also-attends via "Organizer 0..* attends 0..* Event"; however "Attendee 0..* receives 0..* Invitation" is wrong (an invitation targets a single attendee). Model 2 correctly models Invitation "*" --&gt; "1" Attendee, Organizer "1..*" --&gt; "1..*" Event, EventKind "1" *-- "0..*" TaskTemplate, Event "1" *-- "0..*" EventTask; however "TaskTemplate 0..* --&gt; 0..* EventTask" is wrong (an EventTask instantiates one template, not many), and it omits any organizer-also-attends relationship. Each model has one incorrect multiplicity plus one gap/shortcut, so they balance.
3. Model attributes with appropriate data types: Model 1 = 5, Model 2 = 5; Evidence: Model 1 Person{firstName,lastName,email,password:String}, Organizer{postalAddress,phoneNumber:String}, Event{occasion:String, startDateTime/endDateTime:DateTime}, EventType{name}, Location{name,address}, Task{description}, Invitation{status}, EventTask{status,isForAttendees:boolean}. Model 2 User{...}, Organizer{postalAddress,phoneNumber}, Event{startDateTime,endDateTime:Date,occasion}, EventKind{name}, Location{name,address}, TaskTemplate{description}, Invitation{rsvpStatus}, EventTask{status,isAttendeeDesignated:boolean}. All required attributes (names, email, password, postal address, phone, occasion, start/end date-time, location name/address, task description, statuses) are present with appropriate types. Model 2's Date is slightly less precise than DateTime but acceptable as an alias.
4. Consistencies of Terminology with given context: Model 1 = 4, Model 2 = 5; Evidence: Model 1 uses EventType (requirement says "kind of event"), InvitationStatus (matches "invitation status"), isForAttendees. Model 2 uses EventKind (exact match to "kind of event"), TaskTemplate (transparent refinement capturing the reusable "available for next event" template), RsvpStatus (synonym for invitation-reply status; requirement term is "invitation status"), isAttendeeDesignated. Model 2's EventKind aligns more closely with the requirement wording; Model 1's InvitationStatus aligns with "invitation status" wording. Both are largely consistent, with only minor synonym choices.
5. Adherence of UML class diagram standards: Model 1 = 5, Model 2 = 5; Evidence: Both use valid PlantUML class-diagram syntax: enums, classes with typed attributes, inheritance (Person/User &lt;|-- Organizer/Attendee), composition (*--), directed associations (--&gt;), and multiplicities. Model 2's role labels and opposite-direction comments are valid annotations and are ignored per scoring rules. No notation errors that impair comprehension in either.
Total: Model 1 = 22, Model 2 = 23
Choice: C
Reason:
1. Appropriate conceptual classes: Both models are essentially equivalent — same inheritance pattern, same Event/EventKind(EventType)/Location/Task(TaskTemplate)/EventTask/Invitation structure, same status enums. No meaningful difference.
2. Associations/Multiplicities: The trade-off is symmetric. Model 1 correctly links EventTask -- "1" Task but errs on Invitation-Attendee (many-to-many instead of 1). Model 2 correctly links Invitation --&gt; "1" Attendee but errs on TaskTemplate-EventTask (many-to-many instead of 1) and omits the organizer-also-attends relationship that Model 1 at least represents (via "Organizer 0..* attends 0..* Event"). The errors are of comparable severity, so this criterion is a wash.
3. Rejected or checked issues: I did not penalize Model 2 for the PlantUML comments ('opposite ...), primitive type aliases, or two opposite unidirectional associations, per the forbidden-penalties rules. I did not reward Model 2 merely for being more verbose, nor penalize Model 1's "Organizer attends" shortcut as a style issue — it was evaluated only for domain correctness. The Date vs DateTime distinction was treated as a minor type alias, not a scoring factor.
4. Overall judgment: The two models are close in every criterion. Model 2 edges slightly on terminology (EventKind matches "kind of event"), but Model 1 compensates by modelling the organizer-also-attends case and by a cleaner Task/EventTask link. With totals 22 vs 23 and the differences resting on minor synonym/representation choices rather than meaningful quality, the meaningful quality difference is small,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</si>
  <si>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</si>
  <si>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Classes/concepts coverage: Model 1 = 5, Model 2 = 5; Evidence: Both models cover the same essential conceptual classes. Model 1 has Person, Organizer, Attendee, Event, EventType, Location, Task, Invitation, EventTask plus InvitationStatus/TaskStatus enums. Model 2 has User (equivalent base), Organizer, Attendee, Event, EventType, Location, Invitation, TaskTemplate (equivalent to Task), EventTask plus RsvpStatus/TaskStatus enums. No required concept is missing in either.
2. Attributes coverage: Model 1 = 4, Model 2 = 5; Evidence: Model 1 places firstName/lastName/email/password on Person, postalAddress/phoneNumber on Organizer, occasion/startDateTime/endDateTime on Event, name on EventType/Location, description on Task, status on Invitation/EventTask, isForAttendees on EventTask — but Invitation carries only `status` and omits the invited email/first-last names the organizer enters. Model 2 adds `invitedEmail` to Invitation, better matching the "invites the attendees by entering their first and last names as well as their email addresses" flow where the invitee may not yet have an account.
3. Inheritance/generalization: Model 1 = 5, Model 2 = 5; Evidence: Both use generalization correctly: Model 1 `Person &lt;|-- Organizer`, `Person &lt;|-- Attendee`; Model 2 `User &lt;|-- Organizer`, `User &lt;|-- Attendee`. Neither marks the superclass abstract, which is acceptable per the forbidden-penalty rule.
4. Associations &amp; cardinalities: Model 1 = 4, Model 2 = 2; Evidence: Model 1 uses `Organizer "1..*" organizes "0..*" Event` (event has ≥1 organizer, organizer may organize many events ✓), `Event -- "1" EventType` and `Event -- "1" Location` (one type/location per event, other direction unspecified so reusability is not contradicted ✓), `EventType *-- "0..*" Task` (reusable task list ✓). Minor looseness: `Attendee "0..*" receives "0..*" Invitation` allows one invitation to map to many attendees. Model 2 writes `Event "1" -- "1..*" Organizer` (the "1" at the Event end forces each Organizer to organize exactly one event — wrong), `Event "1" -- "1" EventType` (each EventType used by exactly one event — contradicts "selecting from a list" reusability), and `Event "1" -- "1" Location` (each Location used by exactly one event — contradicts "selected from a list"). These are domain multiplicity contradictions, not mere omissions.
5. Relationship types (composition/aggregation): Model 1 = 5, Model 2 = 4; Evidence: Model 1 uses composition where ownership is appropriate: `Event *-- "0..*" Invitation`, `EventType *-- "0..*" Task`, `Event *-- "0..*" EventTask`, plus plain association for EventTask--Task and Attendee--EventTask. Model 2 uses plain associations throughout (`Event -- EventType`, `EventType -- TaskTemplate`, `Event -- EventTask`, `EventTask -- TaskTemplate`), which is valid but less expressive about part/whole lifecycle. Neither is wrong; Model 1 is marginally richer.
6. Functional coverage: Model 1 = 5, Model 2 = 4; Evidence: Both cover RSVP (Model 1 InvitationStatus = Attending/Maybe/NotAttending/NotReplied; Model 2 RsvpStatus = PENDING/ATTENDING/MAYBE/DECLINED), per-event-type checklist (EventType→Task/TaskTemplate, Event→EventTask), task status enums (NeedsToBeDone/HasBeenDone/NotApplicable vs TODO/DONE/NOT_APPLICABLE), task reuse via EventType, and `isForAttendees` flag. For attendee task selection, Model 1 uses `Attendee "0..*" selects "0..*" EventTask` (direct selection) while Model 2 uses `EventTask "*" -- "0..1" Invitation : assigned to` (selection expressed as an assignment to an invitation — indirect but captures "who is bringing what"). Crucially, the requirement states "Sometimes, an organizer also attends the event"; Model 1 models this with `Organizer "0..*" attends "0..*" Event`, whereas Model 2 has no corresponding association, so the organizer-as-attendee case is unrepresented.
Total: Model 1 = 28, Model 2 = 25
Choice: A
Reason:
1. Classes/concepts coverage: Both models cover the full class set with equivalent renamings (Person/User, Task/TaskTemplate); no decisive difference.
2. Attributes &amp; cardinalities: Model 2 is slightly stronger on attributes (Invitation.invitedEmail captures the pre-account invitation target), but Model 2 is substantially weaker on cardinalities — it constrains Event↔EventType, Event↔Location, and Event↔Organizer to "1" on the Event end, which contradicts the requirement's explicit reuse of event types and locations "from a list" and an organizer's ability to plan multiple events. Model 1's multiplicities preserve that reusability and also capture the organizer-attends relationship that Model 2 omits.
3. Rejected or checked issues: I did not penalize either model for using lowercase `boolean`/`Boolean`, for `*` vs `0..*`, for opposite-direction association style, for PlantUML quotes/comments, or for not marking the superclass abstract — all are forbidden-penalty items. I also did not reward Model 2 merely for the extra `invitedEmail` attribute beyond its domain value, nor did I reward Model 1 for being more verbose.
4. Overall judgment: Model 1's weaknesses are minor (Invitation does not store the invited email; Attendee↔Invitation multiplicity is loose), whereas Model 2 has concrete multiplicity contradictions on reusable entities and omits the organizer-attends relationship. The domain-faithfulness edge goes to Model 1, so Response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</si>
  <si>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</si>
  <si>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use a base class for shared identity attributes (Model 1 `Person` with firstName/lastName/email/password specialized into `Organizer` and `Attendee`; Model 2 `User` with the same fields specialized similarly), giving high cohesion for identity. Both separate reusable task definitions from per-event instances (Model 1 `Task` vs `EventTask`; Model 2 `TaskTemplate` vs `EventTask`) and keep `Invitation` distinct from the person classes. Model 2 decouples invitation from account creation cleanly via `Invitation "*" -- "0..1" Attendee : claimed by`, whereas Model 1 uses `Attendee "0..*" receives "0..*" Invitation`, a looser/less precise link. Model 1, however, cleanly separates the "organizes" and "attends" roles of an organizer via two distinct associations to `Event`. Overall balance is comparable.
2. Complexity: Model 1 = 4, Model 2 = 4; Evidence: Both have 9 classes plus 2 enums and a single-level inheritance tree (`Person/User &lt;|-- Organizer`, `Person/User &lt;|-- Attendee`). Average methods/attributes per class are low and balanced. Neither over-fragments nouns into classes; attributes like `startDateTime`, `occasion`, `postalAddress` are correctly modeled as attributes rather than classes. Complexity is appropriate to the requirement in both.
3. Practicability: Model 1 = 3, Model 2 = 3; Evidence: Model 1 explicitly models the organizer-attends option (`Organizer "0..*" attends "0..*" Event`) required by the text ("Sometimes an organizer also attends the event"), and models attendee task selection directly (`Attendee "0..*" selects "0..*" EventTask`). However, its `Invitation` carries only `status` and relies on `Attendee`/`Person` for first/last name and email, so an invitation issued before account creation has nowhere to store the entered name/email; the `0..*`-`0..*` Invitation–Attendee multiplicity is also semantically weak (an invitation should target one invitee). Model 2 models the pre-account invitation better (`Invitation.invitedEmail` plus `claimed by 0..1 Attendee`) and links `EventTask "*" -- "0..1" Invitation : assigned to` to record who brings what, but it omits the organizer-attends relationship entirely (only `Event "1" -- "1..*" Organizer : organized by` exists), missing a twice-stated requirement, and stores only `invitedEmail` (no first/last name) on the invitation. Each model has one substantive requirement-level gap, so practicability is balanced.
Total: Model 1 = 11, Model 2 = 11
Choice: C
Reason:
1. Cohesion and Decoupling: Both achieve high cohesion via a shared base class and a template/instance split for tasks; coupling is comparable. Model 2's invitation–attendee navigability is cleaner, while Model 1's dual organizer associations (organizes/attends) are clearer for role separation — offsetting strengths.
2. Complexity: Identical class/enumeration counts and inheritance depth; both avoid attribute-vs-class mistakes. No meaningful difference.
3. Practicability: Trade-off is symmetric. Model 1 covers the organizer-attends requirement and direct attendee task selection, but has a weak invitation model (no invited name/email storage, over-loose `0..*`/`0..*` multiplicity). Model 2 has a more faithful invitation/account-claiming workflow and a precise task-to-invitation assignment, but omits the organizer-attends relationship, an explicitly stated requirement. Neither gap clearly dominates.
4. Rejected or checked issues: I did not penalize either model for type aliases (e.g., `boolean`/`Boolean`, `DateTime`), for `*` vs `0..*`/`1` vs `1..1` equivalences, or for unidirectional-vs-bidirectional association style. I did not reward Model 2 merely for the `TaskTemplate`/`User` renaming over Model 1's `Task`/`Person`, since they are semantically equivalent refinements. I did not count the absence of an explicit "confirmed attendees see tasks" visibility rule against either model, as it is behavioral rather than class-diagram semantics.
5. Overall judgment: The two diagrams cover essentially the same requirement surface with symmetric strengths and one comparable weakness each, so the meaningful quality difference is small —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</si>
  <si>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</si>
  <si>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same core classes — Person/User, Organizer, Attendee, Event, EventType, Location, Invitation, Task/TaskTemplate, EventTask. Both capture the distinction between a reusable task template (added for next event) and a per-event task instance (EventTask with status). Model 1 names the base `Person` and the reusable task `Task`; Model 2 names them `User` and `TaskTemplate` — both acceptable. Neither model misses a core concept.
2. Associations/Multiplicities between classes for domain reasoning: Model 1 = 4, Model 2 = 5; Evidence: Model 2 precisely models the organizer-attends-event requirement with `Event "1" -- "1..*" Organizer : organized by &gt;` (large events need several organizers, at least one) and separately captures organizer-attending via `Invitation "* "-- "0..1" Attendee : claimed by &gt;` (an organizer-only-manager has no Attendee link). Model 1 uses `Organizer "1..*" organizes "0..*" Event` (correct) and `Organizer "0..*" attends "0..*" Event` (acceptable), but represents attendee-to-invitation as `Attendee "0..*" receives "0..*"` rather than the more accurate 0..1 claim, and does not model the attendee-being-assigned-tasks link explicitly. Model 2 also models `EventTask "* "-- "0..1" Invitation : assigned to &gt;` (task designated for an attendee linked to that attendee's invitation), which Model 1 omits — Model 1 instead uses `Attendee selects EventTask`, which is reasonable but weaker on the designated-for-attendee linkage. Model 2 captures the "designated for attendee" and "attendee selects" path more faithfully.
3. Model attributes with appropriate data types: Model 1 = 5, Model 2 = 4; Evidence: Model 1 includes startDateTime/endDateTime on Event (DateTime), occasion, EventType.name, Location name/address, Person firstName/lastName/email/password, Organizer postalAddress/phoneNumber, Task description, Invitation.status, EventTask status/isForAttendees — full attribute coverage. Model 2 splits startDate/endDate (DateTime) instead of a single startDateTime/endDateTime — acceptable but slightly less precise; Event lacks an explicit startDateTime naming, though semantically equivalent. Model 2 adds `Invitation.invitedEmail: String` (capturing the email entered by organizer before account creation) which is a useful domain detail Model 1 omits. Both are strong; Model 1 slightly more complete on Event timing naming, Model 2 gains invitedEmail. Net near-tie, slight edge Model 1 on completeness of standard fields.
4. Consistencies of Terminology with given context: Model 1 = 5, Model 2 = 4; Evidence: Model 1 uses terms directly from the requirement: InvitationStatus (Attending/Maybe/NotAttending/NotReplied), TaskStatus (NeedsToBeDone/HasBeenDone/NotApplicable), "organizes", "attends", "selects", "isForAttendees". Model 2 uses RsvpStatus with PENDING/ATTENDING/MAYBE/DECLINED and TaskStatus TODO/DONE/NOT_APPLICABLE — semantically equivalent but less faithful to the requirement's wording ("will attend / maybe will attend / cannot attend", "needs to be done / has been done / not applicable"). Model 2's "TaskTemplate"/"instantiates" is reasonable but the requirement says "task"/"add to the list". Model 1 aligns more closely with the source vocabulary.
5. Adherence of UML class diagram standards: Model 1 = 5, Model 2 = 5; Evidence: Both use valid PlantUML syntax: enums, classes, generalization (`&lt;|--`), composition (`*--`/`*`), associations with multiplicities and role labels. No notation errors in either. Model 2 uses directional role-label syntax (`: organized by &gt;`) which is valid PlantUML. Both fully adhere to UML/PlantUML conventions.
Total: Model 1 = 24, Model 2 = 23
Choice: A
Reason:
1. Conceptual classes: Both models are essentially equivalent in class coverage — tie at 5.
2. Associations/Multiplicities: Model 2 is stronger here — it captures the `1..*` organizer multiplicity correctly tied to the event (large events need several organizers), models the organizer-as-attendee case via the `Invitation claimed by 0..1 Attendee` link, and explicitly models `EventTask assigned to Invitation` (designating a task for an attendee). Model 1's `Organizer "0..*" attends "0..*" Event` is acceptable but blurs the organizer-only-vs-attending distinction, and it lacks the assigned-task linkage. Edge to Model 2.
3. Attributes: Model 1 covers all required attributes with faithful naming (startDateTime, endDateTime); Model 2 renames to startDate/endDate and adds invitedEmail. Both strong; slight edge Model 1 on naming fidelity.
4. Terminology: Model 1 mirrors the requirement's exact wording (NeedsToBeDone/HasBeenDone/NotApplicable, Attending/Maybe/NotAttending/NotReplied, "organizes"/"attends"/"selects"); Model 2 substitutes developer-flavored terms (TODO/DONE, RSVP/PENDING/DECLINED, TaskTemplate/instantiates). Model 1 is more consistent with the given context — this is the decisive differentiator.
5. Rejected/checked issues: I did not penalize Model 1 for using `boolean` (lowercase) vs Model 2's `Boolean` — forbidden by the primitive-types rule. I did not penalize Model 2 for `*` vs `0..*` — equivalent multiplicity rule. I did not reward either model for `isForAttendees` being a boolean attribute versus modeled as a subclass — both acceptable.
6. Overall judgment: The two models are very close in quality. Model 2 has a modest edge in association/multiplicity precision (especially the organizer count and attendee-task assignment link). However, Model 1's terminology is markedly more faithful to the requirement's vocabulary, and its attribute naming (startDateTime/endDateTime) is more precise. The terminology and attribute-fidelity advantages outweigh Model 2's association refinement, yielding a narrow win for Model 1. Given the closeness, a Tie would also be defensible, but on independent scoring Model 1 edges ahead 24-23.
```</t>
  </si>
  <si>
    <t>TileOGame</t>
  </si>
  <si>
    <t>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</si>
  <si>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</si>
  <si>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requirement (all functionalities, no hallucinations): Model 1 = 3, Model 2 = 4; Evidence: Model 1 omits the `ConnectionPiece` entity and the "pile of 32 spare connection pieces", instead modeling connections as four boolean flags on `Tile` (`isConnectedRight/Left/Top/Bottom`); this weakens the semantics of action cards (ii) "connect two adjacent tiles with a connection piece from the pile" and (iii) "remove a connection piece... place it in the pile", since there is no piece object or pile to move. Model 2 introduces `ConnectionPiece` and `ConnectionPiecePile` classes, matching the requirement's explicit domain concepts, and includes a `Side` enum and `ConnectionPiecePile.takePiece()/returnPiece()`. Model 2 also adds a `PlayingPieceColor` enum (RED/BLUE/GREEN/YELLOW) which is a mild, harmless refinement of "different color". Both model the 5 action card types (`ActionCardType`), the deck, the die, the hidden tile, the action tile cooldown (`turnsAsRegular`/`cooldownTurns`), and visited color change; Model 1 additionally captures "players do not know" via `isRevealed` while Model 2 does not.
2. Conceptual classes and relationships (associations, cardinalities, inheritance, aggregation, composition): Model 1 = 4, Model 2 = 3; Evidence: Model 1 specifies multiplicities throughout — `Game "1" *-- "2..4" Player`, `Game "1" *-- "1" Board`, `Deck "1" *-- "32" ActionCard`, `Board "1" *-- "1..*" Tile`, `Tile --&gt; "0..1" Tile` for each of the four sides (capturing "at most one tile connected on each side"), `Player "1" *-- "1" PlayingPiece`, plus `currentPlayer/winner` with `1` and `0..1`. It uses composition (`*--`) appropriately for parts owned by the game/board, and inheritance `Tile &lt;|-- ActionTile`. Its main gap is the absence of connection-piece associations. Model 2 has richer class coverage (`ConnectionPiece --&gt; Tile : connects` twice, `ConnectionPiecePile *- ConnectionPiece`, `GameBoard *- Tile`, `Tile &lt;|-- RegularTile/ActionTile/HiddenTile`) but almost entirely omits cardinalities: `Game --&gt; Player : has players` has no `2..4`, `Deck *- ActionCard` has no `32`, `ConnectionPiecePile *- ConnectionPiece` has no `32`, `GameBoard *- Tile` has no multiplicity, and there is no `startingTile` association on `Player` (only a `setStartingPosition` method). The "2 to 4 players" and "32 cards / 32 spare pieces" cardinalities are explicit requirement facts that Model 2 leaves unspecified.
3. Clarity of class names and optional attributes: Model 1 = 4, Model 2 = 4; Evidence: Both use recognizable, requirement-aligned names. Model 1 names (`Game`, `Board`, `Tile`, `ActionTile`, `Deck`, `PlayingPiece`, `Die`) are clean; `Tile` carries several boolean flags (`isVisited`, `isHidden`, `isStartingPosition`, `isConnected*`) which are readable though somewhat cluttered. Model 2 names (`GameDesigner`, `GameBoard`, `RegularTile`, `HiddenTile`, `ConnectionPiecePile`) are equally clear; it additionally declares many operation signatures (e.g., `designBoard()`, `placeTile()`, `triggerAction()`) which are implementation-oriented detail not rewarded per the guidelines, but they do not harm clarity. Neither model's naming is confusing or contradictory.
Total: Model 1 = 11, Model 2 = 11
Choice: C
Reason:
1. Strict alignment: Model 2 better covers the requirement's explicit domain entities (`ConnectionPiece`, `ConnectionPiecePile`) that Model 1 dropped in favor of boolean flags, so Model 2 wins this criterion. However, Model 1 compensates by capturing `isRevealed` (players unaware of action tiles) and explicit starting-position associations that Model 2 only exposes via a method.
2. Relationships &amp; cardinalities: Model 1 is clearly stronger — it specifies the critical `2..4` players, `32` action cards, `0..1` per-side connections, and `0..1` winner, whereas Model 2 leaves nearly every collection multiplicity blank and omits the `startingTile` association. Model 2's richer class graph partially offsets this but not enough to overtake Model 1 on the cardinality-focused criterion.
3. Rejected or checked issues: I did not penalize Model 1 for its `'opposite ...` PlantUML comments or for using `int`/`String`/`boolean` (forbidden penalties). I did not reward Model 2 for its extra methods/enum colors (implementation/detail additions per guidelines). I did not punish Model 2 for marking `Tile` abstract (optional abstractness). Model 2's `HiddenTile`/`RegularTile` subclasses are a reasonable interpretation, not a hallucination.
4. Overall judgment: The two models have complementary strengths — Model 2 has fuller domain-class coverage (connection pieces and spare pile) while Model 1 has far more complete and requirement-faithful multiplicities and associations. The totals are equal and the meaningful quality difference is small,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</si>
  <si>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</si>
  <si>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embeds connection logic directly in Tile via four boolean flags (isConnectedRight/Left/Top/Bottom) plus four self-associations, mixing positional, state, connection, and role concerns in one class; Deck is an empty container. Model 2 separates concerns into dedicated cohesive classes: ConnectionPiece (connect/disconnect), ConnectionPiecePile (takePiece/returnPiece), Deck (drawCard/shuffle), GameBoard (addTile/removeTile/addConnection), each with a singular responsibility. Model 2's GameDesigner is cohesive around design activities. However, Model 2 couples Game to Player via three undifferentiated associations (has players / current player / winner) without clear multiplicity separation.
2. Complexity: Model 1 = 4, Model 2 = 3; Evidence: Model 1 uses ~12 classes with a single inheritance branch (Tile&lt;|--ActionTile, depth 2) and models hidden/starting-position/visited as attributes (isHidden, isStartingPosition, isVisited) rather than separate classes — appropriately balanced. Model 2 uses ~16 classes with three Tile subclasses (Tile&lt;|--RegularTile, ActionTile, HiddenTile); RegularTile is an empty class and HiddenTile conflates a design-time designation ("indicates the hidden tile") with an inherent type, which is questionable over-classification. PlayingPieceColor enum (RED/BLUE/GREEN/YELLOW) over-specifies colors not stated in the requirement. Model 2's ConnectionPiece and ConnectionPiecePile are justified by the requirement's "pile of 32 spare connection pieces," so the extra complexity is partly warranted, but the net balance is less clean.
3. Practicability: Model 1 = 4, Model 2 = 3; Evidence: Model 1 captures hard constraints explicitly: Game *-- "2..4" Player, Deck *-- "32" ActionCard, Tile--&gt;Tile "0..1" per side (enforces "at most one tile connected on each side"), Player--&gt;startingTile and Player--&gt;currentTile, ActionTile.isRevealed (players do not know until landed), Player.isNextTurnLost (lose next turn), ActionTile.turnsAsRegular/turnsRemaining (cooldown). These aid validation and acceptance testing. Model 2 provides rich, implementable methods (GameDesigner.placeTile/connectTiles/setHiddenTile/setStartingPosition, ConnectionPiece.connect/disconnect, Deck.drawCard) and a proper ConnectionPiece object model supporting action cards (ii)/(iii); however it omits key multiplicities (no "32" on Deck–ActionCard, no "32" on ConnectionPiecePile–ConnectionPiece, no "2..4" on Game–Player "has players"), has no Player→Tile starting-position association (only a setStartingPosition method with no stored relation), no concealment flag for action tiles (ActionTile type is structurally visible), and models the hidden tile as a HiddenTile subclass rather than a designation, weakening the "players find a hidden tile" semantics.
Total: Model 1 = 11, Model 2 = 10
Choice: A
Reason:
1. Cohesion and Decoupling: Model 2 separates ConnectionPiece/Pile/Deck/GameBoard into focused classes, giving it an edge; Model 1 overloads Tile with connection booleans and self-associations. Model 2 wins this criterion.
2. Complexity: Model 1 is better balanced — it uses attributes for hidden/starting/visited rather than spawning RegularTile and HiddenTile subclasses, and avoids the over-specified PlayingPieceColor enum. Model 2's HiddenTile-as-type and empty RegularTile are unnecessary complexity. Model 1 wins this criterion.
3. Practicability: Model 1 explicitly encodes the requirement's hard constraints (2..4 players, 32 cards, 0..1 connection per side, starting positions, action-tile concealment, lose-next-turn, cooldown), which directly supports testing and faithful implementation. Model 2 offers better behavioral methods and a real ConnectionPiece object model, but its missing multiplicities, absent starting-position association, absent concealment flag, and the semantically weak HiddenTile subclass leave gaps in requirement coverage. Model 1 wins this criterion and the overall comparison.
4. Rejected or checked issues: I did NOT penalize Model 1 for PlantUML single-quote comments (e.g., 'opposite leftTile), for using int/boolean/String primitives, for using "1" instead of "1..1", or for modeling Tile↔Tile as four unidirectional associations instead of bidirectional lines — all are forbidden penalties. I did NOT reward Model 2's extra timestamps/statuses or PlayingPieceColor enum as requirement coverage. The deciding factor was requirement-faithful constraint coverage, not length or presentation.
5. Overall judgment: Model 1 is better because it more faithfully and testably captures the stated multiplicities and constraints (player count, card count, per-side connection limit, starting positions, action-tile concealment, cooldown, lose-turn), with appropriately balanced complexity. Model 2 is stronger on cohesion and behavioral method richness but loses ground on missing hard constraints and the questionable HiddenTile subclass.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</si>
  <si>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</si>
  <si>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has the core classes Designer, Player, PlayingPiece, Die, Game, Board, Tile, ActionTile, Deck, ActionCard, with Tile&lt;|--ActionTile, but lacks a ConnectionPiece class and a spare-pile class (only a `spareConnectionPieces: int` counter on Game). Model 2 adds ConnectionPiece, ConnectionPiecePile (matching "pile of 32 spare connection pieces"), RegularTile, ActionTile, and uses Tile as abstract superclass; however it introduces HiddenTile as a Tile subclass (requirement treats "hidden tile" as a designer-indicated role/attribute, and it conflicts with ActionTile specialization), a minor misalignment. Both are good with minor issues.
2. Associations/Multiplicities between classes for domain reasoning: Model 1 = 4, Model 2 = 2; Evidence: Model 1 specifies `Game "1" *-- "2..4" Player`, `Deck "1" *-- "32" ActionCard`, `Board "1" *-- "1..*" Tile`, `Tile --&gt; "0..1" Tile` for right/left/top/bottom (capturing "at most one tile on each side"), `Player --&gt; "1" Tile : startingTile/currentTile`, `Game --&gt; "1" Player : currentPlayer/winner`. Model 2 lists associations (Game *-- GameBoard/Deck/ConnectionPiecePile/Die, Game --&gt; Player, GameBoard *- Tile, Deck *- ActionCard, ConnectionPiece --&gt; Tile) but almost none carry multiplicities; the hard constraints 2..4 players, 32 cards, 32 spare pieces, and "at most one connection per side" are not represented — critical multiplicities missing.
3. Model attributes with appropriate data types: Model 1 = 4, Model 2 = 4; Evidence: Model 1 models Player.turnOrder:int, Player.isNextTurnLost:boolean, Tile.posX/posY/isVisited/isHidden/isStartingPosition/color:String, ActionTile.turnsAsRegular:int/turnsRemaining:int/isRevealed:boolean, ActionCard.cardType:ActionCardType; Deck is an empty class and connections are stored as four booleans (isConnectedRight/Left/Top/Bottom). Model 2 uses typed enums (TileColor, PlayingPieceColor, Side), ConnectionPiece.side1/side2:Side, Deck.cards:ActionCard[]/cardsRemaining, ConnectionPiecePile.sparePieces:ConnectionPiece[]/piecesRemaining, ActionTile.cooldownTurns/currentCooldown; but it lacks any starting-position attribute/association (only a setStartingPosition() method) and represents the hidden concept via a HiddenTile subclass with isFound() rather than an attribute. Both are good with different minor weaknesses.
4. Consistencies of Terminology with given context: Model 1 = 4, Model 2 = 4; Evidence: Model 1 uses "Designer", "PlayingPiece", "Board" (for "game board"), "Deck", "ActionCard", "turnsAsRegular" (matching "turns into a regular tile for a number of turns"). Model 2 uses "GameDesigner" (vs "designer"), "GameBoard", "ConnectionPiece", "ConnectionPiecePile", "cooldownTurns"/"currentCooldown" (the term "cooldown" is not in the requirement, a minor terminology drift). Both align with the context with minor inconsistencies.
5. Adherence of UML class diagram standards: Model 1 = 5, Model 2 = 5; Evidence: Both produce valid PlantUML: Model 1 uses enums, classes, composition `*--`, association `--&gt;`, generalization `&lt;|--`, and quoted multiplicities; Model 2 uses `abstract class`, enums, composition `*--`/`*-`, aggregation `o--&gt;`, and generalization `&lt;|--`. No notation violations in either; both are fully readable.
Total: Model 1 = 21, Model 2 = 19
Choice: A
Reason:
1. Appropriate conceptual classes: roughly comparable — Model 1 misses a ConnectionPiece class and pile (only an int counter), while Model 2 covers them but introduces a questionable HiddenTile subclass; both score 4.
2. Associations/Multiplicities: this is the decisive difference. Model 1 encodes the domain's hard cardinalities (2..4 players, 32 action cards, 0..1 connection per side, 1..* tiles, single current/winner player), whereas Model 2 leaves nearly every association without a multiplicity, omitting all stated constraints — critical for domain reasoning.
3. Attributes: both are adequate; Model 1 has an empty Deck class and connection booleans; Model 2 misses starting-position modeling and uses "cooldown" terminology; trade-off balances out.
4. Terminology: both consistent with minor drift (Model 2's "cooldownTurns"; Model 1's "Board" vs "game board").
5. Rejected/checked issues: I did not penalize Model 1 for using opposite unidirectional Tile--&gt;Tile associations with single-quote comments, nor Model 2 for primitive/enum type aliases, per the forbidden-penalties rules; I also did not reward Model 2's extra methods (startGame, rollDie, etc.) since they are implementation detail not improving requirement coverage.
6. Overall judgment: Model 1 is better mainly because it preserves the essential multiplicities and constraints of the Tile-O domain (player count, deck size, per-side connection limit, tile ownership), which are largely absent in Model 2; both are otherwise comparable on classes, attributes, terminology, and UML validity.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</si>
  <si>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</si>
  <si>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Coverage of required conceptual classes: Model 1 = 3.5, Model 2 = 4.5; Evidence: Both cover Designer, Player, PlayingPiece, Die, Game, Board, Tile, ActionTile, Deck, ActionCard, and the 5 action-card types (M1 via ActionCardType enum; M2 via 5 ActionCard subclasses). M1 lacks an explicit ConnectionPiece class — it only uses `isConnectedRight/Left/Top/Bottom` booleans on Tile — even though the requirement repeatedly treats connection pieces as movable objects ("connect ... with a connection piece from the pile", "remove a connection piece ... and place it in the pile"). M2 explicitly models `ConnectionPiece` and `Tile o-- 0..1 ConnectionPiece` per side, plus `ConnectionPiece --&gt; "2" Tile : connects`. M2 also adds `RegularTile`/`HiddenTile` subclasses, where RegularTile matches the "action tile turns into a regular tile" wording.
2. Relationships and cardinalities: Model 1 = 4, Model 2 = 4.5; Evidence: Both correctly use 2..4 players (`Game *-- "2..4" Player` in M1; `Game o-- "2..4" Player` in M2), `Deck *-- "32" ActionCard`, `Board *-- "1..*" Tile`, and 0..1 per-side tile connections. M2 places `currentTile` on `PlayingPiece --&gt; "1" Tile` (matching "moves their playing piece along connected tiles"), whereas M1 puts `currentTile` on Player. M2 also uses a `PieceColor` enum {RED,BLUE,GREEN,YELLOW} enforcing distinct colors per piece, while M1 uses a free `color: String`. M2 uses `TileColor {WHITE, BLACK}` matching "color changes from white to black"; M1 uses a String. M1, however, explicitly models the winner via `Game --&gt; "0..1" Player : winner`, while M2 only implies it through the `endGame(winner: Player)` operation — a slight edge for M1 here, but offset by M2's stronger piece/tile/color modeling.
3. Relationship types (inheritance/aggregation/composition): Model 1 = 4, Model 2 = 4; Evidence: Both use composition for Game-Board/Deck/Die and Player-PlayingPiece, and inheritance for Tile&lt;|--ActionTile. M1 composes players into the Game (`*-- "2..4"`); M2 aggregates them (`o-- "2..4"`), which is acceptable either way. M2 uses aggregation for Tile-ConnectionPiece (`o-- "0..1"`), appropriate since connection pieces move between board and pile, and adds an ActionCard inheritance hierarchy (5 subclasses) plus a Tile hierarchy (RegularTile/HiddenTile/ActionTile). M2's HiddenTile-as-subclass is slightly less flexible than M1's `isHidden` flag (a designated tile is hidden rather than a structurally different tile), but it is not wrong.
4. Clarity of class names: Model 1 = 4, Model 2 = 4; Evidence: Both use clear, domain-aligned names (M1: Designer, Player, PlayingPiece, Die, Game, Board, Tile, ActionTile, Deck, ActionCard, GameState, ActionCardType; M2: GameDesigner, Player, PlayingPiece, Die, Game, Board, Tile, RegularTile, HiddenTile, ActionTile, ConnectionPiece, Deck, ActionCard + subclasses, GameState, TileColor, Direction, PieceColor). M2 is slightly more granular but both are readable and traceable to the requirement.
5. Faithfulness to requirement (no hallucination / no missing essentials): Model 1 = 3.5, Model 2 = 4.5; Evidence: Both correctly capture: one die, deck of 32 action cards, 2..4 players with turn order (`turnOrder`/`order`) and skip-next-turn (`isNextTurnLost`/`skipNextTurn`) for the "lose your next turn" card, action-tile cooldown (`turnsAsRegular`/`turnsRemaining` vs `cooldownTurns`/`remainingCooldown`), at-most-one-connection-per-side (0..1), and a `spareConnectionPieces` count for the pile of 32. However, M1 fails to model ConnectionPiece as an entity (only booleans + a count), which weakens the semantics of the connect/remove-from-pile action cards; M2 models it explicitly. Both models represent the "pile" only as an integer count rather than a collection of ConnectionPiece objects — a shared minor gap. M1's `isRevealed` on ActionTile loosely hints at "players do not know whether a tile is an action tile"; M2 has no equivalent attribute but uses `isActive()` — comparable.
Total: Model 1 = 19, Model 2 = 21.5
Choice: B
Reason:
1. Coverage of conceptual classes: Model 2 explicitly models `ConnectionPiece` (with per-side aggregation and a `connects -&gt; 2 Tile` link), a domain entity the requirement repeatedly references for the connect/remove action cards and the pile of 32 spare pieces. Model 1 only represents connections as four booleans plus a count, losing the movable-object semantics needed by action cards (ii) and (iii).
2. Relationships and cardinalities: Model 2 places `currentTile` on `PlayingPiece` (consistent with "moves their playing piece along connected tiles"), uses a `PieceColor` enum to guarantee distinct piece colors, and a `TileColor {WHITE, BLACK}` enum to match "color changes from white to black". Model 1 puts `currentTile` on Player and uses free `String` colors. Model 1's only advantage here is an explicit `winner` association, but it does not outweigh Model 2's gains.
3. Relationship types: Both use appropriate composition/aggregation/inheritance. Model 2's aggregation between Tile and ConnectionPiece correctly reflects pieces that move between board and pile; Model 1 cannot express this since it has no ConnectionPiece class. Model 2's Tile subclass hierarchy (RegularTile/HiddenTile/ActionTile) aligns with "action tile turns into a regular tile"; Model 1's `isHidden` flag is equally acceptable, so this is roughly even.
4. Clarity of class names: Both are clear and traceable; essentially a tie.
5. Faithfulness: Model 2 better covers the connection-piece lifecycle, piece/tile colors, and piece positioning; Model 1's boolean-only connection representation and missing ConnectionPiece entity are the main faithfulness gaps. Both share the minor gap of modeling the spare-piece pile only as an integer count.
Rejected/checked issues: I did not penalize M1 for using `int`/`String`/`boolean` (forbidden primitive-type penalty), for its `'opposite ...` PlantUML comments (forbidden), or for using `*` vs `0..*` (forbidden). I also did not reward M2 merely for having more classes (e.g., the 5 ActionCard subclasses) — the deciding factor was the semantically necessary ConnectionPiece entity and the color enums, not implementation detail. I did not treat M2's `HiddenTile` subclass as an error, since designating one tile as hidden via subclass is an acceptable interpretation.
Overall judgment: Model 2 is better primarily because it explicitly models ConnectionPiece (a movable domain entity central to two action cards and the spare-pile concept), places the current tile on the PlayingPiece as the requirement implies, and uses typed enums for tile color and piece color. Model 1 is a reasonable design but its boolean-only connection modeling and String-typed colors leave semantic gaps relative to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</si>
  <si>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</si>
  <si>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uses a compact set of cohesive classes (Game, Board, Tile, ActionTile, Player, Deck, ActionCard) with mostly composition relationships and minimal cross-dependencies; connections are modeled as boolean flags on Tile (isConnectedRight/Left/Top/Bottom), keeping coupling low but mixing connection state into Tile. Model 2 separates concerns more granularly: ConnectionPiece as its own class, an abstract ActionCard with 5 subclasses (Strategy pattern) providing good decoupling and extensibility, and ActionTile encapsulating cooldown behavior (isActive(), deactivate(), tickCooldown()). However, Model 2 introduces redundancy: both `Tile &lt;|-- HiddenTile` and `Board --&gt; "1" HiddenTile : hiddenTile` exist, and ConnectionPiece is modeled bidirectionally (`Tile o-- 0..1 ConnectionPiece` per side AND `ConnectionPiece --&gt; 2 Tile : connects`), adding unnecessary coupling.
2. Complexity: Model 1 = 4, Model 2 = 3; Evidence: Model 1 has 10 classes + 2 enums (Designer, Player, PlayingPiece, Die, Game, Board, Tile, ActionTile, Deck, ActionCard; GameState, ActionCardType) with a single inheritance branch (Tile → ActionTile, depth 2) and low method count—complexity is well-balanced for the requirement. Model 2 has 18 classes + 4 enums with two inheritance hierarchies (Tile → RegularTile/HiddenTile/ActionTile and ActionCard → 5 subclasses). The action card subclass hierarchy is justified by the 5 predefined choices, and ConnectionPiece is domain-justified. However, RegularTile is an empty class adding no value, and HiddenTile as a subclass is over-modeling since the requirement says the designer "indicates the hidden tile"—it is a designated property, not a tile type. This violates the "not every noun should become a class" guideline.
3. Practicability: Model 1 = 4, Model 2 = 4; Evidence: Model 1 is readable and covers key requirements: GameState enum (SETUP/PLAYING/FINISHED), 2..4 players, Die.roll(), Deck *-- 32 ActionCard, ActionCardType enum with all 5 types, ActionTile.turnsAsRegular/turnsRemaining for cooldown, Player.isNextTurnLost for lose-turn, Game.spareConnectionPieces count, Game --&gt; 0..1 Player : winner, Player --&gt; Tile : startingTile/currentTile, Tile self-references with 0..1 multiplicity per side. However, boolean connection flags cannot model adding/removing ConnectionPiece objects (action cards ii and iii), which is a functional weakness. Model 2 provides richer behavioral methods (Game.start()/endGame()/nextTurn(), Tile.markVisited(), Deck.drawCard()/isEmpty(), ActionCard.execute()) supporting implementation and testing, and ConnectionPiece objects properly support add/remove mechanics. But HiddenTile as a class type is domain-inaccurate (any tile can be designated hidden), and there is no explicit winner association (only an endGame(winner) method parameter).
Total: Model 1 = 12, Model 2 = 11
Choice: A
Reason:
1. Cohesion and Decoupling: Both models are comparable. Model 2's Strategy pattern for action cards and explicit ConnectionPiece class improve separation of concerns, but are offset by redundant bidirectional connection modeling and the dual HiddenTile representation (subclass + Board reference). Model 1's simpler boolean-flag approach keeps coupling low at the cost of mixing connection state into Tile. Roughly even.
2. Complexity: Model 1 is better balanced—fewer classes, single shallow inheritance tree, no empty or semantically questionable classes. Model 2's RegularTile is an empty class with no attributes or methods, and HiddenTile-as-subclass over-models what the requirement treats as a designated property. The action card subclass hierarchy is justified but does not outweigh the unnecessary complexity elsewhere.
3. Practicability: Model 2 has stronger behavioral method coverage and the ConnectionPiece class better supports action card mechanics (connect/remove). Model 1 has cleaner domain accuracy (hidden tile as boolean, explicit winner association) but its boolean connection flags weakly support the add/remove-connection-piece action cards. These advantages and weaknesses roughly cancel out, resulting in equal scores.
4. Rejected or checked issues: I did not penalize Model 1 for using `int`/`boolean`/`String` instead of wrapper types (forbidden penalty #3). I did not penalize Model 1's opposite-direction Tile self-associations with `'opposite` comments (forbidden penalties #1 and #2). I did not penalize either model for `*` vs `0..*` multiplicity (forbidden penalty #4). I did not reward or penalize Model 2 for marking ActionCard `abstract` (forbidden penalty #5).
5. Overall judgment: Model 1 wins primarily on complexity—its class set is leaner and avoids unnecessary/empty classes and domain-inaccurate subclassing (HiddenTile, RegularTile). While Model 2 offers better behavioral methods and ConnectionPiece modeling, its higher class count and questionable modeling choices tip the balance toward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</si>
  <si>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</si>
  <si>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has Designer, Player, PlayingPiece, Die, Game, Board, Tile, ActionTile, Deck, ActionCard, but collapses ConnectionPiece into boolean flags on Tile (isConnectedRight etc.) and models the hidden tile as a boolean `isHidden` rather than a distinct concept; the 5 action-card choices are reduced to an `ActionCardType` enum. Model 2 introduces first-class `ConnectionPiece`, plus `HiddenTile`, `RegularTile`, `ActionTile` subclasses (matching "action tile turns into a regular tile") and one subclass per action-card choice (`ExtraTurnCard`, `ConnectTilesCard`, `RemoveConnectionCard`, `MoveToTileCard`, `LoseTurnCard`), giving fuller domain coverage.
2. Associations/Multiplicities between classes for domain reasoning: Model 1 = 4, Model 2 = 5; Evidence: Model 1 captures `Game *-- "2..4" Player`, `Board *-- "1..*" Tile`, `Deck *-- "32" ActionCard`, and `Tile --&gt; "0..1" Tile` per side (enforcing "at most one per side"), but the 32 spare connection pieces are only an `int` attribute and there is no ConnectionPiece-to-Tile relationship. Model 2 models `Tile o-- "0..1" ConnectionPiece` per side, `ConnectionPiece --&gt; "2" Tile : connects`, `Deck *-- "32" ActionCard`, `Game o-- "2..4" Player`, and the tile-subclass hierarchy, reflecting the connection-piece pile and adjacency rules more faithfully. Minor redundancy in Model 2 (`Board --&gt; "1" HiddenTile` alongside `Tile &lt;|-- HiddenTile`) but not a domain error.
3. Model attributes with appropriate data types: Model 1 = 4, Model 2 = 4; Evidence: Model 1 provides rich attributes (`Tile.posX/posY`, `isVisited`, `isHidden`, `isStartingPosition`, `color`, `ActionTile.turnsAsRegular/turnsRemaining`) with simple types (int, boolean, String). Model 2 uses better-typed enums (`color: TileColor`, `PlayingPiece.color: PieceColor`, `Direction`) and has `ActionTile.cooldownTurns/remainingCooldown`, but relies on methods (`markVisited`, `isActive`, `deactivate`) where Model 1 uses attributes, and exposes fewer stored attributes overall. Trade-off is roughly even.
4. Consistencies of Terminology with given context: Model 1 = 4, Model 2 = 5; Evidence: Model 1 uses `Designer` (vs. "game designer"), and lacks the terms "connection piece", "hidden tile" (as a class), and "regular tile" — substituting booleans (`isHidden`, `isConnectedRight`). Model 2 uses `GameDesigner`, `ConnectionPiece`, `HiddenTile`, `RegularTile`, `ActionTile`, `PlayingPiece`, `Deck`, `ActionCard`, matching requirement terminology directly; only "cooldown" is a non-requirement synonym for "number of turns as specified by the designer", which remains recognizable.
5. Adherence of UML class diagram standards: Model 1 = 5, Model 2 = 5; Evidence: Both use valid PlantUML — enums, classes, `*--` composition, `o--` aggregation, `&lt;|--` generalization, role labels, and multiplicities (including `0..1` for "at most one per side" and `32` for the deck). Model 2 also uses `abstract class ActionCard` correctly. No syntax violations that impede interpretation in either.
Total: Model 1 = 21, Model 2 = 24
Choice: B
Reason:
1. Appropriate conceptual classes: Model 2 is more faithful by elevating `ConnectionPiece`, `HiddenTile`, and `RegularTile` to classes and representing the five action-card types as subclasses, whereas Model 1 compresses these into booleans/enums, weakening domain alignment.
2. Associations/Multiplicities: Model 2 explicitly links `ConnectionPiece` to two `Tile`s and uses `0..1` per side, capturing both adjacency and the spare-pile concept; Model 1's boolean connection flags and `int spareConnectionPieces` lose the structural relationship.
3. Rejected/checked issues: I did not penalize Model 1 for opposite-direction tile associations or single-quote comments, and did not reward Model 2 for `PieceColor` enum values (RED/BLUE/GREEN/YELLOW) since the requirement only says "different color," not a closed list. Model 2's `Board --&gt; HiddenTile` redundancy was noted but not scored as an error.
4. Overall judgment: Model 2 better matches the requirement's concepts (connection pieces, hidden/regular/action tiles, five action cards) and their relationships, yielding higher domain-faithfulness scores on classes, associations, and terminology while matching UML standards and attribute quality.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</si>
  <si>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</si>
  <si>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Coverage of conceptual classes &amp; essentials: Model 1 = 5, Model 2 = 4; Evidence: Model 1 includes all key classes plus ConnectionPiecePile (takePiece/returnPiece) modeling the "pile of spare connection pieces"; Model 2 has all key classes but reduces the spare pile to Game.spareConnectionPieces:int, losing piece identity.
2. Associations &amp; cardinalities matching requirement: Model 1 = 2.5, Model 2 = 4.5; Evidence: Model 1 omits nearly all multiplicities (Game--&gt;Player, Deck*-ActionCard, ConnectionPiecePile*-ConnectionPiece all unlabeled). Model 2 encodes Game "1" o-- "2..4" Player, Deck "1" *-- "32" ActionCard, Board "1" *-- "1..*" Tile, Game "1" --&gt; "0..1" Player currentPlayer.
3. Inheritance / generalisation: Model 1 = 4, Model 2 = 4.5; Evidence: Both model Tile&lt;|--RegularTile/ActionTile/HiddenTile. Model 1 represents the 5 card types via ActionCardType enum; Model 2 uses ActionCard&lt;|--ExtraTurnCard/ConnectTilesCard/RemoveConnectionCard/MoveToTileCard/LoseTurnCard, giving a fuller polymorphic hierarchy.
4. Composition / aggregation semantics: Model 1 = 4.5, Model 2 = 4.5; Evidence: Model 1 composes Game*--GameBoard/Deck/ConnectionPiecePile/Die and aggregates Game o--&gt; GameDesigner. Model 2 composes Game*--Board/Deck/Die, aggregates Game o-- Player, and aggregates Tile o-- ConnectionPiece per side. Both use part-whole semantics appropriately.
5. Action cards &amp; deck (32 cards, 5 choices): Model 1 = 4, Model 2 = 5; Evidence: Model 1 Deck has ActionCard[] and 5 enum values but no "32". Model 2 Deck "1" *-- "32" ActionCard with 5 subclasses mapping exactly to (i)-(v).
6. Connection pieces &amp; pile of 32 spare pieces: Model 1 = 4, Model 2 = 3; Evidence: Model 1 ConnectionPiecePile (sparePieces, takePiece, returnPiece) captures "from the pile"/"place it in the pile" semantics, though no 32 mult. Model 2 only has Game.spareConnectionPieces:int (no 32, no piece-level pile) and board pieces live only via Tile-side references.
7. Tile connections (4 sides, at most 1 per side): Model 1 = 3, Model 2 = 5; Evidence: Model 1 uses Side enum and ConnectionPiece.side1/side2 but no "≤1 per side" constraint. Model 2 explicitly models Tile "1" o-- "0..1" ConnectionPiece for right/left/top/bottom, encoding all four sides and the "at most one" rule.
8. Hidden tile, starting positions, action tiles: Model 1 = 3.5, Model 2 = 4.5; Evidence: Model 1 has HiddenTile subclass, ActionTile, and GameDesigner.setStartingPosition but only Player--&gt;Tile currentTile (no distinct starting-position link). Model 2 has Board "1" --&gt; "1" HiddenTile, Player --&gt; "1" Tile startingPosition, and PlayingPiece --&gt; "1" Tile currentTile, distinguishing start from current.
9. Game flow (turns, die, movement, visited color, win, action-tile cooldown, phases): Model 1 = 4.5, Model 2 = 4; Evidence: Model 1 has startGame/nextTurn/rollDie/endGame(winner), Player.move/executeActionCard/skipTurn, TileColor WHITE/BLACK, ActionTile.cooldownTurns/currentCooldown. Model 2 adds GameState (DESIGNING/PLAYING/ENDED) and ActionTile.isActive/deactivate/tickCooldown but Player has no move operation and movement is only implicit in Game.nextTurn.
10. No hallucinations / unwarranted additions: Model 1 = 4.5, Model 2 = 4.5; Evidence: Model 1's GameDesigner helpers (placeTile, connectTiles, setHiddenTile, defineActionDeck) and Model 2's GameState/turnNumber are reasonable refinements; neither introduces classes/relations contradicting the requirement.
Total: Model 1 = 39.5, Model 2 = 43.5
Choice: B
Reason:
1. Associations &amp; cardinalities: Model 2 encodes the requirement's hard constraints (2..4 players, 32 action cards, 0..1 connection per side, 1 hidden tile) explicitly, while Model 1 leaves almost all multiplicities unspecified — a direct miss against the "cardinalities" focus of the instructions.
2. Tile connection modelling: Model 2's four Tile o-- "0..1" ConnectionPiece roles capture "right/left/top/bottom, at most one per side" precisely; Model 1 only has a Side enum and side1/side2 attributes without enforcing the per-side limit.
3. Rejected or checked issues: I did not penalize Model 1 for using an enum ActionCardType vs Model 2's inheritance (both valid for "predefined choices"), nor Model 2 for two-direction Tile&lt;--&gt;ConnectionPiece vs Model 1's GameBoard*-ConnectionPiece (equivalent styles per forbidden penalties). I also did not reward Model 2's extra Player.order/skipNextTurn as a plus — they are neutral implementation detail. Model 1's ConnectionPiecePile is genuinely better than Model 2's int counter, but it is outweighed.
4. Overall judgment: Model 2 aligns more closely with the requirement's explicit multiplicities and structural constraints (player count, deck size, per-side connection limit, separate starting vs current tile, board↔hidden-tile link). Model 1 is stronger only on the spare-pile concept and on listing player operations, which is insufficient to overcome Model 2's broader fidelity. Hence Model 2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</si>
  <si>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</si>
  <si>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separates concerns into distinct cohesive classes (Deck, ConnectionPiecePile, Die, GameBoard, ConnectionPiece, ActionCard with ActionCardType enum). Model 2 also separates concerns well but merges spare connection piece tracking into Game.spareConnectionPieces:int rather than a dedicated ConnectionPiecePile class, slightly reducing cohesion. Model 2 models action cards via an inheritance hierarchy (abstract ActionCard with 5 subclasses) which decouples card behavior nicely; Model 1 uses an ActionCardType enum + single ActionCard class. Both achieve reasonable decoupling; Model 2's polymorphic card design is cleaner but Model 1's pile class is more cohesive. Net roughly even.
2. Complexity: Model 1 = 4, Model 2 = 4; Evidence: Model 1 has ~18 classes/enums including a dedicated ConnectionPiecePile and HiddenTile as a Tile subtype. Model 2 has ~19 classes/enums with 5 action card subclasses instead of an enum. The requirement specifies "a deck of 32 action cards by choosing from the following predefined choices (i)-(v)" — the 5 choices are enumerated; Model 1 captures this directly via ActionCardType enum while Model 2 uses a subclass hierarchy (more classes, same semantic coverage). Both model HiddenTile/RegularTile/ActionTile as Tile subtypes. HiddenTile as a subclass is questionable (requirement says designer "indicates the hidden tile" — one tile is hidden, not a tile type), but both models make this choice so it's neutral. Complexity is balanced in both; Model 2 slightly more complex due to card subclasses but justified by polymorphism.
3. Practicability: Model 1 = 3, Model 2 = 4; Evidence: Model 1 lacks explicit multiplicity constraints on key relationships — Game --&gt; Player "has players" has no "2..4" multiplicity, Game--&gt;Deck has no "32" multiplicity on cards, Board--&gt;Tile has no multiplicity. Model 2 specifies multiplicities precisely: Game o-- "2..4" Player, Deck *-- "32" ActionCard, Board *-- "1..*" Tile, Tile o-- "0..1" ConnectionPiece per side (enforcing "at most one tile can be connected on each side"), ConnectionPiece --&gt; "2" Tile. Model 2's Tile-side connection slots directly encode the requirement constraint "at most one tile can be connected on each side" — a strong practical accuracy point. Model 2 also tracks Player.order and Player.skipNextTurn and PlayingPiece.currentTile and Game.turnNumber, supporting turn order (Player 1 starts) and "lose your next turn" semantics. Model 1 has playerNumber and skippedTurns which are comparable. However, Model 1's ConnectionPiece has side1:Side and side2:Side which is awkward; Model 2's per-side slot modeling is clearer and more faithful. Model 2 also better represents the 32-card deck and 32 spare connection pieces count (spareConnectionPieces:int). Model 1's ConnectionPiecePile.piecesRemaining is comparable. Model 2 does not separate the spare connection pile into a class, which slightly weakens modularity but the count is captured. Overall Model 2 is more readable and constraint-faithful due to explicit multiplicities matching the requirement's hard constraints.
Total: Model 1 = 11, Model 2 = 12
Choice: B
Reason:
1. Cohesion and Decoupling: Model 1 gains cohesion via a dedicated ConnectionPiecePile class; Model 2 gains decoupling via the abstract ActionCard hierarchy. Roughly even, slight credit to Model 1 for the pile but offset by Model 2's cleaner card polymorphism.
2. Complexity: Both balanced. Model 2 has 5 extra card subclasses but they map directly to the 5 enumerated card choices in the requirement and avoid a switch-on-type design, which is acceptable. Model 1's enum approach is also acceptable and lighter. Neutral.
3. Practicability: Model 2 decisively better here. It encodes hard requirement constraints as multiplicities — "2..4" players, "32" action cards, "1..*" tiles, and crucially "0..1" ConnectionPiece per side (right/left/top/bottom) which directly realizes "at most one tile can be connected on each side." Model 1 omits these multiplicities entirely, leaving the constraints unexpressed. Model 2 also captures turn order (Player.order), skip-next-turn, current tile, and turn number, supporting the turn sequence and "lose your next turn" card. Both models make the questionable choice of modeling HiddenTile as a Tile subclass, so this is not a differentiator.
4. Rejected/checked issues: Did not penalize Model 1 for using ActionCardType enum vs Model 2's subclass hierarchy (both valid). Did not penalize either for HiddenTile-as-subclass (both do it). Did not penalize Model 2 for int/boolean primitives or for merging spare connection pieces into Game (the count is still captured). Did not reward Model 1's visibility markers or extra getters/setters (presentation-only).
5. Overall judgment: Model 2 wins primarily because it expresses the requirement's hard multiplicity constraints (player count 2..4, 32 cards, one connection per side) that Model 1 leaves implicit, making it more faithful and practical as a design artifact.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</si>
  <si>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</si>
  <si>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capture the core domain classes: Game, GameDesigner, Player, PlayingPiece, Board/GameBoard, Tile (with RegularTile, ActionTile, HiddenTile subclasses), ConnectionPiece, Deck, ActionCard, Die. Model 1 additionally models ConnectionPiecePile (the "pile of 32 spare connection pieces") and GameDesigner operations; Model 2 splits ActionCard into subclasses for each of the 5 predefined types and tracks GameState. Both fully cover domain concepts.
2. Associations/Multiplicities between classes for domain reasoning: Model 1 = 3, Model 2 = 4; Evidence: Model 2 explicitly captures key constraints: Game "1" o-- "2..4" Player (2-4 players), Deck "1" *-- "32" ActionCard (deck of 32 cards), ConnectionPiece --&gt; "2" Tile, and per-side connections (Tile "1" o-- "0..1" ConnectionPiece for each side — "at most one tile connected on each side"). Model 1 mostly omits multiplicities on its associations (e.g., Game --&gt; Player : has players has no multiplicity, Deck *- ActionCard lacks the 32 constraint, ConnectionPiecePile lacks the 32 spare-pieces constraint). Model 1 does not model per-side connection constraints at all.
3. Model attributes with appropriate data types: Model 1 = 4, Model 2 = 4; Evidence: Both capture key attributes with reasonable types: Tile.color:TileColor, ActionTile.cooldownTurns:int, PlayingPiece.color:PieceColor/PlayingPieceColor, Player order/number:int, skip flags. Model 1 includes ActionCardType enum + ActionCard.type, ConnectionPiece.side1/side2:Side; Model 2 uses ActionCard subclasses instead. Both miss the "number of turns" specification linkage being fully explicit but ActionTile.cooldownTurns covers it. Minor: Model 1's GameBoard.width/height are not requirement-derived; Model 2's Game.spareConnectionPieces:int loses the pile as a distinct concept but tracks the count. Both adequate.
4. Consistencies of Terminology with given context: Model 1 = 4, Model 2 = 4; Evidence: Both use requirement-aligned terms: "GameDesigner", "PlayingPiece", "ConnectionPiece", "ActionCard", "Deck", "HiddenTile", "ActionTile", "TileColor (WHITE/BLACK)". Model 1 uses "ConnectionPiecePile" matching "pile of spare connection pieces"; Model 2 uses Game.spareConnectionPieces:int instead. Model 2 uses "PieceColor" vs requirement's "color" (acceptable). Both consistent with minor naming variations.
5. Adherence of UML class diagram standards: Model 1 = 4, Model 2 = 4; Evidence: Both use valid PlantUML syntax: classes, enums, abstract classes, inheritance (&lt;|--) with 4 sides covered, composition (*--, aggregation (o--), associations with multiplicities (Model 2 more thoroughly). Model 2 applies multiplicities with role labels more rigorously. Model 1's associations lack multiplicity labels but syntax is valid. Both understandable, minor notational gaps.
Total: Model 1 = 20, Model 2 = 21
Choice: B
Reason:
1. Appropriate conceptual classes: Both models are essentially equal in class coverage. Model 1's ConnectionPiecePile is a faithful concept ("pile of 32 spare connection pieces"); Model 2's ActionCard subclass hierarchy better reflects the 5 predefined card types. Net roughly even, scored 5/5.
2. Associations/Multiplicities: This is the decisive differentiator. Model 2 explicitly encodes hard domain constraints from the requirement: "Two to four players" (2..4), "deck of 32 action cards" (32), "pile of 32 spare connection pieces" (count), "at most one tile can be connected on each side" (0..1 ConnectionPiece per side on Tile), and "connects two tiles" (--&gt; "2" Tile). Model 1 omits nearly all multiplicities, so critical domain reasoning constraints (player count, deck size, per-side connection limit) are not captured. This gives Model 2 a clear edge under criterion 2.
3. Rejected/checked issues: I did not penalize Model 1 for lacking ActionCard subclasses (an enum + type attribute is semantically equivalent and a valid design choice). I did not penalize Model 2 for folding the spare-connection pile into a Game.spareConnectionPieces:int attribute (it still tracks the count, though weaker as a concept). I did not reward either model for method/operation signatures (e.g., GameDesigner.placeTile) since the criteria focus on classes/attributes/associations, not behavioral operations. I did not penalize Model 1 for ConnectionPiece.side1/side2:Side redundancy or Model 2 for per-side connection aggregation redundancy — both are valid modeling approaches.
4. Overall judgment: Model 2 wins narrowly because it encodes the requirement's hard multiplicity constraints (2..4 players, 32 cards, 32 spare pieces, 0..1 connection per side, connects exactly 2 tiles) that Model 1 leaves unspecified. On class coverage, attributes, terminology, and UML standards the two models are closely matched. The difference is meaningful but small, so the margin is one point.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</si>
  <si>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</si>
  <si>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Coverage of conceptual classes: Model 1 = 4, Model 2 = 3; Evidence: Model 1 explicitly models ConnectionPiece, ConnectionPiecePile, and Side enum, matching the requirement's "connects them with connection pieces" and "pile of 32 spare connection pieces". Model 2 reduces connections to boolean flags on Tile (isConnectedRight, etc.) and represents the spare pile only as `spareConnectionPieces: int` on Game, omitting the ConnectionPiece and ConnectionPiecePile entities entirely. Model 2 also lacks a Side enum. Both model Game, Designer, Player, PlayingPiece, Board, Tile, ActionTile, ActionCard, Deck, Die.
2. Relationships, cardinalities, and association types: Model 1 = 3, Model 2 = 5; Evidence: Model 2 shows explicit multiplicities: `Game 1 *-- 2..4 Player`, `Deck 1 *-- 32 ActionCard`, `Board 1 *-- 1..* Tile`, `Player 1 *-- 1 PlayingPiece`, `Game --&gt; 0..1 Player : winner`, and Tile self-associations `0..1` for right/left/top/bottom capturing "at most one tile can be connected on each side". Model 1's key relations mostly lack multiplicities (e.g., `Game --&gt; Player : has players` with no 2..4, `Deck *- ActionCard` with no 32, `ConnectionPiecePile *- ConnectionPiece` with no 32, `GameBoard *- Tile` with no count), and does not model the "at most one per side" constraint on connections.
3. Inheritance / generalisation modeling: Model 1 = 4, Model 2 = 4; Evidence: Model 1 uses `Tile &lt;|-- RegularTile`, `Tile &lt;|-- ActionTile`, `Tile &lt;|-- HiddenTile` (three subtypes; HiddenTile/RegularTile as distinct subtypes is a mild over-refinement since the requirement treats hidden/regular as designated states rather than separate kinds). Model 2 uses only `Tile &lt;|-- ActionTile` and represents hidden/starting via `isHidden`/`isStartingPosition` flags, which is also defensible. Both adequately capture the action-tile distinction.
4. Class names and attributes clarity: Model 1 = 4, Model 2 = 4; Evidence: Both use clear, domain-aligned names. Model 1 includes methods (designBoard, connectTiles, drawCard, roll) and enums (TileColor, PlayingPieceColor, ActionCardType, Side). Model 2 keeps attributes concise (turnsAsRegular, turnsRemaining, isRevealed, isHidden, isStartingPosition) and uses GameState enum. Both are readable; neither earns a clear edge.
5. Domain accuracy and no hallucination / missing hard constraints: Model 1 = 3, Model 2 = 4; Evidence: Model 1 captures the movable connection-piece concept (action card iii "remove a connection piece from the board and place it in the pile") via ConnectionPiece + ConnectionPiecePile, but omits the explicit "32" for the action-card deck, "32" for the spare connection pile, and "2 to 4 players". Model 2 captures "32" action cards, "2..4 players", and the per-side "at most one" constraint, but cannot represent connection pieces as movable objects (its booleans cannot move between board and pile), which weakens the semantics of action cards (ii) and (iii). Both model hidden tile, action-tile cooldown, and turn-lost concept acceptably.
Total: Model 1 = 18, Model 2 = 20
Choice: C
Reason:
1. Coverage of conceptual classes: Model 1 is stronger because it materializes ConnectionPiece and ConnectionPiecePile, which the requirement treats as physical, movable objects ("connects them with connection pieces", "from the pile of 32 spare connection pieces", "remove a connection piece ... and place it in the pile"). Model 2's boolean flags cannot represent a piece moving between the board and the spare pile.
2. Relationships, cardinalities, and association types: Model 2 is clearly stronger, encoding the explicit numbers from the requirement (2..4 players, 32 action cards, 0..1 per side) that Model 1 leaves unquantified.
3. Inheritance: roughly equal; both reasonably distinguish ActionTile, with Model 1 slightly over-partitioning (HiddenTile, RegularTile subclasses) and Model 2 using flags.
4. Class names and attributes: equal and clear in both.
5. Rejected or checked issues: I did not penalize Model 1 for using bidirectional/opposite-direction associations, PlantUML single-quote comments in Model 2, primitive types (int/String/boolean), `*` vs `0..*`, or abstract/non-abstract Tile. I also did not reward Model 1 merely for having more classes (RegularTile/HiddenTile are minor over-modeling), nor Model 2 for GameState/maxPlayers/width/height implementation detail.
6. Overall judgment: The two models have complementary, roughly equal gaps. Model 1 captures the connection-piece/pile entities that are central to the domain but omits the explicit multiplicities (32, 2..4, per-side 0..1). Model 2 captures those multiplicities precisely but loses the connection-piece entity, which undercuts action cards (ii)/(iii). These are symmetric weaknesses of comparable severity, so the meaningful quality difference is small; a tie is the fairest outcome.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</si>
  <si>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</si>
  <si>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concerns into distinct cohesive classes — `ConnectionPiece` (manages connection state), `ConnectionPiecePile` (manages the spare pile), `Deck` (manages card drawing), `Die` (manages rolling), `GameBoard` (manages board layout). Model 2 collapses the spare connection pile into a primitive `int spareConnectionPieces` attribute on `Game`, and makes `Tile` carry four boolean connection flags plus adjacency self-associations, mixing connection topology into the Tile class — lower cohesion. Model 2 also lacks a `ConnectionPiece` class entirely, so connection logic is scattered. Model 1's `Tile` hierarchy (RegularTile/ActionTile/HiddenTile) is cleanly decoupled, while Model 2 uses flags (`isHidden`, `isStartingPosition`) on Tile plus a separate ActionTile subclass, mixing concerns.
2. Complexity: Model 1 = 4, Model 2 = 4; Evidence: Model 1 has ~18 classes with moderate method counts; its `Tile` hierarchy (abstract Tile + 3 subclasses) adds inheritance depth 2, justified by the distinct tile behaviors (action tiles with cooldown, hidden tile, regular). Model 2 has ~10 classes with lighter methods, using flags instead of subclasses, which is simpler but arguably under-models. Model 1's `HiddenTile` as a separate subclass is questionable since "hidden" is a designated single tile, not a runtime type distinction — slight over-modeling. Model 2's four directional self-associations on Tile (`rightTile/leftTile/topTile/bottomTile` with opposite comments) are reasonable but somewhat redundant with the boolean flags. Both are reasonably balanced for the requirement scope. Model 1 is more detailed but the extra classes (Deck, Pile, ConnectionPiece, Die) are traceable to requirement facts.
3. Practicability: Model 1 = 4, Model 2 = 3; Evidence: Model 1 exposes clear operations (`startGame`, `nextTurn`, `rollDie`, `drawCard`, `takePiece`, `triggerAction`, `decreaseCooldown`) that map directly to game behaviors and support unit testing. `ActionCard.execute(player)` with `ActionCardType` enum supports the five card types distinctly. `ActionTile.cooldownTurns/currentCooldown` directly models the "action tile turns into regular tile for a number of turns" requirement. Model 2 omits methods on most classes (Game has only attributes, Tile has only attributes), making behavior implicit and harder to implement/test; it models card deck size `32` multiplicities well but lacks `drawCard`/`shuffle`. Model 2 also has no explicit `ConnectionPiecePile` or pile operations, and `spareConnectionPieces: int` loses the take/return semantics. Model 2's `ActionTile.turnsAsRegular/turnsRemaining` covers the cooldown requirement but the lack of behavioral methods reduces practicality. Both adequately model the 2-4 players (Model 1 via Player.playerNumber, Model 2 via `2..4` multiplicity) and the single-game constraint.
Total: Model 1 = 12, Model 2 = 10
Choice: A
Reason:
1. Cohesion and Decoupling: Model 1's separation of `ConnectionPiece`, `ConnectionPiecePile`, `Deck`, and `Die` into dedicated cohesive classes is stronger than Model 2's collapsing of the spare pile into a counter attribute and inlining connection state as four booleans on `Tile`.
2. Complexity: Both are reasonable; Model 1 slightly over-models with a `HiddenTile` subclass (hidden is a single designated tile rather than a polymorphic type), but Model 2 under-models by using flags where subclasses would be clearer. Roughly balanced.
3. Practicability: Model 1 provides explicit behavioral methods (`drawCard`, `takePiece`, `triggerAction`, `decreaseCooldown`, `roll`) that map to requirement actions and enable testing; Model 2 is largely attribute-only on Game/Tile/Deck, making the game flow implicit and harder to implement/test.
4. Rejected or checked issues: I did not penalize Model 2 for PlantUML `'opposite` comments (forbidden penalty). I did not penalize Model 1 for `int`/`boolean` primitive aliases (forbidden). I did not reward Model 1 merely for being longer — the extra classes are traceable to requirement facts (pile of 32 spare pieces, deck of 32 cards, die). I did not penalize Model 2 for abstractness choices. The `HiddenTile` subclass in Model 1 is a minor over-refinement but not a disqualifying issue.
5. Overall judgment: Model 1 is better due to higher cohesion (dedicated connection/pile/deck/die classes), richer behavioral interfaces supporting implementation and testing, and faithful modeling of the action-tile cooldown mechanic, while Model 2's flag-heavy Tile and attribute-only Game/Deck reduce practicality and cohesion.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</si>
  <si>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</si>
  <si>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3; Evidence: Model 1 explicitly models `ConnectionPiece` and `ConnectionPiecePile` as first-class classes, matching the requirement's "connection pieces" and "pile of 32 spare connection pieces," and separates `Tile` into `RegularTile`/`ActionTile`/`HiddenTile`. Model 2 collapses connection pieces into boolean flags on `Tile` (`isConnectedRight/Left/Top/Bottom`) and reduces the spare pile to a single `int` attribute (`spareConnectionPieces`), losing the connection-piece entity entirely; it also models the hidden tile as a flag (`isHidden`) rather than a concept, which is acceptable but less structurally explicit.
2. Associations/Multiplicities between classes for domain reasoning: Model 1 = 3, Model 2 = 4; Evidence: Model 2 states explicit multiplicities throughout: `Game *-- "2..4" Player`, `Game --&gt; "1" Player : currentPlayer`, `Game --&gt; "0..1" Player : winner`, `Board *-- "1..*" Tile`, `Deck *-- "32" ActionCard`, and `Tile --&gt; "0..1" Tile` per side. Model 1 omits multiplicities on key relations, e.g. `Game --&gt; Player : has players` (no 2..4), `Game --&gt; Player : current player`, `ConnectionPiece --&gt; Tile : connects` (no "2"), and `Player --&gt; Tile : current tile`, weakening the "at most one tile per side" and "2-4 players" constraints.
3. Model attributes with appropriate data types: Model 1 = 4, Model 2 = 3; Evidence: Model 1 provides attributes such as `Die.currentValue`, `Deck.cardsRemaining`, `ConnectionPiecePile.piecesRemaining`, `ActionTile.cooldownTurns/currentCooldown`, `Player.skippedTurns/playerNumber`. Model 2 has good attributes (`Tile.posX/posY/isVisited/isHidden`, `ActionTile.turnsAsRemaining`, `Game.spareConnectionPieces`) but leaves `Deck` empty (no card list/count) and `Die` with only an operation (no value attribute); connection-side state is encoded as four booleans rather than structured data.
4. Consistencies of Terminology with given context: Model 1 = 4, Model 2 = 4; Evidence: Both use domain-faithful terms. Model 1 uses `GameDesigner`, `GameBoard`, `ConnectionPiece`, `PlayingPiece`; Model 2 uses `Designer`, `Board`, `spareConnectionPieces`, `turnsAsRegular` (matching "turns into a regular tile for a number of turns"). Minor deviations: Model 1's `cooldownTurns` is not requirement wording; Model 2's `isRevealed` loosely reflects "players do not know whether a tile is an action tile until a player lands on it."
5. Adherence of UML class diagram standards: Model 1 = 4, Model 2 = 4; Evidence: Both use valid PlantUML: enums, abstract classes, inheritance (`&lt;|--)`), composition (`*--`), aggregation (`o--&gt;`), and self-associations. Model 1 reuses `Game --&gt; Player` three times with role labels (valid but unusual); Model 2 uses clean quoted multiplicities and opposite-direction self-associations with comment annotations. Neither has syntax violations.
Total: Model 1 = 19, Model 2 = 18
Choice: A
Reason:
1. Conceptual classes: Model 1 wins by preserving `ConnectionPiece` and `ConnectionPiecePile` as distinct classes, which the requirement treats as first-class entities (spare pile of 32, action cards that add/remove them). Model 2 demotes these to flags and a counter, erasing domain structure.
2. Associations/Multiplicities: Model 2 wins with explicit, correct multiplicities (2..4 players, 32 cards, 0..1 per side) that Model 1 largely omits, better encoding the "at most one tile per side" and player-count constraints.
3. Attributes: Model 1 is more complete (Die value, Deck/card counts, pile counts); Model 2 leaves `Deck` empty and `Die` value-less.
4. Terminology: Roughly even; both stay close to the requirement text.
5. UML standards: Both valid; minor stylistic differences only.
3. Rejected or checked issues: Did not penalize Model 2 for using opposite unidirectional `Tile --&gt; Tile` associations (forbidden penalty). Did not penalize Model 1 for `int`/`String` aliases (forbidden). Did not reward Model 1's `HiddenTile` subclass over Model 2's `isHidden` flag, since the requirement does not specify whether direct hidden-tile instances are distinct.
4. Overall judgment: Model 1 is slightly better. Its key advantage—modeling connection pieces and the spare pile as real classes—matches a heavily emphasized domain concept, whereas Model 2's superior multiplicities do not fully compensate for that structural loss. The margin is small; a tie would also be defensible, but the domain-fidelity edge goes to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</si>
  <si>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</si>
  <si>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 functional completeness: Model 1 = 5, Model 2 = 3; Evidence: Model 1 includes a `ConnectionPiece` class with `ConnectionPiece --&gt; "2" Tile : connects` and `Tile "1" o-- "0..1" ConnectionPiece` per side, directly supporting action cards (ii) "connect two adjacent tiles with a connection piece from the pile of 32 spare connection pieces" and (iii) "remove a connection piece from the board and place it in the pile". Model 2 has NO `ConnectionPiece` class at all — connections are represented only as `isConnectedRight/Left/Top/Bottom : boolean` flags and `Tile --&gt; "0..1" Tile` links, so the manipulable connection-piece objects and the spare pile (only an `int spareConnectionPieces`) cannot properly model add/remove actions. Both cover the 32-card deck (`Deck "1" *-- "32" ActionCard`), 2..4 players, die, hidden tile, action-tile cooldown, and visited color change.
2. Class hierarchy / relationship types (inheritance, aggregation, composition): Model 1 = 5, Model 2 = 4; Evidence: Model 1 models tile specialization with `Tile &lt;|-- RegularTile`, `Tile &lt;|-- HiddenTile`, `Tile &lt;|-- ActionTile`, and action-card specialization with `ActionCard &lt;|-- ExtraTurnCard` (and 4 others); uses composition (`*--`) for owned parts (Game-Board/Deck/Die, Board-Tile, Player-PlayingPiece, Deck-ActionCard) and aggregation (`o--`) for Game-Player and Tile-ConnectionPiece — semantically appropriate. Model 2 uses composition for Game-Board/Deck/Die/Player, Board-Tile, Deck-ActionCard, and inheritance only for `Tile &lt;|-- ActionTile`; it folds the hidden/regular distinction into boolean flags (`isHidden`, `isStartingPosition`) and the 5 card types into a single `ActionCard` class with an `ActionCardType` enum — acceptable but less faithful to the distinct tile/card concepts.
3. Cardinalities / multiplicities: Model 1 = 5, Model 2 = 4; Evidence: Model 1 captures `Game "1" o-- "2..4" Player`, `Board "1" *-- "1..*"` Tile, `0..1` connection per side, `Deck "1" *-- "32" ActionCard`, and `ConnectionPiece --&gt; "2" Tile`. Model 2 captures `2..4` players, `1..*` tiles, `32` cards, and `0..1` tile links per direction, but has no multiplicity to express for connection pieces (class absent); also has redundant `isConnectedRight/Left/Top/Bottom` flags alongside the Tile→Tile links.
4. Avoidance of hallucinations / unjustified additions: Model 1 = 4, Model 2 = 3; Evidence: Model 1 adds a `Direction` enum and `GameState`/`turnNumber`/`skipNextTurn` which are reasonable interpretive refinements, not contradictions. Model 2 adds `Board.width/height`, `Game.maxPlayers` (redundant with the `2..4` multiplicity), `Game.currentPlayerIndex` (implementation detail), `ActionTile.isRevealed` (extra state not strictly required), and duplicate `isConnected*` booleans that overlap the Tile→Tile associations — more implementation-oriented detail that does not improve coverage of stated requirement facts.
5. Conceptual class clarity / faithful naming: Model 1 = 5, Model 2 = 3; Evidence: Model 1 uses clearly named domain concepts: `GameDesigner`, `RegularTile`, `HiddenTile`, `ActionTile`, `ConnectionPiece`, `PlayingPiece`, and the five named card subclasses (`ExtraTurnCard`, `ConnectTilesCard`, `RemoveConnectionCard`, `MoveToTileCard`, `LoseTurnCard`) mirroring the requirement's five card types. Model 2 collapses concepts into flags/enum (`isHidden`, `isStartingPosition`, `ActionCardType` enum) and omits `ConnectionPiece`, `RegularTile`, and `HiddenTile` as recognizable classes, weakening traceability to the requirement's stated concepts.
Total: Model 1 = 24, Model 2 = 17
Choice: A
Reason:
1. Requirement alignment: Model 1 explicitly models `ConnectionPiece` and the spare pile, which are essential for action cards (ii) and (iii); Model 2 omits the `ConnectionPiece` class entirely, a substantive domain gap.
2. Relationships &amp; hierarchy: Model 1 preserves the Regular/Hidden/Action tile specialization and the five action-card specializations as inheritance; Model 2 reduces these to booleans and an enum, losing conceptual fidelity.
3. Rejected/checked issues: I did NOT penalize Model 2 for using `color: String` vs `PieceColor` enum, for opposite-direction Tile→Tile associations, for PlantUML `'opposite ...` comments, or for `int`/`String` type aliases — all are forbidden penalties. I also did not reward Model 1 merely for being longer; its extra classes (`ConnectionPiece`, tile/card subclasses) are traceable to requirement facts.
4. Overall judgment: Model 1 is better because it covers all stated functionalities — especially the manipulable connection pieces and the pile of 32 spares, the distinct tile types, and the five action-card types — with accurate relationships and multiplicities, whereas Model 2's omission of `ConnectionPiece` and its reliance on boolean flags/enum collapse several required concepts.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</si>
  <si>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</si>
  <si>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ConnectionPiece as its own class (matching the requirement's "connection pieces" and "pile of 32 spare connection pieces"), and uses a Tile hierarchy (RegularTile, HiddenTile, ActionTile) plus a polymorphic ActionCard hierarchy with execute(game, player). This gives each class a singular responsibility. Model 2 collapses connections into four boolean flags on Tile (isConnectedRight, etc.), conflating connectivity with tile identity, and models ActionCard as a single class with an ActionCardType enum, putting all card logic in one place (lower cohesion, weaker decoupling). Model 2 also overloads Tile with isHidden, isStartingPosition, isVisited, color, and four connection flags, making Tile a low-cohesion "god class."
2. Complexity: Model 1 = 4, Model 2 = 4; Evidence: Model 1 has more classes (ConnectionPiece, Die, 5 ActionCard subclasses, 3 Tile subclasses, enums) but the depth of inheritance is shallow (2 levels) and the decomposition is domain-faithful: it models the "32 spare connection pieces" via spareConnectionPieces and a ConnectionPiece class, and the five card types as subclasses. Model 2 is more compact (ActionCardType enum, single ActionCard, boolean flags) but the inheritance tree is shallower and it merges distinct domain concepts (hidden tile, starting position, action tile) into flag attributes on Tile, which is conceptually questionable rather than appropriately simpler. Both keep complexity reasonable; Model 1's extra classes are traceable to requirement facts (card types, connection pieces), Model 2's compression trades correctness for brevity. Balanced.
3. Practicability: Model 1 = 4, Model 2 = 3; Evidence: Model 1 provides clear, testable interfaces: ActionCard.execute(game, player) is directly unit-testable per card type; ActionTile.isActive()/deactivate()/tickCooldown() map to the "turns into a regular tile for a number of turns" behavior; Tile.markVisited()/isVisited() map to "white to black"; Die.roll() and Deck.drawCard() are clean. Model 2 lacks behavior methods (no drawCard on Deck, no execute on ActionCard, no roll usage hook), relying on boolean flags and an enum, pushing all logic into unspecified controllers; this reduces testability and modularity. Model 2's Game has a comment "Singleton constraint: Only one game can be played at a time" but no structural enforcement (per rules, comments are ignored), and currentPlayerIndex/maxPlayers are implementation details not improving requirement coverage. Model 1 better supports unit testing of individual card behaviors and tile state transitions.
Total: Model 1 = 12, Model 2 = 10
Choice: A
Reason:
1. Cohesion and Decoupling: Model 1 keeps ConnectionPiece, Tile subtypes, and ActionCard subtypes as distinct cohesive units; Model 2 stuffs connectivity and multiple tile roles into Tile booleans, lowering cohesion and coupling Tile to many concerns.
2. Complexity: Both are reasonably bounded. Model 1's richer class count is justified by traceable domain entities (five card types per requirement, connection pieces, hidden/regular/action tiles). Model 2's compactness comes at the cost of merging distinct concepts into flags, which is conceptually weaker rather than appropriately simpler.
3. Rejected or checked issues: I did not penalize Model 2 for using String for color or boolean instead of enums (forbidden primitive-type penalty), nor for the PlantUML comment "Singleton constraint" (comments ignored). I did not reward Model 2 for extra fields maxPlayers/currentPlayerIndex (implementation detail, no requirement coverage gain). I did not reward Model 1 for abstract ActionCard vs Model 2's non-abstract since requirement is silent. The opposite-direction Tile associations in Model 2 (rightTile/leftTile with opposite comments) were treated as equivalent bidirectional navigation, not penalized.
4. Overall judgment: Model 1 better aligns with the requirement's explicit domain entities (connection pieces, five distinct action card behaviors, hidden/regular/action tile distinction, die, deck with draw) and exposes behavior on the classes that own the data, yielding higher cohesion and stronger testability. Model 2's flat flag-based Tile and single ActionCard-with-enum approach reduce modularity and behavioral clarity, making Model 1 the better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</si>
  <si>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</si>
  <si>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identifies GameDesigner, Board, Tile (with RegularTile, HiddenTile, ActionTile subclasses), ConnectionPiece, Player, PlayingPiece, Deck, ActionCard (with 5 concrete subclasses), Die — covering all domain concepts including the 32 spare connection pieces (as count) and the action card subtypes. Model 2 identifies Designer, Board, Tile (with ActionTile subclass), Player, PlayingPiece, Deck, ActionCard (with cardType enum), Die. Model 2 collapses HiddenTile/RegularTile into boolean flags on Tile and uses an enum for action card types rather than subclasses — acceptable but less faithful; it also lacks a distinct ConnectionPiece class (modeled via boolean flags on Tile), losing the "pile of 32 spare connection pieces" object concept and the connection-piece placement/removal semantics.
2. Associations/Multiplicities between classes for domain reasoning: Model 1 = 5, Model 2 = 4; Evidence: Model 1 models Tile→ConnectionPiece per side (0..1 each), ConnectionPiece connects 2 Tiles, Deck *-- 32 ActionCard, Game o-- 2..4 Player, Board *-- 1..* Tile, Player *-- 1 PlayingPiece, plus startingPosition and currentTile. The connection-piece relationship (a piece connects exactly two tiles, with a separate spare pile count) is faithfully captured. Model 2 models Tile→Tile adjacency (0..1 per side) which captures connectivity but loses the explicit ConnectionPiece entity and its pile/spare semantics; the "connect two adjacent tiles with a connection piece from the pile" and "remove a connection piece" actions have no object to act upon. Model 2 multiplicities for Deck/players/board are otherwise correct.
3. Model attributes with appropriate data types: Model 1 = 5, Model 2 = 4; Evidence: Model 1 uses GameState enum, TileColor enum, Direction enum, PieceColor enum, ActionTile.cooldownTurns/remainingCooldown, Player.order/skipNextTurn, Game.spareConnectionPieces/turnNumber — well-typed and domain-relevant. Model 2 uses String for PlayingPiece.color (vs enum), Tile booleans (isHidden/isStartingPosition/isVisited/isConnected*) plus color String, turnsAsRegular/turnsRemaining — mostly reasonable but mixes concerns into Tile and uses String where an enum is more appropriate; Board.width/height are invented implementation detail not required.
4. Consistencies of Terminology with given context: Model 1 = 5, Model 2 = 4; Evidence: Model 1 uses "GameDesigner", "HiddenTile", "RegularTile", "ConnectionPiece", "ActionCard" subclasses, "spareConnectionPieces", "markVisited" — all directly traceable to the requirement text. Model 2 uses "Designer" (requirement says "game designer"), boolean isHidden instead of HiddenTile, isStartingPosition flag, and boolean connection flags instead of "connection pieces"; ActionCardType enum names (EXTRA_TURN etc.) are reasonable but deviate from the requirement's descriptive phrasing.
5. Adherence of UML class diagram standards: Model 1 = 5, Model 2 = 5; Evidence: Both use valid PlantUML syntax: classes, enums, abstract classes, generalization (&lt;|--) and composition/aggregation/directed associations with multiplicities and role names. Model 1 additionally marks ActionCard abstract and uses clean inheritance hierarchies; Model 2's opposite-direction Tile associations are semantically equivalent per forbidden-penalty rule 1 and the 'opposite comments are ignored per rule 2. No notation violations in either.
Total: Model 1 = 25, Model 2 = 21
Choice: A
Reason:
1. Appropriate conceptual classes: Model 1 preserves ConnectionPiece, HiddenTile/RegularTile, and the ActionCard subclass hierarchy that the requirement explicitly describes (connection pieces, hidden tile, five action card types). Model 2 collapses these into boolean flags and an enum, weakening domain fidelity, especially the connection-piece pile that two action cards manipulate.
2. Associations/Multiplicities: Model 1's ConnectionPiece connects exactly 2 Tiles and each Tile side has 0..1 connection, directly matching "at most one tile can be connected on each side" and the spare-pile actions. Model 2's Tile↔Tile adjacency captures connectivity but has no object for spare pieces, removing action-card domain reasoning.
3. Attributes/Terminology: Model 1 uses domain-aligned enums (TileColor, PieceColor, Direction) and terminology ("GameDesigner", "ConnectionPiece", "HiddenTile"). Model 2 uses String/booleans and abbreviated terms ("Designer") that are less consistent with the requirement wording.
4. UML standards: Both are syntactically valid; this criterion does not differentiate.
Rejected or checked issues: Did not penalize Model 2 for opposite-direction Tile associations (forbidden rule 1), 'opposite comments (rule 2), String/int aliases (rule 3), or '*' vs '0..*' equivalences (rule 4). Did not reward Model 1 merely for being more detailed — the extra classes (ConnectionPiece, ActionCard subclasses) correspond to explicit requirement facts. Did not penalize Model 2's Board.width/height as a UML issue; treated as minor implementation detail under attributes.
Overall judgment: Model 1 is better because it faithfully represents all stated domain concepts — connection pieces and their spare pile, the hidden/regular/action tile distinction, and the five action card types — with correct multiplicities and domain-aligned terminology, whereas Model 2 collapses several of these into flags/enums and omits the connection-piece entity entirely.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</si>
  <si>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</si>
  <si>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(functional coverage of classes &amp; relationships): Model 1 = 4, Model 2 = 4; Evidence: Both model the core entities (Game, GameDesigner, Board/GameBoard, Tile hierarchy with Regular/Hidden/Action, ConnectionPiece, Player, PlayingPiece, Deck, ActionCard, Die). Model 1 explicitly models the 5 action card types as subclasses (ExtraTurnCard, ConnectTilesCard, RemoveConnectionCard, MoveToTileCard, LoseTurnCard) and an explicit hidden-tile association (Board --&gt; "1" HiddenTile) and starting position (Player --&gt; "1" Tile : startingPosition). Model 2 models the 5 card types via an enum ActionCardType and uses GameDesigner methods (setHiddenTile, setStartingPosition) instead of associations to capture these facts, and adds a ConnectionPiecePile class capturing the spare-pile concept that Model 1 only represents as an int counter (Game.spareConnectionPieces).
2. Associations, cardinalities, relationship types: Model 1 = 5, Model 2 = 3; Evidence: Model 1 specifies the hard constraints explicitly: Game o-- "2..4" Player, Deck *-- "32" ActionCard, Tile o-- "0..1" ConnectionPiece for each of the four named sides, Board --&gt; "1" HiddenTile, Player --&gt; "1" Tile : startingPosition, composition for Board/Deck/Die/PlayingPiece. Model 2 omits the 2..4 player multiplicity (Game --&gt; Player : has players has none), omits the 32-card multiplicity, has no explicit hidden-tile association, and no starting-position association; it does add a winner association and pile composition, but misses the stated hard multiplicities.
3. Clarity of class names and optional attributes: Model 1 = 5, Model 2 = 5; Evidence: Both use clear, domain-faithful class names (Tile, ActionTile, HiddenTile, ConnectionPiece, PlayingPiece, Deck) and reasonable attributes (color, cooldownTurns, order/playerNumber, skipNextTurn/skippedTurns). Naming is equally readable.
4. No hallucinations / no unjustified additions: Model 1 = 4, Model 2 = 4; Evidence: Both add reasonable supporting elements (enums for color/direction/state; Tile x,y coordinates). Model 2 introduces GameBoard width/height attributes not stated in the requirement and richer GameDesigner/Player method sets (designBoard, placeTile, move, executeActionCard) that go beyond pure structural modeling but map to stated facts; Model 1's x/y and GameState enum are comparable minor refinements. Neither introduces contradicting or invalid domain elements.
Total: Model 1 = 18, Model 2 = 16
Choice: A
Reason:
1. Requirement alignment: Model 1 and Model 2 both cover the essential domain concepts, but they differ in HOW. Model 1 expresses requirement facts as structural associations (hidden tile, starting position, card subclasses), which is more idiomatic for a class diagram; Model 2 expresses several of the same facts only as designer/player methods, leaving the structural associations absent.
2. Associations, cardinalities, relationship types: This is the decisive criterion. The requirement states hard constraints — "Two to four players", "deck of 32 action cards", "pile of 32 spare connection pieces", "at the most one tile can be connected on each side", one hidden tile, per-player starting positions. Model 1 encodes these as explicit multiplicities (2..4, 32, 0..1 per side, 1 hidden tile, 1 starting position). Model 2 leaves the player, deck-card, hidden-tile and starting-position multiplicities unspecified, which is a loss of required constraints. Model 2's ConnectionPiecePile is a genuine plus for the spare-pile concept, but it does not offset the missing hard multiplicities.
3. Rejected or checked issues: I did NOT penalize Model 2 for using an enum ActionCardType instead of card subclasses (both are valid ways to enumerate the five predefined choices), nor Model 1 for using an int counter for spare pieces (a legitimate simplification). I did NOT reward Model 2's extra designer/Player methods as additional coverage beyond what Model 1 captures structurally, since they restate the same requirement facts. I did NOT penalize either model for Tile x/y or GameBoard width/height as these are minor, defensible refinements rather than contradictions.
4. Overall judgment: Model 1 is better because it preserves the stated hard multiplicities and key designations (2..4 players, 32 cards, per-side 0..1 connections, single hidden tile, starting positions) as explicit UML associations, whereas Model 2 leaves several of these constraints unspecified and relies on methods to imply them. The difference is meaningful but not overwhelming, so the margin is moderate.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</si>
  <si>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</si>
  <si>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uses an abstract `ActionCard` with five polymorphic subclasses (`ExtraTurnCard`, `ConnectTilesCard`, `RemoveConnectionCard`, `MoveToTileCard`, `LoseTurnCard`) and a `Deck` that only exposes `drawCard()`/`isEmpty()`, giving low coupling between card behaviour and the Game. However, it keeps `spareConnectionPieces: int` inside `Game`, slightly lowering Game's cohesion. Model 2 separates the spare-pile concept into a cohesive `ConnectionPiecePile` (takePiece/returnPiece) and gives `GameDesigner` all design operations (`designBoard`, `placeTile`, `connectTiles`, `setHiddenTile`, `setStartingPosition`, `setActionTile`, `defineActionDeck`), improving designer cohesion. But Model 2 represents action cards via a single `ActionCard` class with an `ActionCardType` enum, forcing switch-style logic inside `execute(player)`, which is less decoupled than Model 1's strategy-style hierarchy; it also has overlapping responsibility between `Player.executeActionCard(card)` and `ActionCard.execute(player)`. The trade-offs roughly cancel out.
2. Complexity: Model 1 = 4, Model 2 = 4; Evidence: Model 1 has ~20 classes with inheritance depth 2 for both `Tile` and `ActionCard` hierarchies; the five action-card subclasses are justified by the five predefined card types in the requirement, so the complexity is purposeful. Model 2 has ~18 classes, replacing the card hierarchy with an enum (fewer classes) but adding `GameBoard` and `ConnectionPiecePile`; `GameBoard` carries `width`/`height` attributes not implied by the connection-based board description, which is slightly spurious, though tiles do carry x/y in both models. Average methods per class is balanced in both. Neither over- nor under-models significantly.
3. Practicability: Model 1 = 4, Model 2 = 3; Evidence: Model 1 explicitly encodes the hard constraints from the requirement: `Game o-- "2..4" Player`, `Deck *-- "32" ActionCard`, and four separate `Tile o-- "0..1" ConnectionPiece` relations (right/left/top/bottom) that directly capture "at most one tile can be connected on each side". It also shows `currentPlayer`, `startingPosition`, `currentTile`, and `ActionTile` cooldown (`cooldownTurns`, `remainingCooldown`, `isActive()`, `deactivate()`, `tickCooldown()`), supporting testable behaviour. Its main weakness is representing the pile of 32 spare connection pieces as a plain `int spareConnectionPieces` rather than a concept. Model 2 models `ConnectionPiecePile` and the designer workflow well, but it omits the key multiplicities: `Game --&gt; Player : has players` has no `2..4`, `Deck *- ActionCard` has no `32`, `ConnectionPiecePile *- ConnectionPiece` has no `32`, and `ConnectionPiece` uses `side1`/`side2` rather than enforcing the "at most one connection per side" rule. These missing hard constraints reduce readability, validation, and acceptance-test support.
Total: Model 1 = 12, Model 2 = 11
Choice: A
Reason:
1. Cohesion and Decoupling: Roughly even. Model 1's polymorphic action-card hierarchy is more decoupled, while Model 2's `ConnectionPiecePile` and rich `GameDesigner` are more cohesive; Model 2's enum-based `ActionCard` and duplicated `executeActionCard`/`execute` responsibilities offset its gains.
2. Complexity: Both are balanced and justified; Model 1's extra card subclasses are requirement-driven, Model 2's `GameBoard`/`ConnectionPiecePile` are mostly justified, though `GameBoard.width/height` is weakly motivated.
3. Rejected or checked issues: I did NOT penalize Model 2 for using an `ActionCardType` enum instead of subclasses (a valid design choice), nor Model 1 for `int`/`boolean` primitives, nor for `*` vs `0..*` style, nor for PlantUML layout/visibility differences. The decisive factor is the explicit presence vs. absence of requirement-stated hard multiplicities (2–4 players, 32 cards, 32 spare pieces, one-connection-per-side).
4. Overall judgment: Model 1 is better because it visibly encodes the requirement's hard constraints (2..4 players, 32 action cards, one connection per side via four `0..1` role associations) and models the action-tile cooldown behaviour, making it more testable and faithful. Model 2 is stronger on the spare-pile concept and designer-method coverage but loses critical multiplicity constraints that matter for validation and acceptance testing.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</si>
  <si>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</si>
  <si>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identify Game, GameDesigner, Board/GameBoard, Tile hierarchy (RegularTile/HiddenTile/ActionTile), ConnectionPiece, Player, PlayingPiece, Deck, ActionCard, Die. Model 1 represents the 5 action-card types via subclasses (ExtraTurnCard, ConnectTilesCard, RemoveConnectionCard, MoveToTileCard, LoseTurnCard); Model 2 uses a single ActionCard with ActionCardType enum. Model 2 additionally introduces ConnectionPiecePile for the "pile of 32 spare connection pieces" (an explicit domain concept), while Model 1 only tracks it via a `spareConnectionPieces: int` attribute. Both adequately cover the domain.
2. Associations/Multiplicities between classes for domain reasoning: Model 1 = 5, Model 2 = 3; Evidence: Model 1 specifies `Game "1" o-- "2..4" Player`, `Deck "1" *-- "32" ActionCard`, per-side connections (`Tile "1" o-- "0..1" ConnectionPiece` for right/left/top/bottom, directly capturing "at most one tile can be connected on each side"), `Board "1" --&gt; "1" HiddenTile`, `Player --&gt; "1" Tile : startingPosition`, `PlayingPiece --&gt; "1" Tile : currentTile`. Model 2 omits multiplicities on most associations (`Game --&gt; Player : has players`, `Game *-- GameBoard`, `GameBoard *- Tile`, `ConnectionPiece --&gt; Tile : connects`, `Deck *- ActionCard`), lacks the per-side connection constraint, and does not model starting-position or hidden-tile associations. The 2..4 players, 32 cards, and 32 spare pieces counts are missing as multiplicities.
3. Model attributes with appropriate data types: Model 1 = 4, Model 2 = 5; Evidence: Model 1 uses well-typed enums (TileColor, Direction, PieceColor, GameState) and int/boolean for cooldownTurns, remainingCooldown, order, skipNextTurn. Model 2 additionally includes `GameBoard.width/height:int`, `Deck.cards:ActionCard[]` and `cardsRemaining:int`, `ConnectionPiecePile.sparePieces` and `piecesRemaining:int`, `ConnectionPiece.side1/side2:Side`, `ActionCard.type:ActionCardType`, giving more complete attribute coverage including the pile/deck counts.
4. Consistencies of Terminology with given context: Model 1 = 5, Model 2 = 4; Evidence: Model 1 uses "Board", "ConnectionPiece", "PlayingPiece", "Direction", "PieceColor", all matching requirement terms. Model 2 uses "GameBoard" (acceptable), "ConnectionPiecePile" (introduced), "PlayingPieceColor" and "Side" (synonyms of PieceColor/Direction) — minor deviations but recognizable.
5. Adherence of UML class diagram standards: Model 1 = 5, Model 2 = 4; Evidence: Model 1 uses valid abstract classes, enums, generalization, composition/aggregation, directed associations with explicit multiplicities and role labels throughout — fully readable. Model 2's PlantUML syntax is valid and uses generalization/composition correctly, but many associations are unlabeled and lack multiplicity annotations, weakening UML notation completeness (though this is partly a domain concern, it also affects notational clarity).
Total: Model 1 = 24, Model 2 = 21
Choice: A
Reason:
1. Conceptual classes: Both models capture the core domain well; Model 2's explicit ConnectionPiecePile is a nice addition but Model 1's action-card subclass hierarchy is equally valid — tie.
2. Associations/Multiplicities: Model 1 is clearly superior, providing the critical2..4 players, 32 action cards, 32 spare pieces (implicit), per-side connection constraints (right/left/top/bottom at0..1), starting position, hidden tile, and current-tile links. Model 2 omits nearly all multiplicities and the per-side connection constraint that the requirement explicitly states ("at most one tile can be connected on each side").
3. Attributes: Model 2 has slightly richer attributes (deck count, pile count, width/height, side1/side2), edging ahead, but Model 1's typed enums are still adequate.
4. Terminology: Model 1 uses closer term matches (Board, Direction, PieceColor); Model 2's synonyms (Side, PlayingPieceColor, GameBoard, ConnectionPiecePile) are acceptable but slightly off.
5. UML standards: Both are syntactically valid PlantUML; Model 1's consistent multiplicity annotations and role labels make it more complete UML notation.
Rejected/checked issues: I did not penalize Model 2 for using an enum-based ActionCard instead of subclasses (both are valid UML design choices), nor Model 1 for using `int` instead of `Integer` or `*` vs `0..*` (forbidden penalties). I did not reward Model 2's extra methods (designBoard, placeTile, etc.) since they add implementation detail rather than improving coverage of stated requirement facts.
Overall judgment: Model 1's decisive advantage is in associations/multiplicities — it accurately captures the per-side connection constraint and player/card counts that the requirement explicitly mandates, while Model 2 leaves most multiplicities unspecified. This is the differentiator that makes Model 1 the better diagram overall.
```</t>
  </si>
  <si>
    <t>SellingGoods</t>
  </si>
  <si>
    <t>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</si>
  <si>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</si>
  <si>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Customer, VAT, head-office &amp; delivery addresses/warehouses (Steps 1,3): Model 1 = 5, Model 2 = 4; Evidence: M1 has Customer.vatNumber, headOfficeAddress, a dedicated Warehouse class with address, and Order "--" Warehouse (delivers to), tying deliveries to a customer's warehouse. M2 has Customer.vatNumber, a headOffice Address, and Customer "--" 0..* Address (deliveryWarehouses) plus Order "--" 1 Address (deliveredTo), but it collapses the Warehouse concept into plain addresses, losing the "several warehouses they use for different locations" notion.
2. Product &amp; stock tracking (Step 1): Model 1 = 5, Model 2 = 4; Evidence: M1's Product has name, description, price, currentStock and an adjustStock(quantity) operation matching "manually adjust the stock levels." M2's Product only has name and currentStock; attributes are optional, so it is acceptable but less complete and lacks any adjustment hook.
3. Order / OrderLine composition &amp; quantity (Step 1): Model 1 = 5, Model 2 = 5; Evidence: M1 models Order "*--" 1..* OrderLine with quantity and unitPrice; M2 models Order "--" 1..* OrderLine with orderedQuantity. Both capture "one or more order lines, each recording quantity of a particular product" (OrderLine "--" Product in both).
4. Line-by-line shipped tracking (Step 2): Model 1 = 4, Model 2 = 5; Evidence: M1 infers shipped lines via Shipment "o--" 1..* OrderLine (groups), with no per-line shipped quantity. M2 explicitly adds OrderLine.shippedQuantity and a ShipmentLine with shippedQuantity, directly recording "which order lines have been shipped and which are still on the to-be-shipped list."
5. Fully / partially shipped order marking (Step 2): Model 1 = 5, Model 2 = 3; Evidence: M1 has OrderStatus with PARTIALLY_SHIPPED and FULLY_SHIPPED, so fully-shipped orders "can be removed from your watchlist." M2 has no order-level shipped status (only paymentStatus); full-shipment is only derivable from per-line shippedQuantity, not explicitly "marked."
6. Payment in full, paid date, invoice &amp; payment timing (Steps 1,3): Model 1 = 3, Model 2 = 4; Evidence: M1 records Order.paidDate and Invoice.paidDate/totalAmount with Order "*--" 1 Invoice, but does NOT model the choice "pay directly when placing the order, or after delivery." M2 adds PaymentTiming (ON_ORDER/ON_DELIVERY) and PaymentStatus, plus Invoice.isPaid/totalAmount; however Order "--" 0..1 Invoice makes the invoice optional rather than always present, and there is no explicit paidDate.
7. Shipment grouping of order lines (Step 4): Model 1 = 5, Model 2 = 5; Evidence: M1's Shipment "o--" 1..* OrderLine directly models "a group of order lines shipped together." M2 uses Shipment "--" 1..* ShipmentLine "--" OrderLine, an equivalent refinement that also allows partial quantities of a line in a shipment.
8. Shipment status packed/shipped/received + missing/damaged (Step 4): Model 1 = 3, Model 2 = 5; Evidence: M1's ShipmentStatus = {PACKED, SHIPPED, RECEIVED} with pack()/ship()/markReceived(), but omits MISSING and DAMAGED, which Step 4 explicitly asks for ("some deliveries are missing or damaged"). M2's ShipmentStatus = {PACKED, SHIPPED, RECEIVED, MISSING, DAMAGED}, covering the full required tracking.
9. Relationship typing (composition/aggregation) &amp; cardinalities: Model 1 = 5, Model 2 = 3; Evidence: M1 uses composition (Customer "*--" Order, Order "*--" OrderLine/Invoice/Shipment) and aggregation (Shipment "o--" OrderLine) with sensible multiplicities. M2 uses only plain associations throughout and has a weak Order "--" 0..1 Invoice (an invoice is always sent per the requirement), so it under-specifies relationship semantics.
Total: Model 1 = 40, Model 2 = 38
Choice: A
Reason:
1. Customer/registration &amp; relationship structure: Model 1 is stronger — it introduces a Warehouse class with addresses and links Order to a Warehouse, and uses composition/aggregation throughout, whereas Model 2 flattens warehouses into plain addresses and uses only plain associations.
2. Lifecycle &amp; status coverage: Model 1 better covers the Step 2 "fully/partially shipped" marking via OrderStatus, while Model 2 better covers the newer Step 3/4 additions — PaymentTiming (ON_ORDER/ON_DELIVERY) and ShipmentStatus MISSING/DAMAGED — which Model 1 omits.
3. Rejected/checked issues: I did not penalize M2 for using `int`/`Decimal`/`boolean` aliases, nor M1 for PlantUML comments or `*` vs `0..*`; these are forbidden penalties. I also did not reward M1 merely for extra attributes (description, price) since attributes are optional, but they do slightly help coverage. M2's OrderLine.shippedQuantity/ShipmentLine is a legitimate refinement, not a hallucination.
4. Overall judgment: The models are close — each omits something the other captures (M1 misses missing/damaged status and payment timing; M2 misses explicit fully-shipped order marking, the Warehouse class, and composition semantics). On balance, Model 1's fuller structural/relationship semantics plus the Step 2 fully/partially-shipped marking edge it slightly ahead (40 vs 38), so Model 1 is better, though not by a wide margin.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</si>
  <si>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</si>
  <si>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keeps a dedicated `Warehouse` class (warehouseId, address) composed under `Customer *-- 0..* Warehouse`, giving high cohesion to the warehouse concept, and reuses a single `Address` class for both head office and warehouse location. However, `Shipment "1" o-- "1..*" OrderLine : groups` couples Shipment directly to OrderLine. Model 2 introduces a `ShipmentLine` intermediary (`Shipment "1" -- "1..*" ShipmentLine`, `ShipmentLine "0..*" -- "1" OrderLine : refersTo`), lowering coupling between Shipment and OrderLine and giving ShipmentLine a single coherent responsibility. Model 2 also reuses `Address` for both `headOffice` and `deliveryWarehouses`. Both are reasonable; Model 1 wins on Warehouse cohesion, Model 2 wins on Shipment/OrderLine decoupling — net tie.
2. Complexity: Model 1 = 4, Model 2 = 4; Evidence: Model 1 has 8 classes + 2 enums (`OrderStatus`, `ShipmentStatus`); classes map to domain nouns (Customer, Product, Order, OrderLine, Invoice, Shipment, Warehouse, Address) without over-classification; methods are few per class. Model 2 has 8 classes + 3 enums (`PaymentTiming`, `PaymentStatus`, `ShipmentStatus`) plus `ShipmentLine`; the extra enum and `ShipmentLine` are justified by STEP 3 (payment timing choice) and STEP 4 (group-of-lines shipments), so complexity is balanced and traceable, not inflated. Both align with requirement scope.
3. Practicability: Model 1 = 3, Model 2 = 4; Evidence: Model 1 covers STEP 1 paid/shipped dates (`Order.paidDate`, `Shipment.shipmentDate/receivedDate`) and a `Product.adjustStock()` method, a mandatory `Order *-- 1 Invoice`, and a `Warehouse` class with delivery link `Order -- 1 Warehouse : delivers to`. But it misses two prominent explicit requirements: STEP 3's payment-timing choice (no `PaymentTiming`/equivalent — `OrderStatus` only has PAID with no on-order-vs-on-delivery distinction) and STEP 4's missing/damaged delivery status (`ShipmentStatus` = PACKED, SHIPPED, RECEIVED only; no MISSING/DAMAGED despite the requirement explicitly citing missing/damaged deliveries). Model 2 covers both of those: `PaymentTiming {ON_ORDER, ON_DELIVERY}` on `Order.paymentTiming` and `ShipmentStatus {PACKED, SHIPPED, RECEIVED, MISSING, DAMAGED}`. Model 2 also models group shipments cleanly via `ShipmentLine` and tracks partial shipment via `OrderLine.shippedQuantity`. Model 2's gaps are less central: no explicit paid date (only `Invoice.isPaid` boolean, though STEP 1 asks to record when paid), `Order -- 0..1 Invoice` is weaker than the "send invoices for their orders" intent (should be 1), no `Warehouse` class (uses `Address` for deliveryWarehouses), and no stock-adjust method (only `Product.currentStock` attribute). On balance Model 2 covers more of the explicit later-step requirement facts that Model 1 omits.
Total: Model 1 = 11, Model 2 = 12
Choice: B
Reason:
1. Cohesion and Decoupling: roughly even — Model 1's `Warehouse` class and single `Address` reuse give good cohesion; Model 2's `ShipmentLine` intermediary gives better decoupling between Shipment and OrderLine. No meaningful gap.
2. Complexity: both balanced; Model 2's extra enum/class (`PaymentTiming`, `ShipmentLine`) are traceable to STEP 3/4 requirements, not gratuitous detail.
3. Rejected or checked issues: I did NOT penalize Model 1 for using two opposite unidirectional associations or PlantUML comments, nor either model for `int`/`Integer` or `*` vs `0..*`. I did not reward Model 1 merely for extra identifiers (trackingNumber, warehouseId) since they don't map to stated requirement facts. I treated Model 2's lowercase types and `0..1` vs `1` invoice as a domain-accuracy issue (under Practicability), not a UML-standards issue.
4. Overall judgment: Model 2 wins narrowly. Both models have gaps, but Model 1 omits two explicit, prominent requirements — the STEP 3 payment-timing choice and the STEP 4 MISSING/DAMAGED delivery statuses — whereas Model 2 covers both plus clean group-shipment modeling via `ShipmentLine`. Model 2's own gaps (no paid date, optional invoice, no Warehouse class, no adjustStock method) are real but less central than the two STEP 3/4 features Model 1 misses, so Model 2 is the stronger overall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</si>
  <si>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</si>
  <si>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Customer, Address, Warehouse, Product, Order, OrderLine, Invoice, Shipment, plus OrderStatus (PLACED/PAID/PARTIALLY_SHIPPED/FULLY_SHIPPED) and ShipmentStatus enums; Warehouse class directly captures STEP 3's "several warehouses." However, Model 1's ShipmentStatus only has PACKED/SHIPPED/RECEIVED, omitting the MISSING/DAMAGED states explicitly required in STEP 4, and lacks any PaymentTiming concept for STEP 3's "pay on order or after delivery." Model 2 includes Customer, Address, Product, Order, OrderLine, Invoice, Shipment, ShipmentLine, plus PaymentTiming (ON_ORDER/ON_DELIVERY), PaymentStatus, and ShipmentStatus (PACKED/SHIPPED/RECEIVED/MISSING/DAMAGED), covering payment-timing and missing/damaged requirements well; but it has no Warehouse class (labels an Address association "deliveryWarehouses" instead), a noticeable simplification of the stated warehouse concept. Both have gaps, so 4/4.
2. Associations/Multiplicities between classes for domain reasoning: Model 1 = 4, Model 2 = 4; Evidence: Model 1 models Customer 1--1 Address (head office), Customer 1*--0..* Warehouse, Order 1--1 Warehouse (delivers to), Order 1*--1 Invoice, Order 1*--1..* OrderLine, OrderLine *--1 Product, Order 1*--0..* Shipment, Shipment 1 o--1..* OrderLine (groups) — capturing head office, per-order delivery warehouse, invoice-per-order, and shipment grouping. The Customer*--Warehouse composition is debatable (lifecycle) but acceptable. Model 2 models Customer 1--1 Address (headOffice), Customer 1--0..* Address (deliveryWarehouses), Order 1--1 Address (deliveredTo), Order 1--1..* OrderLine, Order 1--0..1 Invoice, Order 1--0..* Shipment, Shipment 1--1..* ShipmentLine, ShipmentLine 0..*--1 OrderLine — capturing multiple delivery addresses and per-shipment-line grouping with shippedQuantity. Model 2's Order 1--0..1 Invoice is weak (STEP 3 implies one invoice per order). Both have one minor issue, so 4/4.
3. Model attributes with appropriate data types: Model 1 = 5, Model 2 = 2; Evidence: Model 1 provides rich, well-typed attributes — Product has productId, name, description, price:Money, currentStock:Integer; OrderLine has lineId, quantity, unitPrice:Money; Invoice has invoiceId, invoiceNumber, issueDate, paidDate, totalAmount:Money; Shipment has shipmentId, shipmentDate, receivedDate, status, trackingNumber; Address has street/city/postalCode/country; Customer has vatNumber. Types (Money, Date, Integer, String, enums) are appropriate. Model 2 is sparse: Product has only name and currentStock (no id, price, description); OrderLine has only orderedQuantity/shippedQuantity (no unitPrice — making invoice totals uncomputable); Customer has only vatNumber (no id/name); Shipment has only shipmentDate/status (no receivedDate needed for "received by customer," no trackingNumber); Invoice lacks invoiceId/invoiceNumber. Critical attributes and types are missing, hence 2.
4. Consistencies of Terminology with given context: Model 1 = 4, Model 2 = 4; Evidence: Model 1 uses headOfficeAddress, Warehouse, vatNumber, currentStock, OrderLine, Invoice, Shipment, paidDate, shipmentDate, receivedDate, PARTIALLY_SHIPPED/FULLY_SHIPPED — all aligned with requirement terms. Model 2 uses headOffice, deliveryWarehouses, paymentTiming (ON_ORDER/ON_DELIVERY), shippedQuantity, fulfilledBy, ShipmentLine, MISSING/DAMAGED — also directly mapping to requirement phrases ("pay directly when they place the order, or after delivered"; "missing or damaged"). Both consistent; Model 2 edges slightly on payment/shipment-status wording but Model 1 matches warehouse/invoice terms better. 4/4.
5. Adherence of UML class diagram standards: Model 1 = 5, Model 2 = 5; Evidence: Model 1 uses valid class boxes with attributes, visibility markers, operations, enums, and associations with multiplicities/role labels, composition (*--), aggregation (o--); all syntactically valid PlantUML. Model 2 uses valid class boxes with typed attributes (name: type), enums, and labeled associations with multiplicities; also valid and readable PlantUML. Both fully adhere; the difference in operation/visibility presence is presentation-only and ignored.
Total: Model 1 = 22, Model 2 = 19
Choice: A
Reason:
1. Appropriate conceptual classes: Model 1 and Model 2 are roughly even — Model 1 has the Warehouse class (STEP 3) while Model 2 has PaymentTiming and MISSING/DAMAGED statuses (STEP 3/4); each omits a different stated concept, so neither dominates.
2. Associations/Multiplicities: Both model head office, delivery addresses, order→order lines (1..*), order→shipments (0..*), and shipment-grouping acceptably. Model 1 ties delivery to a Warehouse per order and keeps Invoice 1..1; Model 2 uses ShipmentLine for richer per-shipment quantities but weakens Invoice to 0..1. Balanced.
3. Model attributes: This is the decisive gap. Model 1 supplies comprehensive, properly typed attributes (price:Money, unitPrice:Money, invoiceNumber, trackingNumber, receivedDate, productId, etc.), whereas Model 2 omits unitPrice/price, product identifiers, invoice identifiers, receivedDate, and trackingNumber — undermining invoice computation and delivery tracking that STEP 4 explicitly requires. Model 1 clearly superior here.
4. Terminology: Both align well with the requirement vocabulary; no meaningful difference.
5. UML standards: Both are valid, readable PlantUML class diagrams.
Rejected or checked issues: I did not penalize Model 1 for lacking PaymentTiming or Model 2 for lacking Warehouse under the UML-standards criterion (domain gaps belong under domain criteria). I did not penalize either for using opposite-direction or unidirectional associations, escaped quotes, or `*` vs `0..*` (forbidden penalties). I did not reward Model 1 merely for having more methods/visibility markers, since those are presentation-only.
Overall judgment: Model 1 is better primarily because of criterion 3 — its attributes are complete and correctly typed across all four steps, supporting invoice totals, stock tracking, and shipment receipt tracking, while Model 2's sparse attributes leave critical requirement facts (price, received date, identifiers) unmodeled. The class and association coverage is otherwise comparable, so the attribute gap drives the choice toward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</si>
  <si>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</si>
  <si>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domain classes (Customer, Product, Order, OrderLine, Stock): Model 1 = 5, Model 2 = 4; Evidence: M1 has Customer, Product (with currentStock + adjustStock), Order, OrderLine. M2 has the same core set but adds an extra `Company` class (`Company "1" --&gt; "*" Customer : registers`) that is not required by the requirement (the "company" is the seller/scope, not a domain entity).
2. Customer registration attributes (address + VAT number): Model 1 = 5, Model 2 = 3; Evidence: M1 `Customer` has `vatNumber : String` and a typed `headOfficeAddress : Address` (dedicated Address class with street/city/postalCode/country). M2 `Customer` only has `vatNumber`; the address is modeled indirectly via `Customer --&gt; DeliveryAddress : headOfficeAddress` where `DeliveryAddress` has only a single vague `address : String`.
3. Order-Line-Product structure &amp; multiplicity: Model 1 = 5, Model 2 = 4; Evidence: M1 `Order "1" *-- "1..*" OrderLine : contains` and `OrderLine "*" -- "1" Product` correctly enforces "one or more" order lines. M2 `Order "1" --&gt; "*" OrderLine : consistsOf` uses 0..*, weakening the mandatory "one or more order lines" requirement.
4. Payment recording &amp; payment options (paid in full; record when paid; pay directly or after delivery): Model 1 = 4, Model 2 = 4; Evidence: M1 records `Order.paidDate` and `Invoice.paidDate` but does not model the two payment choices. M2 models the choice explicitly via `Order.paymentMethod` (DIRECT/POST_DELIVERY) and `paymentStatus`, but lacks a "paid on" date for "record when orders are paid for". Each covers a different half of the requirement.
5. Shipping recording &amp; dates (record when shipped): Model 1 = 5, Model 2 = 3; Evidence: M1 has `Shipment.shipmentDate`, `receivedDate`, and `Order.markFullyShipped()` plus `OrderStatus` lifecycle. M2 `Shipment` has `shipmentDate` but Order only carries `shippingStatus` enum with no shipped-date; combined with the missing paid date this weakens the "record when paid and shipped" requirement.
6. Partial shipment tracking (partially/fully shipped, line-level tracking): Model 1 = 5, Model 2 = 4; Evidence: M1 `OrderStatus` includes PARTIALLY_SHIPPED/FULLY_SHIPPED and `Shipment o-- "1..*" OrderLine : groups` lets you see which lines shipped. M2 `ShippingStatus` also has PARTIALLY_SHIPPED/FULLY_SHIPPED and `Shipment --&gt; "*" OrderLine : ships`, but line-level tracking is muddied by a parallel `Delivery "*"--&gt; "*" OrderLine : deliversTo`.
7. Warehouses &amp; addresses (head office + delivery/warehouse addresses, multiple warehouses): Model 1 = 5, Model 2 = 3; Evidence: M1 has a dedicated `Warehouse` class (`Customer *-- "0..*" Warehouse : operates`, `Warehouse -- Address : located at`, `Order -- Warehouse : delivers to`) cleanly separating head office from warehouse delivery addresses. M2 has no Warehouse class; it reuses one `DeliveryAddress` for both `headOfficeAddress` and `hasWarehouses`, conflating the two concepts.
8. Invoice modeling: Model 1 = 5, Model 2 = 5; Evidence: M1 `Invoice` (invoiceNumber, issueDate, paidDate, totalAmount, sendToCustomer()) with `Order *-- "1" Invoice`. M2 `Invoice` (invoiceNumber, issueDate, totalAmount) with `Order --&gt; "1" Invoice` and an explicit `Invoice "*"--&gt; "1" Customer : issuedTo`. Both adequately represent invoices.
9. Shipment grouping (group of order lines shipped together - STEP 4): Model 1 = 5, Model 2 = 3; Evidence: M1 explicitly models the step-4 change with `Shipment "1" o-- "1..*" OrderLine : groups`. M2 splits the concept across `Shipment --&gt; "*" OrderLine : ships` AND `Delivery "*"--&gt; "*" OrderLine : deliversTo`, making the "group of order lines shipped together" semantics redundant and ambiguous rather than clearer.
10. Delivery/shipment status (packed, shipped, received): Model 1 = 5, Model 2 = 4; Evidence: M1 `ShipmentStatus` = PACKED/SHIPPED/RECEIVED plus `pack()/ship()/markReceived()` matches "track a shipment as it is packed, shipped and received". M2 defines the same values twice (in both `ShipmentStatus` and `DeliveryStatus`, the latter adding DAMAGED/MISSING); the duplication is redundant, though it does capture the observed missing/damaged problem context.
11. Relationships, cardinalities, composition/aggregation correctness: Model 1 = 5, Model 2 = 3; Evidence: M1 uses composition for owned parts (Customer*--Order, Order*--OrderLine, Order*--Invoice, Order*--Shipment) and aggregation for Shipment o-- OrderLine, with correct multiplicities. M2 uses only plain unidirectional associations, has a wrong 0..* on OrderLine, a redundant Invoice--&gt;Customer link, and overlapping Shipment/Delivery/OrderLine links; direction-style itself is not penalized, but the cardinalities and redundant links are weak.
12. Class naming &amp; attribute clarity / no hallucination: Model 1 = 5, Model 2 = 3; Evidence: M1 uses clear typed attributes (e.g., structured Address, Money, OrderStatus). M2 introduces an unrequired `Company` class and represents addresses as a single `address : String`, reducing semantic clarity.
Total: Model 1 = 58, Model 2 = 41
Choice: A
Reason:
1. Core domain classes: M1 covers Customer/Product/Order/OrderLine/stock cleanly; M2 adds an unrequired `Company` entity.
2. Customer attributes: M1 gives a structured Address + VAT; M2 only has VAT plus a vague single-string address.
3. Order-Line-Product: M1 enforces 1..* order lines; M2 weakens it to 0..*.
4. Payment: tie-ish - M1 records paid dates, M2 models payment choice; neither fully covers both.
5. Shipping: M1 records paid/shipped/received dates; M2 lacks a paid/shipped date.
6. Partial shipping: M1 cleanly groups lines under Shipment; M2 muddies it with parallel Shipment/Delivery links.
7. Warehouses/addresses: M1 has a dedicated Warehouse class separating head office from delivery addresses; M2 conflates them in one DeliveryAddress.
8. Invoice: both adequate.
9. Shipment grouping: M1 explicitly models the step-4 "group of order lines shipped together"; M2's duplication makes it ambiguous.
10. Delivery status: M1 matches packed/shipped/received; M2 duplicates status enums redundantly.
11. Relationships/cardinalities: M1 uses correct composition/aggregation and multiplicities; M2 has weaker multiplicities and redundant links.
12. Clarity: M1 uses rich typed attributes; M2 has a vague address string and an extra Company class.
13. Rejected or checked issues: I did not penalize M2 for using unidirectional opposite-direction associations, single-quote comments, `int`/`String` aliases, or `*` vs `0..*` literals (these are forbidden penalties). I also did not reward M2's DAMAGED/MISSING statuses as a strict requirement, since the required status set is packed/shipped/received; they are motivation context.
4. Overall judgment: Model 1 is better. It aligns more faithfully with every step of the requirement (structured addresses, Warehouse, 1..* order lines, paid/shipped dates, composition ownership, and a clean Shipment-groups-OrderLine model), whereas Model 2 has weaker multiplicities, conflated address concepts, redundant Shipment/Delivery modeling, missing payment/shipping dates, and an unrequired Company class.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</si>
  <si>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</si>
  <si>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keeps single-responsibility classes (Address reused for both head office and Warehouse; Shipment solely groups OrderLines; Invoice solely models billing). Model 2 splits the packed/shipped/received lifecycle across two overlapping classes — `Shipment` with `ShipmentStatus{PACKED,SHIPPED,RECEIVED}` and `Delivery` with `DeliveryStatus{PACKED,SHIPPED,RECEIVED,DAMAGED,MISSING}` — lowering cohesion. Model 2 also adds redundant links (`Invoice *--&gt; 1 Customer : issuedTo` duplicates the Order→Customer path; `Delivery *--* OrderLine : deliversTo` duplicates `Shipment 1--&gt;* OrderLine : ships`), raising coupling. Model 1 has no such duplicate paths.
2. Complexity: Model 1 = 4, Model 2 = 3; Evidence: Model 1 has 8 classes + 2 enums, no inheritance, average method count moderate (Order has markPaid/markFullyShipped; Shipment has pack/ship/markReceived; Product has adjustStock) — balanced for the 4-step requirement. Model 2 has 9 classes + 5 enums; the `Shipment`+`Delivery` pair with two near-identical status enums is unnecessary complexity, while `Customer` is under-modeled (only `vatNumber`) and `Company` adds little value. Model 1 distinguishes classes from attributes better (Address and Money as proper types).
3. Practicability: Model 1 = 4, Model 2 = 3; Evidence: Model 1 supports the required lifecycle events and date recording explicitly: `Order.paidDate`, `Shipment.shipmentDate/receivedDate`, methods `markPaid()`, `markFullyShipped()`, `pack()/ship()/markReceived()`, `Product.adjustStock()` — directly mapping STEP 1's "record when orders are paid for and shipped" and STEP 4's packed/shipped/received tracking. It misses STEP 3's payment-method choice (no PaymentMethod) and STEP 4's missing/damaged status (ShipmentStatus lacks DAMAGED/MISSING). Model 2 covers those two gaps (`PaymentMethod{DIRECT,POST_DELIVERY}`, `DeliveryStatus{...,DAMAGED,MISSING}`, `Delivery.conditionNotes`) but omits paid/shipped dates entirely (only `paymentStatus` enum, no date attributes), making STEP 1's "record when" unrecordable, and the Shipment/Delivery overlap makes unit-testing and implementation ambiguous.
Total: Model 1 = 12, Model 2 = 8
Choice: A
Reason:
1. Cohesion and Decoupling: Model 1 gives each concept one home (Address, Warehouse, Invoice, Shipment each single-purpose) with no redundant associations. Model 2 duplicates the packed/shipped/received tracking in both `Shipment` and `Delivery`, and duplicates the customer link via `Invoice--&gt;Customer` alongside `Order--&gt;Customer`, reducing cohesion and increasing coupling.
2. Complexity: Model 1's class count and method distribution fit the 4-step scope without redundancy. Model 2's extra `Shipment`/`Delivery` pair (with two overlapping status enums) and the near-empty `Customer`/`Company` make it both over-complex in one area and under-modeled in another.
3. Rejected or checked issues: I did NOT penalize Model 2 for `'opposite` comments, lowercase `int`/`double`, or `*` vs `0..*` (forbidden penalties). I also did not reward Model 1 for `Product.price`/`OrderLine.unitPrice`, since price is not a stated requirement fact. Model 1's `Customer *-- Warehouse` composition (rather than aggregation) was not penalised as the requirement does not constrain this.
4. Overall judgment: Model 1 is cleaner, records the required paid/shipped dates, and maps the FSM events (markPaid, pack/ship/markReceived, adjustStock) to explicit methods. Model 2 covers the payment-method choice and damaged/missing status, but its Shipment/Delivery redundancy and missing paid/shipped dates outweigh those gains. Model 1 is the better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</si>
  <si>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</si>
  <si>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has Address, Customer, Warehouse, Product, Order, OrderLine, Invoice, Shipment — all aligned with the evolving requirement (head office + delivery warehouses, invoices, grouped shipments). It lacks a distinct way to capture "missing/damaged" delivery status (ShipmentStatus only has PACKED/SHIPPED/RECEIVED). Model 2 introduces a Delivery class with DAMAGED/MISSING status covering STEP 4, but also adds an unjustified Company class (the seller "you" is not a domain entity) and splits Shipment/Delivery in a confusing way (Shipment "1"--"*" Delivery trackedAs, with both shipping OrderLines).
2. Associations/Multiplicities between classes for domain reasoning: Model 1 = 5, Model 2 = 3; Evidence: Model 1 models Customer 1 *-- 0..* Warehouse (operates), Order 1 -- 1 Warehouse (delivers to), Order 1 *-- 1..* OrderLine, Order 1 *-- 0..* Shipment, Shipment 1 o-- 1..* OrderLine (groups) — clean and correct for "group of order lines shipped together". Model 2 has redundant/contradictory tangles: Shipment 1--&gt;* OrderLine ships AND Delivery *--* OrderLine deliversTo, plus Shipment 1--&gt;* Delivery trackedAs, leaving unclear which class actually groups shipped lines; Delivery *..* OrderLine is also unconstrained relative to "group shipped together".
3. Model attributes with appropriate data types: Model 1 = 4, Model 2 = 3; Evidence: Model 1 uses rich, typed attributes (price/unitPrice/totalAmount: Money, currentStock: Integer, full Address fields, invoiceId/issueDate/paidDate/totalAmount). Weakness: ShipmentStatus enum omits DAMAGED/MISSING from STEP 4. Model 2 has Customer with only vatNumber (no name), Product with only name+currentStock (no productId/price), DeliveryAddress with a single address: String (no street/city/postal fields), and totalAmount: double rather than a money type — several critical attributes missing.
4. Consistencies of Terminology with given context: Model 1 = 5, Model 2 = 4; Evidence: Model 1 uses headOfficeAddress, Warehouse, currentStock, vatNumber, Invoice, Shipment, OrderLine — fully consistent with the requirement wording. Model 2 introduces "Company" (not in the requirement; the seller is "you"), uses "DeliveryAddress" generically for both head office and warehouses, and splits "Shipment" vs "Delivery" where the requirement uses the terms near-synonymously, creating mild inconsistency.
5. Adherence of UML class diagram standards: Model 1 = 5, Model 2 = 4; Evidence: Model 1 uses classes, enums, composition (*--), aggregation (o--), multiplicities and role labels consistently — clean PlantUML. Model 2 is syntactically valid but uses only unidirectional --&gt; arrows with no composition/aggregation distinction and carries inline 'opposite comments; understandable but less conventional (comments are ignored per rules, so only the notation uniformity is considered).
Total: Model 1 = 23, Model 2 = 18
Choice: A
Reason:
1. Appropriate conceptual classes: Both score 4; Model 1 is cleaner and fully aligned but misses DAMAGED/MISSING status values, while Model 2 captures those via Delivery but introduces an unjustified Company class and a confusing Shipment/Delivery split.
2. Associations/Multiplicities: Model 1 clearly superior — its Shipment o-- OrderLine grouping directly satisfies STEP 4's "group of order lines shipped together", whereas Model 2 tangles Shipment, Delivery and OrderLine with redundant/loose relations.
3. Attributes: Model 1 far richer (Money types, full Address, invoice fields); its only gap is missing DAMAGED/MISSING enum values. Model 2 omits Customer.name, Product.price/id and thin Address fields.
4. Terminology: Model 1 matches requirement terms precisely; Model 2's "Company" and Shipment/Delivery split introduce inconsistency.
5. Rejected or checked issues: I did NOT penalize Model 2 for using unidirectional opposite associations or 'opposite comments (forbidden penalties). I did NOT reward Model 1 merely for being shorter. The DAMAGED/MISSING omission in Model 1 was credited as a genuine domain gap, not a UML-standards issue.
6. Overall judgment: Model 1 is better — it covers the iterative requirements (warehouses, head office, invoices, grouped shipments, packed/shipped/received tracking) with correct multiplicities and rich typed attributes, while Model 2 suffers from a redundant Shipment/Delivery structure, missing core attributes, and the extraneous Company class.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</si>
  <si>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</si>
  <si>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Customer &amp; address tracking (head office + delivery/warehouse addresses): Model 1 = 5, Model 2 = 5; Evidence: Both model a single address class used in two roles. Model 1: `Customer "1" -- "1" Address : headOffice` and `Customer "1" -- "0..*" Address : deliveryWarehouses`. Model 2: `Customer "1" --&gt; "1" DeliveryAddress : headOfficeAddress` and `Customer "1" --&gt; "*" DeliveryAddress : hasWarehouses`. Both correctly capture STEP 3's head office + multiple delivery/warehouse addresses.
2. Product &amp; stock tracking: Model 1 = 5, Model 2 = 5; Evidence: Model 1 `Product { name: String; currentStock: Integer }`. Model 2 `Product { name: String; currentStock: int }` plus an extra `Company --&gt; Product : stocks` link. Both satisfy STEP 1's product registration and current-stock recording; the extra `Company` class in Model 2 is harmless but adds no required coverage.
3. Order &amp; order-line structure: Model 1 = 5, Model 2 = 4; Evidence: Model 1 `Order "1" -- "1..*" OrderLine : contains`, `OrderLine "0..*" -- "1" Product : refersTo`, with `OrderLine { orderedQuantity; shippedQuantity }`. Model 2 `Order "1" --&gt; "*" OrderLine : consistsOf`, `OrderLine "*" --&gt; "1" Product : references`, but `OrderLine` only has `quantityOrdered` and no per-line shipped quantity, leaving per-shipment/per-line shipped quantity unrepresentable.
4. Payment &amp; invoice handling (STEP 3): Model 1 = 4, Model 2 = 5; Evidence: Both support the two payment timings (Model 1 `PaymentTiming { ON_ORDER; ON_DELIVERY }`, Model 2 `PaymentMethod { DIRECT; POST_DELIVERY }`) and an `Invoice` class. However Model 1 makes the invoice optional (`Order "1" -- "0..1" Invoice : has`) whereas Model 2 makes it mandatory (`Order "1" --&gt; "1" Invoice : hasInvoice`), which better matches STEP 3's "send invoices to your customers for their orders". Neither models a payment date, but that gap is equal.
5. Shipment/delivery tracking with status (STEP 4): Model 1 = 5, Model 2 = 3; Evidence: Model 1 uses a single `Shipment { shipmentDate; status: ShipmentStatus }` with `ShipmentStatus { PACKED; SHIPPED; RECEIVED; MISSING; DAMAGED }` and `Shipment "1" -- "1..*" ShipmentLine`, `ShipmentLine "0..*" -- "1" OrderLine` — cleanly representing a "group of order lines shipped together" with the packed/shipped/received plus missing/damaged statuses. Model 2 splits the concept into `Shipment` (status PACKED/SHIPPED/RECEIVED) and `Delivery` (status PACKED/SHIPPED/RECEIVED/DAMAGED/MISSING) with overlapping statuses, a `Shipment "1" --&gt; "*" Delivery : trackedAs` link, and BOTH `Shipment --&gt; "*" OrderLine : ships` and `Delivery "*" --&gt; "*" OrderLine : deliversTo` — a redundant and semantically muddled structure.
6. Partial shipping &amp; order-level shipping status (STEP 2): Model 1 = 4, Model 2 = 5; Evidence: Model 1 relies on `OrderLine.shippedQuantity` and `Order "1" -- "0..*" Shipment` to derive partial/full shipping, but has no explicit order-level shipping status; STEP 2 says fully shipped orders should be "marked". Model 2 explicitly carries `Order.shippingStatus` with `ShippingStatus { NOT_SHIPPED; PARTIALLY_SHIPPED; FULLY_SHIPPED }`, directly satisfying the "mark partially/fully shipped orders" requirement.
7. Overall semantic clarity &amp; relationship correctness: Model 1 = 5, Model 2 = 3; Evidence: Model 1's relationships are consistent, non-redundant, and each role is traceable to a requirement. Model 2 has redundant links (`Invoice "*" --&gt; "1" Customer : issuedTo` duplicating the Order–Customer path), an unrequired `Company` class, and the contradictory/overlapping Shipment-vs-Delivery status model where both enumerations repeat PACKED/SHIPPED/RECEIVED and both classes associate to OrderLine.
Total: Model 1 = 33, Model 2 = 30
Choice: A
Reason:
1. Customer &amp; address tracking: Tie — both correctly model one head-office address plus multiple delivery/warehouse addresses for the customer.
2. Product &amp; stock tracking: Tie — both expose `name` and `currentStock`; Model 2's extra `Company`/`stocks` link adds no required coverage.
3. Order &amp; order-line structure: Model 1 is stronger — its `OrderLine` carries both `orderedQuantity` and `shippedQuantity` and it links a `ShipmentLine` (with `shippedQuantity`) to an `OrderLine`, enabling per-shipment per-line quantity tracking; Model 2's `OrderLine` only has `quantityOrdered`.
4. Payment &amp; invoice handling: Model 2 is stronger — it makes the invoice mandatory (`Order --&gt; "1" Invoice`), matching STEP 3's "send invoices to your customers for their orders", while Model 1 leaves it optional (`0..1`).
5. Shipment/delivery tracking: Model 1 is clearly stronger — a single `Shipment` with `ShipmentLine` group and a comprehensive `ShipmentStatus` (PACKED/SHIPPED/RECEIVED/MISSING/DAMAGED) cleanly covers STEP 4; Model 2's split into `Shipment` and `Delivery` with overlapping status enumerations and dual associations to `OrderLine` is redundant and semantically confused.
6. Partial shipping &amp; order status: Model 2 is stronger — it explicitly carries `Order.shippingStatus` (NOT_SHIPPED/PARTIALLY_SHIPPED/FULLY_SHIPPED), directly realizing STEP 2's "mark fully shipped orders"; Model 1 only derives this from shipment/line data.
7. Overall semantic clarity: Model 1 is stronger — no redundant or contradictory links; Model 2 has redundant `Invoice--&gt;Customer`, an unrequired `Company` class, and the muddled Shipment/Delivery duality.
Rejected or checked issues: I did NOT penalize Model 2 for PlantUML `'opposite` comments, for using `int`/`double` instead of `Integer`/`Double`, or for using `*` instead of `0..*`, per the forbidden-penalties rules. I also did NOT reward Model 1 merely for being shorter, nor penalize Model 1 for leaving a superclass non-abstract (none applies). The optional-abstractness and association-style rules were respected.
Overall judgment: Model 1 wins. Its decisive advantage is the clean, unified shipment model (Shipment + ShipmentLine + comprehensive ShipmentStatus) that precisely realises STEP 4's "group of order lines shipped together" with packed/shipped/received plus missing/damaged tracking, whereas Model 2's dual Shipment/Delivery design with overlapping statuses and redundant OrderLine links is semantically muddled. Model 2's gains (mandatory invoice and explicit order shipping status) do not outweigh Model 1's superior shipment structure and overall clarity.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</si>
  <si>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</si>
  <si>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uses a clean ShipmentLine bridge class (`Shipment "1" -- "1..*" ShipmentLine : contains`, `ShipmentLine "0..*" -- "1" OrderLine : refersTo`) to decouple Shipments from OrderLines, and each class has a single clear responsibility. Model 2 introduces parallel associations from BOTH Shipment and Delivery to OrderLine (`Shipment "1" --&gt; "*" OrderLine : ships` AND `Delivery "*" --&gt; "*" OrderLine : deliversTo`), creating a tangled coupling, and redundantly links Invoice to both Order and Customer (`Order --&gt; 1 Invoice`, `Invoice * --&gt; 1 Customer : issuedTo`) when the customer is already reachable via the Order.
2. Complexity: Model 1 = 4, Model 2 = 3; Evidence: Model 1 has 8 classes + 3 enums, each justified by a requirement fact (Customer, Address, Product, Order, OrderLine with `shippedQuantity`, Invoice, Shipment, ShipmentLine). Model 2 adds an unjustified `Company` class (the seller is the system owner, not a domain entity), a weak `DeliveryAddress` with only a single `address: String` attribute, AND splits the delivery lifecycle across two overlapping enums (`ShipmentStatus` = PACKED/SHIPPED/RECEIVED vs `DeliveryStatus` = PACKED/SHIPPED/RECEIVED/DAMAGED/MISSING) plus two classes (`Shipment`, `Delivery`), inflating complexity without additional requirement coverage.
3. Practicability: Model 1 = 4, Model 2 = 3; Evidence: Model 1 is readable and modular: partial-line shipping is captured via `OrderLine.shippedQuantity`, group shipping via `Shipment`/`ShipmentLine`, and the full delivery lifecycle (packed/shipped/received/missing/damaged) in one `ShipmentStatus` on `Shipment`. Step 3 addresses are cleanly modeled with two role-labelled `Customer--Address` associations (headOffice, deliveryWarehouses). Model 2 lacks `shippedQuantity` on OrderLine (weakening Step 2 line-level shipped/pending tracking, relying only on indirect Shipment/Delivery associations), and its `DeliveryAddress.address: String` is too coarse for distinct head-office vs warehouse addresses. Model 2 does add an explicit `Order.shippingStatus` enum (NOT/PARTIALLY/FULLY_SHIPPED) which is a plus, but the dual Shipment/Delivery status enums are incoherent (Shipment cannot be MISSING/DAMAGED while Delivery can, despite both representing the same physical flow).
Total: Model 1 = 13, Model 2 = 9
Choice: A
Reason:
1. Cohesion and Decoupling: Model 1's ShipmentLine bridge gives high cohesion and low coupling; Model 2's parallel Shipment→OrderLine and Delivery→OrderLine associations plus the redundant Invoice→Customer link raise coupling and blur responsibility.
2. Complexity: Model 1 stays balanced with every class traceable to a requirement; Model 2 over-engineers with a non-required Company class, a near-empty DeliveryAddress, and overlapping Shipment/Delivery concepts and status enums.
3. Rejected or checked issues: I did NOT penalize Model 2 for using `int`/`double`/`String` aliases (forbidden), for its single-quote `'opposite` comments (forbidden), for `*` vs `0..*` (forbidden), or for bidirectional-via-two-unidirectional association style (forbidden). I also did not reward Model 1 merely for being shorter — its smaller size reflects justified modeling, not omission. Model 2's explicit `Order.shippingStatus` and `PaymentMethod` enum are genuine strengths, but they do not outweigh the structural weaknesses.
4. Overall judgment: Model 1 is more cohesive, appropriately complex, and more practical; it cleanly covers all four steps (stock, line-level partial shipping, head-office/delivery addresses, invoice, and grouped shipments with full packed/shipped/received/missing/damaged tracking). Model 2 covers most facts but with redundant concepts, weaker address modeling, and a missing per-line shipped quantity, making it less faithful and less maintainable.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</si>
  <si>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</si>
  <si>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ShipmentLine to model "groups of order lines shipped together" (STEP 4), plus Shipment, Invoice, Address (reused for head office and warehouses), OrderLine with shippedQuantity for partial-shipping tracking (STEP 2). Model 2 splits the shipping concept into both Shipment and Delivery classes with overlapping ShipmentStatus (PACKED/SHIPPED/RECEIVED) and DeliveryStatus (PACKED/SHIPPED/RECEIVED/DAMAGED/MISSING) enums, creating semantic redundancy and confusion; it also adds a Company class not required by the domain and lacks a clear grouping construct for order lines shipped together.
2. Associations/Multiplicities between classes for domain reasoning: Model 1 = 4, Model 2 = 3; Evidence: Model 1 models Customer "1"--"1" Address : headOffice and Customer "1"--"0..*" Address : deliveryWarehouses (head office + multiple warehouses, STEP 3), Order "1"--"1..*" OrderLine, Shipment "1"--"1..*" ShipmentLine, ShipmentLine "0..*"--"1" OrderLine (grouping). Only weak point: Order "1"--"0..1" Invoice (should likely be 1 since invoices are sent). Model 2 has Customer "1"--"1" DeliveryAddress headOfficeAddress and "1"--"*" hasWarehouses, Order "1"--"1" Invoice, but the Shipment "1"--"*" Delivery, Shipment "1"--"*" OrderLine ships, and Delivery "*"--"*" OrderLine deliversTo form a tangled, partially contradictory web where both Shipment and Delivery relate to OrderLine, muddling which entity groups lines and which tracks delivery.
3. Model attributes with appropriate data types: Model 1 = 5, Model 2 = 3; Evidence: Model 1 provides OrderLine.orderedQuantity:Integer AND shippedQuantity:Integer (enables partial-shipping tracking per line, STEP 2), Invoice.totalAmount:Decimal, Product.currentStock:Integer, Shipment.status:ShipmentStatus, ShipmentLine.shippedQuantity:Integer. Model 2's OrderLine only has quantityOrdered:int with no shippedQuantity, so it cannot record per-line shipped progress (STEP 2 requirement); DeliveryAddress.address:String collapses structured address into one field; otherwise types are reasonable but the critical shipped-quantity attribute is missing.
4. Consistencies of Terminology with given context: Model 1 = 5, Model 2 = 4; Evidence: Model 1 uses headOffice, deliveryWarehouses, PaymentTiming (ON_ORDER/ON_DELIVERY matching "pay directly when placing order or after delivery"), ShipmentStatus (PACKED/SHIPPED/RECEIVED/MISSING/DAMAGED matching "packed, shipped, received" and missing/damaged). Model 2 uses PaymentMethod (DIRECT/POST_DELIVERY), ShippingStatus (NOT_SHIPPED/PARTIALLY_SHIPPED/FULLY_SHIPPED) and DeliveryStatus consistently with context, but the parallel Shipment vs Delivery terminology is not grounded in the requirement text and blurs the single "shipment" concept the requirement describes.
5. Adherence of UML class diagram standards: Model 1 = 5, Model 2 = 5; Evidence: Both use valid PlantUML syntax with classes, enums, labeled associations and multiplicities; Model 2 uses unidirectional arrows with trailing 'opposite comments (ignored per rules). No notation violations in either.
Total: Model 1 = 24, Model 2 = 18
Choice: A
Reason:
1. Appropriate conceptual classes: Model 1's ShipmentLine cleanly captures the STEP 4 requirement of grouping order lines shipped together, while Model 2's overlapping Shipment/Delivery classes with duplicate status enums create redundancy and ambiguity.
2. Associations/Multiplicities: Model 1's Shipment-ShipmentLine-OrderLine chain coherently models grouped line shipping; Model 2's Shipment, Delivery, and OrderLine are linked in a tangled triple relationship that makes the grouping semantics unclear.
3. Attributes: Model 1 includes shippedQuantity on OrderLine (essential for STEP 2 partial-shipping tracking) which Model 2 omits entirely.
4. Terminology: Model 1's terms map directly to requirement language (headOffice, deliveryWarehouses, PaymentTiming, ShipmentStatus with PACKED/SHIPPED/RECEIVED/MISSING/DAMAGED); Model 2's terms are mostly aligned but the Shipment/Delivery split is not justified by the requirement.
5. Rejected/checked issues: Did not penalize Model 2 for PlantUML 'opposite comments or for int/double/boolean aliases (forbidden penalties); did not reward Model 2's extra Company class or trackingNumber/conditionNotes since they are not required facts. Model 2's ShippingStatus on Order (fully-shipped marking) is a genuine strength but insufficient to offset the structural weaknesses.
6. Overall judgment: Model 1 is better — it covers all four steps with a coherent, well-typed model (grouped shipments via ShipmentLine, per-line shippedQuantity, dual address handling, payment timing, shipment lifecycle including missing/damaged), whereas Model 2's redundant Shipment/Delivery design and missing shippedQuantity undermine core STEP 2 and STEP 4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</si>
  <si>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</si>
  <si>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domain class coverage: Model 1 = 5, Model 2 = 5; Evidence: Both define Customer, Address, Product, Order, OrderLine, Invoice, Shipment (and shipment-grouping helper: ShipmentLine in M1, direct Shipment→OrderLine grouping in M2). All essentials of the four steps are represented.
2. STEP 1 (stock, registration, order lines, pay/ship recording, stock adjustment): Model 1 = 3, Model 2 = 4; Evidence: M1 Customer has vatNumber + headOffice Address; Product.currentStock; OrderLine.orderedQuantity; PaymentStatus PAID/UNPAID but no paidDate and no order-level shipped date; no stock-adjustment operation. M2 Customer.vatNumber + headOfficeAddress; Product.currentStock + adjustStock(); Order.paidDate; OrderLine.quantity; markPaid(). M2 better records *when* paid and supports end-of-day stock adjustment.
3. STEP 2 (line-by-line shipping, partial-shipment tracking, fully-shipped marking): Model 1 = 3, Model 2 = 4; Evidence: M1 tracks per-line shipping via OrderLine.shippedQuantity and ShipmentLine→OrderLine, but no explicit fully-shipped flag on Order. M2 has OrderStatus PARTIALLY_SHIPPED / FULLY_SHIPPED plus markFullyShipped(); Shipment groups OrderLines. M2 explicitly marks fully-shipped orders as required.
4. STEP 3 (head office + delivery addresses, warehouses, invoices, payment-timing choice, paid in full): Model 1 = 4, Model 2 = 3; Evidence: M1 has PaymentTiming {ON_ORDER, ON_DELIVERY} enum directly modelling the customer's choice, Customer headOffice (1..1) and deliveryWarehouses (0..*) Addresses, Invoice with isPaid. M2 has explicit Warehouse class with address and Customer *-- Warehouse, Order delivers to Warehouse, rich Invoice (issueDate/paidDate/sendToCustomer) but no attribute/enum capturing the "pay on order vs after delivery" choice; OrderStatus only has PAID. M1 better captures the payment-timing choice required by STEP 3.
5. STEP 4 (group shipments, packed/shipped/received status, missing/damaged, partial deliveries): Model 1 = 5, Model 2 = 3; Evidence: M1 ShipmentStatus = {PACKED, SHIPPED, RECEIVED, MISSING, DAMAGED} fully covers the requirement that some deliveries are missing or damaged; Shipment contains 1..* ShipmentLine each referring to an OrderLine, supporting grouping of order lines shipped together and partial deliveries. M2 Shipment groups OrderLine (good grouping) and tracks shipmentDate/receivedDate and PACKED/SHIPPED/RECEIVED, but ShipmentStatus omits MISSING and DAMAGED entirely — a direct miss of a stated STEP 4 requirement.
6. Relationships, cardinalities, composition/aggregation correctness: Model 1 = 4, Model 2 = 4; Evidence: M1 uses plain associations with sensible multiplicities (Customer 1--0..* Order; Order 1--1..* OrderLine; Shipment 1--1..* ShipmentLine; ShipmentLine 0..*--1 OrderLine). M2 uses composition for owned parts (Order *-- OrderLine/Invoice/Shipment, Customer *-- Warehouse/Order) and aggregation for Shipment o-- OrderLine. Both are semantically defensible; M2's Order 1--1 Warehouse delivers-to links delivery address to a customer-owned warehouse, slightly tighter than M1's Order 1--1 Address deliveredTo (not constrained to the customer's delivery addresses).
7. Avoidance of unsupported additions/hallucination: Model 1 = 4, Model 2 = 4; Evidence: M1 adds PaymentTiming/ShipmentStatus enums and ShipmentLine — all traceable to requirement facts (payment choice, missing/damaged, line grouping). M2 adds customerId/orderId/invoiceNumber/trackingNumber/unitPrice/price/description and methods (register, placeOrder, pack, ship, markReceived) that are implementation detail not stated by the requirement; per guidelines these are neither rewarded nor penalised. Neither model contradicts the requirement.
Total: Model 1 = 28, Model 2 = 27
Choice: A
Reason:
1. STEP 4 coverage: M1's ShipmentStatus explicitly includes MISSING and DAMAGED, matching the requirement that customers reported missing/damaged deliveries and the system must track each delivery's status. M2's ShipmentStatus (PACKED/SHIPPED/RECEIVED) omits both, a clear functional gap.
2. STEP 3 payment timing: M1 models the customer's choice (pay on order vs after delivery) via the PaymentTiming enum; M2 only has a paidDate and a PAID status, not the choice itself.
3. Where M2 is stronger (dates, explicit Warehouse, fully-shipped marking, stock-adjustment method) these are partly presentation/implementation detail (dates/methods) or single-step strengths that do not outweigh M1's coverage of two explicit requirement facts (missing/damaged status and payment-timing choice).
4. Rejected/checked issues: I did not penalise M2 for extra identifiers/methods (trackingNumber, adjustStock, etc.) or for using composition/aggregation vs plain associations, nor M1 for using plain associations or for ShipmentLine as an intermediate class — all allowed under the forbidden-penalty rules. I also did not count M2's lack of an abstract superclass or M1's lack of methods as evidence.
5. Overall judgment: The two models are close (28 vs 27), but M1 satisfies two hard, explicitly stated requirements that M2 misses (missing/damaged delivery status; payment-timing choice), while M2's advantages are largely about dates/methods/Warehouse naming. On requirement faithfulness, M1 is marginally better, so A.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</si>
  <si>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</si>
  <si>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uses pure associations for addressing (Customer "1" -- "1" Address : headOffice; Customer "1" -- "0..*" Address : deliveryWarehouses) with no duplicated state, and ShipmentLine is a cohesive intermediary that decouples Shipment from OrderLine quantity tracking. Model 2 introduces a Warehouse class (good cohesion) and behavior methods, but redundantly models the head office both as an attribute (`headOfficeAddress : Address`) AND as an association (`Customer "1" -- "1" Address : head office &gt;`), a duplication that hurts decoupling. Model 1 also keeps Address as a standalone concept rather than embedding it.
2. Complexity: Model 1 = 4, Model 2 = 4; Evidence: Both have ~8 conceptual classes plus 2-3 enums, no inheritance trees, and balanced attribute counts. Model 1 adds ShipmentLine (justified by STEP 4 group-of-lines shipping with per-line shipped quantity). Model 2 adds Warehouse and identifiers/methods but stays within reasonable bounds; neither over- nor under-engineers relative to the 4-step requirement.
3. Practicability: Model 1 = 4, Model 2 = 3; Evidence: Model 1 covers the critical evolving requirements: PaymentTiming enum (ON_ORDER/ON_DELIVERY) for STEP 3 pay timing; ShipmentStatus including MISSING and DAMAGED for STEP 4 delivery problems; OrderLine.shippedQuantity and ShipmentLine.shippedQuantity for partial line shipping (STEP 2/4); Customer 1--0..* delivery addresses (STEP 3). Model 2 has strong lifecycle modeling (OrderStatus PLACED/PAID/PARTIALLY_SHIPPED/FULLY_SHIPPED, Order.paidDate, markFullyShipped()) and a Warehouse class, BUT its ShipmentStatus only has PACKED/SHIPPED/RECEIVED — omitting the explicitly required MISSING/DAMAGED states (STEP 4) — and it has no PaymentTiming equivalent, so the STEP 3 choice "pay on order OR after delivery" is not representable. Model 2 also lacks any shippedQuantity on OrderLine, weakening partial-shipping tracking. Model 1's main practicable gap is no explicit paidDate / order-level fully-shipped mark, but these are derivable; Model 2's gaps are missing hard requirement facts.
Total: Model 1 = 12, Model 2 = 11
Choice: A
Reason:
1. Cohesion and Decoupling: Model 1 is cleaner — it avoids Model 2's redundant headOfficeAddress (attribute + association) and uses a ShipmentLine intermediary that cleanly decouples shipment grouping from order-line semantics. Model 2's Warehouse class is a plus but does not offset the duplication.
2. Practicability: Model 1 provides better requirement coverage across the iterative steps. It is the only model that represents the STEP 3 payment-timing choice (PaymentTiming enum) and the STEP 4 missing/damaged delivery states (MISSING, DAMAGED in ShipmentStatus), plus per-line shippedQuantity for partial shipping. Model 2 has a clearer order lifecycle (OrderStatus, paidDate, markFullyShipped) but fails to model two explicit late-step requirement facts (missing/damaged statuses; payment timing choice), which are more consequential than Model 1's derivable omissions.
3. Rejected/checked issues: I did NOT penalize Model 2 for using `*` instead of `0..*`, lowercase types, or PlantUML comments; nor Model 1 for lacking methods/visibility markers (presentation-only). I did not reward Model 2's extra identifiers/trackingNumber as they are not tied to a stated requirement fact. I did not penalize either model for opposite-direction vs bidirectional association styles. The redundant `headOfficeAddress` in Model 2 was counted because it is a semantic duplication (attribute + association for the same fact), not a presentation difference.
4. Overall judgment: Model 1 is better. It covers more explicit requirement facts from the later, more evolved steps (STEP 3 payment timing, STEP 4 missing/damaged statuses, partial line quantities), with cleaner decoupling. Model 2's lifecycle modeling and Warehouse class are commendable, but the absence of MISSING/DAMAGED statuses and the payment-timing choice — both hard requirements in STEP 3/STEP 4 — make it less faithful to the final requirement state.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</si>
  <si>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</si>
  <si>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Both models cover the core concepts (Customer, Address, Product, Order, OrderLine, Invoice, Shipment). Model 1 models delivery locations as `Customer "1" -- "0..*" Address : deliveryWarehouses` and uses a `ShipmentLine` class to group order lines into shipments (aligns with STEP 4 "group of order lines shipped together"). Model 2 explicitly introduces a `Warehouse` class (`Customer "1" *-- "0..*" Warehouse : operates`, `Warehouse "1" -- "1" Address`) which matches the STEP 3 wording "several warehouses," and links `Order "1" -- "1" Warehouse : delivers to`. Model 2's explicit Warehouse concept is a closer domain match; Model 1's address-only representation is acceptable but less precise.
2. Associations/Multiplicities between classes for domain reasoning: Model 1 = 4, Model 2 = 4; Evidence: Model 1 captures head office (1--1), delivery warehouses (1--0..*), Order--OrderLine (1--1..*), Order--Shipment (1--0..* for partial shipments), and `ShipmentLine "0..*" -- "1" OrderLine` grouping. However `Order "1" -- "0..1" Invoice` is weak given STEP 3 says invoices are sent for orders (implies 1 per order). Model 2 uses `Order "1" *-- "1" Invoice` (always one invoice, correct), `Order "1" *-- "0..*" Shipment`, and `Shipment "1" o-- "1..*" OrderLine : groups` (clean grouping for STEP 4). Both have minor issues; Model 2's Invoice multiplicity is more correct, but Model 1's ShipmentLine gives cleaner traceability. Roughly balanced.
3. Model attributes with appropriate data types: Model 1 = 3, Model 2 = 4; Evidence: Model 1 has `PaymentTiming` (ON_ORDER/ON_DELIVERY) and `PaymentStatus` enums (good for STEP 3 payment options), `ShipmentStatus {PACKED, SHIPPED, RECEIVED, MISSING, DAMAGED}` (covers STEP 4 missing/damaged), and `OrderLine.shippedQuantity`. But it lacks any paid-date attribute — STEP 1 requires "record when orders are paid for and shipped"; only `paymentStatus` (PAID) and `Shipment.shipmentDate` are present, no paid timestamp. Model 2 has `Order.paidDate`, `Shipment.shipmentDate`/`receivedDate`, `Invoice.issueDate`/`paidDate` (covers when-paid and when-shipped/received), but its `ShipmentStatus {PACKED, SHIPPED, RECEIVED}` omits MISSING and DAMAGED — a direct STEP 4 requirement miss. Both have a real gap; Model 2's broader date coverage edges ahead, while Model 1 better covers delivery problem statuses. Net Model 2 slightly stronger.
4. Consistencies of Terminology with given context: Model 1 = 4, Model 2 = 4; Evidence: Model 1 uses "headOffice," "deliveryWarehouses," "deliveredTo," "fulfilledBy," "refersTo," "orderedQuantity"/"shippedQuantity" — all aligned with requirement terms. Model 2 uses "head office," "operates," "located at," "delivers to," "generates," "contains," "refers to," "ships," "groups" — also aligned, and explicitly uses "Warehouse." Both consistent; minor differences only.
5. Adherence of UML class diagram standards: Model 1 = 5, Model 2 = 5; Evidence: Model 1 uses enums, classes, labeled associations with multiplicities — valid PlantUML/UML. Model 2 additionally uses composition (`*--`) and aggregation (`o--`) with role labels and arrow directions — also valid. Minor redundancy in Model 2 (`headOfficeAddress : Address` attribute plus `Customer "1" -- "1" Address : head office` association) is not a syntax violation. Both fully adhere.
Total: Model 1 = 20, Model 2 = 22
Choice: B
Reason:
1. Conceptual classes: Model 2's explicit `Warehouse` class and `Order--Warehouse : delivers to` link the delivery-destination concept more directly to the STEP 3 "warehouses for different locations" wording, whereas Model 1 only uses Address with a role label. Model 1's `ShipmentLine` is a sound refinement for STEP 4 grouping, but Model 2's `Shipment o-- OrderLine : groups` is equally valid.
2. Associations: Model 2's `Order "1" *-- "1" Invoice` correctly enforces one invoice per order, while Model 1's `0..1` under-constrains a stated STEP 3 fact. Both model partial shipments via `Order "1" -- "0..*" Shipment` correctly.
3. Attributes: Model 2 better satisfies STEP 1's "record when orders are paid for and shipped" via `Order.paidDate`, `Shipment.shipmentDate`, `Shipment.receivedDate`, and `Invoice.paidDate`. Model 1 omits any paid timestamp. However Model 1's `ShipmentStatus` includes MISSING/DAMAGED (STEP 4) which Model 2 lacks — this is a real omission in Model 2, but its broader date coverage still gives it a slight edge.
4. Terminology: Both consistent; no meaningful difference.
5. UML standards: Both valid; no deductions.
Rejected or checked issues: I did not penalize Model 2 for its extra operations (`register()`, `placeOrder()`, `pack()`, etc.) or identifiers (`customerId`, `trackingNumber`) since these are implementation-oriented detail not rewarded per guidelines. I did not penalize Model 1 for using two separate Customer--Address associations instead of a bidirectional line (forbidden). I did not reward either model for abstractness or primitive type aliases.
Overall judgment: Model 2 wins narrowly. Its explicit Warehouse class, correct 1--1 Invoice multiplicity, and presence of paid/shipped/received dates satisfy more stated requirement facts (STEP 1 recording, STEP 3 invoicing, STEP 3 delivery addresses). Its main weakness — missing MISSING/DAMAGED on ShipmentStatus — is offset by Model 1's own gap (no paid date). The net domain coverage favors Model 2 by a small margin.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</si>
  <si>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</si>
  <si>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STEP 1 coverage (customer/product/order/orderline, stock, payment-in-full, record when paid &amp; shipped): Model 1 = 3, Model 2 = 5; Evidence: Model 1 has Customer.vatNumber, Product.currentStock, Order.paymentStatus, OrderLine.quantityOrdered→Product, and Shipment.shipmentDate, but NO paidDate anywhere (only Invoice.issueDate) — "record when orders are paid for" is not captured. Model 2 has Order.paidDate, Order.orderDate, Shipment.shipmentDate, Product.currentStock+adjustStock(), OrderLine.quantity→Product, Customer.vatNumber — explicitly records both when paid and when shipped.
2. STEP 2 coverage (exclusive products, line-by-line delivery, partially shipped orders, to-be-shipped list, fully-shipped mark): Model 1 = 4, Model 2 = 4; Evidence: Model 1 has ShippingStatus.PARTIALLY_SHIPPED/FULLY_SHIPPED and Shipment--&gt;OrderLine (ships) enabling per-line shipment tracking. Model 2 has OrderStatus.PARTIALLY_SHIPPED/FULLY_SHIPPED and Shipment o--1..* OrderLine (groups) enabling per-line tracking. Both adequate.
3. STEP 3 coverage (head office address + delivery addresses, invoices, pay directly or after delivery, paid in full): Model 1 = 4, Model 2 = 3; Evidence: Model 1 has Customer headOfficeAddress 1 + hasWarehouses * DeliveryAddress, Order deliveredTo 1 DeliveryAddress, Invoice class, and PaymentMethod enum (DIRECT, POST_DELIVERY) explicitly modeling the payment-choice requirement (though DeliveryAddress is reused for head office, semantically weak). Model 2 has a cleaner Customer headOfficeAddress 1 Address + Customer *-- Warehouse + Warehouse address + Order delivers to 1 Warehouse + Invoice, but NO payment-method/choice enum — the "pay directly when placing order, or after delivery" requirement is not captured.
4. STEP 4 coverage (group shipments not line-by-line, delivery status packed/shipped/received, missing/damaged deliveries): Model 1 = 5, Model 2 = 3; Evidence: Model 1 has Shipment 1--* OrderLine (groups), ShipmentStatus PACKED/SHIPPED/RECEIVED, plus a Delivery class with DeliveryStatus PACKED/SHIPPED/RECEIVED/DAMAGED/MISSING — explicitly covers "some deliveries are missing or damaged" and "status of each delivery." Model 2 has Shipment o--1..* OrderLine (groups) and ShipmentStatus PACKED/SHIPPED/RECEIVED with pack()/ship()/markReceived(), but NO DAMAGED or MISSING status — the missing/damaged delivery tracking required in STEP 4 is entirely omitted.
5. Class &amp; relationship semantics accuracy / no hallucinations or additions (cardinalities, aggregation/composition, conceptual fidelity): Model 1 = 3, Model 2 = 4; Evidence: Model 1 introduces a Company class not required by the scenario ("your company" is the seller perspective, not a tracked entity), reuses DeliveryAddress for both head office and warehouses, and has redundant Shipment+Delivery classes both tracking packed/shipped/received status. Model 2 has a cleaner, non-redundant Address/Warehouse/Customer/Order/OrderLine/Invoice/Shipment structure with sensible composition; minor concern: Customer*--Warehouse composition is debatable (warehouses aren't lifecycle-owned by customers) and Order--1 Warehouse fixes one delivery address per order, but no outright hallucination.
Total: Model 1 = 19, Model 2 = 19
Choice: A
Reason:
1. STEP 1: Model 2 is clearly stronger — it records Order.paidDate (when paid) and Shipment.shipmentDate (when shipped), while Model 1 lacks any paid-date attribute despite the requirement to "record when orders are paid for and shipped."
2. STEP 2: Roughly equal; both model partial/full shipment states and per-order-line shipment links.
3. STEP 3: Model 1 edges out — its PaymentMethod enum (DIRECT/POST_DELIVERY) directly captures the STEP 3 requirement that customers may pay directly or after delivery, whereas Model 2 omits this choice entirely. Model 2 has a cleaner Address/Warehouse separation, but loses the explicit payment-option functionality.
4. STEP 4: Model 1 is clearly stronger — its DeliveryStatus includes DAMAGED and MISSING, directly addressing "some deliveries are missing or damaged" and "status of each delivery," plus Shipment groups OrderLine for group shipments. Model 2 groups order lines correctly but has no missing/damaged status, missing an explicit STEP 4 functionality.
5. Rejected or checked issues: I did not penalize Model 1 for PlantUML `'opposite` comments, for using `int`/`String`/`double`, or for using unidirectional opposite pairs instead of bidirectional lines (all forbidden penalties). I did not reward Model 2's extra methods (register(), placeOrder(), adjustStock(), pack(), etc.) or extra attributes (productId, description, price, unitPrice) since they don't improve coverage of a stated requirement fact; they were treated neutrally. Model 1's Company class and Shipment/Delivery redundancy were treated as mild additions under the no-hallucination criterion only.
Overall judgment: The totals are equal (19 each), but per the criterion priority on "achieving all the functionalities based on the requirements," Model 1 covers two explicit functionalities that Model 2 omits entirely — the payment-method choice (STEP 3) and the missing/damaged delivery status (STEP 4). Model 2's advantages (cleaner Address/Warehouse model and the paidDate attribute) are real but smaller in requirement-coverage terms, and Model 1's redundant Delivery/Shipment and Company additions are mild design smells rather than functional gaps. Because missing an explicitly required functionality (missing/damaged tracking; payment-choice) is more severe than a mild extra class and redundancy, Model 1 is the slightly better model. The difference is small; this could reasonably be called a near-tie.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</si>
  <si>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</si>
  <si>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splits the shipping concept into both `Shipment` and `Delivery` with two overlapping enums (`ShipmentStatus` and `DeliveryStatus` both listing PACKED/SHIPPED/RECEIVED), and gives overlapping links to OrderLine (`Shipment "1" --&gt; "*" OrderLine : ships` AND `Delivery "*" --&gt; "*" OrderLine : deliversTo`). This duplicates responsibility and raises coupling between Shipment/Delivery/OrderLine. Model 2 keeps a single `Shipment` class that groups OrderLine via `Shipment "1" o-- "1..*" OrderLine : groups`, reuses one `Address` class for both `Customer head office` and `Warehouse located at`, and has a single `ShipmentStatus` enum, giving higher cohesion and lower coupling.
2. Complexity: Model 1 = 3, Model 2 = 4; Evidence: Model 1 has 9 classes plus 5 enums (Company, Customer, DeliveryAddress, Product, Order, OrderLine, Invoice, Shipment, Delivery + PaymentStatus/ShippingStatus/DeliveryStatus/ShipmentStatus/PaymentMethod). The Shipment/Delivery duplication and the parallel ShipmentStatus/DeliveryStatus enums add complexity not justified by distinct concepts. Model 2 has 8 classes plus 2 enums and an `Address` value class, with methods kept minimal (adjustStock, markPaid, markFullyShipped, pack/ship/markReceived, sendToCustomer), giving a better-balanced complexity for the scope.
3. Practicability: Model 1 = 3, Model 2 = 3; Evidence: Model 1 covers more STEP 4 facts — `DeliveryStatus` includes DAMAGED and MISSING, and `PaymentMethod {DIRECT, POST_DELIVERY}` models the STEP 3 pay-now/pay-after choice — but its tangled Shipment↔Delivery↔OrderLine graph and missing paid/shipped date attributes on Order hurt readability/testability; the requirement to "record when orders are paid for and shipped" is only indirectly present (Invoice.issueDate, Shipment.shipmentDate, no Order.paidDate). Model 2 is cleaner and testable (explicit `Order.paidDate`, `Invoice.paidDate`, `Shipment.receivedDate`, methods markPaid/markFullyShipped/pack/ship/markReceived) and links `Order "1" -- "1" Warehouse : delivers to` for the multi-warehouse STEP 3 need, but it omits the missing/damaged delivery status entirely (`ShipmentStatus` only has PACKED/SHIPPED/RECEIVED) and does not model the pay-direct-vs-after-delivery choice. Each is partially practical with a notable gap, so they tie on this criterion.
Total: Model 1 = 8, Model 2 = 11
Choice: B
Reason:
1. Cohesion and Decoupling: Model 2's single Shipment grouping OrderLine and one shared Address class give clearer single-responsibility classes; Model 1's parallel Shipment/Delivery classes and duplicate PACKED/SHIPPED/RECEIVED enums blur responsibility and increase coupling.
2. Complexity: Model 2 achieves comparable requirement coverage with fewer, better-justified classes and one shipping enum; Model 1's extra Delivery class and redundant enum set inflate complexity without adding distinct semantics.
3. Rejected or checked issues: I did NOT penalize Model 1 for using two opposite unidirectional associations, for `'opposite` comments, or for `int`/`double` primitives (all forbidden). I did NOT reward Model 2 merely for being shorter — its simpler structure is credited only because it removes genuine semantic duplication. I also did not penalize either model for not marking a superclass abstract (none applies). The tempting "Model 1 has more enums so it is more complete" argument was checked: the extra enums partly duplicate each other rather than covering distinct requirement facts, except DeliveryStatus's DAMAGED/MISSING which genuinely adds STEP 4 coverage and is credited under Practicability.
4. Overall judgment: Model 2 wins primarily on cohesion/decoupling and balanced complexity. Its main weakness (missing DAMAGED/MISSING delivery status and no pay-now/pay-later method) is real but confined to Practicability, where Model 1's corresponding tangle and missing Order payment/shipping dates keep it from pulling ahead. On balance Model 2 is the stronger, more maintainable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</si>
  <si>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</si>
  <si>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3; Evidence: Model 1 includes a `Delivery` class with a `DeliveryStatus` enum containing DAMAGED/MISSING (STEP 4 core need) plus `PaymentMethod` enum (DIRECT/POST_DELIVERY, STEP 3) and `Invoice`; it lacks a dedicated Warehouse class but models addresses via `DeliveryAddress`. Model 2 has `Warehouse`, `Address`, `Invoice`, `Shipment` but has no `Delivery`/delivery-status concept and its `ShipmentStatus` (PACKED/SHIPPED/RECEIVED) omits DAMAGED/MISSING, which STEP 4 explicitly demands; it also lacks a payment-method concept for STEP 3.
2. Associations/Multiplicities between classes for domain reasoning: Model 1 = 3, Model 2 = 4; Evidence: Model 1 has a confusing triangle — `Shipment "1" --&gt; "*" OrderLine : ships`, `Delivery "*" --&gt; "*" OrderLine : deliversTo`, and `Shipment "1" --&gt; "*" Delivery` — overlapping semantics for which order lines are shipped/delivered; it also has two `Customer→DeliveryAddress` associations (headOfficeAddress 1..1 and hasWarehouses 1..*). Model 2 uses clean composition/aggregation: `Customer *-- Warehouse`, `Order *-- OrderLine`, `Order *-- Shipment`, `Shipment o-- OrderLine : groups` (matches STEP 4 "group of order lines shipped together"), with sensible multiplicities.
3. Model attributes with appropriate data types: Model 1 = 3, Model 2 = 4; Evidence: Model 1 has `paymentStatus`, `paymentMethod`, `shippingStatus`, `quantityOrdered`, `currentStock`, `trackingNumber`, `shipmentDate`, `deliveryDate`, `conditionNotes`, but no `paidDate` anywhere — STEP 1 explicitly requires recording "when orders are paid for". Model 2 has `Order.paidDate`, `Invoice.paidDate`, structured `Address` fields, `Product.price`, `OrderLine.unitPrice`, `Shipment.receivedDate`; however it lacks a payment-method attribute and delivery damaged/missing status fields.
4. Consistencies of Terminology with given context: Model 1 = 4, Model 2 = 4; Evidence: Both use domain-faithful terms — `Customer`, `VAT number`, `Order`, `OrderLine`, `Invoice`, `Shipment`, `currentStock`, `quantity`. Model 2 uses `Warehouse` directly matching STEP 3 wording; Model 1 uses `DeliveryAddress`/`hasWarehouses` which is synonymous. Minor: Model 1's `Company` is not in the requirement text but is not contradictory.
5. Adherence of UML class diagram standards: Model 1 = 4, Model 2 = 4; Evidence: Both use valid PlantUML with classes, enums, associations and multiplicities. Model 1 relies on unidirectional `--&gt;` lines with role labels; Model 2 uses composition (`*--`) and aggregation (`o--`) appropriately. Minor notation differences only; both are readable and conformant.
Total: Model 1 = 18, Model 2 = 19
Choice: C
Reason:
1. Appropriate conceptual classes: Model 1 better covers the later iterative requirements — it models delivery status including DAMAGED/MISSING (STEP 4) and payment method (STEP 3), whereas Model 2 omits both, leaving STEP 4's damage/missing tracking unaddressed. Model 2 counters with a dedicated `Warehouse` class and structured `Address`.
2. Associations/Multiplicities: Model 2 is cleaner and uses composition/aggregation with clear multiplicities (e.g., `Shipment o-- 1..* OrderLine : groups` directly reflects STEP 4 grouping). Model 1's Shipment/Delivery/OrderLine triangle is semantically overlapping and harder to reason about.
3. Model attributes: Model 2 wins via `paidDate` (explicit STEP 1 requirement), structured address fields, and price/unitPrice; Model 1 misses any paid-date attribute despite STEP 1 requiring it, though it adds paymentMethod and delivery conditionNotes.
4. Rejected/checked issues: I did NOT penalize Model 1 for using `int`/`double`, for two opposite-direction associations, or for `'opposite` comments (forbidden penalties). I did NOT reward Model 2's extra methods (`register()`, `placeOrder()`) or generated IDs as implementation detail beyond requirement coverage.
5. Overall judgment: The models have complementary, nearly balanced strengths — Model 1 covers more of the evolving STEP 3/4 domain rules (payment method, damaged/missing delivery) while Model 2 is structurally cleaner and captures paidDate and Warehouse. Totals differ by one point (18 vs 19), and the meaningful quality difference is small, so a Tie is the fairest outcome.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</si>
  <si>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</si>
  <si>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coverage &amp; naming: Model 1 = 4, Model 2 = 5; Evidence: Both cover Customer (vatNumber), Product (name/currentStock), Order, OrderLine, Invoice, Shipment. Model 1 adds a `Company` class (not in requirement) and a separate `Delivery` class that duplicates `Shipment` semantics. Model 2 introduces `ShipmentLine` (a meaningful join for "group of order lines shipped together") and an `Address` class; it has no extraneous `Company`.
2. Associations, cardinalities &amp; relationship types: Model 1 = 3, Model 2 = 4; Evidence: Model 1 uses `Order 1--&gt;1 Invoice` (correctly one per order) but creates a confusing triangulation: `Shipment 1--&gt;* OrderLine : ships` AND `Delivery *--&gt;* OrderLine : deliversTo` AND `Shipment 1--&gt;* Delivery`, with no per-line shipped quantity. Model 2 uses `Shipment 1--1..* ShipmentLine` and `ShipmentLine 0..*--1 OrderLine`, cleanly modeling partial group shipments with `shippedQuantity`; however `Order 1--0..1 Invoice` is too loose (STEP 3 implies every order gets an invoice) and lacks a direct Invoice→Customer link.
3. Functional coverage of STEP 1–4 (partial shipping, warehouses/head office, invoices &amp; payment timing, shipment grouping, delivery status): Model 1 = 4, Model 2 = 5; Evidence: Both cover head office vs delivery addresses (`Customer 1--&gt;1 headOfficeAddress` / `1--&gt;* hasWarehouses` in M1; `Customer 1--1 headOffice` / `1--0..* deliveryWarehouses` in M2), payment timing (`PaymentMethod DIRECT/POST_DELIVERY` vs `PaymentTiming ON_ORDER/ON_DELIVERY`), and partial-shipping status. Model 2 better captures STEP 4's group-based shipment with `ShipmentLine.shippedQuantity` and consolidates packed/shipped/received/missing/damaged into one `ShipmentStatus`; Model 1 splits status across `ShipmentStatus` and `DeliveryStatus` (redundant PACKED/SHIPPED/RECEIVED in both) and does not record per-line shipped quantity.
4. Avoiding hallucinations / additions beyond requirement: Model 1 = 3, Model 2 = 4; Evidence: Model 1 adds `Company` (with `name`), a parallel `Delivery` class, and two overlapping status enums; `Delivery *--&gt;* OrderLine` (many-to-many) is not justified by the requirement. Model 2's main addition is `OrderLine.shippedQuantity` (a STEP 2 leftover now redundant with `ShipmentLine.shippedQuantity`) and detailed `Address` attributes (street/city/postalCode) — acceptable as optional attributes. Model 2 is leaner and more traceable to the requirement.
Total: Model 1 = 14, Model 2 = 18
Choice: B
Reason:
1. Conceptual classes &amp; naming: Model 2 is leaner (no unjustified `Company`/`Delivery`) and adds the traceable `ShipmentLine` needed for STEP 4 group shipments; Model 1's `Delivery`/`Shipment` duplication is not required.
2. Associations &amp; cardinalities: Model 2's `Shipment-ShipmentLine-OrderLine` structure cleanly captures "group of order lines shipped together" with per-line quantities, whereas Model 1 links `Shipment` to `OrderLine` directly without quantity and adds an unexplained `Delivery *--&gt;* OrderLine`. Model 2's weakness is `Order 1--0..1 Invoice` (should be 1 per STEP 3) and no direct Invoice→Customer link, but it is less severe than Model 1's redundant triangulation.
3. Functional coverage: Both cover addresses, invoices, payment timing, and partial-shipping status; Model 2 consolidates shipment/delivery status into one enum and records shipped quantities per group, better satisfying STEP 4.
4. Rejected/checked issues: I did NOT penalize Model 1 for using two opposite unidirectional associations with `'opposite` comments, for `int`/`double` primitive aliases, or for not marking classes abstract — all forbidden penalties. I did NOT reward Model 2 merely for being shorter; the `ShipmentLine` refinement was credited only because it improves coverage of the stated STEP 4 grouping requirement. I also did not heavily penalize Model 2's `OrderLine.shippedQuantity` redundancy since it does not contradict the requirement.
4. Overall judgment: Model 2 better aligns with the evolved (STEP 4) requirement by modeling shipment groups via `ShipmentLine` with per-line shipped quantities and a single consolidated `ShipmentStatus`, while introducing fewer unsupported classes. Model 1's `Company`, parallel `Delivery`, dual status enums, and the `Delivery *--&gt;* OrderLine` many-to-many constitute more significant deviations without requirement support. Therefore Model 2 (Response 2)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</si>
  <si>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</si>
  <si>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introduces a `Company` class not required by the domain, and splits the delivery-tracking concept across two classes — `Shipment` (ships OrderLine) and `Delivery` (deliversTo OrderLine) — with overlapping responsibilities, plus redundant status enums (`ShipmentStatus` PACKED/SHIPPED/RECEIVED vs `DeliveryStatus` PACKED/SHIPPED/RECEIVED/DAMAGED/MISSING). It also links `Invoice` to both `Order` (hasInvoice) and `Customer` (issuedTo), creating a redundant navigability path. Model 2 uses a single `ShipmentLine` class to mediate between `Shipment` and `OrderLine`, cleanly decoupling the shipment-grouping concern (Step 4) from order-line storage, reuses one `Address` class for both headOffice and deliveryWarehouses, and consolidates all shipment lifecycle states (PACKED/SHIPPED/RECEIVED/MISSING/DAMAGED) into one `ShipmentStatus` enum.
2. Complexity: Model 1 = 3, Model 2 = 4; Evidence: Model 1 has 9 classes + 5 enums (14 elements); the `Delivery`/`Shipment` duplication and dual overlapping status enums add complexity without serving distinct requirement facts, and `Company` is an extra concept not derived from the requirement. Model 2 has 7 classes + 3 enums (10 elements); its `ShipmentLine` is a justified intermediate workflow class required for "group of order lines shipped together" (Step 4) and carries `shippedQuantity`, so the added complexity is traceable to a stated need rather than decorative.
3. Practicability: Model 1 = 3, Model 2 = 4; Evidence: Model 1 explicitly covers order-level shipping progress via `ShippingStatus` (NOT_SHIPPED/PARTIALLY_SHIPPED/FULLY_SHIPPED) on `Order` and payment choice via `PaymentMethod` (DIRECT/POST_DELIVERY), which maps well to Steps 2–3, but the parallel `Shipment`/`Delivery` associations to `OrderLine` (Shipment "ships" *--1 OrderLine, Delivery "*--*" OrderLine, Shipment 1--* Delivery) make implementation and testing of "which lines are in which shipment" ambiguous. Model 2 models partial shipment cleanly through `OrderLine.shippedQuantity` and `ShipmentLine.shippedQuantity`, supports `PaymentTiming` (ON_ORDER/ON_DELIVERY) and `PaymentStatus`, and uses `Shipment 1 -- 1..* ShipmentLine` with `ShipmentLine 0..* -- 1 OrderLine` giving a clear, testable grouping structure; however, it lacks an explicit order-level "fully shipped" marking (only derivable by comparing shipped quantities), a minor gap versus the Step 2 "Orders that have been fully shipped will also be marked" statement.
Total: Model 1 = 9, Model 2 = 12
Choice: B
Reason:
1. Cohesion and Decoupling: Model 2's `ShipmentLine` intermediary yields higher cohesion (each class has one job) and lower coupling than Model 1's tangled `Shipment`–`Delivery`–`OrderLine` triangle and redundant `Invoice`→`Customer` link.
2. Complexity: Model 2 is leaner (10 vs 14 elements) yet still covers the same requirement steps; its one extra class (`ShipmentLine`) is purpose-driven, whereas Model 1's `Delivery`/`Shipment` split and `Company` class add unjustified complexity.
3. Rejected or checked issues: I did NOT penalize Model 1 for using opposite unidirectional associations with `'opposite` comments, for `int`/`double` primitives, or for `*` multiplicities — these are forbidden penalties. I also did not reward Model 2 merely for being shorter; its `ShipmentLine` was credited only because it maps to the Step 4 "group of order lines shipped together" requirement.
4. Overall judgment: Model 2 is better. It achieves cleaner modularity, a traceable shipment-grouping structure, and consolidated status tracking, while covering Steps 1–4 requirements with appropriate balance. Model 1 covers some facts explicitly (order-level ShippingStatus) but its duplicate Shipment/Delivery design and extra Company class reduce clarity and maintainability.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</si>
  <si>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</si>
  <si>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has Customer, Product, Order, OrderLine, Invoice, Shipment, Delivery, DeliveryAddress plus an unrequired Company class, and redundantly splits Shipment/Delivery with duplicate ShipmentStatus/DeliveryStatus enums (PACKED/SHIPPED/RECEIVED appear in both). Model 2 has a clean, requirement-aligned set (Customer, Address, Product, Order, OrderLine, Invoice, Shipment, ShipmentLine) where ShipmentLine precisely models Step 4's "group of order lines shipped together".
2. Associations/Multiplicities between classes for domain reasoning: Model 1 = 3, Model 2 = 5; Evidence: Model 1 introduces a vague Delivery "*"--"*" OrderLine many-to-many and a redundant Invoice "*"--&gt;1 Customer direct link (invoice is already Order 1--&gt;1 Invoice), plus Shipment 1--&gt;* OrderLine and Shipment 1--&gt;* Delivery whose semantics overlap confusingly. Model 2 models clean, correct links: Order 1--1..* OrderLine, Order 1--0..* Shipment, Shipment 1--1..* ShipmentLine, ShipmentLine 0..*--1 OrderLine, Customer 1--1 Address (headOffice) and 1--0..* Address (deliveryWarehouses), Order 1--1 Address deliveredTo.
3. Model attributes with appropriate data types: Model 1 = 4, Model 2 = 5; Evidence: Model 1 has OrderLine.quantityOrdered:int (no shippedQuantity), Invoice.totalAmount:double, Shipment.trackingNumber/status, Delivery.conditionNotes/status; good but missing partial-shipment quantity tracking at line level and uses double for money. Model 2 adds OrderLine.shippedQuantity:Integer for partial tracking, uses Decimal for totalAmount, and includes ShipmentLine.shippedQuantity and Address fields (street/city/postalCode), covering all stated attributes with proper types.
4. Consistencies of Terminology with given context: Model 1 = 3, Model 2 = 5; Evidence: Model 1 mixes overlapping terms "Shipment"/"Delivery", "ShipmentStatus"/"DeliveryStatus"/"ShippingStatus", and "DeliveryAddress" vs the requirement's "head office address" and "delivery addresses", creating noticeable inconsistency. Model 2 uses terminology directly traceable to the requirement: PaymentTiming (ON_ORDER/ON_DELIVERY matching "pay directly when placing the order, or after delivery"), ShipmentStatus (PACKED/SHIPPED/RECEIVED/MISSING/DAMAGED matching Step 4), ShipmentLine, headOffice, deliveryWarehouses.
5. Adherence of UML class diagram standards: Model 1 = 5, Model 2 = 5; Evidence: Both use valid PlantUML class/enum syntax with properly labeled associations and multiplicities; Model 1's inline 'opposite comments and escaped quotes are ignored per forbidden-penalty rules, and both diagrams remain fully comprehensible.
Total: Model 1 = 19, Model 2 = 25
Choice: B
Reason:
1. Appropriate conceptual classes: Model 2's ShipmentLine cleanly captures Step 4's group-shipment requirement, whereas Model 1's separate Shipment and Delivery classes with duplicate status enums are redundant and semantically overlapping.
2. Associations/Multiplicities: Model 2's Shipment 1--1..* ShipmentLine --0..*--1 OrderLine chain precisely models "groups of order lines shipped together"; Model 1's Delivery "*"--"*" OrderLine many-to-many and extra Invoice--&gt;Customer link are vague or redundant.
3. Attributes: Model 2 adds shippedQuantity on OrderLine/ShipmentLine for partial-delivery tracking and uses Decimal for money; Model 1 lacks line-level shipped quantity and uses double.
4. Terminology: Model 2 maps directly to requirement terms (PaymentTiming ON_ORDER/ON_DELIVERY, ShipmentStatus including MISSING/DAMAGED); Model 1 splits shipment/delivery terminology inconsistently.
5. Rejected/checked issues: I did not penalize Model 1 for the 'opposite comments, double vs Decimal, or the optional Company superclass; I also did not reward Model 2 merely for being shorter — its extra ShipmentLine class is a traceable requirement-driven concept.
6. Overall judgment: Model 2 is better aligned with the iterative requirement (especially Steps 3–4), with cleaner classes, more precise associations, richer requirement-driven attributes, and more consistent terminology, while both adhere equally to UML standards.
```</t>
  </si>
  <si>
    <t>University</t>
  </si>
  <si>
    <t>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</si>
  <si>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</si>
  <si>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coverage: Model 1 = 5, Model 2 = 5; Evidence: Both include University, Faculty, Institute, Employee, AdministrativeStaff, ResearchStaff, Lecturer, Project, Course. M1 adds an explicit ResearchAssistant class and a ProjectInvolvement association class; M2 folds the RA concept into ResearchStaff. All required entities are represented in both.
2. Attributes: Model 1 = 5, Model 2 = 5; Evidence: Both carry totalEmployees, Faculty/Institute name, Institute address, Employee ssn/name/email, fieldOfResearch, Project name/startDate/endDate, hours of involvement, Course id/name/weeklyDurationHours. M1 adds an extra University.name not required, but harmless.
3. Inheritance / generalisation hierarchy: Model 1 = 4, Model 2 = 5; Evidence: M1 uses Employee&lt;|--ResearchStaff, ResearchStaff&lt;|--ResearchAssistant, ResearchAssistant&lt;|--Lecturer, inserting an extra ResearchAssistant layer. M2 uses Employee&lt;|--ResearchStaff, ResearchStaff&lt;|--Lecturer, which directly matches "some RAs teach courses ... referred to as lecturers" (Lecturer IS-A research staff). M2 is cleaner without contradicting the requirement.
4. Associations, cardinalities, composition/aggregation: Model 1 = 5, Model 2 = 4; Evidence: Both model University*--Faculty, Faculty*--Institute (composition), Faculty--&gt;1 Employee (dean), RA--&gt;1..* Institute, RA--&gt;0..* Project with hours, Lecturer--&gt;0..* Course. M1 uses precise literals (1..*, 0..*, *); M2 uses non-standard "many" multiplicities (e.g., University "1" *-- "many" Faculty), which is readable but not strict UML.
5. Faithfulness / no hallucination: Model 1 = 4, Model 2 = 5; Evidence: M1 adds University.name, an explicit University--&gt;Employee association, an extra ResearchAssistant intermediate class, and a ProjectInvolvement class. These are defensible refinements but beyond the stated requirement. M2 is leaner and maps requirement terms directly (hours as an association attribute, fieldOfResearch on ResearchStaff) without extra classes.
Total: Model 1 = 23, Model 2 = 23
Choice: C
Reason:
1. Conceptual classes coverage: Both models cover every required concept (University, Faculty, Institute, Employee, the research/administrative split, Lecturer, Project, Course). M1's extra ResearchAssistant/ProjectInvolvement and M2's use of ResearchStaff as RA are synonymous refinements; neither is missing a required class.
2. Inheritance &amp; associations: M2 has the cleaner hierarchy (Lecturer directly extends ResearchStaff, matching "lecturers are RAs who teach"), while M1 uses stricter UML multiplicity literals and an explicit association class for the hours attribute. M1's extra University-Employee link and M2's non-standard "many" literal are both minor and roughly offset.
3. Rejected/checked issues: I did NOT penalize M1 for using opposite unidirectional associations instead of bidirectional lines, nor for the `'opposite ...` comments, nor for int/String/boolean spelling, nor for * vs 0..*. I did NOT reward M1 for marking extra intermediate classes, and I did NOT reward M2 merely for being shorter.
4. Overall judgment: The meaningful quality difference is small — M2 is cleaner on inheritance and leaner (fewer non-required additions), while M1 is more explicit/standard on multiplicities and association modeling. The strengths and weaknesses balance out,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</si>
  <si>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</si>
  <si>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introduces a dedicated `ProjectInvolvement {hours}` class linking `ResearchAssistant` and `Project`, decoupling the involvement-hours concept from both endpoints; it also separates `ResearchAssistant` (fieldOfResearch) from generic `ResearchStaff`, keeping each class focused. Model 2 inlines the hours as `(hours : int)` on the `ResearchStaff --&gt; Project` association and merges `ResearchStaff`/`ResearchAssistant` into one class, which is cohesive but slightly conflates two distinct domain concepts. Both keep `Employee`/`Faculty`/`Institute` boundaries clean.
2. Complexity: Model 1 = 5, Model 2 = 3; Evidence: Model 1 uses 11 classes with an inheritance chain `Employee -&gt; ResearchStaff -&gt; ResearchAssistant -&gt; Lecturer` that directly mirrors the requirement ("RAs ... some RAs teach courses ... referred to as lecturers"); the `ProjectInvolvement` association class is a traceable workflow concept, not gratuitous. Model 2 drops the `ResearchAssistant` class entirely (treating `ResearchStaff` as RA) and makes `Lecturer` inherit from `ResearchStaff`, flattening the domain hierarchy; it has only 9 classes but loses the explicit RA distinction stated in the requirement.
3. Practicability: Model 1 = 5, Model 2 = 3; Evidence: Model 1 covers every requirement fact: `University.totalEmployees`, `Faculty.name`, `Institute.address`, dean as `Employee` (`Faculty --&gt; 1 Employee : dean`), `Employee` attributes, research/admin split, RA `fieldOfResearch` + `1..* Institute` assignment, project hours via `ProjectInvolvement`, `Lecturer --&gt; 0..* Course`, and `Course {id:int, name, weeklyDurationHours}`. Model 2 covers most facts but (a) lacks a distinct `ResearchAssistant` class named in the requirement, (b) types `Course.id` as `String` while the requirement says "unique number (ID)", and (c) does not model the `University-Employee` employment link (only the `totalEmployees` count) though it still links dean to Employee.
Total: Model 1 = 15, Model 2 = 10
Choice: A
Reason:
1. Cohesion and Decoupling: Model 1 separates `ResearchAssistant` from `ResearchStaff` and isolates involvement-hours in `ProjectInvolvement`, giving higher cohesion per class; Model 2 merges these roles, slightly lowering semantic clarity.
2. Complexity: Model 1's deeper but requirement-justified hierarchy (`ResearchAssistant -&gt; Lecturer`) faithfully reflects "some RAs teach courses ... referred to as lecturers"; Model 2 omits the `ResearchAssistant` level, under-modeling the domain despite being shorter.
3. Rejected or checked issues: I did NOT penalize Model 1 for using two opposite unidirectional associations instead of one bidirectional line, nor for single-quote PlantUML comments, nor for `int`/`double` primitive aliases — all forbidden as negative evidence. I also did not reward Model 1 merely for extra timestamps/statuses; its extra classes are traceable to requirement facts. Model 2's `Course.id : String` was scored as a domain-accuracy issue (requirement: "unique number (ID)"), not a UML-standards issue.
4. Overall judgment: Model 1 provides complete, faithful coverage of all stated requirement facts with a well-structured, requirement-justified class hierarchy and a clean association class for project hours; Model 2 is a reasonable but lossy simplification that drops the explicit `ResearchAssistant` concept and mistypes the course ID. Model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</si>
  <si>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</si>
  <si>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University, Faculty, Institute, Employee, ResearchStaff, AdministrativeStaff, ResearchAssistant (fieldOfResearch), Lecturer, Project, ProjectInvolvement, Course — all aligned with the requirement, and explicitly models the "Research Assistant (RA)" concept named in the text. Model 2 omits a ResearchAssistant class entirely, representing RAs only as ResearchStaff, and reuses ResearchStaff directly for the "RA assigned to institute / field of research / involved in projects" facts; the requirement specifically uses the term "Research assistants (RA)", so the missing concept is a noticeable misalignment.
2. Associations/Multiplicities between classes for domain reasoning: Model 1 = 5, Model 2 = 4; Evidence: Model 1 models University *-- "1..*" Faculty, Faculty *-- "1..*" Institute, Faculty --&gt; "1" Employee (dean), ResearchAssistant --&gt; "1..*" Institute (correct "at least one institute"), RA-Project via ProjectInvolvement "0..*"--"1", Lecturer-Course "0..*"--"*", and University-"*" Employee. Model 2 models University "1" *-- "many" Faculty, Faculty "1" *-- "many" Institute, Faculty "1"--&gt;"1" Employee dean, ResearchStaff "many"--&gt;"1..*" Institute, ResearchStaff "many"--&gt;"0..*" Project (hours), Lecturer "many"--&gt;"0..*" Course, but uses the non-standard literal "many" instead of "*" / "0..*" and lacks an explicit Employee–University association (only totalEmployees attribute). 
3. Model attributes with appropriate data types: Model 1 = 5, Model 2 = 4; Evidence: Model 1 attributes include University.totalEmployees:int, Faculty.name:String, Institute.{name,address}:String, Employee.{socialSecurityNumber,name,email}:String, ResearchAssistant.fieldOfResearch:String, Project.{name:String,startDate:Date,endDate:Date}, Course.{id:int,name:String,weeklyDurationHours:double} — all proper types. Model 2 has the same core attributes but types Course.id as String whereas the requirement says "unique number (ID)" (numeric), a minor type mismatch; weeklyDurationHours:int is acceptable.
4. Consistencies of Terminology with given context: Model 1 = 5, Model 2 = 4; Evidence: Model 1 uses "ResearchAssistant", "Lecturer", "dean", "fieldOfResearch", "ProjectInvolvement", matching requirement terminology. Model 2 uses "ResearchStaff" as the stand-in for "Research assistants (RA)" — the requirement explicitly names RAs and their distinct role (assigned to institute, field of research, project involvement, some teach as lecturers), so collapsing RA into ResearchStaff is a terminology inconsistency.
5. Adherence of UML class diagram standards: Model 1 = 5, Model 2 = 4; Evidence: Model 1 uses valid PlantUML composition (*--), generalisation (&lt;|--) and associations with standard multiplicity literals (1..*, 0..*, 1, *). Model 2 uses "many" as a multiplicity literal on several links (e.g., University "1" *-- "many" Faculty), which is not a valid UML/PlantUML multiplicity token (should be * or 0..*); the rest of the notation is otherwise understandable.
Total: Model 1 = 25, Model 2 = 20
Choice: A
Reason:
1. Appropriate conceptual classes: Model 1 explicitly captures the ResearchAssistant concept named in the requirement and refines it into Lecturer, whereas Model 2 collapses RA into ResearchStaff, losing the named domain concept.
2. Associations/Multiplicities: Model 1 applies correct multiplicities throughout, including the mandatory "1..*" institute assignment for RAs and the dean "1"; Model 2 uses the invalid literal "many" and omits an Employee–University association.
3. Attributes/data types: Both model attributes well, but Model 2 types Course.id as String against the "unique number (ID)" wording; Model 1 uses int.
4. Terminology: Model 1 preserves "ResearchAssistant", "Lecturer", "dean", "fieldOfResearch"; Model 2 substitutes "ResearchStaff" for the explicitly named RA role.
5. Rejected/checked issues: I did NOT penalize Model 1 for its opposite-direction unidirectional pairs (e.g., Faculty--&gt;Employee dean and Employee--&gt;Faculty headedFaculty) — these are semantically equivalent to a bidirectional line per the forbidden penalties; nor for its `'opposite ...` comments, nor for `int`/`double` primitive aliases, nor for the extra `name` attribute on University (harmless, not rewarded). I did NOT reward Model 1 merely for the extra ProjectInvolvement class — it was credited only because it correctly models per-involvement hours, which Model 2 also handles via an association attribute.
6. Overall judgment: Model 1 is stronger on every criterion — it preserves the named RA concept, uses valid multiplicity literals, types Course.id numerically, and keeps terminology consistent with the requirement — so Response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</si>
  <si>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</si>
  <si>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&amp; completeness: Model 1 = 5, Model 2 = 3; Evidence: Model 1 covers all requirement facts including the University–Employee link ("University --&gt; "*" Employee : employees", "Employee --&gt; "1" University"). Model 2 omits the University–Employee relationship entirely, despite the requirement stating the dean "is an employee of the university." Model 2 also introduces an Address class (street/city/zipCode) not requested by the requirement, whereas Model 1 models the institute address as a simple `address : String` attribute, which is more faithful.
2. Conceptual classes &amp; relationship accuracy: Model 1 = 5, Model 2 = 3; Evidence: Model 1 correctly represents "RAs are assigned to at least one institute" with `ResearchAssistant --&gt; "1..*" Institute`. Model 2 uses `ResearchAssistant "1..*" -- "0..*" Institute`, placing 0..* on the Institute side from the RA's perspective, which contradicts "at least one institute." Model 1 also keeps `ProjectInvolvement --&gt; "1" Project` and RA→involvement 0..*, cleanly capturing involvement hours; Model 2 weakens this with 0..* on both sides of RA–ProjectInvolvement.
3. Cardinalities / multiplicities: Model 1 = 5, Model 2 = 2; Evidence: "Several faculties" → Model 1 `University *-- "1..*" Faculty` (correct) vs Model 2 `"1" *-- "0..*"` (wrong; "several" implies ≥1). "Various institutes" → Model 1 `Faculty *-- "1..*"` (correct) vs Model 2 `"1" *-- "0..*"` (wrong). "At least one institute" for RA → Model 1 `1..*` (correct) vs Model 2 `0..*` on the Institute end (wrong). Dean = 1 → both correct.
4. Inheritance / aggregation / composition types: Model 1 = 5, Model 2 = 4; Evidence: Both use composition for University–Faculty and Faculty–Institute and inheritance Employee&lt;|‒ResearchStaff/AdministrativeStaff, ResearchStaff&lt;|‒ResearchAssistant, ResearchAssistant&lt;|‒Lecturer. Model 2 additionally composes Institute–Address (`Institute "1" *-- "1" Address`), an unrequested refinement; Model 1 uses an attribute, which is closer to the requirement. Neither marks Employee abstract in a way that should be penalised.
5. Class names &amp; attributes clarity: Model 1 = 5, Model 2 = 4; Evidence: Model 1 uses `id : int` for the course's "unique number (ID)" and `weeklyDurationHours : double`; Model 2 uses `id : String`, which is a weaker fit for "number." Both include name/weeklyDurationHours. Model 2 splits address into a separate Address class with street/city/zipCode, adding detail not present in the requirement; Model 1's `address : String` is cleaner and sufficient.
6. Avoidance of hallucinations / unwarranted additions: Model 1 = 5, Model 2 = 3; Evidence: Model 1 adds only `University.name` (minor, defensible). Model 2 adds a full Address class with street/city/zipCode, omits the University–Employee association, and uses incorrect multiplicities (0..* where "several"/"at least one" require ≥1), representing both additions and contradictions.
Total: Model 1 = 30, Model 2 = 19
Choice: A
Reason:
1. Requirement coverage &amp; completeness: Model 1 fully covers the University–Employee relationship and the institute address as a simple attribute; Model 2 omits employees' link to the university and over-models address.
2. Conceptual classes &amp; relationship accuracy: Model 1 correctly assigns RA→Institute as 1..* ("at least one") and keeps ProjectInvolvement tied to exactly one Project/RA; Model 2 reverses/weakens these multiplicities.
3. Cardinalities / multiplicities: Model 1 uses 1..* for "several faculties" and "various institutes" and 1..* for RA–Institute; Model 2 uses 0..* in all three places, contradicting the requirement wording.
4. Inheritance / aggregation / composition types: Both model staff hierarchy and Lecturer subclassing correctly; Model 2's extra Address composition is an unwarranted refinement.
5. Class names &amp; attributes clarity: Model 1's `id : int` better matches "unique number"; Model 2's `id : String` is weaker, and the Address class adds unrequested attributes.
6. Rejected or checked issues: I did not penalise Model 2 for marking `Employee` abstract (forbidden), for using `int`/`String` aliases (allowed), or for using bidirectional/opposite-direction associations (allowed). I also did not reward Model 1 merely for being longer; its extra detail (University–Employee link, employees association) maps to stated requirement facts.
4. Overall judgment: Model 1 is more faithful to the requirement across every meaningful criterion—correct multiplicities for "several"/"various"/"at least one," the presence of the University–Employee relationship, a simpler institute address attribute, and an `int` course ID—while Model 2 introduces an unrequested Address class, omits employees' link to the university, and uses 0..* where ≥1 is required. Therefore Model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</si>
  <si>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</si>
  <si>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assign single responsibilities (Employee/ResearchStaff/AdministrativeStaff/ResearchAssistant/Lecturer hierarchy; ProjectInvolvement isolates the `hours` link-attribute from Project). Model 1 keeps `address` as a primitive on Institute; Model 2 refines it into a dedicated `Address` class (street/city/zipCode), improving cohesion. Model 1 explicitly models both `University --&gt; * Employee` and the dean link, slightly increasing coupling but reflecting the requirement that the dean "is an employee of the university"; Model 2 omits the University–Employee association, lowering coupling but losing a required relationship.
2. Complexity: Model 1 = 4, Model 2 = 4; Evidence: Model 1 has 11 classes with an inheritance depth of 4 (Employee→ResearchStaff→ResearchAssistant→Lecturer); Model 2 has 12 (extra `Address`) with the same depth. Both keep concept/attribute separation reasonable (e.g., not making "name" a class). Model 1 uses correct multiplicities `University *-- "1..*" Faculty` and `Faculty *-- "1..*" Institute` matching "several"/"various"; Model 2 uses `"0..*"` for both, which weakly contradicts "several"/"various" (allows zero).
3. Practicability: Model 1 = 5, Model 2 = 3; Evidence: Model 1 covers all requirement facts: `University.totalEmployees`, dean (`Faculty --&gt; "1" Employee : dean`), RA–institute `1..*`, ProjectInvolvement with `hours`, Course `id : int / weeklyDurationHours`, and University–Employee association. Model 2 misses the explicit University–Employee relationship (only `totalEmployees` attribute, no link), uses `Course.id : String` for a "unique number (ID)", and uses `0..*` for Faculty under University and Institute under Faculty where "several"/"various" imply at least one. Both correctly model Lecturer↔Course and RA↔ProjectInvolvement↔Project.
Total: Model 1 = 13, Model 2 = 11
Choice: A
Reason:
1. Cohesion and Decoupling: Roughly even; Model 2's `Address` class is a cleaner refinement, but Model 1's explicit University–Employee association better reflects the stated relationship while not over-coupling.
2. Complexity: Similar class counts and inheritance depth, but Model 1's multiplicities (`1..*`) faithfully capture "several"/"various" whereas Model 2's `0..*` allows zero, a semantic weakening.
3. Practicability: Model 1 is more complete (University–Employee link, int Course ID matching "number") and accurate; Model 2 omits the University–Employee association and relaxes key multiplicities.
4. Rejected/checked issues: Did not penalize Model 2 for marking `Employee` abstract (forbidden). Did not penalize Model 1 for `int`/`double`/`String` aliases (forbidden). Did not reward Model 1's extra `University.name` (not a stated requirement). Did not penalize either for using two opposite unidirectional associations vs one bidirectional line (forbidden).
5. Overall judgment: Model 1 is better due to fuller requirement coverage and more faithful multiplicities, with meaningful quality difference mainly under Practicability.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</si>
  <si>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</si>
  <si>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Both models include University, Faculty, Institute, Employee, ResearchStaff, AdministrativeStaff, ResearchAssistant, Lecturer, Project, ProjectInvolvement, and Course. Model 1 adds a `name` attribute on University and keeps `address` as a String on Institute, matching the requirement ("address of each institute is known"). Model 2 introduces an `Address` class (street/city/zipCode) not required by the text and splits institute address into a separate class; this is an over-refinement not grounded in the requirement. Both model the RA→ProjectInvolvement→Project association with hours via ProjectInvolvement, which is acceptable.
2. Associations/Multiplicities between classes for domain reasoning: Model 1 = 5, Model 2 = 3; Evidence: Model 1 correctly models University composed of "1..*" faculties (a university consists of several faculties) and Faculty composed of "1..*" institutes (made up of various institutes); Faculty→dean multiplicity "1"; RA→Institute "1..*" (assigned to at least one institute); Lecturer↔Course "0..*" both ways (some RAs teach courses). Model 2 uses "0..*" for Faculty and Institute compositions, which contradicts "several" (should be 1..*); Institute composition lacks the required address linkage being on Institute itself; RA→Institute "1..*" on one side but Institute side shows "0..*" which is acceptable; however Lecturer→Course and RA→ProjectInvolvement multiplicities are reasonable. The key error is Faculty/Institute composition being "0..*" instead of "1..*", violating "consists of several" and "made up of various".
3. Model attributes with appropriate data types: Model 1 = 5, Model 2 = 4; Evidence: Model 1: University{name:String, totalEmployees:int}, Faculty{name:String}, Institute{name:String, address:String}, Employee{socialSecurityNumber:String, name:String, email:String}, ResearchAssistant{fieldOfResearch:String}, Project{name:String, startDate:Date, endDate:Date}, ProjectInvolvement{hours:int}, Course{id:int, name:String, weeklyDurationHours:double}. All required attributes present with proper types. Model 2: University lacks `name`; Institute lacks `address` (moved to Address class with street/city/zipCode, which is not required); Course.id is `String` but requirement says "unique number (ID)" — a numeric type would be more appropriate (minor); weeklyDurationHours is `int` (acceptable). Model 2 missing University.name and Institute.address directly.
4. Consistencies of Terminology with given context: Model 1 = 5, Model 2 = 4; Evidence: Model 1 uses terms directly from requirement: dean, fieldOfResearch, weeklyDurationHours, totalEmployees, socialSecurityNumber, email. Model 2 uses the same core terminology but introduces "Address" with street/city/zipCode not in the text, and removes University.name. Otherwise terminology is consistent.
5. Adherence of UML class diagram standards: Model 1 = 5, Model 2 = 5; Evidence: Both use valid PlantUML class diagram syntax with proper class definitions, inheritance (`&lt;|--`), composition (`*--`), associations (`--&gt;`, `--`), and multiplicity labels. Model 1 uses bidirectional pairs via opposite unidirectional associations (semantically equivalent, not penalized). Model 2 uses bidirectional lines. Both adhere to UML standards.
Total: Model 1 = 25, Model 2 = 21
Choice: A
Reason:
1. Appropriate conceptual classes: Model 1 includes all required classes with University.name and Institute.address modeled directly; Model 2 over-refines with an Address class not grounded in the requirement and omits University.name.
2. Associations/Multiplicities: Model 1 correctly uses "1..*" for University→Faculty and Faculty→Institute matching "several"/"various"; Model 2 uses "0..*" which contradicts the requirement's mandatory composition. Model 1 also correctly constrains dean to "1".
3. Model attributes: Model 1 has all attributes with appropriate types; Model 2 misses University.name and Institute.address, and types Course.id as String.
4. Terminology: Both consistent, but Model 2's Address/street/city/zipCode are extraneous terms not in the given context.
5. UML standards: Both fully adhere.
Rejected or checked issues: I did not penalize Model 1 for using opposite unidirectional associations instead of bidirectional lines (forbidden per rules), nor for single-quote `'opposite ...` comments, nor for `int`/`double` primitive aliases. I did not penalize Model 2 for marking Employee as abstract (optional abstractness rule). The Address class in Model 2 was penalized under domain criteria (over-refinement contradicting direct requirement wording), not UML standards.
4. Overall judgment: Model 1 is better due to correct multiplicities on composition relationships, complete attribute coverage (University.name, Institute.address), and tighter alignment with the requirement text without unnecessary refinements.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</si>
  <si>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</si>
  <si>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Coverage of conceptual classes &amp; requirements facts: Model 1 = 5, Model 2 = 5; Evidence: Both models include University (totalEmployees), Faculty (name), Institute (name), Employee (ssn, name, email), AdministrativeStaff, ResearchStaff, Lecturer, Project (name, startDate, endDate), Course (id, name, weeklyDurationHours). Model 1 models institute address as a String attribute; Model 2 decomposes it into a separate Address class with street/city/zipCode. The address fact is covered in both.
2. Associations, cardinalities &amp; relationship types (composition/aggregation/inheritance): Model 1 = 5, Model 2 = 3; Evidence: Model 1 uses composition University*--Faculty "many", Faculty*--Institute "many", Faculty--&gt;Employee (dean), and crucially ResearchStaff "many" --&gt; "1..*" Institute (assigned to), correctly enforcing "at least one institute". Model 2 uses University*--"0..*"Faculty and Faculty*--"0..*"Institute (allowing zero, weaker than "several"/"various"), and ResearchAssistant "1..*" -- "0..*" Institute — the 0..* on the Institute side means a RA could be assigned to zero institutes, directly contradicting the requirement that RAs are "assigned to at least one institute". This is a hard-constraint contradiction, more severe than a mere omission.
3. Inheritance / generalisation hierarchy (research vs admin staff, RA, lecturer): Model 1 = 5, Model 2 = 5; Evidence: Both model Employee&lt;|--AdministrativeStaff and Employee&lt;|--ResearchStaff, and Lecturer as a descendant of the research line (Model 1: ResearchStaff&lt;|--Lecturer; Model 2: ResearchStaff&lt;|--ResearchAssistant&lt;|--Lecturer). Both correctly make Lecturer a kind of RA; fieldOfResearch is placed on the research class in both. The extra ResearchAssistant intermediate class in Model 2 is a transparent refinement, not penalised.
4. Class names, attributes &amp; semantic clarity (incl. project hours modelling): Model 1 = 5, Model 2 = 4; Evidence: Model 1 places `hours : int` as an association attribute on ResearchStaff--&gt;Project, a clean direct modelling of "involved in projects for a certain number of hours". Model 2 introduces a ProjectInvolvement association class with `hours : int` plus Project "1"--"0..*" ProjectInvolvement — a valid but more elaborate refinement; it adds structure not required by the text. Model 2 also adds Address detail (street/city/zipCode) beyond the stated requirement; acceptable but not rewarded.
Total: Model 1 = 20, Model 2 = 17
Choice: A
Reason:
1. Coverage of conceptual classes: Both models are essentially complete; neither omits a required concept, so this does not decide the winner.
2. Associations &amp; cardinalities: This is the deciding factor. Model 1 correctly enforces "RAs are assigned to at least one institute" via `ResearchStaff "many" --&gt; "1..*" Institute`, whereas Model 2's `ResearchAssistant "1..*" -- "0..*" Institute` allows a RA to be assigned to zero institutes, an explicit contradiction of a hard requirement constraint. Model 2's 0..* on Faculty/Institute composition is also weaker than the "several"/"various" wording, though less severe.
3. Rejected/checked issues: I did NOT penalise Model 2 for the extra Address class, the ProjectInvolvement association class, the abstract Employee marker, lowercase `int`, or the intermediate ResearchAssistant class — these are transparent refinements or stylistic choices permitted by the guidelines. I also did not reward Model 1 merely for being shorter; its simpler `hours` association attribute is judged on semantic merit.
4. Overall judgment: Model 1 is better primarily because it faithfully enforces the minimum-one-institute constraint for research assistants, while Model 2 explicitly permits zero, violating the requirement. Model 1 also uses tighter multiplicities for University-Faculty and Faculty-Institute that better match "several"/"various".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</si>
  <si>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</si>
  <si>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keeps `Institute` self-contained with an `address : String` attribute and places `hours : int` as an association annotation on `ResearchStaff --&gt; Project`, minimising extra classes. Model 2 introduces an `Address` class (`Institute *-- Address`) and a `ProjectInvolvement` association class to carry `hours`; `ProjectInvolvement` is a reasonable decoupling pattern for an M:N relation with an attribute, but the standalone `Address` class adds coupling without requirement support (the requirement only says "the address of each institute is known"). Both models keep the Employee/ResearchStaff/Lecturer hierarchy cleanly separated.
2. Complexity: Model 1 = 4, Model 2 = 3; Evidence: Model 1 uses 9 classes and collapses "research staff" and "research assistant (RA)" into a single `ResearchStaff` class holding `fieldOfResearch`, matching the requirement's usage where the two terms refer to the same concept. Model 2 uses 11 classes and splits `ResearchStaff` (empty) from `ResearchAssistant` (with `fieldOfResearch`), plus adds `Address` and `ProjectInvolvement`; the ResearchStaff/ResearchAssistant split is not justified by any requirement fact distinguishing the two, adding avoidable inheritance-tree depth (`Employee &lt;|-- ResearchStaff &lt;|-- ResearchAssistant &lt;|-- Lecturer`, depth 4 vs Model 1's depth 3).
3. Practicability: Model 1 = 4, Model 2 = 3; Evidence: Model 1 correctly models the "at least one institute" constraint as `ResearchStaff "many" --&gt; "1..*" Institute` (each RA assigned to ≥1 institute). Model 2 writes `ResearchAssistant "1..*" -- "0..*" Institute : assigned to`, which places `1..*` on the ResearchAssistant end and `0..*` on the Institute end — meaning each RA could be assigned to 0 institutes, directly contradicting "RAs are assigned to at least one institute." Otherwise both cover the dean (`Faculty --&gt; Employee : dean`), total employees, project dates, course id/name/weeklyDurationHours, and the Lecturer-teaches-Course relation; Model 2's `ProjectInvolvement` is slightly more readable for the hours attribute, but the multiplicity error weakens domain accuracy.
Total: Model 1 = 12, Model 2 = 10
Choice: A
Reason:
1. Cohesion and Decoupling: Roughly tied; Model 1 is marginally leaner, but Model 2's `ProjectInvolvement` is a legitimate decoupling device, so both score equal.
2. Complexity: Model 1 better aligns complexity with the requirement by merging the synonymous "research staff"/"research assistant" concept and avoiding an unjustified `Address` class; Model 2's deeper inheritance chain and extra classes are not traceable to distinct requirement facts.
3. Practicability: Model 1 wins on domain correctness — its `1..*` multiplicity on Institute enforces the "at least one institute" rule, whereas Model 2's swapped multiplicities permit an RA to belong to zero institutes, a contradiction rather than a mere omission.
4. Rejected/checked issues: I did NOT penalise Model 2 for marking `Employee` abstract (forbidden penalty: optional abstractness), for using `int`/`String` (forbidden: primitive-type aliases), or for using `0..*` instead of `*` equivalents. The deciding factor is solely the Institute-multiplicity domain error and the unjustified ResearchStaff/ResearchAssistant split. The `Address` split was treated as mild over-engineering, not a UML-standards violation.
4. Overall judgment: Model 1 is better because it faithfully satisfies every stated requirement with correct multiplicities and balanced complexity, while Model 2 introduces a verifiable domain contradiction (RA → 0..* institutes) and redundant conceptual classes.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</si>
  <si>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</si>
  <si>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Both models capture University, Faculty, Institute, Employee, AdministrativeStaff, ResearchStaff, Lecturer, Project, Course. Model 1 conflates "ResearchStaff" with "ResearchAssistant" by placing fieldOfResearch on ResearchStaff, while the requirement distinguishes RAs as research assistants assigned to institutes. Model 2 introduces a distinct ResearchAssistant class (subclass of ResearchStaff) with fieldOfResearch, better matching the "research assistants (RA)" concept. However, Model 2 adds an Address class and ProjectInvolvement association class that go slightly beyond the requirement ("address of each institute is known" — a String attribute suffices). Model 1 places fieldOfResearch on ResearchStaff, which is a minor misalignment. Both are good; Model 2 slightly more aligned with the RA concept but adds an extra Address class.
2. Associations/Multiplicities between classes for domain reasoning: Model 1 = 4, Model 2 = 4; Evidence: Both correctly model University 1--* Faculty, Faculty 1--* Institute, Faculty 1--&gt;1 Employee (dean). Model 1: ResearchStaff "many" --&gt; "1..*" Institute (assigned to, correct "at least one"), ResearchStaff "many" --&gt; "0..*" Project (involved in, hours: int), Lecturer "many" --&gt; "0..*" Course. Model 2: ResearchAssistant "1..*" -- "0..*" Institute — the "1..*" on the RA side is odd (an institute has 1..* RAs? plausible) but the assignment multiplicity is less clear than Model 1's. Model 2 uses ProjectInvolvement as association class for hours, which is cleaner semantically. Both capture essential relationships. Model 1 uses unidirectional arrows; Model 2 uses bidirectional lines. Both acceptable.
3. Model attributes with appropriate data types: Model 1 = 4, Model 2 = 4; Evidence: Both have socialSecurityNumber: String, name: String, email: String, Project name/startDate/endDate, Course id/name/weeklyDurationHours. Model 1 places fieldOfResearch on ResearchStaff (slightly misplaced — should be on RA). Model 2 places fieldOfResearch on ResearchAssistant (correct) and models hours via ProjectInvolvement.hours: int (cleaner). Model 2 misses address on Institute (moved to Address class with street/city/zipCode — acceptable decomposition but the requirement only says "address is known"). Model 1 has address: String on Institute (simpler, sufficient). Both adequate.
4. Consistencies of Terminology with given context: Model 1 = 4, Model 2 = 4; Evidence: Both use Faculty, Institute, Employee, Dean, AdministrativeStaff, ResearchStaff, Lecturer, Project, Course. Model 2 adds "ResearchAssistant" matching the requirement's "research assistants (RA)" term and "fieldOfResearch" matching "field of research." Model 1 uses ResearchStaff for the RA concept and fieldOfResearch on ResearchStaff — the requirement says "research assistants" are the ones with fieldOfResearch and assigned to institutes, so Model 2's terminology is slightly more consistent. Both good.
5. Adherence of UML class diagram standards: Model 1 = 4, Model 2 = 4; Evidence: Both use valid PlantUML syntax with classes, attributes, associations, multiplicities, generalization, and composition. Model 1 uses an inline association label "(hours : int)" on the ResearchStaff-Project relation — non-standard for PlantUML (should be an association class). Model 2 properly models hours via a ProjectInvolvement association class, more UML-correct. Both diagrams are understandable with minor notation issues.
Total: Model 1 = 20, Model 2 = 20
Choice: C
Reason:
1. Appropriate conceptual classes: Model 1 conflates ResearchStaff with RA (fieldOfResearch on ResearchStaff); Model 2 introduces a distinct ResearchAssistant subclass matching the requirement's RA concept, but adds an Address class not strictly required. Both have minor misalignments; net effect roughly equal.
2. Associations/Multiplicities: Model 1 directly and clearly models "assigned to at least one institute" (ResearchStaff * --&gt; 1..* Institute) and involvement hours inline. Model 2 uses a ProjectInvolvement association class (cleaner UML) but the ResearchAssistant-Institute multiplicity is less clearly mapped to "RA assigned to at least one institute." Roughly balanced.
3. Rejected or checked issues: Did not penalize Model 1 for using opposite-direction/unidirectional associations vs Model 2's bidirectional lines (forbidden). Did not penalize int/String/Date primitive spellings (forbidden). Did not penalize Model 2 for marking Employee abstract (optional abstractness, forbidden). Did not reward Model 2's extra Address/street/city/zipCode detail since the requirement only states "address is known."
4. Overall judgment: The two models are semantically close. Model 2 more faithfully separates ResearchAssistant from ResearchStaff and uses a proper association class for project hours. Model 1 is simpler and places address directly on Institute, and its assignment multiplicity reads more cleanly. These advantages offset each other, yielding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</si>
  <si>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</si>
  <si>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University–Faculty–Institute composition: Model 1 = 5, Model 2 = 5; Evidence: Both model the hierarchy with composition. M1: `University "1" *-- "many" Faculty`, `Faculty "1" *-- "many" Institute`. M2: `University *-- "1..*" Faculty`, `Faculty *-- "1..*" Institute`. M2 uses explicit multiplicities matching "several"/"various", but semantics are equivalent.
2. Faculty/Institute attributes (name, address): Model 1 = 5, Model 2 = 5; Evidence: Both give Faculty `name`, Institute `name` and `address`. Requirement satisfied identically.
3. Dean as an employee of the university: Model 1 = 4, Model 2 = 5; Evidence: M1 only has `Faculty "1" --&gt; "1" Employee : has dean`, with no University–Employee link. M2 adds `Faculty --&gt; "1" Employee : dean` plus `University --&gt; "*" Employee : employees` / `Employee --&gt; "1" University`, explicitly capturing "dean … is an employee of the university".
4. Employee attributes and total employees: Model 1 = 5, Model 2 = 5; Evidence: Both place `socialSecurityNumber`, `name`, `email` on Employee and `totalEmployees : int` on University. (M2 also adds `name` to University, an unrequired but harmless extra.)
5. Research vs administrative staff distinction: Model 1 = 5, Model 2 = 5; Evidence: Both have `Employee &lt;|-- ResearchStaff` and `Employee &lt;|-- AdministrativeStaff`.
6. RA assignment to institute and field of research: Model 1 = 5, Model 2 = 4; Evidence: M1 treats ResearchStaff as the RA: `ResearchStaff - fieldOfResearch`, `ResearchStaff "many" --&gt; "1..*" Institute : assigned to` — faithful since the requirement equates research staff with RAs. M2 introduces a separate `ResearchAssistant` subclass of `ResearchStaff` carrying `fieldOfResearch` and the institute assignment; this adds an intermediate class not strictly required, implying research staff that are not RAs.
7. Project involvement with hours: Model 1 = 5, Model 2 = 5; Evidence: M1 uses an association attribute `ResearchStaff --&gt; "0..*" Project : involved in (hours : int)`. M2 uses a `ProjectInvolvement` class with `hours` linking `ResearchAssistant` to `Project`. Both capture name/start/end on Project and hours of involvement; M2 is more elaborate but semantically equivalent.
8. Lecturer role and teaching: Model 1 = 5, Model 2 = 5; Evidence: M1: `ResearchStaff &lt;|-- Lecturer`, `Lecturer "many" --&gt; "0..*" Course : teaches`. M2: `ResearchAssistant &lt;|-- Lecturer`, `Lecturer --&gt; "0..*" Course`. Both model "some RAs teach → lecturers" via inheritance and a teaches association. (Both use 0..* rather than 1..*, a minor shared imprecision.)
9. Course attributes: Model 1 = 5, Model 2 = 5; Evidence: M1: `id : String`, `name : String`, `weeklyDurationHours : int`. M2: `id : int`, `name : String`, `weeklyDurationHours : double`. Both cover unique ID, name, and weekly duration; type aliases are acceptable per guidelines.
Total: Model 1 = 44, Model 2 = 44
Choice: C
Reason:
1. University–Faculty–Institute structure: Both equivalent; M2's explicit `1..*` vs M1's "many" is notation-only.
2. Faculty/Institute attributes: Identical coverage of name and address.
3. Dean relationship: M2 better — explicitly models the University–Employee composition that grounds "dean is an employee of the university"; M1 leaves the university-employment link implicit.
4. Employee attributes: Equal; both correct. M2's extra `University.name` is unrequired but not penalized.
5. Staff distinction: Equal inheritance of ResearchStaff/AdministrativeStaff from Employee.
6. RA modelling: M1 is cleaner — it equates research staff with RAs as the requirement does; M2 adds a `ResearchAssistant` subclass below `ResearchStaff`, a mild over-modeling.
7. Project involvement: Both capture hours; M1 via association attribute, M2 via a `ProjectInvolvement` class. Semantically equivalent.
8. Lecturer/Course: Both model Lecturer as a specialization that teaches courses; both use 0..* (slightly loose, shared).
9. Course attributes: Both satisfy; type alias differences ignored per guidelines.
Rejected or checked issues: Did not penalize M2 for bidirectional opposite-direction associations, PlantUML `'opposite` comments, `int`/`double` vs `String` for ID, or `*` vs `0..*`/`many` — all forbidden penalties. Did not reward M2's extra `University.name` or `ProjectInvolvement` class as added requirement coverage.
Overall judgment: The two differences that matter (M2's explicit University–Employee link vs M1's cleaner ResearchStaff=RA modelling) offset each other. Both diagrams fully cover the required functionality with no contradictions, so the meaningful quality difference is small —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</si>
  <si>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</si>
  <si>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keep cohesive class responsibilities. Model 1 places `fieldOfResearch` on `ResearchStaff` and uses an association attribute `(hours : int)` on the `ResearchStaff --&gt; Project` link, keeping the Project class focused on `name/startDate/endDate`. Model 2 introduces a dedicated `ProjectInvolvement` class carrying `hours`, cleanly separating the involvement concept from both `ResearchAssistant` and `Project`; it also explicitly models `University --&gt; Employee : employees`. Model 1's `University.totalEmployees` is a simple count attribute. Neither exhibits problematic coupling; bidirectional opposite links in Model 2 are treated as equivalent (per forbidden-penalty rule) and do not count against it.
2. Complexity: Model 1 = 4, Model 2 = 3; Evidence: Model 1 has 9 classes and inheritance depth 3 (`Employee &lt;|-- ResearchStaff &lt;|-- Lecturer`), with `ResearchStaff` doubling as the RA concept — a balanced mapping given the requirement treats RAs as the research staff. Model 2 has 11 classes and depth 4 (`Employee &lt;|-- ResearchStaff &lt;|-- ResearchAssistant &lt;|-- Lecturer`); `ResearchStaff` is an empty intermediate with no attributes or relationships of its own, adding a layer without clear requirement justification, and `ProjectInvolvement` adds a class where an association attribute would suffice (though it is a transparent refinement). Model 2's `University.name` is an extra attribute not required. Model 1 is better balanced against the stated requirements.
3. Practicability: Model 1 = 4, Model 2 = 4; Evidence: Both are readable and cover the core facts. Model 1 cleanly captures Faculty/Institute composition, dean (`Faculty --&gt; Employee`), RA-to-institute `1..*`, projects, and `Lecturer --&gt; Course`. Its gap: `Employee` is never linked to `University`, so "dean ... who is an employee of the university" is only implicitly covered via `University.totalEmployees` plus dean being an `Employee`. Model 2 explicitly models `University --&gt; Employee : employees` and a bidirectional `Faculty/Employee : dean / headedFaculty (0..1)`, giving stronger coverage of the dean-as-university-employee fact and the one-dean-per-faculty constraint. However, Model 2's extra empty `ResearchStaff` layer and 4-level hierarchy slightly reduce navigational clarity. The two effects roughly offset.
Total: Model 1 = 12, Model 2 = 11
Choice: A
Reason:
1. Cohesion and Decoupling: Roughly even — Model 2's `ProjectInvolvement` is a clean separation of the hours concept and it explicitly associates employees with the university, while Model 1 keeps a leaner, equally cohesive structure using an association attribute for hours.
2. Complexity: Model 1 is better balanced — 9 classes and depth 3 versus Model 2's 11 classes and depth 4. Model 2's empty `ResearchStaff` intermediate (no attributes/relations of its own) and the additional `ProjectInvolvement` class add structure not demanded by the requirement, where Model 1 maps "research staff = RA" directly and uses an association attribute for hours. Model 2's unrequired `University.name` is extra detail not credited.
3. Rejected or checked issues: I did NOT penalize Model 2 for its bidirectional opposite associations (e.g., `dean`/`headedFaculty`, `taughtCourses`/`lecturers`), its `'opposite ...` line comments, `int`/`double`/`String` primitive spellings, or `*` vs `0..*` literals — all forbidden as negative evidence. I also did not reward Model 2 for the extra `University.name` or for `ProjectInvolvement`/`ResearchAssistant` beyond their requirement coverage, since both models already capture hours and RA semantics.
4. Overall judgment: Model 1 achieves equivalent requirement coverage with a simpler, better-balanced design; Model 2's only real advantage is the explicit `University–Employee` association capturing "employee of the university," which is valuable but does not outweigh the unjustified extra complexity (empty `ResearchStaff` layer, deeper hierarchy, extra association class). The margin is small, so A rather than a dominant win.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</si>
  <si>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</si>
  <si>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Both include University, Faculty, Institute, Employee, AdministrativeStaff, ResearchStaff, Lecturer, Project, Course. Model 1 conflates "ResearchStaff" with the RA role (placing `fieldOfResearch` directly on ResearchStaff, with no distinct ResearchAssistant class). Model 2 introduces a cleaner hierarchy `Employee &lt;|-- ResearchStaff &lt;|-- ResearchAssistant &lt;|-- Lecturer`, with `fieldOfResearch` on ResearchAssistant and Lecturer as a specialization of RA — matching "Some RAs teach courses... referred to as lecturers."
2. Associations/Multiplicities between classes for domain reasoning: Model 1 = 4, Model 2 = 5; Evidence: Both model University*--Faculty, Faculty*--Institute, Faculty--&gt;Employee(dean), RA--&gt;Institute(1..*), RA--&gt;Project(0..*), Lecturer--&gt;Course(0..*). Model 1 annotates hours inline as `involved in (hours : int)`. Model 2 introduces a `ProjectInvolvement` association class carrying `hours:int` linked `ResearchAssistant --&gt; 0..* ProjectInvolvement --&gt; 1 Project`, and also explicitly models `University --&gt; * Employee` (employment) and bidirectional dean/RA/course links. Model 2 gives fuller, more traceable multiplicity coverage.
3. Model attributes with appropriate data types: Model 1 = 4, Model 2 = 5; Evidence: Both model `totalEmployees:int`, `name:String`, `address:String`, `socialSecurityNumber/email:String`, `fieldOfResearch:String`, Project `name/startDate/endDate`. Model 1 sets `Course.id:String` and `weeklyDurationHours:int`, and puts `hours` only as an association label. Model 2 sets `Course.id:int` (matching "unique number"), `weeklyDurationHours:double`, and models `hours:int` as a proper attribute on `ProjectInvolvement`.
4. Consistencies of Terminology with given context: Model 1 = 5, Model 2 = 5; Evidence: Both use domain-consistent terms — `dean`, `fieldOfResearch`, `assigned to/assignedInstitutes`, `involved in/involvements`, `teaches/taughtCourses`, `weeklyDurationHours`, `socialSecurityNumber`. No terminology misuse in either.
5. Adherence of UML class diagram standards: Model 1 = 4, Model 2 = 5; Evidence: Model 1 uses non-standard multiplicity literals `"many"` (e.g., `University "1" *-- "many" Faculty`, `Faculty "1" *-- "many" Institute`, `ResearchStaff "many" --&gt; ...`) and expresses `hours` as an inline association label rather than an association class. Model 2 uses standard literals (`1..*`, `0..*`, `*`, `1`, `0..1`), a proper `ProjectInvolvement` class for the hours attribute, and valid generalization/association notation throughout.
Total: Model 1 = 21, Model 2 = 25
Choice: B
Reason:
1. Conceptual classes: Model 2's `ResearchStaff -&gt; ResearchAssistant -&gt; Lecturer` hierarchy more faithfully separates the "research vs administrative staff" distinction from the RA specialization and the lecturer specialization, whereas Model 1 merges ResearchStaff and RA.
2. Associations/Attributes: Model 2 captures the project-hours involvement via a dedicated `ProjectInvolvement` class with `hours:int`, models the University-employment relation, and uses standard multiplicities; Model 1 only labels the association inline and uses `"many"` literals.
3. Rejected/checked issues: Not penalized — Model 2's opposite-direction (bidirectional) associations, `'opposite ...` PlantUML comments, `int`/`double` primitive aliases, and the extra `University.name` attribute (harmless, not rewarded). Model 1's `Course.id:String` vs `int` is minor and not the deciding factor.
4. Overall judgment: Model 2 is more complete and more standards-compliant across domain modeling, multiplicities, attribute typing, and UML notation, with equal terminology consistency; hence Response 2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</si>
  <si>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</si>
  <si>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coverage: Model 1 = 5, Model 2 = 5; Evidence: Both include University, Faculty, Institute, Employee, AdministrativeStaff, ResearchStaff, ResearchAssistant, Lecturer, Project, ProjectInvolvement, Course. Model 1 adds an `Address` class (with street/city/zipCode) not present in the requirement; Model 2 models address as a simple `Institute.address` attribute.
2. Attributes (names and optionality): Model 1 = 5, Model 2 = 5; Evidence: Both capture totalEmployees, Faculty/Institute name, Employee (socialSecurityNumber, name, email), ResearchAssistant.fieldOfResearch, Project (name, startDate, endDate), ProjectInvolvement.hours, Course (id, name, weeklyDurationHours). Model 2 additionally adds `University.name` (harmless extra).
3. Inheritance / generalisation: Model 1 = 5, Model 2 = 5; Evidence: Both model Employee&lt;|--AdministrativeStaff, Employee&lt;|--ResearchStaff, ResearchStaff&lt;|--ResearchAssistant, ResearchAssistant&lt;|--Lecturer. Model 1 marks Employee `abstract`; Model 2 does not — not penalised per forbidden-penalty rule 5.
4. Associations and cardinalities: Model 1 = 2, Model 2 = 4; Evidence: Model 1 uses University*--0..* Faculty and Faculty*--0..* Institute (allowing zero, weaker than "several"/"various"); critically, `ResearchAssistant "1..*" -- "0..*" Institute` puts 0..* on the Institute end, contradicting "assigned to at least one institute," and 1..* on the RA end, over-constraining that every institute must have an RA. Model 2 uses University*--1..* Faculty, Faculty*--1..* Institute (matching "several"/"various"), and `ResearchAssistant --&gt; 1..* Institute` / `Institute --&gt; * ResearchAssistant`, correctly enforcing ≥1 institute per RA while not forcing every institute to have an RA.
5. Composition / aggregation semantics: Model 1 = 5, Model 2 = 5; Evidence: Both use composition for University→Faculty and Faculty→Institute, reflecting "consists of" / "made up of." Model 1 additionally composes Institute*--Address (an extra but harmless).
6. Strict alignment without hallucinated additions: Model 1 = 3, Model 2 = 4; Evidence: Model 1 hallucinates an `Address` class with street, city, zipCode attributes not specified (only "the address ... is known"). Model 2 keeps address as a single `Institute.address` string and adds a University→Employee employment association, which is directly supported by "dean, who is an employee of the university"; its only unsolicited addition is `University.name`.
Total: Model 1 = 25, Model 2 = 28
Choice: B
Reason:
1. Associations and cardinalities: Model 2 correctly enforces `ResearchAssistant --&gt; 1..* Institute` (at least one institute) and `Institute --&gt; * ResearchAssistant` (an institute need not have RAs), and uses 1..* for University→Faculty and Faculty→Institute. Model 1 reverses the RA–Institute constraint (`1..*` on the RA end, `0..*` on the Institute end), contradicting the "at least one institute" requirement, and uses 0..* for the part-whole compositions.
2. Alignment without hallucination: Model 1 introduces an `Address` class with three unspecified attributes (street, city, zipCode) beyond the requirement's "address is known," whereas Model 2 represents address as a single attribute and adds only a minor, supportable `University.name` plus an employment association backed by the text.
3. Rejected or checked issues: I did not penalise Model 2 for its opposite-direction unidirectional associations or `'opposite ...` comments (forbidden penalties 1 and 2), nor Model 1 for marking Employee `abstract` (rule 5). `int`/`String`/`double` type aliases (rule 3) and `*` vs `0..*` (rule 4) were treated as equivalent.
4. Overall judgment: Model 2 is better. It matches the required multiplicities (at least one institute per RA, several faculties, various institutes), avoids the hallucinated Address structure, and faithfully represents the dean-as-employee relationship, while Model 1 contains a contradicting multiplicity on the RA–Institute association and weaker part-whole cardinalities.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</si>
  <si>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</si>
  <si>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isolates `Address` as its own cohesive class with `street/city/zipCode`, and uses a dedicated `ProjectInvolvement` association class for `hours`, keeping `Project` and `ResearchAssistant` decoupled. Model 2 collapses address into an `Institute` attribute (still cohesive for the institute concept) but introduces bidirectional pairs (`University&lt;-&gt;Employee`, `Faculty&lt;-&gt;Employee`, `Institute&lt;-&gt;ResearchAssistant`, `Lecturer&lt;-&gt;Course`); per the equivalence rule these are not penalized, and they do capture requirement facts (dean/employee-of-university) that Model 1 omits via association. Both keep inheritance branches cleanly separated (AdministrativeStaff vs ResearchStaff).
2. Complexity: Model 1 = 4, Model 2 = 4; Evidence: Model 1 has 14 classes including `Address` (a noun promoted to a class though the requirement only says "the address... is known"); inheritance depth reaches 4 (`Employee &lt;|-- ResearchStaff &lt;|-- ResearchAssistant &lt;|-- Lecturer`). Model 2 has 13 classes (no `Address`) but adds an unjustified `University.name` attribute not requested by the requirement, plus extra navigable back-links. Both models share the same inheritance depth and use `ProjectInvolvement` as a transparent intermediate for the hours association. Complexity is balanced in both.
3. Practicability: Model 1 = 4, Model 2 = 5; Evidence: Model 2 explicitly models the University–Employee composition (`University --&gt; * Employee : employees`, `Employee --&gt; 1 University : university`) and the dean relation with a back-link, directly satisfying "dean, who is an employee of the university"; it also keeps `address` as a simple `Institute` attribute, which matches the lightweight requirement. Model 1 records only `totalEmployees : int` on `University` and never links `Employee` to `University`, so the "employee of the university" semantic is weaker; its separate `Address` class is over-modeling for a single known field. Both provide clear, testable structures (distinct `ProjectInvolvement`, `Course.id`, `fieldOfResearch`).
Total: Model 1 = 12, Model 2 = 13
Choice: B
Reason:
1. Cohesion and Decoupling: Both exhibit high cohesion (dedicated `ProjectInvolvement`, separated staff branches). Model 1 has slightly lower raw coupling, but Model 2's extra associations encode genuine requirement relationships (dean-employee, university-employees); the bidirectional opposite pairs cannot be counted against Model 2, so this criterion is effectively even.
2. Complexity: Both share equivalent inheritance depth and class counts in a reasonable range. Model 1's `Address` class and Model 2's spurious `University.name` are minor, symmetric over-reach; neither is decisively more complex.
3. Rejected or checked issues: I did NOT penalize Model 2 for using two opposite unidirectional associations instead of one bidirectional line (forbidden), nor for PlantUML `'opposite ...` comments, nor for `int`/`double`/`String` primitive aliases, nor for `*` vs `0..*`. I also did not reward Model 1's `Address` class as "extra detail" since it does not cover an additional stated requirement fact.
4. Overall judgment: Model 2 is better because it more completely and faithfully realizes the requirement — most importantly the University↔Employee relationship and the dean-as-employee linkage — while remaining equally readable and testable. Model 1's only notable gap is the absence of any University–Employee association, leaving "an employee of the university" represented only by a count attribute.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</si>
  <si>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</si>
  <si>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all required conceptual classes: University, Faculty, Institute, Employee (with AdministrativeStaff/ResearchStaff subclasses), ResearchAssistant, Lecturer, Project, Course, and a ProjectInvolvement association-class for the "certain number of hours." Model 1 models Address as a separate class (street/city/zipCode); Model 2 keeps address as a String attribute on Institute. Both are acceptable representations of "the address of each institute is known." Neither omits a required concept.
2. Associations/Multiplicities between classes for domain reasoning: Model 1 = 3, Model 2 = 5; Evidence: Both correctly model University*--Faculty, Faculty*--Institute, Faculty--&gt;1 Employee (dean), RA--Institute (assigned to), RA--ProjectInvolvement--Project, and Lecturer--Course (teaches). However, for "RAs are assigned to at least one institute," Model 1 writes `ResearchAssistant "1..*" -- "0..*" Institute`, placing 0..* at the Institute end (Institutes per RA = 0..*), which contradicts "at least one institute." Model 2 writes `ResearchAssistant --&gt; "1..*" Institute`, correctly placing 1..* at the Institute end (each RA assigned to ≥1 institute). This is a critical domain-constraint error in Model 1. All other multiplicities in both are sound (dean = 1, ProjectInvolvement hours link, etc.).
3. Model attributes with appropriate data types: Model 1 = 4, Model 2 = 5; Evidence: Both capture totalEmployees:int, Faculty/Institute name:String, Employee (socialSecurityNumber, name, email as String), RA.fieldOfResearch:String, Project (name:String, startDate/endDate:Date), ProjectInvolvement.hours:int, Course.name and weeklyDurationHours. Model 1 types Course.id as String, while the requirement says "unique number (ID)"; Model 2 types id as int, matching "number" better. Model 2 also uses double for weeklyDurationHours (acceptable); Model 1 uses int (also acceptable). Model 2's id typing is the more accurate alignment. Model 1's Address sub-attributes are reasonable but not required.
4. Consistencies of Terminology with given context: Model 1 = 5, Model 2 = 5; Evidence: Both use domain-faithful terms: Faculty, Institute, dean, Employee, ResearchStaff/AdministrativeStaff, ResearchAssistant, fieldOfResearch, Lecturer, Project (name/startDate/endDate), Course (id/name/weeklyDurationHours), ProjectInvolvement.hours. No terminology drift in either model.
5. Adherence of UML class diagram standards: Model 1 = 5, Model 2 = 5; Evidence: Both use valid PlantUML class-diagram syntax: classes with attributes/typed fields, generalization (`&lt;|--`), composition (`*--`), directed associations with multiplicities and role labels. Model 2 uses paired opposite-direction associations with trailing `'opposite` comments; per the forbidden-penalties rule these are semantically equivalent to bidirectional links and are not penalized. No notation violations in either.
Total: Model 1 = 22, Model 2 = 25
Choice: B
Reason:
1. Appropriate conceptual classes: Both models cover the full domain (University, Faculty, Institute, Employee hierarchy, RA, Lecturer, Project, Course, ProjectInvolvement); this criterion is a tie.
2. Associations/Multiplicities: The decisive difference. Model 1 reverses the RA↔Institute multiplicity (`ResearchAssistant "1..*" -- "0..*" Institute` puts 0..* Institutes per RA, contradicting "assigned to at least one institute"), whereas Model 2 correctly places `1..*` at the Institute end. This is a hard domain constraint, so Model 2 wins here.
3. Model attributes: Model 2 types Course.id as int, matching "unique number (ID)"; Model 1 uses String. Minor but real advantage to Model 2. Both otherwise model required attributes with suitable types.
4. Rejected/checked issues: I did NOT penalize Model 2 for its paired opposite-direction associations or `'opposite` comments (forbidden penalty), nor for using `int`/`double`/`*` aliases, nor for adding University.name (extra detail not rewarded). I did NOT penalize Model 1 for modeling Address as a class (acceptable refinement) or for not marking Employee abstract (optional per rules).
5. Overall judgment: Model 2 is better primarily because it correctly captures the "at least one institute" multiplicity constraint that Model 1 gets backwards, and it uses a more accurate type for Course.id. The remaining criteria are essentially tied, so the domain-correctness advantage in associations is the meaningful differentiator favoring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</si>
  <si>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</si>
  <si>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University-Faculty-Institute structure &amp; names: Model 1 = 5, Model 2 = 5; Evidence: Both use composition `University "1" *-- "0..*"/"many" Faculty` and `Faculty "1" *-- "0..*"/"many" Institute`; both give `name` to Faculty and Institute.
2. Institute address: Model 1 = 5, Model 2 = 5; Evidence: Model 1 uses a separate `Address` class with composition `Institute "1" *-- "1" Address`; Model 2 uses an `address : String` attribute on Institute. Both satisfy "address of each institute is known."
3. Faculty dean (employee): Model 1 = 5, Model 2 = 5; Evidence: Both model `Faculty "1" --&gt; "1" Employee : dean/has dean`.
4. University total employees: Model 1 = 5, Model 2 = 5; Evidence: Both have `University.totalEmployees : int`.
5. Employee attributes &amp; research/admin distinction: Model 1 = 5, Model 2 = 5; Evidence: Both have `Employee` with socialSecurityNumber, name, email and subclasses `AdministrativeStaff`/`ResearchStaff` via inheritance.
6. RA assigned to institute (multiplicity 1..*): Model 1 = 2, Model 2 = 5; Evidence: Model 1 `ResearchAssistant "1..*" -- "0..*" Institute : assigned to` puts 0..* at the Institute end (an RA may be assigned to 0 institutes), violating "at least one institute," and over-constrains the RA end to 1..*. Model 2 `ResearchStaff "many" --&gt; "1..*" Institute : assigned to` correctly puts 1..* at the Institute end.
7. RA field of research: Model 1 = 5, Model 2 = 5; Evidence: Model 1 has `fieldOfResearch` on ResearchAssistant; Model 2 has it on ResearchStaff (which represents RAs).
8. RA project involvement + hours + project attributes: Model 1 = 5, Model 2 = 4; Evidence: Model 1 uses a `ProjectInvolvement` association class with `hours : int` linking RA and Project, plus Project with name/startDate/endDate. Model 2 uses inline `(hours : int)` on the `ResearchStaff --&gt; Project` association; conveys the attribute but is less formal. (Both satisfy the requirement.)
9. Lecturer (RA who teaches) &amp; teaching: Model 1 = 5, Model 2 = 5; Evidence: Model 1 `Lecturer &lt;|-- ResearchAssistant` then `Lecturer "0..*" -- "0..*" Course : teaches`; Model 2 `Lecturer &lt;|-- ResearchStaff` then `Lecturer "many" --&gt; "0..*" Course : teaches`. Both capture "some RAs teach courses → lecturers."
10. Course attributes: Model 1 = 5, Model 2 = 5; Evidence: Both have Course with id, name, weeklyDurationHours.
Total: Model 1 = 47, Model 2 = 49
Choice: B
Reason:
1. University-Faculty-Institute structure &amp; names: Both equivalent; no differentiation.
2. RA-institute multiplicity: This is the decisive difference. Model 2 correctly enforces "assigned to at least one institute" (1..* at Institute end), while Model 1 places 0..* at the Institute end, contradicting the requirement, and additionally over-constrains the RA end to 1..* (implying every institute must have ≥1 RA, which is not stated).
3. Rejected/checked issues: I did not penalize Model 2 for using "many" instead of "*" (understandable alias), for lacking an explicit `ResearchAssistant` class name (ResearchStaff is a valid synonym), for marking Employee non-abstract (optional abstractness), or for using an inline association attribute instead of an association class. I also did not reward Model 1's separate `Address`/`ProjectInvolvement` classes merely for being more detailed, since both models cover the same requirement facts.
4. Overall judgment: Model 2 is better because it correctly models the mandatory RA-to-institute multiplicity (≥1 institute per RA), a hard constraint that Model 1 violates. All other criteria are essentially tied or marginally favor Model 1's formality, but the multiplicity error in Model 1 is a domain contradiction that outweighs the minor formalism differences.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</si>
  <si>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</si>
  <si>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introduces a ProjectInvolvement association class to decouple the "hours" involvement between RA and Project, and separates Address into its own class, improving cohesion. Model 2 keeps address as an attribute of Institute and folds "hours : int" into the ResearchStaff--&gt;Project association label, which is simpler but less granular. Both keep Employee hierarchy decoupled from Faculty/Institute via a single dean association.
2. Complexity: Model 1 = 4, Model 2 = 5; Evidence: Model 1 has 12 classes plus ProjectInvolvement and Address (extra intermediate concept classes); depth of inheritance is 4 (Employee→ResearchStaff→ResearchAssistant→Lecturer). Model 2 has 10 classes and inheritance depth 3 (Employee→ResearchStaff→Lecturer), better aligned with the requirement's scope without over-modeling.
3. Practicability: Model 1 = 4, Model 2 = 4; Evidence: Model 1 models the "RA assigned to at least one institute" multiplicities faithfully (ResearchAssistant "1..*" -- "0..*" Institute) and captures hours via ProjectInvolvement, but adds a Lecturer subclass that introduces a separate Course association (Lecturer teaches Course) — yet Lecturer is an RA who teaches, and Course assignment is inherited. Model 2 collapses ResearchAssistant into ResearchStaff and makes Lecturer a ResearchStaff subclass; "fieldOfResearch" sits on ResearchStaff (acceptable since RAs are the research staff). Both are readable and testable.
Total: Model 1 = 12, Model 2 = 13
Choice: C
Reason:
1. Cohesion and Decoupling: Model 1's separation of Address and ProjectInvolvement raises cohesion and lowers coupling slightly, but Model 2's leaner structure is also well-decoupled; the difference is marginal.
2. Complexity: Model 2 is better balanced — it avoids extra Address/ProjectInvolvement classes and keeps inheritance shallower (depth 3 vs 4), matching the requirement's scope. Model 1's deeper chain (Employee→ResearchStaff→ResearchAssistant→Lecturer) is justifiable but adds complexity without clear requirement benefit.
3. Practicability: Both are readable and testable. Model 1 more precisely captures the "at least one institute" constraint (1..*) and models hours as a distinct class; Model 2 expresses hours only as an annotation on the association, which is semantically weaker but still acceptable. Model 2's use of "many" instead of "*" is a minor non-standard multiplicity alias but readable.
4. Rejected/checked issues: Did not penalize Model 1 for two-direction associations, PlantUML comments, int/String primitives, or * vs 0..*. Did not penalize Model 2 for "many" aliasing or for not marking Employee abstract (optional per requirement). Did not reward Model 1 merely for having more classes.
5. Overall judgment: The scores are nearly equal (12 vs 13). Model 2 is slightly leaner and better balanced on complexity, while Model 1 is slightly stronger on precise multiplicity/hours modeling. The meaningful quality difference is small, so a tie is appropriate.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</si>
  <si>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</si>
  <si>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University, Faculty, Institute, Address (as a class), Employee (abstract), AdministrativeStaff, ResearchStaff, ResearchAssistant, Lecturer, Project, Course, and ProjectInvolvement (modeling the "certain number of hours" as an association class). Model 2 covers the core classes but collapses ResearchAssistant into ResearchStaff (no distinct RA class despite the requirement explicitly naming "Research assistants (RA)"), models Address only as a String attribute on Institute, and represents project hours only as an inline annotation rather than a dedicated class.
2. Associations/Multiplicities between classes for domain reasoning: Model 1 = 3, Model 2 = 4; Evidence: Model 1 correctly uses composition (University *-- Faculty, Faculty *-- Institute), Faculty--&gt;Employee "1" dean, and a ProjectInvolvement association class, BUT its RA-Institute multiplicity is reversed: `ResearchAssistant "1..*" -- "0..*" Institute` means each RA is assigned to 0..* institutes, contradicting the hard requirement "RAs are assigned to at least one institute" (should be 1..* on the Institute side). Model 2 gets this right: `ResearchStaff "many" --&gt; "1..*" Institute : assigned to` correctly enforces at least one institute per RA; dean and composition are also correct, though "hours" is only an annotation.
3. Model attributes with appropriate data types: Model 1 = 5, Model 2 = 4; Evidence: Model 1 models all attributes with types (socialSecurityNumber:String, name:String, email:String, fieldOfResearch:String, Project.name/startDate/endDate, Course.id/name/weeklyDurationHours, ProjectInvolvement.hours:int, Address fields). Model 2 has the same core attributes but represents address as a single String, places fieldOfResearch on ResearchStaff rather than an RA, and does not properly model hours as a typed attribute (only an inline annotation).
4. Consistencies of Terminology with given context: Model 1 = 5, Model 2 = 4; Evidence: Model 1 uses "ResearchAssistant" matching the requirement's "RA", plus Lecturer, dean, Project, Course, Institute. Model 2 substitutes "ResearchStaff" for the explicitly named "Research Assistant" concept; otherwise terminology (dean, Lecturer, Project, Course) aligns.
5. Adherence of UML class diagram standards: Model 1 = 5, Model 2 = 4; Evidence: Model 1 uses proper numeric multiplicities (0..*, 1..*, 1), composition, abstract class, and generalization consistently. Model 2 uses non-standard "many" literals in place of `*` and expresses "hours : int" as an informal annotation on the association rather than an association class/attribute, which is weaker UML practice.
Total: Model 1 = 23, Model 2 = 20
Choice: A
Reason:
1. Appropriate conceptual classes: Model 1 is stronger because it introduces a distinct ResearchAssistant class (explicitly named in the requirement), an Address class, and a ProjectInvolvement class that properly captures the "certain number of hours" fact; Model 2 collapses RA into ResearchStaff and only annotates hours.
2. Associations/Multiplicities: Model 2 is stronger here — it correctly enforces "at least one institute" per RA (1..* on Institute side), whereas Model 1 reverses the multiplicity (0..* institutes per RA), a contradiction of a hard constraint.
3. Attributes/data types: Model 1 provides more complete, properly typed attributes including the hours field and structured address; Model 2's address-as-String and untyped hours annotation are weaker.
4. Terminology: Model 1 matches "Research Assistant (RA)" exactly; Model 2's use of "ResearchStaff" is a minor but real deviation.
5. UML standards: Model 1 uses standard multiplicities and an association-class-style construct; Model 2's "many" literals and inline hours annotation are non-standard.
Rejected or checked issues: I did not penalize Model 1 for using `int`/`String` primitives, for opposite-direction association styles, or for PlantUML comments; I did not reward Model 2 for being simpler/shorter. The "many" literal in Model 2 was treated as a UML-standards issue only, not a domain error. The decisive factor is that Model 1's richer, more faithful class structure and proper attribute modeling outweigh its single (real) multiplicity reversal, while Model 2's hours modeling and RA conflation reduce domain fidelity.
Overall judgment: Model 1 is better. Although Model 1 contains one genuine multiplicity contradiction on the RA-Institute relation (a domain reasoning flaw that lowers its association score), it is otherwise more complete and faithful across classes, attributes, terminology, and UML standards. Model 2 fixes the RA-Institute multiplicity but loses fidelity by omitting a distinct RA class, using an informal annotation for project hours, and using non-standard "many" multiplicities.
```</t>
  </si>
  <si>
    <t>TeamSportsScoutingSystem</t>
  </si>
  <si>
    <t>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</si>
  <si>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</si>
  <si>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coverage of requirement: Model 1 = 4, Model 2 = 4; Evidence: Both cover employees (Employee&lt;|--HeadCoach/Director/Scout, Scout&lt;|--HeadScout), TargetProfile with positions+attributes, long list, scouting assignments, scouting reports (pros/cons/recommendation), and offer. Model 2 explicitly shows `HeadScout "1" -- "0..*" ScoutingAssignment : creates` and `HeadCoach/HeadScout "1" -- "0..*" ShortListEntry : approves`, directly capturing the head-scout-sets-up-assignments and joint short-list decision facts; Model 1 represents these indirectly via `HeadScout --&gt; "*" ScoutingRecord: evaluates` + `ScoutingRecord --&gt; "*" ScoutingAssignment`. Conversely, Model 1 captures the recommendation→offer link via `ScoutingState.RECOMMENDED` + `Offer --&gt; "1" ScoutingRecord: basedOn`, while Model 2's `ContractOffer` only links to Player, omitting the "finally recommended by head scout → director makes offer" causal connection.
2. Classes &amp; conceptual accuracy: Model 1 = 4, Model 2 = 4; Evidence: Both use clear domain class names. Model 1 introduces `ScoutingRecord` (transparent "Record" refinement) as a workflow hub with `ScoutingState` enum (LONG_LIST/UNDER_INVESTIGATION/SHORT_LIST/RECOMMENDED/OFFER_MADE) and `Position` enum; Model 2 introduces explicit `ShortListEntry`, `TargetPosition`, `ProfileAttribute`, and `AssignmentStatus` enum. Both `Recommendation` enums match the five stated values. Extra status/state enums are acceptable refinements, not hallucinated functionality.
3. Relationships, cardinalities &amp; inheritance: Model 1 = 4, Model 2 = 4; Evidence: Both have correct generalisation hierarchies (Employee→HeadCoach/Director/Scout; Scout→HeadScout). Model 1 uses composition `TargetProfile *-- "*" Attribute` and a central ScoutingRecord hub with multiplicities; Model 2 uses clear unidirectional associations with role labels and explicit multiplicities (e.g., `ScoutingAssignment "0..*" -- "1" Scout : assigned to`, `ShortListEntry "0..*" -- "1" Player : includes`). Both represent the "several other rounds of scouting for short-listed players" only partially — Model 1 via `ScoutingRecord --&gt; "*" ScoutingAssignment` + HeadScout-is-a-Scout; Model 2 via `ScoutingAssignment --&gt; Player` multiplicity but no ShortListEntry→ScoutingAssignment link.
Total: Model 1 = 12, Model 2 = 12
Choice: C
Reason:
1. Functional coverage: Model 2 is stronger on explicit actor-decision facts (head scout creates assignments; head coach + head scout jointly approve short list), while Model 1 is stronger on the recommendation→offer climax (`Offer --&gt; ScoutingRecord: basedOn` with a `RECOMMENDED` state). These are roughly offsetting strengths.
2. Classes &amp; relationships: Both use acceptable transparent refinements (ScoutingRecord/ScoutingState vs ShortListEntry/AssignmentStatus), correct inheritance, and comparable cardinality clarity. Neither is hallucinated nor contradictory.
3. Rejected/checked issues: Did not penalize Model 1's bidirectional `ScoutingAssignment--&gt;ScoutingReport`/`ScoutingReport--&gt;ScoutingAssignment` pair (equivalent to bidirectional), did not penalize PlantUML `'opposite` comments, and did not reward Model 2 for being shorter. The "several other rounds for short-listed players, some by head scout himself" is only weakly captured in both, so it does not differentiate.
4. Overall judgment: Each model has one notable weakness (Model 1: indirect actor responsibilities for assignment setup and short-list decision; Model 2: missing recommendation→offer link), balanced by corresponding strengths. The meaningful quality difference is small, so a tie is appropriate.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</si>
  <si>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</si>
  <si>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introduces a central `ScoutingRecord` class that aggregates LongListEntry, ScoutingAssignment, tracks Player/TargetProfile, and is referenced by Offer, HeadCoach, and HeadScout — creating a god-class-like hub with high coupling concentrated on it. Model 2 has no such central hub; relations are distributed directly between actors and domain concepts (Scout→LongListEntry, HeadScout→ScoutingAssignment, HeadCoach/HeadScout→ShortListEntry), yielding lower coupling between any single class. Model 2's `ShortListEntry` cleanly isolates the short-list concept rather than encoding it as a state enum.
2. Complexity: Model 1 = 3, Model 2 = 4; Evidence: Model 1 has 14 classes + 3 enums plus a `ScoutingState` enum (LONG_LIST, UNDER_INVESTIGATION, SHORT_LIST, RECOMMENDED, OFFER_MADE) that conflates workflow stages with the long-list/short-list distinction, and uses `ScoutingRecord` as an extra wrapper over Player+TargetProfile+assignments. Model 2 has 13 classes + 2 enums, models the short list as a distinct `ShortListEntry` class (aligning with the requirement's "move to the short list" workflow) instead of an enum state, and avoids the `ScoutingRecord` wrapper. Both keep inheritance shallow (Employee→{HeadCoach,Director,Scout→HeadScout}); Model 2 is slightly leaner and better-mapped to requirement concepts.
3. Practicability: Model 1 = 3, Model 2 = 4; Evidence: Model 1's `ScoutingRecord` with a `currentState` enum makes the long-list→short-list→recommended→offer progression implicit and ambiguous (e.g., it's unclear which record corresponds to a long list entry vs short list entry, and `Offer --&gt; ScoutingRecord` is an indirect link not required by the domain). The requirement's "players to move to the short list" has no dedicated representation. Model 2 explicitly models `ShortListEntry` approved by both HeadCoach and HeadScout (matching "the head coach and the head scout decide upon which players to move to the short list"), and `ContractOffer` links directly to Player — more readable, modular, and testable per requirement workflow. Both models cover TargetProfile with positions and attributes, LongListEntry by Scouts matching a profile, ScoutingAssignment created by HeadScout assigned to Scout investigating a Player, ScoutingReport with pros/cons/recommendation completing an assignment, and Director making an offer.
Total: Model 1 = 9, Model 2 = 12
Choice: B
Reason:
1. Cohesion and Decoupling: Model 2 distributes responsibilities across `LongListEntry` and `ShortListEntry` with direct actor links; Model 1 funnels most workflow through `ScoutingRecord`, concentrating coupling and reducing cohesion.
2. Complexity: Both have shallow inheritance and comparable class counts, but Model 1's extra `ScoutingRecord` wrapper and `ScoutingState` enum re-encode the long/short-list workflow as states rather than first-class concepts, adding conceptual overhead without requirement traceability. Model 2's `ShortListEntry` directly mirrors the requirement's short-list stage.
3. Practicability: Model 2's explicit `ShortListEntry` (approved by both HeadCoach and HeadScout) and direct `ContractOffer→Player` link give clearer, more testable semantics for the "move to short list" and "director makes an official offer" steps. Model 1's `Offer --&gt; ScoutingRecord` indirection and state-enum approach obscure these workflows.
4. Rejected or checked issues: I did not penalize Model 1 for the `'opposite produces` PlantUML comment, the lowercase `int`/`double` types, `*` vs `0..*` multiplicities, or the bidirectional `ScoutingAssignment&lt;-&gt;ScoutingReport` pair (equivalent to Model 2's `completes` relation). I also did not reward Model 2 merely for using UUID/Decimal types. Model 1's `Position` enum hard-codes positions (GK, CB, ...) where the requirement gives only examples — this is a minor over-constraint but not decisive. Model 2 models `TargetPosition` as a class with code+name, which is more faithful to "designated target positions (e.g. GK, LB, etc.)" being an open example list.
5. Overall judgment: Model 2 better aligns with the requirement's staged workflow (long list → scouting assignments → short list → offer) through first-class concepts, lower coupling, and clearer traceability, while covering all required entities.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</si>
  <si>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</si>
  <si>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Both capture the key actors via Employee generalization (HeadCoach, Director, Scout, HeadScout). Model 1 uses TargetProfile, LongListEntry, ScoutingAssignment, ScoutingReport, Offer, plus a transparent ScoutingRecord/ScoutingState refinement to track player workflow (LONG_LIST→SHORT_LIST→RECOMMENDED→OFFER_MADE). Model 2 explicitly models ShortListEntry and a separate TargetPosition class with code/name, plus ContractOffer. Model 1 captures the short-list concept only via enum state rather than a dedicated class; Model 2 lacks a workflow/record concept tying scouting rounds to a player's progression. Both cover the domain well with minor trade-offs.
2. Associations/Multiplicities between classes for domain reasoning: Model 1 = 4, Model 2 = 4; Evidence: Model 1: HeadCoach--&gt; "*" TargetProfile, LongListEntry--&gt;1 Player, LongListEntry--&gt;1 TargetProfile, ScoutingAssignment--&gt;1 Scout/Player, Director--&gt;* Offer--&gt;1 Player, with ScoutingRecord aggregating assignments and initial entries. Model 2: HeadCoach "1"--"0..*" TargetProfile, TargetProfile "1"--"1..*" TargetPosition, HeadScout "1"--"0..*" ScoutingAssignment, HeadCoach/HeadScout "1"--"0..*" ShortListEntry (approves), Director "1"--"0..*" ContractOffer "0..*"--"1" Player. Both correctly place multiplicities; Model 2 explicitly models joint short-list approval by both HeadCoach and HeadScout. Minor: Model 2's ProfileAttribute 0..* (arguably 1..*) and Model 1's ScoutingReport&lt;-&gt;ScoutingAssignment bidirectional pair (allowed opposite-direction equivalent).
3. Model attributes with appropriate data types: Model 1 = 5, Model 2 = 4; Evidence: Model 1 provides rich, well-typed attributes: TargetProfile.targetPositions: List&lt;Position&gt;, ScoutingReport {pros, cons, recommendation: Recommendation, submissionDate: Date}, ScoutingAssignment {assignmentDate, deadline}, Offer {amount: double, offerDate, status}, ScoutingRecord.currentState: ScoutingState. Model 2 is adequate (UUID ids, Decimal amount, AssignmentStatus enum) but ScoutingReport lacks a submission date, ScoutingAssignment lacks a creation/assignment date, and TargetProfile uses description rather than a name/identifier; slightly less complete.
4. Consistencies of Terminology with given context: Model 1 = 4, Model 2 = 4; Evidence: Both use domain-faithful terms: TargetProfile, LongListEntry, ScoutingAssignment, ScoutingReport, Recommendation (with KEY_PLAYER, FIRST_TEAM, RESERVE_TEAM, PROSPECTIVE, NOT_GOOD_SIGNING values), HeadCoach, Director, Scout, HeadScout. Model 1 introduces "ScoutingRecord"/"ScoutingState" (transparent refinement, permitted) and "Offer"; Model 2 uses "ContractOffer" (requirement says "official offer") and "ProfileAttribute". Minor additions are acceptable and recognizable.
5. Adherence of UML class diagram standards: Model 1 = 5, Model 2 = 5; Evidence: Both use valid PlantUML class-diagram syntax: generalization (Employee&lt;|--subclasses), enums, associations with multiplicities, role labels, and composition (Model 1: TargetProfile *-- Attribute). Model 2 uses bidirectional `--` lines with multiplicities on both ends; Model 1 uses `--&gt;` with quoted multiplicities and a trailing 'opposite produces comment (ignored per rules). Both are comprehensible and notation-correct.
Total: Model 1 = 22, Model 2 = 21
Choice: A
Reason:
1. Appropriate conceptual classes: Comparable — Model 1 uses a ScoutingRecord/ScoutingState workflow aggregator while Model 2 explicitly adds ShortListEntry and TargetPosition; neither dominates decisively.
2. Associations/Multiplicities: Comparable — Model 2's joint HeadCoach+HeadScout approval of ShortListEntry directly models the requirement; Model 1's ScoutingRecord aggregation is a valid alternative. Both have minor multiplicity quibbles only.
3. Model attributes: Model 1 is more complete with submission/assignment/offer dates, Offer.status, and a typed List&lt;Position&gt;; Model 2 omits report/assignment creation dates and uses description for TargetProfile. This is the deciding difference.
4. Terminology: Both consistent; "ContractOffer" and "ScoutingRecord" are minor transparent refinements, not penalized.
5. Rejected/checked issues: Did not penalize Model 1 for the `'opposite produces` comment or for two opposite unidirectional associations (ScoutingAssignment&lt;-&gt;ScoutingReport); did not penalize Model 2 for UUID/Decimal aliases or `0..*` vs `*`. ScoutingState's overlap with ShortListEntry was treated as a design choice, not a contradiction.
6. Overall judgment: The models are close, but Model 1 has marginally richer and more completely typed attributes that improve coverage of stated requirement facts (report submission, assignment deadlines/dates, offer amount/date/status), giving it a slight edge. The gap is small; a tie would also be defensible, but on the strict point totals Model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</si>
  <si>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</si>
  <si>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Employee hierarchy &amp; roles: Model 1 = 5, Model 2 = 2; Evidence: Model 1 correctly models `Employee &lt;|-- HeadCoach`, `Employee &lt;|-- Director`, `Employee &lt;|-- Scout`, `Scout &lt;|-- HeadScout` (correct generalisation direction, HeadScout is-a Scout). Model 2 writes `Employee --|&gt; HeadCoach` etc., which inverts the hierarchy (Employee becomes a subtype of HeadCoach/Director/Scout/HeadScout) and never models HeadScout as a specialization of Scout, so "head scout himself" cannot be represented.
2. Player profiles, target positions &amp; attributes: Model 1 = 5, Model 2 = 3; Evidence: Model 1 has `TargetProfile` with `targetPositions: List&lt;Position&gt;` (a Position enum with GK/CB/LB...) and `TargetProfile *-- * Attribute`, with `HeadCoach --&gt; * TargetProfile: defines`. Model 2 uses `PlayerProfile` with a single `targetPosition : String`, duplicates `targetPosition` on `Player`, and uses String rather than the example enum values; attributes are captured via `PlayerProfile --&gt; * Attribute`.
3. Long list concept: Model 1 = 5, Model 2 = 1; Evidence: Model 1 has a dedicated `LongListEntry` linked to `Player` and `TargetProfile: matchedProfile`, with `Scout --&gt; * LongListEntry: logs`, faithfully representing "scouts note players on a long list who match a profile". Model 2 has no long-list concept at all; only `Scout --&gt; * Player : notes`.
4. Scouting assignments (head scout sets up to investigate a specific player): Model 1 = 4, Model 2 = 2; Evidence: Model 1 has `ScoutingAssignment --&gt; 1 Player: assignedPlayer` and `--&gt; 1 Scout: assignedScout`, with `HeadScout --&gt; * ScoutingRecord: evaluates` (setup is indirect via ScoutingRecord). Model 2 has `HeadScout --&gt; * ScoutingAssignment: evaluates` and `ScoutingAssignment --&gt; * PlayerProfile : investigates` — it investigates a profile rather than a specific player, and "evaluates" does not match "sets up".
5. Scouting report (pros, cons, recommendation): Model 1 = 5, Model 2 = 3; Evidence: Model 1 has `ScoutingReport` with `pros`, `cons`, `recommendation: Recommendation` (enum with KEY_PLAYER/FIRST_TEAM/RESERVE_TEAM/PROSPECTIVE/NOT_GOOD_SIGNING) and `ScoutingAssignment --&gt; 1 ScoutingReport: produces`. Model 2 has `ScoutingReport` with `pros`, `cons`, `recommendation: String`, plus an unrequested `decision`, and `reportsOn PlayerProfile` rather than a player.
6. Short list decision (head coach + head scout): Model 1 = 3, Model 2 = 2; Evidence: Model 1 encodes short list as `ScoutingState.SHORT_LIST`, with `HeadCoach manages` and `HeadScout evaluates` the ScoutingRecord; the joint decision is implicit rather than explicit. Model 2 conflates the short list into `ScoutingAssignment.shortList: List&lt;Player&gt;` and splits the decision vaguely (`HeadCoach decides` / `HeadScout recommends` both pointing at PlayerProfile), which mislocates the concept.
7. Multiple scouting rounds / head scout does some himself: Model 1 = 5, Model 2 = 1; Evidence: Model 1's `ScoutingRecord --&gt; * ScoutingAssignment` supports several rounds, and because `HeadScout` is-a `Scout`, a HeadScout can be the `assignedScout`. Model 2 has no notion of multiple rounds and, with HeadScout not a Scout, cannot model the head scout carrying out assignments himself; only a vague `scoutingResults: List&lt;String&gt;`.
8. Director makes official offer after head scout recommends for signing: Model 1 = 5, Model 2 = 2; Evidence: Model 1 has a dedicated `Offer` class (`Director --&gt; * Offer: makes`, `Offer --&gt; 1 Player: offeredPlayer`, `Offer --&gt; 1 ScoutingRecord: basedOn`) and `ScoutingState.RECOMMENDED`. Model 2 only has `Director --&gt; * Player: makesOffer` with no Offer entity, and `HeadScout --&gt; * PlayerProfile: recommends` (recommends a profile, not a player for signing).
Total: Model 1 = 37, Model 2 = 16
Choice: A
Reason:
1. Employee hierarchy &amp; roles: Model 1's inheritance is correctly oriented and models HeadScout as a Scout (enabling "head scout himself" assignments); Model 2 inverts the `--|&gt;` arrows so Employee becomes a subtype of the role classes and omits HeadScout-as-Scout.
2. Requirement coverage: Model 1 faithfully captures every named concept — long list (LongListEntry), target profile with multiple positions and attributes, scouting assignment investigating a specific player, scouting report with a typed recommendation enum, short list (ScoutingState), multiple rounds via ScoutingRecord/assignments, and an official Offer made by the Director. Model 2 omits the long list and the Offer class, conflates the short list into an assignment attribute, investigates a profile instead of a player, and reports on a profile instead of a player.
3. Rejected or checked issues: I did not penalize Model 2 for using `String` instead of enums (allowed as primitive-type aliasing) or for the extra `Team`/`decision` elements; the decisive factors are the wrong inheritance direction, the missing long-list and Offer concepts, and the mislocated short-list/recommendation semantics. I also did not reward Model 1 merely for being longer — its extra classes (ScoutingRecord, ScoutingState) are traceable refinements that improve requirement coverage.
4. Overall judgment: Model 1 is substantially more faithful to the requirement across all functional aspects (employee hierarchy, long list, target profile, assignments, report, short list, multiple rounds, and offer), while Model 2 contains a genuine inheritance-direction error and misses or misplaces several core concepts, so Model 1 is clearly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</si>
  <si>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</si>
  <si>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uses a clear Employee superclass with HeadCoach, Director, Scout, HeadScout as subclasses, and HeadScout extends Scout, keeping role-specific behavior separated. TargetProfile owns Attribute via composition, and ScoutingRecord acts as a cohesive aggregate coordinating LongListEntry, ScoutingAssignment, and Offer references, keeping coupling localized. Model 2 has Employee as a superclass but ALSO gives Employee a `role: String` attribute, which duplicates the role concept already expressed via inheritance — low cohesion (Employee mixes identity with role data). Model 2 also stores `shortList: List&lt;Player&gt;` and `scoutingResults: List&lt;String&gt;` directly inside ScoutingAssignment, blurring assignment/report responsibilities, and PlayerProfile is referenced from many classes (HeadCoach, HeadScout, ScoutingAssignment, ScoutingReport) creating high fan-in coupling.
2. Complexity: Model 1 = 4, Model 2 = 3; Evidence: Model 1 has 13 classes plus 3 enums (Position, Recommendation, ScoutingState), with an inheritance depth of 3 (Employee→Scout→HeadScout). Intermediate classes (LongListEntry, ScoutingRecord, Offer) map to genuine domain workflow concepts (long list, short list tracking, official offer) and are traceable to requirement language. Model 2 has 11 classes with inheritance depth 2; however, it conflates concepts — Player carries both `targetPosition` and `playerStatus` (status workflow shoved into Player rather than a dedicated class), and ScoutingAssignment carries `shortList` and `scoutingResults`, overloading it with multi-round list management. Model 2 is shorter but misplaces concepts; Model 1 is appropriately balanced to the requirement's multi-stage workflow.
3. Practicability: Model 1 = 4, Model 2 = 3; Evidence: Model 1 explicitly models the full workflow — long list entries by scouts, head scout setting up assignments, reports with pros/cons/recommendation (typed Recommendation enum), the short-list progression (ScoutingState enum: LONG_LIST→UNDER_INVESTIGATION→SHORT_LIST→RECOMMENDED→OFFER_MADE), head coach + head scout decision, and director making Offer — all distinct and testable. Model 2 partially covers the flow but omits the long-list concept entirely (Scout→Player "notes" replaces it), has no dedicated Offer class (Director→Player "makesOffer" with no offer details), no recommendation enum (recommendation is a free String), and no short-list tracking structure, weakening testability of the short-list decision step. Model 1's interfaces/modularity better support unit and acceptance testing of each phase.
Total: Model 1 = 12, Model 2 = 9
Choice: A
Reason:
1. Cohesion and Decoupling: Model 1 keeps each role class single-purpose and routes workflow coordination through a dedicated ScoutingRecord aggregate, yielding localized coupling. Model 2 duplicates role semantics (inheritance + `role: String`) and overloads ScoutingAssignment and Player with workflow state, reducing cohesion and raising fan-in on PlayerProfile.
2. Complexity: Model 1's extra classes (LongListEntry, ScoutingRecord, Offer) and enums correspond to named requirement concepts (long list, periodic evaluation, short list, official offer) and keep inheritance depth modest at 3. Model 2 collapses these into attributes on Player/ScoutingAssignment, producing misplaced rather than reduced complexity.
3. Practicability: Model 1 models every requirement stage with typed enums for Position, Recommendation, and ScoutingState, enabling clear acceptance tests per phase and a concrete Offer entity. Model 2 lacks an Offer class, a typed recommendation, and any long-list/short-list structure, leaving key workflow stages implicit and harder to validate.
4. Rejected or checked issues: I did not penalize Model 2 for primitive `String` types or `List&lt;String&gt;` (forbidden penalty on primitive types). I did not penalize Model 1 for the `'opposite produces` comment (forbidden penalty on comments) or for `*`/`1` multiplicity literals. The bidirectional-style pair in Model 1 (ScoutingAssignment→ScoutingReport produces / ScoutingReport→ScoutingAssignment fulfills) was treated as equivalent to a single bidirectional association per forbidden-penalty rules.
5. Overall judgment: Model 1 more faithfully and modularly captures the multi-stage scouting workflow (long list → assignment → report → short list → recommendation → offer) with cohesive classes and typed enums, while Model 2 omits or misplaces several core requirement concepts; therefore Model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</si>
  <si>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</si>
  <si>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captures Employee hierarchy (HeadCoach, Director, Scout, HeadScout), Player, TargetProfile, Attribute, LongListEntry, ScoutingAssignment, ScoutingReport, Offer, and a ScoutingRecord tracking state. This covers the long list, short list, scouting assignments, reports, recommendation, and director offer workflow. Model 2 lacks LongListEntry (scouts simply "note" Player directly), lacks Offer as a class (director "makesOffer" on Player), lacks a distinct Recommendation enum (uses String), conflates HeadCoach/HeadScout/Scout/Director as separate subclasses of Employee alongside a `role` attribute redundantly, and puts `shortList` as a List&lt;Player&gt; attribute inside ScoutingAssignment rather than modeling the short list concept. Model 2's `Team` class is extraneous. Model 2 also merges targetPosition into both PlayerProfile and Player.
2. Associations/Multiplicities between classes for domain reasoning: Model 1 = 4, Model 2 = 3; Evidence: Model 1 models LongListEntry→Player (1) and →TargetProfile (1), ScoutingAssignment→Player (1) and →Scout (1), ScoutingAssignment→ScoutingReport (1), Offer→Player (1) and →ScoutingRecord (1). Multiplicities are largely sensible. The ScoutingRecord aggregator ties the workflow together reasonably, though it slightly over-centralizes the long/short list state. Model 2 has ScoutingReport→ScoutingAssignment (1) and ScoutingAssignment→PlayerProfile (*), but Scout→Player ("notes") omits the long list concept, HeadCoach "decides" and HeadScout "recommends" on PlayerProfile are vague, and Director→Player "makesOffer" lacks an Offer class and proper offer multiplicity. Model 2's Employee→HeadCoach/Director/Scout/HeadScout generalization with role attribute is muddled.
3. Model attributes with appropriate data types: Model 1 = 4, Model 2 = 3; Evidence: Model 1 uses enums (Position, Recommendation, ScoutingState) with proper typed attributes; Player has playerId/name/currentClub; TargetProfile has profileId/name/targetPositions: List&lt;Position&gt;; ScoutingReport has pros/cons/recommendation: Recommendation/submissionDate; Offer has amount: double/status. Types are appropriate. Model 2 uses String for recommendation (losing the enum semantics), String for targetPosition (losing the Position enum), `shortList: List&lt;Player&gt;` and `scoutingResults: List&lt;String&gt;` as embedded collections inside ScoutingAssignment rather than proper classes, and `decision: String` added to ScoutingReport without domain basis. Player redundantly has both targetPosition and playerStatus as String.
4. Consistencies of Terminology with given context: Model 1 = 5, Model 2 = 3; Evidence: Model 1 uses "designated target profile"→TargetProfile, "long list"→LongListEntry, "scouting assignment"→ScoutingAssignment, "scouting report"→ScoutingReport, "official offer"→Offer, "recommendation"→Recommendation enum with KEY_PLAYER/FIRST_TEAM/RESERVE_TEAM/PROSPECTIVE/NOT_GOOD_SIGNING matching the requirement's examples. Model 2 uses "PlayerProfile" instead of "target profile", "makesOffer" action instead of "Offer" entity, "shortList" as an attribute, and generic String values for recommendation and position. Model 2 also uses "decision" terminology not in the requirement.
5. Adherence of UML class diagram standards: Model 1 = 4, Model 2 = 4; Evidence: Model 1 uses proper class/enum declarations, generalization (`&lt;|--`), composition (`*--`), directed associations with multiplicities and role labels; valid PlantUML. The opposite-direction pair (ScoutingAssignment→ScoutingReport "produces" and ScoutingReport→ScoutingAssignment "fulfills") is semantically equivalent to bidirectional and not penalized. Model 2 uses `--|&gt;` generalization, associations with multiplicities and labels, `+` visibility markers; valid PlantUML. Both have minor notation quirks but are understandable. Model 2's redundant `Employee --|&gt; HeadCoach` etc. alongside `role: String` is a design smell but not a UML syntax violation.
Total: Model 1 = 22, Model 2 = 16
Choice: A
Reason:
1. Appropriate conceptual classes: Model 1 comprehensively covers the full workflow—long list entries, scouting assignments, scouting reports with typed recommendation, offers by the director, and a tracking record for state transitions. Model 2 omits LongListEntry, Offer, and typed enums, collapsing key domain concepts into String attributes or direct associations.
2. Associations/Multiplicities: Model 1 correctly links LongListEntry to both Player and TargetProfile, ScoutingAssignment to Player/Scout/ScoutingReport, and Offer to Player and the scouting record. Model 2's "Scout→Player notes" and "Director→Player makesOffer" bypass essential intermediate entities, weakening domain reasoning.
3. Model attributes/data types: Model 1 uses enums for Position, Recommendation, and ScoutingState with proper typed fields; Model 2 downgrades these to String, losing semantic precision, and embeds `shortList: List&lt;Player&gt;` inside ScoutingAssignment.
4. Terminology: Model 1's class and enum names directly mirror requirement terms (TargetProfile, LongListEntry, Offer, recommendation values). Model 2 substitutes "PlayerProfile", "makesOffer", and generic Strings, introducing inconsistency.
5. Rejected or checked issues: I did not penalize Model 1 for the opposite-direction ScoutingReport↔ScoutingAssignment pair (semantically equivalent bidirectional, per forbidden penalties), nor for `int`/`double` primitive aliases, nor for `*` vs `0..*`. I did not penalize Model 2's `+` visibility markers or `--|&gt;` direction. Model 2's `Team` class is extraneous but that alone was not the deciding factor.
6. Overall judgment: Model 1 is substantially better across all domain-focused criteria. It faithfully models the long-list→assignment→report→short-list→offer pipeline with proper entities, enums, and multiplicities, while Model 2 loses domain fidelity by collapsing concepts into Strings and direct action-associations.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</si>
  <si>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</si>
  <si>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&amp; relationships represent essentials: Model 1 = 5, Model 2 = 2; Evidence: Model 1 has distinct LongListEntry, ShortListEntry, ScoutingAssignment, ScoutingReport, ContractOffer, TargetProfile, TargetPosition, ProfileAttribute classes. Model 2 omits the LongList concept entirely, embeds shortList as a `List&lt;Player&gt;` attribute inside ScoutingAssignment (conflation), and has no ContractOffer/Offer class (only a `makesOffer` relation from Director to Player).
2. Associations, cardinalities &amp; relationship types (inheritance/aggregation/composition): Model 1 = 5, Model 2 = 2; Evidence: Model 1 uses correct inheritance `Scout &lt;|-- HeadScout` (head scout IS a scout) and clear multiplicities (e.g. `HeadScout "1" -- "0..*" ScoutingAssignment`, `ScoutingAssignment "0..*" -- "1" Scout : assigned to` allowing HeadScout assignment via inheritance). Model 2 makes `Employee --|&gt; HeadScout` directly alongside `Employee --|&gt; Scout`, severing the head-scout-is-a-scout relationship, and places `targetPosition`/`playerStatus` as Player attributes rather than profile-linked.
3. Clarity in class names &amp; optional attributes: Model 1 = 5, Model 2 = 3; Evidence: Model 1 uses precise names (TargetProfile, TargetPosition, ProfileAttribute, LongListEntry, ShortListEntry, ContractOffer) and a `Recommendation` enum with all 5 stated values (KEY_PLAYER…NOT_A_GOOD_SIGNING). Model 2 uses vague `playerStatus`, `decision`, `shortList` fields and a single `recommendation : String` rather than enumerating the closed example list.
Total: Model 1 = 15, Model 2 = 7
Choice: A
Reason:
1. Conceptual classes &amp; relationships: Model 1 covers every workflow artifact in the requirement (long list, short list, assignment, report, offer, target profile with positions/attributes). Model 2 omits the long list, merges short list into ScoutingAssignment, and lacks a ContractOffer class.
2. Associations/cardinalities/inheritance: Model 1 correctly models HeadScout as a subtype of Scout (enabling "some carried out by the head scout himself" via assignment-to-Scout), with clean multiplicities. Model 2 breaks the head-scout-is-a-scout semantics and misplaces targetPosition on Player.
3. Rejected/checked issues: Model 1's extra `AssignmentStatus` enum was not penalized as it does not contradict requirements; Model 2's extra `Team` class was ignored as presentation-only overhead rather than penalized under forbidden rules. The `int/String` aliases and `*` vs `0..*` differences were not used against either model.
4. Overall judgment: Model 1 faithfully and completely represents the stated domain workflow with correct inheritance and multiplicities, while Model 2 omits key concepts (long list, offer class), conflates short list into assignment, and misplaces the head-scout generalization. Model 1 is clearly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</si>
  <si>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</si>
  <si>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separates LongListEntry, ShortListEntry, ScoutingAssignment, ScoutingReport, TargetProfile, TargetPosition, ProfileAttribute as distinct cohesive units with focused responsibilities, and links them via associations with explicit role/multiplicity labels (e.g., `HeadScout "1" -- "0..*" ScoutingAssignment : creates`, `ShortListEntry "0..*" -- "1" Player : includes`). It models employees via a clean inheritance hierarchy (Employee &lt;|-- HeadCoach/Director/Scout, Scout &lt;|-- HeadScout), keeping role-specific behavior in subclasses. Model 2 crams multiple concerns into single classes: `Player` holds `targetPosition` and `playerStatus` (mixing player data with profile/status), `ScoutingAssignment` contains `shortList: List&lt;Player&gt;` and `scoutingResults: List&lt;String&gt;` (embedding list management and results inside the assignment), and `PlayerProfile` mixes position and attribute list. HeadCoach/HeadScout/Director/Scout are all modeled as separate classes but also declared as Employee subclasses via `Employee --|&gt; HeadCoach` (inverted direction) and each redefines `name`, fragmenting cohesion. The `Team` class with `Employee.role: String` overlaps with the sub-hierarchy, indicating low cohesion/duplicated modeling.
2. Complexity: Model 1 = 4, Model 2 = 2; Evidence: Model 1 has ~14 classes plus 2 enums, with a controlled inheritance depth of 2 (Employee-&gt;Scout-&gt;HeadScout is depth 2) and balanced methods/attributes; it correctly distinguishes conceptual classes (LongListEntry, ShortListEntry) from attributes (ProfileAttribute has name/value rather than becoming many classes). Model 2 has ~12 classes but with shallow/misapplied inheritance (`Employee --|&gt; HeadCoach` direction is unusual), redundant `role: String` plus subclassing, `Player` carrying `targetPosition` and `playerStatus` as primitive strings rather than modeled concepts, and `ScoutingAssignment` embedding `List&lt;Player&gt;` and `List&lt;String&gt;` collections — inflating complexity through aggregation of unrelated data into few classes rather than distributing responsibilities. Model 1's complexity aligns better with the requirement's distinct workflow stages (long list → assignments → reports → short list → offer).
3. Practicability: Model 1 = 5, Model 2 = 2; Evidence: Model 1 provides a readable, modular mapping of each requirement phase: TargetProfile with TargetPosition and ProfileAttribute (designated profiles/positions/attributes), LongListEntry (scouts noting players on long list matching a profile), ScoutingAssignment + AssignmentStatus enum (head scout setting up assignments with status tracking), ScoutingReport with Recommendation enum (pros/cons + recommendation with the exact five enumerated values), ShortListEntry approved jointly by HeadCoach and HeadScout (matching "head coach and head scout decide"), and ContractOffer made by Director (matching "director makes an official offer"). Multiplicities reflect domain semantics (e.g., ScoutingReport "1" -- "1" ScoutingAssignment : completes). Model 2 misses key concepts entirely: no LongListEntry, no ShortListEntry, no ContractOffer class, no enumerated Recommendation values, no TargetPosition as a distinct concept, and `ScoutingAssignment.shortList` conflates the short list with assignments. The requirement's "five possible recommendations" are flattened to a `recommendation: String`. Interfaces/structure in Model 2 are vague and would not support clear unit/acceptance testing of the long-list → short-list → offer workflow.
Total: Model 1 = 13, Model 2 = 6
Choice: A
Reason:
1. Cohesion and Decoupling: Model 1 distributes responsibilities across focused classes (LongListEntry, ShortListEntry, ScoutingAssignment, ScoutingReport, TargetProfile) with explicit low-coupling associations, while Model 2 overloads single classes (Player, ScoutingAssignment, PlayerProfile) with mixed concerns and duplicates the employee hierarchy via both inheritance and a `role` string.
2. Complexity: Model 1 uses appropriate intermediate workflow classes and enums (AssignmentStatus, Recommendation) that the requirement explicitly supports; its inheritance depth is controlled. Model 2 uses shallow/inverted inheritance and embeds collections in assignments, producing muddled rather than balanced complexity, and omits distinct workflow entities.
3. Practicability: Model 1 traces every requirement clause to a modelable element, including the enumerated recommendation list, the joint head-coach/head-scout short-list approval, and the director's offer. Model 2 omits the long list, short list, and offer concepts and loses the enumerated recommendation semantics, making it far less implementable and testable.
4. Rejected or checked issues: I did not penalize Model 2 for using `String` instead of domain enums per the "primitive types" forbidden-penalty rule on type aliases — the recommendation enum omission is scored under domain accuracy (practicability/complexity), not type spelling. I also did not reward Model 1 for the `status` enum beyond its requirement relevance. I did not penalize either model for opposite-direction vs bidirectional association styles.
5. Overall judgment: Model 1 is clearly better across all three criteria, with stronger cohesion, balanced and requirement-aligned complexity, and a complete, testable mapping of the scouting workflow.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</si>
  <si>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</si>
  <si>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captures all domain concepts: Employee hierarchy (HeadCoach, Director, Scout, HeadScout), TargetProfile, TargetPosition, ProfileAttribute, Player, LongListEntry, ShortListEntry, ScoutingAssignment, ScoutingReport, ContractOffer, plus Recommendation/AssignmentStatus enums. Model 2 omits LongList, ShortList, and ContractOffer as distinct classes; conflates target position into a String attribute on both Player and PlayerProfile; buries shortList as a List&lt;Player&gt; attribute inside ScoutingAssignment; introduces an unstated Team class.
2. Associations/Multiplicities between classes for domain reasoning: Model 1 = 4, Model 2 = 2; Evidence: Model 1 models the workflow chain: Scout "1"--"0..*" LongListEntry : creates; LongListEntry "0..*"--"1" Player : evaluates and "0..*"--"1" TargetProfile : matches; HeadScout "1"--"0..*" ScoutingAssignment : creates; ScoutingAssignment "0..*"--"1" Player : investigates; HeadCoach &amp; HeadScout both "1"--"0..*" ShortListEntry : approves; Director "1"--"0..*" ContractOffer : makes. Model 2 uses mostly vague "*" multiplicities; ScoutingAssignment --&gt; PlayerProfile : investigates (investigates a profile, not a player); Director --&gt; Player : makesOffer with no offer concept; HeadCoach/HeadScout --&gt; PlayerProfile : decides/recommends conflates the short-list decision and final recommendation; Scout --&gt; Player : notes loses the long-list semantics.
3. Model attributes with appropriate data types: Model 1 = 5, Model 2 = 3; Evidence: Model 1 uses typed enums (Recommendation with KEY_PLAYER/FIRST_TEAM_PLAYER/RESERVE_TEAM_PLAYER/PROSPECTIVE_PLAYER/NOT_A_GOOD_SIGNING; AssignmentStatus), TargetPosition.code/name, ProfileAttribute.name/value, ScoutingReport.pros/cons/recommendation, ContractOffer.amount: Decimal. Model 2 uses String for targetPosition and recommendation (losing the closed enumeration), ScoutingAssignment.shortList: List&lt;Player&gt; and scoutingResults: List&lt;String&gt; (conflating concepts and semantically weak), and redundant decision field.
4. Consistencies of Terminology with given context: Model 1 = 5, Model 2 = 3; Evidence: Model 1 uses "TargetProfile", "TargetPosition", "long list" (LongListEntry), "short list" (ShortListEntry), "scouting assignment", "scouting report", "official offer" (ContractOffer), "recommendation" — all traceable to the requirement. Model 2 uses "PlayerProfile" (less aligned with "designated player profile"), "makesOffer" instead of an official offer concept, omits "long list"/"short list" terminology, and applies targetPosition to Player itself (conflating a player's own position with the target profile position).
5. Adherence of UML class diagram standards: Model 1 = 5, Model 2 = 2; Evidence: Model 1 uses correct generalization (Employee &lt;|-- HeadCoach/Director/Scout; Scout &lt;|-- HeadScout), enums, and labeled associations with multiplicities. Model 2 reverses inheritance with `Employee --|&gt; HeadCoach` (Employee as subclass of HeadCoach), repeated for Director/Scout/HeadScout — an invalid and contradictory hierarchy; also redundantly models relatedAssignment both as an attribute and as a separate association on ScoutingReport.
Total: Model 1 = 24, Model 2 = 13
Choice: A
Reason:
1. Appropriate conceptual classes: Model 1 fully covers the domain workflow (long list → scouting assignment → report → short list → offer) with dedicated classes; Model 2 collapses long list, short list, and offer into attributes or association labels, losing key concepts.
2. Associations/Multiplicities: Model 1 traces the scouting lifecycle with correct multiplicities and role labels; Model 2 uses vague "*" multiplicities and misdirects associations (e.g., investigating a profile rather than a player, Director–Player with no offer class).
3. Attributes/types: Model 1 uses enums for Recommendation and AssignmentStatus and typed attributes; Model 2 flattens enumerations to String and embeds semantically-heavy lists (shortList, scoutingResults) inside ScoutingAssignment.
4. Terminology: Model 1's naming directly mirrors requirement terms; Model 2 diverges ("PlayerProfile", "makesOffer") and drops long/short list terminology.
5. Rejected or checked issues: I did not penalize Model 2 for primitive type aliases or for the extra Team class per se (extra unstated classes are neutral unless harmful); the decisive UML problem is the reversed/contradictory generalization (`Employee --|&gt; HeadCoach` etc.), which is a genuine notation/domain error, not a forbidden penalty item.
6. Overall judgment: Model 1 is substantially more complete, domain-faithful, and UML-compliant across every criterion, making it the clearly better response.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</si>
  <si>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</si>
  <si>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&amp; functional coverage: Model 1 = 5, Model 2 = 4; Evidence: Model 1 explicitly models ShortListEntry approved by both HeadCoach ("HeadCoach 1 -- 0..* ShortListEntry : approves &gt;") and HeadScout, matching "the head coach and the head scout decide upon which players to move to the short list." Model 2 represents the short list only as a ScoutingState.SHORT_LIST enum value and has no relation showing the joint decision by HeadCoach/HeadScout (only "HeadCoach --&gt; ScoutingRecord: manages" and "HeadScout --&gt; ScoutingRecord: evaluates"). Model 1 also models the final-recommendation trigger for offers only weakly (Director makes ContractOffer to Player without link to shortlisting), but Model 2 captures "finally recommended" via ScoutingState.RECOMMENDED.
2. Associations &amp; cardinalities: Model 1 = 5, Model 2 = 4.5; Evidence: Model 1 uses precise cardinalities such as "TargetProfile 1 -- 1..* TargetPosition" and "ScoutingReport 1 -- 1 ScoutingAssignment : completes &gt;". Model 2 mostly uses "*" multiplicities (e.g., "ScoutingRecord --&gt; * ScoutingAssignment", "Scout --&gt; * ScoutingReport") and relies on the ScoutingRecord aggregator; cardinalities are reasonable but looser (e.g., ScoutingAssignment --&gt; 1 ScoutingReport: produces is fine).
3. Relationship types (inheritance/aggregation/composition): Model 1 = 5, Model 2 = 5; Evidence: Both use correct generalisation hierarchies (Employee &lt;|-- HeadCoach/Director/Scout; Scout &lt;|-- HeadScout). Model 2 additionally uses composition "TargetProfile *-- Attribute: attributes"; requirement does not mandate composition, so no penalty or reward.
4. Class name clarity &amp; optional attributes: Model 1 = 5, Model 2 = 4.5; Evidence: Model 1 uses recognisable domain names (TargetProfile, TargetPosition, ProfileAttribute, LongListEntry, ShortListEntry, ScoutingAssignment, ScoutingReport, ContractOffer) and includes optional attributes. Model 2 names are also clear, but targetPositions is folded into TargetProfile as "targetPositions: List&lt;Position&gt;" rather than a separate association class, and "ContractOffer" vs "Offer" - both acceptable. Model 2 adds extra fields (description, status, submissionDate) that do not improve requirement coverage.
5. No hallucination / over-engineering: Model 1 = 4.5, Model 2 = 4; Evidence: Model 1 adds an AssignmentStatus enum not strictly required, and "ContractOffer" (requirement says "official offer") is a slight name deviation. Model 2 adds ScoutingRecord (an allowed refinement per guidance) plus ScoutingState, Position enum enumerating concrete positions even though requirement says "e.g." (examples), and extra description/status fields; these do not contradict but add unrequired detail.
Total: Model 1 = 24.5, Model 2 = 22
Choice: A
Reason:
1. Requirement alignment &amp; functional coverage: Model 1 explicitly represents the short list as a ShortListEntry class with joint approval by HeadCoach and HeadScout, directly fulfilling "the head coach and the head scout decide upon which players to move to the short list." Model 2 only encodes short list as a ScoutingState value and omits the decision agency.
2. Associations &amp; cardinalities: Model 1 supplies tighter, requirement-traceable cardinalities (e.g., one report completes one assignment; one profile targets 1..* positions). Model 2 leans on a ScoutingRecord aggregator with mostly open multiplicities, which is acceptable but less precise.
3. Rejected or checked issues: I did not penalise Model 2 for using two opposite unidirectional associations (ScoutingAssignment--&gt;ScoutingReport "produces" / ScoutingReport--&gt;ScoutingAssignment "fulfills 'opposite"), per forbidden-penalty rules. I also did not penalise Model 2's ScoutingRecord refinement (allowed). The Position enum enumerating GK/CB/... from "e.g." examples was noted as minor over-specification, not a hard contradiction.
4. Overall judgment: Model 1 better covers the stated requirement (especially the short list and the joint head-coach/head-scout decision) with clearer, tighter relationships, while Model 2's workflow-state abstraction is reasonable but under-specifies the short-list decision and adds extra unrequired detail. Model 1 is therefore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</si>
  <si>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</si>
  <si>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distributes responsibilities cleanly — `LongListEntry` and `ShortListEntry` act as focused join classes linking `Player` and `TargetProfile`, and each actor (HeadCoach, HeadScout, Scout, Director) has narrow, distinct associations. Model 2 introduces `ScoutingRecord` as a central hub connecting `LongListEntry`, `ScoutingAssignment`, `Player`, `TargetProfile`, managed by `HeadCoach` and evaluated by `HeadScout` — this concentrates many relationships in one class, raising coupling.
2. Complexity: Model 1 = 4, Model 2 = 3; Evidence: Model 1 uses 14 conceptual classes + 2 enums with inheritance depth 2 (Employee→Scout→HeadScout); `ShortListEntry` and `LongListEntry` are justified association-class concepts matching the requirement's long list / short list workflow. Model 2 adds `ScoutingRecord` and `ScoutingState` enum (LONG_LIST, UNDER_INVESTIGATION, SHORT_LIST, RECOMMENDED, OFFER_MADE) as an extra tracking layer not explicitly required, increasing class count and conceptual overhead without a direct requirement basis; the `Position` enum hardcodes a closed list where the requirement says "e.g.".
3. Practicability: Model 1 = 4, Model 2 = 3; Evidence: Model 1 models the short-list decision explicitly (`HeadCoach "1" -- "0..*" ShortListEntry : approves` and `HeadScout "1" -- "0..*" ShortListEntry : approves`), matches the recommendation via the `Recommendation` enum, and represents the director offer via `ContractOffer`; the workflow classes are directly traceable to requirement nouns. Model 2's `ScoutingState` does capture progression but the short-list decision by both head coach and head scout is not explicitly modeled (no joint approval), and `ScoutingRecord` couples many concerns, reducing readability and modularity.
Total: Model 1 = 12, Model 2 = 9
Choice: A
Reason:
1. Cohesion and Decoupling: Model 1 keeps each class focused (e.g., `LongListEntry` only links Player/TargetProfile with dateAdded/notes) and avoids a central hub; Model 2's `ScoutingRecord` aggregates LongListEntry, ScoutingAssignment, Player, and TargetProfile, raising coupling.
2. Complexity: Model 1's class count and conceptual classes align directly with requirement entities (long list, short list, assignment, report, offer); Model 2 adds `ScoutingRecord` and a `ScoutingState` machine that, while plausible, is not directly required and inflates conceptual complexity.
3. Rejected or checked issues: Did not penalize Model 2 for its `Position` enum closed list or PlantUML `'opposite produces` comment per the forbidden-penalties rules; did not reward Model 1 merely for being shorter — its shorter design is genuinely more traceable to the requirement.
4. Overall judgment: Model 1 better balances cohesion, complexity, and practicability, with explicit modeling of the short-list decision and a clean separation between long list, short list, assignments, reports, and offers. Model 2's central `ScoutingRecord` hub and extra state-tracking layer increase coupling and complexity without proportionate requirement coverage.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</si>
  <si>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</si>
  <si>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explicit classes for every domain concept — `TargetProfile`, `TargetPosition`, `ProfileAttribute`, `Player`, `LongListEntry`, `ShortListEntry`, `ScoutingAssignment`, `ScoutingReport`, `ContractOffer`, plus `HeadCoach`/`Director`/`Scout`/`HeadScout` under `Employee`. Model 2 covers most concepts but replaces the explicit short list with an introduced `ScoutingRecord` class plus a `ScoutingState` enum (`LONG_LIST`, `UNDER_INVESTIGATION`, `SHORT_LIST`, `RECOMMENDED`, `OFFER_MADE`), and models target positions as a `Position` enum rather than a concept class. The short-list decision is captured as a state rather than the explicit "head coach and head scout decide" relationship.
2. Associations/Multiplicities between classes for domain reasoning: Model 1 = 4, Model 2 = 3; Evidence: Model 1 provides explicit multiplicities on both ends of every association, e.g. `HeadCoach "1" -- "0..*" TargetProfile`, `LongListEntry "0..*" -- "1" TargetProfile : matches`, `HeadCoach "1" -- "0..*" ShortListEntry : approves` and `HeadScout "1" -- "0..*" ShortListEntry : approves`. Minor over-constraint: `ScoutingAssignment "0..*" -- "1" Scout` (the "team" could imply more than one). Model 2 omits the source-side multiplicity on several links (`HeadCoach --&gt; "*" TargetProfile`, `Scout --&gt; "*" LongListEntry`, `Scout --&gt; "*" ScoutingReport`, `HeadCoach --&gt; "*" ScoutingRecord`, `HeadScout --&gt; "*" ScoutingRecord`, `Director --&gt; "*" Offer`), leaving those cardinalities unspecified.
3. Model attributes with appropriate data types: Model 1 = 5, Model 2 = 4; Evidence: Model 1 uses well-typed attributes throughout — `ProfileAttribute { name: String; value: String }` matches "identified by a name and a value"; `ScoutingReport { pros: String; cons: String; recommendation: Recommendation }`; `ContractOffer { amount: Decimal; date: Date }`; enums `Recommendation`/`AssignmentStatus`. Model 2 also types attributes properly (`Attribute { name; value }`, `ScoutingReport` with `submissionDate`, `Offer { amount: double; offerDate: Date; status: String }`), but `ScoutingRecord` carries only `currentState: ScoutingState` and `Offer.status: String` is vague compared to Model 1's structured enum-based approach.
4. Consistencies of Terminology with given context: Model 1 = 5, Model 2 = 4; Evidence: Model 1 keeps requirement terms directly: `LongListEntry`, `ShortListEntry`, `ScoutingAssignment`, `ScoutingReport`, `ContractOffer`, and `Recommendation` values `KEY_PLAYER / FIRST_TEAM_PLAYER / RESERVE_TEAM_PLAYER / PROSPECTIVE_PLAYER / NOT_A_GOOD_SIGNING` mirror the text. Model 2 introduces non-requirement terms `ScoutingRecord` and `ScoutingState`, shortens recommendation labels (`FIRST_TEAM`, `RESERVE_TEAM`, `PROSPECTIVE`, `NOT_GOOD_SIGNING`), and renames the official offer to plain `Offer`.
5. Adherence of UML class diagram standards: Model 1 = 5, Model 2 = 5; Evidence: Both use valid PlantUML — classes, enums, generalisation (`Employee &lt;|-- HeadCoach`, `Scout &lt;|-- HeadScout`), associations with role labels and multiplicities. Model 2's `'opposite produces` is a valid single-quote comment (ignored per guidance), and omitted multiplicities are valid UML, so no standard violation.
Total: Model 1 = 24, Model 2 = 22
Choice: A
Reason:
1. Appropriate conceptual classes: Model 1 explicitly models the short list (`ShortListEntry`) and target positions (`TargetPosition`) as first-class concepts, and ties the head coach and head scout to the short-list decision; Model 2 abstracts these into a `ScoutingRecord`/state machine, which is reasonable but less directly traceable to the requirement wording.
2. Associations/Multiplicities: Model 1 specifies multiplicities on both ends of every association, supporting domain reasoning (e.g., `LongListEntry "0..*" -- "1" TargetProfile`, `Director "1" -- "0..*" ContractOffer`); Model 2 leaves several source-side cardinalities unspecified (`HeadCoach --&gt; "*" TargetProfile`, `Scout --&gt; "*" LongListEntry`, etc.), weakening the multiplicity coverage.
3. Rejected or checked issues: I did not penalize Model 2 for the `'opposite produces` comment, for using `int`/`double` instead of `Integer`/`Decimal`, or for using `*` vs `0..*` (all forbidden penalties). I also did not reward Model 1 merely for being more detailed where the extra detail (e.g., `AssignmentStatus`, UUID ids) is implementation-oriented rather than requirement-driven.
4. Overall judgment: Model 1 is more faithful to the domain vocabulary and provides fuller, two-sided multiplicities, giving it a small but consistent edge; the difference is meaningful but not large.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</si>
  <si>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</si>
  <si>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&amp; functionality coverage: Model 1 = 2, Model 2 = 5; Evidence: Model 1 omits the long list and short list concepts entirely, has no Offer class (Director --&gt; "*" Player : makesOffer is a bare association), and conflates "HeadScout recommends PlayerProfile" / "HeadCoach decides PlayerProfile" with players (requirement: recommend a player for signing; decide which players move to short list). Model 2 introduces LongListEntry (long list), ScoutingState enum with SHORT_LIST/RECOMMENDED/OFFER_MADE (short list, recommendation, offer states), Offer class, and ScoutingRecord tracking rounds — covering all requirement facts.
2. Conceptual classes &amp; relationships accuracy: Model 1 = 2, Model 2 = 4; Evidence: Model 1 places targetPosition inside Player (should be in profile), ScoutingReport reportsOn PlayerProfile (should report on a player), ScoutingAssignment investigates PlayerProfile (should investigate a specific player). Model 2 separates TargetProfile (with targetPositions: List&lt;Position&gt; and *-- Attribute) from Player, links ScoutingAssignment to Player (assignedPlayer) and Scout (assignedScout), and has HeadScout inherit from Scout (supporting "some scouting carried out by the head scout himself").
3. Associations, cardinalities &amp; relationship types: Model 1 = 3, Model 2 = 4; Evidence: Model 1 uses "*" multiplicities broadly and a correct ScoutingReport --&gt; "1" relatedAssignment, but ScoutingAssignment --&gt; "*" PlayerProfile (investigates) misrepresents the 1:1 player-focus of an assignment. Model 2 uses appropriate cardinalities (LongListEntry --&gt; "1" Player, "1" TargetProfile; ScoutingAssignment --&gt; "1" Player, "1" Scout; Offer --&gt; "1" Player) and composition TargetProfile *-- "*" Attribute reflecting that attributes belong to a profile.
4. Class names &amp; attribute clarity: Model 1 = 3, Model 2 = 5; Evidence: Model 1 uses vague attributes (Player.playerStatus, ScoutingReport.decision not in requirement; recommendation as plain String). Model 2 uses typed enums Position (GK, LB, ...) and Recommendation (KEY_PLAYER, FIRST_TEAM, RESERVE_TEAM, PROSPECTIVE, NOT_GOOD_SIGNING) matching the requirement's examples, and ScoutingState capturing workflow stages explicitly.
5. Inheritance/generalisation faithfulness: Model 1 = 3, Model 2 = 4; Evidence: Both model Employee subclasses (HeadCoach, Director, Scout, HeadScout). Model 1 makes all four direct children of Employee, so HeadScout is not a Scout — weakening "head scout sets up scouting assignments for his team" and "some carried out by the head scout himself". Model 2 uses Employee &lt;|-- Scout &lt;|-- HeadScout, so a HeadScout can also be an assignedScout — better matching the requirement.
Total: Model 1 = 13, Model 2 = 22
Choice: B
Reason:
1. Requirement alignment: Model 2 covers the long list (LongListEntry), short list (ScoutingState.SHORT_LIST), multi-round scouting (ScoutingRecord tracking assignments), recommendation (Recommendation enum), and official offer (Offer class). Model 1 misses the long/short list workflow and has only a bare Director–Player offer association.
2. Relationship accuracy: Model 2 links scouting assignments and reports to a specific Player (assignedPlayer), keeps TargetProfile separate with composed Attributes, and lets HeadScout act as a Scout via inheritance. Model 1 mis-points several relations at PlayerProfile instead of Player and conflates Player.targetPosition with the profile concept.
3. Rejected or checked issues: I did not penalize Model 1 for using two opposite unidirectional associations or for String/Date primitive spellings (forbidden penalties). I also did not reward Model 2 merely for having more classes — the extra classes (LongListEntry, ScoutingRecord, Offer, enums) each trace to a distinct requirement fact. ScoutingRecord is a transparent refinement and was not penalized per the guidelines.
4. Overall judgment: Model 2 is clearly better because it faithfully represents the end-to-end scouting workflow (long list → assignments → reports → short list → recommendation → offer) with correct domain semantics, typed enumerations matching the requirement's examples, and an inheritance structure that allows the head scout to perform scouting. Model 1 omits key workflow stages and mis-associates several actions with PlayerProfile rather than Player.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</si>
  <si>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</si>
  <si>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reverses inheritance (`Employee --|&gt; HeadCoach`, `Employee --|&gt; Director`, `Employee --|&gt; Scout`, `Employee --|&gt; HeadScout`), making the general Employee a subclass of each specialized role — a semantic inversion that hurts both cohesion and correctness. Model 1 also duplicates state: `Player.targetPosition` AND `PlayerProfile.targetPosition`, and `Employee.role` AND role subclasses. `ScoutingAssignment.shortList : List&lt;Player&gt;` embeds the short-list concept as a primitive attribute inside an assignment, lowering cohesion. Multiple classes converge on `PlayerProfile` (`HeadCoach decides`, `HeadScout recommends`, `ScoutingAssignment investigates`, `ScoutingReport reportsOn`), producing high coupling around one class. Model 2 gives each concept a dedicated class (`LongListEntry`, `ScoutingRecord`, `ScoutingAssignment`, `ScoutingReport`, `Offer`), uses composition `TargetProfile *-- Attribute`, and models `HeadScout &lt;|-- Scout` so the head scout reuses scout behavior with minimal extra coupling. `ScoutingRecord` acts as a coordination hub but that is appropriate for tracking workflow state.
2. Complexity: Model 1 = 2, Model 2 = 4; Evidence: Model 1 has 12 classes but conflates concepts — `shortList` and `scoutingResults` are `List` attributes of `ScoutingAssignment` rather than modeled classes, the long list is absent, there is no `Offer` class (Director just `makesOffer` to Player), and `recommendation`/`decision` are loose Strings. The inheritance direction error adds confusion rather than useful structure. Model 2 has 13 classes + 3 enums with a shallow inheritance tree (Employee→Scout→HeadScout, depth 2) and balanced attribute counts; it introduces traceable intermediate workflow classes (`LongListEntry`, `ScoutingRecord`) required by the domain, and enums (`Position`, `Recommendation`, `ScoutingState`) that capture the closed enumerations implied by the requirement (GK/LB, key player/first team/reserve/prospective/not good, long list/short list/recommended/offer). Complexity is well-aligned with the requirement’s multi-stage workflow.
3. Practicability: Model 1 = 2, Model 2 = 5; Evidence: Model 1 is hard to implement/test correctly because of the inverted inheritance, the missing long-list and offer concepts, and the short-list being buried as a `List&lt;Player&gt;` attribute. `ScoutingReport --&gt; PlayerProfile : reportsOn` reports on a profile rather than a player, which contradicts the requirement that reports are about a player. Model 2 is modular and readable: `LongListEntry` links Scout→Player→TargetProfile; `ScoutingAssignment` has `assignedPlayer` and `assignedScout` (and since `HeadScout &lt;|-- Scout`, head-scout-led rounds are supported); `ScoutingReport` carries a typed `Recommendation` enum; `ScoutingRecord.currentState : ScoutingState` enables state-based unit testing of long-list→short-list→recommended→offer transitions; `Offer` with `amount`, `offerDate`, `status` supports the director’s official-offer step. Each workflow stage is independently testable.
Total: Model 1 = 6, Model 2 = 13
Choice: B
Reason:
1. Cohesion and Decoupling: Model 2 separates concerns into focused classes (LongListEntry, ScoutingRecord, ScoutingAssignment, ScoutingReport, Offer) and uses correct, shallow inheritance (Employee→Scout→HeadScout). Model 1 inverts the inheritance arrows (`Employee --|&gt; HeadCoach`), duplicates targetPosition/role, and stuffs the short list into a `List&lt;Player&gt;` attribute, hurting both cohesion and decoupling.
2. Complexity: Model 2’s additional classes are traceable workflow concepts the requirement actually describes (long list, assignments, reports, short-list state, offer), with typed enums for the closed lists in the text. Model 1 under-models (no long list, no offer class, short list as attribute) and its inheritance error adds noise without useful structure.
3. Rejected or checked issues: I did not penalize Model 1 for using `String` recommendations or `int`/lowercase types (forbidden penalties). I did not reward Model 2 merely for being longer — its extra classes map to explicit requirement facts (long list, short list, offer, recommendation values). Model 2’s `ScoutingRecord` is a transparent refinement, not over-engineering. Model 1’s `ScoutingReport --&gt; PlayerProfile : reportsOn` was treated as a domain-accuracy weakness (reports should concern a player), not a UML-standards issue.
4. Overall judgment: Model 2 is substantially better across all three criteria — correct inheritance, faithful modeling of every workflow stage (long list, assignments, reports, short-list state, offer), typed enumerations, and testable modularity — while Model 1 contains a fundamental inheritance inversion and collapses several required concepts into loose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</si>
  <si>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</si>
  <si>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4; Evidence: Model 1 has core classes (PlayerProfile, ScoutingAssignment, ScoutingReport) but duplicates Scout/HeadScout as both Employee subclasses and standalone classes, encodes "shortList" as a List&lt;Player&gt; attribute of ScoutingAssignment (misplaced), and lacks any Offer/LongList concept. Model 2 introduces LongListEntry, ScoutingRecord (state-tracking), Offer, and enums (Position, Recommendation, ScoutingState with LONG_LIST/SHORT_LIST/RECOMMENDED/OFFER_MADE), covering the long list, short list, recommendation, and official offer workflow.
2. Associations/Multiplicities between classes for domain reasoning: Model 1 = 2, Model 2 = 4; Evidence: Model 1's relations are vague — "HeadCoach --&gt; PlayerProfile decides", "HeadScout --&gt; PlayerProfile recommends", "PlayerProfile --&gt; Player profiles" — and it places shortList inside ScoutingAssignment. Model 2 traces the workflow: LongListEntry --&gt; Player and matchedProfile; ScoutingAssignment --&gt; assignedPlayer/assignedScout; ScoutingAssignment produces ScoutingReport; Offer --&gt; Player offeredPlayer and basedOn ScoutingRecord; ScoutingRecord tracks Player and alignedWith TargetProfile.
3. Model attributes with appropriate data types: Model 1 = 3, Model 2 = 4; Evidence: Model 1 uses targetPosition:String (single position despite "positions" plural), playerAttributes:List&lt;Attribute&gt;, and shortList:List&lt;Player&gt; wrongly inside assignment. Model 2 uses targetPositions:List&lt;Position&gt; (multi-position), pros/cons:String, recommendation:Recommendation enum, currentState:ScoutingState enum, with proper ID/date types throughout.
4. Consistencies of Terminology with given context: Model 1 = 3, Model 2 = 4; Evidence: Model 1 uses "PlayerProfile" (acceptable) but "decision", "shortList" attribute, and "scoutingResults" stray from requirement terms. Model 2 uses TargetProfile, LongListEntry, ScoutingAssignment, ScoutingReport (recommendation), Offer — all mapping to requirement language; ScoutingRecord/ScoutingState are transparent refinements of the tracking workflow.
5. Adherence of UML class diagram standards: Model 1 = 2, Model 2 = 5; Evidence: Model 1 writes generalizations as "Employee --|&gt; HeadCoach" (and similarly for Director/Scout/HeadScout) — arrow points TO the subclass, reversing UML generalization direction (should be HeadCoach --|&gt; Employee). Model 2 correctly uses "Employee &lt;|-- HeadCoach", "Scout &lt;|-- HeadScout", with valid composition, associations, enums, and multiplicities throughout.
Total: Model 1 = 13, Model 2 = 21
Choice: B
Reason:
1. Appropriate conceptual classes: Model 2 captures the full workflow (long list → investigation → short list → recommendation → offer) via LongListEntry, ScoutingRecord/ScoutingState, and Offer, whereas Model 1 omits long list/offer concepts and misplaces shortList as an assignment attribute.
2. Associations/Multiplicities: Model 2 traces concrete workflow links (LongListEntry→Player/TargetProfile, Assignment→Player/Scout, Offer→ScoutingRecord/Player); Model 1's relations are vague and domain-weak (e.g., "HeadScout recommends PlayerProfile").
3. Rejected/checked issues: Did NOT penalize Model 1 for primitive aliases or PlantUML comments, and did not reward Model 2 merely for extra IDs/timestamps. Model 1's generalization-direction error counts under UML standards (criterion 5), not domain criteria.
4. Overall judgment: Model 2 is better on every criterion, most decisively on workflow coverage, association traceability, attribute typing (enums + multi-position), and correct UML generalization direction; Model 1's reversed generalizations and missing long-list/offer concepts make it clearly weaker.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</si>
  <si>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</si>
  <si>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coverage of requirement essentials: Model 1 = 2, Model 2 = 5; Evidence: Model 1 omits the Long List and Short List as conceptual classes (it crams `shortList : List&lt;Player&gt;` as an attribute of `ScoutingAssignment`, and scouts merely `--&gt; Player : notes` with no long-list concept). It also models `targetPosition` only as a String on `PlayerProfile`/`Player`. Model 2 explicitly introduces `LongListEntry`, `ShortListEntry`, `TargetProfile`, `TargetPosition`, `ProfileAttribute`, `ContractOffer`, plus `Recommendation`/`AssignmentStatus` enums, covering the long-list → assignment → report → short-list → offer workflow.
2. Associations, cardinalities, and relationship types: Model 1 = 2, Model 2 = 5; Evidence: Model 1 uses generic `--&gt;"*"` arrows with no role labels and no inverse ends; e.g. `HeadCoach --&gt; "*" PlayerProfile : decides` and `HeadScout --&gt; "*" PlayerProfile : recommends` are vague. It also makes `HeadScout` a sibling of `Scout` (both `--|&gt; Employee`), missing the is-a-Scout relation. Model 2 uses labeled bidirectional associations with explicit multiplicities (`HeadCoach "1" -- "0..*" TargetProfile : identifies &gt;`, `Scout "1" -- "0..*" ScoutingReport : submits &gt;`) and correctly models `Scout &lt;|-- HeadScout`, so head-scout-performed scouting is covered via inheritance.
3. Class names and optional attributes: Model 1 = 3, Model 2 = 4; Evidence: Model 1 has redundant `targetPosition` on both `Player` and `PlayerProfile` and an awkward `shortList : List&lt;Player&gt;` field on `ScoutingAssignment`. Names like `decision : String` on `ScoutingReport` are unclear. Model 2 uses crisp names (`LongListEntry`, `ShortListEntry`, `ContractOffer`) and attribute names (`dateAdded`, `pros`, `cons`, `recommendation`) that map directly to the requirement.
4. Functionalities achieved without hallucination/additions: Model 1 = 2, Model 2 = 4; Evidence: Model 1 loses key flows: `Director --&gt; Player : makesOffer` skips the "official offer" object and the head-scout final-recommendation trigger; `ScoutingAssignment --&gt; PlayerProfile : investigates` targets the profile rather than "a specific player"; the short-list decision (`HeadCoach/HeadScout decide`) is not modeled as a real short-list concept. Model 2 traces the requirement: scouts create `LongListEntry` matching a `TargetProfile`; `HeadScout` creates `ScoutingAssignment` assigned to a `Scout` investigating a `Player`; `Scout` submits `ScoutingReport` completing the assignment; `HeadCoach` and `HeadScout` both approve `ShortListEntry`; `Director` makes `ContractOffer` to `Player`. Minor gap: the "finally recommended for signing by the head scout" is only captured via the `Recommendation` enum, not a distinct decision act.
Total: Model 1 = 9, Model 2 = 18
Choice: B
Reason:
1. Conceptual classes coverage: Model 2 introduces `LongListEntry`, `ShortListEntry`, `TargetPosition`, `ProfileAttribute`, and `ContractOffer`, all of which the requirement explicitly mentions; Model 1 collapses the long/short list into a single list attribute and omits the official-offer object.
2. Associations/cardinalities/inheritance: Model 2 uses precise labeled multiplicities and correct inheritance (`Scout &lt;|-- HeadScout`), while Model 1 uses unlabeled `*` arrows and incorrectly makes `HeadScout` a sibling of `Scout`.
3. Rejected/checked issues: I did not penalize Model 1 for using `int`/`String` aliases or `*` vs `0..*`, per the forbidden-penalties rules; I also did not reward Model 2 merely for being longer — its extra classes (LongListEntry, ShortListEntry, ContractOffer) each map to a stated requirement fact. Model 2's `AssignmentStatus` enum is an addition not strictly required, but it does not contradict the requirement, so it was not scored negatively.
4. Overall judgment: Model 2 faithfully captures the full scouting workflow end-to-end (long list → assignment → report → short list → official offer) with accurate relationships and multiplicities, whereas Model 1 is vague, omits the long/short list and offer concepts, and mismodels the Scout/HeadScout hierarchy. Model 2 is clearly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</si>
  <si>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</si>
  <si>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conflates concerns inside ScoutingAssignment (`+ shortList : List&lt;Player&gt;` and `+ scoutingResults : List&lt;String&gt;`), mixes TargetPosition into PlayerProfile as a String, and adds a redundant `+ role : String` on Employee despite an inheritance hierarchy (HeadCoach/Director/Scout/HeadScout). HeadScout is modeled as a sibling of Scout (`Employee --|&gt; HeadScout`, `Employee --|&gt; Scout`), so it is not a Scout and cannot itself carry out scouting — contradicting "some of which is carried out by the head scout himself." Model 2 gives each concept a dedicated class (LongListEntry, ShortListEntry, ScoutingAssignment, ScoutingReport, ContractOffer, TargetProfile, TargetPosition, ProfileAttribute) with single responsibilities, and HeadScout inherits from Scout (`Scout &lt;|-- HeadScout`), allowing the head scout to perform scouting while remaining decoupled via clear association roles ("creates", "assigned to", "approves").
2. Complexity: Model 1 = 3, Model 2 = 4; Evidence: Model 1 has 12 classes but omits the Long List concept entirely (only `Scout --&gt; Player : notes`) and folds the Short List into ScoutingAssignment, so the lower count reflects missing requirement coverage rather than appropriate simplification; it also lacks the enumerated Recommendation values. Model 2 has ~13 classes plus two enums (Recommendation with KEY_PLAYER/FIRST_TEAM_PLAYER/RESERVE_TEAM_PLAYER/PROSPECTIVE_PLAYER/NOT_A_GOOD_SIGNING; AssignmentStatus), but each class traces to a stated requirement fact (LongListEntry ↔ "note players on a long list", ShortListEntry ↔ "move to the short list", ContractOffer ↔ "official offer", TargetPosition ↔ "designated target positions"). The depth of inheritance (Employee→Scout→HeadScout) is shallow and justified. Complexity is balanced and aligned with the requirement.
3. Practicability: Model 1 = 2, Model 2 = 5; Evidence: Model 1 is hard to trace end-to-end: `HeadCoach --&gt; PlayerProfile : decides` and `HeadScout --&gt; PlayerProfile : recommends` are vague and target the profile rather than the player/short-list decision; the joint "head coach and head scout decide" decision is not represented (no shared approval, no ShortList concept); "several other rounds of scouting for short-listed players" is not distinguishable. Model 2 makes the workflow explicit and testable: `HeadCoach "1" -- "0..*" ShortListEntry : approves &gt;` and `HeadScout "1" -- "0..*" ShortListEntry : approves &gt;` capture the joint decision; `Scout "1" -- "0..*" ScoutingReport : submits &gt;` and `ScoutingReport "1" -- "1" ScoutingAssignment : completes &gt;` give a clear completion semantics; the Recommendation enum enables assertion-based acceptance tests; dateAdded/notes/deadline fields support unit testing of lifecycle transitions.
Total: Model 1 = 7, Model 2 = 13
Choice: B
Reason:
1. Cohesion and Decoupling: Model 2 separates LongListEntry, ShortListEntry, ScoutingAssignment, ScoutingReport, and ContractOffer into cohesive units, whereas Model 1 bundles shortList and scoutingResults into ScoutingAssignment and collapses the long list into a bare `Scout --&gt; Player : notes` link. Model 2 also correctly models HeadScout as a specialization of Scout, enabling the head scout to perform scouting himself as the requirement states; Model 1 makes HeadScout a sibling of Scout, blocking that behavior.
2. Complexity: Model 2's extra classes are traceable to explicit requirement facts (long list, short list, official offer, enumerated recommendation), so the higher count is justified rather than over-engineered. Model 1's lower count corresponds to omitted concepts and a String-typed targetPosition that loses the "designated target positions (e.g. GK, LB)" structure.
3. Practicability: Model 2 provides a complete, readable workflow from profile identification → long list → scouting assignment → report → short-list approval (by both head coach and head scout) → further scouting → contract offer, with enums and timestamps that support robust unit/acceptance testing. Model 1's vague `decides`/`recommends` links on PlayerProfile, the conflation of short list into assignment, and the missing long-list concept make the design incomplete and harder to test.
4. Rejected/checked issues: I did not penalize Model 1 for using opposite-direction associations, PlantUML comments, lowercase/primitive-style types, or `*` vs `0..*` literals — these are forbidden penalties. I also did not reward Model 2 merely for using the refinement names `LongListEntry`/`ShortListEntry`/`ContractOffer`; they were credited only because each maps to a stated requirement fact. The deciding factor is requirement coverage and semantic correctness, not length.
5. Overall judgment: Model 2 is better because it faithfully and testably captures the full scouting workflow — including the long list, short list, joint head-coach/head-scout decision, head-scout-as-scout capability, and the official offer — while Model 1 omits or conflates several of these requirement-critical concepts.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</si>
  <si>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</si>
  <si>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has core classes (PlayerProfile, Attribute, ScoutingAssignment, ScoutingReport, HeadCoach/HeadScout/Director/Scout) but is missing LongList, ShortList, and the official offer/ContractOffer concept; it also folds TargetPosition into a plain String attribute. Model 2 introduces LongListEntry, ShortListEntry, ContractOffer, TargetPosition (separate class), ProfileAttribute, plus a Recommendation enum and AssignmentStatus enum — covering every domain concept named in the requirement (long list, short list, official offer, designated target positions, player attributes, recommendation values).
2. Associations/Multiplicities between classes for domain reasoning: Model 1 = 2, Model 2 = 4; Evidence: Model 1 has ScoutingAssignment --&gt; "*" PlayerProfile : investigates (should investigate a Player, not a profile), HeadScout --&gt; PlayerProfile : recommends (head scout recommends a player for signing, not a profile), and lacks any long-list/short-list relationships; Scout --&gt; Player : notes vaguely covers the long list but with no profile-matching link. Model 2 models Scout "1"--"0..*" LongListEntry : creates, LongListEntry "0..*"--"1" TargetProfile : matches, HeadCoach and HeadScout both "1"--"0..*" ShortListEntry : approves (matching "head coach and head scout decide"), ScoutingAssignment "0..*"--"1" Player : investigates, Director "1"--"0..*" ContractOffer : makes → ContractOffer "0..*"--"1" Player : offered to. Minor weakness: the explicit "head scout finally recommends for signing → director makes offer" hand-off is implicit rather than modeled.
3. Model attributes with appropriate data types: Model 1 = 3, Model 2 = 5; Evidence: Model 1 attributes are mostly present (Attribute.name/value, ScoutingReport.pros/cons/recommendation) but ScoutingAssignment carries shortList: List&lt;Player&gt; (conceptually wrong — the short list is not a property of an assignment) and scoutingResults: List&lt;String&gt;; PlayerProfile.playerAttributes: List&lt;Attribute&gt; duplicates the association. Model 2 gives ScoutingReport.recommendation: Recommendation (typed enum matching the five stated values KEY_PLAYER…NOT_A_GOOD_SIGNING), ScoutingAssignment.status: AssignmentStatus, TargetPosition.code/name, ProfileAttribute.name/value, ContractOffer.amount: Decimal/date: Date — all appropriately typed with no semantic misplacement.
4. Consistencies of Terminology with given context: Model 1 = 3, Model 2 = 5; Evidence: Model 1 uses "PlayerProfile", "targetPosition", "recommendation", "ScoutingAssignment" but omits "long list", "short list", "official offer", and adds extra non-requirement terms (decision, playerStatus, scoutingResults). Model 2 retains recognizable terms throughout — TargetProfile, TargetPosition, ProfileAttribute, LongListEntry, ShortListEntry, ScoutingAssignment, ScoutingReport, recommendation, ContractOffer — each traceable to requirement wording.
5. Adherence of UML class diagram standards: Model 1 = 4, Model 2 = 5; Evidence: Model 1 is valid PlantUML with classes, generalization, and associations, but mixes an attribute name (relatedAssignment) as an association target and some multiplicities are loosely placed. Model 2 uses clean class/enum declarations, proper generalization (Employee &lt;|-- HeadCoach/Director/Scout; Scout &lt;|-- HeadScout, correctly modeling HeadScout-as-Scout), and consistently labeled bidirectional associations with multiplicities and role names — fully adherent.
Total: Model 1 = 15, Model 2 = 24
Choice: B
Reason:
1. Appropriate conceptual classes: Model 2 captures the long list, short list, official offer (ContractOffer), target positions, and recommendation enumeration that Model 1 omits or collapses; coverage of the requirement workflow is substantially more complete.
2. Associations/Multiplicities: Model 2's relationships encode the workflow (scout creates long-list entry matching a target profile; head coach + head scout approve short-list entries; assignment investigates a specific player; director makes offer to player), whereas Model 1 misdirects key links (assignment investigates a profile; head scout recommends a profile) and lacks long/short-list relations.
3. Rejected or checked issues: Did not penalize Model 1 for opposite-direction associations, primitive-type aliases, or `*` vs `0..*`; did not reward Model 2 merely for extra enums — the Recommendation enum directly reflects a closed list stated in the requirement ("key player, first team player, …"), so it is justified domain coverage, not gratuitous detail. Also did not penalize Model 2 for the implicit head-scout-to-director hand-off since the ContractOffer–Player link still satisfies "director makes an official offer for the player."
4. Overall judgment: Model 2 is better across every criterion, with markedly stronger domain reasoning, terminology fidelity, and UML discipline; Model 1's conceptual gaps (no long/short list, no offer, wrong investigate/recommend targets) make it a weaker representation of the scouting workflow.
```</t>
  </si>
  <si>
    <t>AirTrafficControlNavigationSystem</t>
  </si>
  <si>
    <t>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</si>
  <si>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</si>
  <si>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&amp; completeness (all functionalities covered, no hallucination): Model 1 = 5, Model 2 = 4; Evidence: Both cover the main domains (flight, airspace, ATC, maintenance). However, the requirement states a flight plan "is composed of multiple route segments" — Model 1 uses composition `FlightPlan *-- "1..*" RouteSegment : routeSegments`, while Model 2 only uses a plain association `FlightPlan "1" --&gt; "*" RouteSegment : composed of`. Also "radar systems ... process scan data to monitor specific airspace sectors" — Model 1 has `RadarSystem --&gt; "1" AirspaceSector : monitoredSector` (specific sector), whereas Model 2 uses a vague `AirspaceSector "*" --&gt; "*" RadarSystem : monitored by` (no specificity). FlightInstance "current operational status derived from an associated aircraft status record" — Model 1 derives it via the association (no stored attribute), while Model 2 stores `operationalStatus: String` as a plain attribute.
2. Associations, cardinalities &amp; relationship types (inheritance/aggregation/composition): Model 1 = 5, Model 2 = 4; Evidence: Model 1 correctly models composition for route segments (`*--`), composition for sub-sectors (`AirspaceSector *-- "0..*" SubSector`), and one-to-one cardinalities for runway-controlled-by-tower (`Runway --&gt; "1" ControlTower`), radar-monitored-sector (`RadarSystem --&gt; "1"`), controller-uses-dashboard (`--&gt; "1"`). Model 2 misses composition for route segments, uses a recursive self-association `AirspaceSector "1" --&gt; "0..*" AirspaceSector : contains sub-sectors` (acceptable but less explicit than a SubSector class), and uses `"*"` multiplicities where the requirement implies specificity (radar–sector, controller–dashboard uses `"1"` which is fine, but plan-segment composition is the key gap).
3. Class names, attributes &amp; conceptual class fidelity: Model 1 = 5, Model 2 = 4; Evidence: Model 1 represents typed enumerations for `OperationalState`, `CrewRole`, `SurfaceType`, `SeverityLevel`, `Criticality`, `DutyStatus`, `DisplayMode`, etc., and splits geographic coordinates into `latitude/longitude` on both `Waypoint` and `NavigationAid`. Model 2 lumps coordinates as `geographicCoordinates: String` and `locationCoordinates: String`, and uses `String` for semantically enumerated fields (`operationalState`, `role`, `dutyStatus`, `severityLevel`, `surfaceType`, `criticality`, `displayMode`), losing typed clarity. Both include the required methods (verifyCertification, maintainFlightLog, accessTerminal, reportMaintenanceIssue, computeAltitude/calculateAltitude, verifyClearanceValidity, determineAvailability, authorizeManeuver, generateClearanceMessage, processScanData, establishConnection, allocate, refreshData/displayAlerts).
4. Coverage of maintenance &amp; flight-log linkage (aircraft statuses + runways; flight logs by crew &amp; for flight instances): Model 1 = 5, Model 2 = 5; Evidence: Both link `MaintenanceRecord` to `AircraftStatus` and `Runway` (Model 1: `AircraftStatus --&gt; "0..*" MaintenanceRecord`, `Runway --&gt; "0..*" MaintenanceRecord`; Model 2: `AircraftStatus "1" --&gt; "*"`, `Runway "1" --&gt; "*"`). Both link `FlightLog` to `FlightInstance` and `CrewMember` (Model 1: `FlightInstance --&gt; "0..*" FlightLog`, `CrewMember --&gt; "0..*" FlightLog : authoredLogs`; Model 2: `FlightInstance "1" --&gt; "*" FlightLog : records`, `CrewMember "1" --&gt; "*" FlightLog : maintains`).
Total: Model 1 = 20, Model 2 = 17
Choice: A
Reason:
1. Requirement alignment &amp; completeness: Model 1 correctly uses composition for `FlightPlan *-- RouteSegment` (requirement: "composed of"), captures radar-to-specific-sector as `--&gt; "1"`, and derives operational status via association rather than storing it. Model 2 uses a plain association for composition and a vague `*..*` radar–sector link, and stores `operationalStatus` as a plain String attribute.
2. Associations/cardinalities/relationship types: Model 1 distinguishes composition (`*--`) for route segments and sub-sectors, and uses precise cardinalities (`"1"`, `"1..*"`). Model 2 lacks the composition edge and relies on looser `"*"` multiplicities where the requirement implies specificity.
3. Rejected or checked issues: I did not penalize Model 2 for using `float`/`int` instead of `double`/`Integer`, for self-recursive `AirspaceSector` sub-sectors (acceptable UML), or for using opposite-direction associations; these are forbidden penalties or acceptable equivalents. I also did not reward Model 1 merely for having more enums — the credit is for typed fidelity to required enumerated concepts (Clear/Cloudy/Storm/Fog, Ground/Tower, VOR/ILS).
4. Overall judgment: Model 1 is more faithful to the requirement's relationship semantics (composition for route segments, specific radar-sector monitoring, derived operational status) and uses more precise typed attributes, while Model 2 is largely complete but weaker on composition and specificity. Hence Model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</si>
  <si>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</si>
  <si>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I'll evaluate both models against each criterion carefully.
```result
Scores:
1. Cohesion and Decoupling: Model 1 = 4, Model 2 = 4; Evidence: Both models organize classes into focused domains with single responsibilities. Model 1 groups FlightInstance, AircraftStatus, CrewMember, etc. with requirement-driven associations (FlightInstance --&gt; AircraftStatus, FlightPlan *-- RouteSegment). Model 2 has similar cohesion (AirspaceSector self-association for sub-sectors, FlightPlan --&gt; RouteSegment composition). Model 1's use of 10 enums (ClearanceLevel, WeatherConditionType, NavAidType, etc.) decouples enumerated values from core classes, while Model 2 uses String types (role: String, dutyStatus: String, surfaceType: String), reducing type-safety but not creating excessive coupling. Neither model over-couples beyond what the requirement demands. Model 2 omits CrewMember --&gt; AirportTerminal and CrewMember --&gt; MaintenanceRecord associations (only has accessTerminal() and reportMaintenanceIssue() methods), which reduces apparent coupling but represents a coverage gap rather than deliberate decoupling.
2. Complexity: Model 1 = 4, Model 2 = 4; Evidence: Neither model uses inheritance (depth = 0), keeping complexity flat. Model 1 has ~30 classes including 10 enums and a SubSector class; however, enums are lightweight and justified by explicit enumerations in the requirement (ClearanceLevel Ground/Tower, WeatherCondition Clear/Cloudy/Storm/Fog, NavAidType VOR/ILS). Model 2 has ~22 classes with 3 enums and uses self-association for sub-sectors instead of a separate SubSector class. Both keep average methods per class reasonable (2-4 per class with business operations). Model 1 does not turn every noun into a class; Model 2's simpler approach is also balanced but loses domain type constraints by using String for enumerated fields. Both are appropriately balanced for the requirement scope.
3. Practicability: Model 1 = 5, Model 2 = 4; Evidence: Model 1 provides complete and practical coverage: CrewMember --&gt; AirportTerminal "accessibleTerminals" and CrewMember --&gt; MaintenanceRecord "reportedMaintenance" associations (requirement: "access specific airport terminals" and "report maintenance issues"), plus the corresponding methods. RouteSegment --&gt; "2" Waypoint correctly models "connects exactly two waypoints." Waypoint has latitude/longitude as separate doubles (practical for geo-computation). ControllerDashboard has setDisplayMode(mode), refreshData(), displayAlert() covering all dashboard behaviors, plus --&gt; RadarSystem and --&gt; FlightInstance associations. Model 2 has gaps: CrewMember lacks association to AirportTerminal and MaintenanceRecord (only methods); SystemDashboard lacks a setDisplayMode method (only displayMode attribute, refreshData, displayAlerts); Waypoint uses a single geographicCoordinates: String (less practical for implementation); FlightInstance has a redundant operationalStatus: String attribute while also deriving status from AircraftStatus via association ("derives status from"). Model 2 does distinguish startWaypoint/endWaypoint on RouteSegment (arguably more informative) and still covers both EventLog and FlightLog. Overall, Model 1 is more complete, readable, and testable.
Total: Model 1 = 13, Model 2 = 12
Choice: A
Reason:
1. Cohesion and Decoupling: Both models achieve comparable cohesion with focused classes and flat structure. Model 1's enums add decoupling of enumerated types; Model 2's String typing is simpler but less type-safe. Neither is significantly better or worse on this criterion.
2. Complexity: Both are balanced with no inheritance and reasonable class/method counts. Model 1's extra enums and SubSector class are justified refinements (requirement explicitly enumerates Ground/Tower, Clear/Cloudy/Storm/Fog, VOR/ILS). Model 2 is leaner but loses domain type fidelity. Roughly equal.
3. Practicability: Model 1 is more complete and practical — it includes all requirement-driven associations (CrewMember-AirportTerminal, CrewMember-MaintenanceRecord), proper dashboard methods (setDisplayMode), precise geographic coordinates (latitude/longitude), and correctly models RouteSegment --&gt; "2" Waypoint. Model 2 has concrete coverage gaps (missing associations, missing setDisplayMode, single-string coordinates, redundant operationalStatus attribute).
4. Rejected or checked issues: I did not penalize Model 2 for using String instead of enum types (forbidden: primitive-type aliases are acceptable). I did not penalize Model 1 for using two opposite unidirectional associations (FlightInstance --&gt; FlightPlan and FlightPlan --&gt; FlightInstance) — these are semantically equivalent to a bidirectional line. I did not reward Model 1 merely for being longer; the additional enums and SubSector class are traceable to explicit requirement enumerations. I did not penalize Model 2's startWaypoint/endWaypoint design vs Model 1's "2" multiplicity — both validly model "exactly two waypoints."
5. Overall judgment: Model 1 wins primarily on Practicability due to more complete requirement coverage (all crew member associations, full dashboard method set, precise coordinate modeling). The complexity and cohesion scores are comparable, making Model 1 the better model overall by a meaningful but modest margin.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</si>
  <si>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</si>
  <si>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all required domain classes: FlightInstance, AircraftStatus, CrewMember, PassengerManifest, EventLog, FlightLog, FlightPlan, RouteSegment, Waypoint, NavigationAid, WeatherReport, AirspaceSector, Runway, AirportTerminal, ControlTower, AirTrafficController, (System/Controller)Dashboard, RadarSystem, CommunicationChannel, MaintenanceRecord. Model 1 adds an explicit SubSector class; Model 2 models sub-sectors via self-referential AirspaceSector. Both approaches are valid.
2. Associations/Multiplicities between classes for domain reasoning: Model 1 = 5, Model 2 = 4; Evidence: Both capture the essential relationships (FlightInstance→AircraftStatus, FlightPlan→RouteSegment, RouteSegment→two Waypoints, ControlTower→AirTrafficController, ControlTower→CommunicationChannel, Runway→ControlTower, MaintenanceRecord tracking for both AircraftStatus and Runway, CrewMember maintains FlightLog, AirspaceSector manages Runways/equipped with NavAids). Model 1 uses composition (FlightPlan *-- "1..*" RouteSegment) matching the requirement "composed of multiple route segments", and uses "2" multiplicity for exactly two waypoints. Model 2 uses plain association for the composition relationship and models the two waypoints via two separate start/end associations, which is acceptable but slightly weaker on the composition semantics.
3. Model attributes with appropriate data types: Model 1 = 5, Model 2 = 3; Evidence: Model 1 introduces enumerated types for OperationalState, CrewRole, ClearanceLevel, WeatherConditionType, NavAidType, SurfaceType, SeverityLevel, Criticality, DutyStatus, and DisplayMode, and models Waypoint/NavigationAid coordinates as separate latitude/longitude doubles. Model 2 only defines three enums (ClearanceLevel, ConditionType, NavAidType) and represents many constrained-valued attributes as plain Strings (operationalState, role, certificationStatus, dutyStatus, severityLevel, surfaceType, criticality, displayMode, altitudeLevels), and collapses geographicCoordinates/locationCoordinates into single String fields, weakening type fidelity.
4. Consistencies of Terminology with given context: Model 1 = 4, Model 2 = 5; Evidence: Both use terms closely matching the requirement (FlightInstance, AircraftStatus, FlightPlan, RouteSegment, Waypoint, NavigationAid, AirspaceSector, etc.). Model 1 renames the "system dashboard" to "ControllerDashboard" and uses "totalCount" for passenger manifest; Model 2 uses "SystemDashboard", "totalPassengerCount", "requiredClearanceLevel", "assignedClearanceLevel", "designatedSite", "geographicCoordinates", and "locationCoordinates", which align closely with the requirement wording.
5. Adherence of UML class diagram standards: Model 1 = 5, Model 2 = 5; Evidence: Both diagrams are valid PlantUML class diagrams with enums, classes, attributes, methods, and associations with multiplicities and role labels. Model 1 uses visibility markers and composition/aggregation notation; Model 2 omits visibility markers and some method return types but remains syntactically valid and readable.
Total: Model 1 = 24, Model 2 = 22
Choice: A
Reason:
1. Appropriate conceptual classes aligned with the domain: Both models are equivalent — all required classes are present; Model 1's explicit SubSector and Model 2's self-referential AirspaceSector are both acceptable.
2. Associations/Multiplicities: Model 1 is slightly stronger by using composition for FlightPlan–RouteSegment (matching "composed of") and the explicit "2" multiplicity for the two waypoints, while Model 2 uses plain associations for these.
3. Model attributes with appropriate data types: This is the decisive difference. Model 1 uses proper enumerations for all constrained-valued attributes and decomposes coordinates into latitude/longitude, whereas Model 2 represents many such attributes as generic Strings and collapses coordinates into single String fields, reducing type fidelity significantly.
4. Consistencies of Terminology: Model 2 aligns slightly better with the requirement wording (SystemDashboard, designatedSite, geographicCoordinates), while Model 1's "ControllerDashboard" is a minor deviation.
5. Rejected or checked issues: I did not penalize Model 2 for using `*` instead of `0..*`, for method signatures without return types, or for missing visibility markers (forbidden/irrelevant per guidelines). I also did not reward Model 1 purely for extra enums unless they improved coverage of stated constrained values (they did, since the requirement enumerates Ground/Tower, Clear/Cloudy/Storm/Fog, VOR/ILS, etc.).
6. Overall judgment: Model 1 is better, primarily due to stronger attribute typing (enumerations vs. generic Strings) and correct composition semantics for route segments, while remaining fully UML-compliant. The terminology edge of Model 2 is minor and does not offset the type-fidelity gap.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</si>
  <si>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</si>
  <si>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coverage: Model 1 = 5, Model 2 = 2; Evidence: Model 1 includes all required classes: FlightInstance, AircraftStatus, CrewMember, PassengerManifest, EventLog, FlightPlan, RouteSegment, Waypoint, WeatherReport, NavigationAid, AirspaceSector, SubSector, Runway, ControlTower, AirportTerminal, AirTrafficController, ControllerDashboard, RadarSystem, CommunicationChannel, MaintenanceRecord, FlightLog. Model 2 is missing NavigationAid (merged its attrs into Waypoint), SubSector, and AirportTerminal entirely, and introduces an unexplained hallucinated class `RoomMaster` linked from FlightInstance.
2. Attributes coverage: Model 1 = 5, Model 2 = 3; Evidence: Model 1 has full attributes on every class plus typed enumerations (ClearanceLevel, WeatherConditionType, NavAidType, SurfaceType, etc.). Model 2 puts `type`, `frequency`, `locationCoordinates` on Waypoint (these belong to NavigationAid per requirement), omits `displayMode` on Dashboard, and stores `operationalStatus` as a direct String on FlightInstance rather than deriving it from the associated AircraftStatusRecord (requirement: "current operational status derived from an associated aircraft status record").
3. Relationships and cardinalities: Model 1 = 5, Model 2 = 2; Evidence: Model 1 specifies multiplicities throughout, e.g., FlightInstance--&gt;\"1\" AircraftStatus, FlightInstance--&gt;\"1..*\" CrewMember, RouteSegment--&gt;\"2\" Waypoint (exactly two), FlightPlan *-- \"1..*\" RouteSegment, and WeatherReport influences both FlightPlan and RouteSegment. Model 2 uses mostly unlabeled associations, links `FlightInstance *-- WeatherReport` (wrong target — weather influences flight plans and route segments, not flight instances directly), omits FlightInstance→departure terminal, FlightPlan governs FlightInstance, WeatherReport→RouteSegment/FlightPlan, Waypoint→NavigationAid, AirspaceSector→NavigationAid, AirportTerminal→Runway, AirTrafficController→Dashboard/CommunicationChannel/FlightPlan, Dashboard→RadarSystem/FlightInstance, RadarSystem→AirspaceSector, and FlightLog→FlightInstance.
4. Relationship types (composition/aggregation/inheritance): Model 1 = 4, Model 2 = 2; Evidence: Model 1 uses composition appropriately (FlightPlan *-- RouteSegment, AirspaceSector *-- SubSector) and associations elsewhere. Model 2 overuses composition for lifecycle-independent parts (FlightInstance *-- CrewMember, FlightInstance *-- AircraftStatusRecord, FlightInstance *-- WeatherReport), implying crew/aircraft/weather are destroyed with the flight, which is semantically questionable.
5. Domain fidelity / no hallucinations: Model 1 = 5, Model 2 = 2; Evidence: Model 1 is fully traceable to the requirement. Model 2 introduces `RoomMaster` (no basis in requirement), misplaces NavigationAid attributes on Waypoint, drops SubSector and AirportTerminal, and contradicts the "derived" semantics of operationalStatus by storing it directly.
6. Class name clarity: Model 1 = 5, Model 2 = 3; Evidence: Model 1 uses precise, recognizable names (ControllerDashboard, AirportTerminal, AircraftStatus, NavigationAid). Model 2 uses vaguer names (`Dashboard` instead of ControllerDashboard) and an unexplained `RoomMaster`.
Total: Model 1 = 29, Model 2 = 14
Choice: A
Reason:
1. Conceptual classes coverage: Model 1 covers every required class including NavigationAid, SubSector, and AirportTerminal; Model 2 omits these three and adds a baseless `RoomMaster`.
2. Relationships and cardinalities: Model 1 specifies multiplicities and all required associations (weather influencing both flight plans and route segments, waypoint→navigation aid, sector→runway/nav aids, controller→dashboard/channel/monitored plans, dashboard→radar/traffic, radar→sector, terminal→runway, maintenance for aircraft and runway, flight logs by crew). Model 2 misses the majority of these and mis-associates WeatherReport to FlightInstance.
3. Rejected or checked issues: I did not penalize Model 2 for primitive type aliases (String vs enum) or for not marking abstract classes, per the forbidden penalties. The `RoomMaster` deduction is domain-fidelity based (hallucination), not a notation issue. Model 1's use of two opposite unidirectional associations (FlightInstance→FlightPlan and FlightPlan→FlightInstance) was treated as equivalent to a bidirectional line and not penalized.
4. Overall judgment: Model 1 faithfully and completely represents the requirement with correct classes, attributes, enumerations, multiplicities, and relationship types. Model 2 has multiple missing classes/relationships, a hallucinated class, misplaced attributes, and semantically incorrect composition/association choices, making Model 1 clearly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</si>
  <si>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</si>
  <si>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keeps single-responsibility classes and separates NavigationAid from Waypoint (Waypoint --&gt; "0..*" NavigationAid : referencedNavAids), uses composition only for strong ownership (FlightPlan *-- "1..*" RouteSegment, AirspaceSector *-- "0..*" SubSector) and plain associations otherwise. Model 2 merges Waypoint and NavigationAid into one class (Waypoint has type, frequency, locationCoordinates), lowering cohesion, and over-applies composition (FlightInstance *-- WeatherReport is incorrect ownership), plus introduces an irrelevant "RoomMaster" class (FlightInstance -- RoomMaster) with no basis in the requirement.
2. Complexity: Model 1 = 5, Model 2 = 2; Evidence: Model 1 uses ~25 classes plus 10 enums to represent typed values (OperationalState, CrewRole, ClearanceLevel, WeatherConditionType, NavAidType, etc.) instead of over-classifying nouns, with flat inheritance and balanced method counts; it appropriately models SubSector and NavigationAid as distinct concepts. Model 2 has fewer classes but at the cost of omitting AirportTerminal and SubSector entirely, collapsing NavigationAid into Waypoint, and adding the unexplained RoomMaster — complexity is reduced by omission rather than by good design.
3. Practicability: Model 1 = 5, Model 2 = 2; Evidence: Model 1 covers all requirement facts with precise multiplicities (RouteSegment --&gt; "2" Waypoint, FlightInstance --&gt; "1..*" CrewMember) and parameterized methods (allocate(requestTime: Date), generateClearanceMessage(flightPlan: FlightPlan), computeAltitudeAdjustment(emergencyStatus: boolean)); it links FlightLog to both FlightInstance and CrewMember, AirTrafficController to Dashboard/Channel/monitoredFlightPlans, RadarSystem to AirspaceSector, and Dashboard to FlightInstance. Model 2 misses AirportTerminal entirely, drops the FlightLog→FlightInstance link, omits Controller→Dashboard/Channel and Controller→FlightPlan and Dashboard→FlightInstance and Radar→AirspaceSector associations, gives parameter-less methods (allocateRunway(), authorizeManeuvers(), generateClearanceMessages()), and wrongly composes WeatherReport under FlightInstance instead of influencing FlightPlan/RouteSegment.
Total: Model 1 = 15, Model 2 = 6
Choice: A
Reason:
1. Cohesion and Decoupling: Model 1 cleanly separates concerns (e.g., distinct Waypoint vs NavigationAid, distinct SubSector) and applies composition only for genuine ownership; Model 2 merges distinct concepts, over-uses composition, and introduces an unmotivated RoomMaster.
2. Complexity: Model 1's enum-based typing and preserved intermediate concepts (SubSector, NavigationAid, AirportTerminal) yield appropriate complexity; Model 2 lowers complexity by dropping required classes and conflating concepts.
3. Rejected or checked issues: Did not penalize Model 2 for using String/Boolean aliases or for unidirectional vs bidirectional association style; the "RoomMaster" penalty is for being an unmotivated class absent from the requirement, not for naming. Did not reward Model 1 merely for length — its extra classes (SubSector, NavigationAid, AirportTerminal) each map to explicit requirement facts.
4. Overall judgment: Model 1 is substantially more complete, domain-faithful, and practically usable, covering every required class, attribute, association, and method signature; Model 2 has multiple material omissions (AirportTerminal, SubSector, key controller/dashboard/radar links), a merged Waypoint/NavigationAid, an irrelevant RoomMaster, and incorrect WeatherReport ownership, making Model 1 clearly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</si>
  <si>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</si>
  <si>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covers all required classes including FlightInstance, AircraftStatus, CrewMember, PassengerManifest, EventLog, FlightLog, FlightPlan, RouteSegment, Waypoint, WeatherReport, NavigationAid, AirportTerminal, AirspaceSector, SubSector, Runway, ControlTower, AirTrafficController, ControllerDashboard, RadarSystem, CommunicationChannel, MaintenanceRecord. Model 2 introduces an irrelevant "RoomMaster" class not in the requirement, merges Waypoint and NavigationAid (losing the navigation aid concept: type, frequency, location coordinates as separate entity), omits AirportTerminal, SubSector, and treats FlightLog minimally. Model 2 also wrongly composes FlightInstance *-- WeatherReport instead of associating weather with route segments and flight plans.
2. Associations/Multiplicities between classes for domain reasoning: Model 1 = 5, Model 2 = 2; Evidence: Model 1 specifies precise multiplicities matching the requirement: RouteSegment --&gt; "2" Waypoint (exactly two), FlightPlan *-- "1..*" RouteSegment, AirspaceSector *-- "0..*" SubSector, Runway --&gt; "1" ControlTower, ControlTower --&gt; "1..*" AirTrafficController, RadarSystem --&gt; "1" AirspaceSector, ControllerDashboard --&gt; "0..*" FlightInstance (real-time traffic), FlightInstance --&gt; "1..*" CrewMember. Model 2 provides bare associations with NO multiplicities anywhere, and several are semantically wrong: FlightInstance *-- WeatherReport (composition, weather should influence segments/plans), AirspaceSector *-- Runway (composition rather than containment/management), FlightInstance *-- AircraftStatusRecord (composition rather than association), and misses RouteSegment-to-WeatherReport, Waypoint-to-NavigationAid, Radar-to-AirspaceSector, Terminal-to-Runway, Controller-to-FlightPlan monitoring, Dashboard-to-FlightInstance.
3. Model attributes with appropriate data types: Model 1 = 5, Model 2 = 3; Evidence: Model 1 uses typed enums (OperationalState, ClearanceLevel, WeatherConditionType, NavAidType, SurfaceType, SeverityLevel, Criticality, DutyStatus, DisplayMode) and numeric types (double, int, boolean, String, Date). Model 2 uses String for many typed enumerations (operationalState, role, clearanceLevel, conditionType, severityLevel, surfaceType, dutyStatus, criticality) and critically models altitudeLevel: String and systemHealthScore: Integer (acceptable alias) but frequency: String on Waypoint. Several attributes are reasonable but type discipline is weak.
4. Consistencies of Terminology with given context: Model 1 = 5, Model 2 = 2; Evidence: Model 1 uses terms directly from the requirement (AircraftStatus, AirportTerminal, AirspaceSector, SubSector, NavigationAid, ControllerDashboard, MaintenanceRecord, FlightLog). Model 2 introduces "RoomMaster" which is entirely absent from and inconsistent with the requirement, merges Waypoint with navigation-aid attributes, and omits AirportTerminal and SubSector terminology entirely.
5. Adherence of UML class diagram standards: Model 1 = 5, Model 2 = 4; Evidence: Both use valid PlantUML syntax with classes, attributes, methods, and relationships. Model 1 uses proper composition (*--), association (--&gt;) with role labels and multiplicities. Model 2's syntax is valid but uses undifferentiated associations without multiplicities, and some composition choices are questionable semantically (though not syntactically invalid). No major UML notation errors in either.
Total: Model 1 = 25, Model 2 = 13
Choice: A
Reason:
1. Appropriate conceptual classes: Model 1 comprehensively models every domain concept in the requirement including NavigationAid, AirportTerminal, SubSector, and FlightLog. Model 2 introduces an out-of-domain "RoomMaster", merges Waypoint/NavigationAid, and omits AirportTerminal and SubSector, leaving major gaps.
2. Associations/Multiplicities: Model 1 captures exact multiplicities (e.g., exactly 2 Waypoints per RouteSegment, 1..* RouteSegments per FlightPlan, 1 ControlTower per Runway, radar monitoring a specific sector). Model 2 provides no multiplicities and misplaces WeatherReport under FlightInstance instead of influencing RouteSegment/FlightPlan.
3. Attributes/types: Model 1 uses enumerations and numeric types faithfully (ClearanceLevel GROUND/TOWER, WeatherConditionType Clear/Cloudy/Storm/Fog, altitudeLevel as double). Model 2 over-uses String and incorrectly types altitudeLevel as String.
4. Terminology: Model 2's "RoomMaster" is a critical inconsistency not present anywhere in the requirement; Model 1 stays faithful throughout.
5. Rejected/checked issues: I did not penalize Model 2 for using String aliases vs enums under "UML standards" (kept that under attributes/domain). I did not penalize either model for bidirectional/opposite associations or PlantUML comments per forbidden penalties. I did not reward Model 1 merely for being longer; its extra classes (SubSector, NavigationAid, AirportTerminal) are explicitly required by the requirement.
6. Overall judgment: Model 1 is substantially better across every criterion, with complete class coverage, accurate multiplicities, proper typed attributes, and consistent terminology, while Model 2 has an erroneous out-of-domain class, missing classes, no multiplicities, and weak typing.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</si>
  <si>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</si>
  <si>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Completeness of conceptual classes: Model 1 = 5, Model 2 = 2; Evidence: Model 1 includes all required classes: FlightInstance, AircraftStatus, CrewMember, PassengerManifest, EventLog, FlightPlan, RouteSegment, Waypoint, NavigationAid, WeatherReport, AirspaceSector, Runway, AirportTerminal, ControlTower, AirTrafficController, SystemDashboard, RadarSystem, CommunicationChannel, MaintenanceRecord, FlightLog, plus enums (ClearanceLevel, ConditionType, NavAidType). Model 2 is missing NavigationAid (incorrectly merged into Waypoint with type/frequency/locationCoordinates), missing AirportTerminal class entirely (only has accessAirportTerminals method on CrewMember), and introduces a hallucinated "RoomMaster" class (FlightInstance -- RoomMaster).
2. Class attributes and methods: Model 1 = 5, Model 2 = 2; Evidence: Model 1 has all attributes/methods correct: FlightPlan.calculateAltitude(emergencyStatus: boolean), Runway.allocate(requestTime: DateTime), SystemDashboard.displayMode, RadarSystem.processScanData(), CommunicationChannel.establishConnection(), FlightLog has eventDetails and timestamp. Model 2 is missing Dashboard.displayMode, FlightLog.timestamp, CommunicationChannel.establishConnection(), RadarSystem.processScanData(); Waypoint has wrong attributes (type, frequency, locationCoordinates are NavigationAid attributes, not Waypoint's); clearanceLevel and conditionType are plain Strings losing the enum constraints.
3. Associations and cardinalities: Model 1 = 5, Model 2 = 1; Evidence: Model 1 models RouteSegment connecting exactly two waypoints (startWaypoint and endWaypoint, both 1..1), WeatherReport influencing both FlightPlan and RouteSegment, AirspaceSector self-association for sub-sectors, AirspaceSector equipped with NavigationAid, AirspaceSector monitored by RadarSystem, FlightPlan monitored by AirTrafficController, AirTrafficController utilizes CommunicationChannel, SystemDashboard displays FlightInstance, FlightInstance departs from AirportTerminal, FlightInstance records FlightLog, FlightLog maintained by CrewMember. Model 2 is missing most of these associations; RouteSegment--Waypoint is a single association (doesn't model exactly two waypoints); WeatherReport is wrongly composed by FlightInstance instead of influencing FlightPlan/RouteSegment; no sub-sector self-association; no departure terminal link; no FlightLog-FlightInstance link.
4. Relationship types (composition/aggregation/inheritance): Model 1 = 4, Model 2 = 3; Evidence: Model 1 uses associations throughout; FlightPlan--&gt;RouteSegment "composed of" uses plain association rather than composition (`*--`), a minor weakness. Model 2 correctly uses composition (`*--`) for FlightPlan--&gt;RouteSegment matching "composed of," but over-applies composition to relationships the requirement describes as associations (e.g., FlightInstance *-- AircraftStatusRecord where requirement says "associated"; FlightInstance *-- CrewMember where requirement says "assigned").
5. No hallucinations/additions: Model 1 = 5, Model 2 = 1; Evidence: Model 1 has no extraneous classes or relationships; every element maps to the requirement. Model 2 introduces "RoomMaster" (FlightInstance -- RoomMaster) which does not appear anywhere in the requirement, and merges NavigationAid into Waypoint, creating a structural hallucination.
6. Clarity in class names: Model 1 = 5, Model 2 = 3; Evidence: Model 1 uses recognizable names for all classes (AircraftStatus, SystemDashboard, AirportTerminal, NavigationAid). Model 2 uses "AircraftStatusRecord" (good match) and "Dashboard" (acceptable) but omits AirportTerminal and NavigationAid class names entirely, reducing clarity.
Total: Model 1 = 29, Model 2 = 12
Choice: A
Reason:
1. Completeness: Model 1 includes every required conceptual class plus appropriate enums (ClearanceLevel with Ground/Tower, ConditionType, NavAidType). Model 2 omits NavigationAid and AirportTerminal as classes and adds a non-existent RoomMaster.
2. Associations/cardinalities: Model 1 correctly models the two-waypoint connection, weather influence on both flight plans and route segments, airspace sub-sector hierarchy, radar monitoring of sectors, controller monitoring of flight plans, dashboard real-time traffic display, and flight log links to both flight instances and crew members. Model 2 misses the majority of these relationships.
3. Rejected issues: I did not penalize Model 2 for using `*--` composition broadly (forbidden to favor either style without requirement evidence), nor for primitive type aliases like `Double`/`Boolean`. The decisive factors were missing classes, missing associations, the RoomMaster hallucination, and the incorrect WeatherReport/FlightInstance composition.
4. Overall judgment: Model 1 comprehensively and faithfully represents the requirement with correct classes, attributes, methods, associations, and multiplicities. Model 2 has significant omissions (NavigationAid, AirportTerminal), a hallucinated class (RoomMaster), missing associations, and incorrect weather report modeling, making Model 1 clearly superior.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</si>
  <si>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</si>
  <si>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models carefully against the requirement and criteria.
Let me analyze each model's coverage of the requirement:
**Model 1**: Has ~22 classes with enums (ClearanceLevel, ConditionType, NavAidType), full association multiplicities and role labels, separate NavigationAid class, complete relationships including FlightLog↔CrewMember↔FlightInstance, MaintenanceRecord for both AircraftStatus and Runway, SystemDashboard displaying all FlightInstances, RadarSystem monitoring AirspaceSector, AirspaceSector recursive sub-sectors, etc.
**Model 2**: Has ~21 classes but with several issues: Waypoint incorrectly merges NavigationAid attributes (type, frequency, locationCoordinates) — losing the separate NavigationAid class and the "references various navigation aids" relationship; FlightInstance composition of CrewMember is wrong (crew is assigned, not composed); FlightInstance *-- WeatherReport is wrong (weather influences plans/segments, not owned by flight); missing AirportTerminal class entirely; missing FlightPlan↔FlightInstance governance direction issues; "RoomMaster" appears as an unexplained class; missing many multiplicities and role labels; FlightLog missing timestamp; Dashboard missing displayMode attribute; CommunicationChannel missing establishConnection; many missing relationships (EventLog↔FlightInstance generation, Runway allocation, terminal access, sub-sectors, etc.).
```result
Scores:
1. Cohesion and Decoupling: Model 1 = 4, Model 2 = 2; Evidence: Model 1 separates NavigationAid from Waypoint and connects them via "references", keeping waypoint/navigation concerns decoupled; it also separates SystemDashboard, RadarSystem, CommunicationChannel with clear directional associations. Model 2 merges NavAid attributes (type, frequency, locationCoordinates) into Waypoint, reducing cohesion and conflating two distinct concepts; it also uses aggressive composition (FlightInstance *-- CrewMember, *-- WeatherReport) that wrongly couples unrelated entities.
2. Complexity: Model 1 = 4, Model 2 = 3; Evidence: Model 1 uses 3 enums (ClearanceLevel, ConditionType, NavAidType) appropriately to constrain enumerated domains, ~22 classes matching requirement nouns without over-engineering. Model 2 has ~21 classes but merges NavigationAid into Waypoint (losing a required class) and introduces an unexplained "RoomMaster" class that adds unjustified complexity while dropping AirportTerminal.
3. Practicability: Model 1 = 5, Model 2 = 2; Evidence: Model 1 provides labeled associations with multiplicities for nearly every requirement relationship (FlightInstance "1"--&gt;1 FlightPlan : governed by; RouteSegment start/end Waypoint; AirspaceSector recursive sub-sectors; Runway *--&gt;1 ControlTower; SystemDashboard *--&gt;* FlightInstance : displays real-time traffic for; AircraftStatus 1--&gt;* MaintenanceRecord; Runway 1--&gt;* MaintenanceRecord; CrewMember 1--&gt;* FlightLog). Model 2 omits AirportTerminal entirely (so "access terminal" and "departure terminal" are lost), introduces undefined "RoomMaster", omits FlightLog timestamp, Dashboard displayMode, CommunicationChannel.establishConnection, Runway.allocate signature, and most role labels/multiplicities, making it incomplete and harder to implement/test against the requirement.
Total: Model 1 = 13, Model 2 = 7
Choice: A
Reason:
1. Cohesion and Decoupling: Model 1 keeps Waypoint and NavigationAid as distinct cohesive classes linked by a clean "references" association, while Model 2 collapses them into one class, lowering cohesion and conflating navigation-aid data with waypoint geometry.
2. Complexity: Model 1's enum refinements and ~22 well-justified classes match the requirement's domain; Model 2 loses a required class (NavigationAid) and AirportTerminal while adding an unexplained RoomMaster, producing worse-calibrated complexity.
3. Practicability: Model 1 is far more complete — labeled associations, multiplicities, and all key relationships (sub-sectors, runway allocation, maintenance records for both aircraft and runway, dashboard integrating radar and displaying all flight instances, crew maintaining flight logs). Model 2 misses AirportTerminal, FlightLog timestamp, multiple methods/attributes, and most multiplicities, leaving the diagram incomplete and less implementable.
4. Rejected or checked issues: I did not penalize Model 2 for using int/Double/Boolean or for missing visibility markers per the forbidden-penalties rules; the decision rests on genuine omissions (AirportTerminal, NavigationAid class) and wrong semantics (FlightInstance composing WeatherReport and CrewMember), not on presentation differences.
5. Overall judgment: Model 1 substantially better satisfies all three criteria with complete, semantically faithful, and clearly annotated modeling.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</si>
  <si>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</si>
  <si>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all required concepts as separate classes — NavigationAid (type/frequency/locationCoordinates), AirportTerminal (gateCount), SystemDashboard, plus enums ClearanceLevel, ConditionType, NavAidType. Model 2 omits AirportTerminal entirely, merges NavigationAid into Waypoint (Waypoint gets type/frequency), renames SystemDashboard to "Dashboard", and introduces a spurious undefined class "RoomMaster" linked from FlightInstance.
2. Associations/Multiplicities between classes for domain reasoning: Model 1 = 5, Model 2 = 2; Evidence: Model 1 provides explicit multiplicities for all relationships, including AirspaceSector self-association (1..0..* sub-sectors), AirspaceSector "equipped with" NavigationAid, AirspaceSector "monitored by" RadarSystem, SystemDashboard "displays real-time traffic for" FlightInstance, FlightPlan/RouteSegment "influenced by" WeatherReport, Waypoint "references" NavigationAid, Runway "controlled by" ControlTower, MaintenanceRecord tracking both AircraftStatus and Runway, CrewMember "maintains" FlightLog, FlightInstance "records" FlightLog, and RouteSegment using two distinct Waypoint roles (start/end). Model 2 has no multiplicities anywhere, omits the sub-sector self-association, nav-aid equipping, radar-monitors-sector, dashboard-displays-flight-instances, flight-instance-to-flight-log, flight-plan-weather and route-segment-weather influences, controller-to-flight-plan monitoring, controller-to-communication-channel utilization, airport-terminal-runway access, and flight-instance-departure-terminal; it also has the spurious "FlightInstance -- RoomMaster" link.
3. Model attributes with appropriate data types: Model 1 = 5, Model 2 = 3; Evidence: Model 1 models all attributes with proper types and uses enums (ClearanceLevel, ConditionType, NavAidType); FlightPlan.calculateAltitude(emergencyStatus: boolean) carries the required parameter; SystemDashboard has displayMode; Runway.allocate(requestTime: DateTime) carries requestTime; AirTrafficController.authorizeManeuver(clearanceType) and generateClearanceMessage(flightPlan) carry parameters; CommunicationChannel.establishConnection present. Model 2 has most base attributes but Dashboard lacks the displayMode attribute; Waypoint incorrectly carries type/frequency (navigation-aid attributes) while losing the waypoint's own geographic-coordinate emphasis; calculateAltitude() lacks the emergencyStatus parameter; authorizeManeuvers()/generateClearanceMessages() lack parameters; allocateRunway() lacks requestTime; CommunicationChannel lacks establishConnection.
4. Consistencies of Terminology with given context: Model 1 = 5, Model 2 = 3; Evidence: Model 1 uses "AircraftStatus", "SystemDashboard", "AirportTerminal", "NavigationAid", "MaintenanceRecord", "FlightLog", "AirspaceSector", "CommunicationChannel", "RadarSystem", "AirTrafficController", all aligned with requirement terms. Model 2 uses "AircraftStatusRecord" (exact match, good), but omits the airport-terminal concept, renames "system dashboard" to "Dashboard", merges "navigation aid" into "Waypoint" losing the distinct term, and introduces "RoomMaster" which is absent from the requirement.
5. Adherence of UML class diagram standards: Model 1 = 5, Model 2 = 4; Evidence: Model 1 uses valid class/enum notation, associations with multiplicities and role labels, and is fully readable. Model 2 uses valid composition (*--) and association (--) syntax and is mostly readable, but references an undefined class "RoomMaster" (FlightInstance -- RoomMaster) and provides no multiplicities, leaving relationship cardinalities unspecified.
Total: Model 1 = 25, Model 2 = 15
Choice: A
Reason:
1. Appropriate conceptual classes: Model 1 separately models NavigationAid, AirportTerminal, and SystemDashboard with enums; Model 2 drops AirportTerminal, folds NavigationAid into Waypoint, and adds an undefined "RoomMaster" class, leaving noticeable domain gaps.
2. Associations/Multiplicities: Model 1 captures every required relationship with explicit multiplicities (sub-sectors, weather influences on plans/segments, waypoint-to-nav-aid references, radar-monitors-sector, dashboard-displays-flight-instances, runway-controlled-by-tower, maintenance records for aircraft and runway, crew-maintains-flight-logs, exactly-two-waypoints via start/end roles). Model 2 omits most of these, has no multiplicities, and includes a spurious RoomMaster link, so critical domain reasoning is missing.
3. Model attributes with appropriate data types: Model 1 includes all attributes with proper types and preserves method parameters (emergencyStatus, clearanceType, flightPlan, requestTime) plus Dashboard.displayMode and CommunicationChannel.establishConnection. Model 2 drops several parameters and the displayMode attribute and misplaces navigation-aid attributes on Waypoint.
4. Consistency of Terminology: Model 1 keeps all requirement terms recognizable; Model 2 loses "airport terminal" and "navigation aid" as distinct terms and introduces an out-of-context "RoomMaster".
5. Rejected or checked issues: I did not penalize Model 2 for using String instead of enum types (ConditionType/ClearanceLevel), per the primitive-type/enum-alias allowance, nor for using composition (*--) style vs plain association. I also did not reward Model 1 merely for having more enums; the enums were credited only where they improved requirement coverage (Ground/Tower clearance, weather conditions, VOR/ILS). The "AircraftStatus" vs "AircraftStatusRecord" naming difference was not used against either model.
6. Overall judgment: Model 1 comprehensively and faithfully covers the requirement's classes, attributes, associations, multiplicities, and terminology with valid UML, while Model 2 has multiple missing concepts (AirportTerminal, distinct NavigationAid), missing/incorrect associations, no multiplicities, a spurious undefined "RoomMaster" class, and several missing method parameters and attributes. Model 1 is clearly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</si>
  <si>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</si>
  <si>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 coverage: Model 1 = 5, Model 2 = 5; Evidence: Both define all required conceptual classes — FlightInstance, AircraftStatus, CrewMember, PassengerManifest, EventLog, FlightPlan, RouteSegment, Waypoint, NavigationAid, WeatherReport, AirspaceSector, Runway, AirportTerminal, ControlTower, AirTrafficController, SystemDashboard/ControllerDashboard, RadarSystem, CommunicationChannel, MaintenanceRecord, FlightLog. Model 2 additionally models SubSector as a distinct class while Model 1 uses a self-association on AirspaceSector; both are acceptable interpretations of "contain multiple sub-sectors."
2. Attribute coverage: Model 1 = 5, Model 2 = 5; Evidence: Both cover required attributes (e.g., AircraftStatus.registrationNumber/operationalState/systemHealthScore; WeatherReport.conditionType/visibility/windSpeed/timestamp/locationCode; Runway.identifier/length/width/surfaceType; AirTrafficController.name/dutyStatus/clearanceLevel). Model 1 stores operationalStatus on FlightInstance (it is "derived from an associated aircraft status record"), while Model 2 omits the stored attribute — both are defensible since it is a derived value. Model 2 adds extra `name` attributes (Waypoint, AirportTerminal, ControlTower) and richer enums, but these are not rewarded.
3. Association &amp; cardinality accuracy: Model 1 = 5, Model 2 = 5; Evidence: Both capture key cardinalities: FlightInstance→AircraftStatus 1:1, FlightInstance→PassengerManifest 1:1, FlightInstance→EventLog 1:*, FlightInstance→AirportTerminal *:1, FlightInstance→CrewMember 1:*, RouteSegment→Waypoint (M1: two "1" ends; M2: "2"), Runway→ControlTower *:1, ControlTower→AirTrafficController 1:*, ControlTower→CommunicationChannel 1:*, AirTrafficController→Dashboard 1:1, AirTrafficController→Channel 1:1. All consistent with the requirement.
4. Relationship type semantics (composition/aggregation/inheritance): Model 1 = 4, Model 2 = 5; Evidence: The requirement states each flight plan "is composed of multiple route segments" — Model 2 correctly models this as composition (`FlightPlan *-- "1..*" RouteSegment`), whereas Model 1 uses a plain association (`FlightPlan "1" --&gt; "*" RouteSegment : composed of`), which loses the composition semantics. Similarly, "contain multiple sub-sectors" is modeled by Model 2 as composition (`AirspaceSector *-- "0..*" SubSector`) and by Model 1 as a plain self-association. Neither model uses inheritance (none required).
5. Functional / method coverage and supporting links: Model 1 = 4.5, Model 2 = 5; Evidence: Both include the required operations (CrewMember.verifyCertification/maintainFlightLog/accessTerminal/reportMaintenanceIssue; FlightPlan.calculateAltitude/verifyClearanceValidity; Runway.allocate; AirTrafficController.determineAvailability/authorizeManeuver/generateClearanceMessage; SystemDashboard.refreshData/displayAlerts; RadarSystem.processScanData; CommunicationChannel.establishConnection). Model 2 additionally links CrewMember→MaintenanceRecord (`reportedMaintenance`) and CrewMember→AirportTerminal (`accessibleTerminals`), making the "access specific airport terminals" and "report maintenance issues" behaviors traceable to associations; Model 1 declares the methods but lacks the corresponding MaintenanceRecord link.
6. Overall fidelity (no hallucinations/contradictions): Model 1 = 5, Model 2 = 5; Evidence: Neither model contradicts the requirement or invents contradictory multiplicities. Model 2's extra enums (OperationalState, CrewRole, SurfaceType, SeverityLevel, Criticality, DutyStatus, DisplayMode) are transparent refinements of requirement-mentioned concepts (states, roles, surface types, severity, criticality, duty status, display modes), not hallucinated domain additions; per guidelines they are neither rewarded nor penalized.
Total: Model 1 = 28.5, Model 2 = 30
Choice: B
Reason:
1. Class coverage: Both models fully cover the required classes; the only structural difference is Model 1's self-referential AirspaceSector vs Model 2's separate SubSector, both defensible — no meaningful difference.
2. Attribute coverage: Both models include all required attributes; Model 1's stored `operationalStatus` and Model 2's omission of it are both reasonable since the requirement marks it as derived.
3. Relationship type semantics: This is the decisive criterion. The requirement explicitly says a flight plan "is composed of multiple route segments," which is composition. Model 2 uses PlantUML composition (`*--`) for both FlightPlan→RouteSegment and AirspaceSector→SubSector, while Model 1 uses plain directional associations, weakening the intended whole-part semantics.
4. Functional/links: Model 2 makes the CrewMember behaviors (access terminals, report maintenance) traceable via explicit associations to AirportTerminal and MaintenanceRecord, whereas Model 1 only declares the methods without the supporting links.
5. Rejected or checked issues: I did not penalize Model 2 for its extra enums or `name` attributes (transparent refinements, not rewardable), nor Model 1 for `int`/`String`/`float` primitive aliases (forbidden penalty), nor either model for using opposite-direction associations (forbidden penalty). I also did not treat Model 1's `operationalStatus` attribute as a contradiction since the requirement lists it as a (derived) identifier.
6. Overall judgment: Model 2 is slightly better, primarily because it correctly uses composition for the flight-plan/route-segment relationship explicitly required by the wording "composed of," and it provides traceable associations backing the CrewMember maintenance-reporting and terminal-access behaviors. The difference is modest but consistent across two independent criteria.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</si>
  <si>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</si>
  <si>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exhibit reasonable separation of concerns. Model 1 keeps FlightInstance/FlightPlan/RouteSegment/Waypoint distinct with single-directional associations. Model 2 introduces a separate SubSector class (AirspaceSector *-- SubSector) instead of using self-association, which slightly improves semantic clarity but adds a class. Model 2 also adds explicit CrewMember--&gt;MaintenanceReport and CrewMember--&gt;AirportTerminal associations reflecting the "crew members can... access specific airport terminals and report maintenance issues" requirement, which Model 1 also models via CrewMember methods (accessTerminal, reportMaintenanceIssue). Both keep FlightPlan/Radar/Dashboard loosely coupled. Both comparable.
2. Complexity: Model 1 = 4, Model 2 = 3; Evidence: Model 1 has ~23 classes with no inheritance depth; methods are concise. Model 2 adds 9 enumerations (OperationalState, CrewRole, SurfaceType, SeverityLevel, Criticality, DutyStatus, DisplayMode, etc.) plus a SubSector class, bringing ~32 classes. The requirement does specify enums (ClearanceLevel, ConditionType, NavAidType) but Model 2 adds enumerations for attributes the requirement left open (SurfaceType, OperationalState, SeverityLevel, Criticality, DutyStatus, DisplayMode, CrewRole). This inflates complexity beyond the requirement's explicit facts. Model 1 stays better balanced against stated requirements.
3. Practicability: Model 1 = 4, Model 2 = 5; Evidence: Model 2 is more readable and testable: typed enums (SeverityLevel, OperationalState, DutyStatus) make method return types boolean and contracts clear (e.g., verifyClearanceValidity(): boolean, allocate(requestTime: Date): boolean, determineAvailability(): boolean). RouteSegment --&gt; "2" Waypoint precisely captures "connects exactly two waypoints"; Model 1 models this via two associations (startWaypoint, endWaypoint) which is also valid but Model 2's multiplicity "2" is cleaner. Model 2 uses composition (FlightPlan *-- RouteSegment) matching "composed of multiple route segments"; Model 1 uses plain association "composed of" which is weaker. Model 2 also captures AirportTerminal--&gt;Runway "providesAccessTo" matching "Airport terminals provide access to these runways," whereas Model 1 models Runway--&gt;AirportTerminal "accessed by" (inverse but equivalent). Model 2 better supports unit testing via explicit boolean return types and typed enums.
Total: Model 1 = 12, Model 2 = 12
Choice: C
Reason:
1. Cohesion and Decouption: Both models achieve comparable cohesion and low coupling; neither introduces excessive inter-class dependencies. Model 2's extra SubSector class is a transparent refinement that doesn't harm decoupling.
2. Complexity: Model 1 is better balanced against the stated requirement (fewer speculative enumerations). Model 2 over-specifies with enums for attributes the requirement left open (SurfaceType, OperationalState, SeverityLevel, Criticality, DutyStatus, DisplayMode, CrewRole), inflating class count. Per the guideline, extra implementation-oriented detail not tied to a stated requirement fact is not rewarded.
3. Practicability: Model 2 is more readable and testable—typed enums, boolean return types, composition for RouteSegment, and the precise "2" multiplicity for waypoints improve clarity and testability. Model 1 is still solid and fully covers the requirement but uses looser semantics (plain association for composition, String for status/severity fields).
3. Rejected or checked issues: Did NOT penalize Model 2 for PlantUML comments ('opposite governs, 'opposite flightPlan) per forbidden-penalty rule. Did NOT penalize Model 1 for using int/float/String primitives or "*" multiplicity per forbidden-penalty rules. Did NOT reward Model 2 for extra timestamps/statuses/enums beyond stated requirement facts. Did NOT penalize Model 1's two opposite-direction associations (FlightInstance--&gt;CrewMember vs FlightPlan being monitored by AirTrafficController) as they are semantically equivalent to bidirectional links.
4. Overall judgment: The two models are essentially tied. Model 1 wins on complexity alignment; Model 2 wins on practicability/readability. The totals are equal (12 each), and the meaningful quality difference is small, so a tie is the appropriate judgment.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</si>
  <si>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</si>
  <si>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capture all core domain classes: FlightInstance, AircraftStatus, CrewMember, PassengerManifest, EventLog, FlightPlan, RouteSegment, Waypoint, NavigationAid, WeatherReport, AirspaceSector, Runway, AirportTerminal, ControlTower, AirTrafficController, SystemDashboard/ControllerDashboard, RadarSystem, CommunicationChannel, MaintenanceRecord, FlightLog. Model 2 adds a separate SubSector class and several enumerations (OperationalState, CrewRole, SurfaceType, SeverityLevel, Criticality, DutyStatus, DisplayMode) that refine domain concepts; Model 1 uses fewer enums but represents the same conceptual classes. Both fully cover the domain.
2. Associations/Multiplicities between classes for domain reasoning: Model 1 = 4, Model 2 = 5; Evidence: Both model FlightInstance-&gt;AircraftStatus (1-1), FlightInstance-&gt;PassengerManifest (1-1), FlightInstance-&gt;EventLog (1-*), FlightInstance-&gt;AirportTerminal (departure terminal), FlightPlan composed of RouteSegments, RouteSegment connects two waypoints, AirspaceSector contains sub-sectors and manages runways, Runway controlled by ControlTower, ControlTower employs controllers and houses channels, Controller uses dashboard and channel, Dashboard integrates radar and displays traffic, Radar monitors sector. Model 1 models RouteSegment-&gt;Waypoint as two separate "1" associations (start/end), correctly enforcing "exactly two"; Model 2 uses a single "2" multiplicity. Both acceptable. Model 2 more precisely captures CrewMember-&gt;FlightLog (authored logs, 0..*), CrewMember-&gt;MaintenanceRecord (reported maintenance, 0..*) and AirportTerminal-&gt;Runway (provides access) with clear multiplicities, and AirTrafficController-&gt;FlightPlan (monitored, 0..*). Model 1 also includes these but with looser *-* multiplicities in places (e.g., FlightInstance *-* CrewMember). Model 2's multiplicities are slightly more constrained and domain-accurate (e.g., FlightInstance-&gt;CrewMember as 1..* rather than *-*). Minor edge: Model 2 places "monitoredFlightPlans" on controller rather than the FlightPlan-&gt;controller direction in Model 1; semantically equivalent. Both strong; Model 2 slightly sharper multiplicities.
3. Model attributes with appropriate data types: Model 1 = 4, Model 2 = 5; Evidence: Both models include the required attributes with sensible types. Model 1 uses String for operationalStatus, certificationStatus, role, severityLevel, surfaceType, dutyStatus, altitudeLevels, displayMode — losing enum fidelity where domain implies enumerated values (ClearanceLevel/ConditionType are enumerated, but OperationalState, SurfaceType, SeverityLevel, DutyStatus are left as String). Model 2 introduces enums for OperationalState, CrewRole, SurfaceType, SeverityLevel, Criticality, DutyStatus, DisplayMode and types attributes accordingly (e.g., AircraftStatus.operationalState: OperationalState, Runway.surfaceType: SurfaceType, EventLog.severity: SeverityLevel). Model 2 also decomposes Waypoint coordinates into latitude/longitude doubles rather than a single coordinate String, and NavigationAid similarly, improving precision. Model 1's frequency/scanRange as float vs Model 2's double — both acceptable. Model 2's typing is more faithful and complete.
4. Consistencies of Terminology with given context: Model 1 = 4, Model 2 = 4; Evidence: Both use terminology consistent with the requirement (FlightInstance, AircraftStatus, CrewMember, FlightPlan, RouteSegment, Waypoint, NavigationAid, WeatherReport, AirspaceSector, Runway, AirportTerminal, ControlTower, AirTrafficController, SystemDashboard/ControllerDashboard, RadarSystem, CommunicationChannel, MaintenanceRecord, FlightLog). Model 1 renames SystemDashboard (requirement says "system dashboard" — acceptable, even closer than "ControllerDashboard"). Model 2 renames SystemDashboard to ControllerDashboard — a mild deviation from the requirement term "system dashboard" but semantically related. Model 2 introduces "SubSector" as a distinct class vs Model 1's recursive self-association on AirspaceSector; requirement says sectors "contain multiple sub-sectors," so both are defensible. Minor terminology drift in Model 2 (ControllerDashboard) vs Model 1's closer "SystemDashboard". Roughly balanced.
5. Adherence of UML class diagram standards: Model 1 = 5, Model 2 = 5; Evidence: Both use valid PlantUML class diagram syntax: class/enum declarations, attributes with types, methods, associations with multiplicities, role labels, composition (Model 2 uses *-- for composition of RouteSegment and SubSector; Model 1 uses --&gt; with "composed of" label). Model 1 uses directional associations throughout consistently. Model 2 mixes --&gt; and *-- appropriately. Both are comprehensible and syntactically valid. No major UML violations in either. (Forbidden: not penalizing Model 2 for 'opposite comments or enum aliasing.)
Total: Model 1 = 22, Model 2 = 24
Choice: B
Reason:
1. Appropriate conceptual classes: Tie — both fully cover the domain; Model 2 adds refining enums but the base conceptual coverage is equivalent.
2. Associations/Multiplicities: Model 2 slightly stronger — more constrained, domain-accurate multiplicities (e.g., FlightInstance-&gt;CrewMember 1..* rather than *-*; CrewMember-&gt;FlightLog 0..* with authoredLogs role; explicit AirportTerminal-&gt;Runway providesAccess). Model 1's multiplicities are correct but looser in several spots.
3. Model attributes with appropriate data types: Model 2 clearly stronger — introduces enums (OperationalState, SurfaceType, SeverityLevel, DutyStatus, Criticality, CrewRole, DisplayMode) and types attributes accordingly, and decomposes coordinates into latitude/longitude doubles. Model 1 leaves several enumerated domain attributes as plain String.
4. Consistencies of Terminology: Roughly even; Model 1 is marginally closer on "SystemDashboard" vs Model 2's "ControllerDashboard," but Model 2's other terms are consistent. Net near-tie.
5. Adherence of UML standards: Tie — both valid and readable.
Rejected or checked issues: Did not penalize Model 1 for using float instead of double, String instead of enum aliases, or opposite-direction associations; did not penalize Model 2 for 'opposite comments, enum value casing, or ControllerDashboard renaming beyond the minor terminology note. Did not reward Model 2 merely for having more enums — credit is for improved type fidelity of attributes that the requirement implies are enumerated (e.g., OperationalState, SurfaceType, SeverityLevel, DutyStatus).
Overall judgment: Model 2 is better primarily due to more precise attribute typing (enums for state/severity/surface/duty/criticality/role/display, decomposed coordinates) and slightly tighter, domain-accurate multiplicities. The difference is meaningful but not large; Model 1 remains a solid, fully-compliant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</si>
  <si>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</si>
  <si>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 coverage / conceptual classes alignment: Model 1 = 2, Model 2 = 5; Evidence: Model 1 omits AirportTerminal (only a method `accessAirportTerminals()` exists, no class), omits NavigationAid (merges type/frequency into Waypoint), omits SubSector (requirement: "divided into altitude floors and ceilings, which contain multiple sub-sectors"), and introduces an undefined `RoomMaster` class referenced by `FlightInstance -- RoomMaster` with no declaration. Model 2 includes AirportTerminal, NavigationAid, SubSector, and all other required classes.
2. Attributes alignment: Model 1 = 3, Model 2 = 5; Evidence: Model 1 stores `operationalStatus` directly on FlightInstance (requirement says it is "derived from an associated aircraft status record"), Waypoint wrongly carries `type/frequency` instead of a referenced NavigationAid, and Dashboard lacks a display-mode attribute. Model 2 correctly omits stored operationalStatus (derived), uses `latitude/longitude` on Waypoint plus separate NavigationAid with `aidType/frequency/latitude/longitude`, and gives ControllerDashboard a `displayMode` attribute.
3. Relationships, cardinalities, composition/aggregation: Model 1 = 2, Model 2 = 5; Evidence: Model 1 uses `RouteSegment -- Waypoint` with no multiplicity (requirement: "connects exactly two waypoints"), places `FlightInstance *-- WeatherReport` (weather should influence flight plans and route segments, not FlightInstance), models `FlightInstance *-- FlightPlan` in the wrong ownership direction (requirement: plan "defines the specific flight instance it governs"), and is missing weather-influence links on FlightPlan/RouteSegment, Dashboard→FlightInstance, RadarSystem→AirspaceSector, AirspaceSector→NavigationAid, and FlightLog→FlightInstance. Model 2 provides `RouteSegment --&gt; "2" Waypoint`, bidirectional `FlightInstance --&gt; FlightPlan` / `FlightPlan --&gt; FlightInstance governs`, `FlightPlan --&gt; WeatherReport`, `RouteSegment --&gt; WeatherReport`, `ControllerDashboard --&gt; FlightInstance displayedTraffic`, `RadarSystem --&gt; AirspaceSector monitoredSector`, and `AirspaceSector --&gt; NavigationAid equippedNavAids`, all with appropriate multiplicities.
4. Methods/behaviors alignment: Model 1 = 3, Model 2 = 5; Evidence: Model 1 omits `processScanData()` on RadarSystem, `establishConnection()` on CommunicationChannel, and a display-mode setter on Dashboard; `allocateRunway()` has no request-time parameter (requirement: "allocate based on request time"). Model 2 includes `RadarSystem.processScanData()`, `CommunicationChannel.establishConnection()`, `ControllerDashboard.setDisplayMode()`, `Runway.allocate(requestTime: Date)`, `FlightPlan.computeAltitudeAdjustment(emergencyStatus)`, and controller methods `authorizeManeuver(clearanceLevel)` / `generateClearanceMessage(flightPlan)`.
5. No hallucination / unsupported additions: Model 1 = 2, Model 2 = 5; Evidence: Model 1 introduces `RoomMaster` (undefined, not in requirement) and mis-places WeatherReport as a composite part of FlightInstance. Model 2's enums (OperationalState, ClearanceLevel, WeatherConditionType, NavAidType, SeverityLevel, etc.) are transparent refinements of stated requirement values (e.g., "Clear, Cloudy, Storm, Fog"; "Ground or Tower"; "VOR or ILS"), not unsupported fabrications.
Total: Model 1 = 12, Model 2 = 25
Choice: B
Reason:
1. Class coverage: Model 2 includes all required classes (AirportTerminal, NavigationAid, SubSector) that Model 1 entirely omits, and Model 1 hallucinates an undefined `RoomMaster` class.
2. Relationships/cardinalities: Model 2 correctly captures "exactly two waypoints" (`"2"`), the governs direction between FlightPlan and FlightInstance, weather influences on both FlightPlan and RouteSegment, radar-monitored airspace sectors, dashboard-displayed traffic, and airspace-equipped navigation aids — all missing or wrong in Model 1.
3. Rejected or checked issues: Model 2's enums were not penalized as "extra" because they enumerate values explicitly listed in the requirement (e.g., CLEAR/CLOUDY/STORM/FOG, GROUND/TOWER, VOR/ILS); Model 1's `int`/`String` aliases and `*` multiplicities were not penalized per forbidden-penalty rules. The decisive gap is the missing classes and wrong relationships, not primitive-type or notation style.
4. Overall judgment: Model 2 is substantially more complete and domain-faithful, covering every required class, attribute, relationship, multiplicity, and behavior, whereas Model 1 has multiple missing classes, an undefined hallucinated class, wrong association directions, and missing key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</si>
  <si>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</si>
  <si>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conflates NavigationAid into Waypoint (Waypoint carries `type`, `frequency`, `locationCoordinates` — mixing navigation-aid concerns into a waypoint concept, low cohesion), and wrongly composes `FlightInstance *-- WeatherReport` even though weather reports influence route segments and flight plans, not flight instances (incorrect coupling). It also introduces a spurious `FlightInstance -- RoomMaster` relation with no requirement basis. Model 2 keeps `Waypoint` (name, lat, long) and `NavigationAid` (aidType, frequency, lat, long) as separate cohesive classes, models weather influence as associations `FlightPlan --&gt; WeatherReport : planWeatherInfluences` and `RouteSegment --&gt; WeatherReport : segmentWeatherInfluences` (decoupled, no ownership), and separates `SubSector`, `ControllerDashboard`, `AirportTerminal` as distinct concerns.
2. Complexity: Model 1 = 2, Model 2 = 5; Evidence: Model 1 has ~19 classes but omits required concepts (`AirportTerminal` entirely absent despite `accessAirportTerminals()` method and the departure-terminal requirement; `SubSector` missing although requirement states sectors "contain multiple sub-sectors"; `NavigationAid` not modeled separately) while adding an unjustified `RoomMaster` class. Method signatures lack parameters (e.g., `calculateAltitude()` with no emergency-status input, `allocateRunway()` with no request time, `authorizeManeuvers()` with no clearance type). Model 2 has ~22 classes plus targeted enums (`ClearanceLevel{GROUND,TOWER}`, `WeatherConditionType{CLEAR,CLOUDY,STORM,FOG}`, `NavAidType{VOR,ILS}`) that match the requirement's closed lists, and methods carry the required parameters (`computeAltitudeAdjustment(emergencyStatus: boolean)`, `allocate(requestTime: Date)`, `authorizeManeuver(clearanceLevel: ClearanceLevel)`, `generateClearanceMessage(flightPlan: FlightPlan)`). Complexity is balanced and traceable to requirement facts.
3. Practicability: Model 1 = 2, Model 2 = 5; Evidence: Model 1 misses hard requirements: no `AirportTerminal` class and no departure-terminal link to FlightInstance; `FlightLog -- CrewMember` exists but `FlightLog` is never linked to `FlightInstance` (requirement: "flight logs record events related to specific flight instances"); `FlightInstance` stores `operationalStatus: String` as an attribute rather than deriving it from the aircraft status record; `RouteSegment -- Waypoint` lacks the "exactly two" multiplicity; no airspace-sector → navigation-aid equipment relation; no radar → airspace-sector monitoring; no dashboard real-time-traffic display; no `FlightPlan --&gt; FlightInstance` governs relation; `Dashboard` lacks display modes. Model 2 covers all of these: `FlightInstance --&gt; "1" AirportTerminal : departureTerminal`, `FlightInstance --&gt; "0..*" FlightLog : flightLogs`, `RouteSegment --&gt; "2" Waypoint : connectedWaypoints`, `AirspaceSector --&gt; "0..*" NavigationAid : equippedNavAids`, `RadarSystem --&gt; "1" AirspaceSector : monitoredSector`, `ControllerDashboard --&gt; "0..*" FlightInstance : displayedTraffic`, `FlightPlan --&gt; "1" FlightInstance : governs`, `ControllerDashboard` has `displayMode: DisplayMode` plus `setDisplayMode`. Relationships, multiplicities, and method contracts are clear and testable.
Total: Model 1 = 6, Model 2 = 15
Choice: B
Reason:
1. Cohesion and Decoupling: Model 2 separates NavigationAid from Waypoint, SubSector from AirspaceSector, and uses non-owning associations for weather influence, yielding higher cohesion and lower coupling. Model 1 merges nav-aid attributes into Waypoint and mis-owns WeatherReport under FlightInstance.
2. Complexity: Model 2's class count and granularity align with the requirement, with parameters and enums reflecting closed lists (ClearanceLevel, WeatherConditionType, NavAidType). Model 1 omits AirportTerminal, SubSector, and standalone NavigationAid, leaves methods parameter-less, and adds an unexplained RoomMaster class.
3. Rejected or checked issues: I did not penalize Model 1 for using `int`/`boolean`/`String` aliases, for `*` vs `0..*`, or for the `'opposite governs` PlantUML comments in Model 2 — all forbidden factors. I also did not reward Model 2 merely for having enums; they were credited only because they encode requirement-stated closed lists (Ground/Tower, Clear/Cloudy/Storm/Fog, VOR/ILS).
4. Overall judgment: Model 2 is substantially more complete and semantically faithful — it covers AirportTerminal, SubSector, FlightLog↔FlightInstance, weather influences, radar↔airspace, dashboard traffic display, the governs relation, and method parameters — whereas Model 1 misses multiple required components, mis-couples weather, and introduces a spurious RoomMaster class. Model 2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</si>
  <si>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</si>
  <si>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is missing AirportTerminal (no terminal class despite "departure terminal" and "airport terminals"), SubSector, and a separate NavigationAid class (it folds nav-aid type/frequency/coordinates directly into Waypoint). It also references an undefined `RoomMaster` class via `FlightInstance -- RoomMaster`. Model 2 includes all required classes: FlightInstance, AircraftStatus, CrewMember, PassengerManifest, EventLog, FlightPlan, RouteSegment, Waypoint, WeatherReport, NavigationAid, AirportTerminal, AirspaceSector, SubSector, Runway, ControlTower, AirTrafficController, ControllerDashboard, RadarSystem, CommunicationChannel, MaintenanceRecord, FlightLog.
2. Associations/Multiplicities between classes for domain reasoning: Model 1 = 2, Model 2 = 5; Evidence: Model 1 uses bare composition arrows without multiplicity labels (e.g., `FlightInstance *-- CrewMember`, `FlightPlan *-- RouteSegment`) and omits key relationships: FlightPlan→FlightInstance "governs", RouteSegment↔WeatherReport, FlightPlan↔WeatherReport, RadarSystem→AirspaceSector, Dashboard→FlightInstance traffic, AirspaceSector→SubSector, AirspaceSector→NavigationAid, AirportTerminal→Runway access. Model 2 explicitly labels multiplicities and roles, e.g., `RouteSegment --&gt; "2" Waypoint : connectedWaypoints` (matching "connects exactly two waypoints"), `FlightPlan --&gt; "1" FlightInstance : governs`, `RouteSegment --&gt; "0..*" WeatherReport : segmentWeatherInfluences`, `RadarSystem --&gt; "1" AirspaceSector : monitoredSector`, `AirspaceSector *-- "0..*" SubSector`, `AirportTerminal --&gt; "0..*" Runway : providesAccessTo`.
3. Model attributes with appropriate data types: Model 1 = 3, Model 2 = 5; Evidence: Model 1 misplaces navigation-aid attributes onto Waypoint (`type: String`, `frequency: String`, `locationCoordinates: String`) rather than modeling Waypoint coordinates, and uses generic String for conditionType/clearanceLevel. Model 2 assigns Waypoint proper geographic coordinates (`latitude: double`, `longitude: double`), separates NavigationAid with `aidType: NavAidType`, `frequency: double`, coordinates, and uses typed enumerations (OperationalState, CrewRole, ClearanceLevel, WeatherConditionType, SeverityLevel, etc.) aligned with the requirement's enumerated domains (Ground/Tower; Clear/Cloudy/Storm/Fog; VOR/ILS).
4. Consistencies of Terminology with given context: Model 1 = 3, Model 2 = 4; Evidence: Model 1 introduces an unexplained "RoomMaster" term absent from the requirement, omits "AirportTerminal"/"terminal" terminology, and labels the dashboard simply "Dashboard" (requirement says "system dashboard"). Model 2 uses "AircraftStatus" (recognizable abbreviation of "aircraft status record"), "ControllerDashboard" (matching "system dashboard"), "AirportTerminal", "SubSector", and "NavigationAid" all consistent with the requirement; only minor abbreviation of "record" in AircraftStatus.
5. Adherence of UML class diagram standards: Model 1 = 3, Model 2 = 5; Evidence: Model 1 references an undefined class `RoomMaster` (a dangling association with no class declaration), which is a UML/PlantUML integrity violation; remaining syntax is otherwise valid. Model 2 fully adheres to UML/PlantUML conventions: properly declared enums, classes with typed attributes and methods, named associations with explicit multiplicities and role labels, and consistent composition/aggregation usage.
Total: Model 1 = 14, Model 2 = 24
Choice: B
Reason:
1. Conceptual classes: Model 2 covers all domain concepts including AirportTerminal, SubSector, and NavigationAid, while Model 1 omits these and introduces an undefined RoomMaster reference.
2. Associations/Multiplicities: Model 2 provides explicit, requirement-faithful multiplicities and roles (e.g., RouteSegment→2 Waypoints, FlightPlan governs FlightInstance, WeatherReport influences both FlightPlan and RouteSegment, RadarSystem monitors AirspaceSector), whereas Model 1 omits multiplicities and several key relationships.
3. Attributes/Types: Model 2 uses properly typed attributes and enumerations matching the requirement's stated value domains; Model 1 conflates Waypoint with navigation-aid attributes and uses generic String types.
4. Terminology: Model 2 aligns with requirement vocabulary (AirportTerminal, SubSector, NavigationAid, ControllerDashboard); Model 1 introduces RoomMaster (unexplained) and lacks terminal terminology.
5. Rejected/checked issues: I did not penalize Model 1 for using `*` vs `0..*` (equivalent), for opposite-direction associations, or for primitive type aliases; I also did not reward Model 2's extra enums/timestamps beyond their contribution to stated requirement facts. The decisive factor is Model 1's undefined RoomMaster reference and missing classes, plus omitted multiplicities and key associations.
6. Overall judgment: Model 2 is substantially more complete, semantically faithful, and UML-compliant, earning higher scores on every criterion.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</si>
  <si>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</si>
  <si>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Completeness of conceptual classes: Model 1 = 2, Model 2 = 5; Evidence: Model 1 omits `AirportTerminal` and `NavigationAid` (conflating nav-aid fields into `Waypoint`), and hallucinates a `RoomMaster` class referenced by `FlightInstance -- RoomMaster`. Model 2 includes all required classes: `AirportTerminal` (gateCount, provideAccessToRunway), `NavigationAid` (type/frequency/locationCoordinates), `Waypoint`, `SystemDashboard`, etc.
2. Class attributes accuracy: Model 1 = 3, Model 2 = 5; Evidence: Model 1's `Dashboard` lacks the required `displayMode` attribute; `FlightPlan.calculateAltitude()` omits the emergency-status parameter required by "calculates altitude based on emergency status"; `Runway.allocateRunway()` omits the request-time parameter. Model 2 has `SystemDashboard.displayMode`, `calculateAltitude(emergencyStatus: boolean)`, and `Runway.allocate(requestTime: DateTime)`.
3. Associations and relationships: Model 1 = 2, Model 2 = 5; Evidence: Model 1 attaches `WeatherReport` to `FlightInstance` (wrong — requirement says weather influences flight plans AND route segments), misses `AirspaceSector` self-association for sub-sectors, misses `RadarSystem→AirspaceSector` monitoring, misses `Dashboard→FlightInstance` real-time traffic, and misses `FlightLog→FlightInstance`. Model 2 has `FlightPlan→WeatherReport`, `RouteSegment→WeatherReport`, `AirspaceSector→AirspaceSector` (contains sub-sectors), `AirspaceSector→RadarSystem` (monitored by), `SystemDashboard→FlightInstance` (real-time traffic), and `FlightInstance→FlightLog`.
4. Cardinalities/multiplicities: Model 1 = 2, Model 2 = 5; Evidence: Model 1 specifies almost no multiplicities (bare `--`/`*--`). Model 2 annotates every association (e.g., `RouteSegment "1" --&gt; "1" Waypoint : startWaypoint` and `: endWaypoint` capturing "exactly two waypoints"; `AirspaceSector "1" --&gt; "0..*" AirspaceSector` for sub-sectors; `Runway "*" --&gt; "1" ControlTower`).
5. Relationship types (composition/aggregation/association): Model 1 = 3, Model 2 = 4; Evidence: Model 1 applies composition indiscriminately (e.g., `FlightInstance *-- CrewMember`, `FlightInstance *-- WeatherReport`, `Dashboard *-- RadarSystem`) where plain associations are semantically more appropriate. Model 2 uses associations with role labels (e.g., "composed of", "housed", "utilizes", "monitored by") better matching the requirement wording.
6. Enums / constrained value sets: Model 1 = 2, Model 2 = 5; Evidence: Model 1 models `clearanceLevel` and `conditionType` as plain `String`, losing the Ground/Tower and Clear/Cloudy/Storm/Fog constraints. Model 2 defines `enum ClearanceLevel {Ground, Tower}`, `enum ConditionType {Clear, Cloudy, Storm, Fog}`, and `enum NavAidType {VOR, ILS}`, matching the requirement exactly.
7. Domain faithfulness / no hallucination: Model 1 = 1, Model 2 = 5; Evidence: Model 1 introduces a non-requirement class `RoomMaster` and mis-associates weather reports with flight instances. Model 2 introduces no unsupported classes and every association is traceable to a requirement sentence.
Total: Model 1 = 15, Model 2 = 34
Choice: B
Reason:
1. Completeness of conceptual classes: Model 2 covers all required entities (AirportTerminal, NavigationAid, SystemDashboard, etc.) whereas Model 1 omits AirportTerminal and NavigationAid and adds an unsupported `RoomMaster` class.
2. Associations and relationships: Model 2 correctly models weather influencing both flight plans and route segments, the AirspaceSector self-association for sub-sectors, the RouteSegment↔Waypoint "exactly two" structure (start/end), radar monitoring of sectors, and dashboard real-time traffic display; Model 1 gets the weather association wrong and omits several key links.
3. Rejected or checked issues: I did not penalize Model 1 for using `int`/`String`/`boolean` lowercase types, nor for `*` vs `0..*`, nor for single-quote comments — these are forbidden penalty factors. I also did not reward Model 2 merely for being longer; its extra classes/enums are directly required by the requirement (Ground/Tower, Clear/Cloudy/Storm/Fog, VOR/ILS).
4. Overall judgment: Model 2 is substantially more faithful to the requirement — complete class set, correct associations with multiplicities, proper enumerated constraints, accurate method signatures (emergency status, request time), and no hallucinated classes. Model 1 contains a hallucinated class, wrong weather-report associations, missing key relationships, and missing attributes/parameters, so Model 2 is clearly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</si>
  <si>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</si>
  <si>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introduces a spurious `RoomMaster` class linked from `FlightInstance` with no requirement basis, and merges `Waypoint` with navigation-aid attributes (`type`, `frequency`, `locationCoordinates` all placed on `Waypoint`), conflating two distinct concepts and lowering cohesion. It also attaches `WeatherReport` to `FlightInstance` (`FlightInstance *-- WeatherReport`) instead of to `FlightPlan`/`RouteSegment` as required, creating a misplaced dependency. Model 2 keeps `Waypoint` (with `geographicCoordinates`) and `NavigationAid` (with `type: NavAidType`, `frequency`, `locationCoordinates`) separate, models `AirportTerminal` as its own class, and uses dedicated enums (`ClearanceLevel`, `ConditionType`, `NavAidType`), yielding high cohesion and low, well-directed coupling (e.g., `RouteSegment --&gt; WeatherReport : influenced by`, `FlightPlan --&gt; WeatherReport : influenced by`).
2. Complexity: Model 1 = 3, Model 2 = 4; Evidence: Model 1 has ~18 classes but omits required classes (`AirportTerminal`, `NavigationAid`) and adds an unjustified `RoomMaster`, producing under-coverage rather than balanced complexity; `RouteSegment -- Waypoint` uses a single association that fails to model "connects exactly two waypoints." Model 2 has ~22 classes plus 3 enums, all traceable to requirement facts (sub-sectors via `AirspaceSector --&gt; AirspaceSector`, `AirportTerminal`, `NavigationAid`, `SystemDashboard`), and models the two-way waypoint connection explicitly via `RouteSegment --&gt; Waypoint : startWaypoint` and `RouteSegment --&gt; Waypoint : endWaypoint`. The added granularity is justified, not gratuitous.
3. Practicability: Model 1 = 2, Model 2 = 5; Evidence: Model 1 misses multiple required elements: no `AirportTerminal` (departure terminal, gate count, runway access), no `FlightLog`–`FlightInstance` link ("flight logs record events related to specific flight instances"), `Dashboard` lacks `displayMode` and any link to `FlightInstance` for real-time traffic, `RadarSystem` has no `processScanData()` and no link to `AirspaceSector`, `CommunicationChannel` lacks `establishConnection()`, `AirspaceSector` omits sub-sectors and navigation-aid equipping, and `FlightLog` lacks a timestamp. Model 2 covers all of these: `SystemDashboard --&gt; FlightInstance : displays real-time traffic for`, `RadarSystem` has `processScanData()` and `AirspaceSector --&gt; RadarSystem : monitored by`, `CommunicationChannel` has `establishConnection()`, `FlightInstance --&gt; FlightLog : records`, `FlightLog` has `timestamp`, `AirportTerminal` with `gateCount`/`provideAccessToRunway()`, and self-referential sub-sector containment.
Total: Model 1 = 7, Model 2 = 14
Choice: B
Reason:
1. Cohesion and Decoupling: Model 2 separates `Waypoint`/`NavigationAid`/`AirportTerminal` and directs weather-report influence to the correct targets (`FlightPlan`, `RouteSegment`), whereas Model 1 merges navigation-aid attributes onto `Waypoint`, misplaces `WeatherReport` under `FlightInstance`, and injects an unrelated `RoomMaster`.
2. Complexity: Model 2's larger class count is justified by explicit requirement concepts (two-endpoint waypoints, sub-sectors, navigation aids, terminal access); Model 1's lower count reflects omissions plus a spurious class, not balanced design.
3. Rejected or checked issues: Did not penalize Model 1 for primitive-type spellings, `*` vs `0..*`, or `String` vs enum `conditionType`/`clearanceLevel` under the forbidden-penalties rule; the scoring differences stem from genuine missing/contradictory semantics (spurious `RoomMaster`, missing `AirportTerminal`, misplaced `WeatherReport`, unlinked `FlightLog`).
4. Overall judgment: Model 2 comprehensively and faithfully covers the requirement with correct associations and multiplicities, while Model 1 has multiple material omissions and one contradictory/spurious element, making Model 2 clearly superior.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</si>
  <si>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</si>
  <si>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models carefully against the requirement and criteria.
```result
Scores:
1. Appropriate conceptual classes aligned with the domain: Model 1 = 3, Model 2 = 5; Evidence: Model 1 is missing AirportTerminal entirely (uses undefined "RoomMaster" in `FlightInstance -- RoomMaster` with no class definition) and missing NavigationAid (incorrectly merged nav-aid attributes type/frequency/locationCoordinates into Waypoint, which should only have geographicCoordinates). Model 2 defines all required classes: AirportTerminal (gateCount, provideAccessToRunway()), NavigationAid (type: NavAidType, frequency, locationCoordinates), SystemDashboard (displayMode), plus enums ClearanceLevel/ConditionType/NavAidType.
2. Associations/Multiplicities between classes for domain reasoning: Model 1 = 2, Model 2 = 5; Evidence: Model 1 misses critical relations: AirspaceSector sub-sector self-association, weather influence on FlightPlan and RouteSegment (`FlightInstance *-- WeatherReport` instead), radar-to-airspace monitoring, runway-terminal access, controller-flightplan monitoring; RouteSegment--Waypoint is a single link not "exactly two waypoints"; FlightLog has no link to FlightInstance. Model 2 captures all: `RouteSegment "1" --&gt; "1" Waypoint : startWaypoint` and `: endWaypoint`, `AirspaceSector "1" --&gt; "0..*" AirspaceSector : contains sub-sectors`, `FlightPlan "*" --&gt; "*" WeatherReport`, `RouteSegment "*" --&gt; "*" WeatherReport`, `AirspaceSector "*" --&gt; "*" RadarSystem : monitored by`, `Runway "*" --&gt; "*" AirportTerminal : accessed by`, `FlightPlan "*" --&gt; "*" AirTrafficController : monitored by`, `FlightInstance "1" --&gt; "*" FlightLog : records`.
3. Model attributes with appropriate data types: Model 1 = 3, Model 2 = 5; Evidence: Model 1's Waypoint has wrong attributes (type/frequency/locationCoordinates belong to NavigationAid); Dashboard lacks displayMode attribute; FlightLog lacks timestamp; calculateAltitude() and allocateRunway() and authorizeManeuvers() and generateClearanceMessages() all missing required parameters. Model 2 uses typed enums (requiredClearanceLevel: ClearanceLevel, conditionType: ConditionType), includes calculateAltitude(emergencyStatus: boolean), allocate(requestTime: DateTime), authorizeManeuver(clearanceType: String), generateClearanceMessage(flightPlan: FlightPlan), FlightLog has timestamp: DateTime, SystemDashboard has displayMode.
4. Consistencies of Terminology with given context: Model 1 = 3, Model 2 = 4; Evidence: Model 1 introduces inconsistent "RoomMaster" (no such term in requirement), merges Waypoint/NavigationAid terminology incorrectly; "Dashboard" abbreviates "system dashboard". Model 2 uses "AircraftStatus" instead of "AircraftStatusRecord" (minor synonym) and "SystemDashboard" (compound, minor), but otherwise terms (FlightInstance, FlightPlan, RouteSegment, Waypoint, NavigationAid, AirspaceSector, CommunicationChannel, MaintenanceRecord, FlightLog) align with requirement.
5. Adherence of UML class diagram standards: Model 1 = 4, Model 2 = 5; Evidence: Model 1 is valid PlantUML with composition/association notation but references an undefined class RoomMaster and lacks multiplicities on most links. Model 2 is valid PlantUML with enums, explicit multiplicities, role labels, and directionality throughout; fully adheres to UML conventions.
Total: Model 1 = 15, Model 2 = 24
Choice: B
Reason:
1. Appropriate conceptual classes: Model 2 includes all required domain classes (AirportTerminal, NavigationAid, SystemDashboard) and enums, whereas Model 1 hallucinates "RoomMaster" and omits NavigationAid by wrongly folding its attributes into Waypoint.
2. Associations/Multiplicities: Model 2 captures every stated relationship with correct multiplicities (two waypoints per segment, sub-sectors, weather influence on plans/segments, radar-monitored sectors, terminal-runway access, controller-monitored flight plans). Model 1 misses most of these and even links weather to FlightInstance instead of FlightPlan/RouteSegment.
3. Rejected or checked issues: Did not penalize Model 1 for using `int`/`String` aliases or `*` vs `0..*` (forbidden penalties). Did not reward Model 2 merely for enums unless they improved requirement coverage (they do: Ground/Tower clearance and weather condition types are stated closed lists). "AircraftStatus" vs "AircraftStatusRecord" treated as synonymous, not a contradiction.
4. Overall judgment: Model 2 is substantially more complete and domain-faithful across all five criteria — correct classes, correct associations/multiplicities, properly typed attributes with required method parameters, consistent terminology, and clean UML with enums and role labels. Model 1 has multiple critical omissions and one hallucinated class, making Model 2 clearly better.
```</t>
  </si>
  <si>
    <t>AI-AssistedDrugDiscoveryPlatform</t>
  </si>
  <si>
    <t>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</si>
  <si>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</si>
  <si>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coverage: Model 1 = 5, Model 2 = 4; Evidence: Model 1 includes all required classes plus a generic `Protocol` (with `AssayProtocol` as subclass), `StatisticalAnalysis`, `RegulatoryReview`, `SafetyAssessment`, and enums for `DevelopmentStage`/`TrialType`/`EventCategory`/`SeverityLevel`/`SimulationStatus`. Model 2 covers the core classes but omits a generic `Protocol` (only `AssayProtocol` exists, used for cohort assignment), and names the class `AdverseEvent` rather than the requirement's "adverse event reports" (`AdverseEventReport`).
2. Inheritance/classification correctness: Model 1 = 3, Model 2 = 5; Evidence: Both correctly model `Compound`/`MolecularCompound &lt;|-- SmallMolecule, Biologic, Peptide, SyntheticCompound`. However, Model 1 also writes `Compound &lt;|-- DrugCandidate`, contradicting the requirement that compounds "serve as the basis for drug candidates" (an association/dependency, not generalization). Model 2 correctly separates `MolecularCompound -- "basis for" --&gt; DrugCandidate` (1 to 1).
3. Associations and cardinalities: Model 1 = 5, Model 2 = 4; Evidence: Model 1 supplies explicit multiplicities throughout, e.g., `ResearchProject *-- "*" LaboratoryExperiment`, `DrugCandidate *-- "1" DosageRegimen`, `QuantitativeResult --&gt; "1" DataValidator`, `StudyCohort --&gt; "1..*" Protocol`. Model 2 also gives multiplicities but over-constrains `SafetyAssessment "*"--&gt; "1" ToxicityProfile` and `"*"--&gt; "1" DosageRegimen` (each assessment tied to exactly one profile and one regimen), and uses `DrugCandidate` for clinical-trial enrollment where the requirement says trials "enroll specific compounds."
4. Relationship types (composition/aggregation/association): Model 1 = 5, Model 2 = 4; Evidence: Model 1 uses composition (`*--`) for whole-part relations such as project-encompasses-experiments, experiment-generates-results/logs, and candidate-owns-dosage/toxicity. Model 2 mostly uses plain associations, including `DrugCandidate "1"--&gt; "1" DosageRegimen : possesses` and `DrugCandidate "1"--&gt; "1" ToxicityProfile : includes`, where composition would better reflect the whole-part semantics.
5. Attributes coverage and correctness: Model 1 = 5, Model 2 = 4; Evidence: Model 1 captures nearly every required attribute, e.g., `LaboratoryExperiment {stage, sampleCount, executionDate}`, `QuantitativeResult {value, observationDate, unit}`, `ExperimentLog {notes, timestamp}`, `SimulationModel {status, solventInclusion, forceFieldConfig, score}`, `AdverseEventReport {category, patientNotes, severity, isLifeThreatening}`. Model 2 covers the key attributes but is leaner (e.g., `Researcher` only `name`, `Institution` only `name`, `ResearchProject` only `name`), and uses `String` for `developmentStage`, `category`, and `severityLevel` rather than typed enums.
6. Domain semantic faithfulness: Model 1 = 3, Model 2 = 4; Evidence: Model 1 contradicts the requirement by making `DrugCandidate` a subclass of `Compound` (requirement frames compounds as the "basis for" candidates). It also adds non-required enum literals (e.g., `DevelopmentStage` stages, `EventCategory.OTHER`) and extra attributes (`budget`, `address`, `expertise`). Model 2 is more faithful on the compound/candidate separation but conflates generic `Protocol` with `AssayProtocol` for cohort assignment, a milder semantic weakness.
Total: Model 1 = 26, Model 2 = 25
Choice: C
Reason:
1. Conceptual classes coverage: Model 1 is more complete (generic `Protocol`, `StatisticalAnalysis` linked to results, `RegulatoryReview`, typed enums); Model 2 loses the protocol/assay distinction and slightly mis-names `AdverseEvent`.
2. Inheritance/classification correctness: Model 2 is clearly better here — Model 1's `Compound &lt;|-- DrugCandidate` directly contradicts the requirement's "basis for" wording, whereas Model 2 models it as an association.
3. Associations/cardinalities and relationship types: Model 1 is stronger, with explicit multiplicities and appropriate use of composition; Model 2's `SafetyAssessment` cardinalities are rigid and plain associations under-represent whole-part relations.
4. Attributes: Model 1 is more thorough; Model 2 is adequate but sparser and uses untyped strings for categorical fields.
5. Domain faithfulness: Trade-off — Model 1 has one notable contradiction (DrugCandidate inheritance) plus mild over-specification; Model 2 is cleaner on the compound/candidate relation but conflates Protocol/AssayProtocol.
6. Rejected or checked issues: Did not penalize either model for PlantUML single-quote comments, `int`/`String` aliases, `*` vs `0..*`, or opposite-direction unidirectional associations (all forbidden penalties). Did not reward Model 1's extra attributes/enums merely for being more detailed. Did not treat `RegulatoryReview` as a disqualifying hallucination (transparent refinement).
7. Overall judgment: The totals differ by one point and the models have complementary strengths — Model 1 is more comprehensive and structurally richer, while Model 2 is more faithful on the core compound/candidate semantics but less detailed. Given the small meaningful difference and the explicit guidance to use Tie when scores are close, the call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</si>
  <si>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</si>
  <si>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keep single-responsibility classes. Model 1 uses composition for strong ownership (e.g., `ResearchProject *-- " LaboratoryExperiment`, `DrugCandidate *-- "1" DosageRegimen`, `DrugCandidate *-- "1" ToxicityProfile`) and keeps `RegulatoryReview` distinct from `RegulatoryAgency` and `StatisticalAnalysis` distinct from `QuantitativeResult`, so coupling is domain-justified rather than tangled. Model 2 also separates concerns (`SafetyAssessment` evaluates `ToxicityProfile` and `DosageRegimen`, links to `AdverseEvent`) and uses a cleaner `MolecularCompound --&gt; DrugCandidate "basis for"` association instead of inheritance. However, Model 2 has very thin classes (`Institution{name}`, `Researcher{name}`, `ResearchProject{name}`) that add little cohesive value, and collapses regulatory review into a direct `DrugCandidate *--&gt; RegulatoryAgency` link, losing the review concept. Roughly balanced; both 4.
2. Complexity: Model 1 = 5, Model 2 = 4; Evidence: Model 1 balances detail well: it models closed lists as enums (`TrialType` with OBSERVATIONAL/RANDOMIZED_CONTROLLED/CROSS_SECTIONAL, `SimulationStatus` ACTIVE/ARCHIVED, `EventCategory`, `SeverityLevel`, `DevelopmentStage`), introduces a justified `RegulatoryReview` (reviewDate, decision) and `Protocol &lt;|-- AssayProtocol` with `compoundClass` + `methodName`, and ties `StatisticalAnalysis --&gt; QuantitativeResult` and `QuantitativeResult --&gt; DataValidator` faithfully to the requirement (analysis computes means; validator checks results against schema). Model 2 is also reasonably proportioned and uses `StudyType`/`ModelStatus` enums, but represents `developmentStage`, `category`, and `severityLevel` as plain `String`, omits `AssayProtocol.compoundClass` (requirement: "define methods to identify compound classes"), omits `ClinicalTrial.enrollmentSize`, and folds regulatory review into a bare association. Model 1's extra classes (`RegulatoryReview`, `StatisticalAnalysis` flow) are traceable intermediate concepts, not gratuitous. Edge to Model 1.
3. Practicability: Model 1 = 5, Model 2 = 4; Evidence: Model 1 is comprehensive and testable: validation status (`isValidated`, `validationDate`), dosage regimen amount/frequency/unit, toxicity profile `isCarcinogenic` + `AdverseEventReport` with `isLifeThreatening`, simulation `solventInclusion`/`forceFieldConfig`/`score`, `StudyCohort.targetFocus` + `operatesUnder Protocol`, `PharmacokineticStudy references BindingAffinity`, `Researcher authors Protocol`, `Researcher generates CompoundReport` for compound — all present and clearly wired. Model 2 covers most flows and is readable, and it arguably models the compound→candidate relationship more faithfully (`MolecularCompound "1" --&gt; "1" DrugCandidate : basis for`) plus a `PublicationRecord.findings` attribute (Model 1 lacks a `findings` field, only linking records to projects). But Model 2's gaps (no `AssayProtocol.compoundClass`, no regulatory review detail, validator attached to `LaboratoryExperiment` rather than results, thin researcher/institution/project classes, String-typed stages/severity) reduce programming/testability fidelity. Model 1 provides more complete, modular, independently testable units.
Total: Model 1 = 14, Model 2 = 12
Choice: A
Reason:
1. Cohesion and Decoupling: Nearly tied — Model 2's `MolecularCompound --&gt; DrugCandidate` association is actually more domain-faithful than Model 1's `Compound &lt;|-- DrugCandidate` inheritance, but Model 1's separation of `RegulatoryReview`/`StatisticalAnalysis` and proper composition give it comparable structural quality; Model 2's near-empty `Institution`/`Researcher`/`ResearchProject` dilute cohesion.
2. Complexity: Model 1 wins via faithful enums for closed requirement lists, a proper `AssayProtocol` with `compoundClass`/`methodName`, `Protocol &lt;|-- AssayProtocol`, and a `StatisticalAnalysis→QuantitativeResult→DataValidator` chain that matches the requirement text; Model 2 leaves several attributes as generic `String` and drops `compoundClass` and enrollment size.
3. Rejected/checked issues: I did NOT penalize Model 1 for using opposite-direction unidirectional associations with `'opposite ...` comments, for `int`/`double`/`boolean` primitives, or for `*`/`1` multiplicities — these are forbidden penalties. I also did not reward Model 1 merely for having more classes; its extra classes (`RegulatoryReview`, `StatisticalAnalysis`) were checked against the requirement and found traceable. I credited Model 2 for `PublicationRecord.findings` and the `basis for` association, but these did not offset its missing requirement-level detail.
4. Overall judgment: Model 1 is better because it provides materially more complete and type-safe coverage of the stated requirement facts (assay compound classes, regulatory review details, statistical-analysis/validator flow, simulation and safety-assessment linkages) with well-scoped, independently testable modules, while Model 2 is correct but thinner and loses several domain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</si>
  <si>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</si>
  <si>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captures all domain classes—ResearchProject, LaboratoryExperiment, QuantitativeResult, ExperimentLog, StatisticalAnalysis, DataValidator, Compound, ChemicalLibrary, DrugCandidate, DosageRegimen, ToxicityProfile, AdverseEventReport, SafetyAssessment, TargetProtein, BindingAffinity, SimulationModel, ClinicalTrial, StudyCohort, Protocol/AssayProtocol, PharmacokineticStudy, RegulatoryAgency, RegulatoryReview, PublicationRecord, CompoundReport, Institution, Researcher. Model 2 covers most classes but merges Protocol into AssayProtocol (no generic Protocol superclass), omits a separate RegulatoryReview class (links DrugCandidate directly to RegulatoryAgency), and lacks an EventCategory/SeverityLevel enum. Both handle compound subclasses; Model 1's DrugCandidate extends Compound while Model 2 uses a separate "basis for" association—Model 1's inheritance is more faithful to "serve as the basis for drug candidates."
2. Associations/Multiplicities between classes for domain reasoning: Model 1 = 4, Model 2 = 4; Evidence: Model 1 models LaboratoryExperiment→StatisticalAnalysis, StatisticalAnalysis→QuantitativeResult (mean values), QuantitativeResult→DataValidator (validatedBy), SimulationModel→Compound (simulates), TargetProtein→SimulationModel (associatedWith), PharmacokineticStudy→BindingAffinity (references), StudyCohort→Protocol, Researcher→Protocol (authors), DrugCandidate→RegulatoryReview, RegulatoryAgency→RegulatoryReview. Multiplicities are mostly reasonable (DrugCandidate 1 DosageRegimen/ToxicityProfile). Model 2 also captures most relationships with explicit bidirectional multiplicities, including SafetyAssessment→ToxicityProfile/DosageRegimen/AdverseEvent, CompoundReport→MolecularCompound. Model 2 links DrugCandidate directly to RegulatoryAgency (missing Review intermediary) and LaboratoryExperiment→DataValidator (requirement says data undergoes validation, acceptable). Model 1 places DataValidator on QuantitativeResult which is closer to "checks inputs against schema versions." Both reasonable; minor gaps each.
3. Model attributes with appropriate data types: Model 1 = 5, Model 2 = 4; Evidence: Model 1 provides comprehensive attributes—DrugCandidate (candidateId, stage, isValidated, validationDate), DosageRegimen (amount, frequency, unit), ToxicityProfile (profileId, isCarcinogenic), AdverseEventReport (reportId, category, patientNotes, severity, isLifeThreatening), SimulationModel (modelId, status, solventInclusion, forceFieldConfig, score), TargetProtein (proteinId, sequence, sequenceIdentifier), BindingAffinity (constant, unit), CompoundReport (reportId, generatedDate, summary), SafetyAssessment (assessmentId, symptomEvaluation, severityCheck). Enums (DevelopmentStage, TrialType, EventCategory, SeverityLevel, SimulationStatus) give proper typed constraints. Model 2 has proper types but is thinner: ToxicityProfile only has isCarcinogenic (no id), AdverseEvent uses String for category/severityLevel rather than enums, DrugCandidate.developmentStage as String rather than enum, SimulationModel lacks id, RegulatoryAgency lacks id/jurisdiction, ResearchProject only has name.
4. Consistencies of Terminology with given context: Model 1 = 5, Model 2 = 4; Evidence: Model 1 uses exact terms: "QuantitativeResult," "ExperimentLog," "StatisticalAnalysis," "DataValidator," "ToxicityProfile," "AdverseEventReport," "SafetyAssessment," "BindingAffinity," "SimulationModel," "StudyCohort," "AssayProtocol," "PharmacokineticStudy," "RegulatoryReview," "PublicationRecord," "CompoundReport," "DosageRegimen." Model 2 uses "AdverseEvent" (vs AdverseEventReport), "MolecularCompound" (vs Compound—requirement says "molecular compounds" so acceptable), and generic "Protocol" absent. Mostly consistent with minor deviations.
5. Adherence of UML class diagram standards: Model 1 = 5, Model 2 = 5; Evidence: Both use valid PlantUML syntax with proper class/enum declarations, inheritance (&lt;|--) and association (--&gt;) with multiplicities and role labels. No notation violations in either.
Total: Model 1 = 24, Model 2 = 21
Choice: A
Reason:
1. Appropriate conceptual classes aligned with the domain: Model 1 is more complete, including RegulatoryReview as an intermediary between RegulatoryAgency and DrugCandidate (matching "agencies review drug candidates"), a generic Protocol superclass with AssayProtocol subtype (matching "study cohorts operate under protocols" and "assay protocols"), and enums for EventCategory/SeverityLevel/DevelopmentStage. Model 2 collapses some of these.
2. Associations/Multiplicities between classes for domain reasoning: Both are comparably strong; Model 1 places DataValidator on QuantitativeResult and AssayProtocol (closer to "data integrity through validator" and "assay protocols require data validators"), while Model 2 places it on LaboratoryExperiment and AssayProtocol. Both acceptable; near tie.
3. Model attributes with appropriate data types: Model 1 provides richer, properly-typed attributes and enums for constrained enumerations (development stage, trial type, event category, severity, simulation status). Model 2 uses String for several enumerated fields and omits identifiers on several classes.
4. Consistencies of Terminology with given context: Model 1 mirrors requirement terminology more precisely (AdverseEventReport, RegulatoryReview, Compound, Protocol); Model 2 has minor terminological drift (AdverseEvent, no Protocol superclass).
5. Rejected or checked issues: I did not penalize Model 1 for opposite-direction unidirectional associations or single-quote PlantUML comments (forbidden penalties). I did not penalize either model for primitive type aliases. I did not reward Model 1 merely for extra ids/timestamps unless they covered stated requirement facts (enums for severity/category/stage do cover requirement facts).
6. Overall judgment: Model 1 provides fuller domain coverage with faithful terminology, proper enumerated types, and the RegulatoryReview/Protocol intermediate classes that the requirement implies, making it the stronger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</si>
  <si>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</si>
  <si>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 functional completeness: Model 1 = 5, Model 2 = 2; Evidence: Model 1 covers all required functionalities — institutions employing researchers (Institution--&gt;Researcher), projects encompassing experiments and trials (ResearchProject *-- LaboratoryExperiment/ClinicalTrial), statistical analysis (StatisticalAnalysis.meanValue), validators with schema versions (DataValidator.schemaVersion), chemical libraries (ChemicalLibrary), dosage regimens with amount/frequency/unit (DosageRegimen), toxicity profiles with carcinogenicity (ToxicityProfile.isCarcinogenic), adverse event reports with categories and life-threatening flags (AdverseEventReport.isLifeThreatening), safety assessments (SafetyAssessment.symptomEvaluation/severityCheck), pharmacokinetic studies (PharmacokineticStudy--&gt;BindingAffinity), regulatory agencies/reviews (RegulatoryAgency--&gt;RegulatoryReview), publication records (ResearchProject--&gt;PublicationRecord), compound reports (Researcher--&gt;CompoundReport). Model 2 omits chemical libraries, toxicity profiles as structured classes, adverse events, carcinogenicity, safety assessments, study cohorts, assay protocols, pharmacokinetic studies, regulatory agencies, publication records, and statistical analysis; many concepts collapsed into String attributes (e.g., DrugCandidate.dosageRegimen:String, DrugCandidate.toxicityProfile:String).
2. Conceptual classes coverage: Model 1 = 5, Model 2 = 2; Evidence: Model 1 has ~30 conceptual classes matching requirement terms directly (LaboratoryExperiment, QuantitativeResult, ExperimentLog, StatisticalAnalysis, DataValidator, ChemicalLibrary, SmallMolecule/Biologic/Peptide/SyntheticCompound, DrugCandidate, DosageRegimen, ToxicityProfile, AdverseEventReport, TargetProtein, BindingAffinity, SimulationModel, ClinicalTrial, StudyCohort, Protocol, AssayProtocol, PharmacokineticStudy, RegulatoryAgency, RegulatoryReview, PublicationRecord, CompoundReport, SafetyAssessment). Model 2 has only ~13 classes with generic names (Project, Experiment, Result, Validator, Report, Protocol) and collapses multiple distinct concepts — e.g., Result absorbs meanValue, timestamp, and log into one class; DrugCandidate absorbs dosage regimen and toxicity profile as String attributes.
3. Relationships (associations, cardinalities, inheritance, aggregation, composition): Model 1 = 5, Model 2 = 2; Evidence: Model 1 models inheritance (Compound&lt;|--SmallMolecule/Biologic/Peptide/SyntheticCompound; Protocol&lt;|--AssayProtocol), composition (ResearchProject *-- LaboratoryExperiment/ClinicalTrial; LaboratoryExperiment *-- QuantitativeResult/ExperimentLog; DrugCandidate *-- DosageRegimen/ToxicityProfile), and plain associations with multiplicities (e.g., Compound --&gt; "1..*" ChemicalLibrary, StudyCohort --&gt; "1..*" Protocol, BindingAffinity --&gt; "1" TargetProtein). Model 2 uses only a handful of associations with no multiplicities, one aggregation (Compound o-- DrugCandidate), no inheritance hierarchy, and compound classification via enum rather than generalization; many required associations are missing (project-trial, cohort-protocol, simulation-compound, pharmacokinetic-binding, regulatory review, publication).
4. Clarity in class names and attributes: Model 1 = 5, Model 2 = 3; Evidence: Model 1 uses requirement-aligned descriptive names (LaboratoryExperiment, QuantitativeResult, ExperimentLog, StatisticalAnalysis, DosageRegimen, ToxicityProfile, AdverseEventReport, PharmacokineticStudy, RegulatoryReview, PublicationRecord) and typed attributes with enums (DevelopmentStage, TrialType, EventCategory, SeverityLevel, SimulationStatus). Model 2 uses generic names (Project, Experiment, Result, Report, Validator) and String-typed attributes for concepts that should be structured (developmentStage:String, dosageRegimen:String, toxicityProfile:String, trialType:String, status:String), losing semantic detail.
Total: Model 1 = 20, Model 2 = 9
Choice: A
Reason:
1. Requirement alignment: Model 1 achieves all stated functionalities with traceable classes and associations; Model 2 omits roughly half the required concepts (chemical libraries, toxicity profiles, adverse events, safety assessments, cohorts, assay protocols, pharmacokinetic studies, regulatory agencies, publications, statistical analysis) and collapses others into unstructured String attributes.
2. Conceptual classes and relationships: Model 1 provides comprehensive, well-typed conceptual classes with inheritance, composition, aggregation, and multiplicity-labeled associations; Model 2 provides sparse, generic classes with few relationships, no multiplicities, no inheritance hierarchies, and an enum-based compound classification instead of generalization.
3. Rejected or checked issues: Did not penalize Model 2 for using String instead of enums (forbidden primitive/type penalty does not cover missing enums, but that falls under domain completeness, already scored). Did not penalize Model 1 for PlantUML single-quote annotations (forbidden). Did not reward Model 1 for extra implementation-oriented detail (e.g., budget, address, jurisdiction) since those are not required facts, but they do not distort the core domain coverage. Model 1's use of Compound&lt;|--DrugCandidate (inheritance) vs Model 2's Compound o-- DrugCandidate (aggregation) — both are defensible interpretations of "serve as the basis for," so no penalty applied to either.
4. Overall judgment: Model 1 is substantially better — it covers the full requirement scope with appropriate conceptual classes, typed attributes, and semantically rich relationships (inheritance, composition, multiplicities), while Model 2 is a minimal sketch missing most required functionality and domain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</si>
  <si>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</si>
  <si>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dedicates single-responsibility classes (e.g., `DosageRegimen`, `ToxicityProfile`, `AdverseEventReport`, `StatisticalAnalysis`, `SafetyAssessment` are each narrowly scoped) and uses composition/aggregation to keep dependencies localized. Model 2 collapses `DosageRegimen`, `toxicityProfile` into string attributes of `DrugCandidate`, and merges mean value, timestamp, and log into a single `Result` class, mixing concerns and raising coupling inside one class. Model 2 also lacks a `DataValidator`→`AssayProtocol` link (assay protocols require validators) and reuses one `Validator` class ambiguously between experiments and drug candidates.
2. Complexity: Model 1 = 4, Model 2 = 3; Evidence: Model 1 models ~31 classes with a balanced inheritance tree (Compound←{SmallMolecule,Biologic,Peptide,SyntheticCompound,DrugCandidate}; Protocol←AssayProtocol) and traceable intermediate workflow classes (StatisticalAnalysis, RegulatoryReview, PharmacokineticStudy) required by the requirement. Average methods/attributes per class is modest. Model 2 has only ~14 classes and over-flattens: `DrugCandidate` packs developmentStage/dosageRegimen/toxicityProfile as strings, `Experiment` absorbs observationDate, and `Result` absorbs meanValue/timestamp/log — under-modeling required concepts rather than appropriately managing complexity.
3. Practicability: Model 1 = 5, Model 2 = 2; Evidence: Model 1 covers essentially all requirement facts with clear modular structure: compound classification (4 subclasses), dosage amount/frequency/unit, adverse event category/severity/life-threatening flag, binding affinity constants+units, simulation solvent inclusion &amp; force field config &amp; score, cohort target focus &amp; protocol assignment, assay protocol authored by researcher, PK study referencing binding affinity, regulatory agency review, publication records, compound reports, validation status+date, statistical analysis with mean and schema-version validation. This supports unit/acceptance testing of each component. Model 2 omits many: no chemical library, no compound subclasses (only an enum `CompoundType`), no dosage regimen structure, no toxicity profile structure, no adverse event report, no simulation detail (solvent/force field/score partly missing), no study cohort class, no assay protocol vs protocol distinction, no regulatory agency/review, no publication record, no statistical analysis, no safety assessment, no institution management of researchers, no PK study — making it incomplete per the "misses any required key component → bad" rule.
Total: Model 1 = 13, Model 2 = 8
Choice: A
Reason:
1. Cohesion and Decoupling: Model 1 separates concerns into dedicated classes (DosageRegimen, ToxicityProfile, AdverseEventReport, SafetyAssessment, StatisticalAnalysis, RegulatoryReview), while Model 2 stuffs dosage/toxicity into `DrugCandidate` as primitive strings and merges results/logs into one `Result` class, lowering cohesion and hiding internal coupling.
2. Complexity: Model 1's larger class count is justified by requirement-mandated workflow/concept classes (StatisticalAnalysis, SafetyAssessment, RegulatoryReview, PharmacokineticStudy, PublicationRecord, CompoundReport); Model 2 under-models, conflating distinct concepts and losing traceability.
3. Rejected or checked issues: Did not penalize Model 2 for `int`/`String`/`Float` primitive aliases (forbidden), nor Model 1 for bidirectional opposite-direction associations or `'opposite` comments (forbidden). Did not reward Model 1 merely for being longer — the extra classes map to stated requirement facts. Did not penalize Model 1 for not marking Compound abstract (optional abstractness rule).
4. Overall judgment: Model 1 provides a comprehensive, modular, requirement-faithful design with proper multiplicities and traceable domain classes; Model 2 is materially incomplete, omitting numerous required key components (chemical library, compound subclasses, adverse event reports, safety assessment, regulatory review, publication records, statistical analysis, study cohorts, PK studies, compound reports), so Model 1 is clearly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</si>
  <si>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</si>
  <si>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covers nearly all domain concepts: Institution, Researcher, ResearchProject, LaboratoryExperiment, QuantitativeResult, ExperimentLog, DataValidator, ChemicalLibrary, Compound (+SmallMolecule/Biologic/Peptide/SyntheticCompound), DrugCandidate, DosageRegimen, ToxicityProfile, AdverseEventReport, TargetProtein, BindingAffinity, SimulationModel, ClinicalTrial, StudyCohort, Protocol/AssayProtocol, PharmacokineticStudy, RegulatoryAgency, RegulatoryReview, PublicationRecord, CompoundReport, StatisticalAnalysis, SafetyAssessment. Model 2 omits many: no Institution, ChemicalLibrary, StudyCohort, AssayProtocol, PharmacokineticStudy, RegulatoryAgency, PublicationRecord, CompoundReport, SafetyAssessment, AdverseEventReport, ToxicityProfile (collapsed into String), DosageRegimen (collapsed into String), StatisticalAnalysis, ExperimentLog, ClinicalTrial cohort detail.
2. Associations/Multiplicities between classes for domain reasoning: Model 1 = 5, Model 2 = 2; Evidence: Model 1 specifies multiplicities throughout, e.g., ResearchProject *-- "*" LaboratoryExperiment, LaboratoryExperiment *-- "*" QuantitativeResult, DrugCandidate *-- "1" DosageRegimen, StudyCohort --&gt; "1..*" Protocol operatesUnder, RegulatoryAgency --&gt; "*" RegulatoryReview. Model 2 has associations with no multiplicities at all (e.g., Researcher -- Project, Experiment o-- Result), and many required relationships are missing (e.g., compound stored in library, simulation simulates compound, safety assessment links to adverse events, cohorts assigned protocols).
3. Model attributes with appropriate data types: Model 1 = 5, Model 2 = 2; Evidence: Model 1 models DosageRegimen with amount:double, frequency:int, unit:String; ToxicityProfile with isCarcinogenic:boolean; AdverseEventReport with category:enum, severity:enum, isLifeThreatening:boolean; BindingAffinity with constant:double, unit:String; SimulationModel with solventInclusion:boolean, forceFieldConfig:String, score:double. Model 2 collapses dosageRegimen, toxicityProfile into plain String on DrugCandidate, merges Result/meanValue/timestamp/log into one class, and lacks most attributes (e.g., TargetProtein sequence ok but DrugCandidate validation status/date missing, SimulationModel missing solvent/forceField config, no adverse event detail).
4. Consistencies of Terminology with given context: Model 1 = 5, Model 2 = 3; Evidence: Model 1 uses domain terms directly: ResearchProject, LaboratoryExperiment, QuantitativeResult, ExperimentLog, DrugCandidate, DosageRegimen, ToxicityProfile, AdverseEventReport, BindingAffinity, SimulationModel, StudyCohort, AssayProtocol, PharmacokineticStudy, RegulatoryReview, PublicationRecord, CompoundReport, SafetyAssessment, StatisticalAnalysis. Model 2 uses generic abstractions (Project, Experiment, Result, Report, Interaction) that diverge from requirement terminology, and folds multiple distinct concepts into single classes/strings.
5. Adherence of UML class diagram standards: Model 1 = 5, Model 2 = 4; Evidence: Both use valid PlantUML. Model 1 employs enums (DevelopmentStage, TrialType, EventCategory, SeverityLevel, SimulationStatus), generalization (Compound subclasses, Protocol&lt;|--AssayProtocol), composition/aggregation, and labeled associations with multiplicities. Model 2 is syntactically valid with aggregation/composition and an enum but lacks multiplicities and has thinner notation; still readable.
Total: Model 1 = 25, Model 2 = 13
Choice: A
Reason:
1. Appropriate conceptual classes: Model 1 represents essentially every concept in the requirement as a dedicated class, including regulatory, publication, safety-assessment, pharmacokinetic, and library concepts that Model 2 omits entirely. Model 2 collapses or drops many domain entities.
2. Associations/Multiplicities: Model 1 provides explicit, domain-reasoned multiplicities (e.g., DrugCandidate *-- "1" DosageRegimen, StudyCohort --&gt; "1..*" Protocol, ClinicalTrial *-- "*" StudyCohort), whereas Model 2 specifies no multiplicities and misses key relationships such as compound-stored-in-library, simulation-simulates-compound, and safety-assessment-links-to-adverse-events.
3. Rejected or checked issues: I did not penalize Model 2 for using lowercase primitive-style enums (smallMolecule) or simpler type aliases, nor Model 1 for its opposite-direction association annotations (forbidden per instructions). I also did not reward Model 1 merely for length; the extra classes map to stated requirement facts (e.g., PharmacokineticStudy "analyze specific drug candidates, referencing binding affinities" is explicitly modeled).
4. Overall judgment: Model 1 is substantially more complete and domain-faithful across all five criteria, with proper attributes, typed enums, and multiplicities. Model 2 is a sparse sketch that omits or merges many required concepts and provides no multiplicity information. Model 1 is clearly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</si>
  <si>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</si>
  <si>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coverage / alignment with requirement: Model 1 = 5, Model 2 = 2; Evidence: Model 1 covers every requirement component (Institution, ResearchProject, LaboratoryExperiment, QuantitativeResult, ExperimentLog, StatisticalAnalysis, DataValidator, MolecularCompound + 4 subclasses, ChemicalLibrary, DrugCandidate, DosageRegimen, ToxicityProfile, AdverseEvent, SafetyAssessment, TargetProtein, BindingAffinity, SimulationModel, ClinicalTrial, StudyCohort, AssayProtocol, PharmacokineticStudy, RegulatoryAgency, PublicationRecord, CompoundReport). Model 2 omits/severely collapses: no ChemicalLibrary, no separate ToxicityProfile/AdverseEvent/SafetyAssessment/DosageRegimen classes (all reduced to String attributes), no StudyCohort (merged into ClinicalTrial.cohortSize), no PharmacokineticStudy, no RegulatoryAgency, no PublicationRecord, no separate ExperimentLog/StatisticalAnalysis.
2. Class identification (conceptual classes): Model 1 = 5, Model 2 = 2; Evidence: Model 1 models concepts as distinct classes matching the requirement vocabulary (e.g., DosageRegimen, ToxicityProfile, AdverseEvent, SafetyAssessment, StudyCohort, AssayProtocol, PharmacokineticStudy, RegulatoryAgency, PublicationRecord, CompoundReport). Model 2 collapses many into primitive attributes (DrugCandidate.dosageRegimen: String, toxicityProfile: String) and loses the conceptual structure for safety assessment, adverse events, cohorts, regulatory review, publications, and PK studies.
3. Relationships, cardinalities, inheritance/aggregation/composition: Model 1 = 5, Model 2 = 2; Evidence: Model 1 specifies explicit multiplicities on every association (e.g., Researcher "1" --&gt; "*" ResearchProject, ChemicalLibrary "1" --&gt; "*" MolecularCompound, DrugCandidate "*" --&gt; "*" TargetProtein, ToxicityProfile "1" --&gt; "*" AdverseEvent, StudyCohort "*" --&gt; "1" AssayProtocol) and uses inheritance for compound classification (MolecularCompound &lt;|-- SmallMolecule/Biologic/Peptide/SyntheticCompound). Model 2 uses undirected/anonymous lines with no multiplicities (Researcher -- Project, Project o-- Experiment), provides only a CompoundType enum instead of inheritance, and misses many associations (no regulatory review, no publication-project link, no chemical library storage, no researcher-authors-protocol, no cohort-protocol assignment).
4. Attributes inclusion: Model 1 = 5, Model 2 = 3; Evidence: Model 1 captures key attributes: DosageRegimen(amount,frequency,unit), AdverseEvent(category,patientNotes,severityLevel,isLifeThreatening), SimulationModel(solventInclusion,forceFieldConfig,score,status), BindingAffinity(constant,unit), QuantitativeResult(observationDate,value), ExperimentLog(note,timestamp), DataValidator(schemaVersion). Model 2 keeps some (Compound.weight/chemicalFormula, TargetProtein.sequence/sequenceIdentifier, Experiment.numSamples/executionDate) but collapses dosage regimen, toxicity profile, and adverse-event detail into single String attributes, losing amount/frequency/unit, carcinogenicity, severity, life-threatening flags.
5. No hallucination / no extraneous additions: Model 1 = 4, Model 2 = 3; Evidence: Model 1 is largely faithful; minor extras like CompoundReport.generatedDate and Experiment attributes are harmless and traceable. Model 2 adds Project.startDate/endDate and Validator.validate(...) operation signature not in the requirement, while also collapsing away required detail — the additions do not compensate for lost requirement content.
Total: Model 1 = 24, Model 2 = 12
Choice: A
Reason:
1. Functional coverage / alignment: Model 1 represents all stated components as classes/relationships; Model 2 omits ChemicalLibrary, RegulatoryAgency, PublicationRecord, PharmacokineticStudy, StudyCohort, SafetyAssessment, AdverseEvent, and collapses dosage/toxicity into Strings.
2. Relationships &amp; cardinalities: Model 1 provides explicit multiplicities and inheritance for compound classification; Model 2 uses bare undirected lines with no cardinalities and loses many associations (regulatory review, publication link, library storage, protocol authoring, cohort-protocol assignment).
3. Attributes: Model 1 preserves dosage regimen (amount/frequency/unit), adverse event (category/notes/severity/life-threatening), simulation (solvent/forceField/score), and binding affinity (constant/unit); Model 2 reduces these to String fields, losing required detail.
4. Rejected/checked issues: Did not penalize Model 2 for using int/Float or enum vs inheritance as a forbidden factor per se; the inheritance issue is scored under domain faithfulness because compound subclasses are a stated conceptual structure. Did not reward Model 1's extra timestamps beyond traceable coverage.
5. Overall judgment: Model 1 is substantially more complete, domain-faithful, and structurally accurate against the requirement; Model 2 collapses away most required concepts and provides almost no multiplicities or key association detail. Model 1 is clearly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</si>
  <si>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</si>
  <si>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separates singular concepts into dedicated classes — DosageRegimen (amount/frequency/unit), ToxicityProfile (isCarcinogenic), AdverseEvent (category/patientNotes/severityLevel/isLifeThreatening), SafetyAssessment, BindingAffinity, DataValidator (reused by both LaboratoryExperiment and AssayProtocol). Model 2 collapses dosageRegimen, toxicityProfile into plain String attributes on DrugCandidate, and folds binding affinity constants/units into a single Interaction class, mixing concerns; Result merges meanValue/timestamp/log into one entity, reducing cohesion.
2. Complexity: Model 1 = 4, Model 2 = 2; Evidence: Model 1 has ~27 classes plus 2 enums with inheritance depth 2 for MolecularCompound&lt;|--{SmallMolecule,Biologic,Peptide,SyntheticCompound}, and an average of 2-3 attributes per class — balanced against the breadth of the requirement. Model 2 has only ~14 classes plus 1 enum, uses a CompoundType enum instead of the required classification structure, omits ChemicalLibrary, StudyCohort, PharmacokineticStudy, RegulatoryAgency, PublicationRecord, StatisticalAnalysis, ExperimentLog, SafetyAssessment, AdverseEvent, and merges ClinicalTrial+cohortSize — over-simplified and missing required concept classes.
3. Practicability: Model 1 = 5, Model 2 = 2; Evidence: Model 1 covers nearly every stated requirement fact: publication records ("ResearchProject 1--&gt;* PublicationRecord"), regulatory review ("DrugCandidate *--* RegulatoryAgency"), pharmacokinetic studies referencing binding affinities, simulation models with solventInclusion/forceFieldConfig/score, study cohorts with assigned AssayProtocol, assay protocols requiring DataValidator and authored by Researcher, compound reports generated for MolecularCompound, validation status (isValidated/validationDate). Model 2 omits these almost entirely: no PublicationRecord, no RegulatoryAgency, no PharmacokineticStudy, no ChemicalLibrary, no SafetyAssessment/AdverseEvent, no SimulationModel detail fields, no cohort entity, no statistical-analysis/mean computation, no experiment-log concept, and no validation status on DrugCandidate — making the diagram incomplete per the "misses any required key component ⇒ bad" rule.
Total: Model 1 = 13, Model 2 = 6
Choice: A
Reason:
1. Cohesion and Decoupling: Model 1 assigns each domain concept (regimen, toxicity, adverse event, safety, binding affinity, validator) its own cohesive class with focused attributes and appropriately directed associations; Model 2 stuffs heterogeneous concepts into String fields and a merged Result/Interaction, hurting cohesion.
2. Complexity: Model 1's class count and inheritance depth are justified by the requirement's breadth and keep average method/attribute counts low; Model 2 is under-modeled, collapsing distinct required entities (cohort, library, regulatory agency, pharmacokinetic study, publication record, experiment log, statistical analysis) and losing the compound classification hierarchy.
3. Rejected or checked issues: Did not penalize Model 1 for using two opposite unidirectional associations or for PlantUML comments/primitive-style types (forbidden). Did not reward Model 2 merely for being shorter — its brevity reflects missing required components, not desirable simplicity. Did not credit Model 2's CompoundType enum as equivalent to the required compound classification, since the requirement implies classifiable compound categories better modeled via generalization.
4. Overall judgment: Model 1 is clearly superior — it provides comprehensive, modular, requirement-faithful coverage with good cohesion and balanced complexity, whereas Model 2 is incomplete, omitting many key components and merging distinct concepts into opaque String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</si>
  <si>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</si>
  <si>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I'll evaluate both models against each criterion independently.
```result
Scores:
1. Appropriate conceptual classes aligned with the domain: Model 1 = 5, Model 2 = 2; Evidence: Model 1 explicitly models all 25 domain concepts (Researcher, Institution, ResearchProject, LaboratoryExperiment, QuantitativeResult, ExperimentLog, StatisticalAnalysis, DataValidator, MolecularCompound with 4 subclasses, ChemicalLibrary, DrugCandidate, DosageRegimen, ToxicityProfile, AdverseEvent, SafetyAssessment, TargetProtein, BindingAffinity, SimulationModel, ClinicalTrial, StudyCohort, AssayProtocol, PharmacokineticStudy, RegulatoryAgency, PublicationRecord, CompoundReport). Model 2 collapses many into strings/merged classes — Institution is a string attribute, DosageRegimen/ToxicityProfile are String attributes, and ChemicalLibrary, AdverseEvent, SafetyAssessment, StatisticalAnalysis, ExperimentLog, QuantitativeResult, StudyCohort, AssayProtocol, PharmacokineticStudy, RegulatoryAgency, PublicationRecord are entirely missing as classes.
2. Associations/Multiplicities between classes for domain reasoning: Model 1 = 5, Model 2 = 2; Evidence: Model 1 specifies multiplicities on every relationship (e.g., Researcher "1" --&gt; "1" Institution, Researcher "1" --&gt; "*" ResearchProject, LaboratoryExperiment "1" --&gt; "1" StatisticalAnalysis, DrugCandidate "*" --&gt; "*" TargetProtein, StudyCohort "*" --&gt; "1" AssayProtocol, SafetyAssessment "*" --&gt; "1" ToxicityProfile). Model 2 uses bare `--` and `o--` with no multiplicities on any of its ~13 relationships, preventing domain reasoning about cardinality.
3. Model attributes with appropriate data types: Model 1 = 5, Model 2 = 2; Evidence: Model 1 provides structured, typed attributes throughout — DosageRegimen{amount:Float, frequency:String, unit:String}, ToxicityProfile{isCarcinogenic:Boolean}, AdverseEvent{category, patientNotes, severityLevel, isLifeThreatening:Boolean}, SimulationModel{solventInclusion:Boolean, forceFieldConfig:String, score:Float}, BindingAffinity{constant:Float, unit:String}. Model 2 flattens dosageRegimen and toxicityProfile into single String attributes, and omits carcinogenicity, adverse-event category/severity/life-threatening flag, solvent inclusion, force field config, validation status/date, and observation date as distinct fields.
4. Consistencies of Terminology with given context: Model 1 = 5, Model 2 = 2; Evidence: Model 1 uses the exact requirement terms (ResearchProject, LaboratoryExperiment, QuantitativeResult, ExperimentLog, StatisticalAnalysis, DataValidator, MolecularCompound, ChemicalLibrary, DosageRegimen, ToxicityProfile, AdverseEvent, SafetyAssessment, BindingAffinity, AssayProtocol, PharmacokineticStudy, RegulatoryAgency, PublicationRecord, CompoundReport). Model 2 substitutes generic names: Project, Experiment, Result, Validator, Compound, Interaction, Protocol, Report — diverging from the domain vocabulary.
5. Adherence of UML class diagram standards: Model 1 = 5, Model 2 = 4; Evidence: Model 1 uses proper class boxes, enums (StudyType, ModelStatus), generalization arrows (&lt;|--) for compound subclasses, and labeled associations with multiplicities. Model 2 uses valid aggregation (`o--`) and an enum (CompoundType) but omits multiplicities and role labels entirely, reducing expressive UML content though syntax remains comprehensible.
Total: Model 1 = 25, Model 2 = 12
Choice: A
Reason:
1. Appropriate conceptual classes: Model 1 captures all stated domain concepts as first-class entities, whereas Model 2 merges or drops the majority (Institution, ChemicalLibrary, DosageRegimen, ToxicityProfile, AdverseEvent, SafetyAssessment, StudyCohort, AssayProtocol, PharmacokineticStudy, RegulatoryAgency, PublicationRecord), severely under-covering the domain.
2. Associations/Multiplicities: Model 1 attaches explicit multiplicities and role labels to ~40 relationships supporting domain reasoning; Model 2 provides unlabeled lines with zero cardinality information.
3. Model attributes: Model 1 decomposes composite concepts (dosage, toxicity, simulation config) into properly typed attributes; Model 2 collapses them into strings and omits many critical attributes (carcinogenicity, life-threatening flag, solvent inclusion, force field config).
4. Terminology: Model 1 mirrors the requirement's vocabulary; Model 2 uses generic substitutes that lose traceability to the requirement text.
5. Rejected/checked issues: Did not penalize Model 2 for primitive-type aliases or for using aggregation style; the difference is substantive domain coverage and multiplicities, not notation preference. Model 2's valid-but-sparse UML earned a 4 on standards alone.
6. Overall judgment: Model 1 is substantially more complete, faithful, and well-structured across every criterion, making it clearly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</si>
  <si>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</si>
  <si>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Classes &amp; attributes coverage: Model 1 = 4, Model 2 = 4; Evidence: Both cover all required classes and attributes. Model 1 uses the exact term "MolecularCompound" and "AdverseEvent"; Model 2 uses "Compound" (acceptable synonym) and "AdverseEventReport" (closer to the requirement's "adverse event reports"). Both include weight/chemicalFormula, dosage (amount/frequency/unit), toxicity isCarcinogenic, binding affinity constant/unit, simulation solventInclusion/forceFieldConfig/score, cohort size, etc. Model 2 adds extra attributes (email, budget, jurisdiction, journal...) which are neutral per guidelines, and adds refinement classes Protocol and RegulatoryReview (allowed).
2. Inheritance/generalization correctness: Model 1 = 5, Model 2 = 3; Evidence: Both model MolecularCompound/Compound &lt;|-- SmallMolecule/Biologic/Peptide/SyntheticCompound correctly. Model 1 keeps DrugCandidate separate and links it via an explicit "basis for" association (MolecularCompound "1" --&gt; "1" DrugCandidate), matching the requirement's "compounds serve as the basis for drug candidates." Model 2 instead makes Compound &lt;|-- DrugCandidate, turning the "basis for" relationship into generalization; this conflates the chemical-identity concept (compound) with the development-status concept (drug candidate) and is a semantic deviation. Model 2's Protocol &lt;|-- AssayProtocol is a reasonable plus but does not offset the DrugCandidate issue.
3. Associations &amp; multiplicities: Model 1 = 3, Model 2 = 4; Evidence: Model 2 correctly links StatisticalAnalysis --&gt; "*" QuantitativeResult (analyzes) and QuantitativeResult --&gt; "1" DataValidator (validatedBy), faithfully modeling "data undergoes statistical analysis" and "validator checks inputs"; Model 1 only links StatisticalAnalysis/DataValidator to LaboratoryExperiment, omitting the data-level link. Model 2 also models StudyCohort --&gt; "1..*" Protocol (matching "operate under protocols"/"assigned specific protocols" plural), while Model 1 uses StudyCohort "*" --&gt; "1" AssayProtocol (restrictive and conflates protocols with assay protocols). Model 1 is better on the explicit DrugCandidate↔ClinicalTrial "enrolled in" link (enrolling candidates is domain-accurate) and the explicit "basis for" association; Model 2 uses ClinicalTrial --&gt; Compound (literal) and loses the explicit basis-for association due to inheritance.
4. Composition/aggregation appropriateness: Model 1 = 3, Model 2 = 4; Evidence: Model 1 uses plain associations for all relationships. Model 2 uses composition for clear containment relationships: ResearchProject *-- LaboratoryExperiment/ClinicalTrial (encompasses), DrugCandidate *-- DosageRegimen/ToxicityProfile (possesses/includes), ClinicalTrial *-- StudyCohort (includes), LaboratoryExperiment *-- ExperimentLog (produces) — these align with part-of semantics. (Model 2's composition for LaboratoryExperiment *-- QuantitativeResult "generates" is slightly over-applied since results are outputs rather than parts, but acceptable.)
5. Overall domain fidelity (no hallucinations/contradictions): Model 1 = 4, Model 2 = 4; Evidence: Model 1 is clean and literal with no contradictions; its weaknesses are omissions (data-analysis/validator links) rather than errors. Model 2's extra classes (RegulatoryReview, Protocol) and extra attributes are allowed transparent refinements; its main deviation (DrugCandidate-as-Compound) is captured under the inheritance criterion. Both otherwise represent the domain essentials without fabricating unrelated functionality.
Total: Model 1 = 19, Model 2 = 19
Choice: C
Reason:
1. Inheritance/generalization: Model 1 correctly keeps the "basis for" compound→drug-candidate link as an explicit association; Model 2 reifies it as generalization (Compound &lt;|-- DrugCandidate), which is a semantic deviation from the requirement's relational wording, costing it 2 points here.
2. Associations &amp; composition: Model 2 recovers these points by more faithfully modeling the data-flow semantics the requirement describes — StatisticalAnalysis analyzes QuantitativeResult, the DataValidator validates the result data (QuantitativeResult), cohorts operate under a general Protocol (1..* plural) separate from AssayProtocol, and containment relationships use composition. Model 1 misses the StatisticalAnalysis↔QuantitativeResult and DataValidator↔data links and ties cohorts to a single AssayProtocol.
3. Rejected/checked issues: I did not penalize Model 2 for PlantUML single-quote comments, the use of "Compound" vs "MolecularCompound" (synonym), primitive type aliases (int/double/boolean), or extra attributes/classes (RegulatoryReview, Protocol) since these are forbidden penalties or allowed refinements. I also did not reward Model 1 merely for being shorter/simpler.
4. Overall judgment: The models' strengths and weaknesses balance across the criteria — Model 1's correctness on the compound/drug-candidate relationship is offset by Model 2's correctness on statistical-analysis, data-validation, protocol-separation, and containment semantics. With equal totals (19–19) and a small meaningful quality difference, this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</si>
  <si>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</si>
  <si>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uses mostly unidirectional associations with clear single responsibilities per class (e.g., `StatisticalAnalysis` only holds `meanValue`, `DataValidator` only holds `schemaVersion`). Model 2 introduces a `RegulatoryReview` intermediary class decoupling `DrugCandidate` from `RegulatoryAgency`, which is good, but it also couples `DosageRegimen` directly to `AdverseEventReport` (`linkedTo`) and to `SafetyAssessment` (`assessedBy`) — duplicating the evaluation relationship already held by `ToxicityProfile`, creating redundant coupling. Model 2 also makes `Compound &lt;|-- DrugCandidate`, coupling the compound hierarchy to the candidate concept, whereas Model 1 keeps `MolecularCompound --&gt; DrugCandidate` as an association, preserving separation between chemical entities and development-tracking entities.
2. Complexity: Model 1 = 4, Model 2 = 4; Evidence: Model 1 has ~31 classes with lean attributes (e.g., `ResearchProject` only `name`); inheritance depth is 1 (`MolecularCompound` → subclasses). Model 2 has ~34 classes with richer attributes (e.g., `ResearchProject` adds `startDate`, `endDate`, `budget`; `Institution` adds `address`) and two inheritance hierarchies (`Compound`→subclasses and `DrugCandidate`; `Protocol`→`AssayProtocol`). Both are balanced relative to the dense requirement; Model 2's extra enums (`DevelopmentStage`, `EventCategory`, `SeverityLevel`) improve type-safety without excessive complexity. Neither over-fragments; both recognize that compound subclasses are conceptual classifications, not attribute dumps.
3. Practicability: Model 1 = 4, Model 2 = 4; Evidence: Model 1 is highly readable — each class maps cleanly to a requirement noun with minimal noise, e.g., `ClinicalTrial {studyType: StudyType}`, `StudyCohort {size}` with `StudyCohort *--&gt; AssayProtocol : assigned`. Coverage is complete: statistical analysis + validator, safety assessment linking to adverse events, simulation model linked to compounds, PK studies referencing binding affinities, compound reports. Model 2 adds valuable enums (`EventCategory` capturing allergic/cardiovascular/neurotoxicity; `SeverityLevel` capturing life-threatening), a `RegulatoryReview` class with `decision`/`reviewDate` making regulatory review traceable, and `Protocol&lt;|--AssayProtocol` modeling the "protocols" vs "assay protocols" distinction. However, Model 2 misses `Researcher --&gt; AssayProtocol : authors` as a direct link (it only has `Researcher --&gt; Protocol : authors`, which is acceptable via inheritance) and omits the explicit `ChemicalLibrary stores Compound` direction naming. Both models cover the requirement comprehensively; Model 2's enum-based modeling of adverse-event categories and severity is more testable and domain-faithful, while Model 1's leaner structure is easier to implement and unit-test.
Total: Model 1 = 12, Model 2 = 11
Choice: A
Reason:
1. Cohesion and Decoupling: Model 1 keeps cleaner separation — `DrugCandidate` is associated with (not a subclass of) `MolecularCompound`, preserving the chemical-entity vs development-tracking boundary. Model 2's `Compound &lt;|-- DrugCandidate` conflates a chemical classification hierarchy with a development-stage entity, and its redundant `DosageRegimen --&gt; AdverseEventReport`/`SafetyAssessment` links duplicate relationships already anchored on `ToxicityProfile`, increasing coupling without requirement basis.
2. Complexity: Both are well-balanced. Model 2's additional enums and `RegulatoryReview`/`Protocol` generalization add justified structure; Model 1's leanness is also appropriate. Roughly even.
3. Practicability: Both are readable and complete. Model 2's enums for `EventCategory` and `SeverityLevel` better capture the requirement's explicit examples (allergic reactions, cardiovascular, neurotoxicity; life-threatening flagging) and improve testability. Model 1, however, models every required relationship more directly and traceably (e.g., `Researcher --&gt; AssayProtocol : authors`, `ChemicalLibrary --&gt; MolecularCompound : stores`, `MolecularCompound --&gt; DrugCandidate : basis for`), with less redundancy.
4. Rejected/checked issues: I did NOT penalize Model 2 for PlantUML single-quote comments (e.g., `'opposite employer`), for `int`/`double`/`boolean` primitive aliases, or for `*` vs `1..*` multiplicity literals — all forbidden per instructions. I did NOT reward Model 2 merely for having more attributes/identifiers (e.g., `budget`, `address`, `email`, `capacity`) since these are not stated requirement facts. I did NOT penalize Model 1 for using `developmentStage: String` instead of an enum. The deciding factor is the semantic cleanliness of Model 1's relationship structure vs Model 2's redundant coupling and the questionable `Compound &lt;|-- DrugCandidate` generalization.
5. Overall judgment: Model 1 provides a cleaner, more decoupled design with equivalent requirement coverage and slightly superior cohesion. The meaningful difference is small but favors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</si>
  <si>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</si>
  <si>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Both models cover the core concepts (ResearchProject, LaboratoryExperiment, QuantitativeResult, ExperimentLog, StatisticalAnalysis, DataValidator, MolecularCompound/Compound with subclasses SmallMolecule/Biologic/Peptide/SyntheticCompound, ChemicalLibrary, DrugCandidate, DosageRegimen, ToxicityProfile, AdverseEvent, SafetyAssessment, TargetProtein, BindingAffinity, SimulationModel, ClinicalTrial, StudyCohort, AssayProtocol, PharmacokineticStudy, RegulatoryAgency, PublicationRecord, CompoundReport). Model 2 adds a RegulatoryReview class to model the review relationship between RegulatoryAgency and DrugCandidate (the requirement says "Regulatory agencies review drug candidates"), whereas Model 1 only links DrugCandidate directly to RegulatoryAgency with a M-N association. Model 2 also introduces a base Protocol class with AssayProtocol as a subclass, reflecting the requirement's mention of protocols in general (cohorts operate under protocols; assay protocols are a kind). Model 1 lacks a general Protocol concept. Model 2 is slightly more complete and domain-aligned.
2. Associations/Multiplicities between classes for domain reasoning: Model 1 = 4, Model 2 = 4; Evidence: Both capture most essential relationships. Model 1: Researcher 1--* ResearchProject leads, ResearchProject 1--* LaboratoryExperiment/ClinicalTrial encompasses, LaboratoryExperiment 1--* QuantitativeResult/ExperimentLog, LaboratoryExperiment *--1 DataValidator validated by, MolecularCompound 1--1 DrugCandidate basis for, DrugCandidate 1--1 DosageRegimen/ToxicityProfile, DrugCandidate *--* TargetProtein interacts, ClinicalTrial 1--* StudyCohort, StudyCohort *--1 AssayProtocol assigned, AssayProtocol *--1 DataValidator requires, PharmacokineticStudy *--* BindingAffinity references, CompoundReport *--1 MolecularCompound. Model 2 similarly captures these with composition for strong part-of relationships (ResearchProject *--* LaboratoryExperiment/ClinicalTrial, LaboratoryExperiment *--* QuantitativeResult/ExperimentLog, DrugCandidate *--1 DosageRegimen/ToxicityProfile, ClinicalTrial *--* StudyCohort). Both correctly model StatisticalAnalysis computing mean values (Model 1: LaboratoryExperiment 1--1 StatisticalAnalysis; Model 2: LaboratoryExperiment --* StatisticalAnalysis and StatisticalAnalysis --* QuantitativeResult analyzes, giving better traceability). Model 2's SafetyAssessment is linked from ToxicityProfile/DosageRegimen (evaluatedBy) and links to AdverseEventReport, matching requirement. Model 1 also has SafetyAssessment evaluating ToxicityProfile/DosageRegimen and linking to AdverseEvent. Both miss/regress minor things: Model 1 lacks the Compound-DrugCandidate inheritance (uses association instead); Model 2 makes DrugCandidate a subclass of Compound (requirement says compounds "serve as the basis for" drug candidates, which is closer to association than generalization, a mild semantic stretch). Neither is clearly superior; both are good with minor issues.
3. Model attributes with appropriate data types: Model 1 = 4, Model 2 = 4; Evidence: Model 1 attributes are mostly correct: LaboratoryExperiment.stage:String, sampleCount:Integer, executionDate:Date; QuantitativeResult.value:Float, observationDate:Date; ExperimentLog.note:String, timestamp:DateTime; StatisticalAnalysis.meanValue:Float; DataValidator.schemaVersion:String; MolecularCompound.weight:Float, chemicalFormula:String; DrugCandidate.developmentStage:String, isValidated:Boolean, validationDate:Date; DosageRegimen.amount:Float, frequency:String, unit:String; AdverseEvent.category:String, patientNotes:String, severityLevel:String, isLifeThreatening:Boolean; SimulationModel.solventInclusion:Boolean, forceFieldConfig:String, score:Float; TargetProtein.sequence:String, sequenceId:String. Model 2 uses similar attributes with enums for typed fields (DevelopmentStage, TrialType, EventCategory, SeverityLevel, SimulationStatus) which improves type safety; frequency:int (requirement says frequency, string-ish plausible), and adds extra IDs/dates (studyId, analysisDate, results, journal, jurisdiction, etc.) that are implementation detail not required. Model 2's use of enums for stage/category/severity is arguably better typed. Both are good; Model 2 slightly stronger typing via enums but with extra unnecessary attributes; Model 1 cleaner but uses String for categorical fields. Roughly equal.
4. Consistencies of Terminology with given context: Model 1 = 4, Model 2 = 5; Evidence: Model 1 uses "MolecularCompound" (requirement says "molecular compounds"), "AdverseEvent" (requirement says "adverse event reports"), "AssayProtocol", "StudyCohort", "BindingAffinity", "ToxicityProfile", "DosageRegimen", "PharmacokineticStudy", "PublicationRecord", "CompoundReport" — mostly consistent. However it names the class "AdverseEvent" while the requirement explicitly says "adverse event reports" with fields (event category, patient notes, severity level, flag life-threatening); Model 2 correctly names it "AdverseEventReport". Model 2 also uses "Protocol" base + "AssayProtocol" subclass matching "operate under protocols" and "Assay protocols ... authored by researchers". Model 2's "RegulatoryReview" reflects "review" verb. Model 2 terminology is more faithful to the source wording. Both largely consistent; Model 2 slightly better.
5. Adherence of UML class diagram standards: Model 1 = 5, Model 2 = 5; Evidence: Both use valid PlantUML syntax: class/enum declarations, generalization (&lt;|--), associations with multiplicities and role labels, composition (*--). Model 1 uses escaped quotes for multiplicities; Model 2 uses single-quote line-end comments (which per forbidden penalties must be ignored). Both are syntactically valid and readable. No notation errors in either.
Total: Model 1 = 21, Model 2 = 23
Choice: B
Reason:
1. Appropriate conceptual classes: Model 2 adds RegulatoryReview (to model agency-reviews-candidate) and a general Protocol superclass with AssayProtocol specialization, both reflecting requirement wording more directly; Model 1 omits these and uses a flat M-N DrugCandidate--RegulatoryAgency link. Model 2 is more complete.
2. Associations/Multiplicities: Both are strong and largely equivalent; Model 2 gives StatisticalAnalysis a clearer link to QuantitativeResult (analyzes) and uses composition for part-whole relationships. The DrugCandidate&lt;|--Compound generalization in Model 2 is a mild semantic stretch (basis-for is more association than inheritance), and Model 1's MolecularCompound--DrugCandidate association is arguably more faithful, but this single trade-off does not outweigh Model 2's better coverage elsewhere.
3. Attributes/data types: Both model required attributes with proper types; Model 2 additionally uses enums for DevelopmentStage, EventCategory, SeverityLevel, SimulationStatus, TrialType giving stronger typing, though it adds some unrequired IDs/implementation fields. Roughly equal.
4. Terminology: Model 2 matches source terms more closely ("AdverseEventReport" vs "AdverseEvent", "RegulatoryReview" reflecting the review action, "Protocol"/"AssayProtocol" hierarchy). Slight edge to Model 2.
5. UML standards: Both fully adhere; no penalty either way.
Rejected/checked issues: I did NOT penalize Model 2 for its single-quote `'opposite ...` comments, for `int`/`double`/`boolean` primitive aliases, or for `*` vs `0..*` (all forbidden penalties). I did NOT reward Model 2 merely for extra IDs/timestamps. I did NOT penalize Model 1 for using two unidirectional associations or for not marking any class abstract.
Overall judgment: Model 2 is modestly better due to more complete and terminology-faithful conceptual modeling (RegulatoryReview, Protocol hierarchy, AdverseEventReport naming) and stronger enum-based typing, while matching Model 1 on associations and UML standards. The margin is small but consistent across criteria.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</si>
  <si>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</si>
  <si>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Researchers, Institutions &amp; Project composition (experiments + clinical trials): Model 1 = 3, Model 2 = 5; Evidence: Model 1 has `Researcher` with `institution` as an attribute and only `Researcher -- Project` and `Project o-- Experiment` (Project has no link to ClinicalTrial). Model 2 has a dedicated `Institution` class, `Institution --&gt; Researcher`, `Researcher --&gt; ResearchProject`, and `ResearchProject *-- LaboratoryExperiment` plus `ResearchProject *-- ClinicalTrial`, covering both project contents.
2. Laboratory experiments, results, logs, statistical analysis &amp; validator: Model 1 = 2, Model 2 = 5; Evidence: Model 1 puts `observationDate` on `Experiment` (belongs to results), merges `log` into `Result`, has no separate `ExperimentLog`, no statistical-analysis class, and `Validator -- Experiment` (validator checks experiment rather than data inputs/schema versions). Model 2 has `LaboratoryExperiment` with `stage/sampleCount/executionDate`, separate `QuantitativeResult` (observationDate), `ExperimentLog` (notes, timestamp), `StatisticalAnalysis` (meanValue), and `DataValidator` (schemaVersion) with `QuantitativeResult --&gt; DataValidator`.
3. Compounds, classification, chemical libraries, drug candidates, dosage, toxicity, adverse events &amp; safety assessments: Model 1 = 1.5, Model 2 = 5; Evidence: Model 1 has `Compound`, `CompoundType` enum, `Compound o-- DrugCandidate`, and `DrugCandidate` with `dosageRegimen`/`toxicityProfile` as plain Strings — no dosage amount/frequency/unit, no carcinogenicity, no adverse-event report, no safety assessment, no chemical library. Model 2 models `Compound` with `SmallMolecule/Biologic/Peptide/SyntheticCompound` subclasses, `ChemicalLibrary`, `DrugCandidate *-- DosageRegimen (amount/frequency/unit)`, `ToxicityProfile (isCarcinogenic)`, `AdverseEventReport (category, patientNotes, severity, isLifeThreatening)`, and `SafetyAssessment` linked from both profile and regimen to adverse events.
4. Target proteins, binding affinity &amp; simulation models: Model 1 = 2.5, Model 2 = 5; Evidence: Model 1 has `TargetProtein`, `Interaction (bindingAffinity, affinityUnit)`, `SimulationModel (status, score)` linked to TargetProtein, but no solvent-inclusion/force-field config and no simulation-compound link. Model 2 has `BindingAffinity (constant, unit)`, `SimulationModel (status, solventInclusion, forceFieldConfig, score)` associated with `TargetProtein` and `SimulationModel --&gt; Compound : simulates`.
5. Clinical trials, study cohorts, protocols/assay protocols &amp; pharmacokinetic studies: Model 1 = 1.5, Model 2 = 5; Evidence: Model 1 collapses cohort into `ClinicalTrial (cohortSize)`, has generic `Protocol o-- ClinicalTrial`, no cohort class, no assay-protocol detail, no author link, no PK study. Model 2 has `ClinicalTrial (type)`, `StudyCohort (size, targetFocus)` with `StudyCohort --&gt; TargetProtein` and `StudyCohort --&gt; Protocol`, `Protocol &lt;|-- AssayProtocol`, `Researcher --&gt; Protocol`, and `PharmacokineticStudy --&gt; BindingAffinity`.
6. Regulatory, publications, validation status &amp; compound reports: Model 1 = 1.5, Model 2 = 5; Evidence: Model 1 only has `DrugCandidate -- Validator` (vague) and `Researcher -- Report`, with no regulatory agency, no publication record, no validation-date attribute. Model 2 has `RegulatoryAgency`, `RegulatoryReview`, `PublicationRecord`, `DrugCandidate` with `isValidated`/`validationDate`, and `CompoundReport` generated by `Researcher`.
Total: Model 1 = 12, Model 2 = 30
Choice: B
Reason:
1. Researchers/Projects: Model 2 adds an Institution class and links projects to both experiments and clinical trials; Model 1 omits the project-clinical-trial relationship entirely.
2. Experiments/Results/Logs/Statistics/Validator: Model 2 separates logs, results, statistical analysis and a schema-versioned validator per requirement; Model 1 merges log into result, misplaces observationDate, and lacks statistical-analysis and proper validator semantics.
3. Compounds/Drug candidates/Toxicity/Safety: Model 2 fully decomposes dosage regimen, toxicity profile, adverse event reports and safety assessments with required attributes; Model 1 reduces them to opaque Strings and omits chemical libraries, carcinogenicity and adverse events.
4. Target proteins/Binding/Simulation: Model 2 captures solvent inclusion, force-field config and the simulates-compound link; Model 1 lacks these simulation details and the compound-simulation association.
5. Clinical trials/Cohorts/Protocols/PK: Model 2 models study cohorts, assay protocols with authorship, cohort-protocol assignment and pharmacokinetic studies referencing binding affinities; Model 1 collapses cohorts into trial size and omits assay-protocol and PK elements.
6. Regulatory/Publications/Validation/Reports: Model 2 provides regulatory agencies/reviews, publication records, explicit validation status and compound reports; Model 1 only hints at validation via a Validator link and a generic Report.
3. Rejected or checked issues: Model 2's `Compound &lt;|-- DrugCandidate` (inheritance instead of "basis for") and `DosageRegimen --&gt; AdverseEventReport` are debatable refinements, but they do not contradict the requirement and were not penalized. Model 2's extra attributes (budget, address, journal, jurisdiction) are implementation-oriented additions that do not affect requirement coverage and were not rewarded or penalized.
4. Overall judgment: Model 2 is markedly more complete and faithful across every functional area of the requirement, while Model 1 omits many required classes (chemical library, study cohort, adverse event report, safety assessment, statistical analysis, pharmacokinetic study, regulatory agency, publication record) and over-simplifies several concepts. Model 2 is clearly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</si>
  <si>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</si>
  <si>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merges distinct concepts into single classes — `Result` conflates quantitative results, logs (notes/timestamp), and statistical mean value (`+meanValue: Double`, `+log: String`, `+timestamp: Date`); `DrugCandidate` collapses dosage regimen and toxicity profile into String attributes (`+dosageRegimen: String`, `+toxicityProfile: String`); `ClinicalTrial` absorbs cohort (`+cohortSize: Integer`). This low cohesion obscures the dosageRegimen's amount/frequency/unit and the toxicityProfile's adverse-event structure. Model 2 separates these into cohesive units: `DosageRegimen{amount,frequency,unit}`, `ToxicityProfile{isCarcinogenic}`, `AdverseEventReport{category,patientNotes,severity,isLifeThreatening}`, `QuantitativeResult`, `ExperimentLog`, `StatisticalAnalysis{meanValue}`. Decoupling in Model 2 is supported by intermediary classes (BindingAffinity, SafetyAssessment, RegulatoryReview) that mediate relations rather than string-typing them. Model 2's opposite-direction associations are treated as equivalent per forbidden-penalty rules.
2. Complexity: Model 1 = 2, Model 2 = 4; Evidence: Model 1 has ~16 classes and omits required concepts entirely — no ChemicalLibrary, no AdverseEventReport, no SafetyAssessment, no PharmacokineticStudy, no RegulatoryAgency, no PublicationRecord, no StudyCohort (distinct from ClinicalTrial), no StatisticalAnalysis class, no AssayProtocol specialization. This under-complexity fails the requirement rather than balancing complexity. Model 2 has ~35 classes with shallow inheritance trees (Compound&lt;|--{SmallMolecule,Biologic,Peptide,SyntheticCompound,DrugCandidate} depth 2; Protocol&lt;|--AssayProtocol depth 2) and moderate method/attribute counts (~3-4 attributes per class). Each class traces to a requirement noun/concept (e.g., ExperimentLog, StatisticalAnalysis, ChemicalLibrary, StudyCohort, PharmacokineticStudy), so complexity is justified rather than inflated; restraint is shown by not over-decomposing SafetyAssessment or RegulatoryReview. DrugCandidate-as-Compound-subclass is a defensible modeling choice since compounds "serve as the basis for drug candidates."
3. Practicability: Model 1 = 2, Model 2 = 5; Evidence: Model 1 is incomplete — missing chemical library storage, adverse-event reports, safety assessments, pharmacokinetic studies, regulatory agencies, publication records, study cohorts, and statistical analysis as a distinct class; `SimulationModel` lacks solventInclusion/forceFieldConfig; `DrugCandidate` lacks validation status (isValidated/validationDate); `Protocol` lacks authorship and validator requirement and AssayProtocol specialization. These gaps make full implementation and acceptance testing against the requirement impractical. Model 2 covers all required components with traceable, testable units: `SimulationModel{solventInclusion,forceFieldConfig,score,status}`, `DrugCandidate{isValidated,validationDate}`, `AssayProtocol --&gt; DataValidator (requires)`, `Researcher --&gt; Protocol (authors)`, `StudyCohort --&gt; Protocol (operatesUnder)`, `RegulatoryAgency --&gt; RegulatoryReview`, `ResearchProject --&gt; PublicationRecord`, `Researcher --&gt; CompoundReport (generates)`, `PharmacokineticStudy --&gt; BindingAffinity (references)`. Modularity and interface simplicity support unit testing of each domain concept.
Total: Model 1 = 6, Model 2 = 13
Choice: B
Reason:
1. Cohesion and Decoupling: Model 2 separates dosage regimen, toxicity profile, adverse events, results, logs, and statistical analysis into dedicated cohesive classes, whereas Model 1 collapses them into String attributes and a single `Result` class, degrading cohesion and forcing hidden coupling via string parsing.
2. Complexity: Model 2's larger class count is justified by traceable requirement concepts with shallow inheritance; Model 1 under-models, omitting ~9 required components (chemical library, adverse event report, safety assessment, pharmacokinetic study, regulatory agency, publication record, study cohort, statistical analysis class, assay protocol specialization), so its low complexity reflects incompleteness rather than balance.
3. Rejected or checked issues: Did not penalize Model 2 for opposite-direction unidirectional associations, single-quote PlantUML comments, lowercase primitive types (int/double/boolean), or `*`/`1` multiplicities (all forbidden penalties). Did not reward Model 2 for extra attributes (budget, email, jurisdiction, capacity) since they are not requirement-driven; these are neutral. Did not penalize DrugCandidate&lt;|--Compound inheritance or abstractness marking, as the requirement is silent. Did not penalize Model 2's `compoundClass`/`methodName` on AssayProtocol as weak-but-present coverage of "methods to identify compound classes."
4. Overall judgment: Model 2 is substantially better across all three criteria — it is a complete, cohesive, and testable design faithful to the requirement, while Model 1 is incomplete and conflates distinct domain concepts.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</si>
  <si>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</si>
  <si>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collapses many domain concepts into string attributes (e.g., `dosageRegimen: String`, `toxicityProfile: String`, `trialType: String`) and omits entirely: ChemicalLibrary, StudyCohort, AssayProtocol, PharmacokineticStudy, RegulatoryAgency, PublicationRecord, AdverseEventReport, SafetyAssessment, StatisticalAnalysis, DosageRegimen (as class), ToxicityProfile (as class). Model 2 introduces explicit classes for nearly every requirement concept (ChemicalLibrary, StudyCohort, AssayProtocol, PharmacokineticStudy, RegulatoryAgency, RegulatoryReview, PublicationRecord, AdverseEventReport, SafetyAssessment, StatisticalAnalysis, DosageRegimen, ToxicityProfile, ExperimentLog, CompoundReport).
2. Associations/Multiplicities between classes for domain reasoning: Model 1 = 2, Model 2 = 5; Evidence: Model 1 has bare associations with no multiplicities on most lines (e.g., `DrugCandidate -- Interaction`, `Researcher -- Project`, `Compound o-- DrugCandidate`), and key relationships are missing (no StudyCohort–Protocol, no SimulationModel–Compound link, no RegulatoryAgency–DrugCandidate, no PharmacokineticStudy–BindingAffinity). Model 2 specifies multiplicities throughout (`ResearchProject *-- "*" LaboratoryExperiment`, `DrugCandidate *-- "1" DosageRegimen`, `SimulationModel --&gt; "*" Compound : simulates`, `StudyCohort --&gt; "1..*" Protocol : operatesUnder`, `RegulatoryAgency --&gt; "*" RegulatoryReview : conducts`, `PharmacokineticStudy --&gt; "*" BindingAffinity : references`).
3. Model attributes with appropriate data types: Model 1 = 2, Model 2 = 5; Evidence: Model 1 flattens structured concepts into single strings (`dosageRegimen: String` loses amount/frequency/unit; `toxicityProfile: String` loses carcinogenicity/adverse-event flags; `Result` collapses meanValue/timestamp/log into one class with `log: String`). Missing binding affinity constant+unit decomposition (uses single `bindingAffinity: Float`). Model 2 models DosageRegimen with `amount: double, frequency: int, unit: String`; ToxicityProfile with `isCarcinogenic: boolean`; AdverseEventReport with `category, severity, isLifeThreatening`; BindingAffinity with `constant: double, unit: String`; SimulationModel with `solventInclusion: boolean, forceFieldConfig: String, score: double`.
4. Consistencies of Terminology with given context: Model 1 = 2, Model 2 = 5; Evidence: Model 1 uses generic labels (`Project`, `Experiment`, `Result`, `Interaction`, `Report`) rather than domain-specific terms (ResearchProject, LaboratoryExperiment, QuantitativeResult/StatisticalAnalysis, BindingAffinity, CompoundReport). Model 2 matches requirement terminology closely: PharmacokineticStudy, AssayProtocol, AdverseEventReport, SafetyAssessment, RegulatoryReview, PublicationRecord, ChemicalLibrary, StudyCohort.
5. Adherence of UML class diagram standards: Model 1 = 4, Model 2 = 5; Evidence: Both use valid PlantUML syntax. Model 1 uses an enum (CompoundType) and aggregation correctly but is minimal. Model 2 uses enums (DevelopmentStage, TrialType, EventCategory, SeverityLevel, SimulationStatus), generalization (`Compound &lt;|-- SmallMolecule/Biologic/Peptide/SyntheticCompound`, `Protocol &lt;|-- AssayProtocol`), composition, and labeled associations with multiplicities — all conforming to UML conventions.
Total: Model 1 = 12, Model 2 = 25
Choice: B
Reason:
1. Appropriate conceptual classes: Model 2 covers the full requirement (libraries, cohorts, protocols subclasses, pharmacokinetic studies, regulatory/publication artifacts, safety assessments) while Model 1 omits or collapses most of them.
2. Associations/Multiplicities: Model 2 models every stated relationship with explicit multiplicities (e.g., StudyCohort→Protocol 1..*, SimulationModel→Compound *, RegulatoryAgency→Review *); Model 1 lacks multiplicities and misses several critical links.
3. Attributes: Model 2 decomposes compound concepts into properly typed attributes (DosageRegimen, ToxicityProfile, AdverseEventReport, BindingAffinity, SimulationModel configs); Model 1 encodes them as single Strings/Floats, losing domain semantics.
4. Terminology: Model 2 uses domain-faithful names matching the requirement wording; Model 1 uses generic substitutes.
5. Rejected/checked issues: I did not penalize Model 1 for using `Float` vs `double`, nor Model 2 for `'opposite ...` comments or `*` vs `0..*` per forbidden penalties. I did not reward Model 2 merely for length — the extra classes each map to a stated requirement fact.
4. Overall judgment: Model 2 is substantially better across all five criteria; it faithfully decomposes the requirement into classes, attributes, and multiplicities, whereas Model 1 is a sparse, over-collapsed sketch that loses most domain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</si>
  <si>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</si>
  <si>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Researchers, Institutions, Projects, Publications: Model 1 = 2, Model 2 = 5; Evidence: Model 1 only has `Researcher -- Project` with institution as a String attribute and no publication records. Model 2 has `Researcher "1" --&gt; "1" Institution : belongs to`, `Researcher "1" --&gt; "*" ResearchProject : leads`, and `ResearchProject "1" --&gt; "*" PublicationRecord : documents`, fully covering institution, leadership, and publications.
2. Laboratory Experiments, Results, Logs, Statistical Analysis, Validator: Model 1 = 2.5, Model 2 = 5; Evidence: Model 1 merges quantitative results and logs into one `Result` class (meanValue, timestamp, log), misplaces observationDate on Experiment, and uses a Validator operation with schemaVersion as a parameter rather than an attribute; no separate statistical analysis class. Model 2 has distinct `LaboratoryExperiment` (stage, sampleCount, executionDate), `QuantitativeResult` (observationDate, value), `ExperimentLog` (note, timestamp), `StatisticalAnalysis` (meanValue), and `DataValidator` (schemaVersion), matching the requirement closely.
3. Compounds, Chemical Libraries, Drug Candidates, Dosage, Toxicity, Adverse Events, Safety: Model 1 = 2, Model 2 = 5; Evidence: Model 1 flattens `dosageRegimen` and `toxicityProfile` into String attributes, has no ChemicalLibrary, no AdverseEvent, no SafetyAssessment, no carcinogenicity flag. Model 2 has `MolecularCompound` with four subclasses, `ChemicalLibrary "1" --&gt; "*" MolecularCompound : stores`, `DosageRegimen` (amount, frequency, unit), `ToxicityProfile` (isCarcinogenic), `AdverseEvent` (category, patientNotes, severityLevel, isLifeThreatening), and `SafetyAssessment` evaluating profile/regimen and linking to adverse events.
4. Target Proteins, Binding Affinity, Simulation Models: Model 1 = 2.5, Model 2 = 5; Evidence: Model 1 has an `Interaction` class with bindingAffinity/affinityUnit and `SimulationModel` (status, score) -- TargetProtein, but simulation is missing solventInclusion and forceFieldConfig and is not linked to the compounds it simulates. Model 2 has `TargetProtein`, `BindingAffinity` (constant, unit) quantified by both TargetProtein and DrugCandidate, and `SimulationModel` (status, solventInclusion, forceFieldConfig, score) associated with TargetProtein and `SimulationModel "*" --&gt; "1" MolecularCompound : simulates`.
5. Clinical Trials, Cohorts, Protocols, Assay Protocols, Pharmacokinetic Studies: Model 1 = 1.5, Model 2 = 5; Evidence: Model 1 collapses cohorts into `ClinicalTrial` (cohortSize), has only a generic `Protocol o-- ClinicalTrial`, no cohort-target focus, no cohort-protocol assignment, no assay protocol, no pharmacokinetic study. Model 2 has `ClinicalTrial` (StudyType enum), `StudyCohort` (size) focusing on TargetProtein and assigned AssayProtocol, `AssayProtocol "*" --&gt; "1" DataValidator : requires`, `Researcher authors AssayProtocol`, and `PharmacokineticStudy "*" --&gt; "*" BindingAffinity : references` with `DrugCandidate "1" --&gt; "*" PharmacokineticStudy : analyzed in`.
6. Regulatory, Reports, Validation Status, Integration: Model 1 = 1.5, Model 2 = 5; Evidence: Model 1 only has `DrugCandidate -- Validator` and `Researcher -- Report` (a generic Report not linked to a molecule), with no RegulatoryAgency and no validation status fields. Model 2 has `RegulatoryAgency` reviewing DrugCandidate, `DrugCandidate` with isValidated/validationDate, `CompoundReport` generated by Researcher for a specific MolecularCompound, plus PublicationRecord and full integration of cohorts/protocols/simulations.
Total: Model 1 = 12, Model 2 = 30
Choice: B
Reason:
1. Researchers/Projects/Publications: Model 2 explicitly models Institution as a class, researcher leadership, and publication records tied to projects; Model 1 omits publications and treats institution as an attribute.
2. Experiments/Results/Validator: Model 2 separates quantitative results, logs, statistical analysis, and validator with correct attributes; Model 1 merges/omits these and misplaces observationDate.
3. Compounds/Toxicity/Safety: Model 2 decomposes dosage regimen, toxicity profile, adverse events, and safety assessment with required fields; Model 1 flattens them into Strings and omits chemical libraries, adverse events, and safety assessments.
4. Simulation/Binding: Model 2 captures solventInclusion, forceFieldConfig, score, and the compound being simulated; Model 1 omits force-field/solvent detail and the simulation-compound link.
5. Trials/Cohorts/Protocols/Pharmacokinetics: Model 2 models cohorts, cohort-target focus, cohort-protocol assignment, assay protocols with validators, and pharmacokinetic studies; Model 1 collapses cohorts into trials and lacks these elements.
6. Regulatory/Reports/Validation: Model 2 includes RegulatoryAgency, validation status, and molecule-specific compound reports; Model 1 lacks regulatory agencies and molecule-linked reports.
Rejected or checked issues: I did not penalize Model 1 for using opposite-direction associations or PlantUML comments, nor for primitive type aliases, nor for not marking abstract classes. I also did not reward Model 2 merely for being longer; the additional classes (DosageRegimen, AdverseEvent, SafetyAssessment, StudyCohort, etc.) each map to explicit requirement facts.
Overall judgment: Model 2 is substantially more complete and faithful to the requirement, covering nearly every stated concept, attribute, and relationship with correct multiplicities and decomposition. Model 1 omits large portions of the requirement (chemical libraries, adverse events, safety assessments, cohorts, pharmacokinetic studies, regulatory agencies, publications, validation status) and flattens dosage/toxicity into opaque strings, so Model 2 is clearly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</si>
  <si>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</si>
  <si>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I'll evaluate both models against each criterion carefully.
```result
Scores:
1. Cohesion and Decoupling: Model 1 = 2, Model 2 = 4; Evidence: Model 1 conflates distinct concepts into single classes — `Result` merges meanValue/timestamp/log (requirement separates quantitative results, logs, and statistical analysis); `DrugCandidate` holds `dosageRegimen: String` and `toxicityProfile: String` instead of dedicated classes; `Interaction` merges the interaction concept with binding-affinity constants; `ClinicalTrial` absorbs `cohortSize` rather than modeling `StudyCohort`. Associations are unlabeled and lack multiplicities, so coupling intent is vague. Model 2 gives each concept its own cohesive class (`DosageRegimen`, `ToxicityProfile`, `AdverseEvent`, `SafetyAssessment`, `BindingAffinity`, `StudyCohort`, `AssayProtocol`, `ExperimentLog`, `StatisticalAnalysis`) and uses labeled associations with explicit multiplicities; coupling is domain-justified (e.g., `SafetyAssessment *--&gt;1 ToxicityProfile` and `*--&gt;1 DosageRegimen`), and `BindingAffinity` is intentionally shared between `DrugCandidate` and `TargetProtein` to reflect the interaction semantics.
2. Complexity: Model 1 = 2, Model 2 = 4; Evidence: Model 1 has ~16 classes with shallow inheritance (only `CompoundType` enum) and almost no methods, but it under-models the domain — collapsing dosage regimen, toxicity profile, adverse events, safety assessment, study cohort, assay protocol, pharmacokinetic study, regulatory agency, publication record, and chemical library into string attributes or omission. This is under-complex relative to the requirement. Model 2 has ~30 classes with a single, shallow generalization hierarchy (`MolecularCompound &lt;|-- SmallMolecule/Biologic/Peptide/SyntheticCompound`) matching the four required compound classifications, and a balanced attribute-per-class load; it adds only transparent domain concept classes (e.g., `ExperimentLog`, `StatisticalAnalysis`) that the requirement explicitly describes, avoiding spurious implementation detail.
3. Practicability: Model 1 = 2, Model 2 = 5; Evidence: Model 1 omits many required components entirely — no `ChemicalLibrary`, no `AdverseEvent`/`SafetyAssessment`, no `StudyCohort`, no `AssayProtocol` (only a generic `Protocol`), no `PharmacokineticStudy`, no `RegulatoryAgency`, no `PublicationRecord`, no validation-status fields on `DrugCandidate`, no solvent/forceField on `SimulationModel`, no researcher-authorship of assay protocols, no compound-report-to-molecule link. This makes end-to-end implementation and testing impractical. Model 2 covers all stated workflows with clear role-labeled, multiplicity-bearing associations: `Researcher 1--&gt;* AssayProtocol : authors`, `Researcher 1--&gt;* CompoundReport : generates`, `CompoundReport *--&gt;1 MolecularCompound : for`, `DrugCandidate` carries `isValidated`+`validationDate`, `SimulationModel` carries `solventInclusion`+`forceFieldConfig`+`score`, `AssayProtocol *--&gt;1 DataValidator : requires`, `PharmacokineticStudy *--&gt;* BindingAffinity : references`, `RegulatoryAgency *--&gt;* DrugCandidate : reviewed by`, `ResearchProject 1--&gt;* PublicationRecord : documents`. Modularity and testability are strong.
Total: Model 1 = 6, Model 2 = 13
Choice: B
Reason:
1. Cohesion and Decoupling: Model 2's separation of `DosageRegimen`, `ToxicityProfile`, `AdverseEvent`, `SafetyAssessment`, and `BindingAffinity` into dedicated classes yields higher cohesion and traceable, labeled coupling; Model 1's string-bundled attributes (`dosageRegimen`, `toxicityProfile`) and merged `Result`/`Interaction` classes lower cohesion and hide domain structure.
2. Complexity: Model 1 is under-complex, dropping roughly a dozen required concept classes; Model 2's class count and shallow inheritance hierarchy align with the requirement's breadth without inflating implementation detail.
3. Rejected or checked issues: I did not penalize Model 1 for using `Float`/`String` primitives, for using an enum (`CompoundType`) versus inheritance for compound classification, or for unlabeled bidirectional-style associations — all forbidden or neutral factors. I also did not reward Model 2 merely for length; each extra class maps to an explicit requirement fact (e.g., `ExperimentLog` with note+timestamp, `StatisticalAnalysis` with meanValue, `ChemicalLibrary` storing compounds). The one minor gap in Model 2 — `AssayProtocol` has no explicit link expressing "identify compound classes" beyond its `method` attribute — is a mild semantic weakness, not a contradiction, and does not close the large coverage gap.
4. Overall judgment: Model 2 provides a substantially more complete, cohesive, and practical design that traces nearly every requirement fact to a concrete class, attribute, or labeled association, whereas Model 1 collapses or omits most of the domain, making it unsuitable for implementation. Model 2 is clearly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</si>
  <si>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</si>
  <si>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omits many required concepts—no ChemicalLibrary, DosageRegimen, ToxicityProfile, AdverseEvent, SafetyAssessment, StudyCohort, AssayProtocol, PharmacokineticStudy, RegulatoryAgency, PublicationRecord, ExperimentLog, StatisticalAnalysis, or CompoundReport; it collapses dosage/toxicity into String fields on DrugCandidate. Model 2 includes all of these as dedicated classes (e.g., DosageRegimen with amount/frequency/unit, ToxicityProfile with isCarcinogenic, AdverseEvent with category/severityLevel/isLifeThreatening, SafetyAssessment, StudyCohort, AssayProtocol, PharmacokineticStudy, RegulatoryAgency, PublicationRecord, ExperimentLog, StatisticalAnalysis, ChemicalLibrary, CompoundReport).
2. Associations/Multiplicities between classes for domain reasoning: Model 1 = 1, Model 2 = 5; Evidence: Model 1 defines only bare associations without ANY multiplicities (e.g., "Researcher -- Project", "Compound o-- DrugCandidate") and omits critical links such as SafetyAssessment→AdverseEvent, StudyCohort→Protocol, PharmacokineticStudy→BindingAffinity, RegulatoryAgency→DrugCandidate. Model 2 specifies explicit multiplicities throughout, e.g., Researcher "1" --&gt; "*" ResearchProject : leads, DrugCandidate "*" --&gt; "*" TargetProtein : interacts with, ToxicityProfile "1" --&gt; "*" AdverseEvent : flags, SafetyAssessment "*" --&gt; "1" ToxicityProfile : evaluates, StudyCohort "*" --&gt; "1" AssayProtocol : assigned, PharmacokineticStudy "*" --&gt; "*" BindingAffinity : references.
3. Model attributes with appropriate data types: Model 1 = 2, Model 2 = 5; Evidence: Model 1 collapses dosageRegimen and toxicityProfile into plain String attributes on DrugCandidate, losing the required amount/frequency/unit and adverse-event/severity detail; Result merges meanValue/timestamp/log into one class; BindingAffinity lacks constant/unit separation (modeled as bindingAffinity Float + affinityUnit). Model 2 properly separates DosageRegimen{amount:Float, frequency:String, unit:String}, AdverseEvent{category, patientNotes, severityLevel, isLifeThreatening:Boolean}, BindingAffinity{constant:Float, unit:String}, SimulationModel{solventInclusion:Boolean, forceFieldConfig:String, score:Float}, DrugCandidate{isValidated:Boolean, validationDate:Date}, and ExperimentLog{note:String, timestamp:DateTime}.
4. Consistencies of Terminology with given context: Model 1 = 2, Model 2 = 5; Evidence: Model 1 uses generic terms—"Project" (vs "research project"), "Experiment" (vs "laboratory experiment"), "Result" (vs "quantitative result"), "Protocol" (vs "assay protocol"), "Report" (vs "compound report")—and omits domain-specific names like "molecular compound", "chemical library", "study cohort", "pharmacokinetic study", "regulatory agency", "publication record". Model 2 uses the exact domain terms: ResearchProject, LaboratoryExperiment, QuantitativeResult, ExperimentLog, StatisticalAnalysis, MolecularCompound, ChemicalLibrary, AssayProtocol, StudyCohort, PharmacokineticStudy, RegulatoryAgency, PublicationRecord, CompoundReport, DataValidator.
5. Adherence of UML class diagram standards: Model 1 = 3, Model 2 = 5; Evidence: Model 1 is syntactically valid PlantUML but uses only flat associations with no multiplicities and only one enum (CompoundType), lacking generalization/aggregation distinction and role labels. Model 2 correctly uses enums (StudyType, ModelStatus), generalization hierarchy (MolecularCompound &lt;|-- SmallMolecule/Biologic/Peptide/SyntheticCompound), role-labeled directed associations with explicit multiplicities, and consistent class/attribute notation throughout.
Total: Model 1 = 10, Model 2 = 25
Choice: B
Reason:
1. Appropriate conceptual classes: Model 2 covers essentially every concept in the requirement as dedicated classes; Model 1 is missing the majority (chemical library, dosage regimen, toxicity profile, adverse event, safety assessment, study cohort, assay protocol, pharmacokinetic study, regulatory agency, publication record, experiment log, statistical analysis, compound report).
2. Associations/Multiplicities: Model 2 provides complete, labeled, multiplicity-bearing relationships matching the requirement (e.g., cohorts assigned protocols, safety assessments linking adverse events, PK studies referencing binding affinities, agencies reviewing candidates). Model 1 has no multiplicities at all and omits many critical links.
3. Attributes &amp; types: Model 2 decomposes composite concepts (dosage, toxicity, binding affinity, simulation config) into correctly typed attributes; Model 1 flattens them into lossy String fields.
4. Terminology: Model 2 mirrors the requirement's vocabulary precisely; Model 1 uses generic labels that diverge from the domain language.
5. Rejected/checked issues: Model 2's compound classification via subclasses rather than an enum is semantically valid (generalization) and not penalized; Model 1's single enum CompoundType does not compensate for missing class coverage. Model 2 modeling BindingAffinity as a separate class linked to both DrugCandidate and TargetProtein is an acceptable refinement of "interactions quantified by binding affinity measurements," not a contradiction.
6. Overall judgment: Model 2 is substantially more complete, accurate, and standards-compliant across all five criteria; Model 1 is missing most of the domain structure. Choice B is clearly warranted.
```</t>
  </si>
  <si>
    <t>AdvancedAlloyCompositionOptimization</t>
  </si>
  <si>
    <t>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</si>
  <si>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</si>
  <si>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 coverage &amp; conceptual alignment: Model 1 = 5, Model 2 = 3.5; Evidence: Model 1 includes all required classes plus traceable refinements (SummaryReport, Supplier, StressTestRun, ProcessingStep, QualityAssuranceReview, CostEstimation) and enums for PhaseType/TestType/QualityStatus/ReportFormat. Model 2 omits a Supplier/Vendor class (requirement "Supplier Network for finding vendors"), omits a SummaryReport class ("compiles ... into summary reports"), and folds the tensile test run into StressTestRunner.
2. Attributes correctness/completeness: Model 1 = 5, Model 2 = 3; Evidence: Model 1 captures creationDate, density, surfaceFinish, grainStructure, defectAnnotation, name/quenchingStatus/isValidated, temp limits, emergencyStop, principalInvestigator, budget, integrity/filter, wavelength/emissionIntensity, load/incrementStep, convergence/recommendedComposition, limitValue+effectiveDate on BOTH DesignConstraint and RegulatoryStandard, primaryPhase, qualityStatus, certified inspector, report format. Model 2's DesignConstraint has only limitValue (missing required effectiveDate), MaterialSpecimen lacks grainStructure and defectAnnotation ("classify grain structure, and annotate any defects"), format is misplaced on ReportGenerator instead of a report, and ElementComposition uses a vague `chemicalMakeup: Map`.
3. Associations &amp; cardinalities: Model 1 = 5, Model 2 = 2.5; Evidence: Model 1 gives explicit multiplicities on essentially all links: AlloyBatch "1"*--"1..*" MaterialSpecimen (matches "multiple"), ThermalAnalysisRun "*"--&gt;"1" HeatTreatmentProfile ("applies a specific profile"), BatchRecord "*"--&gt;"1..*" RegulatoryStandard (plural "standards"). Model 2 uses dependency arrows with NO multiplicity for most relations (generates, validated by, utilizes, adheres, correlates, tests, generates, fed by, recommends, calculates from, meets, approves, compiles); uses AlloyBatch "1"*--"0..*" (allows zero specimens) and BatchRecord "0..*"--&gt;"1" RegulatoryStandard (singular, contradicts plural "standards").
4. Relationship types (composition/aggregation/association): Model 1 = 5, Model 2 = 3; Evidence: Model 1 uses composition (*) for contains/encompasses/aggregate/stores (AlloyBatch*--Specimen, ResearchProject*--Dataset, ComplianceArchive*--BatchRecord, StressTestRun*--PerformanceMetric) and directed associations for structural links — appropriate for a class diagram. Model 2 uses dependency arrows (..&gt;) for many structural relationships (e.g., StressTestRunner ..&gt; PerformanceMetric, ReportGenerator ..&gt; PerformanceMetric, OptimizationResult ..&gt; PerformanceMetric), which denote transient usage rather than structural association and carry no multiplicity.
5. Avoidance of hallucinations/contradictions: Model 1 = 5, Model 2 = 4; Evidence: Model 1's extra classes are transparent refinements consistent with the requirement (e.g., StressTestRun models "perform tensile tests", SummaryReport models "summary reports"); no wrong multiplicities. Model 2 has no major hallucination but contains domain errors: missing effectiveDate on DesignConstraint (requirement explicitly says "limit values and effective dates" for both), and the simulator/cooling-rate modeling is handled differently (Model 2 correctly puts coolingRate/peakTemperature on ThermalCycleSimulator, while Model 1 puts them on ThermalAnalysisRun — a minor Model 1 weakness noted but not decisive).
Total: Model 1 = 25, Model 2 = 16
Choice: A
Reason:
1. Class coverage: Model 1 represents every required concept (including vendors via Supplier and reports via SummaryReport), while Model 2 omits the vendor concept and the summary-report concept.
2. Attributes &amp; cardinalities: Model 1 supplies the required attributes (notably effectiveDate on both DesignConstraint and RegulatoryStandard, grainStructure/defectAnnotation on specimens) and correct multiplicities (1..* specimens, 1..* regulatory standards); Model 2 omits effectiveDate on DesignConstraint, omits grain/defect attributes, and uses multiplicities that allow zero specimens or a single standard.
3. Relationship semantics: Model 1 uses composition and directed associations with multiplicities suitable for a structural class diagram; Model 2 over-uses dependency arrows that lack multiplicity and denote usage rather than structural relationships.
4. Rejected or checked issues: I did not penalize Model 1 for opposite-direction association styles, single-quote comments, primitive type aliases, or its transparent refinement classes (ProcessingStep, CostEstimation, QualityAssuranceReview) per the forbidden-penalty and refinement-tolerance rules. I also credited Model 2 for correctly placing coolingRate/peakTemperature on ThermalCycleSimulator and for the OptimizationResult --&gt; ElementComposition "recommends" link, but these did not outweigh its omissions and weak relationship modeling.
5. Overall judgment: Model 1 is substantially more complete and semantically faithful to the requirement's classes, attributes, multiplicities, and relationship types, so Model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</si>
  <si>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</si>
  <si>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concerns into focused classes (e.g., `CostEstimator` vs `CostEstimation`, `QualityAssurance` vs `QualityAssuranceReview`, `StressTestRunner` vs `StressTestRun`), each with a singular responsibility. Model 2 collapses several concepts into single classes — `QualityAssurance` holds `inspector`, `isCertified`, and `approveBatch()` all at once, mixing module-level and review-level concerns; `StressTestRunner` inappropriately carries `testType` (a property of a test, not the runner), mixing runner and run responsibilities. Model 2 also uses dependency arrows (`..&gt;`) pervasively, which is weaker semantically but lower coupling. However, Model 2's `ElementComposition` uses a `Map` and `PhaseDistribution` uses four separate float fields, keeping those classes cohesive. Overall Model 1 demonstrates clearer high-cohesion/low-coupling separation.
2. Complexity: Model 1 = 4, Model 2 = 4; Evidence: Model 1 has ~30 classes plus 6 enums, with a shallow inheritance tree (no generalisation used) and moderate methods-per-class (mostly attributes, few behavioral methods). Model 2 has ~27 classes with no enums and very few attributes per class, plus a few behavioral methods. Both avoid over-fragmenting nouns into classes. Model 1's enums add structured complexity that maps to the requirement's enumerated phases (Austenite/Ferrite/Martensite/Pearlite) and test types, which is justified. Model 2 is leaner but under-specifies attributes (e.g., `ElementComposition` only has `chemicalMakeup: Map`, `OptimizationResult` only `convergence: Float` missing recommended composition). Neither uses inheritance. Both are balanced; Model 1 slightly over-models (e.g., separate `CostEstimation` class) while Model 2 under-models attributes. Roughly equal.
3. Practicability: Model 1 = 5, Model 2 = 3; Evidence: Model 1 provides comprehensive, readable coverage: it models "specimens can be analyzed to determine current phase, classify grain structure, annotate defects" via `MaterialSpecimen.grainStructure` and `defectAnnotation`; captures "processing steps" via a dedicated `ProcessingStep` class with `stepOrder`, `targetTemperature`, `durationMinutes`; represents safety protocol with both `maxTemperatureLimit`/`minTemperatureLimit`/`emergencyStopEnabled`; models `Supplier` entities within `SupplierNetwork`; and gives `BatchRecord` a `recordDate`. The multiplicities are well-justified (e.g., `AlloyBatch "1" *-- "1..*" MaterialSpecimen`). Model 2 omits many requirement facts: no grain structure / defect annotation on specimens; no processing-step detail (only `processingSteps: List` opaque attribute); `SafetyProtocol.temperatureLimit` is a single value not distinguishing limits; no `Supplier` class (SupplierNetwork has only `findVendors()`); `OptimizationResult` lacks recommended composition attribute (only a loose `--&gt; ElementComposition` link); `QualityAssurance` merges inspector into the module; `RegulatoryStandard` missing in Model 2's `DesignConstraint` lacks `effectiveDate`; `ComplianceArchive`/`BatchRecord` lack record dates; `ResearchProject` missing `projectName` and design-constraint association is present but constraint lacks `effectiveDate`. Model 2's pervasive use of `..&gt;` (dependency) instead of association/aggregation reduces semantic clarity about ownership and multiplicity for many relationships (e.g., `StressTestRunner ..&gt; PerformanceMetric` with no multiplicity, `ReportGenerator ..&gt; QualityAssurance` compiling from a module rather than review records). Model 1 is markedly more practical for implementation and testing.
Total: Model 1 = 13, Model 2 = 10
Choice: A
Reason:
1. Cohesion and Decoupling: Model 1 keeps distinct roles separate (runner vs run, module vs review, estimator vs estimation), whereas Model 2 conflates runner/test (`StressTestRunner.testType`) and module/review (`QualityAssurance.inspector/isCertified`), lowering cohesion.
2. Complexity: Both avoid deep inheritance and keep class counts reasonable; Model 1's enums are justified by enumerated domain concepts. Roughly tied, though Model 2 under-specifies several attributes.
3. Practicability: Model 1 comprehensively covers requirement facts (grain structure, defects, processing steps, dual temperature limits, supplier entities, record dates, recommended composition) with precise multiplicities and composition semantics. Model 2 omits or vaguely represents many of these (opaque `processingSteps: List`, single `temperatureLimit`, no `Supplier` class, missing `effectiveDate` on `DesignConstraint`, no recommended-composition attribute, dependency arrows lacking multiplicities), making it less readable, less testable, and less complete.
4. Rejected or checked issues: I did NOT penalize Model 2 for using `Float`/`Boolean`/`String` primitives, for `..&gt;` vs `--&gt;` stylistic preference alone, or for lack of enums per se. I also did not reward Model 1 merely for having more classes — the extra classes (`CostEstimation`, `QualityAssuranceReview`, `Supplier`, `ProcessingStep`) each map to a distinct requirement concept. I did not penalize either model for opposite-direction associations or PlantUML comments, per forbidden penalties.
5. Overall judgment: Model 1 is better due to stronger cohesion through proper class separation, equivalent and balanced complexity, and substantially superior practicability stemming from complete, semantically precise coverage of the requirement with clear ownership and multiplicities.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</si>
  <si>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</si>
  <si>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explicitly models all domain concepts including ProcessingStep, PhaseDistribution, PerformanceMetric, OptimizationResult, BatchRecord, ComplianceArchive, CostEstimation, Supplier, QualityAssuranceReview, SummaryReport, and separates StressTestRunner from StressTestRun. Model 2 collapses several concepts: ElementComposition is reduced to a single `chemicalMakeup: Map`, PhaseDistribution is inlined as four Float fields rather than modeled as a target-phase concept, StressTestRunner absorbs the test run concept with `testType`, QualityAssurance absorbs the inspector/approval-review concept into itself, and the separate PerformanceMetric/stress-run concepts are weaker. Model 2 omits dedicated classes for ProcessingStep, BatchRecord context, Supplier, SummaryReport, and CostEstimation, making coverage less complete.
2. Associations/Multiplicities between classes for domain reasoning: Model 1 = 5, Model 2 = 4; Evidence: Model 1 captures detailed multiplicities: `AlloyBatch "1" *-- "1..*" MaterialSpecimen`, `ThermalAnalysisRun "*" --&gt; "1" HeatTreatmentProfile`, `MicrostructureAnalysis "*" --&gt; "1" MaterialSpecimen` and `"1" SpectroscopyData`, `BatchRecord "*" --&gt; "1..*" RegulatoryStandard`, `StressTestRun "1" *-- "1..*" PerformanceMetric`, `ReportGenerator "*" --&gt; "*" PerformanceMetric` and `QualityAssuranceReview`. Model 2 uses mostly correct but looser `0..*` on the composition side and relies on dependency arrows (`..&gt;`) for many relations (generates, validates, utilizes, adheres, tests, fed-by), which omits multiplicity on those links and weakens domain reasoning about how many profiles/runs/metrics participate.
3. Model attributes with appropriate data types: Model 1 = 5, Model 2 = 3; Evidence: Model 1 attributes each class thoroughly with typed fields: `density: double`, `surfaceFinish: SurfaceFinish`, `fraction: double`, `quenchingStatus: boolean`, `peakTemperature: double`, `coolingRate: double`, `wavelength: double`, `emissionIntensity: double`, `loadValue: double`, `incrementValue: double`, `convergenceTracked: boolean`, `limitValue: double`, `effectiveDate: Date`, `primaryPhase: PhaseType`, `qualityStatus: QualityStatus`. Model 2 collapses key attributes: `chemicalMakeup: Map` for ElementComposition loses per-element percentage typing; `PhaseDistribution` uses four float fields rather than phase-fraction pairs; `OptimizationResult` only has `convergence: Float` with no recommended composition; `BatchRecord` uses loose String for primaryPhase/qualityStatus; `HeatTreatmentProfile` bundles `processingSteps: List` rather than modeling the ProcessingStep class; many operational classes only carry methods (`generateProfile()`, `manageRun()`) with no state attributes.
4. Consistencies of Terminology with given context: Model 1 = 5, Model 2 = 4; Evidence: Model 1 uses domain terms verbatim: ExperimentPlanner, HeatTreatmentProfile, PhaseDiagramCalculator, ProcessController, ThermalAnalysisRun, ThermalCycleSimulator, SafetyProtocol, ExperimentalDataset, MicrostructureAnalysis, StressTestRunner, PerformanceMetric, OptimizationResult, ComplianceArchive, BatchRecord, CostEstimator, SupplierNetwork, QualityAssurance, ReportGenerator, RegulatoryStandard, DesignConstraint. Model 2 keeps most terms but renames some attributes away from the requirement (e.g., `chemicalMakeup` instead of "element composition describing chemical makeup", `integrityVerified` instead of "verify data integrity", `testType` on StressTestRunner rather than a separate destructive/non-destructive concept). Overall still consistent, with minor drift.
5. Adherence of UML class diagram standards: Model 1 = 5, Model 2 = 4; Evidence: Model 1 uses consistent class boxes with attributes and typed fields, proper composition (`*--`), directed association (`--&gt;`) with quoted multiplicities and role labels throughout, and enum declarations. Model 2 mixes directed associations, compositions, and dependency arrows (`..&gt;`) for what are structural relationships (e.g., `ExperimentPlanner ..&gt; HeatTreatmentProfile : generates`, `OptimizationResult ..&gt; PerformanceMetric : fed by`), where dependency is not the semantically correct connector for a structural "generates/feeds" relation; also `hide empty members` and `skinparam` are presentation-only (ignored per rules) but the dependency-arrow usage is a notation-semantic weakness.
Total: Model 1 = 25, Model 2 = 19
Choice: A
Reason:
1. Appropriate conceptual classes: Model 1 provides traceable, separate classes for every workflow concept named in the requirement (ProcessingStep, StressTestRun vs StressTestRunner, PerformanceMetric, CostEstimation, Supplier, QualityAssuranceReview, SummaryReport, BatchRecord). Model 2 collapses several into attribute-only or method-only forms, reducing domain coverage.
2. Associations/Multiplicities: Model 1 assigns concrete multiplicities to nearly every structural relation, enabling domain reasoning (e.g., one profile per ThermalAnalysisRun, one specimen per MicrostructureAnalysis correlation). Model 2 replaces many structural links with untyped dependency arrows lacking multiplicity.
3. Model attributes: Model 1 models attributes with explicit, domain-faithful types and enums (PhaseType, QualityStatus, SurfaceFinish, RunState, ReportFormat); Model 2 collapses compositions into `Map`/`List` and loses per-element/per-phase structure, and many classes carry only methods.
4. Terminology: Both are largely consistent; Model 2 has minor attribute-name drift but remains recognizable.
5. UML standards: Model 1 uses appropriate connectors; Model 2 over-uses dependency arrows for structural relationships, a notation-semantic weakness.
Rejected or checked issues: Did not penalize Model 2 for lowercase `float`/`int`/`boolean` aliases (forbidden), for `0..*` vs `*` equivalence (forbidden), for skinparam/hide-empty-members (presentation-only, ignored), or for not marking abstract classes. Did not reward Model 1 merely for being longer; the extra classes (ProcessingStep, Supplier, CostEstimation, SummaryReport) each map to distinct requirement facts.
Overall judgment: Model 1 is better because it covers more domain concepts with correct multiplicities, typed attributes, and enums while maintaining terminology and UML correctness; Model 2's collapses reduce semantic precision in three of five criteria.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</si>
  <si>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</si>
  <si>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Completeness of conceptual classes: Model 1 = 5, Model 2 = 2; Evidence: Model 1 includes all required classes (AlloyBatch, MaterialSpecimen, ElementComposition, PhaseDistribution, ExperimentPlanner, HeatTreatmentProfile, ProcessingStep, PhaseDiagramCalculator, ProcessController, ThermalAnalysisRun, ThermalCycleSimulator, SafetyProtocol, ResearchProject, ExperimentalDataset, SpectroscopyData, MicrostructureAnalysis, StressTestRunner, StressTestRun, PerformanceMetric, OptimizationResult, DesignConstraint, RegulatoryStandard, ComplianceArchive, BatchRecord, CostEstimator, SupplierNetwork, Supplier, QualityAssurance, QualityAssuranceReview, ReportGenerator, SummaryReport). Model 2 omits ProcessingStep, StressTestRun, BatchRecord, CostEstimation/Supplier, QualityAssuranceReview, SummaryReport — these are explicitly required by the requirement (e.g., "BatchRecord... documents the primary phase, quality status"; "Summary reports in various formats"; "certified inspectors approve batches").
2. Attributes alignment with requirement: Model 1 = 5, Model 2 = 2; Evidence: Model 1 captures requirement-stated attributes: AlloyBatch.creationDate, MaterialSpecimen.density/surfaceFinish, HeatTreatmentProfile.name/quenchingStatus/isValidated, SafetyProtocol.maxTemperatureLimit/emergencyStopEnabled, ResearchProject.principalInvestigator/budget, ExperimentalDataset.dataIntegrityVerified/filterCriteria, SpectroscopyData.wavelength/emissionIntensity/detectedPhase, PerformanceMetric.loadValue/incrementValue, OptimizationResult.convergenceTracked/recommendedComposition, DesignConstraint/RegulatoryStandard.limitValue/effectiveDate, BatchRecord.primaryPhase/qualityStatus, SummaryReport.format. Model 2 omits many (no principalInvestigator on ResearchProject, no integrity/filter on ExperimentalDataset, no detectedPhase on SpectroscopyData, no convergence/recommendedComposition on OptimizationResult, no limitValue/effectiveDate on RegulatoryStandard, no primaryPhase/qualityStatus since BatchRecord is missing, no format since SummaryReport is missing).
3. Associations and cardinalities: Model 1 = 5, Model 2 = 2; Evidence: Model 1 models all required associations with explicit multiplicities: AlloyBatch "1" *-- "1..*" MaterialSpecimen; ExperimentPlanner "1" --&gt; "1..*" HeatTreatmentProfile; ProcessController "1" --&gt; "1..*" ThermalAnalysisRun and "1..*" SafetyProtocol; ThermalCycleSimulator "1" --&gt; "*" ThermalAnalysisRun; ThermalAnalysisRun "*" --&gt; "1" HeatTreatmentProfile; ResearchProject "1" *-- "1..*" ExperimentalDataset and --&gt; "1..*" DesignConstraint; MicrostructureAnalysis "*" --&gt; "1" MaterialSpecimen and "1" SpectroscopyData; StressTestRun "1" *-- "1..*" PerformanceMetric; PerformanceMetric "*" --&gt; "1" OptimizationResult; ComplianceArchive "1" *-- "1..*" BatchRecord; BatchRecord --&gt; AlloyBatch and RegulatoryStandard; CostEstimator --&gt; AlloyBatch/ElementComposition; SupplierNetwork --&gt; Supplier/DesignConstraint; QualityAssurance --&gt; QualityAssuranceReview; ReportGenerator --&gt; SummaryReport/PerformanceMetric/QualityAssuranceReview. Model 2 captures only ~15 of these and several are incorrect/weak: PhaseDiagramCalculator--PhaseDistribution (requirement says calculator identifies stable phases/checks equilibrium and is referenced by planning and microstructure analysis, not directly tied to PhaseDistribution); ComplianceArchive--AlloyBatch (should be via BatchRecord); StressTestRunner--PerformanceMetric (should be via StressTestRun on specimens); OptimizationResult--ElementComposition (missing the PerformanceMetric feed-in); DesignConstraint--RegulatoryStandard (requirement treats them as separate compliance checks, not a direct link).
4. Relationship types (composition/aggregation/inheritance): Model 1 = 5, Model 2 = 2; Evidence: Model 1 distinguishes composition (*) for strong containment (AlloyBatch*--MaterialSpecimen, HeatTreatmentProfile*--ProcessingStep, ResearchProject*--ExperimentalDataset, ExperimentalDataset*--SpectroscopyData, ComplianceArchive*--BatchRecord, StressTestRun*--PerformanceMetric) and directional associations for use relationships. Model 2 uses only undirected plain "--" associations with no composition/aggregation differentiation, so the strong "contains"/"stores"/"aggregate"/"generated" semantics from the requirement are not represented.
5. Clarity of class names and requirement traceability: Model 1 = 5, Model 2 = 3; Evidence: Model 1's class names are recognizable and traceable to requirement terms, including transparent refinements (QualityAssuranceReview, CostEstimation, SummaryReport) that keep base terms visible. Model 2's names are clear where present, but many required concept classes are absent, so traceability is incomplete; enums (SurfaceFinish, PhaseType, TestType, QualityStatus, ReportFormat) that encode the requirement's enumerated lists (austenite/ferrite/martensite/pearlite, destructive/non-destructive, report formats) are entirely missing.
Total: Model 1 = 25, Model 2 = 11
Choice: A
Reason:
1. Completeness of conceptual classes: Model 1 includes every requirement-mandated class plus faithful supporting refinements; Model 2 is missing BatchRecord, ProcessingStep, StressTestRun, SummaryReport, Supplier, and QualityAssuranceReview, each tied to an explicit requirement sentence.
2. Attributes and relationships: Model 1 captures the requirement's stated attributes and all association/cardinality semantics (composition vs. association, multiplicities, role labels); Model 2 omits most attributes and has incorrect or over-simplified links (e.g., PhaseDiagramCalculator--PhaseDistribution, ComplianceArchive--AlloyBatch directly).
3. Rejected/checked issues: I did not penalize Model 2 for using plain associations instead of bidirectional pairs (forbidden penalty), nor for `float`/`Boolean` primitive aliases, nor for layout. The decision rests purely on missing classes, missing/incorrect attributes, and missing/wrong associations relative to the requirement.
4. Overall judgment: Model 1 is a comprehensive, domain-faithful rendering of the requirement with correct composition/aggregation semantics and traceable attributes; Model 2 is a skeletal sketch with substantial omissions and a few semantically inaccurate links. Model 1 is clearly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</si>
  <si>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</si>
  <si>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assigns each module a dedicated data class (e.g., `QualityAssurance` orchestrates `QualityAssuranceReview` with inspector/certification fields; `CostEstimator` produces a `CostEstimation` record; `StressTestRunner` performs `StressTestRun` which generates `PerformanceMetric`), keeping cohesive responsibilities separate and using directional associations to limit navigation. Model 2 collapses many of these into bare classes (e.g., `StressTestRunner -- PerformanceMetric` directly, no StressTestRun; `QualityAssurance`, `CostEstimator`, `ComplianceArchive`, `ReportGenerator` have no attributes or relations to their produced artifacts), so cohesion is weak and several modules are empty shells with only one association, while `DesignConstraint -- RegulatoryStandard` couples two distinct standards concepts without an intermediate compliance check.
2. Complexity: Model 1 = 4, Model 2 = 2; Evidence: Model 1 introduces traceable intermediate concepts required by the requirement (e.g., `ProcessingStep` for "processing steps", `StressTestRun` for tensile tests, `BatchRecord` for "stores Batch Records", `SummaryReport` for "summary reports in various formats", `CostEstimation`, `QualityAssuranceReview`) and uses enums (`PhaseType`, `SurfaceFinish`, `TestType`, `QualityStatus`, `RunState`, `ReportFormat`) matching the requirement's enumerated phases/finishes/test types. Class count is high (~35) but justified by named requirement elements; no spurious attributes beyond timestamps/IDs. Model 2 has ~24 classes but many are empty (`ElementComposition`, `PhaseDiagramCalculator`, `ProcessController`, `ThermalAnalysisRun`, `ThermalCycleSimulator`, `ExperimentalDataset`, `MicrostructureAnalysis`, `StressTestRunner`, `OptimizationResult`, `RegulatoryStandard`, `ComplianceArchive`, `CostEstimator`, `SupplierNetwork`, `QualityAssurance`, `ReportGenerator`), under-modeling the domain; it also misses `StressTestRun`, `BatchRecord`, `ProcessingStep`, `SummaryReport`, `PhaseDistribution` granularity is hard-coded to four fraction attributes instead of target-phase fractions.
3. Practicability: Model 1 = 4, Model 2 = 2; Evidence: Model 1 provides named associations with role labels and multiplicities (e.g., `ThermalAnalysisRun "*" --&gt; "1" HeatTreatmentProfile: applies profile`, `BatchRecord "*" --&gt; "1..*" RegulatoryStandard: linked standards`, `ReportGenerator "*" --&gt; "*" PerformanceMetric: compiles from metrics`), making interactions readable and testable; coverage of "validates before use" (`isValidated`), "emergency stop capabilities and temperature limits" (`emergencyStopEnabled`, max/min limits), "verify data integrity, filter results" (`dataIntegrityVerified`, `resultsFiltered`, `filterCriteria`) supports unit/acceptance testing. Model 2 omits principal investigator, validation status, equilibrium-state checking, data integrity/filtering behavior, inspector certification, batch record fields (primary phase, quality status), and the ReportGenerator/SafetyProtocol/MicrostructureAnalysis linkages to PhaseDiagramCalculator, so it is not comprehensive enough to program or test against.
Total: Model 1 = 12, Model 2 = 7
Choice: A
Reason:
1. Cohesion and Decoupling: Model 1 separates orchestration classes from their data records (e.g., `StressTestRunner`→`StressTestRun`→`PerformanceMetric`) and keeps `QualityAssurance`/`QualityAssuranceReview` distinct, yielding high cohesion and navigable but limited coupling; Model 2 merges StressTestRunner directly with PerformanceMetric and leaves many modules as attribute-less shells.
2. Complexity: Model 1's extra classes (`ProcessingStep`, `BatchRecord`, `SummaryReport`, `StressTestRun`, enums) correspond to explicitly named requirement elements, so the added complexity is traceable rather than bloated; Model 2 under-models by dropping these elements and hard-coding phase fractions as four scalar attributes.
3. Rejected or checked issues: I did not penalize Model 2 for using `float`/`Boolean` or `int`, nor Model 1 for `double`/`boolean`/`String` aliases (forbidden primitive-type rule). I did not reward Model 1 merely for extra ID/timestamp fields; I credited only fields that map to requirement facts (e.g., `quenchingStatus`, `isValidated`, `emergencyStopEnabled`, `inspectorCertified`). I also did not penalize the use of `--` unidirectional pairs vs bidirectional lines.
4. Overall judgment: Model 1 is substantially better because it covers nearly all named requirement components with appropriate attributes, multiplicities, and role-labeled associations, enabling readable, modular, and testable design. Model 2 omits key concepts (BatchRecord, StressTestRun, ProcessingStep, SummaryReport, principal investigator, validation/equilibrium/data-integrity behaviors) and leaves many classes empty, making it incomplete per the "incomplete response = bad" rule.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</si>
  <si>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</si>
  <si>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captures all stated classes—AlloyBatch,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ReportGenerator—plus reasonable refinements (ProcessingStep, StressTestRun, Supplier, SummaryReport, QualityAssuranceReview, CostEstimation). Model 2 omits BatchRecord, ProcessingStep, StressTestRun, Supplier, SummaryReport, CostEstimation, and many classes are empty shells (ExperimentPlanner, PhaseDiagramCalculator, ProcessController, ThermalAnalysisRun, ThermalCycleSimulator, OptimizationResult, RegulatoryStandard, ComplianceArchive, CostEstimator, SupplierNetwork, QualityAssurance, ReportGenerator all have no attributes).
2. Associations/Multiplicities between classes for domain reasoning: Model 1 = 4, Model 2 = 2; Evidence: Model 1 models most relations with explicit multiplicities—AlloyBatch "1" *-- "1..*" MaterialSpecimen, ThermalAnalysisRun "*" --&gt; "1" HeatTreatmentProfile (applies profile), ComplianceArchive "1" *-- "1..*" BatchRecord, BatchRecord "*" --&gt; "1" AlloyBatch, ReportGenerator "*" --&gt; "*" PerformanceMetric and QualityAssuranceReview. Some extra fabricated associations (CostEstimator--&gt;AlloyBatch, AlloyBatch--&gt;CostEstimation bidirectional redundancy) add noise. Model 2 only has ~16 associations, most missing multiplicities; critical ones missing include MicrostructureAnalysis↔SpectroscopyData, MicrostructureAnalysis↔MaterialSpecimen, SafetyProtocol↔ProcessController (instead attached to ThermalAnalysisRun), PerformanceMetric→OptimizationResult, RegulatoryStandard↔BatchRecord, SupplierNetwork↔DesignConstraint, ReportGenerator↔PerformanceMetric/QA.
3. Model attributes with appropriate data types: Model 1 = 5, Model 2 = 2; Evidence: Model 1 attributes are comprehensive and typed: MaterialSpecimen.density:double, surfaceFinish:SurfaceFinish; HeatTreatmentProfile.name, quenchingStatus:boolean, isValidated:boolean; SafetyProtocol.maxTemperatureLimit, minTemperatureLimit, emergencyStopEnabled; ResearchProject.principalInvestigator, budget; SpectroscopyData.wavelength, emissionIntensity, detectedPhase; PerformanceMetric.loadValue, incrementValue; OptimizationResult.convergenceTracked, recommendedComposition; BatchRecord.primaryPhase, qualityStatus. Model 2 only specifies a handful: AlloyBatch.creationDate, MaterialSpecimen.density/surfaceFinish, PhaseDistribution fractions, HeatTreatmentProfile.name/quenchingStatus, SafetyProtocol.emergencyStop/temperatureLimits, ResearchProject.budget, SpectroscopyData.wavelength/emissionIntensity, PerformanceMetric.load/incrementSteps, DesignConstraint.limitValue/effectiveDate. Many classes are empty (ElementComposition, ExperimentPlanner, PhaseDiagramCalculator, ProcessController, ThermalAnalysisRun, ThermalCycleSimulator, ExperimentalDataset, MicrostructureAnalysis, StressTestRunner, OptimizationResult, RegulatoryStandard, ComplianceArchive, CostEstimator, SupplierNetwork, QualityAssurance, ReportGenerator). PhaseDistribution in Model 2 hard-codes four fraction attributes rather than using a PhaseType enum, less aligned with "fractions of target phases such as...".
4. Consistencies of Terminology with given context: Model 1 = 5, Model 2 = 3; Evidence: Model 1 uses exact terms: principal investigator (principalInvestigator), quenching status (quenchingStatus), equilibrium states (equilibriumState), emergency stop (emergencyStopEnabled), temperature limits (maxTemperatureLimit/minTemperatureLimit), convergence (convergenceTracked), certified inspectors (inspectorCertified), various formats (ReportFormat enum). Model 2 uses correct core terms but loses several (no principalInvestigator attribute, no quenching status modeled fully—present, no convergence, no certified inspector concept, no "BatchRecord", no "SummaryReport").
5. Adherence of UML class diagram standards: Model 1 = 5, Model 2 = 4; Evidence: Model 1 valid PlantUML with classes, enums, composition (*--), association (--&gt;), role labels, multiplicities, properly closed. Model 2 also valid syntax but uses bare `--` lines mostly without multiplicities or role labels; still comprehensible. Minor: Model 2 line `// Relationships` is a PlantUML comment (acceptable). No fatal UML violations in either.
Total: Model 1 = 24, Model 2 = 14
Choice: A
Reason:
1. Appropriate conceptual classes: Model 1 fully covers the domain including BatchRecord, StressTestRun, ProcessingStep, Supplier, SummaryReport, QualityAssuranceReview, CostEstimation; Model 2 omits these and leaves many classes as empty shells.
2. Associations/Multiplicities: Model 1 explicitly models nearly all required relationships with correct multiplicities (e.g., ThermalAnalysisRun applies exactly one profile, ComplianceArchive stores BatchRecords, BatchRecord links RegulatoryStandards, ReportGenerator compiles from PerformanceMetrics and QA reviews). Model 2 lacks multiplicities on most lines and misses key relations like MicrostructureAnalysis correlating specimen and spectroscopic data.
3. Attributes/data types: Model 1 provides typed attributes for essentially every class including enums (SurfaceFinish, PhaseType, TestType, QualityStatus, RunState, ReportFormat); Model 2 has attributes for fewer than half its classes.
4. Terminology: Model 1 preserves domain vocabulary (principalInvestigator, equilibriumState, emergencyStopEnabled, convergenceTracked, inspectorCertified); Model 2 drops several.
5. Rejected/checked issues: Did not penalize Model 2 for using `float` vs `double`, `Boolean` vs `boolean`, or `*` vs `0..*` (forbidden). Did not reward Model 1 merely for being longer—credit is for coverage of stated requirement facts. Model 1's bidirectional CostEstimator&lt;-&gt;AlloyBatch/CostEstimation redundancy was treated as minor noise, not a domain violation.
4. Overall judgment: Model 1 is substantially more complete, accurate, and domain-aligned across all five criteria; Model 2 is a skeletal diagram missing many classes, attributes, and key associations required by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</si>
  <si>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</si>
  <si>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production unit (AlloyBatch, MaterialSpecimen, ElementComposition, PhaseDistribution): Model 1 = 5, Model 2 = 4; Evidence: Both model AlloyBatch.creationDate and the part-whole relationship to MaterialSpecimen. M1 uses composition (AlloyBatch "1" *-- "0..*" MaterialSpecimen) and composes ElementComposition/PhaseDistribution (1 *-- 1) with density/surfaceFinish and all four phase fractions. M2 uses plain associations (1 -- *) and also captures density/surfaceFinish and the four phase fractions, but loses the strong containment semantics implied by "contains"/"possesses".
2. Specimen analysis capabilities (current phase, grain structure, defects): Model 1 = 2, Model 2 = 1; Evidence: Requirement states specimens "can be analyzed to determine their current phase, classify grain structure, and annotate any defects." Neither model adds attributes/operations for grain structure or defect annotation. M1 at least models a PhaseDistribution and a MicrostructureAnalysis.refinePhases() that indirectly touches phase analysis; M2 has nothing tied to specimen-level analysis.
3. Experiment planning (ExperimentPlanner, HeatTreatmentProfile, validation): Model 1 = 5, Model 2 = 3; Evidence: M1 HeatTreatmentProfile has name, quenchingStatus, processingSteps, isValidated, and ExperimentPlanner.generateProfile() with a "generates" dependency plus "..&gt; validated by" PhaseDiagramCalculator. M2 HeatTreatmentProfile only has name and quenchingStatus (no processingSteps, no validation concept) and uses a plain 1--* association without the validation-by-calculator relationship.
4. Phase Diagram Calculator usage (stable phases, equilibrium, reference): Model 1 = 5, Model 2 = 2; Evidence: M1 PhaseDiagramCalculator has identifyStablePhases()/checkEquilibrium(), is used to validate HeatTreatmentProfile, and is referenced by MicrostructureAnalysis. M2 PhaseDiagramCalculator is an empty class linked only to PhaseDistribution, missing both the equilibrium/stable-phase behavior and its use by the planner and microstructure analysis.
5. Process execution (ProcessController, ThermalAnalysisRun, ThermalCycleSimulator, SafetyProtocol): Model 1 = 5, Model 2 = 2; Evidence: M1 has ProcessController.manageRun() (1--&gt;0..* ThermalAnalysisRun), ThermalAnalysisRun applies a HeatTreatmentProfile (1--&gt;1), utilizes ThermalCycleSimulator (coolingRate, peakTemperature), and adheres to SafetyProtocol (emergencyStop, temperatureLimit). M2 omits the ThermalCycleSimulator class entirely and only links ThermalAnalysisRun to HeatTreatmentProfile and SafetyProtocol; the modeling of cooling rates/peak temperatures is absent.
6. Research project &amp; experimental datasets (integrity, filtering, storing outcomes): Model 1 = 5, Model 2 = 3; Evidence: M1 ResearchProject has principalInvestigator + budget, composes ExperimentalDataset (1 *-- 0..*), and links to DesignConstraint (1--&gt;0..*); ExperimentalDataset has integrityVerified + filterResults() and composes SpectroscopyData (1 *-- 0..*). M2 ResearchProject has only budget (no principalInvestigator), ExperimentalDataset has no integrity/filter/store semantics, and links ExperimentalDataset to SpectroscopyData and MicrostructureAnalysis via plain associations only.
7. Spectroscopy &amp; microstructure analysis: Model 1 = 5, Model 2 = 2; Evidence: M1 MicrostructureAnalysis has correlateData()/refinePhases(), correlates MaterialSpecimen and SpectroscopyData, and references PhaseDiagramCalculator — fully matching "correlates specimen samples with spectroscopic data... utilizing the Phase Diagram Calculator as a reference." M2 only links MicrostructureAnalysis to ExperimentalDataset, with no correlation to specimen, spectroscopy data, or calculator.
8. Stress testing &amp; performance metrics: Model 1 = 5, Model 2 = 3; Evidence: M1 StressTestRunner has testType + performTest(), tests MaterialSpecimen, and generates PerformanceMetric (load, incrementStep); PerformanceMetric feeds OptimizationResult. M2 StressTestRunner--PerformanceMetric (load, incrementSteps) exists but lacks testType, the test-of-specimen link, and the feed into OptimizationResult.
9. Optimization results (convergence, recommended composition): Model 1 = 5, Model 2 = 2; Evidence: M1 OptimizationResult has convergence, is "fed by" PerformanceMetric, and recommends ElementComposition. M2 OptimizationResult is an empty class linked only to ElementComposition, with no convergence attribute and no PerformanceMetric input.
10. Standards &amp; compliance (DesignConstraint, RegulatoryStandard, ComplianceArchive, BatchRecord): Model 1 = 5, Model 2 = 2; Evidence: M1 ComplianceArchive composes BatchRecord (1 *-- 0..*); BatchRecord has primaryPhase + qualityStatus and links to both AlloyBatch and RegulatoryStandard (0..*--&gt;1 each), directly implementing "linking regulatory standards to specific batches." M2 has no BatchRecord class at all and only links ComplianceArchive--AlloyBatch and DesignConstraint--RegulatoryStandard. For limitValue/effectiveDate: M1 puts both on RegulatoryStandard but omits effectiveDate on DesignConstraint; M2 puts both only on DesignConstraint leaving RegulatoryStandard empty — both are partial on that detail, but M1's BatchRecord/ComplianceArchive structure is far more faithful.
11. Operational support (CostEstimator, SupplierNetwork, QualityAssurance): Model 1 = 5, Model 2 = 1; Evidence: M1 CostEstimator.calculateExpenses() calculates from ElementComposition; SupplierNetwork.findVendors() meets DesignConstraint; QualityAssurance has inspector + isCertified + approveBatch() and approves AlloyBatch. M2 declares all three classes but with no attributes and no relationships whatsoever — these modules are effectively non-functional placeholders.
12. Report generation: Model 1 = 5, Model 2 = 1; Evidence: M1 ReportGenerator has format + compileReport() and compiles from PerformanceMetric and QualityAssurance ("compiles" relationships). M2 ReportGenerator is an empty class with no format, no compile behavior, and no links to performance metrics or QA.
Total: Model 1 = 52, Model 2 = 26
Choice: A
Reason:
1. Core production unit: M1's composition relationships better reflect "contains"/"possesses," though M2 also captures the essentials; minor edge to M1.
2. Specimen analysis: both weak, but M1's PhaseDistribution/MicrostructureAnalysis give slight indirect coverage.
3. Experiment planning: M1 captures processing steps, validation, and calculator-driven validation; M2 omits these.
4. Phase Diagram Calculator: M1 models its operations and both use sites (planner validation + microstructure reference); M2 mis-attaches it to PhaseDistribution.
5. Process execution: M1 includes ThermalCycleSimulator (coolingRate/peakTemperature) and the run-applies-profile link; M2 omits the simulator entirely.
6. Research project &amp; datasets: M1 includes principalInvestigator, integrity/filtering semantics, and composition; M2 lacks principalInvestigator and dataset behaviors.
7. Spectroscopy &amp; microstructure: M1 fully models the cross-correlations and calculator reference; M2 only links microstructure to the dataset.
8. Stress testing: M1 includes testType and the specimen-test link; M2 omits both.
9. Optimization results: M1 has convergence and the PerformanceMetric feed; M2 has neither.
10. Standards &amp; compliance: M1's ComplianceArchive/BatchRecord structure faithfully links standards to batches; M2 omits BatchRecord entirely.
11. Operational support: M1 fully wires CostEstimator/SupplierNetwork/QualityAssurance with behaviors and links; M2 leaves all three as empty, disconnected classes.
12. Report generation: M1 models format and the QA/metric compile sources; M2 has an empty ReportGenerator.
Rejected or checked issues: I did not penalize M2 for using plain associations instead of composition per se (forbidden), nor for lowercase float/int (forbidden), nor for missing abstract markers (not applicable). The decision is driven by genuine omissions (ThermalCycleSimulator, BatchRecord, principalInvestigator, microstructure correlations, and three disconnected operational modules) and missing key attributes/operations, not stylistic differences.
Overall judgment: Model 1 is substantially more complete and domain-faithful, covering all major subsystems with appropriate relationships, cardinalities, and key attributes/operations. Model 2 omits entire classes (ThermalCycleSimulator, BatchRecord) and leaves several required modules (CostEstimator, SupplierNetwork, QualityAssurance, ReportGenerator) as empty, unconnected placeholders, failing the "incomplete response" threshold on multiple subsystems. Model 1 is clearly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</si>
  <si>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</si>
  <si>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gives each class a focused responsibility with relevant attributes/methods (e.g., MicrostructureAnalysis has correlateData()/refinePhases() and dependency links to MaterialSpecimen, SpectroscopyData, PhaseDiagramCalculator; QualityAssurance has inspector, isCertified, approveBatch() and approves AlloyBatch). It uses lightweight dependency arrows (..&gt;) for usage and composition (*) only for ownership, keeping coupling low. Model 2 leaves most classes as empty shells (CostEstimator, SupplierNetwork, QualityAssurance, ReportGenerator, ThermalCycleSimulator, MicrostructureAnalysis, ComplianceArchive have no attributes, methods, or relationships), so cohesion is undefined and several classes are disconnected islands; simultaneously, key couplings are missing (ThermalCycleSimulator has no link to ThermalAnalysisRun, StressTestRunner has no link to MaterialSpecimen, MicrostructureAnalysis links to nothing relevant).
2. Complexity: Model 1 = 5, Model 2 = 2; Evidence: Model 1 uses ~28 classes each justified by the requirement, with balanced attributes/methods and a shallow inheritance-free structure; e.g., HeatTreatmentProfile carries name, quenchingStatus, processingSteps, isValidated matching the requirement precisely, and BatchRecord carries primaryPhase/qualityStatus linking AlloyBatch and RegulatoryStandard. Model 2 has the same class count but most are barren — HeatTreatmentProfile lacks processingSteps/isValidated, OptimizationResult lacks convergence, ResearchProject lacks principalInvestigator, RegulatoryStandard lacks limitValue/effectiveDate, ComplianceArchive has no BatchRecord at all — so the apparent simplicity reflects missing requirement content, not appropriate complexity balance.
3. Practicability: Model 1 = 5, Model 2 = 2; Evidence: Model 1 provides a near-complete, readable blueprint: it models the full workflow chain (ExperimentPlanner generates HeatTreatmentProfile, validated by PhaseDiagramCalculator; ProcessController manages ThermalAnalysisRun which applies profile, utilizes ThermalCycleSimulator, adheres to SafetyProtocol; OptimizationResult fed by PerformanceMetric recommends ElementComposition; ReportGenerator compiles PerformanceMetric + QualityAssurance), enabling implementation and unit testing. Model 2 omits large portions: no ThermalCycleSimulator usage link, no BatchRecord/primaryPhase/qualityStatus, no MicrostructureAnalysis correlations, no CostEstimator/SupplierNetwork/QA/ReportGenerator relationships, no SpectroscopyData aggregation in datasets, and it mis-links PhaseDiagramCalculator--PhaseDistribution and DesignConstraint--RegulatoryStandard (relations not stated in the requirement), making the diagram incomplete and partly incorrect for real use.
Total: Model 1 = 15, Model 2 = 6
Choice: A
Reason:
1. Cohesion and Decoupling: Model 1 assigns clear responsibilities and uses dependency vs. composition appropriately; Model 2 has empty, disconnected classes and omits required relationships, hurting both cohesion and correct coupling.
2. Complexity: Model 1 balances class count with substantive attributes/methods traceable to the requirement; Model 2's lower detail is missing requirement facts (processingSteps, isValidated, convergence, principalInvestigator, BatchRecord, regulatory attributes) rather than principled minimalism.
3. Rejected or checked issues: I did not penalize Model 2 for using `float`/`int` aliases (forbidden), nor for `*` vs `0..*` (forbidden), nor for plain `--` vs opposite unidirectional arrows (forbidden). The decision rests on missing requirement-mandated classes/attributes/associations and one contradictory link (PhaseDiagramCalculator--PhaseDistribution, DesignConstraint--RegulatoryStandard) that the requirement does not state.
4. Overall judgment: Model 1 comprehensively and faithfully covers the requirement with cohesive, decoupled, practicable design; Model 2 is largely a skeleton missing most behavioral relationships and several required attributes/classes, so Model 1 is clearly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</si>
  <si>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</si>
  <si>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captures all 25 required classes including CostEstimator, SupplierNetwork, QualityAssurance, ReportGenerator, BatchRecord, ComplianceArchive, and ThermalCycleSimulator. Model 2 captures the core classes but omits BatchRecord entirely (ComplianceArchive links directly to AlloyBatch), omits ThermalCycleSimulator, and merges DesignConstraint with effectiveDate — losing the BatchRecord concept that documents primaryPhase/qualityStatus.
2. Associations/Multiplicities between classes for domain reasoning: Model 1 = 5, Model 2 = 3; Evidence: Model 1 models the full relationship network with correct multiplicities — AlloyBatch 1*--0..* MaterialSpecimen, ProcessController 1--&gt;0..* ThermalAnalysisRun, ThermalAnalysisRun--&gt;1 HeatTreatmentProfile (applies specific profile), ComplianceArchive 1*--0..* BatchRecord, BatchRecord 0..*--&gt;1 AlloyBatch, BatchRecord 0..*--&gt;1 RegulatoryStandard, ResearchProject*--ExperimentalDataset*--SpectroscopyData, MicrostructureAnalysis correlates specimen/spectroscopy/references calculator, OptimizationResult fed by PerformanceMetric and recommends ElementComposition, ReportGenerator compiles PerformanceMetric and QualityAssurance. Model 2 is sparse: ThermalAnalysisRun lacks link to ThermalCycleSimulator, MicrostructureAnalysis is buried under ExperimentalDataset without links to specimen/spectroscopy/calculator, OptimizationResult only links to ElementComposition (missing PerformanceMetric feed), StressTestRunner has no link to MaterialSpecimen, CostEstimator/SupplierNetwork/QualityAssurance/ReportGenerator are orphan classes with zero relationships, BatchRecord missing.
3. Model attributes with appropriate data types: Model 1 = 4, Model 2 = 3; Evidence: Model 1 attributes: AlloyBatch.creationDate:Date, MaterialSpecimen.density:Float/surfaceFinish:String, PhaseDistribution four phase fractions as Float, HeatTreatmentProfile name/quenchingStatus/processingSteps:List/isValidated, SafetyProtocol emergencyStop:Boolean/temperatureLimit:Float, ResearchProject principalInvestigator:String/budget:Decimal, PerformanceMetric load:Float/incrementStep:Integer, BatchRecord primaryPhase:String/qualityStatus:String, RegulatoryStandard limitValue:Float/effectiveDate:Date, ReportGenerator.format:String. Model 2 has fewer attributes — ResearchProject only has budget (missing principalInvestigator), HeatTreatmentProfile missing processingSteps/isValidated, ExperimentalDataset missing integrityVerified, OptimizationResult missing convergence, QualityAssurance missing inspector/isCertified, RegulatoryStandard empty, ElementComposition empty.
4. Consistencies of Terminology with given context: Model 1 = 5, Model 2 = 4; Evidence: Model 1 uses exact requirement terms: principal investigator, quenching status, emergency stop, temperature limits, convergence, inspector, certified, compile report. Model 2 uses close terms but drops several (no "principal investigator", no "convergence", no "inspector/certified"); PhaseDistribution attributes use austeniteFraction/ferriteFraction etc. which are reasonable but the requirement says "fractions of target phases" — acceptable.
5. Adherence of UML class diagram standards: Model 1 = 5, Model 2 = 4; Evidence: Both use valid PlantUML. Model 1 uses appropriate composition/aggregation/dependency distinctions with role labels and multiplicities consistently. Model 2 uses plain associations throughout with fewer role labels and contains a comment line "// Relationships" (ignored per rules) and uses -- without distinguishing composition vs dependency; semantically valid but less expressive.
Total: Model 1 = 24, Model 2 = 18
Choice: A
Reason:
1. Appropriate conceptual classes: Model 1 includes every class named in the requirement, including BatchRecord, ThermalCycleSimulator, and QualityAssurance with its inspector attributes. Model 2 omits BatchRecord and ThermalCycleSimulator, collapsing compliance and thermal-cycle concepts.
2. Associations/Multiplicities: Model 1 captures the requirement that each ThermalAnalysisRun "applies a specific profile" (1..1), that ComplianceArchive stores BatchRecords linked to both AlloyBatch and RegulatoryStandard, that MicrostructureAnalysis correlates specimens with spectroscopic data and references the PhaseDiagramCalculator, that StressTestRunner tests specimens, and that ReportGenerator compiles both PerformanceMetric and QualityAssurance. Model 2 leaves CostEstimator, SupplierNetwork, QualityAssurance, and ReportGenerator as disconnected islands and omits these domain-critical links.
3. Rejected/checked issues: Did not penalize Model 2 for lowercase float/int types or for the "// Relationships" comment (forbidden penalties). Did not reward Model 1 for its methods (generateProfile, manageRun, etc.) since methods are not part of UML class diagram semantic scope required here, but they did not hurt. Did not penalize Model 2 for not marking abstractness.
4. Overall judgment: Model 1 is substantially more complete and domain-faithful across classes, relationships, multiplicities, attributes, and terminology, while still adhering to UML conventions. Model 2 is a minimal skeleton missing several required concepts and most of the cross-cutting associations that drive domain reasoning.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</si>
  <si>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</si>
  <si>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completeness / requirement coverage: Model 1 = 4, Model 2 = 4; Evidence: Both models include all 26 core domain entities from the requirement. Model 1 models PhaseDistribution with explicit austenite/ferrite/martensite/pearlite attributes and ThermalCycleSimulator with coolingRate/peakTemperature. Model 2 adds DesignConstraint.effectiveDate (missing in Model 1) and decomposes HeatTreatmentProfile into ProcessingStep, but misplaces coolingRate/peakTemperature onto ThermalAnalysisRun instead of ThermalCycleSimulator. Model 2 also models PhaseDiagramCalculator operations as attributes (stablePhases: String, equilibriumState: boolean) rather than operations.
2. Relationship accuracy (directions, cardinalities, types): Model 1 = 4, Model 2 = 3; Evidence: Model 1 has correct dependency directions: HeatTreatmentProfile ..&gt; PhaseDiagramCalculator : "validated by", MicrostructureAnalysis ..&gt; PhaseDiagramCalculator : "references", ThermalAnalysisRun ..&gt; ThermalCycleSimulator : "utilizes". Model 2 reverses key directions: PhaseDiagramCalculator --&gt; MicrostructureAnalysis (should be MicrostructureAnalysis references Calculator), PhaseDiagramCalculator --&gt; HeatTreatmentProfile (semantically backwards for validation), and ThermalCycleSimulator --&gt; ThermalAnalysisRun : "simulates" (should be the run utilizes the simulator). Model 2 has better cardinalities in two spots: AlloyBatch *-- 1..* MaterialSpecimen (vs Model 1's 0..*) and BatchRecord *--&gt; 1..* RegulatoryStandard (vs Model 1's 0..* --&gt; 1), but the direction errors are more significant.
3. Class/attribute semantic faithfulness: Model 1 = 4, Model 2 = 3; Evidence: Model 1's ThermalCycleSimulator carries coolingRate: Float and peakTemperature: Float directly matching "simulator to model cooling rates and peak temperatures." Model 1's PhaseDiagramCalculator has identifyStablePhases() and checkEquilibrium() operations matching "identify stable phases and check for equilibrium states." Model 2's ThermalCycleSimulator has only simulatorId and name — the coolingRate and peakTemperature are on ThermalAnalysisRun, contradicting the requirement. Model 2's PhaseDiagramCalculator models stablePhases/equilibriumState as stored attributes rather than behavioral operations, which is less faithful to "identify" and "check" verbs.
4. Hallucination avoidance / no unjustified additions: Model 1 = 5, Model 2 = 3; Evidence: Model 1 introduces no classes beyond the requirement and adds minimal attributes (chemicalMakeup: Map is a transparent simplification). Model 2 adds 6 extra classes (ProcessingStep, StressTestRun, CostEstimation, Supplier, QualityAssuranceReview, SummaryReport) and 6 enumerations with specific values not in the requirement (e.g., SurfaceFinish = POLISHED/ROUGH/MACHINED/AS_CAST, ReportFormat = PDF/CSV/JSON/HTML, RunState with 6 states). While some extras are traceable (Supplier←"vendors", SummaryReport←"summary reports"), enum value enumerations like specific report formats and surface finish values are hallucinated specifics. Model 1 also adds many redundant IDs/timestamps absent from the requirement.
Total: Model 1 = 17, Model 2 = 13
Choice: A
Reason:
1. Functional completeness / requirement coverage: Both models cover all core entities. Model 1 is more faithful in placing coolingRate/peakTemperature on ThermalCycleSimulator and modeling calculator behavior as operations. Model 2 gains slightly with DesignConstraint.effectiveDate and richer attributes but loses ground with the simulator attribute misplacement.
2. Relationship accuracy: Model 1 has correct relationship directions for validation (Profile→Calculator), MicrostructureAnalysis referencing Calculator, and ThermalAnalysisRun utilizing the Simulator. Model 2 reverses at least three key directions (Calculator→MicrostructureAnalysis, Calculator→HeatTreatmentProfile, Simulator→ThermalAnalysisRun), which contradict the requirement's stated semantics. Model 2's cardinality improvements (1..* for specimens, 1..* for standards) are outweighed by these direction errors.
3. Class/attribute faithfulness: Model 1's attribute placement aligns with the requirement's explicit statements about what the simulator models and what the calculator does. Model 2's ThermalCycleSimulator is hollow (only ID and name), with domain attributes wrongly on ThermalAnalysisRun.
4. Hallucination avoidance: Model 1 is strictly faithful with no unjustified additions. Model 2 introduces multiple extra classes and enumerations with specific values (e.g., PDF/CSV/JSON/HTML, POLISHED/ROUGH/MACHINED/AS_CAST) that are not stated in the requirement, constituting hallucinated specifics.
5. Rejected issues: I did not penalize Model 2 for using opposite-direction associations vs bidirectional lines (forbidden per guidelines), nor for extra ID attributes per se (only noted under hallucination where specific enum values were fabricated). I did not reward Model 1 for being "simpler" — the decision is based on semantic correctness.
6. Overall judgment: Model 1 is better because it faithfully places domain attributes on the correct classes (simulator attributes on the simulator), models calculator behavior as operations, and maintains correct relationship directions for validation, microstructure analysis, and thermal run utilization. Model 2's reversed relationship directions and misplaced simulator attributes represent domain-accuracy errors that outweigh its marginal gains in cardinality precision and attribute richness.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</si>
  <si>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</si>
  <si>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3.5; Evidence:
   - Model 1 keeps each class singular-purpose (e.g., `ThermalCycleSimulator { coolingRate; peakTemperature }`, `SafetyProtocol { emergencyStop; temperatureLimit }`, `QualityAssurance { inspector; isCertified; approveBatch() }`) and relies on loose `..&gt;` dependencies for cross-cutting uses, lowering coupling. `PhaseDistribution` cohesively groups the four target-phase fractions as attributes.
   - Model 2 separates cohesive units (e.g., `HeatTreatmentProfile *-- 1..* ProcessingStep`, `StressTestRunner --&gt; 1..* StressTestRun --&gt; 1..* PerformanceMetric`), but `ThermalCycleSimulator` is reduced to `{ simulatorId; name }` while `coolingRate`/`peakTemperature` were moved onto `ThermalAnalysisRun` — a cohesion leakage for the simulator's responsibility. Model 2 also introduces redundant links (e.g., `CostEstimator --&gt; CostEstimation` and `AlloyBatch --&gt; CostEstimation`; `ProcessController --&gt; ThermalAnalysisRun`, `ThermalCycleSimulator --&gt; ThermalAnalysisRun`, and `ProcessController --&gt; ThermalCycleSimulator`), raising structural coupling.
2. Complexity: Model 1 = 4, Model 2 = 3.5; Evidence:
   - Model 1 has ~26 classes, with no inheritance tree and modest method counts; it avoids over-decomposing nouns (e.g., `processingSteps: List`, `chemicalMakeup: Map`, `testType: String`), keeping complexity balanced to the requirement scope.
   - Model 2 adds ~30 classes plus 6 enumerations and introduces extra entity classes (`ProcessingStep`, `StressTestRun`, `CostEstimation`, `QualityAssuranceReview`, `SummaryReport`, `Supplier`). Some refinements are traceable (e.g., `ProcessingStep`, `StressTestRun`), but `CostEstimation`, `SummaryReport`, and `QualityAssuranceReview` as standalone classes add bookkeeping detail not required by the spec, pushing complexity above the requirement's needs. Depth of inheritance is zero in both, so the difference is breadth.
3. Practicability: Model 1 = 3.5, Model 2 = 4; Evidence:
   - Model 1 is readable and modular, but omits two explicit specimen-analysis facts: it has no `grainStructure`/defect-annotation concept on `MaterialSpecimen` (requirement: "analyzed to determine their current phase, classify grain structure, and annotate any defects"). It does cover core flows: `ThermalAnalysisRun --&gt; 1 HeatTreatmentProfile : applies`, `BatchRecord --&gt; AlloyBatch / RegulatoryStandard`, `ReportGenerator ..&gt; PerformanceMetric / QualityAssurance`, `OptimizationResult --&gt; ElementComposition : recommends`.
   - Model 2 covers those omitted facts: `MaterialSpecimen { grainStructure; defectAnnotation }`, `TestType { DESTRUCTIVE; NON_DESTRUCTIVE }`, `ReportFormat { PDF; CSV; JSON; HTML }`, `QualityStatus` enum, and `ProcessingStep` modeling "processing steps". Role-labeled associations with multiplicities (e.g., `AlloyBatch *-- 1..* MaterialSpecimen`, `ComplianceArchive *-- 1..* BatchRecord`, `ReportGenerator *-- * QualityAssuranceReview`) improve traceability and testability. Weakness: `OptimizationResult.recommendedComposition: String` is a vague string instead of a link to `ElementComposition` (requirement: "recommend optimal element compositions"), and `ThermalCycleSimulator` no longer carries the modeling attributes it should own.
Total: Model 1 = 11.5, Model 2 = 11.0
Choice: C
Reason:
1. Cohesion and Decoupling: Model 1 wins narrowly — its `ThermalCycleSimulator` and `SafetyProtocol` are correctly cohesive (owning coolingRate/peakTemperature and emergencyStop/temperatureLimit respectively), whereas Model 2 hollows out `ThermalCycleSimulator` (only id/name) and adds redundant CostEstimation/ProcessController links. Model 1's heavier reliance on `..&gt;` dependency arrows is a minor semantic imprecision but not a forbidden penalty.
2. Complexity: Model 1 wins — leaner class count aligned to the requirement; Model 2's additional `CostEstimation`, `SummaryReport`, `QualityAssuranceReview`, and `Supplier` classes add breadth without matching stated requirement facts.
3. Practicability: Model 2 wins — it explicitly covers specimen grain-structure/defect analysis, test-type and report-format enums, and `ProcessingStep` as a class, which Model 1 omits; its role-labeled associations and multiplicities improve readability and testability. Model 1 counters with a correct simulator-attribute placement and a real `OptimizationResult --&gt; ElementComposition` recommendation link.
4. Rejected or checked issues: I did NOT penalize either model for opposite-direction association styles, PlantUML single-quote comments, lowercase types (`double`/`boolean`/`int`), `*` vs `0..*`, or abstractness of superclasses (none present). I did not reward Model 2 purely for extra ids/timestamps/status fields; only the enums and `ProcessingStep`/`StressTestRun` separations that map to requirement facts were credited.
5. Overall judgment: The two models trade off cleanly — Model 1 is better on cohesion/decoupling and complexity; Model 2 is better on practicity and requirement coverage. The totals differ by 0.5/15, which is within the "meaningful quality difference is small" threshold,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</si>
  <si>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</si>
  <si>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Both models cover the core domain classes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ReportGenerator). Model 1 captures all named classes but folds "analyze current phase / classify grain structure / annotate defects" loosely into MaterialSpecimen with no explicit fields. Model 2 introduces explicit enumerations (PhaseType, SurfaceFinish, TestType, QualityStatus, RunState, ReportFormat) and additional refinements (ProcessingStep, StressTestRun, Supplier, CostEstimation, QualityAssuranceReview, SummaryReport) that trace to requirement facts ("processing steps", "tensile tests on specimens", "vendors meeting design constraints", "certified inspectors approve batches", "summary reports in various formats"). Model 2 better represents the enumerated phase list (Austenite/Ferrite/Martensite/Pearlite) and report formats. Both omit "store generated outcomes" explicitly, though ExperimentalDataset captures results implicitly.
2. Associations/Multiplicities between classes for domain reasoning: Model 1 = 4, Model 2 = 4; Evidence: Both correctly model AlloyBatch 1—* MaterialSpecimen (composition), MaterialSpecimen—ElementComposition, MaterialSpecimen—PhaseDistribution, ProcessController—ThermalAnalysisRun, ThermalAnalysisRun—HeatTreatmentProfile, ResearchProject—ExperimentalDataset, ExperimentalDataset—SpectroscopyData, BatchRecord—AlloyBatch, BatchRecord—RegulatoryStandard, ComplianceArchive—BatchRecord. Model 1 uses MaterialSpecimen *-- 1 PhaseDistribution (single object holding fractions), Model 2 uses *-- 1..* PhaseDistribution entries (one per phase) — both defensible. Model 1 links MicrostructureAnalysis to PhaseDiagramCalculator as reference (requirement states MicrostructureAnalysis utilizes the Calculator as reference) — correct. Model 2 instead links PhaseDiagramCalculator to MicrostructureAnalysis (references for analysis), acceptable but reverses the active direction. Model 2 also links OptimizationResult recommendedComposition as String rather than association to ElementComposition; Model 1 correctly has OptimizationResult --&gt; ElementComposition : recommends. Model 1 has OptimizationResult fed by PerformanceMetric; Model 2 has PerformanceMetric --&gt; OptimizationResult. Both reasonable. Model 2 over-constrains HeatTreatmentProfile validation: it links PhaseDiagramCalculator --&gt; * HeatTreatmentProfile (references for planning) rather than "validated by" relationship; Model 1 captures "validated by" via HeatTreatmentProfile ..&gt; PhaseDiagramCalculator. Minor errors on both sides.
3. Model attributes with appropriate data types: Model 1 = 3, Model 2 = 4; Evidence: Model 1 uses generic types (chemicalMakeup: Map, processingSteps: List) that are vague and collapse the composition/steps structure; PhaseDistribution hardcodes austenite/ferrite/martensite/pearlite as Float fields (inflexible but typed). Missing defectAnnotation, grainStructure, current phase classification on specimen. Model 2 models ElementComposition{elementName, percentage} and ProcessingStep{stepOrder, targetTemperature, durationMinutes, description} and PhaseDistribution{phaseType, fraction} with proper typed attributes; adds grainStructure, defectAnnotation on MaterialSpecimen; SafetyProtocol has max/min temperature limits and emergencyStopEnabled; SpectroscopyData includes detectedPhase and timestamp. Model 2 attributes are more complete and properly typed. Model 1 misses "define processing steps" as structured data.
4. Consistencies of Terminology with given context: Model 1 = 4, Model 2 = 4; Evidence: Both use the exact requirement terminology (AlloyBatch, MaterialSpecimen, ElementComposition, PhaseDistribution, ExperimentPlanner, HeatTreatmentProfile, quenchingStatus,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ReportGenerator). Model 1 uses "isValidated" matching requirement "validated before use"; Model 2 also uses isValidated. Model 2 introduces synonyms (QualityAssuranceReview vs. QualityAssurance approval, SummaryReport vs. ReportGenerator, CostEstimation vs. CostEstimator, StressTestRun vs. StressTestRunner) — recognizable but slightly divergent from the requirement's named modules. Model 1 keeps closer to single-module naming. Minor inconsistencies on both.
5. Adherence of UML class diagram standards: Model 1 = 5, Model 2 = 5; Evidence: Both are valid PlantUML class diagrams with proper class/enum declarations, attributes with types, compositions (*--), associations (--&gt;), dependencies (..&gt;), and multiplicities with role labels. No syntax violations in either.
Total: Model 1 = 20, Model 2 = 22
Choice: B
Reason:
1. Appropriate conceptual classes: Model 2 explicitly enumerates phases, surface finishes, test types, quality statuses, run states, and report formats that the requirement calls out by name, and adds ProcessingStep, StressTestRun, Supplier, CostEstimation, QualityAssuranceReview, and SummaryReport that trace to "processing steps", "tensile tests on specimens", "vendors meeting design constraints", "certified inspectors approve batches", "raw material expenses", and "summary reports in various formats". Model 1 collapses these (e.g., processingSteps: List, chemicalMakeup: Map) and omits grainStructure/defectAnnotation.
2. Associations/Multiplicities: Both are largely correct; Model 1 more faithfully captures "validated by" (HeatTreatmentProfile..&gt;PhaseDiagramCalculator) and OptimizationResult --&gt; ElementComposition : recommends, while Model 2 reverses directions on the Calculator reference and uses a String for recommendedComposition. This roughly offsets Model 2's richer StressTestRun and Supplier associations, yielding a tie on this criterion.
3. Attributes: Model 2's typed structured attributes (ElementComposition{elementName, percentage}, ProcessingStep fields, PhaseDistribution{phaseType, fraction}, SafetyProtocol limits) are materially better than Model 1's vague Map/List collapsed attributes and missing specimen classification fields.
4. Terminology: Both largely faithful; Model 2 introduces a few transparent refinements (Review, Summary, Estimation, Run) that remain recognizable, so this is essentially a tie.
5. UML standards: Both fully compliant.
Rejected or checked issues: I did NOT penalize Model 1 for using Map/List generic types under UML standards (it is valid PlantUML); the deduction is under attributes for being semantically vague. I did NOT penalize either model for opposite-direction associations or single-quote comments. I did NOT reward Model 2 for extra ID/timestamp fields that do not map to stated requirement facts. I did NOT penalize Model 2 for not marking superclasses abstract (none apply).
Overall judgment: Model 2 wins narrowly on conceptual class coverage (explicit enumerations and traceable workflow classes) and clearly on attribute modeling (structured, properly typed), while tying on associations, terminology, and UML standards. The richer domain modeling improves coverage of stated requirement facts without contradicting them, so Model 2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</si>
  <si>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</si>
  <si>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this carefully, I need to evaluate both models against the requirement's components.
Let me analyze the key requirement elements:
1. AlloyBatch + MaterialSpecimen + ElementComposition + PhaseDistribution
2. Specimen analysis (phase, grain structure, defects)
3. ExperimentPlanner → HeatTreatmentProfiles (name, quenching status, validated, processing steps)
4. PhaseDiagramCalculator (stable phases, equilibrium)
5. ProcessController → ThermalAnalysisRuns (applies profile), ThermalCycleSimulator (cooling rates, peak temps), SafetyProtocols (emergency stop, temp limits)
6. ResearchProject (PI, budget, design constraints) → ExperimentalDatasets (integrity, filter, store outcomes) → SpectroscopyData + MicrostructureAnalysis
7. MicrostructureAnalysis correlates specimen with spectroscopic data, uses PhaseDiagramCalculator
8. StressTestRunner (destructive/non-destructive tensile) → PerformanceMetrics (load, increment steps) → OptimizationResults (convergence, recommended composition)
9. DesignConstraints + RegulatoryStandards (limit values, effective dates) check compliance
10. ComplianceArchive → BatchRecords (primary phase, quality status, alloy batch, regulatory standards)
11. CostEstimator (raw material costs based on composition)
12. SupplierNetwork (find vendors meeting design constraints)
13. QualityAssurance (certified inspectors approve batches)
14. ReportGenerator (compiles performance metrics + QA sources into summary reports, various formats)
Now let me score each model against the requirement.
```result
Scores:
1. AlloyBatch &amp; MaterialSpecimen core: Model 1 = 4, Model 2 = 5; Evidence: Both have AlloyBatch with creationDate and MaterialSpecimen with density/surfaceFinish. Model 2 adds batchId/name/specimenId and an enum SurfaceFinish, but adds extra attributes (grainStructure, defectAnnotation as strings) that go beyond; Model 1 keeps it minimal. Model 2 correctly models composition as composition; both adequate. Model 2 marginally more complete on specimen analysis (grain/defects) but as strings.
2. ElementComposition &amp; PhaseDistribution: Model 1 = 4, Model 2 = 3; Evidence: Model 1 has PhaseDistribution with explicit austenite/ferrite/martensite/pearlite fractions matching "fractions of target phases". Model 2 uses a single PhaseType enum + fraction per instance, which is more normalized but loses the explicit "fractions of Austenite, Ferrite..." semantics. Both have ElementComposition; Model 2 adds elementName/percentage (reasonable). Model 1 more directly captures the four named phase fractions.
3. ExperimentPlanner &amp; HeatTreatmentProfile (name, quenching status, validated, processing steps): Model 1 = 2, Model 2 = 5; Evidence: Model 1 has HeatTreatmentProfile with name+quenchingStatus but MISSES validation status and processing steps entirely; no ProcessingStep class. Model 2 includes isValidated and a separate ProcessingStep class (stepOrder, targetTemperature, durationMinutes) with composition from HeatTreatmentProfile. Model 2 fully covers "validated before use" and "define processing steps".
4. PhaseDiagramCalculator (stable phases, equilibrium): Model 1 = 2, Model 2 = 4; Evidence: Model 1 has bare PhaseDiagramCalculator linked only to PhaseDistribution; no stable phases/equilibrium attributes and wrong association (calculator identifies stable phases, not linked to distribution). Model 2 has equilibriumState + stablePhases attributes. Neither clearly models "planning process relies on calculator to identify stable phases and check equilibrium" as an explicit planner→calculator link (Model 2 links calculator to HeatTreatmentProfile and MicrostructureAnalysis, partially capturing it).
5. ProcessController, ThermalAnalysisRun (applies profile), ThermalCycleSimulator (cooling rate, peak temp), SafetyProtocols (emergency stop, temp limits): Model 1 = 2, Model 2 = 4; Evidence: Model 1 has ProcessController→ThermalAnalysisRun, ThermalAnalysisRun→HeatTreatmentProfile and →SafetyProtocol, but NO ThermalCycleSimulator relationships at all (class exists but isolated) and no cooling rate/peak temperature attributes on run. Model 2 has ThermalCycleSimulator→ThermalAnalysisRun, ProcessController→ThermalCycleSimulator, ProcessController→SafetyProtocol, ThermalAnalysisRun with peakTemperature+coolingRate, SafetyProtocol with max/min temp limits + emergencyStop. Model 2 far more complete.
6. ResearchProject (PI, budget, design constraints) → ExperimentalDataset (integrity, filter, store outcomes): Model 1 = 2, Model 2 = 5; Evidence: Model 1 ResearchProject has only budget; MISSING principalInvestigator and association to DesignConstraint. ExperimentalDataset is bare (no integrity/filter/outcomes). Model 2 has principalInvestigator, budget, projectName, ResearchProject→DesignConstraint association, and ExperimentalDataset with dataIntegrityVerified, filterCriteria, resultsFiltered. Model 2 fully covers.
7. ExperimentalDataset → SpectroscopyData (wavelength, emission intensity, detect phases, elemental composition) + MicrostructureAnalysis: Model 1 = 3, Model 2 = 5; Evidence: Model 1 has ExperimentalDataset→SpectroscopyData and →MicrostructureAnalysis; SpectroscopyData has wavelength+emissionIntensity but MISSES "detect phases and analyze elemental composition" linkage (no link to PhaseDistribution/ElementComposition). MicrostructureAnalysis is bare. Model 2 has SpectroscopyData with detectedPhase, MicrostructureAnalysis with correlatedPhase+refinedFraction, and explicit MicrostructureAnalysis→MaterialSpecimen + →SpectroscopyData correlations matching "correlates specimen samples with spectroscopic data to refine phase distributions".
8. MicrostructureAnalysis uses PhaseDiagramCalculator as reference: Model 1 = 1, Model 2 = 5; Evidence: Model 1 has PhaseDiagramCalculator→PhaseDistribution only; no link to MicrostructureAnalysis at all. Model 2 has PhaseDiagramCalculator→MicrostructureAnalysis "references for analysis" explicitly.
9. StressTestRunner (destructive/non-destructive tensile) → PerformanceMetric (load, increment steps): Model 1 = 2, Model 2 = 5; Evidence: Model 1 has StressTestRunner→PerformanceMetric only; misses destructive/non-destructive distinction and tensile test semantics; PerformanceMetric has load+incrementSteps. Model 2 has StressTestRunner→StressTestRun (with TestType enum DESTRUCTIVE/NON_DESTRUCTIVE), MaterialSpecimen→StressTestRun "tested in", StressTestRun→PerformanceMetric. Captures "perform destructive or non-destructive tensile tests on specimens".
10. PerformanceMetric → OptimizationResult (convergence, recommended composition): Model 1 = 2, Model 2 = 4; Evidence: Model 1 has StressTestRunner→PerformanceMetric and OptimizationResult→ElementComposition, but NO link from PerformanceMetric to OptimizationResult. Model 2 has PerformanceMetric→OptimizationResult "feeds into" and OptimizationResult with convergenceTracked + recommendedComposition. Model 2 fully captures.
11. DesignConstraints &amp; RegulatoryStandards (limit values, effective dates) check compliance: Model 1 = 3, Model 2 = 4; Evidence: Model 1 has DesignConstraint with limitValue+effectiveDate and RegulatoryStandard bare, DesignConstraint—RegulatoryStandard association; but no compliance-checking mechanism against specimens. Model 2 has both DesignConstraint and RegulatoryStandard with limitValue+effectiveDate. Neither explicitly models the "check specimen compliance" action; Model 2 at least structures them properly.
12. ComplianceArchive → BatchRecord (primary phase, quality status, alloy batch, regulatory standards): Model 1 = 2, Model 2 = 5; Evidence: Model 1 has ComplianceArchive→AlloyBatch directly and NO BatchRecord class at all; entirely misses the BatchRecord concept (primary phase, quality status). Model 2 has ComplianceArchive→BatchRecord composition, BatchRecord with primaryPhase+qualityStatus, BatchRecord→AlloyBatch and →RegulatoryStandard. Fully matches requirement.
13. CostEstimator (raw material expenses based on composition): Model 1 = 2, Model 2 = 4; Evidence: Model 1 has CostEstimator as bare class with NO associations to AlloyBatch or ElementComposition. Model 2 has CostEstimator→AlloyBatch, →ElementComposition, →CostEstimation, and CostEstimation class. Captures "calculating raw material expenses based on composition" though introduces extra CostEstimation class (acceptable refinement).
14. SupplierNetwork (find vendors meeting design constraints): Model 1 = 1, Model 2 = 5; Evidence: Model 1 has bare SupplierNetwork with NO associations. Model 2 has SupplierNetwork→Supplier, SupplierNetwork→DesignConstraint, Supplier with meetsConstraints. Fully captures "finding vendors meeting design constraints".
15. QualityAssurance (certified inspectors approve batches): Model 1 = 1, Model 2 = 5; Evidence: Model 1 has bare QualityAssurance with NO associations and no inspector/batch-approval concept. Model 2 has QualityAssurance→QualityAssuranceReview, AlloyBatch→QualityAssuranceReview, QualityAssuranceReview with inspectorName+inspectorCertified+isApproved. Fully captures "certified inspectors approve batches".
16. ReportGenerator (compiles performance metrics + QA sources, various formats): Model 1 = 1, Model 2 = 5; Evidence: Model 1 has bare ReportGenerator with NO associations. Model 2 has ReportGenerator→SummaryReport (with ReportFormat enum PDF/CSV/JSON/HTML), ReportGenerator→PerformanceMetric, ReportGenerator→QualityAssuranceReview. Fully captures "compiles performance metrics and quality assurance sources into summary reports in various formats".
17. No hallucinations / strict alignment: Model 1 = 4, Model 2 = 3; Evidence: Model 1 is conservative (few extra additions) but at cost of completeness. Model 2 adds several classes (ProcessingStep, StressTestRun, CostEstimation, Supplier, QualityAssuranceReview, SummaryReport) and many enums not strictly named in requirement, but these are traceable refinements of stated concepts (processing steps, tensile test runs, cost estimation results, vendors, reviews, report formats). Per guidelines, transparent refinements of recognizable terms should not be penalized. Model 2's enums (ReportFormat "various formats", TestType "destructive or non-destructive", QualityStatus, PhaseType) are justified by requirement text.
Total: Model 1 = 38, Model 2 = 73
Choice: B
Reason:
1. Requirement coverage: Model 2 covers virtually every stated functionality (validation, processing steps, PI, integrity/filter, specimen-spectroscopy correlation, calculator reference, destructive/non-destructive tests, convergence+recommended composition, BatchRecord with primary phase &amp; quality status, vendor finding, certified inspector approval, report formats). Model 1 omits many: ProcessingStep, isValidated, principalInvestigator, dataset integrity/filter, MicrostructureAnalysis→calculator and →specimen/spectroscopy links, PerformanceMetric→OptimizationResult, BatchRecord entirely, CostEstimator/SupplierNetwork/QualityAssurance/ReportGenerator all as bare isolated classes.
2. Associations &amp; multiplicities: Model 2 provides labeled, typed associations with cardinalities matching the requirement (e.g., ComplianceArchive *-- BatchRecord, BatchRecord *--&gt; RegulatoryStandard, SupplierNetwork--&gt;Supplier meets constraints). Model 1 leaves four operational classes (CostEstimator, SupplierNetwork, QualityAssurance, ReportGenerator) with no relationships at all, making them semantically empty.
3. Rejected/checked issues: I did NOT penalize Model 1 for using int/float/String (forbidden), nor Model 2 for enum additions or abstractness. I did not reward Model 2 merely for being longer — its extra classes are traceable to requirement terms (processing steps, tensile test runs, vendors, report formats). I did not penalize Model 2's normalized PhaseDistribution (single fraction per phaseType) as a hallucination since it still represents phase fractions, though it loses the explicit four-fraction clarity, which is reflected in its lower score on criterion 2.
4. Overall judgment: Model 2 is substantially more complete and domain-faithful, modeling the operational, compliance, and reporting subsystems that Model 1 leaves as bare or missing. Model 2 wins decisively.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</si>
  <si>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</si>
  <si>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places most behavior in empty shells (e.g., ExperimentPlanner, ProcessController, OptimizationResult have no attributes) and adds a questionable direct `PhaseDiagramCalculator -- PhaseDistribution` link that bypasses the planning/analysis workflow. Model 2 separates concerns more cohesively (e.g., CostEstimator produces CostEstimation; StressTestRunner performs StressTestRun which owns PerformanceMetric; QualityAssurance conducts QualityAssuranceReview) while keeping dependencies navigable via explicit role labels, though it introduces a few helper classes (CostEstimation, SummaryReport) that mildly increase coupling.
2. Complexity: Model 1 = 2, Model 2 = 4; Evidence: Model 1 has ~25 classes but most are attribute-less and several key concepts are missing as classes (no BatchRecord, no ProcessingStep, no StressTestRun, no SummaryReport, no Supplier, no QualityAssuranceReview). This under-models the requirement ("Compliance Archive stores Batch Records", "processing steps", "tensile tests", "summary reports in various formats"). Model 2 has ~37 classes plus 6 enums; extras like ProcessingStep, StressTestRun, BatchRecord, SummaryReport, CostEstimation, Supplier, QualityAssuranceReview are traceable to explicit requirement sentences, keeping complexity justified and balanced.
3. Practicability: Model 1 = 2, Model 2 = 5; Evidence: Model 1 omits many required attributes/behaviors: MaterialSpecimen lacks grainStructure/defectAnnotation; ResearchProject lacks principalInvestigator; HeatTreatmentProfile lacks isValidated and ProcessingStep; ExperimentalDataset lacks integrity/filter fields; ThermalAnalysisRun lacks coolingRate/peakTemperature; PhaseDiagramCalculator lacks equilibriumState/stablePhases; no BatchRecord/SummaryReport/report formats; ComplianceArchive--AlloyBatch misses the regulatory-standard linkage. Model 2 covers these: specimen has grainStructure/defectAnnotation; project has principalInvestigator; profile has isValidated + ProcessingStep composition; dataset has dataIntegrityVerified/filterCriteria/resultsFiltered; run has coolingRate/peakTemperature/RunState; BatchRecord links RegulatoryStandard and AlloyBatch with primaryPhase/qualityStatus; ReportGenerator compiles SummaryReport with ReportFormat enum referencing PerformanceMetric and QualityAssuranceReview—enabling clear implementation and testing.
Total: Model 1 = 7, Model 2 = 13
Choice: B
Reason:
1. Cohesion and Decoupling: Model 2 separates coarse services into value/record objects (CostEstimation, StressTestRun, QualityAssuranceReview, SummaryReport) yielding higher cohesion; Model 1 leaves services as empty shells with sparse, sometimes misdirected links.
2. Complexity: Model 1 under-models the domain (missing BatchRecord, ProcessingStep, StressTestRun, SummaryReport, Supplier) while Model 2 adds only requirement-traceable classes/enums, so its higher class count is justified rather than bloated.
3. Rejected or checked issues: I did not penalize Model 1 for using primitive `float`/`int`/`String` (forbidden), nor for `*` vs `0..*` (forbidden), nor reward Model 2 merely for extra IDs/timestamps; Model 2's advantage comes from coverage of stated facts (BatchRecord fields, report formats, validation flag, cooling rate, equilibrium state, principal investigator), not from incidental identifiers.
4. Overall judgment: Model 2 substantially better aligns with the requirement across all three criteria—completeness of classes, attributes, and associations—whereas Model 1 omits several hard requirement components (BatchRecord, ProcessingStep, SummaryReport formats, grain/defect specimen analysis fields, compliance regulatory linkage), making it materially less faithful and less implementable.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</si>
  <si>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</si>
  <si>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omits several required concept classes: ProcessingStep (profile "define processing steps"), BatchRecord (ComplianceArchive stores Batch Records), StressTestRun (separate from runner), SummaryReport, Supplier, QualityAssuranceReview/inspector approval, CostEstimation, PhaseDiagramCalculator's stable phases/equilibrium role is only a hollow class, RegulatoryStandard lacks limitValue/effectiveDate. Model 2 introduces all of these: ProcessingStep, BatchRecord, StressTestRun, SummaryReport, Supplier, QualityAssuranceReview, CostEstimation, plus enums for SurfaceFinish, PhaseType, TestType, QualityStatus, RunState, ReportFormat that map directly to requirement terminology.
2. Associations/Multiplicities between classes for domain reasoning: Model 1 = 2, Model 2 = 5; Evidence: Model 1 is missing many critical relationships: Specimen→analysis (current phase/grain/defects), PhaseDiagramCalculator→HeatTreatmentProfile planning reference and equilibrium checks, ThermalCycleSimulator modeling cooling rates/peak temps, MicrostructureAnalysis correlating specimen AND spectroscopy, StressTestRunner→Specimen, OptimizationResult fed by PerformanceMetric and recommending composition, ComplianceArchive→RegulatoryStandard, CostEstimator→composition, SupplierNetwork→DesignConstraint, QualityAssurance inspector approval of batches, ReportGenerator→PerformanceMetric/QA sources. Many lines have no multiplicities. Model 2 captures all of these with explicit multiplicities and role labels (e.g., PerformanceMetric "*→1" OptimizationResult; MicrostructureAnalysis "*→1" MaterialSpecimen and "*→1" SpectroscopyData; BatchRecord "*→1..*" RegulatoryStandard; ReportGenerator "*→*" PerformanceMetric and QualityAssuranceReview).
3. Model attributes with appropriate data types: Model 1 = 2, Model 2 = 5; Evidence: Model 1 leaves most classes as empty shells (ExperimentPlanner, PhaseDiagramCalculator, ProcessController, ThermalAnalysisRun, ExperimentalDataset, MicrostructureAnalysis, StressTestRunner, OptimizationResult, RegulatoryStandard, ComplianceArchive, CostEstimator, SupplierNetwork, QualityAssurance, ReportGenerator all have no attributes). Even SafetyProtocol only has emergencyStop/temperatureLimits. Model 2 provides attributes for every class with proper types: ResearchProject.principalInvestigator:String/budget:double; HeatTreatmentProfile.isValidated:boolean; ExperimentalDataset.dataIntegrityVerified/filterCriteria/resultsFiltered; ThermalAnalysisRun.peakTemperature/coolingRate/currentState:RunState; OptimizationResult.convergenceTracked/iterationCount/recommendedComposition; BatchRecord.primaryPhase:PhaseType/qualityStatus:QualityStatus; QualityAssuranceReview.inspectorCertified/isApproved.
4. Consistencies of Terminology with given context: Model 1 = 3, Model 2 = 5; Evidence: Model 1 uses mostly correct terms but drops key terms like BatchRecord, ProcessingStep, principal investigator, equilibrium states, peak temperatures, cooling rates, destructive/non-destructive, convergence, inspector certification, formats. Model 2 retains nearly all requirement vocabulary including "principalInvestigator", "equilibriumState", "stablePhases", "coolingRate", "peakTemperature", "TestType DESTRUCTIVE/NON_DESTRUCTIVE", "convergenceTracked", "inspectorCertified", "ReportFormat", "SummaryReport", "BatchRecord".
5. Adherence of UML class diagram standards: Model 1 = 4, Model 2 = 5; Evidence: Model 1 uses valid PlantUML with classes and associations but lacks multiplicities on most lines and uses untyped associations broadly. Model 2 uses enums, composition (*--), directed associations (--&gt;), role labels, and consistent multiplicities throughout, fully adhering to UML/PlantUML conventions.
Total: Model 1 = 14, Model 2 = 25
Choice: B
Reason:
1. Appropriate conceptual classes: Model 2 covers ProcessingStep, BatchRecord, StressTestRun, SummaryReport, Supplier, QualityAssuranceReview, CostEstimation that Model 1 entirely omits, aligning with explicit requirement facts.
2. Associations/Multiplicities: Model 2 models the critical workflow links (MicrostructureAnalysis→Specimen &amp; SpectroscopyData; PerformanceMetric→OptimizationResult; BatchRecord→RegulatoryStandard; ReportGenerator→PerformanceMetric/QA) with multiplicities, while Model 1 leaves most relationships missing or unquantified.
3. Attributes: Model 1's many hollow classes fail to capture stated attributes (principal investigator, equilibrium state, cooling rate, peak temperature, convergence, inspector certification); Model 2 populates all classes with typed attributes.
4. Terminology: Model 2 preserves requirement vocabulary faithfully; Model 1 drops numerous domain-specific terms.
5. UML standards: Both are valid PlantUML, but Model 2's use of enums, composition, directed associations, role labels, and complete multiplicities is more rigorous.
Rejected or checked issues: Did not penalize Model 1 for using int/float/boolean or for bidirectional-vs-unidirectional style; did not reward Model 2 merely for extra IDs/timestamps. Model 2's additional implementation-oriented fields (currency, strainValue) were not used as positive evidence. Model 2's richer enums were credited only where they map to requirement terms (PhaseType, TestType, QualityStatus, ReportFormat).
Overall judgment: Model 2 is substantially more complete and domain-faithful across every criterion, especially in classes, associations, and attributes, whereas Model 1 presents a skeletal diagram missing many required concepts and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</si>
  <si>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</si>
  <si>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(all functionalities covered without hallucination): Model 1 = 2, Model 2 = 5; Evidence: M1 declares many classes but leaves them disconnected: CostEstimator, SupplierNetwork, QualityAssurance, and ReportGenerator have no relationships at all. BatchRecord is entirely missing (requirement: "A Compliance Archive stores Batch Records...each record documents the primary phase, quality status, and the associated alloy batch"). ThermalCycleSimulator is declared but never connected and lacks cooling rate/peak temperature attributes. StressTestRunner is not linked to MaterialSpecimen (requirement: "tensile tests on specimens"). OptimizationResult is not linked to PerformanceMetric (requirement: "These metrics feed into Optimization Results"). ResearchProject lacks principalInvestigator and its association to DesignConstraint. MicrostructureAnalysis only connects to ExperimentalDataset, missing the key correlations to MaterialSpecimen, SpectroscopyData, and PhaseDiagramCalculator. HeatTreatmentProfile lacks processingSteps and validation. M2 covers all of these: BatchRecord with primaryPhase/qualityStatus linked to AlloyBatch and RegulatoryStandard; all operational classes connected with appropriate relationships; ThermalCycleSimulator has coolingRate and peakTemperature; MicrostructureAnalysis correlates with specimen, spectroscopy data, and PhaseDiagramCalculator.
2. Conceptual classes and relationships (associations, cardinalities, relationship types): Model 1 = 2, Model 2 = 5; Evidence: M1 uses simple `--` associations throughout with few cardinalities (e.g., `MaterialSpecimen -- ElementComposition` has no multiplicity). It models `DesignConstraint -- RegulatoryStandard` which is not explicitly required. PhaseDiagramCalculator is connected to PhaseDistribution instead of being used by ExperimentPlanner or MicrostructureAnalysis. M2 uses appropriate relationship types: composition (`*--`) for containment (AlloyBatch *-- MaterialSpecimen, ComplianceArchive *-- BatchRecord), dependency (`..&gt;`) for "generates/utilizes/references" semantics, and directional associations (`--&gt;`) with role labels and cardinalities. BatchRecord `0..* --&gt; 1` AlloyBatch and `0..* --&gt; 1` RegulatoryStandard accurately captures "linking regulatory standards to specific batches." M2 also captures ResearchProject `1 --&gt; 0..* DesignConstraint` (requirement: "associated design constraints").
3. Clarity in class names and optional inclusion of attributes: Model 1 = 3, Model 2 = 5; Evidence: M1 class names match the requirement but many classes are empty (ThermalCycleSimulator, ProcessController, ExperimentalDataset, RegulatoryStandard, CostEstimator, SupplierNetwork, QualityAssurance, ReportGenerator, OptimizationResult, BatchRecord missing). ResearchProject only has budget (missing principalInvestigator). HeatTreatmentProfile missing processingSteps and isValidated. M2 populates attributes and methods derived directly from requirement text: HeatTreatmentProfile has processingSteps:List and isValidated:Boolean (requirement: "define processing steps and are validated before use"); ExperimentalDataset has integrityVerified:Boolean and filterResults() (requirement: "verify data integrity, filter results"); StressTestRunner has testType:String (requirement: "destructive or non-destructive"); QualityAssurance has isCertified:Boolean (requirement: "certified inspectors"); ReportGenerator has format:String (requirement: "various formats"). These are traceable derivations, not hallucinations.
Total: Model 1 = 7, Model 2 = 15
Choice: B
Reason:
1. Alignment with requirement: M1 leaves at least 8 declared classes disconnected from the rest of the diagram and entirely omits BatchRecord, which is an explicitly named concept in the requirement. M2 connects every class with semantically appropriate relationships that trace directly to requirement sentences.
2. Classes and relationships: M2 uses composition for containment relationships (AlloyBatch contains MaterialSpecimens, ComplianceArchive stores BatchRecords), dependency arrows for "generates/utilizes/references" semantics, and labeled directional associations with correct cardinalities. M1 uses undifferentiated `--` associations with minimal cardinality annotations and several incorrect or unsupported connections (PhaseDiagramCalculator -- PhaseDistribution, DesignConstraint -- RegulatoryStandard).
3. Rejected or checked issues: M1's use of `float` vs M2's `Float` and `*` vs `0..*` are forbidden penalties and were not counted against M1. M2's use of methods (e.g., generateProfile(), identifyStablePhases()) was checked but determined to be traceable derivations from requirement verbs, not hallucinations. M2's DesignConstraint missing effectiveDate was noted but the requirement groups "limit values and effective dates" collectively across both Design Constraints and Regulatory Standards, and M2 places both on RegulatoryStandard, making this a minor gap not affecting the outcome.
4. Overall judgment: Model 2 is substantially better. It covers all requirement-specified components with appropriate relationships, cardinalities, and attributes, while Model 1 presents a skeleton with numerous disconnected classes and a critical missing concept (BatchRecord), failing to represent the functional flow described in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</si>
  <si>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</si>
  <si>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leaves most classes as empty shells (e.g., ExperimentPlanner, ProcessController, ThermalAnalysisRun, OptimizationResult have no attributes/methods) and uses undifferentiated `--` associations everywhere, blurring ownership vs. usage (e.g., `DesignConstraint -- RegulatoryStandard`, `ComplianceArchive -- AlloyBatch`, `OptimizationResult -- ElementComposition`). Model 2 assigns distinct responsibilities via methods (e.g., `ExperimentPlanner.generateProfile()`, `PhaseDiagramCalculator.identifyStablePhases()/checkEquilibrium()`, `MicrostructureAnalysis.correlateData()/refinePhases()`) and separates composition (`*--`, e.g., `ResearchProject *-- ExperimentalDataset`) from dependency (`..&gt;`, e.g., `CostEstimator ..&gt; ElementComposition`), yielding clearer ownership/usage boundaries and lower coupling between unrelated actors.
2. Complexity: Model 1 = 2, Model 2 = 4; Evidence: Model 1 collapses or omits many required concepts — no `BatchRecord` class, no `principalInvestigator`, no `processingSteps`/`isValidated` on HeatTreatmentProfile, no `convergence` on OptimizationResult, no `testType` on StressTestRunner, and merges `limitValue`/`effectiveDate` only into DesignConstraint while leaving RegulatoryStandard empty. Model 2 adds the `BatchRecord` class and distributes attributes faithfully (`ResearchProject.principalInvestigator`, `HeatTreatmentProfile.processingSteps/isValidated`, `OptimizationResult.convergence`, `StressTestRunner.testType`), with complexity matching the requirement without excessive inflation.
3. Practicability: Model 1 = 2, Model 2 = 5; Evidence: Model 1 misses multiple required relationships: no link from HeatTreatmentProfile to PhaseDiagramCalculator for validation, no `MicrostructureAnalysis`↔`SpectroscopyData`/`MaterialSpecimen`/`PhaseDiagramCalculator` correlations (it only links `ExperimentalDataset -- MicrostructureAnalysis`), no StressTestRunner→MaterialSpecimen, no CostEstimator→ElementComposition, no SupplierNetwork→DesignConstraint, no ReportGenerator→PerformanceMetric/QualityAssurance, no QualityAssurance→AlloyBatch. Model 2 explicitly models all of these with role labels (`MicrostructureAnalysis ..&gt; MaterialSpecimen/SpectroscopyData/PhaseDiagramCalculator`, `StressTestRunner ..&gt; MaterialSpecimen`, `ReportGenerator ..&gt; PerformanceMetric/QualityAssurance`, `QualityAssurance ..&gt; AlloyBatch`, `SupplierNetwork ..&gt; DesignConstraint`), and represents the ComplianceArchive/BatchRecord/RegulatoryStandard/Batch linkage correctly. Model 2 is far more complete, readable, and testable.
Total: Model 1 = 6, Model 2 = 13
Choice: B
Reason:
1. Cohesion and Decoupling: Model 2 gives each class a focused responsibility (methods + attributes) and distinguishes composition from dependency, whereas Model 1 uses generic `--` links and empty classes that obscure responsibility boundaries.
2. Complexity: Model 2's extra `BatchRecord` class and fuller attribute set trace directly to requirement facts (compliance records with primary phase/quality status, principal investigator, processing steps, convergence); Model 1 omits these, under-modeling the domain.
3. Rejected or checked issues: I did not penalize Model 1 for using `float`/`int`/`String` (primitive aliases are allowed) or for bidirectional-style `--` lines (forbidden penalty). I also did not reward Model 2 merely for having more methods — the methods correspond to stated requirement verbs (generate, validate, manage, correlate, refine, approve, compile).
4. Overall judgment: Model 2 is substantially more complete and domain-faithful, covering validation, microstructure correlations, compliance records, cost/supplier/QA/reporting linkages that Model 1 omits entirely, making it clearly better on all three criteria.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</si>
  <si>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</si>
  <si>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Both models capture the core classes (AlloyBatch, MaterialSpecimen, HeatTreatmentProfile, PhaseDiagramCalculator, ThermalAnalysisRun, etc.). Model 1 omits the explicitly required BatchRecord class ("Compliance Archive stores Batch Records... each record documents the primary phase, quality status, and the associated alloy batch"), instead linking ComplianceArchive directly to AlloyBatch. Model 2 includes BatchRecord with primaryPhase and qualityStatus attributes, fully covering the requirement.
2. Associations/Multiplicities between classes for domain reasoning: Model 1 = 2, Model 2 = 5; Evidence: Model 1 is missing many critical relationships: ThermalAnalysisRun--ThermalCycleSimulator, MicrostructureAnalysis correlations with MaterialSpecimen/SpectroscopyData/PhaseDiagramCalculator, StressTestRunner--MaterialSpecimen, OptimizationResult--PerformanceMetric, ResearchProject--DesignConstraint, CostEstimator, SupplierNetwork--DesignConstraint, QualityAssurance--AlloyBatch, ReportGenerator sources, and BatchRecord linking regulatory standards to batches. Model 2 captures all of these with proper multiplicities and role labels (e.g., "MicrostructureAnalysis ..&gt; MaterialSpecimen : correlates", "BatchRecord 0..* --&gt; 1 RegulatoryStandard", "ReportGenerator ..&gt; QualityAssurance : compiles").
3. Model attributes with appropriate data types: Model 1 = 2, Model 2 = 4; Evidence: Model 1 leaves many classes attribute-less: ElementComposition, PhaseDiagramCalculator, ThermalCycleSimulator (should model coolingRate/peakTemperature), OptimizationResult (should track convergence), QualityAssurance (should have certified inspector), ReportGenerator (should have formats), ResearchProject (missing principalInvestigator), HeatTreatmentProfile (missing processingSteps/isValidated), RegulatoryStandard (missing limitValue/effectiveDate). Model 2 populates nearly all with appropriate types (ThermalCycleSimulator: coolingRate/peakTemperature; OptimizationResult: convergence; QualityAssurance: inspector/isCertified; ReportGenerator: format). Minor issue: DesignConstraint in Model 2 omits effectiveDate though the requirement implies both Design Constraints and Regulatory Standards specify limit values and effective dates.
4. Consistencies of Terminology with given context: Model 1 = 4, Model 2 = 5; Evidence: Model 1 uses consistent terminology (AlloyBatch, MaterialSpecimen, PhaseDistribution, SpectroscopyData) but lacks terms like BatchRecord, principalInvestigator, processingSteps. Model 2 aligns fully with requirement terminology including BatchRecord, principalInvestigator, processingSteps, isValidated, integrityVerified, convergence, format.
5. Adherence of UML class diagram standards: Model 1 = 4, Model 2 = 5; Evidence: Model 1 uses valid PlantUML but many associations lack direction, role labels, or multiplicities (bare "--"), making some relationships semantically vague (e.g., "MaterialSpecimen -- ElementComposition", "DesignConstraint -- RegulatoryStandard"). Model 2 uses proper composition (*--), directed associations (--&gt;), dependencies (..&gt;) with role labels, and consistent multiplicities throughout, fully adhering to UML/PlantUML conventions.
Total: Model 1 = 16, Model 2 = 24
Choice: B
Reason:
1. Appropriate conceptual classes: Model 2 includes the explicitly required BatchRecord class that Model 1 entirely omits; otherwise both identify the same core domain classes.
2. Associations/Multiplicities: Model 2 models the full relationship web required by the domain (MicrostructureAnalysis correlations, StressTestRunner testing specimens, OptimizationResult fed by PerformanceMetric, ComplianceArchive storing BatchRecords linking regulatory standards to batches, CostEstimator/SupplierNetwork/QA/ReportGenerator dependencies), whereas Model 1 omits the majority of these critical associations.
3. Model attributes: Model 2 populates attributes for ThermalCycleSimulator, OptimizationResult, QualityAssurance, ReportGenerator, ResearchProject, HeatTreatmentProfile, and others that Model 1 leaves empty, giving far better domain coverage with appropriate data types.
4. Terminology: Model 2 uses requirement-precise terms (BatchRecord, principalInvestigator, processingSteps, convergence, integrityVerified) that Model 1 lacks.
5. UML standards: Both are valid PlantUML, but Model 2 uses directed/composition/dependency notation with role labels and multiplicities consistently, while Model 1 leaves many associations as bare undirected lines.
Rejected or checked issues: Model 2 places effectiveDate only on RegulatoryStandard and limitValue on both DesignConstraint and RegulatoryStandard; the requirement states both "specify limit values and effective dates," so this is a minor modeling choice, not a contradiction—insufficient to materially lower the score. Model 2's use of methods (generateProfile(), manageRun()) is implementation-oriented detail not rewarded per guidelines, but it does not harm domain coverage. Model 1's two-direction-independent style was not penalized under forbidden penalties; the missing relationships are genuine omissions.
Overall judgment: Model 2 is substantially more complete and accurate across all five criteria, with full class coverage, comprehensive associations, populated attributes, consistent terminology, and proper UML notation. Model 1's omissions (BatchRecord class, most operational relationships, and many attributes) make it significantly weaker.
```</t>
  </si>
  <si>
    <t>基础模型</t>
  </si>
  <si>
    <t>范式</t>
  </si>
  <si>
    <t>方向</t>
  </si>
  <si>
    <t>候选对</t>
  </si>
  <si>
    <t>Judge最终结果</t>
  </si>
  <si>
    <t>人工最终结果</t>
  </si>
  <si>
    <t>有效(1/0)</t>
  </si>
  <si>
    <t>一致(1/0)</t>
  </si>
  <si>
    <t>GLM-5.2</t>
  </si>
  <si>
    <t>OpenCode</t>
  </si>
  <si>
    <t>GLM-5.2 OpenCode Judge 与人工结果一致性分析</t>
  </si>
  <si>
    <t>人工基准为三人多数表决。Judge使用位置映射后的“实际结果”。C_m,h=一致数/N有效；κ按A/B/C/D(平局)四分类计算。</t>
  </si>
  <si>
    <t>表1  全部指标判断与人工的一致性</t>
  </si>
  <si>
    <t>N有效</t>
  </si>
  <si>
    <t>一致数</t>
  </si>
  <si>
    <t>一致率</t>
  </si>
  <si>
    <t>随机一致率Pe</t>
  </si>
  <si>
    <t>Cohen's κ</t>
  </si>
  <si>
    <t>合并</t>
  </si>
  <si>
    <t>表2  各指标与人工的一致性</t>
  </si>
  <si>
    <t>指标</t>
  </si>
  <si>
    <t>C_m,h</t>
  </si>
  <si>
    <t>表3  三指标多数表决的 Judge 最终结果与人工的一致性</t>
  </si>
  <si>
    <t>总候选对</t>
  </si>
  <si>
    <t>一致率（一致数/N有效）</t>
  </si>
  <si>
    <t>一致率（一致数/all）</t>
  </si>
  <si>
    <t>注：三指标多数表决中，三项结果各不相同时记为“无多数”并从N有效中排除；一致数/all把无多数视为未达成人工一致。合并行汇总两个方向。</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</si>
</sst>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26">
    <font>
      <sz val="11"/>
      <color theme="1"/>
      <name val="DengXian"/>
      <charset val="134"/>
    </font>
    <font>
      <b/>
      <sz val="16"/>
      <color rgb="FFFFFFFF"/>
      <name val="DengXian"/>
      <charset val="134"/>
    </font>
    <font>
      <b/>
      <sz val="11"/>
      <color rgb="FF17365D"/>
      <name val="DengXian"/>
      <charset val="134"/>
    </font>
    <font>
      <b/>
      <sz val="11"/>
      <color rgb="FFFFFFFF"/>
      <name val="DengXian"/>
      <charset val="134"/>
    </font>
    <font>
      <sz val="10"/>
      <name val="Calibri"/>
      <charset val="134"/>
    </font>
    <font>
      <sz val="10"/>
      <name val="宋体-简"/>
      <charset val="134"/>
    </font>
    <font>
      <sz val="11"/>
      <color theme="1"/>
      <name val="宋体"/>
      <charset val="134"/>
    </font>
    <font>
      <sz val="11"/>
      <color rgb="FF0000FF"/>
      <name val="宋体"/>
      <charset val="134"/>
    </font>
    <font>
      <sz val="11"/>
      <color rgb="FF800080"/>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b/>
      <sz val="11"/>
      <color theme="1"/>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
      <sz val="11"/>
      <color theme="1"/>
      <name val="宋体-简"/>
      <charset val="134"/>
    </font>
  </fonts>
  <fills count="38">
    <fill>
      <patternFill patternType="none"/>
    </fill>
    <fill>
      <patternFill patternType="gray125"/>
    </fill>
    <fill>
      <patternFill patternType="solid">
        <fgColor rgb="FF17365D"/>
        <bgColor indexed="64"/>
      </patternFill>
    </fill>
    <fill>
      <patternFill patternType="solid">
        <fgColor rgb="FFD9EAF7"/>
        <bgColor indexed="64"/>
      </patternFill>
    </fill>
    <fill>
      <patternFill patternType="solid">
        <fgColor rgb="FF4472C4"/>
        <bgColor indexed="64"/>
      </patternFill>
    </fill>
    <fill>
      <patternFill patternType="solid">
        <fgColor rgb="FFFFF2CC"/>
        <bgColor indexed="64"/>
      </patternFill>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7"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8" borderId="4" applyNumberFormat="0" applyAlignment="0" applyProtection="0">
      <alignment vertical="center"/>
    </xf>
    <xf numFmtId="0" fontId="16" fillId="9" borderId="5" applyNumberFormat="0" applyAlignment="0" applyProtection="0">
      <alignment vertical="center"/>
    </xf>
    <xf numFmtId="0" fontId="17" fillId="9" borderId="4" applyNumberFormat="0" applyAlignment="0" applyProtection="0">
      <alignment vertical="center"/>
    </xf>
    <xf numFmtId="0" fontId="18" fillId="10"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6" fillId="15" borderId="0" applyNumberFormat="0" applyBorder="0" applyAlignment="0" applyProtection="0">
      <alignment vertical="center"/>
    </xf>
    <xf numFmtId="0" fontId="6"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6" fillId="19" borderId="0" applyNumberFormat="0" applyBorder="0" applyAlignment="0" applyProtection="0">
      <alignment vertical="center"/>
    </xf>
    <xf numFmtId="0" fontId="6"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6" fillId="27" borderId="0" applyNumberFormat="0" applyBorder="0" applyAlignment="0" applyProtection="0">
      <alignment vertical="center"/>
    </xf>
    <xf numFmtId="0" fontId="6"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6" fillId="31" borderId="0" applyNumberFormat="0" applyBorder="0" applyAlignment="0" applyProtection="0">
      <alignment vertical="center"/>
    </xf>
    <xf numFmtId="0" fontId="6"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6" fillId="35" borderId="0" applyNumberFormat="0" applyBorder="0" applyAlignment="0" applyProtection="0">
      <alignment vertical="center"/>
    </xf>
    <xf numFmtId="0" fontId="6" fillId="36" borderId="0" applyNumberFormat="0" applyBorder="0" applyAlignment="0" applyProtection="0">
      <alignment vertical="center"/>
    </xf>
    <xf numFmtId="0" fontId="24" fillId="37" borderId="0" applyNumberFormat="0" applyBorder="0" applyAlignment="0" applyProtection="0">
      <alignment vertical="center"/>
    </xf>
  </cellStyleXfs>
  <cellXfs count="16">
    <xf numFmtId="0" fontId="0" fillId="0" borderId="0" xfId="0"/>
    <xf numFmtId="0" fontId="1" fillId="2" borderId="0" xfId="0" applyNumberFormat="1" applyFont="1" applyFill="1" applyBorder="1" applyAlignment="1">
      <alignment horizontal="center"/>
    </xf>
    <xf numFmtId="0" fontId="0" fillId="3" borderId="0" xfId="0" applyNumberFormat="1" applyFont="1" applyFill="1" applyBorder="1" applyAlignment="1">
      <alignment wrapText="1"/>
    </xf>
    <xf numFmtId="0" fontId="2" fillId="0" borderId="0" xfId="0" applyNumberFormat="1" applyFont="1" applyFill="1" applyBorder="1"/>
    <xf numFmtId="0" fontId="3" fillId="4" borderId="0" xfId="0" applyNumberFormat="1" applyFont="1" applyFill="1" applyBorder="1" applyAlignment="1">
      <alignment horizontal="center" wrapText="1"/>
    </xf>
    <xf numFmtId="10" fontId="0" fillId="0" borderId="0" xfId="0" applyNumberFormat="1" applyFont="1" applyFill="1" applyBorder="1"/>
    <xf numFmtId="176" fontId="0" fillId="0" borderId="0" xfId="0" applyNumberFormat="1" applyFont="1" applyFill="1" applyBorder="1"/>
    <xf numFmtId="0" fontId="0" fillId="5" borderId="0" xfId="0" applyNumberFormat="1" applyFont="1" applyFill="1" applyBorder="1" applyAlignment="1">
      <alignment wrapText="1"/>
    </xf>
    <xf numFmtId="0" fontId="3" fillId="6" borderId="0" xfId="0" applyNumberFormat="1" applyFont="1" applyFill="1" applyBorder="1" applyAlignment="1">
      <alignment horizontal="center"/>
    </xf>
    <xf numFmtId="0" fontId="0" fillId="0" borderId="0" xfId="0" applyNumberFormat="1" applyFont="1" applyFill="1"/>
    <xf numFmtId="0" fontId="4" fillId="0" borderId="0" xfId="0" applyFont="1" applyAlignment="1">
      <alignment vertical="center"/>
    </xf>
    <xf numFmtId="0" fontId="5" fillId="0" borderId="0" xfId="0" applyFont="1" applyAlignment="1">
      <alignment vertical="center"/>
    </xf>
    <xf numFmtId="0" fontId="0" fillId="0" borderId="0" xfId="0" applyNumberFormat="1" applyFont="1" applyFill="1" applyBorder="1" applyAlignment="1"/>
    <xf numFmtId="0" fontId="0" fillId="0" borderId="0" xfId="0" applyNumberFormat="1" applyFont="1" applyFill="1" applyBorder="1" applyAlignment="1">
      <alignment wrapText="1"/>
    </xf>
    <xf numFmtId="0" fontId="0" fillId="0" borderId="0" xfId="0" applyAlignment="1">
      <alignment wrapText="1"/>
    </xf>
    <xf numFmtId="0" fontId="6" fillId="0"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0">
    <dxf>
      <font>
        <color rgb="FF375623"/>
      </font>
      <fill>
        <patternFill patternType="solid">
          <bgColor rgb="FFE2F0D9"/>
        </patternFill>
      </fill>
    </dxf>
    <dxf>
      <font>
        <color rgb="FF9C0006"/>
      </font>
      <fill>
        <patternFill patternType="solid">
          <bgColor rgb="FFFCE4D6"/>
        </patternFill>
      </fill>
    </dxf>
    <dxf>
      <font>
        <color rgb="FF9C6500"/>
      </font>
      <fill>
        <patternFill patternType="solid">
          <bgColor rgb="FFFFF2C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17"/>
  <sheetViews>
    <sheetView tabSelected="1" workbookViewId="0">
      <selection activeCell="I9" sqref="I9"/>
    </sheetView>
  </sheetViews>
  <sheetFormatPr defaultColWidth="9.64601769911504" defaultRowHeight="13.85"/>
  <cols>
    <col min="1" max="1" width="29.8938053097345" customWidth="1"/>
    <col min="2" max="2" width="13.0884955752212" customWidth="1"/>
    <col min="3" max="3" width="7.10619469026549" customWidth="1"/>
    <col min="4" max="4" width="10.5663716814159" customWidth="1"/>
    <col min="5" max="5" width="4.10619469026549" customWidth="1"/>
    <col min="6" max="6" width="6.69026548672566" customWidth="1"/>
    <col min="7" max="8" width="9.56637168141593" customWidth="1"/>
    <col min="9" max="9" width="11.1061946902655" customWidth="1"/>
    <col min="10" max="11" width="6.56637168141593" customWidth="1"/>
    <col min="12" max="12" width="5" customWidth="1"/>
  </cols>
  <sheetData>
    <row r="1" ht="13" customHeight="1" spans="1:13">
      <c r="A1" s="10" t="s">
        <v>0</v>
      </c>
      <c r="B1" s="10" t="s">
        <v>1</v>
      </c>
      <c r="C1" s="10" t="s">
        <v>2</v>
      </c>
      <c r="D1" s="10" t="s">
        <v>3</v>
      </c>
      <c r="E1" s="10" t="s">
        <v>4</v>
      </c>
      <c r="F1" s="11" t="s">
        <v>5</v>
      </c>
      <c r="G1" s="10" t="s">
        <v>6</v>
      </c>
      <c r="H1" s="10" t="s">
        <v>7</v>
      </c>
      <c r="I1" s="11" t="s">
        <v>8</v>
      </c>
      <c r="J1" s="10" t="s">
        <v>9</v>
      </c>
      <c r="K1" s="10" t="s">
        <v>10</v>
      </c>
      <c r="L1" s="10" t="s">
        <v>11</v>
      </c>
      <c r="M1" t="s">
        <v>12</v>
      </c>
    </row>
    <row r="2" ht="18" customHeight="1" spans="1:13">
      <c r="A2" t="s">
        <v>13</v>
      </c>
      <c r="B2" s="12" t="s">
        <v>14</v>
      </c>
      <c r="C2" t="s">
        <v>15</v>
      </c>
      <c r="D2" t="s">
        <v>16</v>
      </c>
      <c r="E2" t="s">
        <v>17</v>
      </c>
      <c r="F2" s="12" t="s">
        <v>18</v>
      </c>
      <c r="G2" t="s">
        <v>19</v>
      </c>
      <c r="H2" t="s">
        <v>20</v>
      </c>
      <c r="I2" t="s">
        <v>21</v>
      </c>
      <c r="J2" t="s">
        <v>22</v>
      </c>
      <c r="K2" t="str">
        <f t="shared" ref="K2:K65" si="0">IF(OR(J2="",C2="",E2=""),"",IF(J2="C","D(平局)",IF(J2=IF(E2="l2r","A","B"),LEFT(C2,1),RIGHT(C2,1))))</f>
        <v>D(平局)</v>
      </c>
      <c r="L2" t="s">
        <v>23</v>
      </c>
      <c r="M2">
        <f t="shared" ref="M2:M65" si="1">IF(OR(K2="",L2=""),"",--(K2=L2))</f>
        <v>1</v>
      </c>
    </row>
    <row r="3" ht="18" customHeight="1" spans="1:13">
      <c r="A3" t="s">
        <v>13</v>
      </c>
      <c r="B3" s="12" t="s">
        <v>14</v>
      </c>
      <c r="C3" t="s">
        <v>15</v>
      </c>
      <c r="D3" t="s">
        <v>24</v>
      </c>
      <c r="E3" t="s">
        <v>17</v>
      </c>
      <c r="F3" s="12" t="s">
        <v>25</v>
      </c>
      <c r="G3" t="s">
        <v>19</v>
      </c>
      <c r="H3" t="s">
        <v>20</v>
      </c>
      <c r="I3" t="s">
        <v>26</v>
      </c>
      <c r="J3" t="s">
        <v>27</v>
      </c>
      <c r="K3" t="str">
        <f t="shared" si="0"/>
        <v>B</v>
      </c>
      <c r="L3" t="s">
        <v>23</v>
      </c>
      <c r="M3">
        <f t="shared" si="1"/>
        <v>0</v>
      </c>
    </row>
    <row r="4" ht="18" customHeight="1" spans="1:13">
      <c r="A4" t="s">
        <v>13</v>
      </c>
      <c r="B4" s="12" t="s">
        <v>14</v>
      </c>
      <c r="C4" t="s">
        <v>15</v>
      </c>
      <c r="D4" t="s">
        <v>28</v>
      </c>
      <c r="E4" t="s">
        <v>17</v>
      </c>
      <c r="F4" s="12" t="s">
        <v>29</v>
      </c>
      <c r="G4" t="s">
        <v>19</v>
      </c>
      <c r="H4" t="s">
        <v>20</v>
      </c>
      <c r="I4" t="s">
        <v>30</v>
      </c>
      <c r="J4" t="s">
        <v>27</v>
      </c>
      <c r="K4" t="str">
        <f t="shared" si="0"/>
        <v>B</v>
      </c>
      <c r="L4" t="s">
        <v>23</v>
      </c>
      <c r="M4">
        <f t="shared" si="1"/>
        <v>0</v>
      </c>
    </row>
    <row r="5" ht="18" customHeight="1" spans="1:13">
      <c r="A5" t="s">
        <v>13</v>
      </c>
      <c r="B5" s="12" t="s">
        <v>14</v>
      </c>
      <c r="C5" t="s">
        <v>31</v>
      </c>
      <c r="D5" t="s">
        <v>16</v>
      </c>
      <c r="E5" t="s">
        <v>17</v>
      </c>
      <c r="F5" s="12" t="s">
        <v>32</v>
      </c>
      <c r="G5" t="s">
        <v>19</v>
      </c>
      <c r="H5" t="s">
        <v>20</v>
      </c>
      <c r="I5" t="s">
        <v>33</v>
      </c>
      <c r="J5" t="s">
        <v>27</v>
      </c>
      <c r="K5" t="str">
        <f t="shared" si="0"/>
        <v>C</v>
      </c>
      <c r="L5" t="s">
        <v>34</v>
      </c>
      <c r="M5">
        <f t="shared" si="1"/>
        <v>0</v>
      </c>
    </row>
    <row r="6" ht="18" customHeight="1" spans="1:13">
      <c r="A6" t="s">
        <v>13</v>
      </c>
      <c r="B6" s="12" t="s">
        <v>14</v>
      </c>
      <c r="C6" t="s">
        <v>31</v>
      </c>
      <c r="D6" t="s">
        <v>24</v>
      </c>
      <c r="E6" t="s">
        <v>17</v>
      </c>
      <c r="F6" s="12" t="s">
        <v>35</v>
      </c>
      <c r="G6" t="s">
        <v>19</v>
      </c>
      <c r="H6" t="s">
        <v>20</v>
      </c>
      <c r="I6" t="s">
        <v>36</v>
      </c>
      <c r="J6" t="s">
        <v>27</v>
      </c>
      <c r="K6" t="str">
        <f t="shared" si="0"/>
        <v>C</v>
      </c>
      <c r="L6" t="s">
        <v>34</v>
      </c>
      <c r="M6">
        <f t="shared" si="1"/>
        <v>0</v>
      </c>
    </row>
    <row r="7" ht="18" customHeight="1" spans="1:13">
      <c r="A7" t="s">
        <v>13</v>
      </c>
      <c r="B7" s="12" t="s">
        <v>14</v>
      </c>
      <c r="C7" t="s">
        <v>31</v>
      </c>
      <c r="D7" t="s">
        <v>28</v>
      </c>
      <c r="E7" t="s">
        <v>17</v>
      </c>
      <c r="F7" s="12" t="s">
        <v>37</v>
      </c>
      <c r="G7" t="s">
        <v>19</v>
      </c>
      <c r="H7" t="s">
        <v>20</v>
      </c>
      <c r="I7" t="s">
        <v>38</v>
      </c>
      <c r="J7" t="s">
        <v>27</v>
      </c>
      <c r="K7" t="str">
        <f t="shared" si="0"/>
        <v>C</v>
      </c>
      <c r="L7" t="s">
        <v>34</v>
      </c>
      <c r="M7">
        <f t="shared" si="1"/>
        <v>0</v>
      </c>
    </row>
    <row r="8" ht="18" customHeight="1" spans="1:13">
      <c r="A8" t="s">
        <v>13</v>
      </c>
      <c r="B8" s="12" t="s">
        <v>14</v>
      </c>
      <c r="C8" t="s">
        <v>39</v>
      </c>
      <c r="D8" t="s">
        <v>16</v>
      </c>
      <c r="E8" t="s">
        <v>17</v>
      </c>
      <c r="F8" s="12" t="s">
        <v>40</v>
      </c>
      <c r="G8" t="s">
        <v>19</v>
      </c>
      <c r="H8" t="s">
        <v>20</v>
      </c>
      <c r="I8" t="s">
        <v>41</v>
      </c>
      <c r="J8" t="s">
        <v>34</v>
      </c>
      <c r="K8" t="str">
        <f t="shared" si="0"/>
        <v>B</v>
      </c>
      <c r="L8" t="s">
        <v>27</v>
      </c>
      <c r="M8">
        <f t="shared" si="1"/>
        <v>1</v>
      </c>
    </row>
    <row r="9" ht="18" customHeight="1" spans="1:13">
      <c r="A9" t="s">
        <v>13</v>
      </c>
      <c r="B9" s="12" t="s">
        <v>14</v>
      </c>
      <c r="C9" t="s">
        <v>39</v>
      </c>
      <c r="D9" t="s">
        <v>24</v>
      </c>
      <c r="E9" t="s">
        <v>17</v>
      </c>
      <c r="F9" s="12" t="s">
        <v>42</v>
      </c>
      <c r="G9" t="s">
        <v>19</v>
      </c>
      <c r="H9" t="s">
        <v>20</v>
      </c>
      <c r="I9" s="14" t="s">
        <v>43</v>
      </c>
      <c r="J9" t="s">
        <v>22</v>
      </c>
      <c r="K9" t="str">
        <f t="shared" si="0"/>
        <v>D(平局)</v>
      </c>
      <c r="L9" t="s">
        <v>27</v>
      </c>
      <c r="M9">
        <f t="shared" si="1"/>
        <v>0</v>
      </c>
    </row>
    <row r="10" ht="18" customHeight="1" spans="1:13">
      <c r="A10" t="s">
        <v>13</v>
      </c>
      <c r="B10" s="12" t="s">
        <v>14</v>
      </c>
      <c r="C10" t="s">
        <v>39</v>
      </c>
      <c r="D10" t="s">
        <v>28</v>
      </c>
      <c r="E10" t="s">
        <v>17</v>
      </c>
      <c r="F10" s="13" t="s">
        <v>44</v>
      </c>
      <c r="G10" t="s">
        <v>19</v>
      </c>
      <c r="H10" t="s">
        <v>20</v>
      </c>
      <c r="I10" t="s">
        <v>45</v>
      </c>
      <c r="J10" t="s">
        <v>27</v>
      </c>
      <c r="K10" t="str">
        <f t="shared" si="0"/>
        <v>C</v>
      </c>
      <c r="L10" t="s">
        <v>27</v>
      </c>
      <c r="M10">
        <f t="shared" si="1"/>
        <v>0</v>
      </c>
    </row>
    <row r="11" ht="18" customHeight="1" spans="1:13">
      <c r="A11" t="s">
        <v>13</v>
      </c>
      <c r="B11" s="12" t="s">
        <v>14</v>
      </c>
      <c r="C11" t="s">
        <v>15</v>
      </c>
      <c r="D11" t="s">
        <v>16</v>
      </c>
      <c r="E11" t="s">
        <v>46</v>
      </c>
      <c r="F11" s="12" t="s">
        <v>47</v>
      </c>
      <c r="G11" t="s">
        <v>19</v>
      </c>
      <c r="H11" t="s">
        <v>20</v>
      </c>
      <c r="I11" t="s">
        <v>48</v>
      </c>
      <c r="J11" t="s">
        <v>34</v>
      </c>
      <c r="K11" t="str">
        <f t="shared" si="0"/>
        <v>B</v>
      </c>
      <c r="L11" t="s">
        <v>23</v>
      </c>
      <c r="M11">
        <f t="shared" si="1"/>
        <v>0</v>
      </c>
    </row>
    <row r="12" ht="18" customHeight="1" spans="1:13">
      <c r="A12" t="s">
        <v>13</v>
      </c>
      <c r="B12" s="12" t="s">
        <v>14</v>
      </c>
      <c r="C12" t="s">
        <v>15</v>
      </c>
      <c r="D12" t="s">
        <v>24</v>
      </c>
      <c r="E12" t="s">
        <v>46</v>
      </c>
      <c r="F12" s="12" t="s">
        <v>49</v>
      </c>
      <c r="G12" t="s">
        <v>19</v>
      </c>
      <c r="H12" t="s">
        <v>20</v>
      </c>
      <c r="I12" t="s">
        <v>50</v>
      </c>
      <c r="J12" t="s">
        <v>34</v>
      </c>
      <c r="K12" t="str">
        <f t="shared" si="0"/>
        <v>B</v>
      </c>
      <c r="L12" t="s">
        <v>23</v>
      </c>
      <c r="M12">
        <f t="shared" si="1"/>
        <v>0</v>
      </c>
    </row>
    <row r="13" ht="18" customHeight="1" spans="1:13">
      <c r="A13" t="s">
        <v>13</v>
      </c>
      <c r="B13" s="12" t="s">
        <v>14</v>
      </c>
      <c r="C13" t="s">
        <v>15</v>
      </c>
      <c r="D13" t="s">
        <v>28</v>
      </c>
      <c r="E13" t="s">
        <v>46</v>
      </c>
      <c r="F13" s="12" t="s">
        <v>51</v>
      </c>
      <c r="G13" t="s">
        <v>19</v>
      </c>
      <c r="H13" t="s">
        <v>20</v>
      </c>
      <c r="I13" t="s">
        <v>52</v>
      </c>
      <c r="J13" t="s">
        <v>34</v>
      </c>
      <c r="K13" t="str">
        <f t="shared" si="0"/>
        <v>B</v>
      </c>
      <c r="L13" t="s">
        <v>23</v>
      </c>
      <c r="M13">
        <f t="shared" si="1"/>
        <v>0</v>
      </c>
    </row>
    <row r="14" ht="18" customHeight="1" spans="1:13">
      <c r="A14" t="s">
        <v>13</v>
      </c>
      <c r="B14" s="12" t="s">
        <v>14</v>
      </c>
      <c r="C14" t="s">
        <v>31</v>
      </c>
      <c r="D14" t="s">
        <v>16</v>
      </c>
      <c r="E14" t="s">
        <v>46</v>
      </c>
      <c r="F14" s="12" t="s">
        <v>53</v>
      </c>
      <c r="G14" t="s">
        <v>19</v>
      </c>
      <c r="H14" t="s">
        <v>20</v>
      </c>
      <c r="I14" t="s">
        <v>54</v>
      </c>
      <c r="J14" t="s">
        <v>34</v>
      </c>
      <c r="K14" t="str">
        <f t="shared" si="0"/>
        <v>C</v>
      </c>
      <c r="L14" t="s">
        <v>34</v>
      </c>
      <c r="M14">
        <f t="shared" si="1"/>
        <v>0</v>
      </c>
    </row>
    <row r="15" ht="18" customHeight="1" spans="1:13">
      <c r="A15" t="s">
        <v>13</v>
      </c>
      <c r="B15" s="12" t="s">
        <v>14</v>
      </c>
      <c r="C15" t="s">
        <v>31</v>
      </c>
      <c r="D15" t="s">
        <v>24</v>
      </c>
      <c r="E15" t="s">
        <v>46</v>
      </c>
      <c r="F15" s="12" t="s">
        <v>55</v>
      </c>
      <c r="G15" t="s">
        <v>19</v>
      </c>
      <c r="H15" t="s">
        <v>20</v>
      </c>
      <c r="I15" t="s">
        <v>56</v>
      </c>
      <c r="J15" t="s">
        <v>34</v>
      </c>
      <c r="K15" t="str">
        <f t="shared" si="0"/>
        <v>C</v>
      </c>
      <c r="L15" t="s">
        <v>34</v>
      </c>
      <c r="M15">
        <f t="shared" si="1"/>
        <v>0</v>
      </c>
    </row>
    <row r="16" ht="18" customHeight="1" spans="1:13">
      <c r="A16" t="s">
        <v>13</v>
      </c>
      <c r="B16" s="12" t="s">
        <v>14</v>
      </c>
      <c r="C16" t="s">
        <v>31</v>
      </c>
      <c r="D16" t="s">
        <v>28</v>
      </c>
      <c r="E16" t="s">
        <v>46</v>
      </c>
      <c r="F16" s="12" t="s">
        <v>57</v>
      </c>
      <c r="G16" t="s">
        <v>19</v>
      </c>
      <c r="H16" t="s">
        <v>20</v>
      </c>
      <c r="I16" t="s">
        <v>58</v>
      </c>
      <c r="J16" t="s">
        <v>22</v>
      </c>
      <c r="K16" t="str">
        <f t="shared" si="0"/>
        <v>D(平局)</v>
      </c>
      <c r="L16" t="s">
        <v>34</v>
      </c>
      <c r="M16">
        <f t="shared" si="1"/>
        <v>0</v>
      </c>
    </row>
    <row r="17" ht="18" customHeight="1" spans="1:13">
      <c r="A17" t="s">
        <v>13</v>
      </c>
      <c r="B17" s="12" t="s">
        <v>14</v>
      </c>
      <c r="C17" t="s">
        <v>39</v>
      </c>
      <c r="D17" t="s">
        <v>16</v>
      </c>
      <c r="E17" t="s">
        <v>46</v>
      </c>
      <c r="F17" s="12" t="s">
        <v>59</v>
      </c>
      <c r="G17" t="s">
        <v>19</v>
      </c>
      <c r="H17" t="s">
        <v>20</v>
      </c>
      <c r="I17" t="s">
        <v>60</v>
      </c>
      <c r="J17" t="s">
        <v>34</v>
      </c>
      <c r="K17" t="str">
        <f t="shared" si="0"/>
        <v>C</v>
      </c>
      <c r="L17" t="s">
        <v>27</v>
      </c>
      <c r="M17">
        <f t="shared" si="1"/>
        <v>0</v>
      </c>
    </row>
    <row r="18" ht="18" customHeight="1" spans="1:13">
      <c r="A18" t="s">
        <v>13</v>
      </c>
      <c r="B18" s="12" t="s">
        <v>14</v>
      </c>
      <c r="C18" t="s">
        <v>39</v>
      </c>
      <c r="D18" t="s">
        <v>24</v>
      </c>
      <c r="E18" t="s">
        <v>46</v>
      </c>
      <c r="F18" s="12" t="s">
        <v>61</v>
      </c>
      <c r="G18" t="s">
        <v>19</v>
      </c>
      <c r="H18" t="s">
        <v>20</v>
      </c>
      <c r="I18" t="s">
        <v>62</v>
      </c>
      <c r="J18" t="s">
        <v>34</v>
      </c>
      <c r="K18" t="str">
        <f t="shared" si="0"/>
        <v>C</v>
      </c>
      <c r="L18" t="s">
        <v>27</v>
      </c>
      <c r="M18">
        <f t="shared" si="1"/>
        <v>0</v>
      </c>
    </row>
    <row r="19" ht="18" customHeight="1" spans="1:13">
      <c r="A19" t="s">
        <v>13</v>
      </c>
      <c r="B19" s="12" t="s">
        <v>14</v>
      </c>
      <c r="C19" t="s">
        <v>39</v>
      </c>
      <c r="D19" t="s">
        <v>28</v>
      </c>
      <c r="E19" t="s">
        <v>46</v>
      </c>
      <c r="F19" s="12" t="s">
        <v>63</v>
      </c>
      <c r="G19" t="s">
        <v>19</v>
      </c>
      <c r="H19" t="s">
        <v>20</v>
      </c>
      <c r="I19" t="s">
        <v>64</v>
      </c>
      <c r="J19" t="s">
        <v>34</v>
      </c>
      <c r="K19" t="str">
        <f t="shared" si="0"/>
        <v>C</v>
      </c>
      <c r="L19" t="s">
        <v>27</v>
      </c>
      <c r="M19">
        <f t="shared" si="1"/>
        <v>0</v>
      </c>
    </row>
    <row r="20" ht="18" customHeight="1" spans="1:13">
      <c r="A20" t="s">
        <v>65</v>
      </c>
      <c r="B20" s="12" t="s">
        <v>66</v>
      </c>
      <c r="C20" t="s">
        <v>15</v>
      </c>
      <c r="D20" t="s">
        <v>16</v>
      </c>
      <c r="E20" t="s">
        <v>17</v>
      </c>
      <c r="F20" s="12" t="s">
        <v>67</v>
      </c>
      <c r="G20" t="s">
        <v>19</v>
      </c>
      <c r="H20" t="s">
        <v>20</v>
      </c>
      <c r="I20" t="s">
        <v>68</v>
      </c>
      <c r="J20" t="s">
        <v>34</v>
      </c>
      <c r="K20" t="str">
        <f t="shared" si="0"/>
        <v>A</v>
      </c>
      <c r="L20" t="s">
        <v>34</v>
      </c>
      <c r="M20">
        <f t="shared" si="1"/>
        <v>1</v>
      </c>
    </row>
    <row r="21" ht="18" customHeight="1" spans="1:13">
      <c r="A21" t="s">
        <v>65</v>
      </c>
      <c r="B21" s="12" t="s">
        <v>66</v>
      </c>
      <c r="C21" t="s">
        <v>15</v>
      </c>
      <c r="D21" t="s">
        <v>24</v>
      </c>
      <c r="E21" t="s">
        <v>17</v>
      </c>
      <c r="F21" s="12" t="s">
        <v>69</v>
      </c>
      <c r="G21" t="s">
        <v>19</v>
      </c>
      <c r="H21" t="s">
        <v>20</v>
      </c>
      <c r="I21" t="s">
        <v>70</v>
      </c>
      <c r="J21" t="s">
        <v>34</v>
      </c>
      <c r="K21" t="str">
        <f t="shared" si="0"/>
        <v>A</v>
      </c>
      <c r="L21" t="s">
        <v>34</v>
      </c>
      <c r="M21">
        <f t="shared" si="1"/>
        <v>1</v>
      </c>
    </row>
    <row r="22" ht="18" customHeight="1" spans="1:13">
      <c r="A22" t="s">
        <v>65</v>
      </c>
      <c r="B22" s="12" t="s">
        <v>66</v>
      </c>
      <c r="C22" t="s">
        <v>15</v>
      </c>
      <c r="D22" t="s">
        <v>28</v>
      </c>
      <c r="E22" t="s">
        <v>17</v>
      </c>
      <c r="F22" s="12" t="s">
        <v>71</v>
      </c>
      <c r="G22" t="s">
        <v>19</v>
      </c>
      <c r="H22" t="s">
        <v>20</v>
      </c>
      <c r="I22" t="s">
        <v>72</v>
      </c>
      <c r="J22" t="s">
        <v>34</v>
      </c>
      <c r="K22" t="str">
        <f t="shared" si="0"/>
        <v>A</v>
      </c>
      <c r="L22" t="s">
        <v>34</v>
      </c>
      <c r="M22">
        <f t="shared" si="1"/>
        <v>1</v>
      </c>
    </row>
    <row r="23" ht="18" customHeight="1" spans="1:13">
      <c r="A23" t="s">
        <v>65</v>
      </c>
      <c r="B23" s="12" t="s">
        <v>66</v>
      </c>
      <c r="C23" t="s">
        <v>31</v>
      </c>
      <c r="D23" t="s">
        <v>16</v>
      </c>
      <c r="E23" t="s">
        <v>17</v>
      </c>
      <c r="F23" s="12" t="s">
        <v>73</v>
      </c>
      <c r="G23" t="s">
        <v>19</v>
      </c>
      <c r="H23" t="s">
        <v>20</v>
      </c>
      <c r="I23" t="s">
        <v>74</v>
      </c>
      <c r="J23" t="s">
        <v>34</v>
      </c>
      <c r="K23" t="str">
        <f t="shared" si="0"/>
        <v>A</v>
      </c>
      <c r="L23" t="s">
        <v>34</v>
      </c>
      <c r="M23">
        <f t="shared" si="1"/>
        <v>1</v>
      </c>
    </row>
    <row r="24" ht="18" customHeight="1" spans="1:13">
      <c r="A24" t="s">
        <v>65</v>
      </c>
      <c r="B24" s="12" t="s">
        <v>66</v>
      </c>
      <c r="C24" t="s">
        <v>31</v>
      </c>
      <c r="D24" t="s">
        <v>24</v>
      </c>
      <c r="E24" t="s">
        <v>17</v>
      </c>
      <c r="F24" s="12" t="s">
        <v>75</v>
      </c>
      <c r="G24" t="s">
        <v>19</v>
      </c>
      <c r="H24" t="s">
        <v>20</v>
      </c>
      <c r="I24" t="s">
        <v>76</v>
      </c>
      <c r="J24" t="s">
        <v>34</v>
      </c>
      <c r="K24" t="str">
        <f t="shared" si="0"/>
        <v>A</v>
      </c>
      <c r="L24" t="s">
        <v>34</v>
      </c>
      <c r="M24">
        <f t="shared" si="1"/>
        <v>1</v>
      </c>
    </row>
    <row r="25" ht="18" customHeight="1" spans="1:13">
      <c r="A25" t="s">
        <v>65</v>
      </c>
      <c r="B25" s="12" t="s">
        <v>66</v>
      </c>
      <c r="C25" t="s">
        <v>31</v>
      </c>
      <c r="D25" t="s">
        <v>28</v>
      </c>
      <c r="E25" t="s">
        <v>17</v>
      </c>
      <c r="F25" s="12" t="s">
        <v>77</v>
      </c>
      <c r="G25" t="s">
        <v>19</v>
      </c>
      <c r="H25" t="s">
        <v>20</v>
      </c>
      <c r="I25" t="s">
        <v>78</v>
      </c>
      <c r="J25" t="s">
        <v>34</v>
      </c>
      <c r="K25" t="str">
        <f t="shared" si="0"/>
        <v>A</v>
      </c>
      <c r="L25" t="s">
        <v>34</v>
      </c>
      <c r="M25">
        <f t="shared" si="1"/>
        <v>1</v>
      </c>
    </row>
    <row r="26" ht="18" customHeight="1" spans="1:13">
      <c r="A26" t="s">
        <v>65</v>
      </c>
      <c r="B26" s="12" t="s">
        <v>66</v>
      </c>
      <c r="C26" t="s">
        <v>39</v>
      </c>
      <c r="D26" t="s">
        <v>16</v>
      </c>
      <c r="E26" t="s">
        <v>17</v>
      </c>
      <c r="F26" s="12" t="s">
        <v>79</v>
      </c>
      <c r="G26" t="s">
        <v>19</v>
      </c>
      <c r="H26" t="s">
        <v>20</v>
      </c>
      <c r="I26" t="s">
        <v>80</v>
      </c>
      <c r="J26" t="s">
        <v>27</v>
      </c>
      <c r="K26" t="str">
        <f t="shared" si="0"/>
        <v>C</v>
      </c>
      <c r="L26" t="s">
        <v>22</v>
      </c>
      <c r="M26">
        <f t="shared" si="1"/>
        <v>1</v>
      </c>
    </row>
    <row r="27" ht="18" customHeight="1" spans="1:13">
      <c r="A27" t="s">
        <v>65</v>
      </c>
      <c r="B27" s="12" t="s">
        <v>66</v>
      </c>
      <c r="C27" t="s">
        <v>39</v>
      </c>
      <c r="D27" t="s">
        <v>24</v>
      </c>
      <c r="E27" t="s">
        <v>17</v>
      </c>
      <c r="F27" s="12" t="s">
        <v>81</v>
      </c>
      <c r="G27" t="s">
        <v>19</v>
      </c>
      <c r="H27" t="s">
        <v>20</v>
      </c>
      <c r="I27" t="s">
        <v>82</v>
      </c>
      <c r="J27" t="s">
        <v>22</v>
      </c>
      <c r="K27" t="str">
        <f t="shared" si="0"/>
        <v>D(平局)</v>
      </c>
      <c r="L27" t="s">
        <v>22</v>
      </c>
      <c r="M27">
        <f t="shared" si="1"/>
        <v>0</v>
      </c>
    </row>
    <row r="28" ht="18" customHeight="1" spans="1:13">
      <c r="A28" t="s">
        <v>65</v>
      </c>
      <c r="B28" s="12" t="s">
        <v>66</v>
      </c>
      <c r="C28" t="s">
        <v>39</v>
      </c>
      <c r="D28" t="s">
        <v>28</v>
      </c>
      <c r="E28" t="s">
        <v>17</v>
      </c>
      <c r="F28" s="12" t="s">
        <v>83</v>
      </c>
      <c r="G28" t="s">
        <v>19</v>
      </c>
      <c r="H28" t="s">
        <v>20</v>
      </c>
      <c r="I28" t="s">
        <v>84</v>
      </c>
      <c r="J28" t="s">
        <v>34</v>
      </c>
      <c r="K28" t="str">
        <f t="shared" si="0"/>
        <v>B</v>
      </c>
      <c r="L28" t="s">
        <v>22</v>
      </c>
      <c r="M28">
        <f t="shared" si="1"/>
        <v>0</v>
      </c>
    </row>
    <row r="29" ht="18" customHeight="1" spans="1:13">
      <c r="A29" t="s">
        <v>65</v>
      </c>
      <c r="B29" s="12" t="s">
        <v>66</v>
      </c>
      <c r="C29" t="s">
        <v>15</v>
      </c>
      <c r="D29" t="s">
        <v>16</v>
      </c>
      <c r="E29" t="s">
        <v>46</v>
      </c>
      <c r="F29" s="12" t="s">
        <v>85</v>
      </c>
      <c r="G29" t="s">
        <v>19</v>
      </c>
      <c r="H29" t="s">
        <v>20</v>
      </c>
      <c r="I29" t="s">
        <v>86</v>
      </c>
      <c r="J29" t="s">
        <v>27</v>
      </c>
      <c r="K29" t="str">
        <f t="shared" si="0"/>
        <v>A</v>
      </c>
      <c r="L29" t="s">
        <v>34</v>
      </c>
      <c r="M29">
        <f t="shared" si="1"/>
        <v>1</v>
      </c>
    </row>
    <row r="30" ht="18" customHeight="1" spans="1:13">
      <c r="A30" t="s">
        <v>65</v>
      </c>
      <c r="B30" s="12" t="s">
        <v>66</v>
      </c>
      <c r="C30" t="s">
        <v>15</v>
      </c>
      <c r="D30" t="s">
        <v>24</v>
      </c>
      <c r="E30" t="s">
        <v>46</v>
      </c>
      <c r="F30" s="12" t="s">
        <v>87</v>
      </c>
      <c r="G30" t="s">
        <v>19</v>
      </c>
      <c r="H30" t="s">
        <v>20</v>
      </c>
      <c r="I30" t="s">
        <v>88</v>
      </c>
      <c r="J30" t="s">
        <v>22</v>
      </c>
      <c r="K30" t="str">
        <f t="shared" si="0"/>
        <v>D(平局)</v>
      </c>
      <c r="L30" t="s">
        <v>34</v>
      </c>
      <c r="M30">
        <f t="shared" si="1"/>
        <v>0</v>
      </c>
    </row>
    <row r="31" ht="18" customHeight="1" spans="1:13">
      <c r="A31" t="s">
        <v>65</v>
      </c>
      <c r="B31" s="12" t="s">
        <v>66</v>
      </c>
      <c r="C31" t="s">
        <v>15</v>
      </c>
      <c r="D31" t="s">
        <v>28</v>
      </c>
      <c r="E31" t="s">
        <v>46</v>
      </c>
      <c r="F31" s="12" t="s">
        <v>89</v>
      </c>
      <c r="G31" t="s">
        <v>19</v>
      </c>
      <c r="H31" t="s">
        <v>20</v>
      </c>
      <c r="I31" t="s">
        <v>90</v>
      </c>
      <c r="J31" t="s">
        <v>27</v>
      </c>
      <c r="K31" t="str">
        <f t="shared" si="0"/>
        <v>A</v>
      </c>
      <c r="L31" t="s">
        <v>34</v>
      </c>
      <c r="M31">
        <f t="shared" si="1"/>
        <v>1</v>
      </c>
    </row>
    <row r="32" ht="18" customHeight="1" spans="1:13">
      <c r="A32" t="s">
        <v>65</v>
      </c>
      <c r="B32" s="12" t="s">
        <v>66</v>
      </c>
      <c r="C32" t="s">
        <v>31</v>
      </c>
      <c r="D32" t="s">
        <v>16</v>
      </c>
      <c r="E32" t="s">
        <v>46</v>
      </c>
      <c r="F32" s="12" t="s">
        <v>91</v>
      </c>
      <c r="G32" t="s">
        <v>19</v>
      </c>
      <c r="H32" t="s">
        <v>20</v>
      </c>
      <c r="I32" t="s">
        <v>92</v>
      </c>
      <c r="J32" t="s">
        <v>27</v>
      </c>
      <c r="K32" t="str">
        <f t="shared" si="0"/>
        <v>A</v>
      </c>
      <c r="L32" t="s">
        <v>34</v>
      </c>
      <c r="M32">
        <f t="shared" si="1"/>
        <v>1</v>
      </c>
    </row>
    <row r="33" ht="18" customHeight="1" spans="1:13">
      <c r="A33" t="s">
        <v>65</v>
      </c>
      <c r="B33" s="12" t="s">
        <v>66</v>
      </c>
      <c r="C33" t="s">
        <v>31</v>
      </c>
      <c r="D33" t="s">
        <v>24</v>
      </c>
      <c r="E33" t="s">
        <v>46</v>
      </c>
      <c r="F33" s="12" t="s">
        <v>93</v>
      </c>
      <c r="G33" t="s">
        <v>19</v>
      </c>
      <c r="H33" t="s">
        <v>20</v>
      </c>
      <c r="I33" t="s">
        <v>94</v>
      </c>
      <c r="J33" t="s">
        <v>27</v>
      </c>
      <c r="K33" t="str">
        <f t="shared" si="0"/>
        <v>A</v>
      </c>
      <c r="L33" t="s">
        <v>34</v>
      </c>
      <c r="M33">
        <f t="shared" si="1"/>
        <v>1</v>
      </c>
    </row>
    <row r="34" ht="18" customHeight="1" spans="1:13">
      <c r="A34" t="s">
        <v>65</v>
      </c>
      <c r="B34" s="12" t="s">
        <v>66</v>
      </c>
      <c r="C34" t="s">
        <v>31</v>
      </c>
      <c r="D34" t="s">
        <v>28</v>
      </c>
      <c r="E34" t="s">
        <v>46</v>
      </c>
      <c r="F34" s="12" t="s">
        <v>95</v>
      </c>
      <c r="G34" t="s">
        <v>19</v>
      </c>
      <c r="H34" t="s">
        <v>20</v>
      </c>
      <c r="I34" t="s">
        <v>96</v>
      </c>
      <c r="J34" t="s">
        <v>27</v>
      </c>
      <c r="K34" t="str">
        <f t="shared" si="0"/>
        <v>A</v>
      </c>
      <c r="L34" t="s">
        <v>34</v>
      </c>
      <c r="M34">
        <f t="shared" si="1"/>
        <v>1</v>
      </c>
    </row>
    <row r="35" ht="18" customHeight="1" spans="1:13">
      <c r="A35" t="s">
        <v>65</v>
      </c>
      <c r="B35" s="12" t="s">
        <v>66</v>
      </c>
      <c r="C35" t="s">
        <v>39</v>
      </c>
      <c r="D35" t="s">
        <v>16</v>
      </c>
      <c r="E35" t="s">
        <v>46</v>
      </c>
      <c r="F35" s="12" t="s">
        <v>97</v>
      </c>
      <c r="G35" t="s">
        <v>19</v>
      </c>
      <c r="H35" t="s">
        <v>20</v>
      </c>
      <c r="I35" t="s">
        <v>98</v>
      </c>
      <c r="J35" t="s">
        <v>34</v>
      </c>
      <c r="K35" t="str">
        <f t="shared" si="0"/>
        <v>C</v>
      </c>
      <c r="L35" t="s">
        <v>22</v>
      </c>
      <c r="M35">
        <f t="shared" si="1"/>
        <v>1</v>
      </c>
    </row>
    <row r="36" ht="18" customHeight="1" spans="1:13">
      <c r="A36" t="s">
        <v>65</v>
      </c>
      <c r="B36" s="12" t="s">
        <v>66</v>
      </c>
      <c r="C36" t="s">
        <v>39</v>
      </c>
      <c r="D36" t="s">
        <v>24</v>
      </c>
      <c r="E36" t="s">
        <v>46</v>
      </c>
      <c r="F36" s="12" t="s">
        <v>99</v>
      </c>
      <c r="G36" t="s">
        <v>19</v>
      </c>
      <c r="H36" t="s">
        <v>20</v>
      </c>
      <c r="I36" t="s">
        <v>100</v>
      </c>
      <c r="J36" t="s">
        <v>27</v>
      </c>
      <c r="K36" t="str">
        <f t="shared" si="0"/>
        <v>B</v>
      </c>
      <c r="L36" t="s">
        <v>22</v>
      </c>
      <c r="M36">
        <f t="shared" si="1"/>
        <v>0</v>
      </c>
    </row>
    <row r="37" ht="18" customHeight="1" spans="1:13">
      <c r="A37" t="s">
        <v>65</v>
      </c>
      <c r="B37" s="12" t="s">
        <v>66</v>
      </c>
      <c r="C37" t="s">
        <v>39</v>
      </c>
      <c r="D37" t="s">
        <v>28</v>
      </c>
      <c r="E37" t="s">
        <v>46</v>
      </c>
      <c r="F37" s="12" t="s">
        <v>101</v>
      </c>
      <c r="G37" t="s">
        <v>19</v>
      </c>
      <c r="H37" t="s">
        <v>20</v>
      </c>
      <c r="I37" t="s">
        <v>102</v>
      </c>
      <c r="J37" t="s">
        <v>22</v>
      </c>
      <c r="K37" t="str">
        <f t="shared" si="0"/>
        <v>D(平局)</v>
      </c>
      <c r="L37" t="s">
        <v>22</v>
      </c>
      <c r="M37">
        <f t="shared" si="1"/>
        <v>0</v>
      </c>
    </row>
    <row r="38" ht="18" customHeight="1" spans="1:13">
      <c r="A38" t="s">
        <v>103</v>
      </c>
      <c r="B38" s="12" t="s">
        <v>104</v>
      </c>
      <c r="C38" t="s">
        <v>15</v>
      </c>
      <c r="D38" t="s">
        <v>16</v>
      </c>
      <c r="E38" t="s">
        <v>17</v>
      </c>
      <c r="F38" s="12" t="s">
        <v>105</v>
      </c>
      <c r="G38" t="s">
        <v>19</v>
      </c>
      <c r="H38" t="s">
        <v>20</v>
      </c>
      <c r="I38" t="s">
        <v>106</v>
      </c>
      <c r="J38" t="s">
        <v>22</v>
      </c>
      <c r="K38" t="str">
        <f t="shared" si="0"/>
        <v>D(平局)</v>
      </c>
      <c r="L38" t="s">
        <v>34</v>
      </c>
      <c r="M38">
        <f t="shared" si="1"/>
        <v>0</v>
      </c>
    </row>
    <row r="39" ht="18" customHeight="1" spans="1:13">
      <c r="A39" t="s">
        <v>103</v>
      </c>
      <c r="B39" s="12" t="s">
        <v>104</v>
      </c>
      <c r="C39" t="s">
        <v>15</v>
      </c>
      <c r="D39" t="s">
        <v>24</v>
      </c>
      <c r="E39" t="s">
        <v>17</v>
      </c>
      <c r="F39" s="12" t="s">
        <v>107</v>
      </c>
      <c r="G39" t="s">
        <v>19</v>
      </c>
      <c r="H39" t="s">
        <v>20</v>
      </c>
      <c r="I39" t="s">
        <v>108</v>
      </c>
      <c r="J39" t="s">
        <v>34</v>
      </c>
      <c r="K39" t="str">
        <f t="shared" si="0"/>
        <v>A</v>
      </c>
      <c r="L39" t="s">
        <v>34</v>
      </c>
      <c r="M39">
        <f t="shared" si="1"/>
        <v>1</v>
      </c>
    </row>
    <row r="40" ht="18" customHeight="1" spans="1:13">
      <c r="A40" t="s">
        <v>103</v>
      </c>
      <c r="B40" s="12" t="s">
        <v>104</v>
      </c>
      <c r="C40" t="s">
        <v>15</v>
      </c>
      <c r="D40" t="s">
        <v>28</v>
      </c>
      <c r="E40" t="s">
        <v>17</v>
      </c>
      <c r="F40" s="12" t="s">
        <v>109</v>
      </c>
      <c r="G40" t="s">
        <v>19</v>
      </c>
      <c r="H40" t="s">
        <v>20</v>
      </c>
      <c r="I40" t="s">
        <v>110</v>
      </c>
      <c r="J40" t="s">
        <v>34</v>
      </c>
      <c r="K40" t="str">
        <f t="shared" si="0"/>
        <v>A</v>
      </c>
      <c r="L40" t="s">
        <v>34</v>
      </c>
      <c r="M40">
        <f t="shared" si="1"/>
        <v>1</v>
      </c>
    </row>
    <row r="41" ht="18" customHeight="1" spans="1:13">
      <c r="A41" t="s">
        <v>103</v>
      </c>
      <c r="B41" s="12" t="s">
        <v>104</v>
      </c>
      <c r="C41" t="s">
        <v>31</v>
      </c>
      <c r="D41" t="s">
        <v>16</v>
      </c>
      <c r="E41" t="s">
        <v>17</v>
      </c>
      <c r="F41" s="12" t="s">
        <v>111</v>
      </c>
      <c r="G41" t="s">
        <v>19</v>
      </c>
      <c r="H41" t="s">
        <v>20</v>
      </c>
      <c r="I41" t="s">
        <v>112</v>
      </c>
      <c r="J41" t="s">
        <v>34</v>
      </c>
      <c r="K41" t="str">
        <f t="shared" si="0"/>
        <v>A</v>
      </c>
      <c r="L41" t="s">
        <v>34</v>
      </c>
      <c r="M41">
        <f t="shared" si="1"/>
        <v>1</v>
      </c>
    </row>
    <row r="42" ht="18" customHeight="1" spans="1:13">
      <c r="A42" t="s">
        <v>103</v>
      </c>
      <c r="B42" s="12" t="s">
        <v>104</v>
      </c>
      <c r="C42" t="s">
        <v>31</v>
      </c>
      <c r="D42" t="s">
        <v>24</v>
      </c>
      <c r="E42" t="s">
        <v>17</v>
      </c>
      <c r="F42" s="12" t="s">
        <v>113</v>
      </c>
      <c r="G42" t="s">
        <v>19</v>
      </c>
      <c r="H42" t="s">
        <v>20</v>
      </c>
      <c r="I42" t="s">
        <v>114</v>
      </c>
      <c r="J42" t="s">
        <v>34</v>
      </c>
      <c r="K42" t="str">
        <f t="shared" si="0"/>
        <v>A</v>
      </c>
      <c r="L42" t="s">
        <v>34</v>
      </c>
      <c r="M42">
        <f t="shared" si="1"/>
        <v>1</v>
      </c>
    </row>
    <row r="43" ht="18" customHeight="1" spans="1:13">
      <c r="A43" t="s">
        <v>103</v>
      </c>
      <c r="B43" s="12" t="s">
        <v>104</v>
      </c>
      <c r="C43" t="s">
        <v>31</v>
      </c>
      <c r="D43" t="s">
        <v>28</v>
      </c>
      <c r="E43" t="s">
        <v>17</v>
      </c>
      <c r="F43" s="12" t="s">
        <v>115</v>
      </c>
      <c r="G43" t="s">
        <v>19</v>
      </c>
      <c r="H43" t="s">
        <v>20</v>
      </c>
      <c r="I43" t="s">
        <v>116</v>
      </c>
      <c r="J43" t="s">
        <v>34</v>
      </c>
      <c r="K43" t="str">
        <f t="shared" si="0"/>
        <v>A</v>
      </c>
      <c r="L43" t="s">
        <v>34</v>
      </c>
      <c r="M43">
        <f t="shared" si="1"/>
        <v>1</v>
      </c>
    </row>
    <row r="44" ht="18" customHeight="1" spans="1:13">
      <c r="A44" t="s">
        <v>103</v>
      </c>
      <c r="B44" s="12" t="s">
        <v>104</v>
      </c>
      <c r="C44" t="s">
        <v>39</v>
      </c>
      <c r="D44" t="s">
        <v>16</v>
      </c>
      <c r="E44" t="s">
        <v>17</v>
      </c>
      <c r="F44" s="12" t="s">
        <v>117</v>
      </c>
      <c r="G44" t="s">
        <v>19</v>
      </c>
      <c r="H44" t="s">
        <v>20</v>
      </c>
      <c r="I44" t="s">
        <v>118</v>
      </c>
      <c r="J44" t="s">
        <v>34</v>
      </c>
      <c r="K44" t="str">
        <f t="shared" si="0"/>
        <v>B</v>
      </c>
      <c r="L44" t="s">
        <v>27</v>
      </c>
      <c r="M44">
        <f t="shared" si="1"/>
        <v>1</v>
      </c>
    </row>
    <row r="45" ht="18" customHeight="1" spans="1:13">
      <c r="A45" t="s">
        <v>103</v>
      </c>
      <c r="B45" s="12" t="s">
        <v>104</v>
      </c>
      <c r="C45" t="s">
        <v>39</v>
      </c>
      <c r="D45" t="s">
        <v>24</v>
      </c>
      <c r="E45" t="s">
        <v>17</v>
      </c>
      <c r="F45" s="12" t="s">
        <v>119</v>
      </c>
      <c r="G45" t="s">
        <v>19</v>
      </c>
      <c r="H45" t="s">
        <v>20</v>
      </c>
      <c r="I45" t="s">
        <v>120</v>
      </c>
      <c r="J45" t="s">
        <v>34</v>
      </c>
      <c r="K45" t="str">
        <f t="shared" si="0"/>
        <v>B</v>
      </c>
      <c r="L45" t="s">
        <v>27</v>
      </c>
      <c r="M45">
        <f t="shared" si="1"/>
        <v>1</v>
      </c>
    </row>
    <row r="46" ht="18" customHeight="1" spans="1:13">
      <c r="A46" t="s">
        <v>103</v>
      </c>
      <c r="B46" s="12" t="s">
        <v>104</v>
      </c>
      <c r="C46" t="s">
        <v>39</v>
      </c>
      <c r="D46" t="s">
        <v>28</v>
      </c>
      <c r="E46" t="s">
        <v>17</v>
      </c>
      <c r="F46" s="12" t="s">
        <v>121</v>
      </c>
      <c r="G46" t="s">
        <v>19</v>
      </c>
      <c r="H46" t="s">
        <v>20</v>
      </c>
      <c r="I46" t="s">
        <v>122</v>
      </c>
      <c r="J46" t="s">
        <v>34</v>
      </c>
      <c r="K46" t="str">
        <f t="shared" si="0"/>
        <v>B</v>
      </c>
      <c r="L46" t="s">
        <v>27</v>
      </c>
      <c r="M46">
        <f t="shared" si="1"/>
        <v>1</v>
      </c>
    </row>
    <row r="47" ht="18" customHeight="1" spans="1:13">
      <c r="A47" t="s">
        <v>103</v>
      </c>
      <c r="B47" s="12" t="s">
        <v>104</v>
      </c>
      <c r="C47" t="s">
        <v>15</v>
      </c>
      <c r="D47" t="s">
        <v>16</v>
      </c>
      <c r="E47" t="s">
        <v>46</v>
      </c>
      <c r="F47" s="12" t="s">
        <v>123</v>
      </c>
      <c r="G47" t="s">
        <v>19</v>
      </c>
      <c r="H47" t="s">
        <v>20</v>
      </c>
      <c r="I47" t="s">
        <v>124</v>
      </c>
      <c r="J47" t="s">
        <v>22</v>
      </c>
      <c r="K47" t="str">
        <f t="shared" si="0"/>
        <v>D(平局)</v>
      </c>
      <c r="L47" t="s">
        <v>34</v>
      </c>
      <c r="M47">
        <f t="shared" si="1"/>
        <v>0</v>
      </c>
    </row>
    <row r="48" ht="18" customHeight="1" spans="1:13">
      <c r="A48" t="s">
        <v>103</v>
      </c>
      <c r="B48" s="12" t="s">
        <v>104</v>
      </c>
      <c r="C48" t="s">
        <v>15</v>
      </c>
      <c r="D48" t="s">
        <v>24</v>
      </c>
      <c r="E48" t="s">
        <v>46</v>
      </c>
      <c r="F48" s="12" t="s">
        <v>125</v>
      </c>
      <c r="G48" t="s">
        <v>19</v>
      </c>
      <c r="H48" t="s">
        <v>20</v>
      </c>
      <c r="I48" t="s">
        <v>126</v>
      </c>
      <c r="J48" t="s">
        <v>27</v>
      </c>
      <c r="K48" t="str">
        <f t="shared" si="0"/>
        <v>A</v>
      </c>
      <c r="L48" t="s">
        <v>34</v>
      </c>
      <c r="M48">
        <f t="shared" si="1"/>
        <v>1</v>
      </c>
    </row>
    <row r="49" ht="18" customHeight="1" spans="1:13">
      <c r="A49" t="s">
        <v>103</v>
      </c>
      <c r="B49" s="12" t="s">
        <v>104</v>
      </c>
      <c r="C49" t="s">
        <v>15</v>
      </c>
      <c r="D49" t="s">
        <v>28</v>
      </c>
      <c r="E49" t="s">
        <v>46</v>
      </c>
      <c r="F49" s="12" t="s">
        <v>127</v>
      </c>
      <c r="G49" t="s">
        <v>19</v>
      </c>
      <c r="H49" t="s">
        <v>20</v>
      </c>
      <c r="I49" t="s">
        <v>128</v>
      </c>
      <c r="J49" t="s">
        <v>34</v>
      </c>
      <c r="K49" t="str">
        <f t="shared" si="0"/>
        <v>B</v>
      </c>
      <c r="L49" t="s">
        <v>34</v>
      </c>
      <c r="M49">
        <f t="shared" si="1"/>
        <v>0</v>
      </c>
    </row>
    <row r="50" ht="18" customHeight="1" spans="1:13">
      <c r="A50" t="s">
        <v>103</v>
      </c>
      <c r="B50" s="12" t="s">
        <v>104</v>
      </c>
      <c r="C50" t="s">
        <v>31</v>
      </c>
      <c r="D50" t="s">
        <v>16</v>
      </c>
      <c r="E50" t="s">
        <v>46</v>
      </c>
      <c r="F50" s="12" t="s">
        <v>129</v>
      </c>
      <c r="G50" t="s">
        <v>19</v>
      </c>
      <c r="H50" t="s">
        <v>20</v>
      </c>
      <c r="I50" t="s">
        <v>130</v>
      </c>
      <c r="J50" t="s">
        <v>27</v>
      </c>
      <c r="K50" t="str">
        <f t="shared" si="0"/>
        <v>A</v>
      </c>
      <c r="L50" t="s">
        <v>34</v>
      </c>
      <c r="M50">
        <f t="shared" si="1"/>
        <v>1</v>
      </c>
    </row>
    <row r="51" ht="18" customHeight="1" spans="1:13">
      <c r="A51" t="s">
        <v>103</v>
      </c>
      <c r="B51" s="12" t="s">
        <v>104</v>
      </c>
      <c r="C51" t="s">
        <v>31</v>
      </c>
      <c r="D51" t="s">
        <v>24</v>
      </c>
      <c r="E51" t="s">
        <v>46</v>
      </c>
      <c r="F51" s="12" t="s">
        <v>131</v>
      </c>
      <c r="G51" t="s">
        <v>19</v>
      </c>
      <c r="H51" t="s">
        <v>20</v>
      </c>
      <c r="I51" t="s">
        <v>132</v>
      </c>
      <c r="J51" t="s">
        <v>27</v>
      </c>
      <c r="K51" t="str">
        <f t="shared" si="0"/>
        <v>A</v>
      </c>
      <c r="L51" t="s">
        <v>34</v>
      </c>
      <c r="M51">
        <f t="shared" si="1"/>
        <v>1</v>
      </c>
    </row>
    <row r="52" ht="18" customHeight="1" spans="1:13">
      <c r="A52" t="s">
        <v>103</v>
      </c>
      <c r="B52" s="12" t="s">
        <v>104</v>
      </c>
      <c r="C52" t="s">
        <v>31</v>
      </c>
      <c r="D52" t="s">
        <v>28</v>
      </c>
      <c r="E52" t="s">
        <v>46</v>
      </c>
      <c r="F52" s="12" t="s">
        <v>133</v>
      </c>
      <c r="G52" t="s">
        <v>19</v>
      </c>
      <c r="H52" t="s">
        <v>20</v>
      </c>
      <c r="I52" t="s">
        <v>134</v>
      </c>
      <c r="J52" t="s">
        <v>27</v>
      </c>
      <c r="K52" t="str">
        <f t="shared" si="0"/>
        <v>A</v>
      </c>
      <c r="L52" t="s">
        <v>34</v>
      </c>
      <c r="M52">
        <f t="shared" si="1"/>
        <v>1</v>
      </c>
    </row>
    <row r="53" ht="18" customHeight="1" spans="1:13">
      <c r="A53" t="s">
        <v>103</v>
      </c>
      <c r="B53" s="12" t="s">
        <v>104</v>
      </c>
      <c r="C53" t="s">
        <v>39</v>
      </c>
      <c r="D53" t="s">
        <v>16</v>
      </c>
      <c r="E53" t="s">
        <v>46</v>
      </c>
      <c r="F53" s="12" t="s">
        <v>135</v>
      </c>
      <c r="G53" t="s">
        <v>19</v>
      </c>
      <c r="H53" t="s">
        <v>20</v>
      </c>
      <c r="I53" t="s">
        <v>136</v>
      </c>
      <c r="J53" t="s">
        <v>27</v>
      </c>
      <c r="K53" t="str">
        <f t="shared" si="0"/>
        <v>B</v>
      </c>
      <c r="L53" t="s">
        <v>27</v>
      </c>
      <c r="M53">
        <f t="shared" si="1"/>
        <v>1</v>
      </c>
    </row>
    <row r="54" ht="18" customHeight="1" spans="1:13">
      <c r="A54" t="s">
        <v>103</v>
      </c>
      <c r="B54" s="12" t="s">
        <v>104</v>
      </c>
      <c r="C54" t="s">
        <v>39</v>
      </c>
      <c r="D54" t="s">
        <v>24</v>
      </c>
      <c r="E54" t="s">
        <v>46</v>
      </c>
      <c r="F54" s="12" t="s">
        <v>137</v>
      </c>
      <c r="G54" t="s">
        <v>19</v>
      </c>
      <c r="H54" t="s">
        <v>20</v>
      </c>
      <c r="I54" t="s">
        <v>138</v>
      </c>
      <c r="J54" t="s">
        <v>27</v>
      </c>
      <c r="K54" t="str">
        <f t="shared" si="0"/>
        <v>B</v>
      </c>
      <c r="L54" t="s">
        <v>27</v>
      </c>
      <c r="M54">
        <f t="shared" si="1"/>
        <v>1</v>
      </c>
    </row>
    <row r="55" ht="18" customHeight="1" spans="1:13">
      <c r="A55" t="s">
        <v>103</v>
      </c>
      <c r="B55" s="12" t="s">
        <v>104</v>
      </c>
      <c r="C55" t="s">
        <v>39</v>
      </c>
      <c r="D55" t="s">
        <v>28</v>
      </c>
      <c r="E55" t="s">
        <v>46</v>
      </c>
      <c r="F55" s="12" t="s">
        <v>139</v>
      </c>
      <c r="G55" t="s">
        <v>19</v>
      </c>
      <c r="H55" t="s">
        <v>20</v>
      </c>
      <c r="I55" t="s">
        <v>140</v>
      </c>
      <c r="J55" t="s">
        <v>27</v>
      </c>
      <c r="K55" t="str">
        <f t="shared" si="0"/>
        <v>B</v>
      </c>
      <c r="L55" t="s">
        <v>27</v>
      </c>
      <c r="M55">
        <f t="shared" si="1"/>
        <v>1</v>
      </c>
    </row>
    <row r="56" ht="18" customHeight="1" spans="1:13">
      <c r="A56" t="s">
        <v>141</v>
      </c>
      <c r="B56" s="12" t="s">
        <v>142</v>
      </c>
      <c r="C56" t="s">
        <v>15</v>
      </c>
      <c r="D56" t="s">
        <v>16</v>
      </c>
      <c r="E56" t="s">
        <v>17</v>
      </c>
      <c r="F56" s="12" t="s">
        <v>143</v>
      </c>
      <c r="G56" t="s">
        <v>19</v>
      </c>
      <c r="H56" t="s">
        <v>20</v>
      </c>
      <c r="I56" t="s">
        <v>144</v>
      </c>
      <c r="J56" t="s">
        <v>34</v>
      </c>
      <c r="K56" t="str">
        <f t="shared" si="0"/>
        <v>A</v>
      </c>
      <c r="L56" t="s">
        <v>34</v>
      </c>
      <c r="M56">
        <f t="shared" si="1"/>
        <v>1</v>
      </c>
    </row>
    <row r="57" ht="18" customHeight="1" spans="1:13">
      <c r="A57" t="s">
        <v>141</v>
      </c>
      <c r="B57" s="12" t="s">
        <v>142</v>
      </c>
      <c r="C57" t="s">
        <v>15</v>
      </c>
      <c r="D57" t="s">
        <v>24</v>
      </c>
      <c r="E57" t="s">
        <v>17</v>
      </c>
      <c r="F57" s="12" t="s">
        <v>145</v>
      </c>
      <c r="G57" t="s">
        <v>19</v>
      </c>
      <c r="H57" t="s">
        <v>20</v>
      </c>
      <c r="I57" s="15" t="s">
        <v>146</v>
      </c>
      <c r="J57" t="s">
        <v>34</v>
      </c>
      <c r="K57" t="str">
        <f t="shared" si="0"/>
        <v>A</v>
      </c>
      <c r="L57" t="s">
        <v>34</v>
      </c>
      <c r="M57">
        <f t="shared" si="1"/>
        <v>1</v>
      </c>
    </row>
    <row r="58" ht="18" customHeight="1" spans="1:13">
      <c r="A58" t="s">
        <v>141</v>
      </c>
      <c r="B58" s="12" t="s">
        <v>142</v>
      </c>
      <c r="C58" t="s">
        <v>15</v>
      </c>
      <c r="D58" t="s">
        <v>28</v>
      </c>
      <c r="E58" t="s">
        <v>17</v>
      </c>
      <c r="F58" s="12" t="s">
        <v>147</v>
      </c>
      <c r="G58" t="s">
        <v>19</v>
      </c>
      <c r="H58" t="s">
        <v>20</v>
      </c>
      <c r="I58" t="s">
        <v>148</v>
      </c>
      <c r="J58" t="s">
        <v>22</v>
      </c>
      <c r="K58" t="str">
        <f t="shared" si="0"/>
        <v>D(平局)</v>
      </c>
      <c r="L58" t="s">
        <v>34</v>
      </c>
      <c r="M58">
        <f t="shared" si="1"/>
        <v>0</v>
      </c>
    </row>
    <row r="59" ht="18" customHeight="1" spans="1:13">
      <c r="A59" t="s">
        <v>141</v>
      </c>
      <c r="B59" s="12" t="s">
        <v>142</v>
      </c>
      <c r="C59" t="s">
        <v>31</v>
      </c>
      <c r="D59" t="s">
        <v>16</v>
      </c>
      <c r="E59" t="s">
        <v>17</v>
      </c>
      <c r="F59" s="12" t="s">
        <v>149</v>
      </c>
      <c r="G59" t="s">
        <v>19</v>
      </c>
      <c r="H59" t="s">
        <v>20</v>
      </c>
      <c r="I59" t="s">
        <v>150</v>
      </c>
      <c r="J59" t="s">
        <v>34</v>
      </c>
      <c r="K59" t="str">
        <f t="shared" si="0"/>
        <v>A</v>
      </c>
      <c r="L59" t="s">
        <v>34</v>
      </c>
      <c r="M59">
        <f t="shared" si="1"/>
        <v>1</v>
      </c>
    </row>
    <row r="60" ht="18" customHeight="1" spans="1:13">
      <c r="A60" t="s">
        <v>141</v>
      </c>
      <c r="B60" s="12" t="s">
        <v>142</v>
      </c>
      <c r="C60" t="s">
        <v>31</v>
      </c>
      <c r="D60" t="s">
        <v>24</v>
      </c>
      <c r="E60" t="s">
        <v>17</v>
      </c>
      <c r="F60" s="12" t="s">
        <v>151</v>
      </c>
      <c r="G60" t="s">
        <v>19</v>
      </c>
      <c r="H60" t="s">
        <v>20</v>
      </c>
      <c r="I60" t="s">
        <v>152</v>
      </c>
      <c r="J60" t="s">
        <v>34</v>
      </c>
      <c r="K60" t="str">
        <f t="shared" si="0"/>
        <v>A</v>
      </c>
      <c r="L60" t="s">
        <v>34</v>
      </c>
      <c r="M60">
        <f t="shared" si="1"/>
        <v>1</v>
      </c>
    </row>
    <row r="61" ht="18" customHeight="1" spans="1:13">
      <c r="A61" t="s">
        <v>141</v>
      </c>
      <c r="B61" s="12" t="s">
        <v>142</v>
      </c>
      <c r="C61" t="s">
        <v>31</v>
      </c>
      <c r="D61" t="s">
        <v>28</v>
      </c>
      <c r="E61" t="s">
        <v>17</v>
      </c>
      <c r="F61" s="12" t="s">
        <v>153</v>
      </c>
      <c r="G61" t="s">
        <v>19</v>
      </c>
      <c r="H61" t="s">
        <v>20</v>
      </c>
      <c r="I61" t="s">
        <v>154</v>
      </c>
      <c r="J61" t="s">
        <v>34</v>
      </c>
      <c r="K61" t="str">
        <f t="shared" si="0"/>
        <v>A</v>
      </c>
      <c r="L61" t="s">
        <v>34</v>
      </c>
      <c r="M61">
        <f t="shared" si="1"/>
        <v>1</v>
      </c>
    </row>
    <row r="62" ht="18" customHeight="1" spans="1:13">
      <c r="A62" t="s">
        <v>141</v>
      </c>
      <c r="B62" s="12" t="s">
        <v>142</v>
      </c>
      <c r="C62" t="s">
        <v>39</v>
      </c>
      <c r="D62" t="s">
        <v>16</v>
      </c>
      <c r="E62" t="s">
        <v>17</v>
      </c>
      <c r="F62" s="12" t="s">
        <v>155</v>
      </c>
      <c r="G62" t="s">
        <v>19</v>
      </c>
      <c r="H62" t="s">
        <v>20</v>
      </c>
      <c r="I62" t="s">
        <v>156</v>
      </c>
      <c r="J62" t="s">
        <v>34</v>
      </c>
      <c r="K62" t="str">
        <f t="shared" si="0"/>
        <v>B</v>
      </c>
      <c r="L62" t="s">
        <v>27</v>
      </c>
      <c r="M62">
        <f t="shared" si="1"/>
        <v>1</v>
      </c>
    </row>
    <row r="63" ht="18" customHeight="1" spans="1:13">
      <c r="A63" t="s">
        <v>141</v>
      </c>
      <c r="B63" s="12" t="s">
        <v>142</v>
      </c>
      <c r="C63" t="s">
        <v>39</v>
      </c>
      <c r="D63" t="s">
        <v>24</v>
      </c>
      <c r="E63" t="s">
        <v>17</v>
      </c>
      <c r="F63" s="12" t="s">
        <v>157</v>
      </c>
      <c r="G63" t="s">
        <v>19</v>
      </c>
      <c r="H63" t="s">
        <v>20</v>
      </c>
      <c r="I63" t="s">
        <v>158</v>
      </c>
      <c r="J63" t="s">
        <v>34</v>
      </c>
      <c r="K63" t="str">
        <f t="shared" si="0"/>
        <v>B</v>
      </c>
      <c r="L63" t="s">
        <v>27</v>
      </c>
      <c r="M63">
        <f t="shared" si="1"/>
        <v>1</v>
      </c>
    </row>
    <row r="64" ht="18" customHeight="1" spans="1:13">
      <c r="A64" t="s">
        <v>141</v>
      </c>
      <c r="B64" s="12" t="s">
        <v>142</v>
      </c>
      <c r="C64" t="s">
        <v>39</v>
      </c>
      <c r="D64" t="s">
        <v>28</v>
      </c>
      <c r="E64" t="s">
        <v>17</v>
      </c>
      <c r="F64" s="12" t="s">
        <v>159</v>
      </c>
      <c r="G64" t="s">
        <v>19</v>
      </c>
      <c r="H64" t="s">
        <v>20</v>
      </c>
      <c r="I64" t="s">
        <v>160</v>
      </c>
      <c r="J64" t="s">
        <v>34</v>
      </c>
      <c r="K64" t="str">
        <f t="shared" si="0"/>
        <v>B</v>
      </c>
      <c r="L64" t="s">
        <v>27</v>
      </c>
      <c r="M64">
        <f t="shared" si="1"/>
        <v>1</v>
      </c>
    </row>
    <row r="65" ht="18" customHeight="1" spans="1:13">
      <c r="A65" t="s">
        <v>141</v>
      </c>
      <c r="B65" s="12" t="s">
        <v>142</v>
      </c>
      <c r="C65" t="s">
        <v>15</v>
      </c>
      <c r="D65" t="s">
        <v>16</v>
      </c>
      <c r="E65" t="s">
        <v>46</v>
      </c>
      <c r="F65" s="12" t="s">
        <v>161</v>
      </c>
      <c r="G65" t="s">
        <v>19</v>
      </c>
      <c r="H65" t="s">
        <v>20</v>
      </c>
      <c r="I65" t="s">
        <v>162</v>
      </c>
      <c r="J65" t="s">
        <v>27</v>
      </c>
      <c r="K65" t="str">
        <f t="shared" si="0"/>
        <v>A</v>
      </c>
      <c r="L65" t="s">
        <v>34</v>
      </c>
      <c r="M65">
        <f t="shared" si="1"/>
        <v>1</v>
      </c>
    </row>
    <row r="66" ht="18" customHeight="1" spans="1:13">
      <c r="A66" t="s">
        <v>141</v>
      </c>
      <c r="B66" s="12" t="s">
        <v>142</v>
      </c>
      <c r="C66" t="s">
        <v>15</v>
      </c>
      <c r="D66" t="s">
        <v>24</v>
      </c>
      <c r="E66" t="s">
        <v>46</v>
      </c>
      <c r="F66" s="12" t="s">
        <v>163</v>
      </c>
      <c r="G66" t="s">
        <v>19</v>
      </c>
      <c r="H66" t="s">
        <v>20</v>
      </c>
      <c r="I66" t="s">
        <v>164</v>
      </c>
      <c r="J66" t="s">
        <v>27</v>
      </c>
      <c r="K66" t="str">
        <f t="shared" ref="K66:K129" si="2">IF(OR(J66="",C66="",E66=""),"",IF(J66="C","D(平局)",IF(J66=IF(E66="l2r","A","B"),LEFT(C66,1),RIGHT(C66,1))))</f>
        <v>A</v>
      </c>
      <c r="L66" t="s">
        <v>34</v>
      </c>
      <c r="M66">
        <f t="shared" ref="M66:M129" si="3">IF(OR(K66="",L66=""),"",--(K66=L66))</f>
        <v>1</v>
      </c>
    </row>
    <row r="67" ht="18" customHeight="1" spans="1:13">
      <c r="A67" t="s">
        <v>141</v>
      </c>
      <c r="B67" s="12" t="s">
        <v>142</v>
      </c>
      <c r="C67" t="s">
        <v>15</v>
      </c>
      <c r="D67" t="s">
        <v>28</v>
      </c>
      <c r="E67" t="s">
        <v>46</v>
      </c>
      <c r="F67" s="12" t="s">
        <v>165</v>
      </c>
      <c r="G67" t="s">
        <v>19</v>
      </c>
      <c r="H67" t="s">
        <v>20</v>
      </c>
      <c r="I67" t="s">
        <v>166</v>
      </c>
      <c r="J67" t="s">
        <v>34</v>
      </c>
      <c r="K67" t="str">
        <f t="shared" si="2"/>
        <v>B</v>
      </c>
      <c r="L67" t="s">
        <v>34</v>
      </c>
      <c r="M67">
        <f t="shared" si="3"/>
        <v>0</v>
      </c>
    </row>
    <row r="68" ht="18" customHeight="1" spans="1:13">
      <c r="A68" t="s">
        <v>141</v>
      </c>
      <c r="B68" s="12" t="s">
        <v>142</v>
      </c>
      <c r="C68" t="s">
        <v>31</v>
      </c>
      <c r="D68" t="s">
        <v>16</v>
      </c>
      <c r="E68" t="s">
        <v>46</v>
      </c>
      <c r="F68" s="12" t="s">
        <v>167</v>
      </c>
      <c r="G68" t="s">
        <v>19</v>
      </c>
      <c r="H68" t="s">
        <v>20</v>
      </c>
      <c r="I68" t="s">
        <v>168</v>
      </c>
      <c r="J68" t="s">
        <v>27</v>
      </c>
      <c r="K68" t="str">
        <f t="shared" si="2"/>
        <v>A</v>
      </c>
      <c r="L68" t="s">
        <v>34</v>
      </c>
      <c r="M68">
        <f t="shared" si="3"/>
        <v>1</v>
      </c>
    </row>
    <row r="69" ht="18" customHeight="1" spans="1:13">
      <c r="A69" t="s">
        <v>141</v>
      </c>
      <c r="B69" s="12" t="s">
        <v>142</v>
      </c>
      <c r="C69" t="s">
        <v>31</v>
      </c>
      <c r="D69" t="s">
        <v>24</v>
      </c>
      <c r="E69" t="s">
        <v>46</v>
      </c>
      <c r="F69" s="12" t="s">
        <v>169</v>
      </c>
      <c r="G69" t="s">
        <v>19</v>
      </c>
      <c r="H69" t="s">
        <v>20</v>
      </c>
      <c r="I69" t="s">
        <v>170</v>
      </c>
      <c r="J69" t="s">
        <v>27</v>
      </c>
      <c r="K69" t="str">
        <f t="shared" si="2"/>
        <v>A</v>
      </c>
      <c r="L69" t="s">
        <v>34</v>
      </c>
      <c r="M69">
        <f t="shared" si="3"/>
        <v>1</v>
      </c>
    </row>
    <row r="70" ht="18" customHeight="1" spans="1:13">
      <c r="A70" t="s">
        <v>141</v>
      </c>
      <c r="B70" s="12" t="s">
        <v>142</v>
      </c>
      <c r="C70" t="s">
        <v>31</v>
      </c>
      <c r="D70" t="s">
        <v>28</v>
      </c>
      <c r="E70" t="s">
        <v>46</v>
      </c>
      <c r="F70" s="12" t="s">
        <v>171</v>
      </c>
      <c r="G70" t="s">
        <v>19</v>
      </c>
      <c r="H70" t="s">
        <v>20</v>
      </c>
      <c r="I70" t="s">
        <v>172</v>
      </c>
      <c r="J70" t="s">
        <v>27</v>
      </c>
      <c r="K70" t="str">
        <f t="shared" si="2"/>
        <v>A</v>
      </c>
      <c r="L70" t="s">
        <v>34</v>
      </c>
      <c r="M70">
        <f t="shared" si="3"/>
        <v>1</v>
      </c>
    </row>
    <row r="71" ht="18" customHeight="1" spans="1:13">
      <c r="A71" t="s">
        <v>141</v>
      </c>
      <c r="B71" s="12" t="s">
        <v>142</v>
      </c>
      <c r="C71" t="s">
        <v>39</v>
      </c>
      <c r="D71" t="s">
        <v>16</v>
      </c>
      <c r="E71" t="s">
        <v>46</v>
      </c>
      <c r="F71" s="12" t="s">
        <v>173</v>
      </c>
      <c r="G71" t="s">
        <v>19</v>
      </c>
      <c r="H71" t="s">
        <v>20</v>
      </c>
      <c r="I71" t="s">
        <v>174</v>
      </c>
      <c r="J71" t="s">
        <v>27</v>
      </c>
      <c r="K71" t="str">
        <f t="shared" si="2"/>
        <v>B</v>
      </c>
      <c r="L71" t="s">
        <v>27</v>
      </c>
      <c r="M71">
        <f t="shared" si="3"/>
        <v>1</v>
      </c>
    </row>
    <row r="72" ht="18" customHeight="1" spans="1:13">
      <c r="A72" t="s">
        <v>141</v>
      </c>
      <c r="B72" s="12" t="s">
        <v>142</v>
      </c>
      <c r="C72" t="s">
        <v>39</v>
      </c>
      <c r="D72" t="s">
        <v>24</v>
      </c>
      <c r="E72" t="s">
        <v>46</v>
      </c>
      <c r="F72" s="12" t="s">
        <v>175</v>
      </c>
      <c r="G72" t="s">
        <v>19</v>
      </c>
      <c r="H72" t="s">
        <v>20</v>
      </c>
      <c r="I72" t="s">
        <v>176</v>
      </c>
      <c r="J72" t="s">
        <v>27</v>
      </c>
      <c r="K72" t="str">
        <f t="shared" si="2"/>
        <v>B</v>
      </c>
      <c r="L72" t="s">
        <v>27</v>
      </c>
      <c r="M72">
        <f t="shared" si="3"/>
        <v>1</v>
      </c>
    </row>
    <row r="73" ht="18" customHeight="1" spans="1:13">
      <c r="A73" t="s">
        <v>141</v>
      </c>
      <c r="B73" s="12" t="s">
        <v>142</v>
      </c>
      <c r="C73" t="s">
        <v>39</v>
      </c>
      <c r="D73" t="s">
        <v>28</v>
      </c>
      <c r="E73" t="s">
        <v>46</v>
      </c>
      <c r="F73" s="12" t="s">
        <v>177</v>
      </c>
      <c r="G73" t="s">
        <v>19</v>
      </c>
      <c r="H73" t="s">
        <v>20</v>
      </c>
      <c r="I73" t="s">
        <v>178</v>
      </c>
      <c r="J73" t="s">
        <v>27</v>
      </c>
      <c r="K73" t="str">
        <f t="shared" si="2"/>
        <v>B</v>
      </c>
      <c r="L73" t="s">
        <v>27</v>
      </c>
      <c r="M73">
        <f t="shared" si="3"/>
        <v>1</v>
      </c>
    </row>
    <row r="74" ht="18" customHeight="1" spans="1:13">
      <c r="A74" t="s">
        <v>179</v>
      </c>
      <c r="B74" s="12" t="s">
        <v>180</v>
      </c>
      <c r="C74" t="s">
        <v>15</v>
      </c>
      <c r="D74" t="s">
        <v>16</v>
      </c>
      <c r="E74" t="s">
        <v>17</v>
      </c>
      <c r="F74" s="12" t="s">
        <v>181</v>
      </c>
      <c r="G74" t="s">
        <v>19</v>
      </c>
      <c r="H74" t="s">
        <v>20</v>
      </c>
      <c r="I74" t="s">
        <v>182</v>
      </c>
      <c r="J74" t="s">
        <v>27</v>
      </c>
      <c r="K74" t="str">
        <f t="shared" si="2"/>
        <v>B</v>
      </c>
      <c r="L74" t="s">
        <v>27</v>
      </c>
      <c r="M74">
        <f t="shared" si="3"/>
        <v>1</v>
      </c>
    </row>
    <row r="75" ht="18" customHeight="1" spans="1:13">
      <c r="A75" t="s">
        <v>179</v>
      </c>
      <c r="B75" s="12" t="s">
        <v>180</v>
      </c>
      <c r="C75" t="s">
        <v>15</v>
      </c>
      <c r="D75" t="s">
        <v>24</v>
      </c>
      <c r="E75" t="s">
        <v>17</v>
      </c>
      <c r="F75" s="12" t="s">
        <v>183</v>
      </c>
      <c r="G75" t="s">
        <v>19</v>
      </c>
      <c r="H75" t="s">
        <v>20</v>
      </c>
      <c r="I75" t="s">
        <v>184</v>
      </c>
      <c r="J75" t="s">
        <v>22</v>
      </c>
      <c r="K75" t="str">
        <f t="shared" si="2"/>
        <v>D(平局)</v>
      </c>
      <c r="L75" t="s">
        <v>27</v>
      </c>
      <c r="M75">
        <f t="shared" si="3"/>
        <v>0</v>
      </c>
    </row>
    <row r="76" ht="18" customHeight="1" spans="1:13">
      <c r="A76" t="s">
        <v>179</v>
      </c>
      <c r="B76" s="12" t="s">
        <v>180</v>
      </c>
      <c r="C76" t="s">
        <v>15</v>
      </c>
      <c r="D76" t="s">
        <v>28</v>
      </c>
      <c r="E76" t="s">
        <v>17</v>
      </c>
      <c r="F76" s="12" t="s">
        <v>185</v>
      </c>
      <c r="G76" t="s">
        <v>19</v>
      </c>
      <c r="H76" t="s">
        <v>20</v>
      </c>
      <c r="I76" t="s">
        <v>186</v>
      </c>
      <c r="J76" t="s">
        <v>27</v>
      </c>
      <c r="K76" t="str">
        <f t="shared" si="2"/>
        <v>B</v>
      </c>
      <c r="L76" t="s">
        <v>27</v>
      </c>
      <c r="M76">
        <f t="shared" si="3"/>
        <v>1</v>
      </c>
    </row>
    <row r="77" ht="18" customHeight="1" spans="1:13">
      <c r="A77" t="s">
        <v>179</v>
      </c>
      <c r="B77" s="12" t="s">
        <v>180</v>
      </c>
      <c r="C77" t="s">
        <v>31</v>
      </c>
      <c r="D77" t="s">
        <v>16</v>
      </c>
      <c r="E77" t="s">
        <v>17</v>
      </c>
      <c r="F77" s="12" t="s">
        <v>187</v>
      </c>
      <c r="G77" t="s">
        <v>19</v>
      </c>
      <c r="H77" t="s">
        <v>20</v>
      </c>
      <c r="I77" t="s">
        <v>188</v>
      </c>
      <c r="J77" t="s">
        <v>22</v>
      </c>
      <c r="K77" t="str">
        <f t="shared" si="2"/>
        <v>D(平局)</v>
      </c>
      <c r="L77" t="s">
        <v>34</v>
      </c>
      <c r="M77">
        <f t="shared" si="3"/>
        <v>0</v>
      </c>
    </row>
    <row r="78" ht="18" customHeight="1" spans="1:13">
      <c r="A78" t="s">
        <v>179</v>
      </c>
      <c r="B78" s="12" t="s">
        <v>180</v>
      </c>
      <c r="C78" t="s">
        <v>31</v>
      </c>
      <c r="D78" t="s">
        <v>24</v>
      </c>
      <c r="E78" t="s">
        <v>17</v>
      </c>
      <c r="F78" s="12" t="s">
        <v>189</v>
      </c>
      <c r="G78" t="s">
        <v>19</v>
      </c>
      <c r="H78" t="s">
        <v>20</v>
      </c>
      <c r="I78" t="s">
        <v>190</v>
      </c>
      <c r="J78" t="s">
        <v>27</v>
      </c>
      <c r="K78" t="str">
        <f t="shared" si="2"/>
        <v>C</v>
      </c>
      <c r="L78" t="s">
        <v>34</v>
      </c>
      <c r="M78">
        <f t="shared" si="3"/>
        <v>0</v>
      </c>
    </row>
    <row r="79" ht="18" customHeight="1" spans="1:13">
      <c r="A79" t="s">
        <v>179</v>
      </c>
      <c r="B79" s="12" t="s">
        <v>180</v>
      </c>
      <c r="C79" t="s">
        <v>31</v>
      </c>
      <c r="D79" t="s">
        <v>28</v>
      </c>
      <c r="E79" t="s">
        <v>17</v>
      </c>
      <c r="F79" s="12" t="s">
        <v>191</v>
      </c>
      <c r="G79" t="s">
        <v>19</v>
      </c>
      <c r="H79" t="s">
        <v>20</v>
      </c>
      <c r="I79" t="s">
        <v>192</v>
      </c>
      <c r="J79" t="s">
        <v>34</v>
      </c>
      <c r="K79" t="str">
        <f t="shared" si="2"/>
        <v>A</v>
      </c>
      <c r="L79" t="s">
        <v>34</v>
      </c>
      <c r="M79">
        <f t="shared" si="3"/>
        <v>1</v>
      </c>
    </row>
    <row r="80" ht="18" customHeight="1" spans="1:13">
      <c r="A80" t="s">
        <v>179</v>
      </c>
      <c r="B80" s="12" t="s">
        <v>180</v>
      </c>
      <c r="C80" t="s">
        <v>39</v>
      </c>
      <c r="D80" t="s">
        <v>16</v>
      </c>
      <c r="E80" t="s">
        <v>17</v>
      </c>
      <c r="F80" s="12" t="s">
        <v>193</v>
      </c>
      <c r="G80" t="s">
        <v>19</v>
      </c>
      <c r="H80" t="s">
        <v>20</v>
      </c>
      <c r="I80" t="s">
        <v>194</v>
      </c>
      <c r="J80" t="s">
        <v>34</v>
      </c>
      <c r="K80" t="str">
        <f t="shared" si="2"/>
        <v>B</v>
      </c>
      <c r="L80" t="s">
        <v>27</v>
      </c>
      <c r="M80">
        <f t="shared" si="3"/>
        <v>1</v>
      </c>
    </row>
    <row r="81" ht="18" customHeight="1" spans="1:13">
      <c r="A81" t="s">
        <v>179</v>
      </c>
      <c r="B81" s="12" t="s">
        <v>180</v>
      </c>
      <c r="C81" t="s">
        <v>39</v>
      </c>
      <c r="D81" t="s">
        <v>24</v>
      </c>
      <c r="E81" t="s">
        <v>17</v>
      </c>
      <c r="F81" s="12" t="s">
        <v>195</v>
      </c>
      <c r="G81" t="s">
        <v>19</v>
      </c>
      <c r="H81" t="s">
        <v>20</v>
      </c>
      <c r="I81" t="s">
        <v>196</v>
      </c>
      <c r="J81" t="s">
        <v>34</v>
      </c>
      <c r="K81" t="str">
        <f t="shared" si="2"/>
        <v>B</v>
      </c>
      <c r="L81" t="s">
        <v>27</v>
      </c>
      <c r="M81">
        <f t="shared" si="3"/>
        <v>1</v>
      </c>
    </row>
    <row r="82" ht="18" customHeight="1" spans="1:13">
      <c r="A82" t="s">
        <v>179</v>
      </c>
      <c r="B82" s="12" t="s">
        <v>180</v>
      </c>
      <c r="C82" t="s">
        <v>39</v>
      </c>
      <c r="D82" t="s">
        <v>28</v>
      </c>
      <c r="E82" t="s">
        <v>17</v>
      </c>
      <c r="F82" s="12" t="s">
        <v>197</v>
      </c>
      <c r="G82" t="s">
        <v>19</v>
      </c>
      <c r="H82" t="s">
        <v>20</v>
      </c>
      <c r="I82" t="s">
        <v>198</v>
      </c>
      <c r="J82" t="s">
        <v>34</v>
      </c>
      <c r="K82" t="str">
        <f t="shared" si="2"/>
        <v>B</v>
      </c>
      <c r="L82" t="s">
        <v>27</v>
      </c>
      <c r="M82">
        <f t="shared" si="3"/>
        <v>1</v>
      </c>
    </row>
    <row r="83" ht="18" customHeight="1" spans="1:13">
      <c r="A83" t="s">
        <v>179</v>
      </c>
      <c r="B83" s="12" t="s">
        <v>180</v>
      </c>
      <c r="C83" t="s">
        <v>15</v>
      </c>
      <c r="D83" t="s">
        <v>16</v>
      </c>
      <c r="E83" t="s">
        <v>46</v>
      </c>
      <c r="F83" s="12" t="s">
        <v>199</v>
      </c>
      <c r="G83" t="s">
        <v>19</v>
      </c>
      <c r="H83" t="s">
        <v>20</v>
      </c>
      <c r="I83" t="s">
        <v>200</v>
      </c>
      <c r="J83" t="s">
        <v>34</v>
      </c>
      <c r="K83" t="str">
        <f t="shared" si="2"/>
        <v>B</v>
      </c>
      <c r="L83" t="s">
        <v>27</v>
      </c>
      <c r="M83">
        <f t="shared" si="3"/>
        <v>1</v>
      </c>
    </row>
    <row r="84" ht="18" customHeight="1" spans="1:13">
      <c r="A84" t="s">
        <v>179</v>
      </c>
      <c r="B84" s="12" t="s">
        <v>180</v>
      </c>
      <c r="C84" t="s">
        <v>15</v>
      </c>
      <c r="D84" t="s">
        <v>24</v>
      </c>
      <c r="E84" t="s">
        <v>46</v>
      </c>
      <c r="F84" s="12" t="s">
        <v>201</v>
      </c>
      <c r="G84" t="s">
        <v>19</v>
      </c>
      <c r="H84" t="s">
        <v>20</v>
      </c>
      <c r="I84" t="s">
        <v>202</v>
      </c>
      <c r="J84" t="s">
        <v>34</v>
      </c>
      <c r="K84" t="str">
        <f t="shared" si="2"/>
        <v>B</v>
      </c>
      <c r="L84" t="s">
        <v>27</v>
      </c>
      <c r="M84">
        <f t="shared" si="3"/>
        <v>1</v>
      </c>
    </row>
    <row r="85" ht="18" customHeight="1" spans="1:13">
      <c r="A85" t="s">
        <v>179</v>
      </c>
      <c r="B85" s="12" t="s">
        <v>180</v>
      </c>
      <c r="C85" t="s">
        <v>15</v>
      </c>
      <c r="D85" t="s">
        <v>28</v>
      </c>
      <c r="E85" t="s">
        <v>46</v>
      </c>
      <c r="F85" s="12" t="s">
        <v>203</v>
      </c>
      <c r="G85" t="s">
        <v>19</v>
      </c>
      <c r="H85" t="s">
        <v>20</v>
      </c>
      <c r="I85" t="s">
        <v>204</v>
      </c>
      <c r="J85" t="s">
        <v>34</v>
      </c>
      <c r="K85" t="str">
        <f t="shared" si="2"/>
        <v>B</v>
      </c>
      <c r="L85" t="s">
        <v>27</v>
      </c>
      <c r="M85">
        <f t="shared" si="3"/>
        <v>1</v>
      </c>
    </row>
    <row r="86" ht="18" customHeight="1" spans="1:13">
      <c r="A86" t="s">
        <v>179</v>
      </c>
      <c r="B86" s="12" t="s">
        <v>180</v>
      </c>
      <c r="C86" t="s">
        <v>31</v>
      </c>
      <c r="D86" t="s">
        <v>16</v>
      </c>
      <c r="E86" t="s">
        <v>46</v>
      </c>
      <c r="F86" s="12" t="s">
        <v>205</v>
      </c>
      <c r="G86" t="s">
        <v>19</v>
      </c>
      <c r="H86" t="s">
        <v>20</v>
      </c>
      <c r="I86" t="s">
        <v>206</v>
      </c>
      <c r="J86" t="s">
        <v>34</v>
      </c>
      <c r="K86" t="str">
        <f t="shared" si="2"/>
        <v>C</v>
      </c>
      <c r="L86" t="s">
        <v>34</v>
      </c>
      <c r="M86">
        <f t="shared" si="3"/>
        <v>0</v>
      </c>
    </row>
    <row r="87" ht="18" customHeight="1" spans="1:13">
      <c r="A87" t="s">
        <v>179</v>
      </c>
      <c r="B87" s="12" t="s">
        <v>180</v>
      </c>
      <c r="C87" t="s">
        <v>31</v>
      </c>
      <c r="D87" t="s">
        <v>24</v>
      </c>
      <c r="E87" t="s">
        <v>46</v>
      </c>
      <c r="F87" s="12" t="s">
        <v>207</v>
      </c>
      <c r="G87" t="s">
        <v>19</v>
      </c>
      <c r="H87" t="s">
        <v>20</v>
      </c>
      <c r="I87" t="s">
        <v>208</v>
      </c>
      <c r="J87" t="s">
        <v>34</v>
      </c>
      <c r="K87" t="str">
        <f t="shared" si="2"/>
        <v>C</v>
      </c>
      <c r="L87" t="s">
        <v>34</v>
      </c>
      <c r="M87">
        <f t="shared" si="3"/>
        <v>0</v>
      </c>
    </row>
    <row r="88" ht="18" customHeight="1" spans="1:13">
      <c r="A88" t="s">
        <v>179</v>
      </c>
      <c r="B88" s="12" t="s">
        <v>180</v>
      </c>
      <c r="C88" t="s">
        <v>31</v>
      </c>
      <c r="D88" t="s">
        <v>28</v>
      </c>
      <c r="E88" t="s">
        <v>46</v>
      </c>
      <c r="F88" s="12" t="s">
        <v>209</v>
      </c>
      <c r="G88" t="s">
        <v>19</v>
      </c>
      <c r="H88" t="s">
        <v>20</v>
      </c>
      <c r="I88" t="s">
        <v>210</v>
      </c>
      <c r="J88" t="s">
        <v>22</v>
      </c>
      <c r="K88" t="str">
        <f t="shared" si="2"/>
        <v>D(平局)</v>
      </c>
      <c r="L88" t="s">
        <v>34</v>
      </c>
      <c r="M88">
        <f t="shared" si="3"/>
        <v>0</v>
      </c>
    </row>
    <row r="89" ht="18" customHeight="1" spans="1:13">
      <c r="A89" t="s">
        <v>179</v>
      </c>
      <c r="B89" s="12" t="s">
        <v>180</v>
      </c>
      <c r="C89" t="s">
        <v>39</v>
      </c>
      <c r="D89" t="s">
        <v>16</v>
      </c>
      <c r="E89" t="s">
        <v>46</v>
      </c>
      <c r="F89" s="12" t="s">
        <v>211</v>
      </c>
      <c r="G89" t="s">
        <v>19</v>
      </c>
      <c r="H89" t="s">
        <v>20</v>
      </c>
      <c r="I89" t="s">
        <v>212</v>
      </c>
      <c r="J89" t="s">
        <v>34</v>
      </c>
      <c r="K89" t="str">
        <f t="shared" si="2"/>
        <v>C</v>
      </c>
      <c r="L89" t="s">
        <v>27</v>
      </c>
      <c r="M89">
        <f t="shared" si="3"/>
        <v>0</v>
      </c>
    </row>
    <row r="90" ht="18" customHeight="1" spans="1:13">
      <c r="A90" t="s">
        <v>179</v>
      </c>
      <c r="B90" s="12" t="s">
        <v>180</v>
      </c>
      <c r="C90" t="s">
        <v>39</v>
      </c>
      <c r="D90" t="s">
        <v>24</v>
      </c>
      <c r="E90" t="s">
        <v>46</v>
      </c>
      <c r="F90" s="12" t="s">
        <v>213</v>
      </c>
      <c r="G90" t="s">
        <v>19</v>
      </c>
      <c r="H90" t="s">
        <v>20</v>
      </c>
      <c r="I90" t="s">
        <v>214</v>
      </c>
      <c r="J90" t="s">
        <v>22</v>
      </c>
      <c r="K90" t="str">
        <f t="shared" si="2"/>
        <v>D(平局)</v>
      </c>
      <c r="L90" t="s">
        <v>27</v>
      </c>
      <c r="M90">
        <f t="shared" si="3"/>
        <v>0</v>
      </c>
    </row>
    <row r="91" ht="18" customHeight="1" spans="1:13">
      <c r="A91" t="s">
        <v>179</v>
      </c>
      <c r="B91" s="12" t="s">
        <v>180</v>
      </c>
      <c r="C91" t="s">
        <v>39</v>
      </c>
      <c r="D91" t="s">
        <v>28</v>
      </c>
      <c r="E91" t="s">
        <v>46</v>
      </c>
      <c r="F91" s="12" t="s">
        <v>215</v>
      </c>
      <c r="G91" t="s">
        <v>19</v>
      </c>
      <c r="H91" t="s">
        <v>20</v>
      </c>
      <c r="I91" t="s">
        <v>216</v>
      </c>
      <c r="J91" t="s">
        <v>34</v>
      </c>
      <c r="K91" t="str">
        <f t="shared" si="2"/>
        <v>C</v>
      </c>
      <c r="L91" t="s">
        <v>27</v>
      </c>
      <c r="M91">
        <f t="shared" si="3"/>
        <v>0</v>
      </c>
    </row>
    <row r="92" ht="18" customHeight="1" spans="1:13">
      <c r="A92" t="s">
        <v>217</v>
      </c>
      <c r="B92" s="12" t="s">
        <v>218</v>
      </c>
      <c r="C92" t="s">
        <v>15</v>
      </c>
      <c r="D92" t="s">
        <v>16</v>
      </c>
      <c r="E92" t="s">
        <v>17</v>
      </c>
      <c r="F92" s="12" t="s">
        <v>219</v>
      </c>
      <c r="G92" t="s">
        <v>19</v>
      </c>
      <c r="H92" t="s">
        <v>20</v>
      </c>
      <c r="I92" t="s">
        <v>220</v>
      </c>
      <c r="J92" t="s">
        <v>22</v>
      </c>
      <c r="K92" t="str">
        <f t="shared" si="2"/>
        <v>D(平局)</v>
      </c>
      <c r="L92" t="s">
        <v>34</v>
      </c>
      <c r="M92">
        <f t="shared" si="3"/>
        <v>0</v>
      </c>
    </row>
    <row r="93" ht="18" customHeight="1" spans="1:13">
      <c r="A93" t="s">
        <v>217</v>
      </c>
      <c r="B93" s="12" t="s">
        <v>218</v>
      </c>
      <c r="C93" t="s">
        <v>15</v>
      </c>
      <c r="D93" t="s">
        <v>24</v>
      </c>
      <c r="E93" t="s">
        <v>17</v>
      </c>
      <c r="F93" s="12" t="s">
        <v>221</v>
      </c>
      <c r="G93" t="s">
        <v>19</v>
      </c>
      <c r="H93" t="s">
        <v>20</v>
      </c>
      <c r="I93" t="s">
        <v>222</v>
      </c>
      <c r="J93" t="s">
        <v>34</v>
      </c>
      <c r="K93" t="str">
        <f t="shared" si="2"/>
        <v>A</v>
      </c>
      <c r="L93" t="s">
        <v>34</v>
      </c>
      <c r="M93">
        <f t="shared" si="3"/>
        <v>1</v>
      </c>
    </row>
    <row r="94" ht="18" customHeight="1" spans="1:13">
      <c r="A94" t="s">
        <v>217</v>
      </c>
      <c r="B94" s="12" t="s">
        <v>218</v>
      </c>
      <c r="C94" t="s">
        <v>15</v>
      </c>
      <c r="D94" t="s">
        <v>28</v>
      </c>
      <c r="E94" t="s">
        <v>17</v>
      </c>
      <c r="F94" s="12" t="s">
        <v>223</v>
      </c>
      <c r="G94" t="s">
        <v>19</v>
      </c>
      <c r="H94" t="s">
        <v>20</v>
      </c>
      <c r="I94" t="s">
        <v>224</v>
      </c>
      <c r="J94" t="s">
        <v>34</v>
      </c>
      <c r="K94" t="str">
        <f t="shared" si="2"/>
        <v>A</v>
      </c>
      <c r="L94" t="s">
        <v>34</v>
      </c>
      <c r="M94">
        <f t="shared" si="3"/>
        <v>1</v>
      </c>
    </row>
    <row r="95" ht="18" customHeight="1" spans="1:13">
      <c r="A95" t="s">
        <v>217</v>
      </c>
      <c r="B95" s="12" t="s">
        <v>218</v>
      </c>
      <c r="C95" t="s">
        <v>31</v>
      </c>
      <c r="D95" t="s">
        <v>16</v>
      </c>
      <c r="E95" t="s">
        <v>17</v>
      </c>
      <c r="F95" s="12" t="s">
        <v>225</v>
      </c>
      <c r="G95" t="s">
        <v>19</v>
      </c>
      <c r="H95" t="s">
        <v>20</v>
      </c>
      <c r="I95" t="s">
        <v>226</v>
      </c>
      <c r="J95" t="s">
        <v>27</v>
      </c>
      <c r="K95" t="str">
        <f t="shared" si="2"/>
        <v>C</v>
      </c>
      <c r="L95" t="s">
        <v>22</v>
      </c>
      <c r="M95">
        <f t="shared" si="3"/>
        <v>1</v>
      </c>
    </row>
    <row r="96" ht="18" customHeight="1" spans="1:13">
      <c r="A96" t="s">
        <v>217</v>
      </c>
      <c r="B96" s="12" t="s">
        <v>218</v>
      </c>
      <c r="C96" t="s">
        <v>31</v>
      </c>
      <c r="D96" t="s">
        <v>24</v>
      </c>
      <c r="E96" t="s">
        <v>17</v>
      </c>
      <c r="F96" s="12" t="s">
        <v>227</v>
      </c>
      <c r="G96" t="s">
        <v>19</v>
      </c>
      <c r="H96" t="s">
        <v>20</v>
      </c>
      <c r="I96" t="s">
        <v>228</v>
      </c>
      <c r="J96" t="s">
        <v>34</v>
      </c>
      <c r="K96" t="str">
        <f t="shared" si="2"/>
        <v>A</v>
      </c>
      <c r="L96" t="s">
        <v>22</v>
      </c>
      <c r="M96">
        <f t="shared" si="3"/>
        <v>0</v>
      </c>
    </row>
    <row r="97" ht="18" customHeight="1" spans="1:13">
      <c r="A97" t="s">
        <v>217</v>
      </c>
      <c r="B97" s="12" t="s">
        <v>218</v>
      </c>
      <c r="C97" t="s">
        <v>31</v>
      </c>
      <c r="D97" t="s">
        <v>28</v>
      </c>
      <c r="E97" t="s">
        <v>17</v>
      </c>
      <c r="F97" s="12" t="s">
        <v>229</v>
      </c>
      <c r="G97" t="s">
        <v>19</v>
      </c>
      <c r="H97" t="s">
        <v>20</v>
      </c>
      <c r="I97" t="s">
        <v>230</v>
      </c>
      <c r="J97" t="s">
        <v>27</v>
      </c>
      <c r="K97" t="str">
        <f t="shared" si="2"/>
        <v>C</v>
      </c>
      <c r="L97" t="s">
        <v>22</v>
      </c>
      <c r="M97">
        <f t="shared" si="3"/>
        <v>1</v>
      </c>
    </row>
    <row r="98" ht="18" customHeight="1" spans="1:13">
      <c r="A98" t="s">
        <v>217</v>
      </c>
      <c r="B98" s="12" t="s">
        <v>218</v>
      </c>
      <c r="C98" t="s">
        <v>39</v>
      </c>
      <c r="D98" t="s">
        <v>16</v>
      </c>
      <c r="E98" t="s">
        <v>17</v>
      </c>
      <c r="F98" s="12" t="s">
        <v>231</v>
      </c>
      <c r="G98" t="s">
        <v>19</v>
      </c>
      <c r="H98" t="s">
        <v>20</v>
      </c>
      <c r="I98" t="s">
        <v>232</v>
      </c>
      <c r="J98" t="s">
        <v>27</v>
      </c>
      <c r="K98" t="str">
        <f t="shared" si="2"/>
        <v>C</v>
      </c>
      <c r="L98" t="s">
        <v>22</v>
      </c>
      <c r="M98">
        <f t="shared" si="3"/>
        <v>1</v>
      </c>
    </row>
    <row r="99" ht="18" customHeight="1" spans="1:13">
      <c r="A99" t="s">
        <v>217</v>
      </c>
      <c r="B99" s="12" t="s">
        <v>218</v>
      </c>
      <c r="C99" t="s">
        <v>39</v>
      </c>
      <c r="D99" t="s">
        <v>24</v>
      </c>
      <c r="E99" t="s">
        <v>17</v>
      </c>
      <c r="F99" s="12" t="s">
        <v>233</v>
      </c>
      <c r="G99" t="s">
        <v>19</v>
      </c>
      <c r="H99" t="s">
        <v>20</v>
      </c>
      <c r="I99" t="s">
        <v>234</v>
      </c>
      <c r="J99" t="s">
        <v>27</v>
      </c>
      <c r="K99" t="str">
        <f t="shared" si="2"/>
        <v>C</v>
      </c>
      <c r="L99" t="s">
        <v>22</v>
      </c>
      <c r="M99">
        <f t="shared" si="3"/>
        <v>1</v>
      </c>
    </row>
    <row r="100" ht="18" customHeight="1" spans="1:13">
      <c r="A100" t="s">
        <v>217</v>
      </c>
      <c r="B100" s="12" t="s">
        <v>218</v>
      </c>
      <c r="C100" t="s">
        <v>39</v>
      </c>
      <c r="D100" t="s">
        <v>28</v>
      </c>
      <c r="E100" t="s">
        <v>17</v>
      </c>
      <c r="F100" s="12" t="s">
        <v>235</v>
      </c>
      <c r="G100" t="s">
        <v>19</v>
      </c>
      <c r="H100" t="s">
        <v>20</v>
      </c>
      <c r="I100" t="s">
        <v>236</v>
      </c>
      <c r="J100" t="s">
        <v>27</v>
      </c>
      <c r="K100" t="str">
        <f t="shared" si="2"/>
        <v>C</v>
      </c>
      <c r="L100" t="s">
        <v>22</v>
      </c>
      <c r="M100">
        <f t="shared" si="3"/>
        <v>1</v>
      </c>
    </row>
    <row r="101" ht="18" customHeight="1" spans="1:13">
      <c r="A101" t="s">
        <v>217</v>
      </c>
      <c r="B101" s="12" t="s">
        <v>218</v>
      </c>
      <c r="C101" t="s">
        <v>15</v>
      </c>
      <c r="D101" t="s">
        <v>16</v>
      </c>
      <c r="E101" t="s">
        <v>46</v>
      </c>
      <c r="F101" s="12" t="s">
        <v>237</v>
      </c>
      <c r="G101" t="s">
        <v>19</v>
      </c>
      <c r="H101" t="s">
        <v>20</v>
      </c>
      <c r="I101" t="s">
        <v>238</v>
      </c>
      <c r="J101" t="s">
        <v>22</v>
      </c>
      <c r="K101" t="str">
        <f t="shared" si="2"/>
        <v>D(平局)</v>
      </c>
      <c r="L101" t="s">
        <v>34</v>
      </c>
      <c r="M101">
        <f t="shared" si="3"/>
        <v>0</v>
      </c>
    </row>
    <row r="102" ht="18" customHeight="1" spans="1:13">
      <c r="A102" t="s">
        <v>217</v>
      </c>
      <c r="B102" s="12" t="s">
        <v>218</v>
      </c>
      <c r="C102" t="s">
        <v>15</v>
      </c>
      <c r="D102" t="s">
        <v>24</v>
      </c>
      <c r="E102" t="s">
        <v>46</v>
      </c>
      <c r="F102" s="12" t="s">
        <v>239</v>
      </c>
      <c r="G102" t="s">
        <v>19</v>
      </c>
      <c r="H102" t="s">
        <v>20</v>
      </c>
      <c r="I102" t="s">
        <v>240</v>
      </c>
      <c r="J102" t="s">
        <v>34</v>
      </c>
      <c r="K102" t="str">
        <f t="shared" si="2"/>
        <v>B</v>
      </c>
      <c r="L102" t="s">
        <v>34</v>
      </c>
      <c r="M102">
        <f t="shared" si="3"/>
        <v>0</v>
      </c>
    </row>
    <row r="103" ht="18" customHeight="1" spans="1:13">
      <c r="A103" t="s">
        <v>217</v>
      </c>
      <c r="B103" s="12" t="s">
        <v>218</v>
      </c>
      <c r="C103" t="s">
        <v>15</v>
      </c>
      <c r="D103" t="s">
        <v>28</v>
      </c>
      <c r="E103" t="s">
        <v>46</v>
      </c>
      <c r="F103" s="12" t="s">
        <v>241</v>
      </c>
      <c r="G103" t="s">
        <v>19</v>
      </c>
      <c r="H103" t="s">
        <v>20</v>
      </c>
      <c r="I103" t="s">
        <v>242</v>
      </c>
      <c r="J103" t="s">
        <v>34</v>
      </c>
      <c r="K103" t="str">
        <f t="shared" si="2"/>
        <v>B</v>
      </c>
      <c r="L103" t="s">
        <v>34</v>
      </c>
      <c r="M103">
        <f t="shared" si="3"/>
        <v>0</v>
      </c>
    </row>
    <row r="104" ht="18" customHeight="1" spans="1:13">
      <c r="A104" t="s">
        <v>217</v>
      </c>
      <c r="B104" s="12" t="s">
        <v>218</v>
      </c>
      <c r="C104" t="s">
        <v>31</v>
      </c>
      <c r="D104" t="s">
        <v>16</v>
      </c>
      <c r="E104" t="s">
        <v>46</v>
      </c>
      <c r="F104" s="12" t="s">
        <v>243</v>
      </c>
      <c r="G104" t="s">
        <v>19</v>
      </c>
      <c r="H104" t="s">
        <v>20</v>
      </c>
      <c r="I104" t="s">
        <v>244</v>
      </c>
      <c r="J104" t="s">
        <v>34</v>
      </c>
      <c r="K104" t="str">
        <f t="shared" si="2"/>
        <v>C</v>
      </c>
      <c r="L104" t="s">
        <v>22</v>
      </c>
      <c r="M104">
        <f t="shared" si="3"/>
        <v>1</v>
      </c>
    </row>
    <row r="105" ht="18" customHeight="1" spans="1:13">
      <c r="A105" t="s">
        <v>217</v>
      </c>
      <c r="B105" s="12" t="s">
        <v>218</v>
      </c>
      <c r="C105" t="s">
        <v>31</v>
      </c>
      <c r="D105" t="s">
        <v>24</v>
      </c>
      <c r="E105" t="s">
        <v>46</v>
      </c>
      <c r="F105" s="12" t="s">
        <v>245</v>
      </c>
      <c r="G105" t="s">
        <v>19</v>
      </c>
      <c r="H105" t="s">
        <v>20</v>
      </c>
      <c r="I105" t="s">
        <v>246</v>
      </c>
      <c r="J105" t="s">
        <v>34</v>
      </c>
      <c r="K105" t="str">
        <f t="shared" si="2"/>
        <v>C</v>
      </c>
      <c r="L105" t="s">
        <v>22</v>
      </c>
      <c r="M105">
        <f t="shared" si="3"/>
        <v>1</v>
      </c>
    </row>
    <row r="106" ht="18" customHeight="1" spans="1:13">
      <c r="A106" t="s">
        <v>217</v>
      </c>
      <c r="B106" s="12" t="s">
        <v>218</v>
      </c>
      <c r="C106" t="s">
        <v>31</v>
      </c>
      <c r="D106" t="s">
        <v>28</v>
      </c>
      <c r="E106" t="s">
        <v>46</v>
      </c>
      <c r="F106" s="12" t="s">
        <v>247</v>
      </c>
      <c r="G106" t="s">
        <v>19</v>
      </c>
      <c r="H106" t="s">
        <v>20</v>
      </c>
      <c r="I106" t="s">
        <v>248</v>
      </c>
      <c r="J106" t="s">
        <v>34</v>
      </c>
      <c r="K106" t="str">
        <f t="shared" si="2"/>
        <v>C</v>
      </c>
      <c r="L106" t="s">
        <v>22</v>
      </c>
      <c r="M106">
        <f t="shared" si="3"/>
        <v>1</v>
      </c>
    </row>
    <row r="107" ht="18" customHeight="1" spans="1:13">
      <c r="A107" t="s">
        <v>217</v>
      </c>
      <c r="B107" s="12" t="s">
        <v>218</v>
      </c>
      <c r="C107" t="s">
        <v>39</v>
      </c>
      <c r="D107" t="s">
        <v>16</v>
      </c>
      <c r="E107" t="s">
        <v>46</v>
      </c>
      <c r="F107" s="12" t="s">
        <v>249</v>
      </c>
      <c r="G107" t="s">
        <v>19</v>
      </c>
      <c r="H107" t="s">
        <v>20</v>
      </c>
      <c r="I107" t="s">
        <v>250</v>
      </c>
      <c r="J107" t="s">
        <v>34</v>
      </c>
      <c r="K107" t="str">
        <f t="shared" si="2"/>
        <v>C</v>
      </c>
      <c r="L107" t="s">
        <v>22</v>
      </c>
      <c r="M107">
        <f t="shared" si="3"/>
        <v>1</v>
      </c>
    </row>
    <row r="108" ht="18" customHeight="1" spans="1:13">
      <c r="A108" t="s">
        <v>217</v>
      </c>
      <c r="B108" s="12" t="s">
        <v>218</v>
      </c>
      <c r="C108" t="s">
        <v>39</v>
      </c>
      <c r="D108" t="s">
        <v>24</v>
      </c>
      <c r="E108" t="s">
        <v>46</v>
      </c>
      <c r="F108" s="12" t="s">
        <v>251</v>
      </c>
      <c r="G108" t="s">
        <v>19</v>
      </c>
      <c r="H108" t="s">
        <v>20</v>
      </c>
      <c r="I108" t="s">
        <v>252</v>
      </c>
      <c r="J108" t="s">
        <v>34</v>
      </c>
      <c r="K108" t="str">
        <f t="shared" si="2"/>
        <v>C</v>
      </c>
      <c r="L108" t="s">
        <v>22</v>
      </c>
      <c r="M108">
        <f t="shared" si="3"/>
        <v>1</v>
      </c>
    </row>
    <row r="109" ht="18" customHeight="1" spans="1:13">
      <c r="A109" t="s">
        <v>217</v>
      </c>
      <c r="B109" s="12" t="s">
        <v>218</v>
      </c>
      <c r="C109" t="s">
        <v>39</v>
      </c>
      <c r="D109" t="s">
        <v>28</v>
      </c>
      <c r="E109" t="s">
        <v>46</v>
      </c>
      <c r="F109" s="12" t="s">
        <v>253</v>
      </c>
      <c r="G109" t="s">
        <v>19</v>
      </c>
      <c r="H109" t="s">
        <v>20</v>
      </c>
      <c r="I109" t="s">
        <v>254</v>
      </c>
      <c r="J109" t="s">
        <v>34</v>
      </c>
      <c r="K109" t="str">
        <f t="shared" si="2"/>
        <v>C</v>
      </c>
      <c r="L109" t="s">
        <v>22</v>
      </c>
      <c r="M109">
        <f t="shared" si="3"/>
        <v>1</v>
      </c>
    </row>
    <row r="110" ht="18" customHeight="1" spans="1:13">
      <c r="A110" t="s">
        <v>255</v>
      </c>
      <c r="B110" s="12" t="s">
        <v>256</v>
      </c>
      <c r="C110" t="s">
        <v>15</v>
      </c>
      <c r="D110" t="s">
        <v>16</v>
      </c>
      <c r="E110" t="s">
        <v>17</v>
      </c>
      <c r="F110" s="12" t="s">
        <v>257</v>
      </c>
      <c r="G110" t="s">
        <v>19</v>
      </c>
      <c r="H110" t="s">
        <v>20</v>
      </c>
      <c r="I110" t="s">
        <v>258</v>
      </c>
      <c r="J110" t="s">
        <v>34</v>
      </c>
      <c r="K110" t="str">
        <f t="shared" si="2"/>
        <v>A</v>
      </c>
      <c r="L110" t="s">
        <v>23</v>
      </c>
      <c r="M110">
        <f t="shared" si="3"/>
        <v>0</v>
      </c>
    </row>
    <row r="111" ht="18" customHeight="1" spans="1:13">
      <c r="A111" t="s">
        <v>255</v>
      </c>
      <c r="B111" s="12" t="s">
        <v>256</v>
      </c>
      <c r="C111" t="s">
        <v>15</v>
      </c>
      <c r="D111" t="s">
        <v>24</v>
      </c>
      <c r="E111" t="s">
        <v>17</v>
      </c>
      <c r="F111" s="12" t="s">
        <v>259</v>
      </c>
      <c r="G111" t="s">
        <v>19</v>
      </c>
      <c r="H111" t="s">
        <v>20</v>
      </c>
      <c r="I111" t="s">
        <v>260</v>
      </c>
      <c r="J111" t="s">
        <v>27</v>
      </c>
      <c r="K111" t="str">
        <f t="shared" si="2"/>
        <v>B</v>
      </c>
      <c r="L111" t="s">
        <v>23</v>
      </c>
      <c r="M111">
        <f t="shared" si="3"/>
        <v>0</v>
      </c>
    </row>
    <row r="112" ht="18" customHeight="1" spans="1:13">
      <c r="A112" t="s">
        <v>255</v>
      </c>
      <c r="B112" s="12" t="s">
        <v>256</v>
      </c>
      <c r="C112" t="s">
        <v>15</v>
      </c>
      <c r="D112" t="s">
        <v>28</v>
      </c>
      <c r="E112" t="s">
        <v>17</v>
      </c>
      <c r="F112" s="12" t="s">
        <v>261</v>
      </c>
      <c r="G112" t="s">
        <v>19</v>
      </c>
      <c r="H112" t="s">
        <v>20</v>
      </c>
      <c r="I112" t="s">
        <v>262</v>
      </c>
      <c r="J112" t="s">
        <v>34</v>
      </c>
      <c r="K112" t="str">
        <f t="shared" si="2"/>
        <v>A</v>
      </c>
      <c r="L112" t="s">
        <v>23</v>
      </c>
      <c r="M112">
        <f t="shared" si="3"/>
        <v>0</v>
      </c>
    </row>
    <row r="113" ht="18" customHeight="1" spans="1:13">
      <c r="A113" t="s">
        <v>255</v>
      </c>
      <c r="B113" s="12" t="s">
        <v>256</v>
      </c>
      <c r="C113" t="s">
        <v>31</v>
      </c>
      <c r="D113" t="s">
        <v>16</v>
      </c>
      <c r="E113" t="s">
        <v>17</v>
      </c>
      <c r="F113" s="12" t="s">
        <v>263</v>
      </c>
      <c r="G113" t="s">
        <v>19</v>
      </c>
      <c r="H113" t="s">
        <v>20</v>
      </c>
      <c r="I113" t="s">
        <v>264</v>
      </c>
      <c r="J113" t="s">
        <v>34</v>
      </c>
      <c r="K113" t="str">
        <f t="shared" si="2"/>
        <v>A</v>
      </c>
      <c r="L113" t="s">
        <v>34</v>
      </c>
      <c r="M113">
        <f t="shared" si="3"/>
        <v>1</v>
      </c>
    </row>
    <row r="114" ht="18" customHeight="1" spans="1:13">
      <c r="A114" t="s">
        <v>255</v>
      </c>
      <c r="B114" s="12" t="s">
        <v>256</v>
      </c>
      <c r="C114" t="s">
        <v>31</v>
      </c>
      <c r="D114" t="s">
        <v>24</v>
      </c>
      <c r="E114" t="s">
        <v>17</v>
      </c>
      <c r="F114" s="12" t="s">
        <v>265</v>
      </c>
      <c r="G114" t="s">
        <v>19</v>
      </c>
      <c r="H114" t="s">
        <v>20</v>
      </c>
      <c r="I114" t="s">
        <v>266</v>
      </c>
      <c r="J114" t="s">
        <v>34</v>
      </c>
      <c r="K114" t="str">
        <f t="shared" si="2"/>
        <v>A</v>
      </c>
      <c r="L114" t="s">
        <v>34</v>
      </c>
      <c r="M114">
        <f t="shared" si="3"/>
        <v>1</v>
      </c>
    </row>
    <row r="115" ht="18" customHeight="1" spans="1:13">
      <c r="A115" t="s">
        <v>255</v>
      </c>
      <c r="B115" s="12" t="s">
        <v>256</v>
      </c>
      <c r="C115" t="s">
        <v>31</v>
      </c>
      <c r="D115" t="s">
        <v>28</v>
      </c>
      <c r="E115" t="s">
        <v>17</v>
      </c>
      <c r="F115" s="12" t="s">
        <v>267</v>
      </c>
      <c r="G115" t="s">
        <v>19</v>
      </c>
      <c r="H115" t="s">
        <v>20</v>
      </c>
      <c r="I115" t="s">
        <v>268</v>
      </c>
      <c r="J115" t="s">
        <v>34</v>
      </c>
      <c r="K115" t="str">
        <f t="shared" si="2"/>
        <v>A</v>
      </c>
      <c r="L115" t="s">
        <v>34</v>
      </c>
      <c r="M115">
        <f t="shared" si="3"/>
        <v>1</v>
      </c>
    </row>
    <row r="116" ht="18" customHeight="1" spans="1:13">
      <c r="A116" t="s">
        <v>255</v>
      </c>
      <c r="B116" s="12" t="s">
        <v>256</v>
      </c>
      <c r="C116" t="s">
        <v>39</v>
      </c>
      <c r="D116" t="s">
        <v>16</v>
      </c>
      <c r="E116" t="s">
        <v>17</v>
      </c>
      <c r="F116" s="12" t="s">
        <v>269</v>
      </c>
      <c r="G116" t="s">
        <v>19</v>
      </c>
      <c r="H116" t="s">
        <v>20</v>
      </c>
      <c r="I116" t="s">
        <v>270</v>
      </c>
      <c r="J116" t="s">
        <v>34</v>
      </c>
      <c r="K116" t="str">
        <f t="shared" si="2"/>
        <v>B</v>
      </c>
      <c r="L116" t="s">
        <v>27</v>
      </c>
      <c r="M116">
        <f t="shared" si="3"/>
        <v>1</v>
      </c>
    </row>
    <row r="117" ht="18" customHeight="1" spans="1:13">
      <c r="A117" t="s">
        <v>255</v>
      </c>
      <c r="B117" s="12" t="s">
        <v>256</v>
      </c>
      <c r="C117" t="s">
        <v>39</v>
      </c>
      <c r="D117" t="s">
        <v>24</v>
      </c>
      <c r="E117" t="s">
        <v>17</v>
      </c>
      <c r="F117" s="12" t="s">
        <v>271</v>
      </c>
      <c r="G117" t="s">
        <v>19</v>
      </c>
      <c r="H117" t="s">
        <v>20</v>
      </c>
      <c r="I117" t="s">
        <v>272</v>
      </c>
      <c r="J117" t="s">
        <v>34</v>
      </c>
      <c r="K117" t="str">
        <f t="shared" si="2"/>
        <v>B</v>
      </c>
      <c r="L117" t="s">
        <v>27</v>
      </c>
      <c r="M117">
        <f t="shared" si="3"/>
        <v>1</v>
      </c>
    </row>
    <row r="118" ht="18" customHeight="1" spans="1:13">
      <c r="A118" t="s">
        <v>255</v>
      </c>
      <c r="B118" s="12" t="s">
        <v>256</v>
      </c>
      <c r="C118" t="s">
        <v>39</v>
      </c>
      <c r="D118" t="s">
        <v>28</v>
      </c>
      <c r="E118" t="s">
        <v>17</v>
      </c>
      <c r="F118" s="12" t="s">
        <v>273</v>
      </c>
      <c r="G118" t="s">
        <v>19</v>
      </c>
      <c r="H118" t="s">
        <v>20</v>
      </c>
      <c r="I118" t="s">
        <v>274</v>
      </c>
      <c r="J118" t="s">
        <v>34</v>
      </c>
      <c r="K118" t="str">
        <f t="shared" si="2"/>
        <v>B</v>
      </c>
      <c r="L118" t="s">
        <v>27</v>
      </c>
      <c r="M118">
        <f t="shared" si="3"/>
        <v>1</v>
      </c>
    </row>
    <row r="119" ht="18" customHeight="1" spans="1:13">
      <c r="A119" t="s">
        <v>255</v>
      </c>
      <c r="B119" s="12" t="s">
        <v>256</v>
      </c>
      <c r="C119" t="s">
        <v>15</v>
      </c>
      <c r="D119" t="s">
        <v>16</v>
      </c>
      <c r="E119" t="s">
        <v>46</v>
      </c>
      <c r="F119" s="12" t="s">
        <v>275</v>
      </c>
      <c r="G119" t="s">
        <v>19</v>
      </c>
      <c r="H119" t="s">
        <v>20</v>
      </c>
      <c r="I119" s="15" t="s">
        <v>276</v>
      </c>
      <c r="J119" t="s">
        <v>34</v>
      </c>
      <c r="K119" t="str">
        <f t="shared" si="2"/>
        <v>B</v>
      </c>
      <c r="L119" t="s">
        <v>23</v>
      </c>
      <c r="M119">
        <f t="shared" si="3"/>
        <v>0</v>
      </c>
    </row>
    <row r="120" ht="18" customHeight="1" spans="1:13">
      <c r="A120" t="s">
        <v>255</v>
      </c>
      <c r="B120" s="12" t="s">
        <v>256</v>
      </c>
      <c r="C120" t="s">
        <v>15</v>
      </c>
      <c r="D120" t="s">
        <v>24</v>
      </c>
      <c r="E120" t="s">
        <v>46</v>
      </c>
      <c r="F120" s="12" t="s">
        <v>277</v>
      </c>
      <c r="G120" t="s">
        <v>19</v>
      </c>
      <c r="H120" t="s">
        <v>20</v>
      </c>
      <c r="I120" t="s">
        <v>278</v>
      </c>
      <c r="J120" t="s">
        <v>34</v>
      </c>
      <c r="K120" t="str">
        <f t="shared" si="2"/>
        <v>B</v>
      </c>
      <c r="L120" t="s">
        <v>23</v>
      </c>
      <c r="M120">
        <f t="shared" si="3"/>
        <v>0</v>
      </c>
    </row>
    <row r="121" ht="18" customHeight="1" spans="1:13">
      <c r="A121" t="s">
        <v>255</v>
      </c>
      <c r="B121" s="12" t="s">
        <v>256</v>
      </c>
      <c r="C121" t="s">
        <v>15</v>
      </c>
      <c r="D121" t="s">
        <v>28</v>
      </c>
      <c r="E121" t="s">
        <v>46</v>
      </c>
      <c r="F121" s="12" t="s">
        <v>279</v>
      </c>
      <c r="G121" t="s">
        <v>19</v>
      </c>
      <c r="H121" t="s">
        <v>20</v>
      </c>
      <c r="I121" t="s">
        <v>280</v>
      </c>
      <c r="J121" t="s">
        <v>27</v>
      </c>
      <c r="K121" t="str">
        <f t="shared" si="2"/>
        <v>A</v>
      </c>
      <c r="L121" t="s">
        <v>23</v>
      </c>
      <c r="M121">
        <f t="shared" si="3"/>
        <v>0</v>
      </c>
    </row>
    <row r="122" ht="18" customHeight="1" spans="1:13">
      <c r="A122" t="s">
        <v>255</v>
      </c>
      <c r="B122" s="12" t="s">
        <v>256</v>
      </c>
      <c r="C122" t="s">
        <v>31</v>
      </c>
      <c r="D122" t="s">
        <v>16</v>
      </c>
      <c r="E122" t="s">
        <v>46</v>
      </c>
      <c r="F122" s="12" t="s">
        <v>281</v>
      </c>
      <c r="G122" t="s">
        <v>19</v>
      </c>
      <c r="H122" t="s">
        <v>20</v>
      </c>
      <c r="I122" t="s">
        <v>282</v>
      </c>
      <c r="J122" t="s">
        <v>34</v>
      </c>
      <c r="K122" t="str">
        <f t="shared" si="2"/>
        <v>C</v>
      </c>
      <c r="L122" t="s">
        <v>34</v>
      </c>
      <c r="M122">
        <f t="shared" si="3"/>
        <v>0</v>
      </c>
    </row>
    <row r="123" ht="18" customHeight="1" spans="1:13">
      <c r="A123" t="s">
        <v>255</v>
      </c>
      <c r="B123" s="12" t="s">
        <v>256</v>
      </c>
      <c r="C123" t="s">
        <v>31</v>
      </c>
      <c r="D123" t="s">
        <v>24</v>
      </c>
      <c r="E123" t="s">
        <v>46</v>
      </c>
      <c r="F123" s="12" t="s">
        <v>283</v>
      </c>
      <c r="G123" t="s">
        <v>19</v>
      </c>
      <c r="H123" t="s">
        <v>20</v>
      </c>
      <c r="I123" t="s">
        <v>284</v>
      </c>
      <c r="J123" t="s">
        <v>27</v>
      </c>
      <c r="K123" t="str">
        <f t="shared" si="2"/>
        <v>A</v>
      </c>
      <c r="L123" t="s">
        <v>34</v>
      </c>
      <c r="M123">
        <f t="shared" si="3"/>
        <v>1</v>
      </c>
    </row>
    <row r="124" ht="18" customHeight="1" spans="1:13">
      <c r="A124" t="s">
        <v>255</v>
      </c>
      <c r="B124" s="12" t="s">
        <v>256</v>
      </c>
      <c r="C124" t="s">
        <v>31</v>
      </c>
      <c r="D124" t="s">
        <v>28</v>
      </c>
      <c r="E124" t="s">
        <v>46</v>
      </c>
      <c r="F124" s="12" t="s">
        <v>285</v>
      </c>
      <c r="G124" t="s">
        <v>19</v>
      </c>
      <c r="H124" t="s">
        <v>20</v>
      </c>
      <c r="I124" t="s">
        <v>286</v>
      </c>
      <c r="J124" t="s">
        <v>22</v>
      </c>
      <c r="K124" t="str">
        <f t="shared" si="2"/>
        <v>D(平局)</v>
      </c>
      <c r="L124" t="s">
        <v>34</v>
      </c>
      <c r="M124">
        <f t="shared" si="3"/>
        <v>0</v>
      </c>
    </row>
    <row r="125" ht="18" customHeight="1" spans="1:13">
      <c r="A125" t="s">
        <v>255</v>
      </c>
      <c r="B125" s="12" t="s">
        <v>256</v>
      </c>
      <c r="C125" t="s">
        <v>39</v>
      </c>
      <c r="D125" t="s">
        <v>16</v>
      </c>
      <c r="E125" t="s">
        <v>46</v>
      </c>
      <c r="F125" s="12" t="s">
        <v>287</v>
      </c>
      <c r="G125" t="s">
        <v>19</v>
      </c>
      <c r="H125" t="s">
        <v>20</v>
      </c>
      <c r="I125" t="s">
        <v>288</v>
      </c>
      <c r="J125" t="s">
        <v>27</v>
      </c>
      <c r="K125" t="str">
        <f t="shared" si="2"/>
        <v>B</v>
      </c>
      <c r="L125" t="s">
        <v>27</v>
      </c>
      <c r="M125">
        <f t="shared" si="3"/>
        <v>1</v>
      </c>
    </row>
    <row r="126" ht="18" customHeight="1" spans="1:13">
      <c r="A126" t="s">
        <v>255</v>
      </c>
      <c r="B126" s="12" t="s">
        <v>256</v>
      </c>
      <c r="C126" t="s">
        <v>39</v>
      </c>
      <c r="D126" t="s">
        <v>24</v>
      </c>
      <c r="E126" t="s">
        <v>46</v>
      </c>
      <c r="F126" s="12" t="s">
        <v>289</v>
      </c>
      <c r="G126" t="s">
        <v>19</v>
      </c>
      <c r="H126" t="s">
        <v>20</v>
      </c>
      <c r="I126" t="s">
        <v>290</v>
      </c>
      <c r="J126" t="s">
        <v>27</v>
      </c>
      <c r="K126" t="str">
        <f t="shared" si="2"/>
        <v>B</v>
      </c>
      <c r="L126" t="s">
        <v>27</v>
      </c>
      <c r="M126">
        <f t="shared" si="3"/>
        <v>1</v>
      </c>
    </row>
    <row r="127" ht="18" customHeight="1" spans="1:13">
      <c r="A127" t="s">
        <v>255</v>
      </c>
      <c r="B127" s="12" t="s">
        <v>256</v>
      </c>
      <c r="C127" t="s">
        <v>39</v>
      </c>
      <c r="D127" t="s">
        <v>28</v>
      </c>
      <c r="E127" t="s">
        <v>46</v>
      </c>
      <c r="F127" s="12" t="s">
        <v>291</v>
      </c>
      <c r="G127" t="s">
        <v>19</v>
      </c>
      <c r="H127" t="s">
        <v>20</v>
      </c>
      <c r="I127" t="s">
        <v>292</v>
      </c>
      <c r="J127" t="s">
        <v>27</v>
      </c>
      <c r="K127" t="str">
        <f t="shared" si="2"/>
        <v>B</v>
      </c>
      <c r="L127" t="s">
        <v>27</v>
      </c>
      <c r="M127">
        <f t="shared" si="3"/>
        <v>1</v>
      </c>
    </row>
    <row r="128" ht="18" customHeight="1" spans="1:13">
      <c r="A128" t="s">
        <v>293</v>
      </c>
      <c r="B128" s="12" t="s">
        <v>294</v>
      </c>
      <c r="C128" t="s">
        <v>15</v>
      </c>
      <c r="D128" t="s">
        <v>16</v>
      </c>
      <c r="E128" t="s">
        <v>17</v>
      </c>
      <c r="F128" s="12" t="s">
        <v>295</v>
      </c>
      <c r="G128" t="s">
        <v>19</v>
      </c>
      <c r="H128" t="s">
        <v>20</v>
      </c>
      <c r="I128" s="15" t="s">
        <v>296</v>
      </c>
      <c r="J128" t="s">
        <v>22</v>
      </c>
      <c r="K128" t="str">
        <f t="shared" si="2"/>
        <v>D(平局)</v>
      </c>
      <c r="L128" t="s">
        <v>34</v>
      </c>
      <c r="M128">
        <f t="shared" si="3"/>
        <v>0</v>
      </c>
    </row>
    <row r="129" ht="18" customHeight="1" spans="1:13">
      <c r="A129" t="s">
        <v>293</v>
      </c>
      <c r="B129" s="12" t="s">
        <v>294</v>
      </c>
      <c r="C129" t="s">
        <v>15</v>
      </c>
      <c r="D129" t="s">
        <v>24</v>
      </c>
      <c r="E129" t="s">
        <v>17</v>
      </c>
      <c r="F129" s="12" t="s">
        <v>297</v>
      </c>
      <c r="G129" t="s">
        <v>19</v>
      </c>
      <c r="H129" t="s">
        <v>20</v>
      </c>
      <c r="I129" t="s">
        <v>298</v>
      </c>
      <c r="J129" t="s">
        <v>34</v>
      </c>
      <c r="K129" t="str">
        <f t="shared" si="2"/>
        <v>A</v>
      </c>
      <c r="L129" t="s">
        <v>34</v>
      </c>
      <c r="M129">
        <f t="shared" si="3"/>
        <v>1</v>
      </c>
    </row>
    <row r="130" ht="18" customHeight="1" spans="1:13">
      <c r="A130" t="s">
        <v>293</v>
      </c>
      <c r="B130" s="12" t="s">
        <v>294</v>
      </c>
      <c r="C130" t="s">
        <v>15</v>
      </c>
      <c r="D130" t="s">
        <v>28</v>
      </c>
      <c r="E130" t="s">
        <v>17</v>
      </c>
      <c r="F130" s="12" t="s">
        <v>299</v>
      </c>
      <c r="G130" t="s">
        <v>19</v>
      </c>
      <c r="H130" t="s">
        <v>20</v>
      </c>
      <c r="I130" t="s">
        <v>300</v>
      </c>
      <c r="J130" t="s">
        <v>34</v>
      </c>
      <c r="K130" t="str">
        <f t="shared" ref="K130:K193" si="4">IF(OR(J130="",C130="",E130=""),"",IF(J130="C","D(平局)",IF(J130=IF(E130="l2r","A","B"),LEFT(C130,1),RIGHT(C130,1))))</f>
        <v>A</v>
      </c>
      <c r="L130" t="s">
        <v>34</v>
      </c>
      <c r="M130">
        <f t="shared" ref="M130:M193" si="5">IF(OR(K130="",L130=""),"",--(K130=L130))</f>
        <v>1</v>
      </c>
    </row>
    <row r="131" ht="18" customHeight="1" spans="1:13">
      <c r="A131" t="s">
        <v>293</v>
      </c>
      <c r="B131" s="12" t="s">
        <v>294</v>
      </c>
      <c r="C131" t="s">
        <v>31</v>
      </c>
      <c r="D131" t="s">
        <v>16</v>
      </c>
      <c r="E131" t="s">
        <v>17</v>
      </c>
      <c r="F131" s="12" t="s">
        <v>301</v>
      </c>
      <c r="G131" t="s">
        <v>19</v>
      </c>
      <c r="H131" t="s">
        <v>20</v>
      </c>
      <c r="I131" t="s">
        <v>302</v>
      </c>
      <c r="J131" t="s">
        <v>34</v>
      </c>
      <c r="K131" t="str">
        <f t="shared" si="4"/>
        <v>A</v>
      </c>
      <c r="L131" t="s">
        <v>23</v>
      </c>
      <c r="M131">
        <f t="shared" si="5"/>
        <v>0</v>
      </c>
    </row>
    <row r="132" ht="18" customHeight="1" spans="1:13">
      <c r="A132" t="s">
        <v>293</v>
      </c>
      <c r="B132" s="12" t="s">
        <v>294</v>
      </c>
      <c r="C132" t="s">
        <v>31</v>
      </c>
      <c r="D132" t="s">
        <v>24</v>
      </c>
      <c r="E132" t="s">
        <v>17</v>
      </c>
      <c r="F132" s="12" t="s">
        <v>303</v>
      </c>
      <c r="G132" t="s">
        <v>19</v>
      </c>
      <c r="H132" t="s">
        <v>20</v>
      </c>
      <c r="I132" t="s">
        <v>304</v>
      </c>
      <c r="J132" t="s">
        <v>34</v>
      </c>
      <c r="K132" t="str">
        <f t="shared" si="4"/>
        <v>A</v>
      </c>
      <c r="L132" t="s">
        <v>23</v>
      </c>
      <c r="M132">
        <f t="shared" si="5"/>
        <v>0</v>
      </c>
    </row>
    <row r="133" ht="18" customHeight="1" spans="1:13">
      <c r="A133" t="s">
        <v>293</v>
      </c>
      <c r="B133" s="12" t="s">
        <v>294</v>
      </c>
      <c r="C133" t="s">
        <v>31</v>
      </c>
      <c r="D133" t="s">
        <v>28</v>
      </c>
      <c r="E133" t="s">
        <v>17</v>
      </c>
      <c r="F133" s="12" t="s">
        <v>305</v>
      </c>
      <c r="G133" t="s">
        <v>19</v>
      </c>
      <c r="H133" t="s">
        <v>20</v>
      </c>
      <c r="I133" t="s">
        <v>306</v>
      </c>
      <c r="J133" t="s">
        <v>34</v>
      </c>
      <c r="K133" t="str">
        <f t="shared" si="4"/>
        <v>A</v>
      </c>
      <c r="L133" t="s">
        <v>23</v>
      </c>
      <c r="M133">
        <f t="shared" si="5"/>
        <v>0</v>
      </c>
    </row>
    <row r="134" ht="18" customHeight="1" spans="1:13">
      <c r="A134" t="s">
        <v>293</v>
      </c>
      <c r="B134" s="12" t="s">
        <v>294</v>
      </c>
      <c r="C134" t="s">
        <v>39</v>
      </c>
      <c r="D134" t="s">
        <v>16</v>
      </c>
      <c r="E134" t="s">
        <v>17</v>
      </c>
      <c r="F134" s="12" t="s">
        <v>307</v>
      </c>
      <c r="G134" t="s">
        <v>19</v>
      </c>
      <c r="H134" t="s">
        <v>20</v>
      </c>
      <c r="I134" s="15" t="s">
        <v>308</v>
      </c>
      <c r="J134" t="s">
        <v>34</v>
      </c>
      <c r="K134" t="str">
        <f t="shared" si="4"/>
        <v>B</v>
      </c>
      <c r="L134" t="s">
        <v>22</v>
      </c>
      <c r="M134">
        <f t="shared" si="5"/>
        <v>0</v>
      </c>
    </row>
    <row r="135" ht="18" customHeight="1" spans="1:13">
      <c r="A135" t="s">
        <v>293</v>
      </c>
      <c r="B135" s="12" t="s">
        <v>294</v>
      </c>
      <c r="C135" t="s">
        <v>39</v>
      </c>
      <c r="D135" t="s">
        <v>24</v>
      </c>
      <c r="E135" t="s">
        <v>17</v>
      </c>
      <c r="F135" s="12" t="s">
        <v>309</v>
      </c>
      <c r="G135" t="s">
        <v>19</v>
      </c>
      <c r="H135" t="s">
        <v>20</v>
      </c>
      <c r="I135" t="s">
        <v>310</v>
      </c>
      <c r="J135" t="s">
        <v>34</v>
      </c>
      <c r="K135" t="str">
        <f t="shared" si="4"/>
        <v>B</v>
      </c>
      <c r="L135" t="s">
        <v>22</v>
      </c>
      <c r="M135">
        <f t="shared" si="5"/>
        <v>0</v>
      </c>
    </row>
    <row r="136" ht="18" customHeight="1" spans="1:13">
      <c r="A136" t="s">
        <v>293</v>
      </c>
      <c r="B136" s="12" t="s">
        <v>294</v>
      </c>
      <c r="C136" t="s">
        <v>39</v>
      </c>
      <c r="D136" t="s">
        <v>28</v>
      </c>
      <c r="E136" t="s">
        <v>17</v>
      </c>
      <c r="F136" s="12" t="s">
        <v>311</v>
      </c>
      <c r="G136" t="s">
        <v>19</v>
      </c>
      <c r="H136" t="s">
        <v>20</v>
      </c>
      <c r="I136" t="s">
        <v>312</v>
      </c>
      <c r="J136" t="s">
        <v>22</v>
      </c>
      <c r="K136" t="str">
        <f t="shared" si="4"/>
        <v>D(平局)</v>
      </c>
      <c r="L136" t="s">
        <v>22</v>
      </c>
      <c r="M136">
        <f t="shared" si="5"/>
        <v>0</v>
      </c>
    </row>
    <row r="137" ht="18" customHeight="1" spans="1:13">
      <c r="A137" t="s">
        <v>293</v>
      </c>
      <c r="B137" s="12" t="s">
        <v>294</v>
      </c>
      <c r="C137" t="s">
        <v>15</v>
      </c>
      <c r="D137" t="s">
        <v>16</v>
      </c>
      <c r="E137" t="s">
        <v>46</v>
      </c>
      <c r="F137" s="12" t="s">
        <v>313</v>
      </c>
      <c r="G137" t="s">
        <v>19</v>
      </c>
      <c r="H137" t="s">
        <v>20</v>
      </c>
      <c r="I137" t="s">
        <v>314</v>
      </c>
      <c r="J137" t="s">
        <v>22</v>
      </c>
      <c r="K137" t="str">
        <f t="shared" si="4"/>
        <v>D(平局)</v>
      </c>
      <c r="L137" t="s">
        <v>34</v>
      </c>
      <c r="M137">
        <f t="shared" si="5"/>
        <v>0</v>
      </c>
    </row>
    <row r="138" ht="18" customHeight="1" spans="1:13">
      <c r="A138" t="s">
        <v>293</v>
      </c>
      <c r="B138" s="12" t="s">
        <v>294</v>
      </c>
      <c r="C138" t="s">
        <v>15</v>
      </c>
      <c r="D138" t="s">
        <v>24</v>
      </c>
      <c r="E138" t="s">
        <v>46</v>
      </c>
      <c r="F138" s="12" t="s">
        <v>315</v>
      </c>
      <c r="G138" t="s">
        <v>19</v>
      </c>
      <c r="H138" t="s">
        <v>20</v>
      </c>
      <c r="I138" t="s">
        <v>316</v>
      </c>
      <c r="J138" t="s">
        <v>34</v>
      </c>
      <c r="K138" t="str">
        <f t="shared" si="4"/>
        <v>B</v>
      </c>
      <c r="L138" t="s">
        <v>34</v>
      </c>
      <c r="M138">
        <f t="shared" si="5"/>
        <v>0</v>
      </c>
    </row>
    <row r="139" ht="18" customHeight="1" spans="1:13">
      <c r="A139" t="s">
        <v>293</v>
      </c>
      <c r="B139" s="12" t="s">
        <v>294</v>
      </c>
      <c r="C139" t="s">
        <v>15</v>
      </c>
      <c r="D139" t="s">
        <v>28</v>
      </c>
      <c r="E139" t="s">
        <v>46</v>
      </c>
      <c r="F139" s="12" t="s">
        <v>317</v>
      </c>
      <c r="G139" t="s">
        <v>19</v>
      </c>
      <c r="H139" t="s">
        <v>20</v>
      </c>
      <c r="I139" t="s">
        <v>318</v>
      </c>
      <c r="J139" t="s">
        <v>27</v>
      </c>
      <c r="K139" t="str">
        <f t="shared" si="4"/>
        <v>A</v>
      </c>
      <c r="L139" t="s">
        <v>34</v>
      </c>
      <c r="M139">
        <f t="shared" si="5"/>
        <v>1</v>
      </c>
    </row>
    <row r="140" ht="18" customHeight="1" spans="1:13">
      <c r="A140" t="s">
        <v>293</v>
      </c>
      <c r="B140" s="12" t="s">
        <v>294</v>
      </c>
      <c r="C140" t="s">
        <v>31</v>
      </c>
      <c r="D140" t="s">
        <v>16</v>
      </c>
      <c r="E140" t="s">
        <v>46</v>
      </c>
      <c r="F140" s="12" t="s">
        <v>319</v>
      </c>
      <c r="G140" t="s">
        <v>19</v>
      </c>
      <c r="H140" t="s">
        <v>20</v>
      </c>
      <c r="I140" t="s">
        <v>320</v>
      </c>
      <c r="J140" t="s">
        <v>27</v>
      </c>
      <c r="K140" t="str">
        <f t="shared" si="4"/>
        <v>A</v>
      </c>
      <c r="L140" t="s">
        <v>23</v>
      </c>
      <c r="M140">
        <f t="shared" si="5"/>
        <v>0</v>
      </c>
    </row>
    <row r="141" ht="18" customHeight="1" spans="1:13">
      <c r="A141" t="s">
        <v>293</v>
      </c>
      <c r="B141" s="12" t="s">
        <v>294</v>
      </c>
      <c r="C141" t="s">
        <v>31</v>
      </c>
      <c r="D141" t="s">
        <v>24</v>
      </c>
      <c r="E141" t="s">
        <v>46</v>
      </c>
      <c r="F141" s="12" t="s">
        <v>321</v>
      </c>
      <c r="G141" t="s">
        <v>19</v>
      </c>
      <c r="H141" t="s">
        <v>20</v>
      </c>
      <c r="I141" t="s">
        <v>322</v>
      </c>
      <c r="J141" t="s">
        <v>27</v>
      </c>
      <c r="K141" t="str">
        <f t="shared" si="4"/>
        <v>A</v>
      </c>
      <c r="L141" t="s">
        <v>23</v>
      </c>
      <c r="M141">
        <f t="shared" si="5"/>
        <v>0</v>
      </c>
    </row>
    <row r="142" ht="18" customHeight="1" spans="1:13">
      <c r="A142" t="s">
        <v>293</v>
      </c>
      <c r="B142" s="12" t="s">
        <v>294</v>
      </c>
      <c r="C142" t="s">
        <v>31</v>
      </c>
      <c r="D142" t="s">
        <v>28</v>
      </c>
      <c r="E142" t="s">
        <v>46</v>
      </c>
      <c r="F142" s="12" t="s">
        <v>323</v>
      </c>
      <c r="G142" t="s">
        <v>19</v>
      </c>
      <c r="H142" t="s">
        <v>20</v>
      </c>
      <c r="I142" t="s">
        <v>324</v>
      </c>
      <c r="J142" t="s">
        <v>27</v>
      </c>
      <c r="K142" t="str">
        <f t="shared" si="4"/>
        <v>A</v>
      </c>
      <c r="L142" t="s">
        <v>23</v>
      </c>
      <c r="M142">
        <f t="shared" si="5"/>
        <v>0</v>
      </c>
    </row>
    <row r="143" ht="18" customHeight="1" spans="1:13">
      <c r="A143" t="s">
        <v>293</v>
      </c>
      <c r="B143" s="12" t="s">
        <v>294</v>
      </c>
      <c r="C143" t="s">
        <v>39</v>
      </c>
      <c r="D143" t="s">
        <v>16</v>
      </c>
      <c r="E143" t="s">
        <v>46</v>
      </c>
      <c r="F143" s="12" t="s">
        <v>325</v>
      </c>
      <c r="G143" t="s">
        <v>19</v>
      </c>
      <c r="H143" t="s">
        <v>20</v>
      </c>
      <c r="I143" t="s">
        <v>326</v>
      </c>
      <c r="J143" t="s">
        <v>27</v>
      </c>
      <c r="K143" t="str">
        <f t="shared" si="4"/>
        <v>B</v>
      </c>
      <c r="L143" t="s">
        <v>22</v>
      </c>
      <c r="M143">
        <f t="shared" si="5"/>
        <v>0</v>
      </c>
    </row>
    <row r="144" ht="18" customHeight="1" spans="1:13">
      <c r="A144" t="s">
        <v>293</v>
      </c>
      <c r="B144" s="12" t="s">
        <v>294</v>
      </c>
      <c r="C144" t="s">
        <v>39</v>
      </c>
      <c r="D144" t="s">
        <v>24</v>
      </c>
      <c r="E144" t="s">
        <v>46</v>
      </c>
      <c r="F144" s="12" t="s">
        <v>327</v>
      </c>
      <c r="G144" t="s">
        <v>19</v>
      </c>
      <c r="H144" t="s">
        <v>20</v>
      </c>
      <c r="I144" t="s">
        <v>328</v>
      </c>
      <c r="J144" t="s">
        <v>22</v>
      </c>
      <c r="K144" t="str">
        <f t="shared" si="4"/>
        <v>D(平局)</v>
      </c>
      <c r="L144" t="s">
        <v>22</v>
      </c>
      <c r="M144">
        <f t="shared" si="5"/>
        <v>0</v>
      </c>
    </row>
    <row r="145" ht="18" customHeight="1" spans="1:13">
      <c r="A145" t="s">
        <v>293</v>
      </c>
      <c r="B145" s="12" t="s">
        <v>294</v>
      </c>
      <c r="C145" t="s">
        <v>39</v>
      </c>
      <c r="D145" t="s">
        <v>28</v>
      </c>
      <c r="E145" t="s">
        <v>46</v>
      </c>
      <c r="F145" s="12" t="s">
        <v>329</v>
      </c>
      <c r="G145" t="s">
        <v>19</v>
      </c>
      <c r="H145" t="s">
        <v>20</v>
      </c>
      <c r="I145" t="s">
        <v>330</v>
      </c>
      <c r="J145" t="s">
        <v>34</v>
      </c>
      <c r="K145" t="str">
        <f t="shared" si="4"/>
        <v>C</v>
      </c>
      <c r="L145" t="s">
        <v>22</v>
      </c>
      <c r="M145">
        <f t="shared" si="5"/>
        <v>1</v>
      </c>
    </row>
    <row r="146" ht="18" customHeight="1" spans="1:13">
      <c r="A146" t="s">
        <v>331</v>
      </c>
      <c r="B146" s="12" t="s">
        <v>332</v>
      </c>
      <c r="C146" t="s">
        <v>15</v>
      </c>
      <c r="D146" t="s">
        <v>16</v>
      </c>
      <c r="E146" t="s">
        <v>17</v>
      </c>
      <c r="F146" s="12" t="s">
        <v>333</v>
      </c>
      <c r="G146" t="s">
        <v>19</v>
      </c>
      <c r="H146" t="s">
        <v>20</v>
      </c>
      <c r="I146" t="s">
        <v>334</v>
      </c>
      <c r="J146" t="s">
        <v>22</v>
      </c>
      <c r="K146" t="str">
        <f t="shared" si="4"/>
        <v>D(平局)</v>
      </c>
      <c r="L146" t="s">
        <v>27</v>
      </c>
      <c r="M146">
        <f t="shared" si="5"/>
        <v>0</v>
      </c>
    </row>
    <row r="147" ht="18" customHeight="1" spans="1:13">
      <c r="A147" t="s">
        <v>331</v>
      </c>
      <c r="B147" s="12" t="s">
        <v>332</v>
      </c>
      <c r="C147" t="s">
        <v>15</v>
      </c>
      <c r="D147" t="s">
        <v>24</v>
      </c>
      <c r="E147" t="s">
        <v>17</v>
      </c>
      <c r="F147" s="12" t="s">
        <v>335</v>
      </c>
      <c r="G147" t="s">
        <v>19</v>
      </c>
      <c r="H147" t="s">
        <v>20</v>
      </c>
      <c r="I147" t="s">
        <v>336</v>
      </c>
      <c r="J147" t="s">
        <v>27</v>
      </c>
      <c r="K147" t="str">
        <f t="shared" si="4"/>
        <v>B</v>
      </c>
      <c r="L147" t="s">
        <v>27</v>
      </c>
      <c r="M147">
        <f t="shared" si="5"/>
        <v>1</v>
      </c>
    </row>
    <row r="148" ht="18" customHeight="1" spans="1:13">
      <c r="A148" t="s">
        <v>331</v>
      </c>
      <c r="B148" s="12" t="s">
        <v>332</v>
      </c>
      <c r="C148" t="s">
        <v>15</v>
      </c>
      <c r="D148" t="s">
        <v>28</v>
      </c>
      <c r="E148" t="s">
        <v>17</v>
      </c>
      <c r="F148" s="12" t="s">
        <v>337</v>
      </c>
      <c r="G148" t="s">
        <v>19</v>
      </c>
      <c r="H148" t="s">
        <v>20</v>
      </c>
      <c r="I148" t="s">
        <v>338</v>
      </c>
      <c r="J148" t="s">
        <v>34</v>
      </c>
      <c r="K148" t="str">
        <f t="shared" si="4"/>
        <v>A</v>
      </c>
      <c r="L148" t="s">
        <v>27</v>
      </c>
      <c r="M148">
        <f t="shared" si="5"/>
        <v>0</v>
      </c>
    </row>
    <row r="149" ht="18" customHeight="1" spans="1:13">
      <c r="A149" t="s">
        <v>331</v>
      </c>
      <c r="B149" s="12" t="s">
        <v>332</v>
      </c>
      <c r="C149" t="s">
        <v>31</v>
      </c>
      <c r="D149" t="s">
        <v>16</v>
      </c>
      <c r="E149" t="s">
        <v>17</v>
      </c>
      <c r="F149" s="12" t="s">
        <v>339</v>
      </c>
      <c r="G149" t="s">
        <v>19</v>
      </c>
      <c r="H149" t="s">
        <v>20</v>
      </c>
      <c r="I149" t="s">
        <v>340</v>
      </c>
      <c r="J149" t="s">
        <v>34</v>
      </c>
      <c r="K149" t="str">
        <f t="shared" si="4"/>
        <v>A</v>
      </c>
      <c r="L149" t="s">
        <v>34</v>
      </c>
      <c r="M149">
        <f t="shared" si="5"/>
        <v>1</v>
      </c>
    </row>
    <row r="150" ht="18" customHeight="1" spans="1:13">
      <c r="A150" t="s">
        <v>331</v>
      </c>
      <c r="B150" s="12" t="s">
        <v>332</v>
      </c>
      <c r="C150" t="s">
        <v>31</v>
      </c>
      <c r="D150" t="s">
        <v>24</v>
      </c>
      <c r="E150" t="s">
        <v>17</v>
      </c>
      <c r="F150" s="12" t="s">
        <v>341</v>
      </c>
      <c r="G150" t="s">
        <v>19</v>
      </c>
      <c r="H150" t="s">
        <v>20</v>
      </c>
      <c r="I150" t="s">
        <v>342</v>
      </c>
      <c r="J150" t="s">
        <v>34</v>
      </c>
      <c r="K150" t="str">
        <f t="shared" si="4"/>
        <v>A</v>
      </c>
      <c r="L150" t="s">
        <v>34</v>
      </c>
      <c r="M150">
        <f t="shared" si="5"/>
        <v>1</v>
      </c>
    </row>
    <row r="151" ht="18" customHeight="1" spans="1:13">
      <c r="A151" t="s">
        <v>331</v>
      </c>
      <c r="B151" s="12" t="s">
        <v>332</v>
      </c>
      <c r="C151" t="s">
        <v>31</v>
      </c>
      <c r="D151" t="s">
        <v>28</v>
      </c>
      <c r="E151" t="s">
        <v>17</v>
      </c>
      <c r="F151" s="12" t="s">
        <v>343</v>
      </c>
      <c r="G151" t="s">
        <v>19</v>
      </c>
      <c r="H151" t="s">
        <v>20</v>
      </c>
      <c r="I151" t="s">
        <v>344</v>
      </c>
      <c r="J151" t="s">
        <v>34</v>
      </c>
      <c r="K151" t="str">
        <f t="shared" si="4"/>
        <v>A</v>
      </c>
      <c r="L151" t="s">
        <v>34</v>
      </c>
      <c r="M151">
        <f t="shared" si="5"/>
        <v>1</v>
      </c>
    </row>
    <row r="152" ht="18" customHeight="1" spans="1:13">
      <c r="A152" t="s">
        <v>331</v>
      </c>
      <c r="B152" s="12" t="s">
        <v>332</v>
      </c>
      <c r="C152" t="s">
        <v>39</v>
      </c>
      <c r="D152" t="s">
        <v>16</v>
      </c>
      <c r="E152" t="s">
        <v>17</v>
      </c>
      <c r="F152" s="12" t="s">
        <v>345</v>
      </c>
      <c r="G152" t="s">
        <v>19</v>
      </c>
      <c r="H152" t="s">
        <v>20</v>
      </c>
      <c r="I152" t="s">
        <v>346</v>
      </c>
      <c r="J152" t="s">
        <v>34</v>
      </c>
      <c r="K152" t="str">
        <f t="shared" si="4"/>
        <v>B</v>
      </c>
      <c r="L152" t="s">
        <v>27</v>
      </c>
      <c r="M152">
        <f t="shared" si="5"/>
        <v>1</v>
      </c>
    </row>
    <row r="153" ht="18" customHeight="1" spans="1:13">
      <c r="A153" t="s">
        <v>331</v>
      </c>
      <c r="B153" s="12" t="s">
        <v>332</v>
      </c>
      <c r="C153" t="s">
        <v>39</v>
      </c>
      <c r="D153" t="s">
        <v>24</v>
      </c>
      <c r="E153" t="s">
        <v>17</v>
      </c>
      <c r="F153" s="12" t="s">
        <v>347</v>
      </c>
      <c r="G153" t="s">
        <v>19</v>
      </c>
      <c r="H153" t="s">
        <v>20</v>
      </c>
      <c r="I153" t="s">
        <v>348</v>
      </c>
      <c r="J153" t="s">
        <v>34</v>
      </c>
      <c r="K153" t="str">
        <f t="shared" si="4"/>
        <v>B</v>
      </c>
      <c r="L153" t="s">
        <v>27</v>
      </c>
      <c r="M153">
        <f t="shared" si="5"/>
        <v>1</v>
      </c>
    </row>
    <row r="154" ht="18" customHeight="1" spans="1:13">
      <c r="A154" t="s">
        <v>331</v>
      </c>
      <c r="B154" s="12" t="s">
        <v>332</v>
      </c>
      <c r="C154" t="s">
        <v>39</v>
      </c>
      <c r="D154" t="s">
        <v>28</v>
      </c>
      <c r="E154" t="s">
        <v>17</v>
      </c>
      <c r="F154" s="12" t="s">
        <v>349</v>
      </c>
      <c r="G154" t="s">
        <v>19</v>
      </c>
      <c r="H154" t="s">
        <v>20</v>
      </c>
      <c r="I154" t="s">
        <v>350</v>
      </c>
      <c r="J154" t="s">
        <v>34</v>
      </c>
      <c r="K154" t="str">
        <f t="shared" si="4"/>
        <v>B</v>
      </c>
      <c r="L154" t="s">
        <v>27</v>
      </c>
      <c r="M154">
        <f t="shared" si="5"/>
        <v>1</v>
      </c>
    </row>
    <row r="155" ht="18" customHeight="1" spans="1:13">
      <c r="A155" t="s">
        <v>331</v>
      </c>
      <c r="B155" s="12" t="s">
        <v>332</v>
      </c>
      <c r="C155" t="s">
        <v>15</v>
      </c>
      <c r="D155" t="s">
        <v>16</v>
      </c>
      <c r="E155" t="s">
        <v>46</v>
      </c>
      <c r="F155" s="12" t="s">
        <v>351</v>
      </c>
      <c r="G155" t="s">
        <v>19</v>
      </c>
      <c r="H155" t="s">
        <v>20</v>
      </c>
      <c r="I155" t="s">
        <v>352</v>
      </c>
      <c r="J155" t="s">
        <v>34</v>
      </c>
      <c r="K155" t="str">
        <f t="shared" si="4"/>
        <v>B</v>
      </c>
      <c r="L155" t="s">
        <v>27</v>
      </c>
      <c r="M155">
        <f t="shared" si="5"/>
        <v>1</v>
      </c>
    </row>
    <row r="156" ht="18" customHeight="1" spans="1:13">
      <c r="A156" t="s">
        <v>331</v>
      </c>
      <c r="B156" s="12" t="s">
        <v>332</v>
      </c>
      <c r="C156" t="s">
        <v>15</v>
      </c>
      <c r="D156" t="s">
        <v>24</v>
      </c>
      <c r="E156" t="s">
        <v>46</v>
      </c>
      <c r="F156" s="12" t="s">
        <v>353</v>
      </c>
      <c r="G156" t="s">
        <v>19</v>
      </c>
      <c r="H156" t="s">
        <v>20</v>
      </c>
      <c r="I156" t="s">
        <v>354</v>
      </c>
      <c r="J156" t="s">
        <v>34</v>
      </c>
      <c r="K156" t="str">
        <f t="shared" si="4"/>
        <v>B</v>
      </c>
      <c r="L156" t="s">
        <v>27</v>
      </c>
      <c r="M156">
        <f t="shared" si="5"/>
        <v>1</v>
      </c>
    </row>
    <row r="157" ht="18" customHeight="1" spans="1:13">
      <c r="A157" t="s">
        <v>331</v>
      </c>
      <c r="B157" s="12" t="s">
        <v>332</v>
      </c>
      <c r="C157" t="s">
        <v>15</v>
      </c>
      <c r="D157" t="s">
        <v>28</v>
      </c>
      <c r="E157" t="s">
        <v>46</v>
      </c>
      <c r="F157" s="12" t="s">
        <v>355</v>
      </c>
      <c r="G157" t="s">
        <v>19</v>
      </c>
      <c r="H157" t="s">
        <v>20</v>
      </c>
      <c r="I157" t="s">
        <v>356</v>
      </c>
      <c r="J157" t="s">
        <v>34</v>
      </c>
      <c r="K157" t="str">
        <f t="shared" si="4"/>
        <v>B</v>
      </c>
      <c r="L157" t="s">
        <v>27</v>
      </c>
      <c r="M157">
        <f t="shared" si="5"/>
        <v>1</v>
      </c>
    </row>
    <row r="158" ht="18" customHeight="1" spans="1:13">
      <c r="A158" t="s">
        <v>331</v>
      </c>
      <c r="B158" s="12" t="s">
        <v>332</v>
      </c>
      <c r="C158" t="s">
        <v>31</v>
      </c>
      <c r="D158" t="s">
        <v>16</v>
      </c>
      <c r="E158" t="s">
        <v>46</v>
      </c>
      <c r="F158" s="12" t="s">
        <v>357</v>
      </c>
      <c r="G158" t="s">
        <v>19</v>
      </c>
      <c r="H158" t="s">
        <v>20</v>
      </c>
      <c r="I158" t="s">
        <v>358</v>
      </c>
      <c r="J158" t="s">
        <v>27</v>
      </c>
      <c r="K158" t="str">
        <f t="shared" si="4"/>
        <v>A</v>
      </c>
      <c r="L158" t="s">
        <v>34</v>
      </c>
      <c r="M158">
        <f t="shared" si="5"/>
        <v>1</v>
      </c>
    </row>
    <row r="159" ht="18" customHeight="1" spans="1:13">
      <c r="A159" t="s">
        <v>331</v>
      </c>
      <c r="B159" s="12" t="s">
        <v>332</v>
      </c>
      <c r="C159" t="s">
        <v>31</v>
      </c>
      <c r="D159" t="s">
        <v>24</v>
      </c>
      <c r="E159" t="s">
        <v>46</v>
      </c>
      <c r="F159" s="12" t="s">
        <v>359</v>
      </c>
      <c r="G159" t="s">
        <v>19</v>
      </c>
      <c r="H159" t="s">
        <v>20</v>
      </c>
      <c r="I159" t="s">
        <v>360</v>
      </c>
      <c r="J159" t="s">
        <v>27</v>
      </c>
      <c r="K159" t="str">
        <f t="shared" si="4"/>
        <v>A</v>
      </c>
      <c r="L159" t="s">
        <v>34</v>
      </c>
      <c r="M159">
        <f t="shared" si="5"/>
        <v>1</v>
      </c>
    </row>
    <row r="160" ht="18" customHeight="1" spans="1:13">
      <c r="A160" t="s">
        <v>331</v>
      </c>
      <c r="B160" s="12" t="s">
        <v>332</v>
      </c>
      <c r="C160" t="s">
        <v>31</v>
      </c>
      <c r="D160" t="s">
        <v>28</v>
      </c>
      <c r="E160" t="s">
        <v>46</v>
      </c>
      <c r="F160" s="12" t="s">
        <v>361</v>
      </c>
      <c r="G160" t="s">
        <v>19</v>
      </c>
      <c r="H160" t="s">
        <v>20</v>
      </c>
      <c r="I160" t="s">
        <v>362</v>
      </c>
      <c r="J160" t="s">
        <v>27</v>
      </c>
      <c r="K160" t="str">
        <f t="shared" si="4"/>
        <v>A</v>
      </c>
      <c r="L160" t="s">
        <v>34</v>
      </c>
      <c r="M160">
        <f t="shared" si="5"/>
        <v>1</v>
      </c>
    </row>
    <row r="161" ht="18" customHeight="1" spans="1:13">
      <c r="A161" t="s">
        <v>331</v>
      </c>
      <c r="B161" s="12" t="s">
        <v>332</v>
      </c>
      <c r="C161" t="s">
        <v>39</v>
      </c>
      <c r="D161" t="s">
        <v>16</v>
      </c>
      <c r="E161" t="s">
        <v>46</v>
      </c>
      <c r="F161" s="12" t="s">
        <v>363</v>
      </c>
      <c r="G161" t="s">
        <v>19</v>
      </c>
      <c r="H161" t="s">
        <v>20</v>
      </c>
      <c r="I161" t="s">
        <v>364</v>
      </c>
      <c r="J161" t="s">
        <v>27</v>
      </c>
      <c r="K161" t="str">
        <f t="shared" si="4"/>
        <v>B</v>
      </c>
      <c r="L161" t="s">
        <v>27</v>
      </c>
      <c r="M161">
        <f t="shared" si="5"/>
        <v>1</v>
      </c>
    </row>
    <row r="162" ht="18" customHeight="1" spans="1:13">
      <c r="A162" t="s">
        <v>331</v>
      </c>
      <c r="B162" s="12" t="s">
        <v>332</v>
      </c>
      <c r="C162" t="s">
        <v>39</v>
      </c>
      <c r="D162" t="s">
        <v>24</v>
      </c>
      <c r="E162" t="s">
        <v>46</v>
      </c>
      <c r="F162" s="12" t="s">
        <v>365</v>
      </c>
      <c r="G162" t="s">
        <v>19</v>
      </c>
      <c r="H162" t="s">
        <v>20</v>
      </c>
      <c r="I162" t="s">
        <v>366</v>
      </c>
      <c r="J162" t="s">
        <v>27</v>
      </c>
      <c r="K162" t="str">
        <f t="shared" si="4"/>
        <v>B</v>
      </c>
      <c r="L162" t="s">
        <v>27</v>
      </c>
      <c r="M162">
        <f t="shared" si="5"/>
        <v>1</v>
      </c>
    </row>
    <row r="163" ht="18" customHeight="1" spans="1:13">
      <c r="A163" t="s">
        <v>331</v>
      </c>
      <c r="B163" s="12" t="s">
        <v>332</v>
      </c>
      <c r="C163" t="s">
        <v>39</v>
      </c>
      <c r="D163" t="s">
        <v>28</v>
      </c>
      <c r="E163" t="s">
        <v>46</v>
      </c>
      <c r="F163" s="12" t="s">
        <v>367</v>
      </c>
      <c r="G163" t="s">
        <v>19</v>
      </c>
      <c r="H163" t="s">
        <v>20</v>
      </c>
      <c r="I163" t="s">
        <v>368</v>
      </c>
      <c r="J163" t="s">
        <v>27</v>
      </c>
      <c r="K163" t="str">
        <f t="shared" si="4"/>
        <v>B</v>
      </c>
      <c r="L163" t="s">
        <v>27</v>
      </c>
      <c r="M163">
        <f t="shared" si="5"/>
        <v>1</v>
      </c>
    </row>
    <row r="164" ht="18" customHeight="1" spans="1:13">
      <c r="A164" t="s">
        <v>369</v>
      </c>
      <c r="B164" s="12" t="s">
        <v>370</v>
      </c>
      <c r="C164" t="s">
        <v>15</v>
      </c>
      <c r="D164" t="s">
        <v>16</v>
      </c>
      <c r="E164" t="s">
        <v>17</v>
      </c>
      <c r="F164" s="12" t="s">
        <v>371</v>
      </c>
      <c r="G164" t="s">
        <v>19</v>
      </c>
      <c r="H164" t="s">
        <v>20</v>
      </c>
      <c r="I164" t="s">
        <v>372</v>
      </c>
      <c r="J164" t="s">
        <v>34</v>
      </c>
      <c r="K164" t="str">
        <f t="shared" si="4"/>
        <v>A</v>
      </c>
      <c r="L164" t="s">
        <v>23</v>
      </c>
      <c r="M164">
        <f t="shared" si="5"/>
        <v>0</v>
      </c>
    </row>
    <row r="165" ht="18" customHeight="1" spans="1:13">
      <c r="A165" t="s">
        <v>369</v>
      </c>
      <c r="B165" s="12" t="s">
        <v>370</v>
      </c>
      <c r="C165" t="s">
        <v>15</v>
      </c>
      <c r="D165" t="s">
        <v>24</v>
      </c>
      <c r="E165" t="s">
        <v>17</v>
      </c>
      <c r="F165" s="12" t="s">
        <v>373</v>
      </c>
      <c r="G165" t="s">
        <v>19</v>
      </c>
      <c r="H165" t="s">
        <v>20</v>
      </c>
      <c r="I165" t="s">
        <v>374</v>
      </c>
      <c r="J165" t="s">
        <v>34</v>
      </c>
      <c r="K165" t="str">
        <f t="shared" si="4"/>
        <v>A</v>
      </c>
      <c r="L165" t="s">
        <v>23</v>
      </c>
      <c r="M165">
        <f t="shared" si="5"/>
        <v>0</v>
      </c>
    </row>
    <row r="166" ht="18" customHeight="1" spans="1:13">
      <c r="A166" t="s">
        <v>369</v>
      </c>
      <c r="B166" s="12" t="s">
        <v>370</v>
      </c>
      <c r="C166" t="s">
        <v>15</v>
      </c>
      <c r="D166" t="s">
        <v>28</v>
      </c>
      <c r="E166" t="s">
        <v>17</v>
      </c>
      <c r="F166" s="12" t="s">
        <v>375</v>
      </c>
      <c r="G166" t="s">
        <v>19</v>
      </c>
      <c r="H166" t="s">
        <v>20</v>
      </c>
      <c r="I166" s="15" t="s">
        <v>376</v>
      </c>
      <c r="J166" t="s">
        <v>34</v>
      </c>
      <c r="K166" t="str">
        <f t="shared" si="4"/>
        <v>A</v>
      </c>
      <c r="L166" t="s">
        <v>23</v>
      </c>
      <c r="M166">
        <f t="shared" si="5"/>
        <v>0</v>
      </c>
    </row>
    <row r="167" ht="18" customHeight="1" spans="1:13">
      <c r="A167" t="s">
        <v>369</v>
      </c>
      <c r="B167" s="12" t="s">
        <v>370</v>
      </c>
      <c r="C167" t="s">
        <v>31</v>
      </c>
      <c r="D167" t="s">
        <v>16</v>
      </c>
      <c r="E167" t="s">
        <v>17</v>
      </c>
      <c r="F167" s="12" t="s">
        <v>377</v>
      </c>
      <c r="G167" t="s">
        <v>19</v>
      </c>
      <c r="H167" t="s">
        <v>20</v>
      </c>
      <c r="I167" t="s">
        <v>378</v>
      </c>
      <c r="J167" t="s">
        <v>34</v>
      </c>
      <c r="K167" t="str">
        <f t="shared" si="4"/>
        <v>A</v>
      </c>
      <c r="L167" t="s">
        <v>34</v>
      </c>
      <c r="M167">
        <f t="shared" si="5"/>
        <v>1</v>
      </c>
    </row>
    <row r="168" ht="18" customHeight="1" spans="1:13">
      <c r="A168" t="s">
        <v>369</v>
      </c>
      <c r="B168" s="12" t="s">
        <v>370</v>
      </c>
      <c r="C168" t="s">
        <v>31</v>
      </c>
      <c r="D168" t="s">
        <v>24</v>
      </c>
      <c r="E168" t="s">
        <v>17</v>
      </c>
      <c r="F168" s="12" t="s">
        <v>379</v>
      </c>
      <c r="G168" t="s">
        <v>19</v>
      </c>
      <c r="H168" t="s">
        <v>20</v>
      </c>
      <c r="I168" t="s">
        <v>380</v>
      </c>
      <c r="J168" t="s">
        <v>34</v>
      </c>
      <c r="K168" t="str">
        <f t="shared" si="4"/>
        <v>A</v>
      </c>
      <c r="L168" t="s">
        <v>34</v>
      </c>
      <c r="M168">
        <f t="shared" si="5"/>
        <v>1</v>
      </c>
    </row>
    <row r="169" ht="18" customHeight="1" spans="1:13">
      <c r="A169" t="s">
        <v>369</v>
      </c>
      <c r="B169" s="12" t="s">
        <v>370</v>
      </c>
      <c r="C169" t="s">
        <v>31</v>
      </c>
      <c r="D169" t="s">
        <v>28</v>
      </c>
      <c r="E169" t="s">
        <v>17</v>
      </c>
      <c r="F169" s="12" t="s">
        <v>381</v>
      </c>
      <c r="G169" t="s">
        <v>19</v>
      </c>
      <c r="H169" t="s">
        <v>20</v>
      </c>
      <c r="I169" t="s">
        <v>382</v>
      </c>
      <c r="J169" t="s">
        <v>34</v>
      </c>
      <c r="K169" t="str">
        <f t="shared" si="4"/>
        <v>A</v>
      </c>
      <c r="L169" t="s">
        <v>34</v>
      </c>
      <c r="M169">
        <f t="shared" si="5"/>
        <v>1</v>
      </c>
    </row>
    <row r="170" ht="18" customHeight="1" spans="1:13">
      <c r="A170" t="s">
        <v>369</v>
      </c>
      <c r="B170" s="12" t="s">
        <v>370</v>
      </c>
      <c r="C170" t="s">
        <v>39</v>
      </c>
      <c r="D170" t="s">
        <v>16</v>
      </c>
      <c r="E170" t="s">
        <v>17</v>
      </c>
      <c r="F170" s="12" t="s">
        <v>383</v>
      </c>
      <c r="G170" t="s">
        <v>19</v>
      </c>
      <c r="H170" t="s">
        <v>20</v>
      </c>
      <c r="I170" t="s">
        <v>384</v>
      </c>
      <c r="J170" t="s">
        <v>34</v>
      </c>
      <c r="K170" t="str">
        <f t="shared" si="4"/>
        <v>B</v>
      </c>
      <c r="L170" t="s">
        <v>27</v>
      </c>
      <c r="M170">
        <f t="shared" si="5"/>
        <v>1</v>
      </c>
    </row>
    <row r="171" ht="18" customHeight="1" spans="1:13">
      <c r="A171" t="s">
        <v>369</v>
      </c>
      <c r="B171" s="12" t="s">
        <v>370</v>
      </c>
      <c r="C171" t="s">
        <v>39</v>
      </c>
      <c r="D171" t="s">
        <v>24</v>
      </c>
      <c r="E171" t="s">
        <v>17</v>
      </c>
      <c r="F171" s="12" t="s">
        <v>385</v>
      </c>
      <c r="G171" t="s">
        <v>19</v>
      </c>
      <c r="H171" t="s">
        <v>20</v>
      </c>
      <c r="I171" t="s">
        <v>386</v>
      </c>
      <c r="J171" t="s">
        <v>34</v>
      </c>
      <c r="K171" t="str">
        <f t="shared" si="4"/>
        <v>B</v>
      </c>
      <c r="L171" t="s">
        <v>27</v>
      </c>
      <c r="M171">
        <f t="shared" si="5"/>
        <v>1</v>
      </c>
    </row>
    <row r="172" ht="18" customHeight="1" spans="1:13">
      <c r="A172" t="s">
        <v>369</v>
      </c>
      <c r="B172" s="12" t="s">
        <v>370</v>
      </c>
      <c r="C172" t="s">
        <v>39</v>
      </c>
      <c r="D172" t="s">
        <v>28</v>
      </c>
      <c r="E172" t="s">
        <v>17</v>
      </c>
      <c r="F172" s="12" t="s">
        <v>387</v>
      </c>
      <c r="G172" t="s">
        <v>19</v>
      </c>
      <c r="H172" t="s">
        <v>20</v>
      </c>
      <c r="I172" t="s">
        <v>388</v>
      </c>
      <c r="J172" t="s">
        <v>34</v>
      </c>
      <c r="K172" t="str">
        <f t="shared" si="4"/>
        <v>B</v>
      </c>
      <c r="L172" t="s">
        <v>27</v>
      </c>
      <c r="M172">
        <f t="shared" si="5"/>
        <v>1</v>
      </c>
    </row>
    <row r="173" ht="18" customHeight="1" spans="1:13">
      <c r="A173" t="s">
        <v>369</v>
      </c>
      <c r="B173" s="12" t="s">
        <v>370</v>
      </c>
      <c r="C173" t="s">
        <v>15</v>
      </c>
      <c r="D173" t="s">
        <v>16</v>
      </c>
      <c r="E173" t="s">
        <v>46</v>
      </c>
      <c r="F173" s="12" t="s">
        <v>389</v>
      </c>
      <c r="G173" t="s">
        <v>19</v>
      </c>
      <c r="H173" t="s">
        <v>20</v>
      </c>
      <c r="I173" t="s">
        <v>390</v>
      </c>
      <c r="J173" t="s">
        <v>27</v>
      </c>
      <c r="K173" t="str">
        <f t="shared" si="4"/>
        <v>A</v>
      </c>
      <c r="L173" t="s">
        <v>23</v>
      </c>
      <c r="M173">
        <f t="shared" si="5"/>
        <v>0</v>
      </c>
    </row>
    <row r="174" ht="18" customHeight="1" spans="1:13">
      <c r="A174" t="s">
        <v>369</v>
      </c>
      <c r="B174" s="12" t="s">
        <v>370</v>
      </c>
      <c r="C174" t="s">
        <v>15</v>
      </c>
      <c r="D174" t="s">
        <v>24</v>
      </c>
      <c r="E174" t="s">
        <v>46</v>
      </c>
      <c r="F174" s="12" t="s">
        <v>391</v>
      </c>
      <c r="G174" t="s">
        <v>19</v>
      </c>
      <c r="H174" t="s">
        <v>20</v>
      </c>
      <c r="I174" t="s">
        <v>392</v>
      </c>
      <c r="J174" t="s">
        <v>22</v>
      </c>
      <c r="K174" t="str">
        <f t="shared" si="4"/>
        <v>D(平局)</v>
      </c>
      <c r="L174" t="s">
        <v>23</v>
      </c>
      <c r="M174">
        <f t="shared" si="5"/>
        <v>1</v>
      </c>
    </row>
    <row r="175" ht="18" customHeight="1" spans="1:13">
      <c r="A175" t="s">
        <v>369</v>
      </c>
      <c r="B175" s="12" t="s">
        <v>370</v>
      </c>
      <c r="C175" t="s">
        <v>15</v>
      </c>
      <c r="D175" t="s">
        <v>28</v>
      </c>
      <c r="E175" t="s">
        <v>46</v>
      </c>
      <c r="F175" s="12" t="s">
        <v>393</v>
      </c>
      <c r="G175" t="s">
        <v>19</v>
      </c>
      <c r="H175" t="s">
        <v>20</v>
      </c>
      <c r="I175" t="s">
        <v>394</v>
      </c>
      <c r="J175" t="s">
        <v>27</v>
      </c>
      <c r="K175" t="str">
        <f t="shared" si="4"/>
        <v>A</v>
      </c>
      <c r="L175" t="s">
        <v>23</v>
      </c>
      <c r="M175">
        <f t="shared" si="5"/>
        <v>0</v>
      </c>
    </row>
    <row r="176" ht="18" customHeight="1" spans="1:13">
      <c r="A176" t="s">
        <v>369</v>
      </c>
      <c r="B176" s="12" t="s">
        <v>370</v>
      </c>
      <c r="C176" t="s">
        <v>31</v>
      </c>
      <c r="D176" t="s">
        <v>16</v>
      </c>
      <c r="E176" t="s">
        <v>46</v>
      </c>
      <c r="F176" s="12" t="s">
        <v>395</v>
      </c>
      <c r="G176" t="s">
        <v>19</v>
      </c>
      <c r="H176" t="s">
        <v>20</v>
      </c>
      <c r="I176" t="s">
        <v>396</v>
      </c>
      <c r="J176" t="s">
        <v>27</v>
      </c>
      <c r="K176" t="str">
        <f t="shared" si="4"/>
        <v>A</v>
      </c>
      <c r="L176" t="s">
        <v>34</v>
      </c>
      <c r="M176">
        <f t="shared" si="5"/>
        <v>1</v>
      </c>
    </row>
    <row r="177" ht="18" customHeight="1" spans="1:13">
      <c r="A177" t="s">
        <v>369</v>
      </c>
      <c r="B177" s="12" t="s">
        <v>370</v>
      </c>
      <c r="C177" t="s">
        <v>31</v>
      </c>
      <c r="D177" t="s">
        <v>24</v>
      </c>
      <c r="E177" t="s">
        <v>46</v>
      </c>
      <c r="F177" s="12" t="s">
        <v>397</v>
      </c>
      <c r="G177" t="s">
        <v>19</v>
      </c>
      <c r="H177" t="s">
        <v>20</v>
      </c>
      <c r="I177" t="s">
        <v>398</v>
      </c>
      <c r="J177" t="s">
        <v>27</v>
      </c>
      <c r="K177" t="str">
        <f t="shared" si="4"/>
        <v>A</v>
      </c>
      <c r="L177" t="s">
        <v>34</v>
      </c>
      <c r="M177">
        <f t="shared" si="5"/>
        <v>1</v>
      </c>
    </row>
    <row r="178" ht="18" customHeight="1" spans="1:13">
      <c r="A178" t="s">
        <v>369</v>
      </c>
      <c r="B178" s="12" t="s">
        <v>370</v>
      </c>
      <c r="C178" t="s">
        <v>31</v>
      </c>
      <c r="D178" t="s">
        <v>28</v>
      </c>
      <c r="E178" t="s">
        <v>46</v>
      </c>
      <c r="F178" s="12" t="s">
        <v>399</v>
      </c>
      <c r="G178" t="s">
        <v>19</v>
      </c>
      <c r="H178" t="s">
        <v>20</v>
      </c>
      <c r="I178" t="s">
        <v>400</v>
      </c>
      <c r="J178" t="s">
        <v>27</v>
      </c>
      <c r="K178" t="str">
        <f t="shared" si="4"/>
        <v>A</v>
      </c>
      <c r="L178" t="s">
        <v>34</v>
      </c>
      <c r="M178">
        <f t="shared" si="5"/>
        <v>1</v>
      </c>
    </row>
    <row r="179" ht="18" customHeight="1" spans="1:13">
      <c r="A179" t="s">
        <v>369</v>
      </c>
      <c r="B179" s="12" t="s">
        <v>370</v>
      </c>
      <c r="C179" t="s">
        <v>39</v>
      </c>
      <c r="D179" t="s">
        <v>16</v>
      </c>
      <c r="E179" t="s">
        <v>46</v>
      </c>
      <c r="F179" s="12" t="s">
        <v>401</v>
      </c>
      <c r="G179" t="s">
        <v>19</v>
      </c>
      <c r="H179" t="s">
        <v>20</v>
      </c>
      <c r="I179" t="s">
        <v>402</v>
      </c>
      <c r="J179" t="s">
        <v>27</v>
      </c>
      <c r="K179" t="str">
        <f t="shared" si="4"/>
        <v>B</v>
      </c>
      <c r="L179" t="s">
        <v>27</v>
      </c>
      <c r="M179">
        <f t="shared" si="5"/>
        <v>1</v>
      </c>
    </row>
    <row r="180" ht="18" customHeight="1" spans="1:13">
      <c r="A180" t="s">
        <v>369</v>
      </c>
      <c r="B180" s="12" t="s">
        <v>370</v>
      </c>
      <c r="C180" t="s">
        <v>39</v>
      </c>
      <c r="D180" t="s">
        <v>24</v>
      </c>
      <c r="E180" t="s">
        <v>46</v>
      </c>
      <c r="F180" s="12" t="s">
        <v>403</v>
      </c>
      <c r="G180" t="s">
        <v>19</v>
      </c>
      <c r="H180" t="s">
        <v>20</v>
      </c>
      <c r="I180" t="s">
        <v>404</v>
      </c>
      <c r="J180" t="s">
        <v>27</v>
      </c>
      <c r="K180" t="str">
        <f t="shared" si="4"/>
        <v>B</v>
      </c>
      <c r="L180" t="s">
        <v>27</v>
      </c>
      <c r="M180">
        <f t="shared" si="5"/>
        <v>1</v>
      </c>
    </row>
    <row r="181" ht="18" customHeight="1" spans="1:13">
      <c r="A181" t="s">
        <v>369</v>
      </c>
      <c r="B181" s="12" t="s">
        <v>370</v>
      </c>
      <c r="C181" t="s">
        <v>39</v>
      </c>
      <c r="D181" t="s">
        <v>28</v>
      </c>
      <c r="E181" t="s">
        <v>46</v>
      </c>
      <c r="F181" s="12" t="s">
        <v>405</v>
      </c>
      <c r="G181" t="s">
        <v>19</v>
      </c>
      <c r="H181" t="s">
        <v>20</v>
      </c>
      <c r="I181" t="s">
        <v>406</v>
      </c>
      <c r="J181" t="s">
        <v>27</v>
      </c>
      <c r="K181" t="str">
        <f t="shared" si="4"/>
        <v>B</v>
      </c>
      <c r="L181" t="s">
        <v>27</v>
      </c>
      <c r="M181">
        <f t="shared" si="5"/>
        <v>1</v>
      </c>
    </row>
    <row r="182" ht="18" customHeight="1" spans="1:13">
      <c r="A182" t="s">
        <v>407</v>
      </c>
      <c r="B182" s="12" t="s">
        <v>408</v>
      </c>
      <c r="C182" t="s">
        <v>15</v>
      </c>
      <c r="D182" t="s">
        <v>16</v>
      </c>
      <c r="E182" t="s">
        <v>17</v>
      </c>
      <c r="F182" s="12" t="s">
        <v>409</v>
      </c>
      <c r="G182" t="s">
        <v>19</v>
      </c>
      <c r="H182" t="s">
        <v>20</v>
      </c>
      <c r="I182" t="s">
        <v>410</v>
      </c>
      <c r="J182" t="s">
        <v>22</v>
      </c>
      <c r="K182" t="str">
        <f t="shared" si="4"/>
        <v>D(平局)</v>
      </c>
      <c r="L182" t="s">
        <v>34</v>
      </c>
      <c r="M182">
        <f t="shared" si="5"/>
        <v>0</v>
      </c>
    </row>
    <row r="183" ht="18" customHeight="1" spans="1:13">
      <c r="A183" t="s">
        <v>407</v>
      </c>
      <c r="B183" s="12" t="s">
        <v>408</v>
      </c>
      <c r="C183" t="s">
        <v>15</v>
      </c>
      <c r="D183" t="s">
        <v>24</v>
      </c>
      <c r="E183" t="s">
        <v>17</v>
      </c>
      <c r="F183" s="12" t="s">
        <v>411</v>
      </c>
      <c r="G183" t="s">
        <v>19</v>
      </c>
      <c r="H183" t="s">
        <v>20</v>
      </c>
      <c r="I183" t="s">
        <v>412</v>
      </c>
      <c r="J183" t="s">
        <v>34</v>
      </c>
      <c r="K183" t="str">
        <f t="shared" si="4"/>
        <v>A</v>
      </c>
      <c r="L183" t="s">
        <v>34</v>
      </c>
      <c r="M183">
        <f t="shared" si="5"/>
        <v>1</v>
      </c>
    </row>
    <row r="184" ht="18" customHeight="1" spans="1:13">
      <c r="A184" t="s">
        <v>407</v>
      </c>
      <c r="B184" s="12" t="s">
        <v>408</v>
      </c>
      <c r="C184" t="s">
        <v>15</v>
      </c>
      <c r="D184" t="s">
        <v>28</v>
      </c>
      <c r="E184" t="s">
        <v>17</v>
      </c>
      <c r="F184" s="12" t="s">
        <v>413</v>
      </c>
      <c r="G184" t="s">
        <v>19</v>
      </c>
      <c r="H184" t="s">
        <v>20</v>
      </c>
      <c r="I184" t="s">
        <v>414</v>
      </c>
      <c r="J184" t="s">
        <v>34</v>
      </c>
      <c r="K184" t="str">
        <f t="shared" si="4"/>
        <v>A</v>
      </c>
      <c r="L184" t="s">
        <v>34</v>
      </c>
      <c r="M184">
        <f t="shared" si="5"/>
        <v>1</v>
      </c>
    </row>
    <row r="185" ht="18" customHeight="1" spans="1:13">
      <c r="A185" t="s">
        <v>407</v>
      </c>
      <c r="B185" s="12" t="s">
        <v>408</v>
      </c>
      <c r="C185" t="s">
        <v>31</v>
      </c>
      <c r="D185" t="s">
        <v>16</v>
      </c>
      <c r="E185" t="s">
        <v>17</v>
      </c>
      <c r="F185" s="12" t="s">
        <v>415</v>
      </c>
      <c r="G185" t="s">
        <v>19</v>
      </c>
      <c r="H185" t="s">
        <v>20</v>
      </c>
      <c r="I185" t="s">
        <v>416</v>
      </c>
      <c r="J185" t="s">
        <v>34</v>
      </c>
      <c r="K185" t="str">
        <f t="shared" si="4"/>
        <v>A</v>
      </c>
      <c r="L185" t="s">
        <v>34</v>
      </c>
      <c r="M185">
        <f t="shared" si="5"/>
        <v>1</v>
      </c>
    </row>
    <row r="186" ht="18" customHeight="1" spans="1:13">
      <c r="A186" t="s">
        <v>407</v>
      </c>
      <c r="B186" s="12" t="s">
        <v>408</v>
      </c>
      <c r="C186" t="s">
        <v>31</v>
      </c>
      <c r="D186" t="s">
        <v>24</v>
      </c>
      <c r="E186" t="s">
        <v>17</v>
      </c>
      <c r="F186" s="12" t="s">
        <v>417</v>
      </c>
      <c r="G186" t="s">
        <v>19</v>
      </c>
      <c r="H186" t="s">
        <v>20</v>
      </c>
      <c r="I186" t="s">
        <v>418</v>
      </c>
      <c r="J186" t="s">
        <v>34</v>
      </c>
      <c r="K186" t="str">
        <f t="shared" si="4"/>
        <v>A</v>
      </c>
      <c r="L186" t="s">
        <v>34</v>
      </c>
      <c r="M186">
        <f t="shared" si="5"/>
        <v>1</v>
      </c>
    </row>
    <row r="187" ht="18" customHeight="1" spans="1:13">
      <c r="A187" t="s">
        <v>407</v>
      </c>
      <c r="B187" s="12" t="s">
        <v>408</v>
      </c>
      <c r="C187" t="s">
        <v>31</v>
      </c>
      <c r="D187" t="s">
        <v>28</v>
      </c>
      <c r="E187" t="s">
        <v>17</v>
      </c>
      <c r="F187" s="12" t="s">
        <v>419</v>
      </c>
      <c r="G187" t="s">
        <v>19</v>
      </c>
      <c r="H187" t="s">
        <v>20</v>
      </c>
      <c r="I187" t="s">
        <v>420</v>
      </c>
      <c r="J187" t="s">
        <v>34</v>
      </c>
      <c r="K187" t="str">
        <f t="shared" si="4"/>
        <v>A</v>
      </c>
      <c r="L187" t="s">
        <v>34</v>
      </c>
      <c r="M187">
        <f t="shared" si="5"/>
        <v>1</v>
      </c>
    </row>
    <row r="188" ht="18" customHeight="1" spans="1:13">
      <c r="A188" t="s">
        <v>407</v>
      </c>
      <c r="B188" s="12" t="s">
        <v>408</v>
      </c>
      <c r="C188" t="s">
        <v>39</v>
      </c>
      <c r="D188" t="s">
        <v>16</v>
      </c>
      <c r="E188" t="s">
        <v>17</v>
      </c>
      <c r="F188" s="12" t="s">
        <v>421</v>
      </c>
      <c r="G188" t="s">
        <v>19</v>
      </c>
      <c r="H188" t="s">
        <v>20</v>
      </c>
      <c r="I188" t="s">
        <v>422</v>
      </c>
      <c r="J188" t="s">
        <v>34</v>
      </c>
      <c r="K188" t="str">
        <f t="shared" si="4"/>
        <v>B</v>
      </c>
      <c r="L188" t="s">
        <v>27</v>
      </c>
      <c r="M188">
        <f t="shared" si="5"/>
        <v>1</v>
      </c>
    </row>
    <row r="189" ht="18" customHeight="1" spans="1:13">
      <c r="A189" t="s">
        <v>407</v>
      </c>
      <c r="B189" s="12" t="s">
        <v>408</v>
      </c>
      <c r="C189" t="s">
        <v>39</v>
      </c>
      <c r="D189" t="s">
        <v>24</v>
      </c>
      <c r="E189" t="s">
        <v>17</v>
      </c>
      <c r="F189" s="12" t="s">
        <v>423</v>
      </c>
      <c r="G189" t="s">
        <v>19</v>
      </c>
      <c r="H189" t="s">
        <v>20</v>
      </c>
      <c r="I189" t="s">
        <v>424</v>
      </c>
      <c r="J189" t="s">
        <v>34</v>
      </c>
      <c r="K189" t="str">
        <f t="shared" si="4"/>
        <v>B</v>
      </c>
      <c r="L189" t="s">
        <v>27</v>
      </c>
      <c r="M189">
        <f t="shared" si="5"/>
        <v>1</v>
      </c>
    </row>
    <row r="190" ht="18" customHeight="1" spans="1:13">
      <c r="A190" t="s">
        <v>407</v>
      </c>
      <c r="B190" s="12" t="s">
        <v>408</v>
      </c>
      <c r="C190" t="s">
        <v>39</v>
      </c>
      <c r="D190" t="s">
        <v>28</v>
      </c>
      <c r="E190" t="s">
        <v>17</v>
      </c>
      <c r="F190" s="12" t="s">
        <v>425</v>
      </c>
      <c r="G190" t="s">
        <v>19</v>
      </c>
      <c r="H190" t="s">
        <v>20</v>
      </c>
      <c r="I190" t="s">
        <v>426</v>
      </c>
      <c r="J190" t="s">
        <v>34</v>
      </c>
      <c r="K190" t="str">
        <f t="shared" si="4"/>
        <v>B</v>
      </c>
      <c r="L190" t="s">
        <v>27</v>
      </c>
      <c r="M190">
        <f t="shared" si="5"/>
        <v>1</v>
      </c>
    </row>
    <row r="191" ht="18" customHeight="1" spans="1:13">
      <c r="A191" t="s">
        <v>407</v>
      </c>
      <c r="B191" s="12" t="s">
        <v>408</v>
      </c>
      <c r="C191" t="s">
        <v>15</v>
      </c>
      <c r="D191" t="s">
        <v>16</v>
      </c>
      <c r="E191" t="s">
        <v>46</v>
      </c>
      <c r="F191" s="12" t="s">
        <v>427</v>
      </c>
      <c r="G191" t="s">
        <v>19</v>
      </c>
      <c r="H191" t="s">
        <v>20</v>
      </c>
      <c r="I191" t="s">
        <v>428</v>
      </c>
      <c r="J191" t="s">
        <v>22</v>
      </c>
      <c r="K191" t="str">
        <f t="shared" si="4"/>
        <v>D(平局)</v>
      </c>
      <c r="L191" t="s">
        <v>34</v>
      </c>
      <c r="M191">
        <f t="shared" si="5"/>
        <v>0</v>
      </c>
    </row>
    <row r="192" ht="18" customHeight="1" spans="1:13">
      <c r="A192" t="s">
        <v>407</v>
      </c>
      <c r="B192" s="12" t="s">
        <v>408</v>
      </c>
      <c r="C192" t="s">
        <v>15</v>
      </c>
      <c r="D192" t="s">
        <v>24</v>
      </c>
      <c r="E192" t="s">
        <v>46</v>
      </c>
      <c r="F192" s="12" t="s">
        <v>429</v>
      </c>
      <c r="G192" t="s">
        <v>19</v>
      </c>
      <c r="H192" t="s">
        <v>20</v>
      </c>
      <c r="I192" t="s">
        <v>430</v>
      </c>
      <c r="J192" t="s">
        <v>34</v>
      </c>
      <c r="K192" t="str">
        <f t="shared" si="4"/>
        <v>B</v>
      </c>
      <c r="L192" t="s">
        <v>34</v>
      </c>
      <c r="M192">
        <f t="shared" si="5"/>
        <v>0</v>
      </c>
    </row>
    <row r="193" ht="18" customHeight="1" spans="1:13">
      <c r="A193" t="s">
        <v>407</v>
      </c>
      <c r="B193" s="12" t="s">
        <v>408</v>
      </c>
      <c r="C193" t="s">
        <v>15</v>
      </c>
      <c r="D193" t="s">
        <v>28</v>
      </c>
      <c r="E193" t="s">
        <v>46</v>
      </c>
      <c r="F193" s="12" t="s">
        <v>431</v>
      </c>
      <c r="G193" t="s">
        <v>19</v>
      </c>
      <c r="H193" t="s">
        <v>20</v>
      </c>
      <c r="I193" t="s">
        <v>432</v>
      </c>
      <c r="J193" t="s">
        <v>27</v>
      </c>
      <c r="K193" t="str">
        <f t="shared" si="4"/>
        <v>A</v>
      </c>
      <c r="L193" t="s">
        <v>34</v>
      </c>
      <c r="M193">
        <f t="shared" si="5"/>
        <v>1</v>
      </c>
    </row>
    <row r="194" ht="18" customHeight="1" spans="1:13">
      <c r="A194" t="s">
        <v>407</v>
      </c>
      <c r="B194" s="12" t="s">
        <v>408</v>
      </c>
      <c r="C194" t="s">
        <v>31</v>
      </c>
      <c r="D194" t="s">
        <v>16</v>
      </c>
      <c r="E194" t="s">
        <v>46</v>
      </c>
      <c r="F194" s="12" t="s">
        <v>433</v>
      </c>
      <c r="G194" t="s">
        <v>19</v>
      </c>
      <c r="H194" t="s">
        <v>20</v>
      </c>
      <c r="I194" t="s">
        <v>434</v>
      </c>
      <c r="J194" t="s">
        <v>27</v>
      </c>
      <c r="K194" t="str">
        <f t="shared" ref="K194:K217" si="6">IF(OR(J194="",C194="",E194=""),"",IF(J194="C","D(平局)",IF(J194=IF(E194="l2r","A","B"),LEFT(C194,1),RIGHT(C194,1))))</f>
        <v>A</v>
      </c>
      <c r="L194" t="s">
        <v>34</v>
      </c>
      <c r="M194">
        <f t="shared" ref="M194:M217" si="7">IF(OR(K194="",L194=""),"",--(K194=L194))</f>
        <v>1</v>
      </c>
    </row>
    <row r="195" ht="18" customHeight="1" spans="1:13">
      <c r="A195" t="s">
        <v>407</v>
      </c>
      <c r="B195" s="12" t="s">
        <v>408</v>
      </c>
      <c r="C195" t="s">
        <v>31</v>
      </c>
      <c r="D195" t="s">
        <v>24</v>
      </c>
      <c r="E195" t="s">
        <v>46</v>
      </c>
      <c r="F195" s="12" t="s">
        <v>435</v>
      </c>
      <c r="G195" t="s">
        <v>19</v>
      </c>
      <c r="H195" t="s">
        <v>20</v>
      </c>
      <c r="I195" t="s">
        <v>436</v>
      </c>
      <c r="J195" t="s">
        <v>27</v>
      </c>
      <c r="K195" t="str">
        <f t="shared" si="6"/>
        <v>A</v>
      </c>
      <c r="L195" t="s">
        <v>34</v>
      </c>
      <c r="M195">
        <f t="shared" si="7"/>
        <v>1</v>
      </c>
    </row>
    <row r="196" ht="18" customHeight="1" spans="1:13">
      <c r="A196" t="s">
        <v>407</v>
      </c>
      <c r="B196" s="12" t="s">
        <v>408</v>
      </c>
      <c r="C196" t="s">
        <v>31</v>
      </c>
      <c r="D196" t="s">
        <v>28</v>
      </c>
      <c r="E196" t="s">
        <v>46</v>
      </c>
      <c r="F196" s="12" t="s">
        <v>437</v>
      </c>
      <c r="G196" t="s">
        <v>19</v>
      </c>
      <c r="H196" t="s">
        <v>20</v>
      </c>
      <c r="I196" t="s">
        <v>438</v>
      </c>
      <c r="J196" t="s">
        <v>27</v>
      </c>
      <c r="K196" t="str">
        <f t="shared" si="6"/>
        <v>A</v>
      </c>
      <c r="L196" t="s">
        <v>34</v>
      </c>
      <c r="M196">
        <f t="shared" si="7"/>
        <v>1</v>
      </c>
    </row>
    <row r="197" ht="18" customHeight="1" spans="1:13">
      <c r="A197" t="s">
        <v>407</v>
      </c>
      <c r="B197" s="12" t="s">
        <v>408</v>
      </c>
      <c r="C197" t="s">
        <v>39</v>
      </c>
      <c r="D197" t="s">
        <v>16</v>
      </c>
      <c r="E197" t="s">
        <v>46</v>
      </c>
      <c r="F197" s="12" t="s">
        <v>439</v>
      </c>
      <c r="G197" t="s">
        <v>19</v>
      </c>
      <c r="H197" t="s">
        <v>20</v>
      </c>
      <c r="I197" t="s">
        <v>440</v>
      </c>
      <c r="J197" t="s">
        <v>27</v>
      </c>
      <c r="K197" t="str">
        <f t="shared" si="6"/>
        <v>B</v>
      </c>
      <c r="L197" t="s">
        <v>27</v>
      </c>
      <c r="M197">
        <f t="shared" si="7"/>
        <v>1</v>
      </c>
    </row>
    <row r="198" ht="18" customHeight="1" spans="1:13">
      <c r="A198" t="s">
        <v>407</v>
      </c>
      <c r="B198" s="12" t="s">
        <v>408</v>
      </c>
      <c r="C198" t="s">
        <v>39</v>
      </c>
      <c r="D198" t="s">
        <v>24</v>
      </c>
      <c r="E198" t="s">
        <v>46</v>
      </c>
      <c r="F198" s="12" t="s">
        <v>441</v>
      </c>
      <c r="G198" t="s">
        <v>19</v>
      </c>
      <c r="H198" t="s">
        <v>20</v>
      </c>
      <c r="I198" t="s">
        <v>442</v>
      </c>
      <c r="J198" t="s">
        <v>27</v>
      </c>
      <c r="K198" t="str">
        <f t="shared" si="6"/>
        <v>B</v>
      </c>
      <c r="L198" t="s">
        <v>27</v>
      </c>
      <c r="M198">
        <f t="shared" si="7"/>
        <v>1</v>
      </c>
    </row>
    <row r="199" ht="18" customHeight="1" spans="1:13">
      <c r="A199" t="s">
        <v>407</v>
      </c>
      <c r="B199" s="12" t="s">
        <v>408</v>
      </c>
      <c r="C199" t="s">
        <v>39</v>
      </c>
      <c r="D199" t="s">
        <v>28</v>
      </c>
      <c r="E199" t="s">
        <v>46</v>
      </c>
      <c r="F199" s="12" t="s">
        <v>443</v>
      </c>
      <c r="G199" t="s">
        <v>19</v>
      </c>
      <c r="H199" t="s">
        <v>20</v>
      </c>
      <c r="I199" t="s">
        <v>444</v>
      </c>
      <c r="J199" t="s">
        <v>27</v>
      </c>
      <c r="K199" t="str">
        <f t="shared" si="6"/>
        <v>B</v>
      </c>
      <c r="L199" t="s">
        <v>27</v>
      </c>
      <c r="M199">
        <f t="shared" si="7"/>
        <v>1</v>
      </c>
    </row>
    <row r="200" ht="18" customHeight="1" spans="1:13">
      <c r="A200" t="s">
        <v>445</v>
      </c>
      <c r="B200" s="12" t="s">
        <v>446</v>
      </c>
      <c r="C200" t="s">
        <v>15</v>
      </c>
      <c r="D200" t="s">
        <v>16</v>
      </c>
      <c r="E200" t="s">
        <v>17</v>
      </c>
      <c r="F200" s="12" t="s">
        <v>447</v>
      </c>
      <c r="G200" t="s">
        <v>19</v>
      </c>
      <c r="H200" t="s">
        <v>20</v>
      </c>
      <c r="I200" t="s">
        <v>448</v>
      </c>
      <c r="J200" t="s">
        <v>34</v>
      </c>
      <c r="K200" t="str">
        <f t="shared" si="6"/>
        <v>A</v>
      </c>
      <c r="L200" t="s">
        <v>34</v>
      </c>
      <c r="M200">
        <f t="shared" si="7"/>
        <v>1</v>
      </c>
    </row>
    <row r="201" ht="18" customHeight="1" spans="1:13">
      <c r="A201" t="s">
        <v>445</v>
      </c>
      <c r="B201" s="12" t="s">
        <v>446</v>
      </c>
      <c r="C201" t="s">
        <v>15</v>
      </c>
      <c r="D201" t="s">
        <v>24</v>
      </c>
      <c r="E201" t="s">
        <v>17</v>
      </c>
      <c r="F201" s="12" t="s">
        <v>449</v>
      </c>
      <c r="G201" t="s">
        <v>19</v>
      </c>
      <c r="H201" t="s">
        <v>20</v>
      </c>
      <c r="I201" t="s">
        <v>450</v>
      </c>
      <c r="J201" t="s">
        <v>34</v>
      </c>
      <c r="K201" t="str">
        <f t="shared" si="6"/>
        <v>A</v>
      </c>
      <c r="L201" t="s">
        <v>34</v>
      </c>
      <c r="M201">
        <f t="shared" si="7"/>
        <v>1</v>
      </c>
    </row>
    <row r="202" ht="18" customHeight="1" spans="1:13">
      <c r="A202" t="s">
        <v>445</v>
      </c>
      <c r="B202" s="12" t="s">
        <v>446</v>
      </c>
      <c r="C202" t="s">
        <v>15</v>
      </c>
      <c r="D202" t="s">
        <v>28</v>
      </c>
      <c r="E202" t="s">
        <v>17</v>
      </c>
      <c r="F202" s="12" t="s">
        <v>451</v>
      </c>
      <c r="G202" t="s">
        <v>19</v>
      </c>
      <c r="H202" t="s">
        <v>20</v>
      </c>
      <c r="I202" t="s">
        <v>452</v>
      </c>
      <c r="J202" t="s">
        <v>34</v>
      </c>
      <c r="K202" t="str">
        <f t="shared" si="6"/>
        <v>A</v>
      </c>
      <c r="L202" t="s">
        <v>34</v>
      </c>
      <c r="M202">
        <f t="shared" si="7"/>
        <v>1</v>
      </c>
    </row>
    <row r="203" ht="18" customHeight="1" spans="1:13">
      <c r="A203" t="s">
        <v>445</v>
      </c>
      <c r="B203" s="12" t="s">
        <v>446</v>
      </c>
      <c r="C203" t="s">
        <v>31</v>
      </c>
      <c r="D203" t="s">
        <v>16</v>
      </c>
      <c r="E203" t="s">
        <v>17</v>
      </c>
      <c r="F203" s="12" t="s">
        <v>453</v>
      </c>
      <c r="G203" t="s">
        <v>19</v>
      </c>
      <c r="H203" t="s">
        <v>20</v>
      </c>
      <c r="I203" t="s">
        <v>454</v>
      </c>
      <c r="J203" t="s">
        <v>34</v>
      </c>
      <c r="K203" t="str">
        <f t="shared" si="6"/>
        <v>A</v>
      </c>
      <c r="L203" t="s">
        <v>34</v>
      </c>
      <c r="M203">
        <f t="shared" si="7"/>
        <v>1</v>
      </c>
    </row>
    <row r="204" ht="18" customHeight="1" spans="1:13">
      <c r="A204" t="s">
        <v>445</v>
      </c>
      <c r="B204" s="12" t="s">
        <v>446</v>
      </c>
      <c r="C204" t="s">
        <v>31</v>
      </c>
      <c r="D204" t="s">
        <v>24</v>
      </c>
      <c r="E204" t="s">
        <v>17</v>
      </c>
      <c r="F204" s="12" t="s">
        <v>455</v>
      </c>
      <c r="G204" t="s">
        <v>19</v>
      </c>
      <c r="H204" t="s">
        <v>20</v>
      </c>
      <c r="I204" t="s">
        <v>456</v>
      </c>
      <c r="J204" t="s">
        <v>34</v>
      </c>
      <c r="K204" t="str">
        <f t="shared" si="6"/>
        <v>A</v>
      </c>
      <c r="L204" t="s">
        <v>34</v>
      </c>
      <c r="M204">
        <f t="shared" si="7"/>
        <v>1</v>
      </c>
    </row>
    <row r="205" ht="18" customHeight="1" spans="1:13">
      <c r="A205" t="s">
        <v>445</v>
      </c>
      <c r="B205" s="12" t="s">
        <v>446</v>
      </c>
      <c r="C205" t="s">
        <v>31</v>
      </c>
      <c r="D205" t="s">
        <v>28</v>
      </c>
      <c r="E205" t="s">
        <v>17</v>
      </c>
      <c r="F205" s="12" t="s">
        <v>457</v>
      </c>
      <c r="G205" t="s">
        <v>19</v>
      </c>
      <c r="H205" t="s">
        <v>20</v>
      </c>
      <c r="I205" t="s">
        <v>458</v>
      </c>
      <c r="J205" t="s">
        <v>34</v>
      </c>
      <c r="K205" t="str">
        <f t="shared" si="6"/>
        <v>A</v>
      </c>
      <c r="L205" t="s">
        <v>34</v>
      </c>
      <c r="M205">
        <f t="shared" si="7"/>
        <v>1</v>
      </c>
    </row>
    <row r="206" ht="18" customHeight="1" spans="1:13">
      <c r="A206" t="s">
        <v>445</v>
      </c>
      <c r="B206" s="12" t="s">
        <v>446</v>
      </c>
      <c r="C206" t="s">
        <v>39</v>
      </c>
      <c r="D206" t="s">
        <v>16</v>
      </c>
      <c r="E206" t="s">
        <v>17</v>
      </c>
      <c r="F206" s="12" t="s">
        <v>459</v>
      </c>
      <c r="G206" t="s">
        <v>19</v>
      </c>
      <c r="H206" t="s">
        <v>20</v>
      </c>
      <c r="I206" t="s">
        <v>460</v>
      </c>
      <c r="J206" t="s">
        <v>34</v>
      </c>
      <c r="K206" t="str">
        <f t="shared" si="6"/>
        <v>B</v>
      </c>
      <c r="L206" t="s">
        <v>27</v>
      </c>
      <c r="M206">
        <f t="shared" si="7"/>
        <v>1</v>
      </c>
    </row>
    <row r="207" ht="18" customHeight="1" spans="1:13">
      <c r="A207" t="s">
        <v>445</v>
      </c>
      <c r="B207" s="12" t="s">
        <v>446</v>
      </c>
      <c r="C207" t="s">
        <v>39</v>
      </c>
      <c r="D207" t="s">
        <v>24</v>
      </c>
      <c r="E207" t="s">
        <v>17</v>
      </c>
      <c r="F207" s="12" t="s">
        <v>461</v>
      </c>
      <c r="G207" t="s">
        <v>19</v>
      </c>
      <c r="H207" t="s">
        <v>20</v>
      </c>
      <c r="I207" t="s">
        <v>462</v>
      </c>
      <c r="J207" t="s">
        <v>34</v>
      </c>
      <c r="K207" t="str">
        <f t="shared" si="6"/>
        <v>B</v>
      </c>
      <c r="L207" t="s">
        <v>27</v>
      </c>
      <c r="M207">
        <f t="shared" si="7"/>
        <v>1</v>
      </c>
    </row>
    <row r="208" ht="18" customHeight="1" spans="1:13">
      <c r="A208" t="s">
        <v>445</v>
      </c>
      <c r="B208" s="12" t="s">
        <v>446</v>
      </c>
      <c r="C208" t="s">
        <v>39</v>
      </c>
      <c r="D208" t="s">
        <v>28</v>
      </c>
      <c r="E208" t="s">
        <v>17</v>
      </c>
      <c r="F208" s="12" t="s">
        <v>463</v>
      </c>
      <c r="G208" t="s">
        <v>19</v>
      </c>
      <c r="H208" t="s">
        <v>20</v>
      </c>
      <c r="I208" t="s">
        <v>464</v>
      </c>
      <c r="J208" t="s">
        <v>34</v>
      </c>
      <c r="K208" t="str">
        <f t="shared" si="6"/>
        <v>B</v>
      </c>
      <c r="L208" t="s">
        <v>27</v>
      </c>
      <c r="M208">
        <f t="shared" si="7"/>
        <v>1</v>
      </c>
    </row>
    <row r="209" ht="18" customHeight="1" spans="1:13">
      <c r="A209" t="s">
        <v>445</v>
      </c>
      <c r="B209" s="12" t="s">
        <v>446</v>
      </c>
      <c r="C209" t="s">
        <v>15</v>
      </c>
      <c r="D209" t="s">
        <v>16</v>
      </c>
      <c r="E209" t="s">
        <v>46</v>
      </c>
      <c r="F209" s="12" t="s">
        <v>465</v>
      </c>
      <c r="G209" t="s">
        <v>19</v>
      </c>
      <c r="H209" t="s">
        <v>20</v>
      </c>
      <c r="I209" t="s">
        <v>466</v>
      </c>
      <c r="J209" t="s">
        <v>34</v>
      </c>
      <c r="K209" t="str">
        <f t="shared" si="6"/>
        <v>B</v>
      </c>
      <c r="L209" t="s">
        <v>34</v>
      </c>
      <c r="M209">
        <f t="shared" si="7"/>
        <v>0</v>
      </c>
    </row>
    <row r="210" ht="18" customHeight="1" spans="1:13">
      <c r="A210" t="s">
        <v>445</v>
      </c>
      <c r="B210" s="12" t="s">
        <v>446</v>
      </c>
      <c r="C210" t="s">
        <v>15</v>
      </c>
      <c r="D210" t="s">
        <v>24</v>
      </c>
      <c r="E210" t="s">
        <v>46</v>
      </c>
      <c r="F210" s="12" t="s">
        <v>467</v>
      </c>
      <c r="G210" t="s">
        <v>19</v>
      </c>
      <c r="H210" t="s">
        <v>20</v>
      </c>
      <c r="I210" t="s">
        <v>468</v>
      </c>
      <c r="J210" t="s">
        <v>22</v>
      </c>
      <c r="K210" t="str">
        <f t="shared" si="6"/>
        <v>D(平局)</v>
      </c>
      <c r="L210" t="s">
        <v>34</v>
      </c>
      <c r="M210">
        <f t="shared" si="7"/>
        <v>0</v>
      </c>
    </row>
    <row r="211" ht="18" customHeight="1" spans="1:13">
      <c r="A211" t="s">
        <v>445</v>
      </c>
      <c r="B211" s="12" t="s">
        <v>446</v>
      </c>
      <c r="C211" t="s">
        <v>15</v>
      </c>
      <c r="D211" t="s">
        <v>28</v>
      </c>
      <c r="E211" t="s">
        <v>46</v>
      </c>
      <c r="F211" s="12" t="s">
        <v>469</v>
      </c>
      <c r="G211" t="s">
        <v>19</v>
      </c>
      <c r="H211" t="s">
        <v>20</v>
      </c>
      <c r="I211" t="s">
        <v>470</v>
      </c>
      <c r="J211" t="s">
        <v>27</v>
      </c>
      <c r="K211" t="str">
        <f t="shared" si="6"/>
        <v>A</v>
      </c>
      <c r="L211" t="s">
        <v>34</v>
      </c>
      <c r="M211">
        <f t="shared" si="7"/>
        <v>1</v>
      </c>
    </row>
    <row r="212" ht="18" customHeight="1" spans="1:13">
      <c r="A212" t="s">
        <v>445</v>
      </c>
      <c r="B212" s="12" t="s">
        <v>446</v>
      </c>
      <c r="C212" t="s">
        <v>31</v>
      </c>
      <c r="D212" t="s">
        <v>16</v>
      </c>
      <c r="E212" t="s">
        <v>46</v>
      </c>
      <c r="F212" s="12" t="s">
        <v>471</v>
      </c>
      <c r="G212" t="s">
        <v>19</v>
      </c>
      <c r="H212" t="s">
        <v>20</v>
      </c>
      <c r="I212" t="s">
        <v>472</v>
      </c>
      <c r="J212" t="s">
        <v>27</v>
      </c>
      <c r="K212" t="str">
        <f t="shared" si="6"/>
        <v>A</v>
      </c>
      <c r="L212" t="s">
        <v>34</v>
      </c>
      <c r="M212">
        <f t="shared" si="7"/>
        <v>1</v>
      </c>
    </row>
    <row r="213" ht="18" customHeight="1" spans="1:13">
      <c r="A213" t="s">
        <v>445</v>
      </c>
      <c r="B213" s="12" t="s">
        <v>446</v>
      </c>
      <c r="C213" t="s">
        <v>31</v>
      </c>
      <c r="D213" t="s">
        <v>24</v>
      </c>
      <c r="E213" t="s">
        <v>46</v>
      </c>
      <c r="F213" s="12" t="s">
        <v>473</v>
      </c>
      <c r="G213" t="s">
        <v>19</v>
      </c>
      <c r="H213" t="s">
        <v>20</v>
      </c>
      <c r="I213" t="s">
        <v>474</v>
      </c>
      <c r="J213" t="s">
        <v>27</v>
      </c>
      <c r="K213" t="str">
        <f t="shared" si="6"/>
        <v>A</v>
      </c>
      <c r="L213" t="s">
        <v>34</v>
      </c>
      <c r="M213">
        <f t="shared" si="7"/>
        <v>1</v>
      </c>
    </row>
    <row r="214" ht="18" customHeight="1" spans="1:13">
      <c r="A214" t="s">
        <v>445</v>
      </c>
      <c r="B214" s="12" t="s">
        <v>446</v>
      </c>
      <c r="C214" t="s">
        <v>31</v>
      </c>
      <c r="D214" t="s">
        <v>28</v>
      </c>
      <c r="E214" t="s">
        <v>46</v>
      </c>
      <c r="F214" s="12" t="s">
        <v>475</v>
      </c>
      <c r="G214" t="s">
        <v>19</v>
      </c>
      <c r="H214" t="s">
        <v>20</v>
      </c>
      <c r="I214" t="s">
        <v>476</v>
      </c>
      <c r="J214" t="s">
        <v>27</v>
      </c>
      <c r="K214" t="str">
        <f t="shared" si="6"/>
        <v>A</v>
      </c>
      <c r="L214" t="s">
        <v>34</v>
      </c>
      <c r="M214">
        <f t="shared" si="7"/>
        <v>1</v>
      </c>
    </row>
    <row r="215" ht="18" customHeight="1" spans="1:13">
      <c r="A215" t="s">
        <v>445</v>
      </c>
      <c r="B215" s="12" t="s">
        <v>446</v>
      </c>
      <c r="C215" t="s">
        <v>39</v>
      </c>
      <c r="D215" t="s">
        <v>16</v>
      </c>
      <c r="E215" t="s">
        <v>46</v>
      </c>
      <c r="F215" s="12" t="s">
        <v>477</v>
      </c>
      <c r="G215" t="s">
        <v>19</v>
      </c>
      <c r="H215" t="s">
        <v>20</v>
      </c>
      <c r="I215" t="s">
        <v>478</v>
      </c>
      <c r="J215" t="s">
        <v>27</v>
      </c>
      <c r="K215" t="str">
        <f t="shared" si="6"/>
        <v>B</v>
      </c>
      <c r="L215" t="s">
        <v>27</v>
      </c>
      <c r="M215">
        <f t="shared" si="7"/>
        <v>1</v>
      </c>
    </row>
    <row r="216" ht="18" customHeight="1" spans="1:13">
      <c r="A216" t="s">
        <v>445</v>
      </c>
      <c r="B216" s="12" t="s">
        <v>446</v>
      </c>
      <c r="C216" t="s">
        <v>39</v>
      </c>
      <c r="D216" t="s">
        <v>24</v>
      </c>
      <c r="E216" t="s">
        <v>46</v>
      </c>
      <c r="F216" s="12" t="s">
        <v>479</v>
      </c>
      <c r="G216" t="s">
        <v>19</v>
      </c>
      <c r="H216" t="s">
        <v>20</v>
      </c>
      <c r="I216" t="s">
        <v>480</v>
      </c>
      <c r="J216" t="s">
        <v>27</v>
      </c>
      <c r="K216" t="str">
        <f t="shared" si="6"/>
        <v>B</v>
      </c>
      <c r="L216" t="s">
        <v>27</v>
      </c>
      <c r="M216">
        <f t="shared" si="7"/>
        <v>1</v>
      </c>
    </row>
    <row r="217" ht="18" customHeight="1" spans="1:13">
      <c r="A217" t="s">
        <v>445</v>
      </c>
      <c r="B217" s="12" t="s">
        <v>446</v>
      </c>
      <c r="C217" t="s">
        <v>39</v>
      </c>
      <c r="D217" t="s">
        <v>28</v>
      </c>
      <c r="E217" t="s">
        <v>46</v>
      </c>
      <c r="F217" s="12" t="s">
        <v>481</v>
      </c>
      <c r="G217" t="s">
        <v>19</v>
      </c>
      <c r="H217" t="s">
        <v>20</v>
      </c>
      <c r="I217" t="s">
        <v>482</v>
      </c>
      <c r="J217" t="s">
        <v>27</v>
      </c>
      <c r="K217" t="str">
        <f t="shared" si="6"/>
        <v>B</v>
      </c>
      <c r="L217" t="s">
        <v>27</v>
      </c>
      <c r="M217">
        <f t="shared" si="7"/>
        <v>1</v>
      </c>
    </row>
  </sheetData>
  <conditionalFormatting sqref="M2:M217">
    <cfRule type="cellIs" dxfId="0" priority="1" operator="equal">
      <formula>1</formula>
    </cfRule>
    <cfRule type="cellIs" dxfId="1" priority="2" operator="equal">
      <formula>0</formula>
    </cfRule>
  </conditionalFormatting>
  <dataValidations count="9">
    <dataValidation type="list" sqref="A2:A174">
      <formula1>"BankAccount,EUScienceConnect,Cruise,House,CelO,TileOGame,SellingGoods,University,TeamSportsScoutingSystem,AirTrafficControlNavigationSystem,AI-AssistedDrugDiscoveryPlatform,AdvancedAlloyCompositionOptimization"</formula1>
    </dataValidation>
    <dataValidation type="list" sqref="C2:C174">
      <formula1>"A vs B,A vs C,B vs C"</formula1>
    </dataValidation>
    <dataValidation type="list" sqref="D2:D174">
      <formula1>"faithfulness,general,five,final"</formula1>
    </dataValidation>
    <dataValidation type="list" sqref="E2:E174">
      <formula1>"l2r,r2l,final"</formula1>
    </dataValidation>
    <dataValidation type="list" sqref="G2:G174">
      <formula1>"llm,agent1,agent2"</formula1>
    </dataValidation>
    <dataValidation type="list" sqref="H2:H217">
      <formula1>"gpt5.5,glm,gemini"</formula1>
    </dataValidation>
    <dataValidation type="list" sqref="L2:L174">
      <formula1>"是,否"</formula1>
    </dataValidation>
    <dataValidation type="list" sqref="K175:L217">
      <formula1>"A,B,C,D(平局)"</formula1>
    </dataValidation>
    <dataValidation type="list" sqref="J2:K174">
      <formula1>"A,B,C"</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3"/>
  <sheetViews>
    <sheetView showGridLines="0" workbookViewId="0">
      <selection activeCell="L2" sqref="L2:L73"/>
    </sheetView>
  </sheetViews>
  <sheetFormatPr defaultColWidth="9" defaultRowHeight="13.85"/>
  <cols>
    <col min="1" max="1" width="18" customWidth="1"/>
    <col min="2" max="3" width="12" customWidth="1"/>
    <col min="4" max="4" width="34" customWidth="1"/>
    <col min="5" max="12" width="16" customWidth="1"/>
  </cols>
  <sheetData>
    <row r="1" spans="1:12">
      <c r="A1" s="8" t="s">
        <v>483</v>
      </c>
      <c r="B1" s="8" t="s">
        <v>484</v>
      </c>
      <c r="C1" s="8" t="s">
        <v>485</v>
      </c>
      <c r="D1" s="8" t="s">
        <v>0</v>
      </c>
      <c r="E1" s="8" t="s">
        <v>486</v>
      </c>
      <c r="F1" s="8" t="s">
        <v>16</v>
      </c>
      <c r="G1" s="8" t="s">
        <v>24</v>
      </c>
      <c r="H1" s="8" t="s">
        <v>28</v>
      </c>
      <c r="I1" s="8" t="s">
        <v>487</v>
      </c>
      <c r="J1" s="8" t="s">
        <v>488</v>
      </c>
      <c r="K1" s="8" t="s">
        <v>489</v>
      </c>
      <c r="L1" s="8" t="s">
        <v>490</v>
      </c>
    </row>
    <row r="2" spans="1:12">
      <c r="A2" s="9" t="s">
        <v>491</v>
      </c>
      <c r="B2" s="9" t="s">
        <v>492</v>
      </c>
      <c r="C2" s="9" t="s">
        <v>17</v>
      </c>
      <c r="D2" s="9" t="s">
        <v>445</v>
      </c>
      <c r="E2" s="9" t="s">
        <v>15</v>
      </c>
      <c r="F2" s="9" t="s">
        <v>34</v>
      </c>
      <c r="G2" s="9" t="s">
        <v>34</v>
      </c>
      <c r="H2" s="9" t="s">
        <v>34</v>
      </c>
      <c r="I2" s="9" t="str">
        <f>IF(MAX(COUNTIF(F2:H2,"A"),COUNTIF(F2:H2,"B"),COUNTIF(F2:H2,"C"),COUNTIF(F2:H2,"D(平局)"))&lt;2,"D(平局)",IF(COUNTIF(F2:H2,"A")&gt;=2,"A",IF(COUNTIF(F2:H2,"B")&gt;=2,"B",IF(COUNTIF(F2:H2,"C")&gt;=2,"C","D(平局)"))))</f>
        <v>A</v>
      </c>
      <c r="J2" s="9" t="s">
        <v>34</v>
      </c>
      <c r="K2" s="9">
        <f t="shared" ref="K2:K65" si="0">--(I2&lt;&gt;"无多数")</f>
        <v>1</v>
      </c>
      <c r="L2" s="9">
        <f>IF(K2=0,"",--(I2=J2))</f>
        <v>1</v>
      </c>
    </row>
    <row r="3" spans="1:12">
      <c r="A3" s="9" t="s">
        <v>491</v>
      </c>
      <c r="B3" s="9" t="s">
        <v>492</v>
      </c>
      <c r="C3" s="9" t="s">
        <v>17</v>
      </c>
      <c r="D3" s="9" t="s">
        <v>445</v>
      </c>
      <c r="E3" s="9" t="s">
        <v>31</v>
      </c>
      <c r="F3" s="9" t="s">
        <v>34</v>
      </c>
      <c r="G3" s="9" t="s">
        <v>34</v>
      </c>
      <c r="H3" s="9" t="s">
        <v>34</v>
      </c>
      <c r="I3" s="9" t="str">
        <f t="shared" ref="I3:I34" si="1">IF(MAX(COUNTIF(F3:H3,"A"),COUNTIF(F3:H3,"B"),COUNTIF(F3:H3,"C"),COUNTIF(F3:H3,"D(平局)"))&lt;2,"D(平局)",IF(COUNTIF(F3:H3,"A")&gt;=2,"A",IF(COUNTIF(F3:H3,"B")&gt;=2,"B",IF(COUNTIF(F3:H3,"C")&gt;=2,"C","D(平局)"))))</f>
        <v>A</v>
      </c>
      <c r="J3" s="9" t="s">
        <v>34</v>
      </c>
      <c r="K3" s="9">
        <f t="shared" si="0"/>
        <v>1</v>
      </c>
      <c r="L3" s="9">
        <f t="shared" ref="L3:L34" si="2">IF(K3=0,"",--(I3=J3))</f>
        <v>1</v>
      </c>
    </row>
    <row r="4" spans="1:12">
      <c r="A4" s="9" t="s">
        <v>491</v>
      </c>
      <c r="B4" s="9" t="s">
        <v>492</v>
      </c>
      <c r="C4" s="9" t="s">
        <v>17</v>
      </c>
      <c r="D4" s="9" t="s">
        <v>445</v>
      </c>
      <c r="E4" s="9" t="s">
        <v>39</v>
      </c>
      <c r="F4" s="9" t="s">
        <v>27</v>
      </c>
      <c r="G4" s="9" t="s">
        <v>27</v>
      </c>
      <c r="H4" s="9" t="s">
        <v>27</v>
      </c>
      <c r="I4" s="9" t="str">
        <f t="shared" si="1"/>
        <v>B</v>
      </c>
      <c r="J4" s="9" t="s">
        <v>27</v>
      </c>
      <c r="K4" s="9">
        <f t="shared" si="0"/>
        <v>1</v>
      </c>
      <c r="L4" s="9">
        <f t="shared" si="2"/>
        <v>1</v>
      </c>
    </row>
    <row r="5" spans="1:12">
      <c r="A5" s="9" t="s">
        <v>491</v>
      </c>
      <c r="B5" s="9" t="s">
        <v>492</v>
      </c>
      <c r="C5" s="9" t="s">
        <v>17</v>
      </c>
      <c r="D5" s="9" t="s">
        <v>407</v>
      </c>
      <c r="E5" s="9" t="s">
        <v>15</v>
      </c>
      <c r="F5" s="9" t="s">
        <v>23</v>
      </c>
      <c r="G5" s="9" t="s">
        <v>34</v>
      </c>
      <c r="H5" s="9" t="s">
        <v>34</v>
      </c>
      <c r="I5" s="9" t="str">
        <f t="shared" si="1"/>
        <v>A</v>
      </c>
      <c r="J5" s="9" t="s">
        <v>34</v>
      </c>
      <c r="K5" s="9">
        <f t="shared" si="0"/>
        <v>1</v>
      </c>
      <c r="L5" s="9">
        <f t="shared" si="2"/>
        <v>1</v>
      </c>
    </row>
    <row r="6" spans="1:12">
      <c r="A6" s="9" t="s">
        <v>491</v>
      </c>
      <c r="B6" s="9" t="s">
        <v>492</v>
      </c>
      <c r="C6" s="9" t="s">
        <v>17</v>
      </c>
      <c r="D6" s="9" t="s">
        <v>407</v>
      </c>
      <c r="E6" s="9" t="s">
        <v>31</v>
      </c>
      <c r="F6" s="9" t="s">
        <v>34</v>
      </c>
      <c r="G6" s="9" t="s">
        <v>34</v>
      </c>
      <c r="H6" s="9" t="s">
        <v>34</v>
      </c>
      <c r="I6" s="9" t="str">
        <f t="shared" si="1"/>
        <v>A</v>
      </c>
      <c r="J6" s="9" t="s">
        <v>34</v>
      </c>
      <c r="K6" s="9">
        <f t="shared" si="0"/>
        <v>1</v>
      </c>
      <c r="L6" s="9">
        <f t="shared" si="2"/>
        <v>1</v>
      </c>
    </row>
    <row r="7" spans="1:12">
      <c r="A7" s="9" t="s">
        <v>491</v>
      </c>
      <c r="B7" s="9" t="s">
        <v>492</v>
      </c>
      <c r="C7" s="9" t="s">
        <v>17</v>
      </c>
      <c r="D7" s="9" t="s">
        <v>407</v>
      </c>
      <c r="E7" s="9" t="s">
        <v>39</v>
      </c>
      <c r="F7" s="9" t="s">
        <v>27</v>
      </c>
      <c r="G7" s="9" t="s">
        <v>27</v>
      </c>
      <c r="H7" s="9" t="s">
        <v>27</v>
      </c>
      <c r="I7" s="9" t="str">
        <f t="shared" si="1"/>
        <v>B</v>
      </c>
      <c r="J7" s="9" t="s">
        <v>27</v>
      </c>
      <c r="K7" s="9">
        <f t="shared" si="0"/>
        <v>1</v>
      </c>
      <c r="L7" s="9">
        <f t="shared" si="2"/>
        <v>1</v>
      </c>
    </row>
    <row r="8" spans="1:12">
      <c r="A8" s="9" t="s">
        <v>491</v>
      </c>
      <c r="B8" s="9" t="s">
        <v>492</v>
      </c>
      <c r="C8" s="9" t="s">
        <v>17</v>
      </c>
      <c r="D8" s="9" t="s">
        <v>369</v>
      </c>
      <c r="E8" s="9" t="s">
        <v>15</v>
      </c>
      <c r="F8" s="9" t="s">
        <v>34</v>
      </c>
      <c r="G8" s="9" t="s">
        <v>34</v>
      </c>
      <c r="H8" s="9" t="s">
        <v>34</v>
      </c>
      <c r="I8" s="9" t="str">
        <f t="shared" si="1"/>
        <v>A</v>
      </c>
      <c r="J8" s="9" t="s">
        <v>23</v>
      </c>
      <c r="K8" s="9">
        <f t="shared" si="0"/>
        <v>1</v>
      </c>
      <c r="L8" s="9">
        <f t="shared" si="2"/>
        <v>0</v>
      </c>
    </row>
    <row r="9" spans="1:12">
      <c r="A9" s="9" t="s">
        <v>491</v>
      </c>
      <c r="B9" s="9" t="s">
        <v>492</v>
      </c>
      <c r="C9" s="9" t="s">
        <v>17</v>
      </c>
      <c r="D9" s="9" t="s">
        <v>369</v>
      </c>
      <c r="E9" s="9" t="s">
        <v>31</v>
      </c>
      <c r="F9" s="9" t="s">
        <v>34</v>
      </c>
      <c r="G9" s="9" t="s">
        <v>34</v>
      </c>
      <c r="H9" s="9" t="s">
        <v>34</v>
      </c>
      <c r="I9" s="9" t="str">
        <f t="shared" si="1"/>
        <v>A</v>
      </c>
      <c r="J9" s="9" t="s">
        <v>34</v>
      </c>
      <c r="K9" s="9">
        <f t="shared" si="0"/>
        <v>1</v>
      </c>
      <c r="L9" s="9">
        <f t="shared" si="2"/>
        <v>1</v>
      </c>
    </row>
    <row r="10" spans="1:12">
      <c r="A10" s="9" t="s">
        <v>491</v>
      </c>
      <c r="B10" s="9" t="s">
        <v>492</v>
      </c>
      <c r="C10" s="9" t="s">
        <v>17</v>
      </c>
      <c r="D10" s="9" t="s">
        <v>369</v>
      </c>
      <c r="E10" s="9" t="s">
        <v>39</v>
      </c>
      <c r="F10" s="9" t="s">
        <v>27</v>
      </c>
      <c r="G10" s="9" t="s">
        <v>27</v>
      </c>
      <c r="H10" s="9" t="s">
        <v>27</v>
      </c>
      <c r="I10" s="9" t="str">
        <f t="shared" si="1"/>
        <v>B</v>
      </c>
      <c r="J10" s="9" t="s">
        <v>27</v>
      </c>
      <c r="K10" s="9">
        <f t="shared" si="0"/>
        <v>1</v>
      </c>
      <c r="L10" s="9">
        <f t="shared" si="2"/>
        <v>1</v>
      </c>
    </row>
    <row r="11" spans="1:12">
      <c r="A11" s="9" t="s">
        <v>491</v>
      </c>
      <c r="B11" s="9" t="s">
        <v>492</v>
      </c>
      <c r="C11" s="9" t="s">
        <v>17</v>
      </c>
      <c r="D11" s="9" t="s">
        <v>13</v>
      </c>
      <c r="E11" s="9" t="s">
        <v>15</v>
      </c>
      <c r="F11" s="9" t="s">
        <v>23</v>
      </c>
      <c r="G11" s="9" t="s">
        <v>27</v>
      </c>
      <c r="H11" s="9" t="s">
        <v>27</v>
      </c>
      <c r="I11" s="9" t="str">
        <f t="shared" si="1"/>
        <v>B</v>
      </c>
      <c r="J11" s="9" t="s">
        <v>23</v>
      </c>
      <c r="K11" s="9">
        <f t="shared" si="0"/>
        <v>1</v>
      </c>
      <c r="L11" s="9">
        <f t="shared" si="2"/>
        <v>0</v>
      </c>
    </row>
    <row r="12" spans="1:12">
      <c r="A12" s="9" t="s">
        <v>491</v>
      </c>
      <c r="B12" s="9" t="s">
        <v>492</v>
      </c>
      <c r="C12" s="9" t="s">
        <v>17</v>
      </c>
      <c r="D12" s="9" t="s">
        <v>13</v>
      </c>
      <c r="E12" s="9" t="s">
        <v>31</v>
      </c>
      <c r="F12" s="9" t="s">
        <v>22</v>
      </c>
      <c r="G12" s="9" t="s">
        <v>22</v>
      </c>
      <c r="H12" s="9" t="s">
        <v>22</v>
      </c>
      <c r="I12" s="9" t="str">
        <f t="shared" si="1"/>
        <v>C</v>
      </c>
      <c r="J12" s="9" t="s">
        <v>34</v>
      </c>
      <c r="K12" s="9">
        <f t="shared" si="0"/>
        <v>1</v>
      </c>
      <c r="L12" s="9">
        <f t="shared" si="2"/>
        <v>0</v>
      </c>
    </row>
    <row r="13" spans="1:12">
      <c r="A13" s="9" t="s">
        <v>491</v>
      </c>
      <c r="B13" s="9" t="s">
        <v>492</v>
      </c>
      <c r="C13" s="9" t="s">
        <v>17</v>
      </c>
      <c r="D13" s="9" t="s">
        <v>13</v>
      </c>
      <c r="E13" s="9" t="s">
        <v>39</v>
      </c>
      <c r="F13" s="9" t="s">
        <v>27</v>
      </c>
      <c r="G13" s="9" t="s">
        <v>23</v>
      </c>
      <c r="H13" s="9" t="s">
        <v>22</v>
      </c>
      <c r="I13" s="9" t="str">
        <f t="shared" si="1"/>
        <v>D(平局)</v>
      </c>
      <c r="J13" s="9" t="s">
        <v>27</v>
      </c>
      <c r="K13" s="9">
        <f t="shared" si="0"/>
        <v>1</v>
      </c>
      <c r="L13" s="9">
        <f t="shared" si="2"/>
        <v>0</v>
      </c>
    </row>
    <row r="14" spans="1:12">
      <c r="A14" s="9" t="s">
        <v>491</v>
      </c>
      <c r="B14" s="9" t="s">
        <v>492</v>
      </c>
      <c r="C14" s="9" t="s">
        <v>17</v>
      </c>
      <c r="D14" s="9" t="s">
        <v>179</v>
      </c>
      <c r="E14" s="9" t="s">
        <v>15</v>
      </c>
      <c r="F14" s="9" t="s">
        <v>27</v>
      </c>
      <c r="G14" s="9" t="s">
        <v>23</v>
      </c>
      <c r="H14" s="9" t="s">
        <v>27</v>
      </c>
      <c r="I14" s="9" t="str">
        <f t="shared" si="1"/>
        <v>B</v>
      </c>
      <c r="J14" s="9" t="s">
        <v>27</v>
      </c>
      <c r="K14" s="9">
        <f t="shared" si="0"/>
        <v>1</v>
      </c>
      <c r="L14" s="9">
        <f t="shared" si="2"/>
        <v>1</v>
      </c>
    </row>
    <row r="15" spans="1:12">
      <c r="A15" s="9" t="s">
        <v>491</v>
      </c>
      <c r="B15" s="9" t="s">
        <v>492</v>
      </c>
      <c r="C15" s="9" t="s">
        <v>17</v>
      </c>
      <c r="D15" s="9" t="s">
        <v>179</v>
      </c>
      <c r="E15" s="9" t="s">
        <v>31</v>
      </c>
      <c r="F15" s="9" t="s">
        <v>23</v>
      </c>
      <c r="G15" s="9" t="s">
        <v>22</v>
      </c>
      <c r="H15" s="9" t="s">
        <v>34</v>
      </c>
      <c r="I15" s="9" t="str">
        <f t="shared" si="1"/>
        <v>D(平局)</v>
      </c>
      <c r="J15" s="9" t="s">
        <v>34</v>
      </c>
      <c r="K15" s="9">
        <f t="shared" si="0"/>
        <v>1</v>
      </c>
      <c r="L15" s="9">
        <f t="shared" si="2"/>
        <v>0</v>
      </c>
    </row>
    <row r="16" spans="1:12">
      <c r="A16" s="9" t="s">
        <v>491</v>
      </c>
      <c r="B16" s="9" t="s">
        <v>492</v>
      </c>
      <c r="C16" s="9" t="s">
        <v>17</v>
      </c>
      <c r="D16" s="9" t="s">
        <v>179</v>
      </c>
      <c r="E16" s="9" t="s">
        <v>39</v>
      </c>
      <c r="F16" s="9" t="s">
        <v>27</v>
      </c>
      <c r="G16" s="9" t="s">
        <v>27</v>
      </c>
      <c r="H16" s="9" t="s">
        <v>27</v>
      </c>
      <c r="I16" s="9" t="str">
        <f t="shared" si="1"/>
        <v>B</v>
      </c>
      <c r="J16" s="9" t="s">
        <v>27</v>
      </c>
      <c r="K16" s="9">
        <f t="shared" si="0"/>
        <v>1</v>
      </c>
      <c r="L16" s="9">
        <f t="shared" si="2"/>
        <v>1</v>
      </c>
    </row>
    <row r="17" spans="1:12">
      <c r="A17" s="9" t="s">
        <v>491</v>
      </c>
      <c r="B17" s="9" t="s">
        <v>492</v>
      </c>
      <c r="C17" s="9" t="s">
        <v>17</v>
      </c>
      <c r="D17" s="9" t="s">
        <v>103</v>
      </c>
      <c r="E17" s="9" t="s">
        <v>15</v>
      </c>
      <c r="F17" s="9" t="s">
        <v>23</v>
      </c>
      <c r="G17" s="9" t="s">
        <v>34</v>
      </c>
      <c r="H17" s="9" t="s">
        <v>34</v>
      </c>
      <c r="I17" s="9" t="str">
        <f t="shared" si="1"/>
        <v>A</v>
      </c>
      <c r="J17" s="9" t="s">
        <v>34</v>
      </c>
      <c r="K17" s="9">
        <f t="shared" si="0"/>
        <v>1</v>
      </c>
      <c r="L17" s="9">
        <f t="shared" si="2"/>
        <v>1</v>
      </c>
    </row>
    <row r="18" spans="1:12">
      <c r="A18" s="9" t="s">
        <v>491</v>
      </c>
      <c r="B18" s="9" t="s">
        <v>492</v>
      </c>
      <c r="C18" s="9" t="s">
        <v>17</v>
      </c>
      <c r="D18" s="9" t="s">
        <v>103</v>
      </c>
      <c r="E18" s="9" t="s">
        <v>31</v>
      </c>
      <c r="F18" s="9" t="s">
        <v>34</v>
      </c>
      <c r="G18" s="9" t="s">
        <v>34</v>
      </c>
      <c r="H18" s="9" t="s">
        <v>34</v>
      </c>
      <c r="I18" s="9" t="str">
        <f t="shared" si="1"/>
        <v>A</v>
      </c>
      <c r="J18" s="9" t="s">
        <v>34</v>
      </c>
      <c r="K18" s="9">
        <f t="shared" si="0"/>
        <v>1</v>
      </c>
      <c r="L18" s="9">
        <f t="shared" si="2"/>
        <v>1</v>
      </c>
    </row>
    <row r="19" spans="1:12">
      <c r="A19" s="9" t="s">
        <v>491</v>
      </c>
      <c r="B19" s="9" t="s">
        <v>492</v>
      </c>
      <c r="C19" s="9" t="s">
        <v>17</v>
      </c>
      <c r="D19" s="9" t="s">
        <v>103</v>
      </c>
      <c r="E19" s="9" t="s">
        <v>39</v>
      </c>
      <c r="F19" s="9" t="s">
        <v>27</v>
      </c>
      <c r="G19" s="9" t="s">
        <v>27</v>
      </c>
      <c r="H19" s="9" t="s">
        <v>27</v>
      </c>
      <c r="I19" s="9" t="str">
        <f t="shared" si="1"/>
        <v>B</v>
      </c>
      <c r="J19" s="9" t="s">
        <v>27</v>
      </c>
      <c r="K19" s="9">
        <f t="shared" si="0"/>
        <v>1</v>
      </c>
      <c r="L19" s="9">
        <f t="shared" si="2"/>
        <v>1</v>
      </c>
    </row>
    <row r="20" spans="1:12">
      <c r="A20" s="9" t="s">
        <v>491</v>
      </c>
      <c r="B20" s="9" t="s">
        <v>492</v>
      </c>
      <c r="C20" s="9" t="s">
        <v>17</v>
      </c>
      <c r="D20" s="9" t="s">
        <v>65</v>
      </c>
      <c r="E20" s="9" t="s">
        <v>15</v>
      </c>
      <c r="F20" s="9" t="s">
        <v>34</v>
      </c>
      <c r="G20" s="9" t="s">
        <v>34</v>
      </c>
      <c r="H20" s="9" t="s">
        <v>34</v>
      </c>
      <c r="I20" s="9" t="str">
        <f t="shared" si="1"/>
        <v>A</v>
      </c>
      <c r="J20" s="9" t="s">
        <v>34</v>
      </c>
      <c r="K20" s="9">
        <f t="shared" si="0"/>
        <v>1</v>
      </c>
      <c r="L20" s="9">
        <f t="shared" si="2"/>
        <v>1</v>
      </c>
    </row>
    <row r="21" spans="1:12">
      <c r="A21" s="9" t="s">
        <v>491</v>
      </c>
      <c r="B21" s="9" t="s">
        <v>492</v>
      </c>
      <c r="C21" s="9" t="s">
        <v>17</v>
      </c>
      <c r="D21" s="9" t="s">
        <v>65</v>
      </c>
      <c r="E21" s="9" t="s">
        <v>31</v>
      </c>
      <c r="F21" s="9" t="s">
        <v>34</v>
      </c>
      <c r="G21" s="9" t="s">
        <v>34</v>
      </c>
      <c r="H21" s="9" t="s">
        <v>34</v>
      </c>
      <c r="I21" s="9" t="str">
        <f t="shared" si="1"/>
        <v>A</v>
      </c>
      <c r="J21" s="9" t="s">
        <v>34</v>
      </c>
      <c r="K21" s="9">
        <f t="shared" si="0"/>
        <v>1</v>
      </c>
      <c r="L21" s="9">
        <f t="shared" si="2"/>
        <v>1</v>
      </c>
    </row>
    <row r="22" spans="1:12">
      <c r="A22" s="9" t="s">
        <v>491</v>
      </c>
      <c r="B22" s="9" t="s">
        <v>492</v>
      </c>
      <c r="C22" s="9" t="s">
        <v>17</v>
      </c>
      <c r="D22" s="9" t="s">
        <v>65</v>
      </c>
      <c r="E22" s="9" t="s">
        <v>39</v>
      </c>
      <c r="F22" s="9" t="s">
        <v>22</v>
      </c>
      <c r="G22" s="9" t="s">
        <v>23</v>
      </c>
      <c r="H22" s="9" t="s">
        <v>27</v>
      </c>
      <c r="I22" s="9" t="str">
        <f t="shared" si="1"/>
        <v>D(平局)</v>
      </c>
      <c r="J22" s="9" t="s">
        <v>22</v>
      </c>
      <c r="K22" s="9">
        <f t="shared" si="0"/>
        <v>1</v>
      </c>
      <c r="L22" s="9">
        <f t="shared" si="2"/>
        <v>0</v>
      </c>
    </row>
    <row r="23" spans="1:12">
      <c r="A23" s="9" t="s">
        <v>491</v>
      </c>
      <c r="B23" s="9" t="s">
        <v>492</v>
      </c>
      <c r="C23" s="9" t="s">
        <v>17</v>
      </c>
      <c r="D23" s="9" t="s">
        <v>141</v>
      </c>
      <c r="E23" s="9" t="s">
        <v>15</v>
      </c>
      <c r="F23" s="9" t="s">
        <v>34</v>
      </c>
      <c r="G23" s="9" t="s">
        <v>34</v>
      </c>
      <c r="H23" s="9" t="s">
        <v>23</v>
      </c>
      <c r="I23" s="9" t="str">
        <f t="shared" si="1"/>
        <v>A</v>
      </c>
      <c r="J23" s="9" t="s">
        <v>34</v>
      </c>
      <c r="K23" s="9">
        <f t="shared" si="0"/>
        <v>1</v>
      </c>
      <c r="L23" s="9">
        <f t="shared" si="2"/>
        <v>1</v>
      </c>
    </row>
    <row r="24" spans="1:12">
      <c r="A24" s="9" t="s">
        <v>491</v>
      </c>
      <c r="B24" s="9" t="s">
        <v>492</v>
      </c>
      <c r="C24" s="9" t="s">
        <v>17</v>
      </c>
      <c r="D24" s="9" t="s">
        <v>141</v>
      </c>
      <c r="E24" s="9" t="s">
        <v>31</v>
      </c>
      <c r="F24" s="9" t="s">
        <v>34</v>
      </c>
      <c r="G24" s="9" t="s">
        <v>34</v>
      </c>
      <c r="H24" s="9" t="s">
        <v>34</v>
      </c>
      <c r="I24" s="9" t="str">
        <f t="shared" si="1"/>
        <v>A</v>
      </c>
      <c r="J24" s="9" t="s">
        <v>34</v>
      </c>
      <c r="K24" s="9">
        <f t="shared" si="0"/>
        <v>1</v>
      </c>
      <c r="L24" s="9">
        <f t="shared" si="2"/>
        <v>1</v>
      </c>
    </row>
    <row r="25" spans="1:12">
      <c r="A25" s="9" t="s">
        <v>491</v>
      </c>
      <c r="B25" s="9" t="s">
        <v>492</v>
      </c>
      <c r="C25" s="9" t="s">
        <v>17</v>
      </c>
      <c r="D25" s="9" t="s">
        <v>141</v>
      </c>
      <c r="E25" s="9" t="s">
        <v>39</v>
      </c>
      <c r="F25" s="9" t="s">
        <v>27</v>
      </c>
      <c r="G25" s="9" t="s">
        <v>27</v>
      </c>
      <c r="H25" s="9" t="s">
        <v>27</v>
      </c>
      <c r="I25" s="9" t="str">
        <f t="shared" si="1"/>
        <v>B</v>
      </c>
      <c r="J25" s="9" t="s">
        <v>27</v>
      </c>
      <c r="K25" s="9">
        <f t="shared" si="0"/>
        <v>1</v>
      </c>
      <c r="L25" s="9">
        <f t="shared" si="2"/>
        <v>1</v>
      </c>
    </row>
    <row r="26" spans="1:12">
      <c r="A26" s="9" t="s">
        <v>491</v>
      </c>
      <c r="B26" s="9" t="s">
        <v>492</v>
      </c>
      <c r="C26" s="9" t="s">
        <v>17</v>
      </c>
      <c r="D26" s="9" t="s">
        <v>255</v>
      </c>
      <c r="E26" s="9" t="s">
        <v>15</v>
      </c>
      <c r="F26" s="9" t="s">
        <v>34</v>
      </c>
      <c r="G26" s="9" t="s">
        <v>27</v>
      </c>
      <c r="H26" s="9" t="s">
        <v>34</v>
      </c>
      <c r="I26" s="9" t="str">
        <f t="shared" si="1"/>
        <v>A</v>
      </c>
      <c r="J26" s="9" t="s">
        <v>23</v>
      </c>
      <c r="K26" s="9">
        <f t="shared" si="0"/>
        <v>1</v>
      </c>
      <c r="L26" s="9">
        <f t="shared" si="2"/>
        <v>0</v>
      </c>
    </row>
    <row r="27" spans="1:12">
      <c r="A27" s="9" t="s">
        <v>491</v>
      </c>
      <c r="B27" s="9" t="s">
        <v>492</v>
      </c>
      <c r="C27" s="9" t="s">
        <v>17</v>
      </c>
      <c r="D27" s="9" t="s">
        <v>255</v>
      </c>
      <c r="E27" s="9" t="s">
        <v>31</v>
      </c>
      <c r="F27" s="9" t="s">
        <v>34</v>
      </c>
      <c r="G27" s="9" t="s">
        <v>34</v>
      </c>
      <c r="H27" s="9" t="s">
        <v>34</v>
      </c>
      <c r="I27" s="9" t="str">
        <f t="shared" si="1"/>
        <v>A</v>
      </c>
      <c r="J27" s="9" t="s">
        <v>34</v>
      </c>
      <c r="K27" s="9">
        <f t="shared" si="0"/>
        <v>1</v>
      </c>
      <c r="L27" s="9">
        <f t="shared" si="2"/>
        <v>1</v>
      </c>
    </row>
    <row r="28" spans="1:12">
      <c r="A28" s="9" t="s">
        <v>491</v>
      </c>
      <c r="B28" s="9" t="s">
        <v>492</v>
      </c>
      <c r="C28" s="9" t="s">
        <v>17</v>
      </c>
      <c r="D28" s="9" t="s">
        <v>255</v>
      </c>
      <c r="E28" s="9" t="s">
        <v>39</v>
      </c>
      <c r="F28" s="9" t="s">
        <v>27</v>
      </c>
      <c r="G28" s="9" t="s">
        <v>27</v>
      </c>
      <c r="H28" s="9" t="s">
        <v>27</v>
      </c>
      <c r="I28" s="9" t="str">
        <f t="shared" si="1"/>
        <v>B</v>
      </c>
      <c r="J28" s="9" t="s">
        <v>27</v>
      </c>
      <c r="K28" s="9">
        <f t="shared" si="0"/>
        <v>1</v>
      </c>
      <c r="L28" s="9">
        <f t="shared" si="2"/>
        <v>1</v>
      </c>
    </row>
    <row r="29" spans="1:12">
      <c r="A29" s="9" t="s">
        <v>491</v>
      </c>
      <c r="B29" s="9" t="s">
        <v>492</v>
      </c>
      <c r="C29" s="9" t="s">
        <v>17</v>
      </c>
      <c r="D29" s="9" t="s">
        <v>331</v>
      </c>
      <c r="E29" s="9" t="s">
        <v>15</v>
      </c>
      <c r="F29" s="9" t="s">
        <v>23</v>
      </c>
      <c r="G29" s="9" t="s">
        <v>27</v>
      </c>
      <c r="H29" s="9" t="s">
        <v>34</v>
      </c>
      <c r="I29" s="9" t="str">
        <f t="shared" si="1"/>
        <v>D(平局)</v>
      </c>
      <c r="J29" s="9" t="s">
        <v>27</v>
      </c>
      <c r="K29" s="9">
        <f t="shared" si="0"/>
        <v>1</v>
      </c>
      <c r="L29" s="9">
        <f t="shared" si="2"/>
        <v>0</v>
      </c>
    </row>
    <row r="30" spans="1:12">
      <c r="A30" s="9" t="s">
        <v>491</v>
      </c>
      <c r="B30" s="9" t="s">
        <v>492</v>
      </c>
      <c r="C30" s="9" t="s">
        <v>17</v>
      </c>
      <c r="D30" s="9" t="s">
        <v>331</v>
      </c>
      <c r="E30" s="9" t="s">
        <v>31</v>
      </c>
      <c r="F30" s="9" t="s">
        <v>34</v>
      </c>
      <c r="G30" s="9" t="s">
        <v>34</v>
      </c>
      <c r="H30" s="9" t="s">
        <v>34</v>
      </c>
      <c r="I30" s="9" t="str">
        <f t="shared" si="1"/>
        <v>A</v>
      </c>
      <c r="J30" s="9" t="s">
        <v>34</v>
      </c>
      <c r="K30" s="9">
        <f t="shared" si="0"/>
        <v>1</v>
      </c>
      <c r="L30" s="9">
        <f t="shared" si="2"/>
        <v>1</v>
      </c>
    </row>
    <row r="31" spans="1:12">
      <c r="A31" s="9" t="s">
        <v>491</v>
      </c>
      <c r="B31" s="9" t="s">
        <v>492</v>
      </c>
      <c r="C31" s="9" t="s">
        <v>17</v>
      </c>
      <c r="D31" s="9" t="s">
        <v>331</v>
      </c>
      <c r="E31" s="9" t="s">
        <v>39</v>
      </c>
      <c r="F31" s="9" t="s">
        <v>27</v>
      </c>
      <c r="G31" s="9" t="s">
        <v>27</v>
      </c>
      <c r="H31" s="9" t="s">
        <v>27</v>
      </c>
      <c r="I31" s="9" t="str">
        <f t="shared" si="1"/>
        <v>B</v>
      </c>
      <c r="J31" s="9" t="s">
        <v>27</v>
      </c>
      <c r="K31" s="9">
        <f t="shared" si="0"/>
        <v>1</v>
      </c>
      <c r="L31" s="9">
        <f t="shared" si="2"/>
        <v>1</v>
      </c>
    </row>
    <row r="32" spans="1:12">
      <c r="A32" s="9" t="s">
        <v>491</v>
      </c>
      <c r="B32" s="9" t="s">
        <v>492</v>
      </c>
      <c r="C32" s="9" t="s">
        <v>17</v>
      </c>
      <c r="D32" s="9" t="s">
        <v>217</v>
      </c>
      <c r="E32" s="9" t="s">
        <v>15</v>
      </c>
      <c r="F32" s="9" t="s">
        <v>23</v>
      </c>
      <c r="G32" s="9" t="s">
        <v>34</v>
      </c>
      <c r="H32" s="9" t="s">
        <v>34</v>
      </c>
      <c r="I32" s="9" t="str">
        <f t="shared" si="1"/>
        <v>A</v>
      </c>
      <c r="J32" s="9" t="s">
        <v>34</v>
      </c>
      <c r="K32" s="9">
        <f t="shared" si="0"/>
        <v>1</v>
      </c>
      <c r="L32" s="9">
        <f t="shared" si="2"/>
        <v>1</v>
      </c>
    </row>
    <row r="33" spans="1:12">
      <c r="A33" s="9" t="s">
        <v>491</v>
      </c>
      <c r="B33" s="9" t="s">
        <v>492</v>
      </c>
      <c r="C33" s="9" t="s">
        <v>17</v>
      </c>
      <c r="D33" s="9" t="s">
        <v>217</v>
      </c>
      <c r="E33" s="9" t="s">
        <v>31</v>
      </c>
      <c r="F33" s="9" t="s">
        <v>22</v>
      </c>
      <c r="G33" s="9" t="s">
        <v>34</v>
      </c>
      <c r="H33" s="9" t="s">
        <v>22</v>
      </c>
      <c r="I33" s="9" t="str">
        <f t="shared" si="1"/>
        <v>C</v>
      </c>
      <c r="J33" s="9" t="s">
        <v>22</v>
      </c>
      <c r="K33" s="9">
        <f t="shared" si="0"/>
        <v>1</v>
      </c>
      <c r="L33" s="9">
        <f t="shared" si="2"/>
        <v>1</v>
      </c>
    </row>
    <row r="34" spans="1:12">
      <c r="A34" s="9" t="s">
        <v>491</v>
      </c>
      <c r="B34" s="9" t="s">
        <v>492</v>
      </c>
      <c r="C34" s="9" t="s">
        <v>17</v>
      </c>
      <c r="D34" s="9" t="s">
        <v>217</v>
      </c>
      <c r="E34" s="9" t="s">
        <v>39</v>
      </c>
      <c r="F34" s="9" t="s">
        <v>22</v>
      </c>
      <c r="G34" s="9" t="s">
        <v>22</v>
      </c>
      <c r="H34" s="9" t="s">
        <v>22</v>
      </c>
      <c r="I34" s="9" t="str">
        <f t="shared" si="1"/>
        <v>C</v>
      </c>
      <c r="J34" s="9" t="s">
        <v>22</v>
      </c>
      <c r="K34" s="9">
        <f t="shared" si="0"/>
        <v>1</v>
      </c>
      <c r="L34" s="9">
        <f t="shared" si="2"/>
        <v>1</v>
      </c>
    </row>
    <row r="35" spans="1:12">
      <c r="A35" s="9" t="s">
        <v>491</v>
      </c>
      <c r="B35" s="9" t="s">
        <v>492</v>
      </c>
      <c r="C35" s="9" t="s">
        <v>17</v>
      </c>
      <c r="D35" s="9" t="s">
        <v>293</v>
      </c>
      <c r="E35" s="9" t="s">
        <v>15</v>
      </c>
      <c r="F35" s="9" t="s">
        <v>23</v>
      </c>
      <c r="G35" s="9" t="s">
        <v>34</v>
      </c>
      <c r="H35" s="9" t="s">
        <v>34</v>
      </c>
      <c r="I35" s="9" t="str">
        <f t="shared" ref="I35:I66" si="3">IF(MAX(COUNTIF(F35:H35,"A"),COUNTIF(F35:H35,"B"),COUNTIF(F35:H35,"C"),COUNTIF(F35:H35,"D(平局)"))&lt;2,"D(平局)",IF(COUNTIF(F35:H35,"A")&gt;=2,"A",IF(COUNTIF(F35:H35,"B")&gt;=2,"B",IF(COUNTIF(F35:H35,"C")&gt;=2,"C","D(平局)"))))</f>
        <v>A</v>
      </c>
      <c r="J35" s="9" t="s">
        <v>34</v>
      </c>
      <c r="K35" s="9">
        <f t="shared" si="0"/>
        <v>1</v>
      </c>
      <c r="L35" s="9">
        <f t="shared" ref="L35:L66" si="4">IF(K35=0,"",--(I35=J35))</f>
        <v>1</v>
      </c>
    </row>
    <row r="36" spans="1:12">
      <c r="A36" s="9" t="s">
        <v>491</v>
      </c>
      <c r="B36" s="9" t="s">
        <v>492</v>
      </c>
      <c r="C36" s="9" t="s">
        <v>17</v>
      </c>
      <c r="D36" s="9" t="s">
        <v>293</v>
      </c>
      <c r="E36" s="9" t="s">
        <v>31</v>
      </c>
      <c r="F36" s="9" t="s">
        <v>34</v>
      </c>
      <c r="G36" s="9" t="s">
        <v>34</v>
      </c>
      <c r="H36" s="9" t="s">
        <v>34</v>
      </c>
      <c r="I36" s="9" t="str">
        <f t="shared" si="3"/>
        <v>A</v>
      </c>
      <c r="J36" s="9" t="s">
        <v>23</v>
      </c>
      <c r="K36" s="9">
        <f t="shared" si="0"/>
        <v>1</v>
      </c>
      <c r="L36" s="9">
        <f t="shared" si="4"/>
        <v>0</v>
      </c>
    </row>
    <row r="37" spans="1:12">
      <c r="A37" s="9" t="s">
        <v>491</v>
      </c>
      <c r="B37" s="9" t="s">
        <v>492</v>
      </c>
      <c r="C37" s="9" t="s">
        <v>17</v>
      </c>
      <c r="D37" s="9" t="s">
        <v>293</v>
      </c>
      <c r="E37" s="9" t="s">
        <v>39</v>
      </c>
      <c r="F37" s="9" t="s">
        <v>27</v>
      </c>
      <c r="G37" s="9" t="s">
        <v>27</v>
      </c>
      <c r="H37" s="9" t="s">
        <v>23</v>
      </c>
      <c r="I37" s="9" t="str">
        <f t="shared" si="3"/>
        <v>B</v>
      </c>
      <c r="J37" s="9" t="s">
        <v>22</v>
      </c>
      <c r="K37" s="9">
        <f t="shared" si="0"/>
        <v>1</v>
      </c>
      <c r="L37" s="9">
        <f t="shared" si="4"/>
        <v>0</v>
      </c>
    </row>
    <row r="38" spans="1:12">
      <c r="A38" s="9" t="s">
        <v>491</v>
      </c>
      <c r="B38" s="9" t="s">
        <v>492</v>
      </c>
      <c r="C38" s="9" t="s">
        <v>46</v>
      </c>
      <c r="D38" s="9" t="s">
        <v>445</v>
      </c>
      <c r="E38" s="9" t="s">
        <v>15</v>
      </c>
      <c r="F38" s="9" t="s">
        <v>27</v>
      </c>
      <c r="G38" s="9" t="s">
        <v>23</v>
      </c>
      <c r="H38" s="9" t="s">
        <v>34</v>
      </c>
      <c r="I38" s="9" t="str">
        <f t="shared" si="3"/>
        <v>D(平局)</v>
      </c>
      <c r="J38" s="9" t="s">
        <v>34</v>
      </c>
      <c r="K38" s="9">
        <f t="shared" si="0"/>
        <v>1</v>
      </c>
      <c r="L38" s="9">
        <f t="shared" si="4"/>
        <v>0</v>
      </c>
    </row>
    <row r="39" spans="1:12">
      <c r="A39" s="9" t="s">
        <v>491</v>
      </c>
      <c r="B39" s="9" t="s">
        <v>492</v>
      </c>
      <c r="C39" s="9" t="s">
        <v>46</v>
      </c>
      <c r="D39" s="9" t="s">
        <v>445</v>
      </c>
      <c r="E39" s="9" t="s">
        <v>31</v>
      </c>
      <c r="F39" s="9" t="s">
        <v>34</v>
      </c>
      <c r="G39" s="9" t="s">
        <v>34</v>
      </c>
      <c r="H39" s="9" t="s">
        <v>34</v>
      </c>
      <c r="I39" s="9" t="str">
        <f t="shared" si="3"/>
        <v>A</v>
      </c>
      <c r="J39" s="9" t="s">
        <v>34</v>
      </c>
      <c r="K39" s="9">
        <f t="shared" si="0"/>
        <v>1</v>
      </c>
      <c r="L39" s="9">
        <f t="shared" si="4"/>
        <v>1</v>
      </c>
    </row>
    <row r="40" spans="1:12">
      <c r="A40" s="9" t="s">
        <v>491</v>
      </c>
      <c r="B40" s="9" t="s">
        <v>492</v>
      </c>
      <c r="C40" s="9" t="s">
        <v>46</v>
      </c>
      <c r="D40" s="9" t="s">
        <v>445</v>
      </c>
      <c r="E40" s="9" t="s">
        <v>39</v>
      </c>
      <c r="F40" s="9" t="s">
        <v>27</v>
      </c>
      <c r="G40" s="9" t="s">
        <v>27</v>
      </c>
      <c r="H40" s="9" t="s">
        <v>27</v>
      </c>
      <c r="I40" s="9" t="str">
        <f t="shared" si="3"/>
        <v>B</v>
      </c>
      <c r="J40" s="9" t="s">
        <v>27</v>
      </c>
      <c r="K40" s="9">
        <f t="shared" si="0"/>
        <v>1</v>
      </c>
      <c r="L40" s="9">
        <f t="shared" si="4"/>
        <v>1</v>
      </c>
    </row>
    <row r="41" spans="1:12">
      <c r="A41" s="9" t="s">
        <v>491</v>
      </c>
      <c r="B41" s="9" t="s">
        <v>492</v>
      </c>
      <c r="C41" s="9" t="s">
        <v>46</v>
      </c>
      <c r="D41" s="9" t="s">
        <v>407</v>
      </c>
      <c r="E41" s="9" t="s">
        <v>15</v>
      </c>
      <c r="F41" s="9" t="s">
        <v>23</v>
      </c>
      <c r="G41" s="9" t="s">
        <v>27</v>
      </c>
      <c r="H41" s="9" t="s">
        <v>34</v>
      </c>
      <c r="I41" s="9" t="str">
        <f t="shared" si="3"/>
        <v>D(平局)</v>
      </c>
      <c r="J41" s="9" t="s">
        <v>34</v>
      </c>
      <c r="K41" s="9">
        <f t="shared" si="0"/>
        <v>1</v>
      </c>
      <c r="L41" s="9">
        <f t="shared" si="4"/>
        <v>0</v>
      </c>
    </row>
    <row r="42" spans="1:12">
      <c r="A42" s="9" t="s">
        <v>491</v>
      </c>
      <c r="B42" s="9" t="s">
        <v>492</v>
      </c>
      <c r="C42" s="9" t="s">
        <v>46</v>
      </c>
      <c r="D42" s="9" t="s">
        <v>407</v>
      </c>
      <c r="E42" s="9" t="s">
        <v>31</v>
      </c>
      <c r="F42" s="9" t="s">
        <v>34</v>
      </c>
      <c r="G42" s="9" t="s">
        <v>34</v>
      </c>
      <c r="H42" s="9" t="s">
        <v>34</v>
      </c>
      <c r="I42" s="9" t="str">
        <f t="shared" si="3"/>
        <v>A</v>
      </c>
      <c r="J42" s="9" t="s">
        <v>34</v>
      </c>
      <c r="K42" s="9">
        <f t="shared" si="0"/>
        <v>1</v>
      </c>
      <c r="L42" s="9">
        <f t="shared" si="4"/>
        <v>1</v>
      </c>
    </row>
    <row r="43" spans="1:12">
      <c r="A43" s="9" t="s">
        <v>491</v>
      </c>
      <c r="B43" s="9" t="s">
        <v>492</v>
      </c>
      <c r="C43" s="9" t="s">
        <v>46</v>
      </c>
      <c r="D43" s="9" t="s">
        <v>407</v>
      </c>
      <c r="E43" s="9" t="s">
        <v>39</v>
      </c>
      <c r="F43" s="9" t="s">
        <v>27</v>
      </c>
      <c r="G43" s="9" t="s">
        <v>27</v>
      </c>
      <c r="H43" s="9" t="s">
        <v>27</v>
      </c>
      <c r="I43" s="9" t="str">
        <f t="shared" si="3"/>
        <v>B</v>
      </c>
      <c r="J43" s="9" t="s">
        <v>27</v>
      </c>
      <c r="K43" s="9">
        <f t="shared" si="0"/>
        <v>1</v>
      </c>
      <c r="L43" s="9">
        <f t="shared" si="4"/>
        <v>1</v>
      </c>
    </row>
    <row r="44" spans="1:12">
      <c r="A44" s="9" t="s">
        <v>491</v>
      </c>
      <c r="B44" s="9" t="s">
        <v>492</v>
      </c>
      <c r="C44" s="9" t="s">
        <v>46</v>
      </c>
      <c r="D44" s="9" t="s">
        <v>369</v>
      </c>
      <c r="E44" s="9" t="s">
        <v>15</v>
      </c>
      <c r="F44" s="9" t="s">
        <v>34</v>
      </c>
      <c r="G44" s="9" t="s">
        <v>23</v>
      </c>
      <c r="H44" s="9" t="s">
        <v>34</v>
      </c>
      <c r="I44" s="9" t="str">
        <f t="shared" si="3"/>
        <v>A</v>
      </c>
      <c r="J44" s="9" t="s">
        <v>23</v>
      </c>
      <c r="K44" s="9">
        <f t="shared" si="0"/>
        <v>1</v>
      </c>
      <c r="L44" s="9">
        <f t="shared" si="4"/>
        <v>0</v>
      </c>
    </row>
    <row r="45" spans="1:12">
      <c r="A45" s="9" t="s">
        <v>491</v>
      </c>
      <c r="B45" s="9" t="s">
        <v>492</v>
      </c>
      <c r="C45" s="9" t="s">
        <v>46</v>
      </c>
      <c r="D45" s="9" t="s">
        <v>369</v>
      </c>
      <c r="E45" s="9" t="s">
        <v>31</v>
      </c>
      <c r="F45" s="9" t="s">
        <v>34</v>
      </c>
      <c r="G45" s="9" t="s">
        <v>34</v>
      </c>
      <c r="H45" s="9" t="s">
        <v>34</v>
      </c>
      <c r="I45" s="9" t="str">
        <f t="shared" si="3"/>
        <v>A</v>
      </c>
      <c r="J45" s="9" t="s">
        <v>34</v>
      </c>
      <c r="K45" s="9">
        <f t="shared" si="0"/>
        <v>1</v>
      </c>
      <c r="L45" s="9">
        <f t="shared" si="4"/>
        <v>1</v>
      </c>
    </row>
    <row r="46" spans="1:12">
      <c r="A46" s="9" t="s">
        <v>491</v>
      </c>
      <c r="B46" s="9" t="s">
        <v>492</v>
      </c>
      <c r="C46" s="9" t="s">
        <v>46</v>
      </c>
      <c r="D46" s="9" t="s">
        <v>369</v>
      </c>
      <c r="E46" s="9" t="s">
        <v>39</v>
      </c>
      <c r="F46" s="9" t="s">
        <v>27</v>
      </c>
      <c r="G46" s="9" t="s">
        <v>27</v>
      </c>
      <c r="H46" s="9" t="s">
        <v>27</v>
      </c>
      <c r="I46" s="9" t="str">
        <f t="shared" si="3"/>
        <v>B</v>
      </c>
      <c r="J46" s="9" t="s">
        <v>27</v>
      </c>
      <c r="K46" s="9">
        <f t="shared" si="0"/>
        <v>1</v>
      </c>
      <c r="L46" s="9">
        <f t="shared" si="4"/>
        <v>1</v>
      </c>
    </row>
    <row r="47" spans="1:12">
      <c r="A47" s="9" t="s">
        <v>491</v>
      </c>
      <c r="B47" s="9" t="s">
        <v>492</v>
      </c>
      <c r="C47" s="9" t="s">
        <v>46</v>
      </c>
      <c r="D47" s="9" t="s">
        <v>13</v>
      </c>
      <c r="E47" s="9" t="s">
        <v>15</v>
      </c>
      <c r="F47" s="9" t="s">
        <v>27</v>
      </c>
      <c r="G47" s="9" t="s">
        <v>27</v>
      </c>
      <c r="H47" s="9" t="s">
        <v>27</v>
      </c>
      <c r="I47" s="9" t="str">
        <f t="shared" si="3"/>
        <v>B</v>
      </c>
      <c r="J47" s="9" t="s">
        <v>23</v>
      </c>
      <c r="K47" s="9">
        <f t="shared" si="0"/>
        <v>1</v>
      </c>
      <c r="L47" s="9">
        <f t="shared" si="4"/>
        <v>0</v>
      </c>
    </row>
    <row r="48" spans="1:12">
      <c r="A48" s="9" t="s">
        <v>491</v>
      </c>
      <c r="B48" s="9" t="s">
        <v>492</v>
      </c>
      <c r="C48" s="9" t="s">
        <v>46</v>
      </c>
      <c r="D48" s="9" t="s">
        <v>13</v>
      </c>
      <c r="E48" s="9" t="s">
        <v>31</v>
      </c>
      <c r="F48" s="9" t="s">
        <v>22</v>
      </c>
      <c r="G48" s="9" t="s">
        <v>22</v>
      </c>
      <c r="H48" s="9" t="s">
        <v>23</v>
      </c>
      <c r="I48" s="9" t="str">
        <f t="shared" si="3"/>
        <v>C</v>
      </c>
      <c r="J48" s="9" t="s">
        <v>34</v>
      </c>
      <c r="K48" s="9">
        <f t="shared" si="0"/>
        <v>1</v>
      </c>
      <c r="L48" s="9">
        <f t="shared" si="4"/>
        <v>0</v>
      </c>
    </row>
    <row r="49" spans="1:12">
      <c r="A49" s="9" t="s">
        <v>491</v>
      </c>
      <c r="B49" s="9" t="s">
        <v>492</v>
      </c>
      <c r="C49" s="9" t="s">
        <v>46</v>
      </c>
      <c r="D49" s="9" t="s">
        <v>13</v>
      </c>
      <c r="E49" s="9" t="s">
        <v>39</v>
      </c>
      <c r="F49" s="9" t="s">
        <v>22</v>
      </c>
      <c r="G49" s="9" t="s">
        <v>22</v>
      </c>
      <c r="H49" s="9" t="s">
        <v>22</v>
      </c>
      <c r="I49" s="9" t="str">
        <f t="shared" si="3"/>
        <v>C</v>
      </c>
      <c r="J49" s="9" t="s">
        <v>27</v>
      </c>
      <c r="K49" s="9">
        <f t="shared" si="0"/>
        <v>1</v>
      </c>
      <c r="L49" s="9">
        <f t="shared" si="4"/>
        <v>0</v>
      </c>
    </row>
    <row r="50" spans="1:12">
      <c r="A50" s="9" t="s">
        <v>491</v>
      </c>
      <c r="B50" s="9" t="s">
        <v>492</v>
      </c>
      <c r="C50" s="9" t="s">
        <v>46</v>
      </c>
      <c r="D50" s="9" t="s">
        <v>179</v>
      </c>
      <c r="E50" s="9" t="s">
        <v>15</v>
      </c>
      <c r="F50" s="9" t="s">
        <v>27</v>
      </c>
      <c r="G50" s="9" t="s">
        <v>27</v>
      </c>
      <c r="H50" s="9" t="s">
        <v>27</v>
      </c>
      <c r="I50" s="9" t="str">
        <f t="shared" si="3"/>
        <v>B</v>
      </c>
      <c r="J50" s="9" t="s">
        <v>27</v>
      </c>
      <c r="K50" s="9">
        <f t="shared" si="0"/>
        <v>1</v>
      </c>
      <c r="L50" s="9">
        <f t="shared" si="4"/>
        <v>1</v>
      </c>
    </row>
    <row r="51" spans="1:12">
      <c r="A51" s="9" t="s">
        <v>491</v>
      </c>
      <c r="B51" s="9" t="s">
        <v>492</v>
      </c>
      <c r="C51" s="9" t="s">
        <v>46</v>
      </c>
      <c r="D51" s="9" t="s">
        <v>179</v>
      </c>
      <c r="E51" s="9" t="s">
        <v>31</v>
      </c>
      <c r="F51" s="9" t="s">
        <v>22</v>
      </c>
      <c r="G51" s="9" t="s">
        <v>22</v>
      </c>
      <c r="H51" s="9" t="s">
        <v>23</v>
      </c>
      <c r="I51" s="9" t="str">
        <f t="shared" si="3"/>
        <v>C</v>
      </c>
      <c r="J51" s="9" t="s">
        <v>34</v>
      </c>
      <c r="K51" s="9">
        <f t="shared" si="0"/>
        <v>1</v>
      </c>
      <c r="L51" s="9">
        <f t="shared" si="4"/>
        <v>0</v>
      </c>
    </row>
    <row r="52" spans="1:12">
      <c r="A52" s="9" t="s">
        <v>491</v>
      </c>
      <c r="B52" s="9" t="s">
        <v>492</v>
      </c>
      <c r="C52" s="9" t="s">
        <v>46</v>
      </c>
      <c r="D52" s="9" t="s">
        <v>179</v>
      </c>
      <c r="E52" s="9" t="s">
        <v>39</v>
      </c>
      <c r="F52" s="9" t="s">
        <v>22</v>
      </c>
      <c r="G52" s="9" t="s">
        <v>23</v>
      </c>
      <c r="H52" s="9" t="s">
        <v>22</v>
      </c>
      <c r="I52" s="9" t="str">
        <f t="shared" si="3"/>
        <v>C</v>
      </c>
      <c r="J52" s="9" t="s">
        <v>27</v>
      </c>
      <c r="K52" s="9">
        <f t="shared" si="0"/>
        <v>1</v>
      </c>
      <c r="L52" s="9">
        <f t="shared" si="4"/>
        <v>0</v>
      </c>
    </row>
    <row r="53" spans="1:12">
      <c r="A53" s="9" t="s">
        <v>491</v>
      </c>
      <c r="B53" s="9" t="s">
        <v>492</v>
      </c>
      <c r="C53" s="9" t="s">
        <v>46</v>
      </c>
      <c r="D53" s="9" t="s">
        <v>103</v>
      </c>
      <c r="E53" s="9" t="s">
        <v>15</v>
      </c>
      <c r="F53" s="9" t="s">
        <v>23</v>
      </c>
      <c r="G53" s="9" t="s">
        <v>34</v>
      </c>
      <c r="H53" s="9" t="s">
        <v>27</v>
      </c>
      <c r="I53" s="9" t="str">
        <f t="shared" si="3"/>
        <v>D(平局)</v>
      </c>
      <c r="J53" s="9" t="s">
        <v>34</v>
      </c>
      <c r="K53" s="9">
        <f t="shared" si="0"/>
        <v>1</v>
      </c>
      <c r="L53" s="9">
        <f t="shared" si="4"/>
        <v>0</v>
      </c>
    </row>
    <row r="54" spans="1:12">
      <c r="A54" s="9" t="s">
        <v>491</v>
      </c>
      <c r="B54" s="9" t="s">
        <v>492</v>
      </c>
      <c r="C54" s="9" t="s">
        <v>46</v>
      </c>
      <c r="D54" s="9" t="s">
        <v>103</v>
      </c>
      <c r="E54" s="9" t="s">
        <v>31</v>
      </c>
      <c r="F54" s="9" t="s">
        <v>34</v>
      </c>
      <c r="G54" s="9" t="s">
        <v>34</v>
      </c>
      <c r="H54" s="9" t="s">
        <v>34</v>
      </c>
      <c r="I54" s="9" t="str">
        <f t="shared" si="3"/>
        <v>A</v>
      </c>
      <c r="J54" s="9" t="s">
        <v>34</v>
      </c>
      <c r="K54" s="9">
        <f t="shared" si="0"/>
        <v>1</v>
      </c>
      <c r="L54" s="9">
        <f t="shared" si="4"/>
        <v>1</v>
      </c>
    </row>
    <row r="55" spans="1:12">
      <c r="A55" s="9" t="s">
        <v>491</v>
      </c>
      <c r="B55" s="9" t="s">
        <v>492</v>
      </c>
      <c r="C55" s="9" t="s">
        <v>46</v>
      </c>
      <c r="D55" s="9" t="s">
        <v>103</v>
      </c>
      <c r="E55" s="9" t="s">
        <v>39</v>
      </c>
      <c r="F55" s="9" t="s">
        <v>27</v>
      </c>
      <c r="G55" s="9" t="s">
        <v>27</v>
      </c>
      <c r="H55" s="9" t="s">
        <v>27</v>
      </c>
      <c r="I55" s="9" t="str">
        <f t="shared" si="3"/>
        <v>B</v>
      </c>
      <c r="J55" s="9" t="s">
        <v>27</v>
      </c>
      <c r="K55" s="9">
        <f t="shared" si="0"/>
        <v>1</v>
      </c>
      <c r="L55" s="9">
        <f t="shared" si="4"/>
        <v>1</v>
      </c>
    </row>
    <row r="56" spans="1:12">
      <c r="A56" s="9" t="s">
        <v>491</v>
      </c>
      <c r="B56" s="9" t="s">
        <v>492</v>
      </c>
      <c r="C56" s="9" t="s">
        <v>46</v>
      </c>
      <c r="D56" s="9" t="s">
        <v>65</v>
      </c>
      <c r="E56" s="9" t="s">
        <v>15</v>
      </c>
      <c r="F56" s="9" t="s">
        <v>34</v>
      </c>
      <c r="G56" s="9" t="s">
        <v>23</v>
      </c>
      <c r="H56" s="9" t="s">
        <v>34</v>
      </c>
      <c r="I56" s="9" t="str">
        <f t="shared" si="3"/>
        <v>A</v>
      </c>
      <c r="J56" s="9" t="s">
        <v>34</v>
      </c>
      <c r="K56" s="9">
        <f t="shared" si="0"/>
        <v>1</v>
      </c>
      <c r="L56" s="9">
        <f t="shared" si="4"/>
        <v>1</v>
      </c>
    </row>
    <row r="57" spans="1:12">
      <c r="A57" s="9" t="s">
        <v>491</v>
      </c>
      <c r="B57" s="9" t="s">
        <v>492</v>
      </c>
      <c r="C57" s="9" t="s">
        <v>46</v>
      </c>
      <c r="D57" s="9" t="s">
        <v>65</v>
      </c>
      <c r="E57" s="9" t="s">
        <v>31</v>
      </c>
      <c r="F57" s="9" t="s">
        <v>34</v>
      </c>
      <c r="G57" s="9" t="s">
        <v>34</v>
      </c>
      <c r="H57" s="9" t="s">
        <v>34</v>
      </c>
      <c r="I57" s="9" t="str">
        <f t="shared" si="3"/>
        <v>A</v>
      </c>
      <c r="J57" s="9" t="s">
        <v>34</v>
      </c>
      <c r="K57" s="9">
        <f t="shared" si="0"/>
        <v>1</v>
      </c>
      <c r="L57" s="9">
        <f t="shared" si="4"/>
        <v>1</v>
      </c>
    </row>
    <row r="58" spans="1:12">
      <c r="A58" s="9" t="s">
        <v>491</v>
      </c>
      <c r="B58" s="9" t="s">
        <v>492</v>
      </c>
      <c r="C58" s="9" t="s">
        <v>46</v>
      </c>
      <c r="D58" s="9" t="s">
        <v>65</v>
      </c>
      <c r="E58" s="9" t="s">
        <v>39</v>
      </c>
      <c r="F58" s="9" t="s">
        <v>22</v>
      </c>
      <c r="G58" s="9" t="s">
        <v>27</v>
      </c>
      <c r="H58" s="9" t="s">
        <v>23</v>
      </c>
      <c r="I58" s="9" t="str">
        <f t="shared" si="3"/>
        <v>D(平局)</v>
      </c>
      <c r="J58" s="9" t="s">
        <v>22</v>
      </c>
      <c r="K58" s="9">
        <f t="shared" si="0"/>
        <v>1</v>
      </c>
      <c r="L58" s="9">
        <f t="shared" si="4"/>
        <v>0</v>
      </c>
    </row>
    <row r="59" spans="1:12">
      <c r="A59" s="9" t="s">
        <v>491</v>
      </c>
      <c r="B59" s="9" t="s">
        <v>492</v>
      </c>
      <c r="C59" s="9" t="s">
        <v>46</v>
      </c>
      <c r="D59" s="9" t="s">
        <v>141</v>
      </c>
      <c r="E59" s="9" t="s">
        <v>15</v>
      </c>
      <c r="F59" s="9" t="s">
        <v>34</v>
      </c>
      <c r="G59" s="9" t="s">
        <v>34</v>
      </c>
      <c r="H59" s="9" t="s">
        <v>27</v>
      </c>
      <c r="I59" s="9" t="str">
        <f t="shared" si="3"/>
        <v>A</v>
      </c>
      <c r="J59" s="9" t="s">
        <v>34</v>
      </c>
      <c r="K59" s="9">
        <f t="shared" si="0"/>
        <v>1</v>
      </c>
      <c r="L59" s="9">
        <f t="shared" si="4"/>
        <v>1</v>
      </c>
    </row>
    <row r="60" spans="1:12">
      <c r="A60" s="9" t="s">
        <v>491</v>
      </c>
      <c r="B60" s="9" t="s">
        <v>492</v>
      </c>
      <c r="C60" s="9" t="s">
        <v>46</v>
      </c>
      <c r="D60" s="9" t="s">
        <v>141</v>
      </c>
      <c r="E60" s="9" t="s">
        <v>31</v>
      </c>
      <c r="F60" s="9" t="s">
        <v>34</v>
      </c>
      <c r="G60" s="9" t="s">
        <v>34</v>
      </c>
      <c r="H60" s="9" t="s">
        <v>34</v>
      </c>
      <c r="I60" s="9" t="str">
        <f t="shared" si="3"/>
        <v>A</v>
      </c>
      <c r="J60" s="9" t="s">
        <v>34</v>
      </c>
      <c r="K60" s="9">
        <f t="shared" si="0"/>
        <v>1</v>
      </c>
      <c r="L60" s="9">
        <f t="shared" si="4"/>
        <v>1</v>
      </c>
    </row>
    <row r="61" spans="1:12">
      <c r="A61" s="9" t="s">
        <v>491</v>
      </c>
      <c r="B61" s="9" t="s">
        <v>492</v>
      </c>
      <c r="C61" s="9" t="s">
        <v>46</v>
      </c>
      <c r="D61" s="9" t="s">
        <v>141</v>
      </c>
      <c r="E61" s="9" t="s">
        <v>39</v>
      </c>
      <c r="F61" s="9" t="s">
        <v>27</v>
      </c>
      <c r="G61" s="9" t="s">
        <v>27</v>
      </c>
      <c r="H61" s="9" t="s">
        <v>27</v>
      </c>
      <c r="I61" s="9" t="str">
        <f t="shared" si="3"/>
        <v>B</v>
      </c>
      <c r="J61" s="9" t="s">
        <v>27</v>
      </c>
      <c r="K61" s="9">
        <f t="shared" si="0"/>
        <v>1</v>
      </c>
      <c r="L61" s="9">
        <f t="shared" si="4"/>
        <v>1</v>
      </c>
    </row>
    <row r="62" spans="1:12">
      <c r="A62" s="9" t="s">
        <v>491</v>
      </c>
      <c r="B62" s="9" t="s">
        <v>492</v>
      </c>
      <c r="C62" s="9" t="s">
        <v>46</v>
      </c>
      <c r="D62" s="9" t="s">
        <v>255</v>
      </c>
      <c r="E62" s="9" t="s">
        <v>15</v>
      </c>
      <c r="F62" s="9" t="s">
        <v>27</v>
      </c>
      <c r="G62" s="9" t="s">
        <v>27</v>
      </c>
      <c r="H62" s="9" t="s">
        <v>34</v>
      </c>
      <c r="I62" s="9" t="str">
        <f t="shared" si="3"/>
        <v>B</v>
      </c>
      <c r="J62" s="9" t="s">
        <v>23</v>
      </c>
      <c r="K62" s="9">
        <f t="shared" si="0"/>
        <v>1</v>
      </c>
      <c r="L62" s="9">
        <f t="shared" si="4"/>
        <v>0</v>
      </c>
    </row>
    <row r="63" spans="1:12">
      <c r="A63" s="9" t="s">
        <v>491</v>
      </c>
      <c r="B63" s="9" t="s">
        <v>492</v>
      </c>
      <c r="C63" s="9" t="s">
        <v>46</v>
      </c>
      <c r="D63" s="9" t="s">
        <v>255</v>
      </c>
      <c r="E63" s="9" t="s">
        <v>31</v>
      </c>
      <c r="F63" s="9" t="s">
        <v>22</v>
      </c>
      <c r="G63" s="9" t="s">
        <v>34</v>
      </c>
      <c r="H63" s="9" t="s">
        <v>23</v>
      </c>
      <c r="I63" s="9" t="str">
        <f t="shared" si="3"/>
        <v>D(平局)</v>
      </c>
      <c r="J63" s="9" t="s">
        <v>34</v>
      </c>
      <c r="K63" s="9">
        <f t="shared" si="0"/>
        <v>1</v>
      </c>
      <c r="L63" s="9">
        <f t="shared" si="4"/>
        <v>0</v>
      </c>
    </row>
    <row r="64" spans="1:12">
      <c r="A64" s="9" t="s">
        <v>491</v>
      </c>
      <c r="B64" s="9" t="s">
        <v>492</v>
      </c>
      <c r="C64" s="9" t="s">
        <v>46</v>
      </c>
      <c r="D64" s="9" t="s">
        <v>255</v>
      </c>
      <c r="E64" s="9" t="s">
        <v>39</v>
      </c>
      <c r="F64" s="9" t="s">
        <v>27</v>
      </c>
      <c r="G64" s="9" t="s">
        <v>27</v>
      </c>
      <c r="H64" s="9" t="s">
        <v>27</v>
      </c>
      <c r="I64" s="9" t="str">
        <f t="shared" si="3"/>
        <v>B</v>
      </c>
      <c r="J64" s="9" t="s">
        <v>27</v>
      </c>
      <c r="K64" s="9">
        <f t="shared" si="0"/>
        <v>1</v>
      </c>
      <c r="L64" s="9">
        <f t="shared" si="4"/>
        <v>1</v>
      </c>
    </row>
    <row r="65" spans="1:12">
      <c r="A65" s="9" t="s">
        <v>491</v>
      </c>
      <c r="B65" s="9" t="s">
        <v>492</v>
      </c>
      <c r="C65" s="9" t="s">
        <v>46</v>
      </c>
      <c r="D65" s="9" t="s">
        <v>331</v>
      </c>
      <c r="E65" s="9" t="s">
        <v>15</v>
      </c>
      <c r="F65" s="9" t="s">
        <v>27</v>
      </c>
      <c r="G65" s="9" t="s">
        <v>27</v>
      </c>
      <c r="H65" s="9" t="s">
        <v>27</v>
      </c>
      <c r="I65" s="9" t="str">
        <f t="shared" si="3"/>
        <v>B</v>
      </c>
      <c r="J65" s="9" t="s">
        <v>27</v>
      </c>
      <c r="K65" s="9">
        <f t="shared" si="0"/>
        <v>1</v>
      </c>
      <c r="L65" s="9">
        <f t="shared" si="4"/>
        <v>1</v>
      </c>
    </row>
    <row r="66" spans="1:12">
      <c r="A66" s="9" t="s">
        <v>491</v>
      </c>
      <c r="B66" s="9" t="s">
        <v>492</v>
      </c>
      <c r="C66" s="9" t="s">
        <v>46</v>
      </c>
      <c r="D66" s="9" t="s">
        <v>331</v>
      </c>
      <c r="E66" s="9" t="s">
        <v>31</v>
      </c>
      <c r="F66" s="9" t="s">
        <v>34</v>
      </c>
      <c r="G66" s="9" t="s">
        <v>34</v>
      </c>
      <c r="H66" s="9" t="s">
        <v>34</v>
      </c>
      <c r="I66" s="9" t="str">
        <f t="shared" si="3"/>
        <v>A</v>
      </c>
      <c r="J66" s="9" t="s">
        <v>34</v>
      </c>
      <c r="K66" s="9">
        <f t="shared" ref="K66:K73" si="5">--(I66&lt;&gt;"无多数")</f>
        <v>1</v>
      </c>
      <c r="L66" s="9">
        <f t="shared" si="4"/>
        <v>1</v>
      </c>
    </row>
    <row r="67" spans="1:12">
      <c r="A67" s="9" t="s">
        <v>491</v>
      </c>
      <c r="B67" s="9" t="s">
        <v>492</v>
      </c>
      <c r="C67" s="9" t="s">
        <v>46</v>
      </c>
      <c r="D67" s="9" t="s">
        <v>331</v>
      </c>
      <c r="E67" s="9" t="s">
        <v>39</v>
      </c>
      <c r="F67" s="9" t="s">
        <v>27</v>
      </c>
      <c r="G67" s="9" t="s">
        <v>27</v>
      </c>
      <c r="H67" s="9" t="s">
        <v>27</v>
      </c>
      <c r="I67" s="9" t="str">
        <f>IF(MAX(COUNTIF(F67:H67,"A"),COUNTIF(F67:H67,"B"),COUNTIF(F67:H67,"C"),COUNTIF(F67:H67,"D(平局)"))&lt;2,"D(平局)",IF(COUNTIF(F67:H67,"A")&gt;=2,"A",IF(COUNTIF(F67:H67,"B")&gt;=2,"B",IF(COUNTIF(F67:H67,"C")&gt;=2,"C","D(平局)"))))</f>
        <v>B</v>
      </c>
      <c r="J67" s="9" t="s">
        <v>27</v>
      </c>
      <c r="K67" s="9">
        <f t="shared" si="5"/>
        <v>1</v>
      </c>
      <c r="L67" s="9">
        <f>IF(K67=0,"",--(I67=J67))</f>
        <v>1</v>
      </c>
    </row>
    <row r="68" spans="1:12">
      <c r="A68" s="9" t="s">
        <v>491</v>
      </c>
      <c r="B68" s="9" t="s">
        <v>492</v>
      </c>
      <c r="C68" s="9" t="s">
        <v>46</v>
      </c>
      <c r="D68" s="9" t="s">
        <v>217</v>
      </c>
      <c r="E68" s="9" t="s">
        <v>15</v>
      </c>
      <c r="F68" s="9" t="s">
        <v>23</v>
      </c>
      <c r="G68" s="9" t="s">
        <v>27</v>
      </c>
      <c r="H68" s="9" t="s">
        <v>27</v>
      </c>
      <c r="I68" s="9" t="str">
        <f>IF(MAX(COUNTIF(F68:H68,"A"),COUNTIF(F68:H68,"B"),COUNTIF(F68:H68,"C"),COUNTIF(F68:H68,"D(平局)"))&lt;2,"D(平局)",IF(COUNTIF(F68:H68,"A")&gt;=2,"A",IF(COUNTIF(F68:H68,"B")&gt;=2,"B",IF(COUNTIF(F68:H68,"C")&gt;=2,"C","D(平局)"))))</f>
        <v>B</v>
      </c>
      <c r="J68" s="9" t="s">
        <v>34</v>
      </c>
      <c r="K68" s="9">
        <f t="shared" si="5"/>
        <v>1</v>
      </c>
      <c r="L68" s="9">
        <f>IF(K68=0,"",--(I68=J68))</f>
        <v>0</v>
      </c>
    </row>
    <row r="69" spans="1:12">
      <c r="A69" s="9" t="s">
        <v>491</v>
      </c>
      <c r="B69" s="9" t="s">
        <v>492</v>
      </c>
      <c r="C69" s="9" t="s">
        <v>46</v>
      </c>
      <c r="D69" s="9" t="s">
        <v>217</v>
      </c>
      <c r="E69" s="9" t="s">
        <v>31</v>
      </c>
      <c r="F69" s="9" t="s">
        <v>22</v>
      </c>
      <c r="G69" s="9" t="s">
        <v>22</v>
      </c>
      <c r="H69" s="9" t="s">
        <v>22</v>
      </c>
      <c r="I69" s="9" t="str">
        <f>IF(MAX(COUNTIF(F69:H69,"A"),COUNTIF(F69:H69,"B"),COUNTIF(F69:H69,"C"),COUNTIF(F69:H69,"D(平局)"))&lt;2,"D(平局)",IF(COUNTIF(F69:H69,"A")&gt;=2,"A",IF(COUNTIF(F69:H69,"B")&gt;=2,"B",IF(COUNTIF(F69:H69,"C")&gt;=2,"C","D(平局)"))))</f>
        <v>C</v>
      </c>
      <c r="J69" s="9" t="s">
        <v>22</v>
      </c>
      <c r="K69" s="9">
        <f t="shared" si="5"/>
        <v>1</v>
      </c>
      <c r="L69" s="9">
        <f>IF(K69=0,"",--(I69=J69))</f>
        <v>1</v>
      </c>
    </row>
    <row r="70" spans="1:12">
      <c r="A70" s="9" t="s">
        <v>491</v>
      </c>
      <c r="B70" s="9" t="s">
        <v>492</v>
      </c>
      <c r="C70" s="9" t="s">
        <v>46</v>
      </c>
      <c r="D70" s="9" t="s">
        <v>217</v>
      </c>
      <c r="E70" s="9" t="s">
        <v>39</v>
      </c>
      <c r="F70" s="9" t="s">
        <v>22</v>
      </c>
      <c r="G70" s="9" t="s">
        <v>22</v>
      </c>
      <c r="H70" s="9" t="s">
        <v>22</v>
      </c>
      <c r="I70" s="9" t="str">
        <f>IF(MAX(COUNTIF(F70:H70,"A"),COUNTIF(F70:H70,"B"),COUNTIF(F70:H70,"C"),COUNTIF(F70:H70,"D(平局)"))&lt;2,"D(平局)",IF(COUNTIF(F70:H70,"A")&gt;=2,"A",IF(COUNTIF(F70:H70,"B")&gt;=2,"B",IF(COUNTIF(F70:H70,"C")&gt;=2,"C","D(平局)"))))</f>
        <v>C</v>
      </c>
      <c r="J70" s="9" t="s">
        <v>22</v>
      </c>
      <c r="K70" s="9">
        <f t="shared" si="5"/>
        <v>1</v>
      </c>
      <c r="L70" s="9">
        <f>IF(K70=0,"",--(I70=J70))</f>
        <v>1</v>
      </c>
    </row>
    <row r="71" spans="1:12">
      <c r="A71" s="9" t="s">
        <v>491</v>
      </c>
      <c r="B71" s="9" t="s">
        <v>492</v>
      </c>
      <c r="C71" s="9" t="s">
        <v>46</v>
      </c>
      <c r="D71" s="9" t="s">
        <v>293</v>
      </c>
      <c r="E71" s="9" t="s">
        <v>15</v>
      </c>
      <c r="F71" s="9" t="s">
        <v>23</v>
      </c>
      <c r="G71" s="9" t="s">
        <v>27</v>
      </c>
      <c r="H71" s="9" t="s">
        <v>34</v>
      </c>
      <c r="I71" s="9" t="str">
        <f>IF(MAX(COUNTIF(F71:H71,"A"),COUNTIF(F71:H71,"B"),COUNTIF(F71:H71,"C"),COUNTIF(F71:H71,"D(平局)"))&lt;2,"D(平局)",IF(COUNTIF(F71:H71,"A")&gt;=2,"A",IF(COUNTIF(F71:H71,"B")&gt;=2,"B",IF(COUNTIF(F71:H71,"C")&gt;=2,"C","D(平局)"))))</f>
        <v>D(平局)</v>
      </c>
      <c r="J71" s="9" t="s">
        <v>34</v>
      </c>
      <c r="K71" s="9">
        <f t="shared" si="5"/>
        <v>1</v>
      </c>
      <c r="L71" s="9">
        <f>IF(K71=0,"",--(I71=J71))</f>
        <v>0</v>
      </c>
    </row>
    <row r="72" spans="1:12">
      <c r="A72" s="9" t="s">
        <v>491</v>
      </c>
      <c r="B72" s="9" t="s">
        <v>492</v>
      </c>
      <c r="C72" s="9" t="s">
        <v>46</v>
      </c>
      <c r="D72" s="9" t="s">
        <v>293</v>
      </c>
      <c r="E72" s="9" t="s">
        <v>31</v>
      </c>
      <c r="F72" s="9" t="s">
        <v>34</v>
      </c>
      <c r="G72" s="9" t="s">
        <v>34</v>
      </c>
      <c r="H72" s="9" t="s">
        <v>34</v>
      </c>
      <c r="I72" s="9" t="str">
        <f>IF(MAX(COUNTIF(F72:H72,"A"),COUNTIF(F72:H72,"B"),COUNTIF(F72:H72,"C"),COUNTIF(F72:H72,"D(平局)"))&lt;2,"D(平局)",IF(COUNTIF(F72:H72,"A")&gt;=2,"A",IF(COUNTIF(F72:H72,"B")&gt;=2,"B",IF(COUNTIF(F72:H72,"C")&gt;=2,"C","D(平局)"))))</f>
        <v>A</v>
      </c>
      <c r="J72" s="9" t="s">
        <v>23</v>
      </c>
      <c r="K72" s="9">
        <f t="shared" si="5"/>
        <v>1</v>
      </c>
      <c r="L72" s="9">
        <f>IF(K72=0,"",--(I72=J72))</f>
        <v>0</v>
      </c>
    </row>
    <row r="73" spans="1:12">
      <c r="A73" s="9" t="s">
        <v>491</v>
      </c>
      <c r="B73" s="9" t="s">
        <v>492</v>
      </c>
      <c r="C73" s="9" t="s">
        <v>46</v>
      </c>
      <c r="D73" s="9" t="s">
        <v>293</v>
      </c>
      <c r="E73" s="9" t="s">
        <v>39</v>
      </c>
      <c r="F73" s="9" t="s">
        <v>27</v>
      </c>
      <c r="G73" s="9" t="s">
        <v>23</v>
      </c>
      <c r="H73" s="9" t="s">
        <v>22</v>
      </c>
      <c r="I73" s="9" t="str">
        <f>IF(MAX(COUNTIF(F73:H73,"A"),COUNTIF(F73:H73,"B"),COUNTIF(F73:H73,"C"),COUNTIF(F73:H73,"D(平局)"))&lt;2,"D(平局)",IF(COUNTIF(F73:H73,"A")&gt;=2,"A",IF(COUNTIF(F73:H73,"B")&gt;=2,"B",IF(COUNTIF(F73:H73,"C")&gt;=2,"C","D(平局)"))))</f>
        <v>D(平局)</v>
      </c>
      <c r="J73" s="9" t="s">
        <v>22</v>
      </c>
      <c r="K73" s="9">
        <f t="shared" si="5"/>
        <v>1</v>
      </c>
      <c r="L73" s="9">
        <f>IF(K73=0,"",--(I73=J73))</f>
        <v>0</v>
      </c>
    </row>
  </sheetData>
  <conditionalFormatting sqref="I2:I73">
    <cfRule type="containsText" dxfId="2" priority="1" operator="between" text="无多数">
      <formula>NOT(ISERROR(SEARCH("无多数",I2)))</formula>
    </cfRule>
  </conditionalFormatting>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1"/>
  <sheetViews>
    <sheetView showGridLines="0" workbookViewId="0">
      <selection activeCell="D20" sqref="D20"/>
    </sheetView>
  </sheetViews>
  <sheetFormatPr defaultColWidth="9" defaultRowHeight="13.85"/>
  <cols>
    <col min="1" max="1" width="18" customWidth="1"/>
    <col min="2" max="3" width="16" customWidth="1"/>
    <col min="4" max="4" width="18" customWidth="1"/>
    <col min="5" max="6" width="16" customWidth="1"/>
    <col min="7" max="8" width="22" customWidth="1"/>
    <col min="9" max="9" width="16" customWidth="1"/>
  </cols>
  <sheetData>
    <row r="1" ht="20.25" spans="1:9">
      <c r="A1" s="1" t="s">
        <v>493</v>
      </c>
      <c r="B1" s="1"/>
      <c r="C1" s="1"/>
      <c r="D1" s="1"/>
      <c r="E1" s="1"/>
      <c r="F1" s="1"/>
      <c r="G1" s="1"/>
      <c r="H1" s="1"/>
      <c r="I1" s="1"/>
    </row>
    <row r="3" ht="34" customHeight="1" spans="1:9">
      <c r="A3" s="2" t="s">
        <v>494</v>
      </c>
      <c r="B3" s="2"/>
      <c r="C3" s="2"/>
      <c r="D3" s="2"/>
      <c r="E3" s="2"/>
      <c r="F3" s="2"/>
      <c r="G3" s="2"/>
      <c r="H3" s="2"/>
      <c r="I3" s="2"/>
    </row>
    <row r="5" spans="1:9">
      <c r="A5" s="3" t="s">
        <v>495</v>
      </c>
      <c r="B5" s="3"/>
      <c r="C5" s="3"/>
      <c r="D5" s="3"/>
      <c r="E5" s="3"/>
      <c r="F5" s="3"/>
      <c r="G5" s="3"/>
      <c r="H5" s="3"/>
      <c r="I5" s="3"/>
    </row>
    <row r="6" ht="13.9" spans="1:8">
      <c r="A6" s="4" t="s">
        <v>483</v>
      </c>
      <c r="B6" s="4" t="s">
        <v>484</v>
      </c>
      <c r="C6" s="4" t="s">
        <v>485</v>
      </c>
      <c r="D6" s="4" t="s">
        <v>496</v>
      </c>
      <c r="E6" s="4" t="s">
        <v>497</v>
      </c>
      <c r="F6" s="4" t="s">
        <v>498</v>
      </c>
      <c r="G6" s="4" t="s">
        <v>499</v>
      </c>
      <c r="H6" s="4" t="s">
        <v>500</v>
      </c>
    </row>
    <row r="7" spans="1:8">
      <c r="A7" t="s">
        <v>491</v>
      </c>
      <c r="B7" t="s">
        <v>492</v>
      </c>
      <c r="C7" t="s">
        <v>17</v>
      </c>
      <c r="D7">
        <f>COUNTIFS(实验结果!$K$2:$K$217,"&lt;&gt;",实验结果!$L$2:$L$217,"&lt;&gt;",实验结果!$E$2:$E$217,C7)</f>
        <v>108</v>
      </c>
      <c r="E7">
        <f>SUMIFS(实验结果!$M$2:$M$217,实验结果!$K$2:$K$217,"&lt;&gt;",实验结果!$L$2:$L$217,"&lt;&gt;",实验结果!$E$2:$E$217,C7)</f>
        <v>76</v>
      </c>
      <c r="F7" s="5">
        <f>E7/D7</f>
        <v>0.703703703703704</v>
      </c>
      <c r="G7" s="5">
        <f>(COUNTIFS(实验结果!$K$2:$K$217,"&lt;&gt;",实验结果!$L$2:$L$217,"&lt;&gt;",实验结果!$E$2:$E$217,C7,实验结果!$K$2:$K$217,"A")*COUNTIFS(实验结果!$K$2:$K$217,"&lt;&gt;",实验结果!$L$2:$L$217,"&lt;&gt;",实验结果!$E$2:$E$217,C7,实验结果!$L$2:$L$217,"A")+COUNTIFS(实验结果!$K$2:$K$217,"&lt;&gt;",实验结果!$L$2:$L$217,"&lt;&gt;",实验结果!$E$2:$E$217,C7,实验结果!$K$2:$K$217,"B")*COUNTIFS(实验结果!$K$2:$K$217,"&lt;&gt;",实验结果!$L$2:$L$217,"&lt;&gt;",实验结果!$E$2:$E$217,C7,实验结果!$L$2:$L$217,"B")+COUNTIFS(实验结果!$K$2:$K$217,"&lt;&gt;",实验结果!$L$2:$L$217,"&lt;&gt;",实验结果!$E$2:$E$217,C7,实验结果!$K$2:$K$217,"C")*COUNTIFS(实验结果!$K$2:$K$217,"&lt;&gt;",实验结果!$L$2:$L$217,"&lt;&gt;",实验结果!$E$2:$E$217,C7,实验结果!$L$2:$L$217,"C")+COUNTIFS(实验结果!$K$2:$K$217,"&lt;&gt;",实验结果!$L$2:$L$217,"&lt;&gt;",实验结果!$E$2:$E$217,C7,实验结果!$K$2:$K$217,"D(平局)")*COUNTIFS(实验结果!$K$2:$K$217,"&lt;&gt;",实验结果!$L$2:$L$217,"&lt;&gt;",实验结果!$E$2:$E$217,C7,实验结果!$L$2:$L$217,"D(平局)"))/(D7^2)</f>
        <v>0.342849794238683</v>
      </c>
      <c r="H7" s="6">
        <f>(F7-G7)/(1-G7)</f>
        <v>0.549119373776908</v>
      </c>
    </row>
    <row r="8" spans="1:8">
      <c r="A8" t="s">
        <v>491</v>
      </c>
      <c r="B8" t="s">
        <v>492</v>
      </c>
      <c r="C8" t="s">
        <v>46</v>
      </c>
      <c r="D8">
        <f>COUNTIFS(实验结果!$K$2:$K$217,"&lt;&gt;",实验结果!$L$2:$L$217,"&lt;&gt;",实验结果!$E$2:$E$217,C8)</f>
        <v>108</v>
      </c>
      <c r="E8">
        <f>SUMIFS(实验结果!$M$2:$M$217,实验结果!$K$2:$K$217,"&lt;&gt;",实验结果!$L$2:$L$217,"&lt;&gt;",实验结果!$E$2:$E$217,C8)</f>
        <v>66</v>
      </c>
      <c r="F8" s="5">
        <f>E8/D8</f>
        <v>0.611111111111111</v>
      </c>
      <c r="G8" s="5">
        <f>(COUNTIFS(实验结果!$K$2:$K$217,"&lt;&gt;",实验结果!$L$2:$L$217,"&lt;&gt;",实验结果!$E$2:$E$217,C8,实验结果!$K$2:$K$217,"A")*COUNTIFS(实验结果!$K$2:$K$217,"&lt;&gt;",实验结果!$L$2:$L$217,"&lt;&gt;",实验结果!$E$2:$E$217,C8,实验结果!$L$2:$L$217,"A")+COUNTIFS(实验结果!$K$2:$K$217,"&lt;&gt;",实验结果!$L$2:$L$217,"&lt;&gt;",实验结果!$E$2:$E$217,C8,实验结果!$K$2:$K$217,"B")*COUNTIFS(实验结果!$K$2:$K$217,"&lt;&gt;",实验结果!$L$2:$L$217,"&lt;&gt;",实验结果!$E$2:$E$217,C8,实验结果!$L$2:$L$217,"B")+COUNTIFS(实验结果!$K$2:$K$217,"&lt;&gt;",实验结果!$L$2:$L$217,"&lt;&gt;",实验结果!$E$2:$E$217,C8,实验结果!$K$2:$K$217,"C")*COUNTIFS(实验结果!$K$2:$K$217,"&lt;&gt;",实验结果!$L$2:$L$217,"&lt;&gt;",实验结果!$E$2:$E$217,C8,实验结果!$L$2:$L$217,"C")+COUNTIFS(实验结果!$K$2:$K$217,"&lt;&gt;",实验结果!$L$2:$L$217,"&lt;&gt;",实验结果!$E$2:$E$217,C8,实验结果!$K$2:$K$217,"D(平局)")*COUNTIFS(实验结果!$K$2:$K$217,"&lt;&gt;",实验结果!$L$2:$L$217,"&lt;&gt;",实验结果!$E$2:$E$217,C8,实验结果!$L$2:$L$217,"D(平局)"))/(D8^2)</f>
        <v>0.305298353909465</v>
      </c>
      <c r="H8" s="6">
        <f>(F8-G8)/(1-G8)</f>
        <v>0.44020733061829</v>
      </c>
    </row>
    <row r="9" spans="1:8">
      <c r="A9" t="s">
        <v>491</v>
      </c>
      <c r="B9" t="s">
        <v>492</v>
      </c>
      <c r="C9" t="s">
        <v>501</v>
      </c>
      <c r="D9">
        <f>COUNTIFS(实验结果!$K$2:$K$217,"&lt;&gt;",实验结果!$L$2:$L$217,"&lt;&gt;")</f>
        <v>216</v>
      </c>
      <c r="E9">
        <f>SUMIFS(实验结果!$M$2:$M$217,实验结果!$K$2:$K$217,"&lt;&gt;",实验结果!$L$2:$L$217,"&lt;&gt;")</f>
        <v>142</v>
      </c>
      <c r="F9" s="5">
        <f>E9/D9</f>
        <v>0.657407407407407</v>
      </c>
      <c r="G9" s="5">
        <f>(COUNTIFS(实验结果!$K$2:$K$217,"&lt;&gt;",实验结果!$L$2:$L$217,"&lt;&gt;",实验结果!$K$2:$K$217,"A")*COUNTIFS(实验结果!$K$2:$K$217,"&lt;&gt;",实验结果!$L$2:$L$217,"&lt;&gt;",实验结果!$L$2:$L$217,"A")+COUNTIFS(实验结果!$K$2:$K$217,"&lt;&gt;",实验结果!$L$2:$L$217,"&lt;&gt;",实验结果!$K$2:$K$217,"B")*COUNTIFS(实验结果!$K$2:$K$217,"&lt;&gt;",实验结果!$L$2:$L$217,"&lt;&gt;",实验结果!$L$2:$L$217,"B")+COUNTIFS(实验结果!$K$2:$K$217,"&lt;&gt;",实验结果!$L$2:$L$217,"&lt;&gt;",实验结果!$K$2:$K$217,"C")*COUNTIFS(实验结果!$K$2:$K$217,"&lt;&gt;",实验结果!$L$2:$L$217,"&lt;&gt;",实验结果!$L$2:$L$217,"C")+COUNTIFS(实验结果!$K$2:$K$217,"&lt;&gt;",实验结果!$L$2:$L$217,"&lt;&gt;",实验结果!$K$2:$K$217,"D(平局)")*COUNTIFS(实验结果!$K$2:$K$217,"&lt;&gt;",实验结果!$L$2:$L$217,"&lt;&gt;",实验结果!$L$2:$L$217,"D(平局)"))/(D9^2)</f>
        <v>0.324074074074074</v>
      </c>
      <c r="H9" s="6">
        <f>(F9-G9)/(1-G9)</f>
        <v>0.493150684931507</v>
      </c>
    </row>
    <row r="12" spans="1:9">
      <c r="A12" s="3" t="s">
        <v>502</v>
      </c>
      <c r="B12" s="3"/>
      <c r="C12" s="3"/>
      <c r="D12" s="3"/>
      <c r="E12" s="3"/>
      <c r="F12" s="3"/>
      <c r="G12" s="3"/>
      <c r="H12" s="3"/>
      <c r="I12" s="3"/>
    </row>
    <row r="13" ht="13.9" spans="1:9">
      <c r="A13" s="4" t="s">
        <v>483</v>
      </c>
      <c r="B13" s="4" t="s">
        <v>484</v>
      </c>
      <c r="C13" s="4" t="s">
        <v>485</v>
      </c>
      <c r="D13" s="4" t="s">
        <v>503</v>
      </c>
      <c r="E13" s="4" t="s">
        <v>496</v>
      </c>
      <c r="F13" s="4" t="s">
        <v>497</v>
      </c>
      <c r="G13" s="4" t="s">
        <v>504</v>
      </c>
      <c r="H13" s="4" t="s">
        <v>499</v>
      </c>
      <c r="I13" s="4" t="s">
        <v>500</v>
      </c>
    </row>
    <row r="14" spans="1:9">
      <c r="A14" t="s">
        <v>491</v>
      </c>
      <c r="B14" t="s">
        <v>492</v>
      </c>
      <c r="C14" t="s">
        <v>17</v>
      </c>
      <c r="D14" t="s">
        <v>16</v>
      </c>
      <c r="E14">
        <f>COUNTIFS(实验结果!$K$2:$K$217,"&lt;&gt;",实验结果!$L$2:$L$217,"&lt;&gt;",实验结果!$E$2:$E$217,C14,实验结果!$D$2:$D$217,D14)</f>
        <v>36</v>
      </c>
      <c r="F14">
        <f>SUMIFS(实验结果!$M$2:$M$217,实验结果!$K$2:$K$217,"&lt;&gt;",实验结果!$L$2:$L$217,"&lt;&gt;",实验结果!$E$2:$E$217,C14,实验结果!$D$2:$D$217,D14)</f>
        <v>25</v>
      </c>
      <c r="G14" s="5">
        <f t="shared" ref="G14:G22" si="0">F14/E14</f>
        <v>0.694444444444444</v>
      </c>
      <c r="H14" s="5">
        <f>(COUNTIFS(实验结果!$K$2:$K$217,"&lt;&gt;",实验结果!$L$2:$L$217,"&lt;&gt;",实验结果!$E$2:$E$217,C14,实验结果!$D$2:$D$217,D14,实验结果!$K$2:$K$217,"A")*COUNTIFS(实验结果!$K$2:$K$217,"&lt;&gt;",实验结果!$L$2:$L$217,"&lt;&gt;",实验结果!$E$2:$E$217,C14,实验结果!$D$2:$D$217,D14,实验结果!$L$2:$L$217,"A")+COUNTIFS(实验结果!$K$2:$K$217,"&lt;&gt;",实验结果!$L$2:$L$217,"&lt;&gt;",实验结果!$E$2:$E$217,C14,实验结果!$D$2:$D$217,D14,实验结果!$K$2:$K$217,"B")*COUNTIFS(实验结果!$K$2:$K$217,"&lt;&gt;",实验结果!$L$2:$L$217,"&lt;&gt;",实验结果!$E$2:$E$217,C14,实验结果!$D$2:$D$217,D14,实验结果!$L$2:$L$217,"B")+COUNTIFS(实验结果!$K$2:$K$217,"&lt;&gt;",实验结果!$L$2:$L$217,"&lt;&gt;",实验结果!$E$2:$E$217,C14,实验结果!$D$2:$D$217,D14,实验结果!$K$2:$K$217,"C")*COUNTIFS(实验结果!$K$2:$K$217,"&lt;&gt;",实验结果!$L$2:$L$217,"&lt;&gt;",实验结果!$E$2:$E$217,C14,实验结果!$D$2:$D$217,D14,实验结果!$L$2:$L$217,"C")+COUNTIFS(实验结果!$K$2:$K$217,"&lt;&gt;",实验结果!$L$2:$L$217,"&lt;&gt;",实验结果!$E$2:$E$217,C14,实验结果!$D$2:$D$217,D14,实验结果!$K$2:$K$217,"D(平局)")*COUNTIFS(实验结果!$K$2:$K$217,"&lt;&gt;",实验结果!$L$2:$L$217,"&lt;&gt;",实验结果!$E$2:$E$217,C14,实验结果!$D$2:$D$217,D14,实验结果!$L$2:$L$217,"D(平局)"))/(E14^2)</f>
        <v>0.310956790123457</v>
      </c>
      <c r="I14" s="6">
        <f t="shared" ref="I14:I22" si="1">(G14-H14)/(1-H14)</f>
        <v>0.556550951847704</v>
      </c>
    </row>
    <row r="15" spans="1:9">
      <c r="A15" t="s">
        <v>491</v>
      </c>
      <c r="B15" t="s">
        <v>492</v>
      </c>
      <c r="C15" t="s">
        <v>17</v>
      </c>
      <c r="D15" t="s">
        <v>24</v>
      </c>
      <c r="E15">
        <f>COUNTIFS(实验结果!$K$2:$K$217,"&lt;&gt;",实验结果!$L$2:$L$217,"&lt;&gt;",实验结果!$E$2:$E$217,C15,实验结果!$D$2:$D$217,D15)</f>
        <v>36</v>
      </c>
      <c r="F15">
        <f>SUMIFS(实验结果!$M$2:$M$217,实验结果!$K$2:$K$217,"&lt;&gt;",实验结果!$L$2:$L$217,"&lt;&gt;",实验结果!$E$2:$E$217,C15,实验结果!$D$2:$D$217,D15)</f>
        <v>25</v>
      </c>
      <c r="G15" s="5">
        <f t="shared" si="0"/>
        <v>0.694444444444444</v>
      </c>
      <c r="H15" s="5">
        <f>(COUNTIFS(实验结果!$K$2:$K$217,"&lt;&gt;",实验结果!$L$2:$L$217,"&lt;&gt;",实验结果!$E$2:$E$217,C15,实验结果!$D$2:$D$217,D15,实验结果!$K$2:$K$217,"A")*COUNTIFS(实验结果!$K$2:$K$217,"&lt;&gt;",实验结果!$L$2:$L$217,"&lt;&gt;",实验结果!$E$2:$E$217,C15,实验结果!$D$2:$D$217,D15,实验结果!$L$2:$L$217,"A")+COUNTIFS(实验结果!$K$2:$K$217,"&lt;&gt;",实验结果!$L$2:$L$217,"&lt;&gt;",实验结果!$E$2:$E$217,C15,实验结果!$D$2:$D$217,D15,实验结果!$K$2:$K$217,"B")*COUNTIFS(实验结果!$K$2:$K$217,"&lt;&gt;",实验结果!$L$2:$L$217,"&lt;&gt;",实验结果!$E$2:$E$217,C15,实验结果!$D$2:$D$217,D15,实验结果!$L$2:$L$217,"B")+COUNTIFS(实验结果!$K$2:$K$217,"&lt;&gt;",实验结果!$L$2:$L$217,"&lt;&gt;",实验结果!$E$2:$E$217,C15,实验结果!$D$2:$D$217,D15,实验结果!$K$2:$K$217,"C")*COUNTIFS(实验结果!$K$2:$K$217,"&lt;&gt;",实验结果!$L$2:$L$217,"&lt;&gt;",实验结果!$E$2:$E$217,C15,实验结果!$D$2:$D$217,D15,实验结果!$L$2:$L$217,"C")+COUNTIFS(实验结果!$K$2:$K$217,"&lt;&gt;",实验结果!$L$2:$L$217,"&lt;&gt;",实验结果!$E$2:$E$217,C15,实验结果!$D$2:$D$217,D15,实验结果!$K$2:$K$217,"D(平局)")*COUNTIFS(实验结果!$K$2:$K$217,"&lt;&gt;",实验结果!$L$2:$L$217,"&lt;&gt;",实验结果!$E$2:$E$217,C15,实验结果!$D$2:$D$217,D15,实验结果!$L$2:$L$217,"D(平局)"))/(E15^2)</f>
        <v>0.356481481481481</v>
      </c>
      <c r="I15" s="6">
        <f t="shared" si="1"/>
        <v>0.525179856115108</v>
      </c>
    </row>
    <row r="16" spans="1:9">
      <c r="A16" t="s">
        <v>491</v>
      </c>
      <c r="B16" t="s">
        <v>492</v>
      </c>
      <c r="C16" t="s">
        <v>17</v>
      </c>
      <c r="D16" t="s">
        <v>28</v>
      </c>
      <c r="E16">
        <f>COUNTIFS(实验结果!$K$2:$K$217,"&lt;&gt;",实验结果!$L$2:$L$217,"&lt;&gt;",实验结果!$E$2:$E$217,C16,实验结果!$D$2:$D$217,D16)</f>
        <v>36</v>
      </c>
      <c r="F16">
        <f>SUMIFS(实验结果!$M$2:$M$217,实验结果!$K$2:$K$217,"&lt;&gt;",实验结果!$L$2:$L$217,"&lt;&gt;",实验结果!$E$2:$E$217,C16,实验结果!$D$2:$D$217,D16)</f>
        <v>26</v>
      </c>
      <c r="G16" s="5">
        <f t="shared" si="0"/>
        <v>0.722222222222222</v>
      </c>
      <c r="H16" s="5">
        <f>(COUNTIFS(实验结果!$K$2:$K$217,"&lt;&gt;",实验结果!$L$2:$L$217,"&lt;&gt;",实验结果!$E$2:$E$217,C16,实验结果!$D$2:$D$217,D16,实验结果!$K$2:$K$217,"A")*COUNTIFS(实验结果!$K$2:$K$217,"&lt;&gt;",实验结果!$L$2:$L$217,"&lt;&gt;",实验结果!$E$2:$E$217,C16,实验结果!$D$2:$D$217,D16,实验结果!$L$2:$L$217,"A")+COUNTIFS(实验结果!$K$2:$K$217,"&lt;&gt;",实验结果!$L$2:$L$217,"&lt;&gt;",实验结果!$E$2:$E$217,C16,实验结果!$D$2:$D$217,D16,实验结果!$K$2:$K$217,"B")*COUNTIFS(实验结果!$K$2:$K$217,"&lt;&gt;",实验结果!$L$2:$L$217,"&lt;&gt;",实验结果!$E$2:$E$217,C16,实验结果!$D$2:$D$217,D16,实验结果!$L$2:$L$217,"B")+COUNTIFS(实验结果!$K$2:$K$217,"&lt;&gt;",实验结果!$L$2:$L$217,"&lt;&gt;",实验结果!$E$2:$E$217,C16,实验结果!$D$2:$D$217,D16,实验结果!$K$2:$K$217,"C")*COUNTIFS(实验结果!$K$2:$K$217,"&lt;&gt;",实验结果!$L$2:$L$217,"&lt;&gt;",实验结果!$E$2:$E$217,C16,实验结果!$D$2:$D$217,D16,实验结果!$L$2:$L$217,"C")+COUNTIFS(实验结果!$K$2:$K$217,"&lt;&gt;",实验结果!$L$2:$L$217,"&lt;&gt;",实验结果!$E$2:$E$217,C16,实验结果!$D$2:$D$217,D16,实验结果!$K$2:$K$217,"D(平局)")*COUNTIFS(实验结果!$K$2:$K$217,"&lt;&gt;",实验结果!$L$2:$L$217,"&lt;&gt;",实验结果!$E$2:$E$217,C16,实验结果!$D$2:$D$217,D16,实验结果!$L$2:$L$217,"D(平局)"))/(E16^2)</f>
        <v>0.361111111111111</v>
      </c>
      <c r="I16" s="6">
        <f t="shared" si="1"/>
        <v>0.565217391304348</v>
      </c>
    </row>
    <row r="17" spans="1:9">
      <c r="A17" t="s">
        <v>491</v>
      </c>
      <c r="B17" t="s">
        <v>492</v>
      </c>
      <c r="C17" t="s">
        <v>46</v>
      </c>
      <c r="D17" t="s">
        <v>16</v>
      </c>
      <c r="E17">
        <f>COUNTIFS(实验结果!$K$2:$K$217,"&lt;&gt;",实验结果!$L$2:$L$217,"&lt;&gt;",实验结果!$E$2:$E$217,C17,实验结果!$D$2:$D$217,D17)</f>
        <v>36</v>
      </c>
      <c r="F17">
        <f>SUMIFS(实验结果!$M$2:$M$217,实验结果!$K$2:$K$217,"&lt;&gt;",实验结果!$L$2:$L$217,"&lt;&gt;",实验结果!$E$2:$E$217,C17,实验结果!$D$2:$D$217,D17)</f>
        <v>21</v>
      </c>
      <c r="G17" s="5">
        <f t="shared" si="0"/>
        <v>0.583333333333333</v>
      </c>
      <c r="H17" s="5">
        <f>(COUNTIFS(实验结果!$K$2:$K$217,"&lt;&gt;",实验结果!$L$2:$L$217,"&lt;&gt;",实验结果!$E$2:$E$217,C17,实验结果!$D$2:$D$217,D17,实验结果!$K$2:$K$217,"A")*COUNTIFS(实验结果!$K$2:$K$217,"&lt;&gt;",实验结果!$L$2:$L$217,"&lt;&gt;",实验结果!$E$2:$E$217,C17,实验结果!$D$2:$D$217,D17,实验结果!$L$2:$L$217,"A")+COUNTIFS(实验结果!$K$2:$K$217,"&lt;&gt;",实验结果!$L$2:$L$217,"&lt;&gt;",实验结果!$E$2:$E$217,C17,实验结果!$D$2:$D$217,D17,实验结果!$K$2:$K$217,"B")*COUNTIFS(实验结果!$K$2:$K$217,"&lt;&gt;",实验结果!$L$2:$L$217,"&lt;&gt;",实验结果!$E$2:$E$217,C17,实验结果!$D$2:$D$217,D17,实验结果!$L$2:$L$217,"B")+COUNTIFS(实验结果!$K$2:$K$217,"&lt;&gt;",实验结果!$L$2:$L$217,"&lt;&gt;",实验结果!$E$2:$E$217,C17,实验结果!$D$2:$D$217,D17,实验结果!$K$2:$K$217,"C")*COUNTIFS(实验结果!$K$2:$K$217,"&lt;&gt;",实验结果!$L$2:$L$217,"&lt;&gt;",实验结果!$E$2:$E$217,C17,实验结果!$D$2:$D$217,D17,实验结果!$L$2:$L$217,"C")+COUNTIFS(实验结果!$K$2:$K$217,"&lt;&gt;",实验结果!$L$2:$L$217,"&lt;&gt;",实验结果!$E$2:$E$217,C17,实验结果!$D$2:$D$217,D17,实验结果!$K$2:$K$217,"D(平局)")*COUNTIFS(实验结果!$K$2:$K$217,"&lt;&gt;",实验结果!$L$2:$L$217,"&lt;&gt;",实验结果!$E$2:$E$217,C17,实验结果!$D$2:$D$217,D17,实验结果!$L$2:$L$217,"D(平局)"))/(E17^2)</f>
        <v>0.291666666666667</v>
      </c>
      <c r="I17" s="6">
        <f t="shared" si="1"/>
        <v>0.411764705882353</v>
      </c>
    </row>
    <row r="18" spans="1:9">
      <c r="A18" t="s">
        <v>491</v>
      </c>
      <c r="B18" t="s">
        <v>492</v>
      </c>
      <c r="C18" t="s">
        <v>46</v>
      </c>
      <c r="D18" t="s">
        <v>24</v>
      </c>
      <c r="E18">
        <f>COUNTIFS(实验结果!$K$2:$K$217,"&lt;&gt;",实验结果!$L$2:$L$217,"&lt;&gt;",实验结果!$E$2:$E$217,C18,实验结果!$D$2:$D$217,D18)</f>
        <v>36</v>
      </c>
      <c r="F18">
        <f>SUMIFS(实验结果!$M$2:$M$217,实验结果!$K$2:$K$217,"&lt;&gt;",实验结果!$L$2:$L$217,"&lt;&gt;",实验结果!$E$2:$E$217,C18,实验结果!$D$2:$D$217,D18)</f>
        <v>22</v>
      </c>
      <c r="G18" s="5">
        <f t="shared" si="0"/>
        <v>0.611111111111111</v>
      </c>
      <c r="H18" s="5">
        <f>(COUNTIFS(实验结果!$K$2:$K$217,"&lt;&gt;",实验结果!$L$2:$L$217,"&lt;&gt;",实验结果!$E$2:$E$217,C18,实验结果!$D$2:$D$217,D18,实验结果!$K$2:$K$217,"A")*COUNTIFS(实验结果!$K$2:$K$217,"&lt;&gt;",实验结果!$L$2:$L$217,"&lt;&gt;",实验结果!$E$2:$E$217,C18,实验结果!$D$2:$D$217,D18,实验结果!$L$2:$L$217,"A")+COUNTIFS(实验结果!$K$2:$K$217,"&lt;&gt;",实验结果!$L$2:$L$217,"&lt;&gt;",实验结果!$E$2:$E$217,C18,实验结果!$D$2:$D$217,D18,实验结果!$K$2:$K$217,"B")*COUNTIFS(实验结果!$K$2:$K$217,"&lt;&gt;",实验结果!$L$2:$L$217,"&lt;&gt;",实验结果!$E$2:$E$217,C18,实验结果!$D$2:$D$217,D18,实验结果!$L$2:$L$217,"B")+COUNTIFS(实验结果!$K$2:$K$217,"&lt;&gt;",实验结果!$L$2:$L$217,"&lt;&gt;",实验结果!$E$2:$E$217,C18,实验结果!$D$2:$D$217,D18,实验结果!$K$2:$K$217,"C")*COUNTIFS(实验结果!$K$2:$K$217,"&lt;&gt;",实验结果!$L$2:$L$217,"&lt;&gt;",实验结果!$E$2:$E$217,C18,实验结果!$D$2:$D$217,D18,实验结果!$L$2:$L$217,"C")+COUNTIFS(实验结果!$K$2:$K$217,"&lt;&gt;",实验结果!$L$2:$L$217,"&lt;&gt;",实验结果!$E$2:$E$217,C18,实验结果!$D$2:$D$217,D18,实验结果!$K$2:$K$217,"D(平局)")*COUNTIFS(实验结果!$K$2:$K$217,"&lt;&gt;",实验结果!$L$2:$L$217,"&lt;&gt;",实验结果!$E$2:$E$217,C18,实验结果!$D$2:$D$217,D18,实验结果!$L$2:$L$217,"D(平局)"))/(E18^2)</f>
        <v>0.302469135802469</v>
      </c>
      <c r="I18" s="6">
        <f t="shared" si="1"/>
        <v>0.442477876106195</v>
      </c>
    </row>
    <row r="19" spans="1:9">
      <c r="A19" t="s">
        <v>491</v>
      </c>
      <c r="B19" t="s">
        <v>492</v>
      </c>
      <c r="C19" t="s">
        <v>46</v>
      </c>
      <c r="D19" t="s">
        <v>28</v>
      </c>
      <c r="E19">
        <f>COUNTIFS(实验结果!$K$2:$K$217,"&lt;&gt;",实验结果!$L$2:$L$217,"&lt;&gt;",实验结果!$E$2:$E$217,C19,实验结果!$D$2:$D$217,D19)</f>
        <v>36</v>
      </c>
      <c r="F19">
        <f>SUMIFS(实验结果!$M$2:$M$217,实验结果!$K$2:$K$217,"&lt;&gt;",实验结果!$L$2:$L$217,"&lt;&gt;",实验结果!$E$2:$E$217,C19,实验结果!$D$2:$D$217,D19)</f>
        <v>23</v>
      </c>
      <c r="G19" s="5">
        <f t="shared" si="0"/>
        <v>0.638888888888889</v>
      </c>
      <c r="H19" s="5">
        <f>(COUNTIFS(实验结果!$K$2:$K$217,"&lt;&gt;",实验结果!$L$2:$L$217,"&lt;&gt;",实验结果!$E$2:$E$217,C19,实验结果!$D$2:$D$217,D19,实验结果!$K$2:$K$217,"A")*COUNTIFS(实验结果!$K$2:$K$217,"&lt;&gt;",实验结果!$L$2:$L$217,"&lt;&gt;",实验结果!$E$2:$E$217,C19,实验结果!$D$2:$D$217,D19,实验结果!$L$2:$L$217,"A")+COUNTIFS(实验结果!$K$2:$K$217,"&lt;&gt;",实验结果!$L$2:$L$217,"&lt;&gt;",实验结果!$E$2:$E$217,C19,实验结果!$D$2:$D$217,D19,实验结果!$K$2:$K$217,"B")*COUNTIFS(实验结果!$K$2:$K$217,"&lt;&gt;",实验结果!$L$2:$L$217,"&lt;&gt;",实验结果!$E$2:$E$217,C19,实验结果!$D$2:$D$217,D19,实验结果!$L$2:$L$217,"B")+COUNTIFS(实验结果!$K$2:$K$217,"&lt;&gt;",实验结果!$L$2:$L$217,"&lt;&gt;",实验结果!$E$2:$E$217,C19,实验结果!$D$2:$D$217,D19,实验结果!$K$2:$K$217,"C")*COUNTIFS(实验结果!$K$2:$K$217,"&lt;&gt;",实验结果!$L$2:$L$217,"&lt;&gt;",实验结果!$E$2:$E$217,C19,实验结果!$D$2:$D$217,D19,实验结果!$L$2:$L$217,"C")+COUNTIFS(实验结果!$K$2:$K$217,"&lt;&gt;",实验结果!$L$2:$L$217,"&lt;&gt;",实验结果!$E$2:$E$217,C19,实验结果!$D$2:$D$217,D19,实验结果!$K$2:$K$217,"D(平局)")*COUNTIFS(实验结果!$K$2:$K$217,"&lt;&gt;",实验结果!$L$2:$L$217,"&lt;&gt;",实验结果!$E$2:$E$217,C19,实验结果!$D$2:$D$217,D19,实验结果!$L$2:$L$217,"D(平局)"))/(E19^2)</f>
        <v>0.321759259259259</v>
      </c>
      <c r="I19" s="6">
        <f t="shared" si="1"/>
        <v>0.467576791808874</v>
      </c>
    </row>
    <row r="20" spans="1:9">
      <c r="A20" t="s">
        <v>491</v>
      </c>
      <c r="B20" t="s">
        <v>492</v>
      </c>
      <c r="C20" t="s">
        <v>501</v>
      </c>
      <c r="D20" t="s">
        <v>16</v>
      </c>
      <c r="E20">
        <f>COUNTIFS(实验结果!$K$2:$K$217,"&lt;&gt;",实验结果!$L$2:$L$217,"&lt;&gt;",实验结果!$D$2:$D$217,D20)</f>
        <v>72</v>
      </c>
      <c r="F20">
        <f>SUMIFS(实验结果!$M$2:$M$217,实验结果!$K$2:$K$217,"&lt;&gt;",实验结果!$L$2:$L$217,"&lt;&gt;",实验结果!$D$2:$D$217,D20)</f>
        <v>46</v>
      </c>
      <c r="G20" s="5">
        <f t="shared" si="0"/>
        <v>0.638888888888889</v>
      </c>
      <c r="H20" s="5">
        <f>(COUNTIFS(实验结果!$K$2:$K$217,"&lt;&gt;",实验结果!$L$2:$L$217,"&lt;&gt;",实验结果!$D$2:$D$217,D20,实验结果!$K$2:$K$217,"A")*COUNTIFS(实验结果!$K$2:$K$217,"&lt;&gt;",实验结果!$L$2:$L$217,"&lt;&gt;",实验结果!$D$2:$D$217,D20,实验结果!$L$2:$L$217,"A")+COUNTIFS(实验结果!$K$2:$K$217,"&lt;&gt;",实验结果!$L$2:$L$217,"&lt;&gt;",实验结果!$D$2:$D$217,D20,实验结果!$K$2:$K$217,"B")*COUNTIFS(实验结果!$K$2:$K$217,"&lt;&gt;",实验结果!$L$2:$L$217,"&lt;&gt;",实验结果!$D$2:$D$217,D20,实验结果!$L$2:$L$217,"B")+COUNTIFS(实验结果!$K$2:$K$217,"&lt;&gt;",实验结果!$L$2:$L$217,"&lt;&gt;",实验结果!$D$2:$D$217,D20,实验结果!$K$2:$K$217,"C")*COUNTIFS(实验结果!$K$2:$K$217,"&lt;&gt;",实验结果!$L$2:$L$217,"&lt;&gt;",实验结果!$D$2:$D$217,D20,实验结果!$L$2:$L$217,"C")+COUNTIFS(实验结果!$K$2:$K$217,"&lt;&gt;",实验结果!$L$2:$L$217,"&lt;&gt;",实验结果!$D$2:$D$217,D20,实验结果!$K$2:$K$217,"D(平局)")*COUNTIFS(实验结果!$K$2:$K$217,"&lt;&gt;",实验结果!$L$2:$L$217,"&lt;&gt;",实验结果!$D$2:$D$217,D20,实验结果!$L$2:$L$217,"D(平局)"))/(E20^2)</f>
        <v>0.301311728395062</v>
      </c>
      <c r="I20" s="6">
        <f t="shared" si="1"/>
        <v>0.483158475980121</v>
      </c>
    </row>
    <row r="21" spans="1:9">
      <c r="A21" t="s">
        <v>491</v>
      </c>
      <c r="B21" t="s">
        <v>492</v>
      </c>
      <c r="C21" t="s">
        <v>501</v>
      </c>
      <c r="D21" t="s">
        <v>24</v>
      </c>
      <c r="E21">
        <f>COUNTIFS(实验结果!$K$2:$K$217,"&lt;&gt;",实验结果!$L$2:$L$217,"&lt;&gt;",实验结果!$D$2:$D$217,D21)</f>
        <v>72</v>
      </c>
      <c r="F21">
        <f>SUMIFS(实验结果!$M$2:$M$217,实验结果!$K$2:$K$217,"&lt;&gt;",实验结果!$L$2:$L$217,"&lt;&gt;",实验结果!$D$2:$D$217,D21)</f>
        <v>47</v>
      </c>
      <c r="G21" s="5">
        <f t="shared" si="0"/>
        <v>0.652777777777778</v>
      </c>
      <c r="H21" s="5">
        <f>(COUNTIFS(实验结果!$K$2:$K$217,"&lt;&gt;",实验结果!$L$2:$L$217,"&lt;&gt;",实验结果!$D$2:$D$217,D21,实验结果!$K$2:$K$217,"A")*COUNTIFS(实验结果!$K$2:$K$217,"&lt;&gt;",实验结果!$L$2:$L$217,"&lt;&gt;",实验结果!$D$2:$D$217,D21,实验结果!$L$2:$L$217,"A")+COUNTIFS(实验结果!$K$2:$K$217,"&lt;&gt;",实验结果!$L$2:$L$217,"&lt;&gt;",实验结果!$D$2:$D$217,D21,实验结果!$K$2:$K$217,"B")*COUNTIFS(实验结果!$K$2:$K$217,"&lt;&gt;",实验结果!$L$2:$L$217,"&lt;&gt;",实验结果!$D$2:$D$217,D21,实验结果!$L$2:$L$217,"B")+COUNTIFS(实验结果!$K$2:$K$217,"&lt;&gt;",实验结果!$L$2:$L$217,"&lt;&gt;",实验结果!$D$2:$D$217,D21,实验结果!$K$2:$K$217,"C")*COUNTIFS(实验结果!$K$2:$K$217,"&lt;&gt;",实验结果!$L$2:$L$217,"&lt;&gt;",实验结果!$D$2:$D$217,D21,实验结果!$L$2:$L$217,"C")+COUNTIFS(实验结果!$K$2:$K$217,"&lt;&gt;",实验结果!$L$2:$L$217,"&lt;&gt;",实验结果!$D$2:$D$217,D21,实验结果!$K$2:$K$217,"D(平局)")*COUNTIFS(实验结果!$K$2:$K$217,"&lt;&gt;",实验结果!$L$2:$L$217,"&lt;&gt;",实验结果!$D$2:$D$217,D21,实验结果!$L$2:$L$217,"D(平局)"))/(E21^2)</f>
        <v>0.329475308641975</v>
      </c>
      <c r="I21" s="6">
        <f t="shared" si="1"/>
        <v>0.482163406214039</v>
      </c>
    </row>
    <row r="22" spans="1:9">
      <c r="A22" t="s">
        <v>491</v>
      </c>
      <c r="B22" t="s">
        <v>492</v>
      </c>
      <c r="C22" t="s">
        <v>501</v>
      </c>
      <c r="D22" t="s">
        <v>28</v>
      </c>
      <c r="E22">
        <f>COUNTIFS(实验结果!$K$2:$K$217,"&lt;&gt;",实验结果!$L$2:$L$217,"&lt;&gt;",实验结果!$D$2:$D$217,D22)</f>
        <v>72</v>
      </c>
      <c r="F22">
        <f>SUMIFS(实验结果!$M$2:$M$217,实验结果!$K$2:$K$217,"&lt;&gt;",实验结果!$L$2:$L$217,"&lt;&gt;",实验结果!$D$2:$D$217,D22)</f>
        <v>49</v>
      </c>
      <c r="G22" s="5">
        <f t="shared" si="0"/>
        <v>0.680555555555556</v>
      </c>
      <c r="H22" s="5">
        <f>(COUNTIFS(实验结果!$K$2:$K$217,"&lt;&gt;",实验结果!$L$2:$L$217,"&lt;&gt;",实验结果!$D$2:$D$217,D22,实验结果!$K$2:$K$217,"A")*COUNTIFS(实验结果!$K$2:$K$217,"&lt;&gt;",实验结果!$L$2:$L$217,"&lt;&gt;",实验结果!$D$2:$D$217,D22,实验结果!$L$2:$L$217,"A")+COUNTIFS(实验结果!$K$2:$K$217,"&lt;&gt;",实验结果!$L$2:$L$217,"&lt;&gt;",实验结果!$D$2:$D$217,D22,实验结果!$K$2:$K$217,"B")*COUNTIFS(实验结果!$K$2:$K$217,"&lt;&gt;",实验结果!$L$2:$L$217,"&lt;&gt;",实验结果!$D$2:$D$217,D22,实验结果!$L$2:$L$217,"B")+COUNTIFS(实验结果!$K$2:$K$217,"&lt;&gt;",实验结果!$L$2:$L$217,"&lt;&gt;",实验结果!$D$2:$D$217,D22,实验结果!$K$2:$K$217,"C")*COUNTIFS(实验结果!$K$2:$K$217,"&lt;&gt;",实验结果!$L$2:$L$217,"&lt;&gt;",实验结果!$D$2:$D$217,D22,实验结果!$L$2:$L$217,"C")+COUNTIFS(实验结果!$K$2:$K$217,"&lt;&gt;",实验结果!$L$2:$L$217,"&lt;&gt;",实验结果!$D$2:$D$217,D22,实验结果!$K$2:$K$217,"D(平局)")*COUNTIFS(实验结果!$K$2:$K$217,"&lt;&gt;",实验结果!$L$2:$L$217,"&lt;&gt;",实验结果!$D$2:$D$217,D22,实验结果!$L$2:$L$217,"D(平局)"))/(E22^2)</f>
        <v>0.341435185185185</v>
      </c>
      <c r="I22" s="6">
        <f t="shared" si="1"/>
        <v>0.51493848857645</v>
      </c>
    </row>
    <row r="25" spans="1:9">
      <c r="A25" s="3" t="s">
        <v>505</v>
      </c>
      <c r="B25" s="3"/>
      <c r="C25" s="3"/>
      <c r="D25" s="3"/>
      <c r="E25" s="3"/>
      <c r="F25" s="3"/>
      <c r="G25" s="3"/>
      <c r="H25" s="3"/>
      <c r="I25" s="3"/>
    </row>
    <row r="26" ht="36" customHeight="1" spans="1:9">
      <c r="A26" s="4" t="s">
        <v>483</v>
      </c>
      <c r="B26" s="4" t="s">
        <v>484</v>
      </c>
      <c r="C26" s="4" t="s">
        <v>485</v>
      </c>
      <c r="D26" s="4" t="s">
        <v>506</v>
      </c>
      <c r="E26" s="4" t="s">
        <v>496</v>
      </c>
      <c r="F26" s="4" t="s">
        <v>497</v>
      </c>
      <c r="G26" s="4" t="s">
        <v>507</v>
      </c>
      <c r="H26" s="4" t="s">
        <v>508</v>
      </c>
      <c r="I26" s="4" t="s">
        <v>500</v>
      </c>
    </row>
    <row r="27" spans="1:9">
      <c r="A27" t="s">
        <v>491</v>
      </c>
      <c r="B27" t="s">
        <v>492</v>
      </c>
      <c r="C27" t="s">
        <v>17</v>
      </c>
      <c r="D27">
        <f>COUNTIFS(三指标最终结果明细!$A$2:$A$73,A27,三指标最终结果明细!$B$2:$B$73,B27,三指标最终结果明细!$C$2:$C$73,C27)</f>
        <v>36</v>
      </c>
      <c r="E27">
        <f>SUMIFS(三指标最终结果明细!$K$2:$K$73,三指标最终结果明细!$A$2:$A$73,A27,三指标最终结果明细!$B$2:$B$73,B27,三指标最终结果明细!$C$2:$C$73,C27)</f>
        <v>36</v>
      </c>
      <c r="F27">
        <f>SUMIFS(三指标最终结果明细!$L$2:$L$73,三指标最终结果明细!$A$2:$A$73,A27,三指标最终结果明细!$B$2:$B$73,B27,三指标最终结果明细!$C$2:$C$73,C27)</f>
        <v>26</v>
      </c>
      <c r="G27" s="5">
        <f>F27/E27</f>
        <v>0.722222222222222</v>
      </c>
      <c r="H27" s="5">
        <f>F27/D27</f>
        <v>0.722222222222222</v>
      </c>
      <c r="I27" s="6">
        <f>(G27-(COUNTIFS(三指标最终结果明细!$A$2:$A$73,A27,三指标最终结果明细!$B$2:$B$73,B27,三指标最终结果明细!$C$2:$C$73,C27,三指标最终结果明细!$I$2:$I$73,"&lt;&gt;无多数",三指标最终结果明细!$I$2:$I$73,"A")*COUNTIFS(三指标最终结果明细!$A$2:$A$73,A27,三指标最终结果明细!$B$2:$B$73,B27,三指标最终结果明细!$C$2:$C$73,C27,三指标最终结果明细!$I$2:$I$73,"&lt;&gt;无多数",三指标最终结果明细!$J$2:$J$73,"A")+COUNTIFS(三指标最终结果明细!$A$2:$A$73,A27,三指标最终结果明细!$B$2:$B$73,B27,三指标最终结果明细!$C$2:$C$73,C27,三指标最终结果明细!$I$2:$I$73,"&lt;&gt;无多数",三指标最终结果明细!$I$2:$I$73,"B")*COUNTIFS(三指标最终结果明细!$A$2:$A$73,A27,三指标最终结果明细!$B$2:$B$73,B27,三指标最终结果明细!$C$2:$C$73,C27,三指标最终结果明细!$I$2:$I$73,"&lt;&gt;无多数",三指标最终结果明细!$J$2:$J$73,"B")+COUNTIFS(三指标最终结果明细!$A$2:$A$73,A27,三指标最终结果明细!$B$2:$B$73,B27,三指标最终结果明细!$C$2:$C$73,C27,三指标最终结果明细!$I$2:$I$73,"&lt;&gt;无多数",三指标最终结果明细!$I$2:$I$73,"C")*COUNTIFS(三指标最终结果明细!$A$2:$A$73,A27,三指标最终结果明细!$B$2:$B$73,B27,三指标最终结果明细!$C$2:$C$73,C27,三指标最终结果明细!$I$2:$I$73,"&lt;&gt;无多数",三指标最终结果明细!$J$2:$J$73,"C")+COUNTIFS(三指标最终结果明细!$A$2:$A$73,A27,三指标最终结果明细!$B$2:$B$73,B27,三指标最终结果明细!$C$2:$C$73,C27,三指标最终结果明细!$I$2:$I$73,"&lt;&gt;无多数",三指标最终结果明细!$I$2:$I$73,"D(平局)")*COUNTIFS(三指标最终结果明细!$A$2:$A$73,A27,三指标最终结果明细!$B$2:$B$73,B27,三指标最终结果明细!$C$2:$C$73,C27,三指标最终结果明细!$I$2:$I$73,"&lt;&gt;无多数",三指标最终结果明细!$J$2:$J$73,"D(平局)"))/(E27^2))/(1-(COUNTIFS(三指标最终结果明细!$A$2:$A$73,A27,三指标最终结果明细!$B$2:$B$73,B27,三指标最终结果明细!$C$2:$C$73,C27,三指标最终结果明细!$I$2:$I$73,"&lt;&gt;无多数",三指标最终结果明细!$I$2:$I$73,"A")*COUNTIFS(三指标最终结果明细!$A$2:$A$73,A27,三指标最终结果明细!$B$2:$B$73,B27,三指标最终结果明细!$C$2:$C$73,C27,三指标最终结果明细!$I$2:$I$73,"&lt;&gt;无多数",三指标最终结果明细!$J$2:$J$73,"A")+COUNTIFS(三指标最终结果明细!$A$2:$A$73,A27,三指标最终结果明细!$B$2:$B$73,B27,三指标最终结果明细!$C$2:$C$73,C27,三指标最终结果明细!$I$2:$I$73,"&lt;&gt;无多数",三指标最终结果明细!$I$2:$I$73,"B")*COUNTIFS(三指标最终结果明细!$A$2:$A$73,A27,三指标最终结果明细!$B$2:$B$73,B27,三指标最终结果明细!$C$2:$C$73,C27,三指标最终结果明细!$I$2:$I$73,"&lt;&gt;无多数",三指标最终结果明细!$J$2:$J$73,"B")+COUNTIFS(三指标最终结果明细!$A$2:$A$73,A27,三指标最终结果明细!$B$2:$B$73,B27,三指标最终结果明细!$C$2:$C$73,C27,三指标最终结果明细!$I$2:$I$73,"&lt;&gt;无多数",三指标最终结果明细!$I$2:$I$73,"C")*COUNTIFS(三指标最终结果明细!$A$2:$A$73,A27,三指标最终结果明细!$B$2:$B$73,B27,三指标最终结果明细!$C$2:$C$73,C27,三指标最终结果明细!$I$2:$I$73,"&lt;&gt;无多数",三指标最终结果明细!$J$2:$J$73,"C")+COUNTIFS(三指标最终结果明细!$A$2:$A$73,A27,三指标最终结果明细!$B$2:$B$73,B27,三指标最终结果明细!$C$2:$C$73,C27,三指标最终结果明细!$I$2:$I$73,"&lt;&gt;无多数",三指标最终结果明细!$I$2:$I$73,"D(平局)")*COUNTIFS(三指标最终结果明细!$A$2:$A$73,A27,三指标最终结果明细!$B$2:$B$73,B27,三指标最终结果明细!$C$2:$C$73,C27,三指标最终结果明细!$I$2:$I$73,"&lt;&gt;无多数",三指标最终结果明细!$J$2:$J$73,"D(平局)"))/(E27^2))</f>
        <v>0.571938168846611</v>
      </c>
    </row>
    <row r="28" spans="1:9">
      <c r="A28" t="s">
        <v>491</v>
      </c>
      <c r="B28" t="s">
        <v>492</v>
      </c>
      <c r="C28" t="s">
        <v>46</v>
      </c>
      <c r="D28">
        <f>COUNTIFS(三指标最终结果明细!$A$2:$A$73,A28,三指标最终结果明细!$B$2:$B$73,B28,三指标最终结果明细!$C$2:$C$73,C28)</f>
        <v>36</v>
      </c>
      <c r="E28">
        <f>SUMIFS(三指标最终结果明细!$K$2:$K$73,三指标最终结果明细!$A$2:$A$73,A28,三指标最终结果明细!$B$2:$B$73,B28,三指标最终结果明细!$C$2:$C$73,C28)</f>
        <v>36</v>
      </c>
      <c r="F28">
        <f>SUMIFS(三指标最终结果明细!$L$2:$L$73,三指标最终结果明细!$A$2:$A$73,A28,三指标最终结果明细!$B$2:$B$73,B28,三指标最终结果明细!$C$2:$C$73,C28)</f>
        <v>20</v>
      </c>
      <c r="G28" s="5">
        <f>F28/E28</f>
        <v>0.555555555555556</v>
      </c>
      <c r="H28" s="5">
        <f>F28/D28</f>
        <v>0.555555555555556</v>
      </c>
      <c r="I28" s="6">
        <f>(G28-(COUNTIFS(三指标最终结果明细!$A$2:$A$73,A28,三指标最终结果明细!$B$2:$B$73,B28,三指标最终结果明细!$C$2:$C$73,C28,三指标最终结果明细!$I$2:$I$73,"&lt;&gt;无多数",三指标最终结果明细!$I$2:$I$73,"A")*COUNTIFS(三指标最终结果明细!$A$2:$A$73,A28,三指标最终结果明细!$B$2:$B$73,B28,三指标最终结果明细!$C$2:$C$73,C28,三指标最终结果明细!$I$2:$I$73,"&lt;&gt;无多数",三指标最终结果明细!$J$2:$J$73,"A")+COUNTIFS(三指标最终结果明细!$A$2:$A$73,A28,三指标最终结果明细!$B$2:$B$73,B28,三指标最终结果明细!$C$2:$C$73,C28,三指标最终结果明细!$I$2:$I$73,"&lt;&gt;无多数",三指标最终结果明细!$I$2:$I$73,"B")*COUNTIFS(三指标最终结果明细!$A$2:$A$73,A28,三指标最终结果明细!$B$2:$B$73,B28,三指标最终结果明细!$C$2:$C$73,C28,三指标最终结果明细!$I$2:$I$73,"&lt;&gt;无多数",三指标最终结果明细!$J$2:$J$73,"B")+COUNTIFS(三指标最终结果明细!$A$2:$A$73,A28,三指标最终结果明细!$B$2:$B$73,B28,三指标最终结果明细!$C$2:$C$73,C28,三指标最终结果明细!$I$2:$I$73,"&lt;&gt;无多数",三指标最终结果明细!$I$2:$I$73,"C")*COUNTIFS(三指标最终结果明细!$A$2:$A$73,A28,三指标最终结果明细!$B$2:$B$73,B28,三指标最终结果明细!$C$2:$C$73,C28,三指标最终结果明细!$I$2:$I$73,"&lt;&gt;无多数",三指标最终结果明细!$J$2:$J$73,"C")+COUNTIFS(三指标最终结果明细!$A$2:$A$73,A28,三指标最终结果明细!$B$2:$B$73,B28,三指标最终结果明细!$C$2:$C$73,C28,三指标最终结果明细!$I$2:$I$73,"&lt;&gt;无多数",三指标最终结果明细!$I$2:$I$73,"D(平局)")*COUNTIFS(三指标最终结果明细!$A$2:$A$73,A28,三指标最终结果明细!$B$2:$B$73,B28,三指标最终结果明细!$C$2:$C$73,C28,三指标最终结果明细!$I$2:$I$73,"&lt;&gt;无多数",三指标最终结果明细!$J$2:$J$73,"D(平局)"))/(E28^2))/(1-(COUNTIFS(三指标最终结果明细!$A$2:$A$73,A28,三指标最终结果明细!$B$2:$B$73,B28,三指标最终结果明细!$C$2:$C$73,C28,三指标最终结果明细!$I$2:$I$73,"&lt;&gt;无多数",三指标最终结果明细!$I$2:$I$73,"A")*COUNTIFS(三指标最终结果明细!$A$2:$A$73,A28,三指标最终结果明细!$B$2:$B$73,B28,三指标最终结果明细!$C$2:$C$73,C28,三指标最终结果明细!$I$2:$I$73,"&lt;&gt;无多数",三指标最终结果明细!$J$2:$J$73,"A")+COUNTIFS(三指标最终结果明细!$A$2:$A$73,A28,三指标最终结果明细!$B$2:$B$73,B28,三指标最终结果明细!$C$2:$C$73,C28,三指标最终结果明细!$I$2:$I$73,"&lt;&gt;无多数",三指标最终结果明细!$I$2:$I$73,"B")*COUNTIFS(三指标最终结果明细!$A$2:$A$73,A28,三指标最终结果明细!$B$2:$B$73,B28,三指标最终结果明细!$C$2:$C$73,C28,三指标最终结果明细!$I$2:$I$73,"&lt;&gt;无多数",三指标最终结果明细!$J$2:$J$73,"B")+COUNTIFS(三指标最终结果明细!$A$2:$A$73,A28,三指标最终结果明细!$B$2:$B$73,B28,三指标最终结果明细!$C$2:$C$73,C28,三指标最终结果明细!$I$2:$I$73,"&lt;&gt;无多数",三指标最终结果明细!$I$2:$I$73,"C")*COUNTIFS(三指标最终结果明细!$A$2:$A$73,A28,三指标最终结果明细!$B$2:$B$73,B28,三指标最终结果明细!$C$2:$C$73,C28,三指标最终结果明细!$I$2:$I$73,"&lt;&gt;无多数",三指标最终结果明细!$J$2:$J$73,"C")+COUNTIFS(三指标最终结果明细!$A$2:$A$73,A28,三指标最终结果明细!$B$2:$B$73,B28,三指标最终结果明细!$C$2:$C$73,C28,三指标最终结果明细!$I$2:$I$73,"&lt;&gt;无多数",三指标最终结果明细!$I$2:$I$73,"D(平局)")*COUNTIFS(三指标最终结果明细!$A$2:$A$73,A28,三指标最终结果明细!$B$2:$B$73,B28,三指标最终结果明细!$C$2:$C$73,C28,三指标最终结果明细!$I$2:$I$73,"&lt;&gt;无多数",三指标最终结果明细!$J$2:$J$73,"D(平局)"))/(E28^2))</f>
        <v>0.377297297297297</v>
      </c>
    </row>
    <row r="29" spans="1:9">
      <c r="A29" t="s">
        <v>491</v>
      </c>
      <c r="B29" t="s">
        <v>492</v>
      </c>
      <c r="C29" t="s">
        <v>501</v>
      </c>
      <c r="D29">
        <f>COUNTIFS(三指标最终结果明细!$A$2:$A$73,A29,三指标最终结果明细!$B$2:$B$73,B29)</f>
        <v>72</v>
      </c>
      <c r="E29">
        <f>SUMIFS(三指标最终结果明细!$K$2:$K$73,三指标最终结果明细!$A$2:$A$73,A29,三指标最终结果明细!$B$2:$B$73,B29)</f>
        <v>72</v>
      </c>
      <c r="F29">
        <f>SUMIFS(三指标最终结果明细!$L$2:$L$73,三指标最终结果明细!$A$2:$A$73,A29,三指标最终结果明细!$B$2:$B$73,B29)</f>
        <v>46</v>
      </c>
      <c r="G29" s="5">
        <f>F29/E29</f>
        <v>0.638888888888889</v>
      </c>
      <c r="H29" s="5">
        <f>F29/D29</f>
        <v>0.638888888888889</v>
      </c>
      <c r="I29" s="6">
        <f>(G29-(COUNTIFS(三指标最终结果明细!$A$2:$A$73,A29,三指标最终结果明细!$B$2:$B$73,B29,三指标最终结果明细!$I$2:$I$73,"&lt;&gt;无多数",三指标最终结果明细!$I$2:$I$73,"A")*COUNTIFS(三指标最终结果明细!$A$2:$A$73,A29,三指标最终结果明细!$B$2:$B$73,B29,三指标最终结果明细!$I$2:$I$73,"&lt;&gt;无多数",三指标最终结果明细!$J$2:$J$73,"A")+COUNTIFS(三指标最终结果明细!$A$2:$A$73,A29,三指标最终结果明细!$B$2:$B$73,B29,三指标最终结果明细!$I$2:$I$73,"&lt;&gt;无多数",三指标最终结果明细!$I$2:$I$73,"B")*COUNTIFS(三指标最终结果明细!$A$2:$A$73,A29,三指标最终结果明细!$B$2:$B$73,B29,三指标最终结果明细!$I$2:$I$73,"&lt;&gt;无多数",三指标最终结果明细!$J$2:$J$73,"B")+COUNTIFS(三指标最终结果明细!$A$2:$A$73,A29,三指标最终结果明细!$B$2:$B$73,B29,三指标最终结果明细!$I$2:$I$73,"&lt;&gt;无多数",三指标最终结果明细!$I$2:$I$73,"C")*COUNTIFS(三指标最终结果明细!$A$2:$A$73,A29,三指标最终结果明细!$B$2:$B$73,B29,三指标最终结果明细!$I$2:$I$73,"&lt;&gt;无多数",三指标最终结果明细!$J$2:$J$73,"C")+COUNTIFS(三指标最终结果明细!$A$2:$A$73,A29,三指标最终结果明细!$B$2:$B$73,B29,三指标最终结果明细!$I$2:$I$73,"&lt;&gt;无多数",三指标最终结果明细!$I$2:$I$73,"D(平局)")*COUNTIFS(三指标最终结果明细!$A$2:$A$73,A29,三指标最终结果明细!$B$2:$B$73,B29,三指标最终结果明细!$I$2:$I$73,"&lt;&gt;无多数",三指标最终结果明细!$J$2:$J$73,"D(平局)"))/(E29^2))/(1-(COUNTIFS(三指标最终结果明细!$A$2:$A$73,A29,三指标最终结果明细!$B$2:$B$73,B29,三指标最终结果明细!$I$2:$I$73,"&lt;&gt;无多数",三指标最终结果明细!$I$2:$I$73,"A")*COUNTIFS(三指标最终结果明细!$A$2:$A$73,A29,三指标最终结果明细!$B$2:$B$73,B29,三指标最终结果明细!$I$2:$I$73,"&lt;&gt;无多数",三指标最终结果明细!$J$2:$J$73,"A")+COUNTIFS(三指标最终结果明细!$A$2:$A$73,A29,三指标最终结果明细!$B$2:$B$73,B29,三指标最终结果明细!$I$2:$I$73,"&lt;&gt;无多数",三指标最终结果明细!$I$2:$I$73,"B")*COUNTIFS(三指标最终结果明细!$A$2:$A$73,A29,三指标最终结果明细!$B$2:$B$73,B29,三指标最终结果明细!$I$2:$I$73,"&lt;&gt;无多数",三指标最终结果明细!$J$2:$J$73,"B")+COUNTIFS(三指标最终结果明细!$A$2:$A$73,A29,三指标最终结果明细!$B$2:$B$73,B29,三指标最终结果明细!$I$2:$I$73,"&lt;&gt;无多数",三指标最终结果明细!$I$2:$I$73,"C")*COUNTIFS(三指标最终结果明细!$A$2:$A$73,A29,三指标最终结果明细!$B$2:$B$73,B29,三指标最终结果明细!$I$2:$I$73,"&lt;&gt;无多数",三指标最终结果明细!$J$2:$J$73,"C")+COUNTIFS(三指标最终结果明细!$A$2:$A$73,A29,三指标最终结果明细!$B$2:$B$73,B29,三指标最终结果明细!$I$2:$I$73,"&lt;&gt;无多数",三指标最终结果明细!$I$2:$I$73,"D(平局)")*COUNTIFS(三指标最终结果明细!$A$2:$A$73,A29,三指标最终结果明细!$B$2:$B$73,B29,三指标最终结果明细!$I$2:$I$73,"&lt;&gt;无多数",三指标最终结果明细!$J$2:$J$73,"D(平局)"))/(E29^2))</f>
        <v>0.469988674971687</v>
      </c>
    </row>
    <row r="31" ht="34" customHeight="1" spans="1:9">
      <c r="A31" s="7" t="s">
        <v>509</v>
      </c>
      <c r="B31" s="7"/>
      <c r="C31" s="7"/>
      <c r="D31" s="7"/>
      <c r="E31" s="7"/>
      <c r="F31" s="7"/>
      <c r="G31" s="7"/>
      <c r="H31" s="7"/>
      <c r="I31" s="7"/>
    </row>
  </sheetData>
  <mergeCells count="6">
    <mergeCell ref="A1:I1"/>
    <mergeCell ref="A3:I3"/>
    <mergeCell ref="A5:I5"/>
    <mergeCell ref="A12:I12"/>
    <mergeCell ref="A25:I25"/>
    <mergeCell ref="A31:I3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实验结果</vt:lpstr>
      <vt:lpstr>三指标最终结果明细</vt:lpstr>
      <vt:lpstr>一致性汇总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Chen_ru</cp:lastModifiedBy>
  <dcterms:created xsi:type="dcterms:W3CDTF">2026-08-10T09:27:00Z</dcterms:created>
  <dcterms:modified xsi:type="dcterms:W3CDTF">2026-08-16T19:41:21Z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EBF58CE8FAE695DA0233796AA5228ECB_42</vt:lpwstr>
  </property>
  <property fmtid="{D5CDD505-2E9C-101B-9397-08002B2CF9AE}" pid="3" name="KSOProductBuildVer">
    <vt:lpwstr>2052-12.1.0.20305</vt:lpwstr>
  </property>
  <property fmtid="{D5CDD505-2E9C-101B-9397-08002B2CF9AE}" pid="4" name="CalculationRule">
    <vt:i4>0</vt:i4>
  </property>
</Properties>
</file>