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<sst xmlns="http://schemas.openxmlformats.org/spreadsheetml/2006/main" count="3135" uniqueCount="509">
  <si>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</si>
  <si>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</si>
  <si>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</si>
  <si>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</si>
  <si>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</si>
  <si>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</si>
  <si>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</si>
  <si>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</si>
  <si>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</si>
  <si>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</si>
  <si>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</si>
  <si>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</si>
  <si>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</si>
  <si>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</si>
  <si>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</si>
  <si>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</si>
  <si>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</si>
  <si>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</si>
  <si>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</si>
  <si>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</si>
  <si>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GLM5.2</t>
  </si>
  <si>
    <t>```result
Scores:
1. Requirement Alignment &amp; Completeness: Model 1 = 5, Model 2 = 3; Evidence: Model 1 captures all requirements, explicitly modeling detailed classes like `StressTestRun` and `ProcessingStep` which are implied by the requirements. Model 1 also ensures both `DesignConstraint` and `RegulatoryStandard` have `effectiveDate` as required. Model 2 misses `effectiveDate` in `DesignConstraint`, and represents behaviors as methods (e.g., `generateProfile()`, `manageRun()`) rather than encapsulating the domain state and structure into distinct conceptual classes and attributes.
2. Associations, Cardinalities, and Relationship Types: Model 1 = 5, Model 2 = 2; Evidence: Model 1 correctly uses associations, compositions, and accurate multiplicities to reflect relationships (e.g., `AlloyBatch "1" *-- "1..*" MaterialSpecimen`, `ExperimentalDataset *-- MicrostructureAnalysis`). Model 2 relies heavily on dependency arrows (`..&gt;`) instead of proper associations or aggregations for core domain relationships (e.g., `StressTestRunner ..&gt; MaterialSpecimen`, `OptimizationResult ..&gt; PerformanceMetric`). Furthermore, Model 2 attaches `ThermalCycleSimulator` and `SafetyProtocol` to `ThermalAnalysisRun` via dependencies, whereas the requirement states the `ProcessController` utilizes the simulator and adheres to protocols.
3. Clarity in Class Names and Attributes: Model 1 = 5, Model 2 = 3; Evidence: Model 1 provides rich attributes and uses Enumerations (e.g., `PhaseType`, `QualityStatus`) to ensure domain clarity. Class names are highly descriptive and align strictly with requirements. Model 2 lacks detail in several classes, using generic types like `Map` and `List` for `chemicalMakeup` and `processingSteps`. Classes like `MicrostructureAnalysis` and `PhaseDiagramCalculator` contain only methods without capturing their domain attributes.
Total: Model 1 = 15, Model 2 = 8
Choice: A
Reason:
1. Requirement Alignment &amp; Completeness: Model 1 faithfully translates the requirement into an exhaustive domain model, ensuring no functionality is missed and avoiding hallucinations by using logically sound intermediate classes (e.g., `StressTestRun`, `CostEstimation`). Model 2 misses key attributes like `effectiveDate` for `DesignConstraint` and inappropriately converts structural requirements into methods.
2. Associations, Cardinalities, and Relationship Types: Model 1 demonstrates a strong understanding of UML relationship types, correctly applying compositions (e.g., for `MaterialSpecimen` and `PhaseDistribution`) and standard associations with proper cardinalities. Model 2's excessive use of dependency arrows (`..&gt;`) instead of structural associations weakens the semantic representation of the domain significantly.
3. Clarity in Class Names and Attributes: Model 1's inclusion of enumerations and detailed attributes strictly mapped to the requirement text results in a much clearer and more professional software design compared to Model 2's sparse attributes and method-heavy approach.
4. Overall judgment: Model 1 is objectively better due to its comprehensive alignment with the requirements, proper use of UML semantics for associations, and higher clarity in class and attribute design.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</si>
  <si>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</si>
  <si>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</si>
  <si>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</si>
  <si>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4; Evidence: M1 misses the `effectiveDate` attribute on `DesignConstraint` despite the requirement stating both Design Constraints and Regulatory Standards specify limit values and effective dates. M2 models the `recommendedComposition` as a String attribute in `OptimizationResult` rather than creating an association to `ElementComposition` as requested by "recommend optimal element compositions", whereas M1 correctly links them (`OptimizationResult --&gt; ElementComposition : recommends`).
2. Conceptual classes and relationships: Model 1 = 3, Model 2 = 5; Evidence: M1 uses dashed dependencies (`..&gt;`) for structural and generative relationships (e.g., `ExperimentPlanner ..&gt; HeatTreatmentProfile : generates`, `ReportGenerator ..&gt; PerformanceMetric : compiles`), which is semantically weak for class diagrams. M2 properly extracts implicit concepts into structural classes like `ProcessingStep`, `StressTestRun`, `SummaryReport`, and `Supplier`, using standard associations to model them (e.g., `HeatTreatmentProfile "1" *-- "1..*" ProcessingStep`).
3. Associations, cardinalities, and relationship types: Model 1 = 3, Model 2 = 5; Evidence: M1 consistently uses dependency arrows for what should be compositions or associations, failing to accurately represent structural containment (e.g., `StressTestRunner ..&gt; PerformanceMetric : generates`). M2 correctly uses directed associations and compositions with appropriate multiplicities (e.g., `StressTestRun "1" *-- "1..*" PerformanceMetric: generated metrics`, `ComplianceArchive "1" *-- "1..*" BatchRecord: stored records`).
4. Clarity in class names and attributes: Model 1 = 4, Model 2 = 5; Evidence: M1 has reasonable class names and attributes, though `processingSteps: List` is less clear than a dedicated class. M2 provides better domain clarity by introducing enumerations (e.g., `PhaseType`, `TestType`, `QualityStatus`) and breaking down complex properties into typed attributes and classes, strictly adhering to standard UML modeling practices.
Total: Model 1 = 14, Model 2 = 19
Choice: B
Reason:
1. Alignment with requirement: Model 1 missed the `effectiveDate` for `DesignConstraint`, while Model 2 missed the association from `OptimizationResult` to `ElementComposition`. Thus, both have minor omissions regarding specific requirement details.
2. Conceptual classes and relationships: Model 2 is vastly superior in representing the essentials because it extracts the requirement's implicit classes (e.g., `ProcessingStep`, `StressTestRun`, `SummaryReport`) and establishes proper structural links, whereas Model 1 relies heavily on dependency arrows (`..&gt;`) which are inappropriate for capturing structural composition and generation in a class diagram.
3. Rejected or checked issues: M2's introduction of intermediate classes like `QualityAssuranceReview` and `CostEstimation` were checked to ensure they weren't hallucinations; they align strictly with "certified inspectors approve batches" and "calculating raw material expenses". This is a transparent and valid refinement, not an unsupported addition.
4. Overall judgment: Model 2 is better because it adheres to proper UML class diagram semantics by using associations and compositions to represent structural relationships, and it correctly models the implicit sub-components of the domain, whereas Model 1's diagram is dominated by dependency arrows that fail to represent the actual architectural structure of the system.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</si>
  <si>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</si>
  <si>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</si>
  <si>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</si>
  <si>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required classes and well-reasoned intermediate classes such as `ProcessingStep`, `StressTestRun`, `CostEstimation`, `Supplier`, `QualityAssuranceReview`, and `SummaryReport`. Model 2 misses several intermediate workflow concepts like `Supplier`, `StressTestRun`, and `SummaryReport`, grouping their properties directly into actors/generators instead.
2. Associations/Multiplicities between classes for domain reasoning: Model 1 = 5, Model 2 = 4; Evidence: Model 1 correctly applies multiplicities to all relationships, such as `AlloyBatch "1" *-- "1..*" MaterialSpecimen` and `ThermalAnalysisRun "*" --&gt; "1" HeatTreatmentProfile: applies profile`. Model 2 also correctly links classes, but many associations lack multiplicities (e.g., `MicrostructureAnalysis ..&gt; MaterialSpecimen`) and some aggregation relationships are missing, such as ExperimentalDataset aggregating MicrostructureAnalysis.
3. Model attributes with appropriate data types: Model 1 = 5, Model 2 = 3; Evidence: Model 1 accurately captures attributes like `grainStructure`, `defectAnnotation`, `limitValue`, and `effectiveDate` for `DesignConstraint` and `RegulatoryStandard`, and `recommendedComposition` for `OptimizationResult`. Model 2 misses `effectiveDate` on `DesignConstraint`, lacks `grainStructure` and `defectAnnotation` on `MaterialSpecimen`, and puts `convergence` as a float rather than tracking it as a boolean/status, missing the recommended composition. 
4. Consistencies of Terminology with given context: Model 1 = 5, Model 2 = 4; Evidence: Both models use terminology closely aligned with the domain text. However, Model 1 more faithfully represents domain entities like `BatchRecord` and `SummaryReport` as distinct classes, whereas Model 2 merges concepts (e.g., putting `format` in `ReportGenerator` instead of a `SummaryReport`).
5. Adherence of UML class diagram standards: Model 1 = 5, Model 2 = 4; Evidence: Model 1 strictly follows UML class diagram standards with clear enumerations, well-defined compositions, and proper multiplicities. Model 2 introduces operations directly in the class blocks (e.g., `generateProfile()`, `manageRun()`) without proper visibility markers and while acceptable in UML, it mixes structural and behavioral modeling, making the diagram slightly less focused on purely structural class semantics as required.
Total: Model 1 = 25, Model 2 = 19
Choice: A
Reason:
1. Appropriate conceptual classes aligned with the domain: Model 1 provides a much more comprehensive set of classes, including distinct entities for reports, test runs, and suppliers, which are implied by the requirement. Model 2 missed these intermediate classes.
2. Associations/Multiplicities between classes for domain reasoning: Model 1 correctly applies and labels multiplicities across all associations, ensuring clear domain reasoning. Model 2 omits multiplicities on many relationships.
3. Rejected or checked issues: I did not penalize Model 2 for using lowercase types like `Float` or `String`. However, missing domain-critical attributes like `effectiveDate` on `DesignConstraint` and `grainStructure` on `MaterialSpecimen` was rightfully evaluated under domain attributes.
4. Overall judgment: Model 1 is significantly better aligned with the domain requirements, offering a more detailed, accurate, and standard-compliant representation of the Advanced Alloy Composition Optimization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</si>
  <si>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</si>
  <si>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conceptual classes mentioned in the text (AlloyBatch, MaterialSpecimen, ElementComposition, PhaseDistribution, ExperimentPlanner, HeatTreatmentProfile, PhaseDiagramCalculator, etc.). Model 2 additionally introduces useful enumerations (PhaseType, TestType, QualityStatus) and transparent intermediate classes (ProcessingStep, StressTestRun, CostEstimation, QualityAssuranceReview, SummaryReport) which enhance domain reasoning without contradicting the requirement.
2. Associations/Multiplicities between classes for domain reasoning: Model 1 = 4, Model 2 = 5; Evidence: Model 1 captures the essential relationships, such as `AlloyBatch *-- MaterialSpecimen` and `ComplianceArchive *-- BatchRecord`, but links actions directly like `StressTestRunner ..&gt; MaterialSpecimen` and `StressTestRunner ..&gt; PerformanceMetric`, skipping the logical run step. Model 2 provides much stronger domain reasoning by separating concepts: `StressTestRunner --&gt; StressTestRun`, `MaterialSpecimen --&gt; StressTestRun`, and `StressTestRun *-- PerformanceMetric`. Model 2 also correctly places MicrostructureAnalysis within the ExperimentalDataset scope.
3. Model attributes with appropriate data types: Model 1 = 3, Model 2 = 5; Evidence: Model 1 uses basic types (Float, String, Boolean) but misses key attributes like grain structure and defect annotations on MaterialSpecimen, and uses strings for properties that should be enums. Model 2 introduces enumerations for SurfaceFinish, PhaseType, TestType, QualityStatus, and ReportFormat, and explicitly includes attributes like `grainStructure: String` and `defectAnnotation: String` in MaterialSpecimen, closely matching the domain description.
4. Consistencies of Terminology with given context: Model 1 = 5, Model 2 = 5; Evidence: Both models adhere strictly to the terminology provided in the requirement. Model 2's use of auxiliary classes such as `StressTestRun` and `SummaryReport` are transparent refinements that maintain consistency with the base requirement terms.
5. Adherence of UML class diagram standards: Model 1 = 5, Model 2 = 5; Evidence: Both diagrams correctly use standard PlantUML syntax and UML notations (classes, attributes, compositions, associations, dependencies, and multiplicities).
Total: Model 1 = 22, Model 2 = 25
Choice: B
Reason:
1. Appropriate conceptual classes aligned with the domain: Both models are excellent here, but Model 2's addition of enums and refined structural classes provides a slight edge in domain completeness.
2. Associations/Multiplicities between classes for domain reasoning: Model 2 models the workflow much more accurately. For instance, separating the StressTestRunner from the StressTestRun allows for a proper multiplicity mapping where a runner performs multiple runs on multiple specimens, whereas Model 1 directly links the runner to the specimen and metrics.
3. Model attributes with appropriate data types: Model 2's use of enumerations (e.g., `PhaseType`, `QualityStatus`, `TestType`) and inclusion of attributes like `grainStructure` and `defectAnnotation` directly fulfill the domain requirements much better than Model 1's generic string/float modeling.
4. Consistencies of Terminology with given context: Both models are perfectly consistent.
5. Rejected or checked issues: I did not penalize Model 1 for using dependencies instead of directed associations for actions (e.g., `StressTestRunner ..&gt; PerformanceMetric : generates`), as this is a valid UML semantic choice, but its structural representation is weaker than Model 2's composition-based approach.
6. Overall judgment: Model 2 is better because it provides a more detailed, accurate, and semantically rich representation of the domain, excelling particularly in attributes (using appropriate enums) and associations (modeling intermediate workflows).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</si>
  <si>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</si>
  <si>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</si>
  <si>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properly separates concepts into cohesive classes like `ProcessingStep`, `Supplier`, and `QualityAssuranceReview`, ensuring single responsibility. Model 2 collapses concepts into attributes, such as `processingSteps: List` in `HeatTreatmentProfile` and `chemicalMakeup: Map` in `ElementComposition`, reducing class cohesion and mixing domain concepts with implementation types.
2. Complexity: Model 1 = 4, Model 2 = 3; Evidence: Model 1 introduces a higher but appropriate level of complexity by modeling `ProcessingStep`, `Supplier`, and `StressTestRun` as distinct classes. Model 2 oversimplifies the domain. For instance, it models `PhaseDistribution` using four fixed attributes (`austenite`, `ferrite`, `martensite`, `pearlite`), failing to account for the "such as" phrasing in the requirement which implies an open list of target phases.
3. Practicability: Model 1 = 5, Model 2 = 3; Evidence: Model 1 provides a highly practical and readable domain structure with explicit classes (e.g., `ElementComposition` having `elementName` and `percentage`), which streamlines implementation and testing. Model 2 uses generic collection types (`Map`, `List`) and relies on rigid fixed attributes for phases, making it less adaptable to real-world variations and harder to validate at the domain level.
Total: Model 1 = 13, Model 2 = 9
Choice: A
Reason:
1. Cohesion and Decoupling: Model 1 clearly separates domain concepts into well-defined classes, such as `ProcessingStep` and `Supplier`, leading to higher cohesion. Model 2 reduces these to generic attributes, thus decreasing the clarity and decoupling of the domain model.
2. Complexity: Model 1 manages complexity appropriately by introducing classes where the requirement implies multiple entities (e.g., "processing steps", "vendors"). Model 2's design is overly simplistic, particularly its rigid representation of `PhaseDistribution` which contradicts the open-ended "such as" specification in the requirement.
3. Rejected or checked issues: I did not penalize Model 2 for using dependency arrows (`..&gt;`) instead of associations, nor for omitting visibility markers, as per the forbidden penalties. The core differences were evaluated based on domain accuracy and structural design choices.
4. Overall judgment: Model 1 is superior because it provides a more accurate, robust, and practical translation of the requirement into a UML class diagram. Model 1's handling of the composition, phase distributions, and procedural steps aligns much better with real-world software engineering practices.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</si>
  <si>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</si>
  <si>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the domain entities cohesive with clear dependencies (e.g., `MicrostructureAnalysis ..&gt; PhaseDiagramCalculator : references`, which correctly follows the requirement "utilizing the Phase Diagram Calculator as a reference"). Model 2 reverses this dependency with `PhaseDiagramCalculator --&gt; MicrostructureAnalysis` and `PhaseDiagramCalculator --&gt; HeatTreatmentProfile`, contradicting the requirement that the planning process relies on the calculator. Model 2 also introduces extra intermediary classes like `CostEstimation`, `QualityAssuranceReview`, and `SummaryReport` which increases coupling unnecessarily.
2. Complexity: Model 1 = 5, Model 2 = 3; Evidence: Model 1 maintains an appropriate level of complexity with 26 classes closely matching the domain nouns, keeping attributes as attributes (e.g., `PhaseDistribution` directly contains `austenite`, `ferrite`, etc.). Model 2 introduces 31 classes and 6 enums, over-engineering the design by splitting entities such as `StressTestRunner` and `StressTestRun`, `CostEstimator` and `CostEstimation`. Model 2 also weakly represents "recommend optimal element compositions" by using a String attribute (`recommendedComposition: String`) instead of an association to `ElementComposition` as done in Model 1.
3. Practicability: Model 1 = 4, Model 2 = 4; Evidence: Both models provide readable and modular designs. Model 1 is more practical for direct implementation of the stated requirements, mapping directly to the verbs and nouns provided (e.g., `CostEstimator ..&gt; ElementComposition : calculates from`). Model 2 introduces practical enums for `SurfaceFinish` and `QualityStatus`, but the reversed dependencies and added classes reduce its direct practicability for the specified domain rules.
Total: Model 1 = 13, Model 2 = 10
Choice: A
Reason:
1. Cohesion and Decoupling: Model 1 accurately reflects the required dependencies (e.g., MicrostructureAnalysis relies on PhaseDiagramCalculator). Model 2 incorrectly reverses key dependencies, such as `PhaseDiagramCalculator` pointing to `MicrostructureAnalysis` and `HeatTreatmentProfile`, which misaligns with the specified "utilizing" and "relies on" semantics.
2. Complexity: Model 1 strikes a better balance by treating the requirement nouns as classes and avoiding unnecessary splits. Model 2 introduces redundant intermediate classes like `CostEstimation`, `StressTestRun`, and `SummaryReport`, unnecessarily bloating the diagram's complexity without adding proportional value.
3. Rejected or checked issues: Model 2's use of enums (e.g., `PhaseType`, `TestType`) was considered as a potential advantage for practicability. However, the reversed navigabilities in associations and the use of primitive strings for complex relationships (e.g., `recommendedComposition: String` instead of an association) ultimately undermine the domain accuracy.
4. Overall judgment: Model 1 is better because it provides a more faithful, simpler, and correctly coupled representation of the requirement. Model 2's over-engineering and reversed dependencies introduce design flaws that contradict the explicit domain rules.</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</si>
  <si>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</si>
  <si>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</si>
  <si>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functionalities and absence of hallucinations: Model 1 = 5, Model 2 = 2; Evidence: Model 1 comprehensively covers all functionalities such as specimen analysis (grain structure, defects), processing steps, thermal cycle simulation, and report generation. It adds transparent refinements like `StressTestRun`, `CostEstimation`, and `SummaryReport`, which map directly to the requirement text. Model 2 misses significant functionalities entirely; for instance, it omits the `BatchRecord` class and incorrectly models `ComplianceArchive -- AlloyBatch`. It also omits the relationship between Stress Test Runners and Material Specimens.
2. Conceptual classes and relationships accurately representing essentials: Model 1 = 5, Model 2 = 2; Evidence: Model 1 correctly models that Datasets aggregate Spectroscopy Data and that Microstructure Analysis correlates specimens with spectroscopic data using the Phase Diagram Calculator. Model 2 completely misses these connections, linking `MicrostructureAnalysis` only to `ExperimentalDataset`. Furthermore, Model 2 incorrectly links `DesignConstraint -- RegulatoryStandard` directly, misrepresenting the requirement that these are distinct concepts used to check specimen compliance.
3. Associations, cardinalities, and types of relationships (inheritance, aggregation, composition): Model 1 = 5, Model 2 = 1; Evidence: Model 1 correctly uses composition (`*--`) for part-whole relationships like `AlloyBatch "1" *-- "1..*" MaterialSpecimen` and `ComplianceArchive "1" *-- "1..*" BatchRecord`, and includes accurate multiplicities. Model 2 uses generic associations (`--`) for everything, omitting multiplicities for most relationships and entirely failing to capture aggregation or composition semantics required by the text (e.g., Datasets "aggregate" Spectroscopy Data).
4. Clarity in class names and optional inclusion of attributes: Model 1 = 5, Model 2 = 2; Evidence: Model 1 provides clear attributes that align with the requirement, such as `grainStructure` and `defectAnnotation` in `MaterialSpecimen`, and `dataIntegrityVerified` in `ExperimentalDataset`. Model 2 omits almost all attributes, leaving classes like `ExperimentalDataset`, `OptimizationResult`, and `QualityAssurance` empty, thus failing to capture key domain properties specified in the requirement.
Total: Model 1 = 20, Model 2 = 7
Choice: A
Reason:
1. Alignment with requirement functionalities: Model 1 captures all required system modules and workflows, whereas Model 2 fails to represent large portions of the requirement, such as the Batch Record and specific relationships for Microstructure Analysis.
2. Conceptual classes and relationships: Model 1 accurately models the domain rules, including the separation of Design Constraints and Regulatory Standards and their role in checking compliance. Model 2 erroneously ties them together directly and misses intermediate domain classes like BatchRecord.
3. Rejected or checked issues: I did not penalize Model 2 for using `float` instead of `double` or omitting accessor methods, as these are presentation/implementation details. However, Model 2's lack of multiplicities and incorrect relationship directions are severe domain flaws that were penalized.
4. Overall judgment: Model 1 is significantly better because it provides a complete, semantically accurate UML class diagram that fulfills all the domain rules and cardinalities specified in the requirement. Model 2 is overly sparse, contains an invalid direct relationship between Design Constraints and Regulatory Standards, and omits essential aggregations and classes.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</si>
  <si>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</si>
  <si>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(Classes and functionalities): Model 1 = 2, Model 2 = 5; Evidence: Model 1 omits several critical classes mentioned in the requirement, such as `BatchRecord`, `ProcessingStep`, `SummaryReport`, and `Supplier`, failing to model the full lifecycle and components. Model 2 includes all required classes and even introduces transparent, domain-faithful refinements like `CostEstimation`, `StressTestRun`, and `QualityAssuranceReview` to properly model the processes described in the requirement.
2. Associations, Cardinalities, and Relationship Types: Model 1 = 1, Model 2 = 5; Evidence: Model 1 lacks most associations; for instance, `CostEstimator`, `SupplierNetwork`, `QualityAssurance`, and `ReportGenerator` are completely disconnected. It also misses the link from `PerformanceMetric` to `OptimizationResult`, `MicrostructureAnalysis` to `MaterialSpecimen`/`SpectroscopyData`, and `ResearchProject` to `DesignConstraint`. Model 2 correctly implements all required associations with accurate cardinalities and composition relationships (e.g., `ComplianceArchive "1" *-- "1..*" BatchRecord`, `PerformanceMetric "*" --&gt; "1" OptimizationResult: feeds into`, `ReportGenerator "*" --&gt; "*" PerformanceMetric`).
Total: Model 1 = 3, Model 2 = 10
Choice: B
Reason:
1. Alignment with requirement: Model 2 accurately captures all specified concepts and functionalities. Model 1 leaves many classes as isolated nodes and omits key domain entities like `BatchRecord`.
2. Associations and Cardinalities: Model 2 provides a comprehensive and correctly constrained set of relationships (e.g., `MaterialSpecimen "1" *-- "1..*" ElementComposition`, `AlloyBatch "1" *-- "1..*" MaterialSpecimen`). Model 1 completely ignores the relationships for major components like `CostEstimator`, `SupplierNetwork`, `QualityAssurance`, and `ReportGenerator`, making the diagram structurally incomplete.
3. Rejected or checked issues: Model 2 introduces additional classes like `CostEstimation` and `QualityAssuranceReview` which are not explicitly named as classes in the requirement text, but they act as traceable intermediate workflow classes required for proper domain reasoning, which should not be penalized per the evaluation guidelines.
4. Overall judgment: Model 2 is definitively better as it translates the requirement into a fully connected, semantically accurate UML class diagram with appropriate multiplicities and relationship types, while Model 1 is largely incomplete and structurally flawed.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</si>
  <si>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</si>
  <si>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 comprehensive set of classes such as `ProcessingStep`, `BatchRecord`, `CostEstimation`, `SummaryReport`, `Supplier`, and `QualityAssuranceReview`, which accurately map to the domain requirements. Model 2 misses several crucial intermediate classes (e.g., `BatchRecord`, `ProcessingStep`, `SummaryReport`, `Supplier`) and aggregates concepts directly under main classes (e.g., `ComplianceArchive` directly to `AlloyBatch`).
2. Associations/Multiplicities between classes for domain reasoning: Model 1 = 5, Model 2 = 2; Evidence: Model 1 explicitly defines multiplicities and relationships across the system (e.g., `ExperimentPlanner "1" --&gt; "1..*" HeatTreatmentProfile`, `ResearchProject "1" *-- "1..*" ExperimentalDataset`). Model 2 largely omits multiplicities (e.g., `MaterialSpecimen -- ElementComposition`, `MicrostructureAnalysis` relationships), and models some relationships incorrectly or incompletely (e.g., `OptimizationResult -- ElementComposition` instead of feeding from `PerformanceMetric`).
3. Model attributes with appropriate data types: Model 1 = 5, Model 2 = 2; Evidence: Model 1 provides detailed and typed attributes for all classes, using appropriate enums (e.g., `PhaseType`, `SurfaceFinish`) and data types. Model 2 leaves many classes completely empty (e.g., `ElementComposition`, `ExperimentalDataset`, `OptimizationResult`, `RegulatoryStandard`) and misinterprets `PhaseDistribution` by hardcoding individual phase fractions (`austeniteFraction`, `ferriteFraction`, etc.) rather than using a generalized structure.
4. Consistencies of Terminology with given context: Model 1 = 5, Model 2 = 4; Evidence: Model 1 accurately reflects the domain terminology found in the requirement (e.g., `ThermalCycleSimulator`, `MicrostructureAnalysis`, `BatchRecord`, `QualityAssuranceReview`). Model 2 is mostly consistent but introduces structural anomalies like hardcoding phase names in `PhaseDistribution`, which deviates from the general phase distribution concept described.
5. Adherence of UML class diagram standards: Model 1 = 5, Model 2 = 4; Evidence: Both models use valid PlantUML syntax. However, Model 1 makes excellent use of UML features including enumerations, compositions (`*--`), and directional associations (`--&gt;`) to convey clear semantic meaning, while Model 2 relies mostly on undirected plain associations with minimal use of multiplicity or compositional strength.
Total: Model 1 = 25, Model 2 = 15
Choice: A
Reason:
1. Appropriate conceptual classes aligned with the domain: Model 1 provides a much richer and more accurate class representation by including the necessary intermediate and operational classes like `BatchRecord`, `ProcessingStep`, and `SummaryReport` which are either missing or oversimplified in Model 2.
2. Associations/Multiplicities between classes for domain reasoning: Model 1 accurately defines the multiplicities and compositions between classes (e.g., the links between `PerformanceMetric` and `OptimizationResult`), whereas Model 2 fails to specify multiplicities and misaligns relationships required for domain reasoning.
3. Rejected or checked issues: I did not penalize Model 2 for using `float` instead of `double` or `Boolean` instead of `boolean`, as these are semantically acceptable primitive variations. However, Model 2's lack of attributes and poor structural choices for `PhaseDistribution` were considered under the respective criteria.
4. Overall judgment: Model 1 is significantly better. It correctly extracts the required entities, attributes, and relationships from the domain description, while Model 2 is overly sparse, lacks necessary detail in attributes and multiplicities, and contains structural misalignments.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</si>
  <si>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</si>
  <si>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key domain classes like BatchRecord, ProcessingStep, SummaryReport, and StressTestRun, leaving many concepts floating or unrepresented. Model 2 introduces all required classes including BatchRecord, ProcessingStep, StressTestRun, SummaryReport, and appropriately uses enums for types like PhaseType and TestType.
2. Associations/Multiplicities between classes for domain reasoning: Model 1 = 2, Model 2 = 5; Evidence: Model 1 has major missing associations, leaving modules like CostEstimator, SupplierNetwork, QualityAssurance, and ReportGenerator completely isolated. It also models incorrect relationships, such as `PhaseDiagramCalculator -- PhaseDistribution` and `OptimizationResult -- ElementComposition` instead of `PerformanceMetric -- OptimizationResult`. Model 2 accurately links all components, such as `ReportGenerator --&gt; SummaryReport`, `ComplianceArchive *-- BatchRecord`, `MicrostructureAnalysis --&gt; MaterialSpecimen`, and `CostEstimator --&gt; ElementComposition`, reflecting the domain rules precisely.
3. Model attributes with appropriate data types: Model 1 = 3, Model 2 = 5; Evidence: Model 1 has many empty classes (e.g., ExperimentPlanner, PhaseDiagramCalculator, ThermalCycleSimulator) and misses attributes like `principalInvestigator`, `grainStructure`, and `defectAnnotation`. Model 2 properly assigns attributes to all classes, such as `principalInvestigator` in ResearchProject, `grainStructure` and `defectAnnotation` in MaterialSpecimen, and `dataIntegrityVerified` in ExperimentalDataset, matching the requirement perfectly.
4. Consistencies of Terminology with given context: Model 1 = 4, Model 2 = 5; Evidence: Model 1 uses correct terminology for the classes it includes but lacks the depth of the domain vocabulary. Model 2 includes exact terms from the context (e.g., "SummaryReport", "BatchRecord", "ProcessingStep", "QualityAssuranceReview") and uses enumerations that directly map to the text's examples (e.g., AUSTENITE, FERRITE for PhaseType).
5. Adherence of UML class diagram standards: Model 1 = 4, Model 2 = 5; Evidence: Model 1 uses standard PlantUML class and association syntax but is simplistic. Model 2 utilizes standard UML conventions including enumerations, compositions (e.g., `*--`), directed associations with role labels, and appropriate multiplicities, fully adhering to UML notation.
Total: Model 1 = 16, Model 2 = 25
Choice: B
Reason:
1. Appropriate conceptual classes aligned with the domain: Model 2 is much more comprehensive, explicitly defining traceable intermediate classes like BatchRecord, StressTestRun, and SummaryReport which are strictly required by the domain description, whereas Model 1 omitted them.
2. Associations/Multiplicities between classes for domain reasoning: Model 1 leaves several critical modules floating without any relationships and misinterprets some connections (e.g., Phase Diagram Calculator related directly to Phase Distribution instead of being used as a reference by Microstructure Analysis). Model 2 correctly links every functional module, capturing the strict domain constraints and relationships accurately.
3. Rejected or checked issues: Model 2's addition of helper classes like CostEstimation and Supplier might seem like extra detail, but they are valid transparent refinements of "calculating raw material expenses" and "finding vendors", hence they were rewarded rather than penalized.
4. Overall judgment: Model 2 is vastly superior as it comprehensively models the entire requirement with appropriate attributes, precise associations, correct multiplicities, and strong adherence to UML standards, whereas Model 1 is incomplete and structurally disconnected.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</si>
  <si>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</si>
  <si>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has highly cohesive classes such as `AlloyBatch` with `creationDate` and `MaterialSpecimen` with `density`, `surfaceFinish`, `grainStructure`, and `defectAnnotation`, with appropriate associations. Model 2 has empty classes like `ElementComposition`, `ExperimentalDataset`, `MicrostructureAnalysis`, `CostEstimator`, `SupplierNetwork`, `QualityAssurance`, and `ReportGenerator` that lack any internal attributes or methods, leading to low cohesion and unclear responsibilities.
2. Complexity: Model 1 = 5, Model 2 = 2; Evidence: Model 1 appropriately extracts intermediate classes required for domain reasoning, such as `ProcessingStep`, `BatchRecord`, and `StressTestRun`, effectively balancing complexity with the requirement's scope. Model 2 is overly simplistic, entirely omitting critical intermediate classes like `BatchRecord`, `ProcessingStep`, and `StressTestRun`, and representing `PhaseDistribution` with hardcoded attributes (`austeniteFraction`, `ferriteFraction`, etc.) rather than a flexible composition.
3. Practicability: Model 1 = 5, Model 2 = 2; Evidence: Model 1 is highly practical and implementable, providing a clear structure, attributes (like `principalInvestigator` in `ResearchProject` and `qualityStatus` in `BatchRecord`), and precise relationships (e.g., `ReportGenerator` compiling from `PerformanceMetric` and `QualityAssuranceReview`). Model 2 lacks crucial attributes (e.g., missing `principalInvestigator` and `name` in `ResearchProject`, empty `ExperimentalDataset` missing data integrity and filter criteria), rendering it unreadable and difficult to program or test against.
Total: Model 1 = 15, Model 2 = 6
Choice: A
Reason:
1. Cohesion and Decoupling: Model 1 defines cohesive classes with specific, relevant attributes and logical associations, whereas Model 2 leaves many classes empty, severely lacking cohesion.
2. Complexity: Model 1 introduces necessary intermediate classes like `BatchRecord` and `ProcessingStep` to align with the requirement's domain logic without being overly complex. Model 2 oversimplifies the model, dropping necessary entities and creating an invalid structure.
3. Rejected or checked issues: No forbidden penalties were applied; the decision is based purely on domain coverage and semantic clarity.
4. Overall judgment: Model 1 is vastly superior as it comprehensively captures the requirement's details, attributes, and structural relationships, making it a viable real-world design. Model 2 is skeletal, missing fundamental domain attributes and intermediate workflow classes, making it unsuitable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</si>
  <si>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</si>
  <si>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leaves many classes completely disconnected (e.g., CostEstimator, SupplierNetwork, QualityAssurance, ReportGenerator, StressTestRunner). Model 2 properly links these modules to their respective domain entities, such as ReportGenerator connecting to SummaryReport, PerformanceMetric, and QualityAssuranceReview, providing high cohesion and realistic coupling.
2. Complexity: Model 1 = 2, Model 2 = 4; Evidence: Model 1 has low complexity but misses many required domain classes like BatchRecord, ProcessingStep, StressTestRun, and SummaryReport, rendering it incomplete. Model 2 introduces appropriate intermediate workflow classes (like CostEstimation, QualityAssuranceReview) and enumerations, aligning the complexity with real-world domain modeling without overcomplicating.
3. Practicability: Model 1 = 2, Model 2 = 5; Evidence: Model 1 misses critical details such as the BatchRecord class entirely (which the requirement explicitly states must store primary phase and quality status), and lacks attributes for most classes. Model 2 accurately models BatchRecord with primaryPhase and qualityStatus, uses an enum for TestType (destructive/non-destructive), and includes attributes for processing steps, costs, and reports, making it highly practical for development and testing.
Total: Model 1 = 6, Model 2 = 14
Choice: B
Reason:
1. Cohesion and Decoupling: Model 2 thoroughly connects all operational support modules (CostEstimator, SupplierNetwork, QualityAssurance, ReportGenerator) to their respective domain entities, whereas Model 1 leaves them as isolated classes, failing to represent the required system behaviors.
2. Complexity: Model 2 achieves a much better balance of complexity by adding necessary domain classes and attributes that were completely omitted in Model 1, such as BatchRecord, ProcessingStep, and enums for PhaseType and TestType.
3. Rejected or checked issues: I did not penalize Model 1 for using opposite unidirectional associations or primitive types, but its omissions of explicit requirements (like BatchRecord) are severe practicability failures.
4. Overall judgment: Model 2 is significantly better because it comprehensively captures the requirements, including detailed attributes, necessary domain classes, and robust relationships, while Model 1 is functionally incomplete and lacks semantic clarity for implementation.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</si>
  <si>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</si>
  <si>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</si>
  <si>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&amp; Functionalities): Model 1 = 5, Model 2 = 2; Evidence: Model 1 includes all required conceptual classes, such as `BatchRecord` (with `primaryPhase` and `qualityStatus`), which is entirely missing in Model 2. Model 1 also accurately models the dependencies for `CostEstimator`, `SupplierNetwork`, `QualityAssurance`, and `ReportGenerator` (e.g., `CostEstimator ..&gt; ElementComposition`), whereas Model 2 omits the relationships and attributes for these operational modules.
2. Associations, Cardinalities &amp; Relationship Types: Model 1 = 5, Model 2 = 2; Evidence: Model 1 correctly specifies composition relationships (e.g., `AlloyBatch "1" *-- "0..*" MaterialSpecimen`) and explicit cardinalities (e.g., `BatchRecord "0..*" --&gt; "1" AlloyBatch`). Model 2 uses undirected associations `--` without composition/aggregation markers and lacks multiplicities for many essential links, such as missing relationships between `StressTestRunner` and `MaterialSpecimen`, or `ThermalAnalysisRun` and `ThermalCycleSimulator`.
3. Class Names &amp; Attributes Clarity: Model 1 = 5, Model 2 = 3; Evidence: Model 1 includes relevant attributes derived directly from the text, such as `principalInvestigator` and `budget` in `ResearchProject`, and `coolingRate` and `peakTemperature` in `ThermalCycleSimulator`. Model 2 omits the `principalInvestigator` attribute and leaves classes like `ThermalCycleSimulator`, `OptimizationResult`, and `RegulatoryStandard` empty, missing key descriptive attributes.
Total: Model 1 = 15, Model 2 = 7
Choice: A
Reason:
1. Requirement Alignment: Model 1 accurately captures all requirements, including the intricate operational workflows like `MicrostructureAnalysis` referencing `PhaseDiagramCalculator` and `ReportGenerator` compiling metrics from `PerformanceMetric` and `QualityAssurance`. Model 2 misses the `BatchRecord` class entirely and fails to link many key operational classes, leading to incomplete functionality representation.
2. Associations &amp; Cardinalities: Model 1 uses appropriate UML semantics like composition (`*--`) and directed dependencies (`..&gt;`) with correct multiplicities, accurately reflecting the text (e.g., `ComplianceArchive` storing multiple `BatchRecord`s). Model 2 lacks these structural refinements, relying on plain associations and omitting cardinality constraints.
3. Rejected or checked issues: No forbidden penalties (e.g., primitive types or opposite-direction associations) were applied to penalize either model. Model 2's lower score is strictly due to missing classes, missing relationships, and omitted attributes, not stylistic differences.
4. Overall judgment: Model 1 is significantly better because it provides a complete, semantically rich, and structurally accurate representation of the requirement, whereas Model 2 omits critical classes and relationships, resulting in an incomplete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</si>
  <si>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</si>
  <si>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&amp; UML Semantics: Model 1 = 2, Model 2 = 5; Evidence: 
- Model 1 misses key relationships and entire conceptual classes. It completely omits the `BatchRecord` class, failing to capture the link between Compliance Archive, Regulatory Standards, and Alloy Batches. It leaves utility classes like `CostEstimator`, `SupplierNetwork`, `QualityAssurance`, `ReportGenerator`, and `ThermalCycleSimulator` entirely disconnected. It also misses the links for `MicrostructureAnalysis`, `StressTestRunner` to specimens, and `OptimizationResult` to Performance Metrics. It uses plain associations instead of composition for part-whole relationships like AlloyBatch and MaterialSpecimen.
- Model 2 accurately models `BatchRecord` with its attributes (primaryPhase, qualityStatus) and links it correctly to `ComplianceArchive`, `AlloyBatch`, and `RegulatoryStandard`. It correctly uses dependency and association arrows to map `MicrostructureAnalysis` to `MaterialSpecimen`, `SpectroscopyData`, and `PhaseDiagramCalculator`. It connects utility classes like `CostEstimator`, `SupplierNetwork`, `QualityAssurance`, and `ReportGenerator` properly using dependency arrows (`..&gt;`), reflecting the requirement's actions (e.g., `ReportGenerator ..&gt; PerformanceMetric : compiles`, `ReportGenerator ..&gt; QualityAssurance : compiles`). It also correctly uses composition (`*--`) for part-whole relationships like `AlloyBatch` to `MaterialSpecimen` and `MaterialSpecimen` to its compositions.
Total: Model 1 = 2, Model 2 = 5
Choice: B
Reason:
1. Requirement Alignment &amp; UML Semantics: Model 2 is vastly superior because it captures all the essential classes and relationships detailed in the requirement. Model 1 misses critical connections for half the classes, leaving them as isolated entities (e.g., `CostEstimator`, `SupplierNetwork`, `QualityAssurance`, `ReportGenerator`), and omits the `BatchRecord` class entirely, which is explicitly required. Model 2 accurately maps the dependencies (e.g., `ExperimentPlanner ..&gt; HeatTreatmentProfile`), compositions (e.g., `MaterialSpecimen "1" *-- "1" ElementComposition`), and complex many-to-many-like relationships bridged through intermediate classes (e.g., `BatchRecord` linking `AlloyBatch` and `RegulatoryStandard`).
2. Requirement Alignment &amp; UML Semantics: Model 2 also adds specific methods and attributes to classes that accurately represent the functional requirements. For example, `PhaseDiagramCalculator` has `identifyStablePhases()` and `checkEquilibrium()`, matching the requirement text. `ExperimentalDataset` has `integrityVerified: Boolean` and `filterResults()`, fulfilling the requirement's detail that datasets "verify data integrity, filter results". Model 1 mostly leaves attributes and methods out or incorrectly structures the relationships.
3. Rejected or checked issues: Model 2 places `limitValue` and `effectiveDate` only in `RegulatoryStandard` (and `limitValue` in `DesignConstraint`), while the requirement implies both Design Constraints and Regulatory Standards specify limit values and effective dates. However, this minor discrepancy does not detract significantly from the overall structural superiority of Model 2 compared to the massive gaps in Model 1.
4. Overall judgment: Model 2 is significantly better because it comprehensively fulfills the requirement by mapping out all classes, associations, and dependencies without omitting key entities or leaving them disconnected. Model 1 is missing foundational domain relationships and entire classes.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</si>
  <si>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</si>
  <si>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required conceptual classes from the requirement, including the `BatchRecord` class which is explicitly mentioned ("stores Batch Records"). Model 2 fails to include the `BatchRecord` class, which is a core concept for the compliance archiving workflow.
2. Associations/Multiplicities between classes for domain reasoning: Model 1 = 5, Model 2 = 2; Evidence: Model 1 comprehensively models associations for all domain concepts, such as `ThermalAnalysisRun ..&gt; ThermalCycleSimulator : utilizes`, `MicrostructureAnalysis ..&gt; SpectroscopyData`, `CostEstimator ..&gt; ElementComposition`, and `ReportGenerator ..&gt; QualityAssurance`. Model 2 leaves `ThermalCycleSimulator`, `CostEstimator`, `SupplierNetwork`, `QualityAssurance`, and `ReportGenerator` completely isolated without any associations, and misses critical links like `StressTestRunner` to `MaterialSpecimen`.
3. Model attributes with appropriate data types: Model 1 = 5, Model 2 = 3; Evidence: Model 1 models attributes thoroughly, such as `processingSteps: List` and `isValidated: Boolean` for `HeatTreatmentProfile`, and `primaryPhase: String` and `qualityStatus: String` for `BatchRecord`. Model 2 is missing several attributes, such as `principalInvestigator` in `ResearchProject`, and lacks attributes for `ElementComposition` entirely.
4. Consistencies of Terminology with given context: Model 1 = 5, Model 2 = 4; Evidence: Both models use terminology consistent with the requirement (e.g., `AlloyBatch`, `PhaseDiagramCalculator`). However, Model 1 maintains the full terminology set including `BatchRecord`, whereas Model 2 drops it.
5. Adherence of UML class diagram standards: Model 1 = 5, Model 2 = 4; Evidence: Both models use valid PlantUML syntax. Model 1 uses a richer set of relationship types appropriately (e.g., `..&gt;` for dependencies, `*--` for composition) and includes multiplicities on all relationships. Model 2 uses basic `--` for many relationships and omits multiplicities on several associations, which is less expressive but still valid syntactically.
Total: Model 1 = 25, Model 2 = 17
Choice: A
Reason:
1. Appropriate conceptual classes aligned with the domain: Model 1 is better because it includes the `BatchRecord` class, which is required by the domain description, whereas Model 2 omits it.
2. Associations/Multiplicities between classes for domain reasoning: Model 1 is vastly superior as it connects all components. Model 2 isolates key modules like `ReportGenerator`, `QualityAssurance`, `SupplierNetwork`, `CostEstimator`, and `ThermalCycleSimulator` with no relationships, failing to capture the domain reasoning.
3. Rejected or checked issues: I did not penalize Model 2 for using lowercase primitive types (e.g., `float`, `int`) as per the forbidden penalties. I did not penalize Model 2 for using `--` instead of directed associations, but evaluated it strictly on the missing domain connections.
4. Overall judgment: Model 1 is significantly better because it accurately and comprehensively translates the entire domain requirement into a connected UML class diagram, capturing attributes, classes, and relationships that are completely missing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</si>
  <si>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</si>
  <si>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major domain classes like AlloyBatch, MaterialSpecimen, and HeatTreatmentProfile but misses the BatchRecord class explicitly mentioned in the text. Model 2 includes BatchRecord and correctly separates it from ComplianceArchive.
2. Associations/Multiplicities between classes for domain reasoning: Model 1 = 2, Model 2 = 5; Evidence: Model 1 is missing critical relationships: MicrostructureAnalysis is not linked to MaterialSpecimen, SpectroscopyData, or PhaseDiagramCalculator; CostEstimator, SupplierNetwork, QualityAssurance, and ReportGenerator have no associations at all. Model 2 correctly models all these relationships with appropriate directional dependencies (e.g., `MicrostructureAnalysis ..&gt; MaterialSpecimen`, `ReportGenerator ..&gt; PerformanceMetric`).
3. Model attributes with appropriate data types: Model 1 = 3, Model 2 = 5; Evidence: Model 1 includes basic attributes like `creationDate: Date` and `wavelength: float`, but misses many attributes explicitly mentioned in the text (e.g., principalInvestigator, processingSteps, coolingRate, peakTemperature, primaryPhase, qualityStatus). Model 2 accurately models these attributes into their respective classes (e.g., `ThermalCycleSimulator` gets `coolingRate: Float` and `peakTemperature: Float`; `BatchRecord` gets `primaryPhase: String` and `qualityStatus: String`).
4. Consistencies of Terminology with given context: Model 1 = 4, Model 2 = 5; Evidence: Model 1 uses standard terms but lacks some precise terminology from the text like BatchRecord and principalInvestigator. Model 2 uses exact terminology matching the requirement context perfectly, including methods as class behaviors (e.g., `findVendors()`, `approveBatch()`).
5. Adherence of UML class diagram standards: Model 1 = 5, Model 2 = 5; Evidence: Both models use valid PlantUML syntax and UML class diagram notations. Model 2 effectively uses dependency arrows `..&gt;` for behavioral relationships and compositions `*--` for part-whole relationships.
Total: Model 1 = 18, Model 2 = 25
Choice: B
Reason:
1. Appropriate conceptual classes aligned with the domain: Model 2 is better because it includes the `BatchRecord` class which the requirement explicitly mentions ("A Compliance Archive stores Batch Records"), whereas Model 1 omits it.
2. Associations/Multiplicities between classes for domain reasoning: Model 2 is significantly better. Model 1 leaves multiple classes completely disconnected (e.g., MicrostructureAnalysis, CostEstimator, SupplierNetwork, QualityAssurance, ReportGenerator), failing to capture the domain reasoning. Model 2 correctly connects all these elements with appropriate relations, such as `OptimizationResult ..&gt; PerformanceMetric` and `ReportGenerator ..&gt; PerformanceMetric`.
3. Model attributes with appropriate data types: Model 2 captures much more detail from the text into attributes, such as `coolingRate` and `peakTemperature` in `ThermalCycleSimulator` and `primaryPhase` in `BatchRecord`. Model 1 leaves many classes empty or misses key attributes.
4. Consistencies of Terminology with given context: Model 2 strictly adheres to the terminology given in the requirement, adding traceability to every mentioned concept.
5. Rejected or checked issues: Both models use valid UML syntax, so neither was penalized under UML standards.
6. Overall judgment: Model 2 is substantially better as it accurately captures the missing classes, attributes, and crucial relationships that Model 1 entirely omitted, resulting in a much more complete and domain-accurate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</si>
  <si>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</si>
  <si>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accurately separates responsibilities using unidirectional dependencies (`..&gt;`) for workflows like `OptimizationResult ..&gt; PerformanceMetric`, and composition (`*--`) for lifecycle ownership like `ExperimentalDataset "1" *-- "0..*" SpectroscopyData`. Model 2 misses many essential dependencies and introduces incorrect ones, such as linking `ExperimentalDataset -- MicrostructureAnalysis` instead of linking `MicrostructureAnalysis` to `MaterialSpecimen` and `SpectroscopyData`. Model 2 also incorrectly links `DesignConstraint -- RegulatoryStandard` directly, whereas the requirements state they are separate entities.
2. Complexity: Model 1 = 5, Model 2 = 2; Evidence: Model 1 includes 27 classes with appropriate attributes and methods, correctly capturing the domain's complexity, such as the `BatchRecord` class linking `ComplianceArchive`, `RegulatoryStandard`, and `AlloyBatch`. Model 2 omits the `BatchRecord` class entirely, drastically reducing the complexity and failing to model the compliance archive requirements. Model 2 also omits methods across all classes, leaving them as empty structural shells.
3. Practicability: Model 1 = 5, Model 2 = 2; Evidence: Model 1 provides a highly practical and readable design with specific methods (e.g., `CostEstimator.calculateExpenses()`, `QualityAssurance.approveBatch()`) and well-defined relationships, enabling smooth implementation and testing. Model 2 lacks methods, lacks relationships for `CostEstimator`, `SupplierNetwork`, `QualityAssurance`, and `ReportGenerator`, making it an incomplete and unviable design for real-world application.
Total: Model 1 = 15, Model 2 = 6
Choice: A
Reason:
1. Cohesion and Decoupling: Model 1 accurately models the dependencies and associations as specified in the requirements, ensuring low coupling and high cohesion. Model 2 has missing links and incorrect associations (e.g., `ExperimentalDataset -- MicrostructureAnalysis`) that violate the intended domain architecture.
2. Complexity: Model 1 perfectly balances complexity by introducing all required conceptual classes, including `BatchRecord`, and adding meaningful methods. Model 2 fails to capture the required complexity by omitting `BatchRecord` and all class methods.
3. Rejected or checked issues: Model 2's use of bidirectional relationships or missing visibility markers was ignored per the instructions, but its severe omissions of required classes and associations could not be ignored.
4. Overall judgment: Model 1 is vastly superior. It comprehensively captures the requirements with accurate semantics, while Model 2 is largely incomplete and contains structural inaccuracies.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</si>
  <si>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</si>
  <si>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leaves several key classes completely disconnected (e.g., `CostEstimator`, `SupplierNetwork`, `QualityAssurance`, `ReportGenerator` are defined but have no associations). Model 2 correctly establishes relationships for all classes, using dependencies (`..&gt;`) for behavioral interactions (e.g., `MicrostructureAnalysis ..&gt; MaterialSpecimen`, `ReportGenerator ..&gt; PerformanceMetric`), ensuring low coupling and clear responsibilities.
2. Complexity: Model 1 = 2, Model 2 = 5; Evidence: Model 1 omits crucial attributes and methods mentioned in the requirement (e.g., missing `processingSteps` in `HeatTreatmentProfile`, missing `principalInvestigator` in `ResearchProject`, no methods in `PhaseDiagramCalculator`). Model 2 includes appropriate attributes (e.g., `convergence` in `OptimizationResult`, `processingSteps` and `isValidated` in `HeatTreatmentProfile`) and methods (e.g., `identifyStablePhases()` in `PhaseDiagramCalculator`), balancing complexity well. 
3. Practicability: Model 1 = 2, Model 2 = 5; Evidence: Model 1 fails to represent significant domain behaviors, such as the `BatchRecord` class linking `RegulatoryStandard` and `AlloyBatch` (it only has a vague `ComplianceArchive -- AlloyBatch`), and omits relationships for `CostEstimator` and `ReportGenerator`. Model 2 explicitly models `BatchRecord` with attributes (`primaryPhase`, `qualityStatus`) and proper associations, and properly implements `CostEstimator ..&gt; ElementComposition` and `ReportGenerator` dependencies, making it highly practical and readable.
Total: Model 1 = 6, Model 2 = 15
Choice: B
Reason:
1. Cohesion and Decoupling: Model 2 is vastly superior as it ensures every component is integrated into the system's structure. Model 1 leaves multiple classes isolated with no associations, breaking the system's cohesion.
2. Complexity: Model 2 captures the domain accurately with appropriate attributes and methods, whereas Model 1 is overly simplistic and misses key domain details required by the prompt (e.g., missing `BatchRecord`, missing methods for `PhaseDiagramCalculator`).
3. Rejected or checked issues: Both models use correct UML notation and do not suffer from syntax errors, but Model 1's omissions are too severe to be considered a valid interpretation of the requirements.
4. Overall judgment: Model 2 is significantly better because it accurately and comprehensively maps the requirement's domain rules, attributes, and behaviors into a coherent UML class diagram, whereas Model 1 misses crucial functional relationships and domain details.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</si>
  <si>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</si>
  <si>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</si>
  <si>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</si>
  <si>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and Attributes): Model 1 = 5, Model 2 = 4; Evidence: Model 1 correctly includes `RegulatoryReview` class and `Protocol` superclass (with `AssayProtocol` subclass), along with detailed enums for `EventCategory`, `SeverityLevel`, `TrialType`, etc. Model 2 misses `RegulatoryReview`, uses only `AssayProtocol` for cohorts, and models `AdverseEvent` instead of `AdverseEventReport`. Model 1 also correctly links `StatisticalAnalysis` to `QuantitativeResult` and `DataValidator` to `QuantitativeResult`, whereas Model 2 misses these critical connections.
2. Relationships, Cardinalities, and Types: Model 1 = 5, Model 2 = 4; Evidence: Model 1 accurately models the statistical analysis and validation flow (`LaboratoryExperiment --&gt; StatisticalAnalysis`, `StatisticalAnalysis --&gt; QuantitativeResult`, `QuantitativeResult --&gt; DataValidator`). It also properly captures `RegulatoryAgency` reviewing `DrugCandidate` via `RegulatoryReview`. Model 2 misses the link between statistical analysis and quantitative results, and simplifies the regulatory review as a direct association between `DrugCandidate` and `RegulatoryAgency`. Model 2 also associates `StudyCohort` directly with `AssayProtocol` instead of a general `Protocol`.
Total: Model 1 = 10, Model 2 = 8
Choice: A
Reason:
1. Alignment with Requirement (Classes and Attributes): Model 1 is more comprehensive, capturing the `Protocol` hierarchy and regulatory review structures that are explicitly mentioned in the requirement. It also better handles enums for categories and severity levels. Model 2 misses the `RegulatoryReview` class and merges `Protocol` and `AssayProtocol` prematurely.
2. Relationships, Cardinalities, and Types: Model 1 excels in accurately linking the data processing chain from experiments to statistical analysis, quantitative results, and data validators. Model 2 misses the explicit analysis of quantitative results by statistical analysis, which is a core requirement. Model 1 also models the regulatory review process more accurately via the `RegulatoryReview` class.
3. Rejected or checked issues: The use of inheritance for `Compound &lt;|-- DrugCandidate` in Model 1 vs association in Model 2 is debatable based on the phrasing "serve as the basis for", but both are acceptable interpretations. Model 1's opposite-direction associations with comments were ignored as per instructions.
4. Overall judgment: Model 1 is better because it adheres more strictly to the detailed workflow and relationships outlined in the requirement, particularly the data validation and statistical analysis chain, the protocol hierarchy, and the regulatory review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</si>
  <si>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</si>
  <si>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3; Evidence: Both models capture the core domain concepts like Researcher, LaboratoryExperiment, Compound, DrugCandidate, and ClinicalTrial. Model 2 is more accurate in linking the `DataValidator` to `QuantitativeResult` and `StatisticalAnalysis` to `QuantitativeResult` (Model 1 links them to `LaboratoryExperiment`). Model 2 also correctly models `ClinicalTrial` enrolling `Compound` as explicitly stated in the text, whereas Model 1 enrolls `DrugCandidate`. However, Model 2 makes a significant conceptual error by using `Compound &lt;|-- DrugCandidate` (inheritance), which contradicts the requirement that compounds "serve as the basis for drug candidates" (implying an association or composition). Model 1 correctly models this as `MolecularCompound "1" --&gt; "1" DrugCandidate : basis for`. Additionally, Model 2 correctly introduces a generic `Protocol` class for cohorts, while Model 1 reuses `AssayProtocol`, which is slightly restrictive.
2. Associations, cardinalities, and relationship types: Model 1 = 4, Model 2 = 4; Evidence: Model 2 appropriately uses composition (`*--`) for the "encompasses" relationship between `ResearchProject` and `LaboratoryExperiment`/`ClinicalTrial`, and for `ClinicalTrial` including `StudyCohort`, reflecting the whole-part semantics better than Model 1's simple associations. Both models accurately represent the inheritance hierarchy for compound subclasses (SmallMolecule, Biologic, Peptide, SyntheticCompound). Model 2 introduces an intermediate `RegulatoryReview` class for the relationship between `RegulatoryAgency` and `DrugCandidate`, which is a reasonable refinement, while Model 1 directly associates them. 
3. Clarity and absence of hallucinations/additions: Model 1 = 5, Model 2 = 3; Evidence: Model 1 strictly adheres to the provided requirement without adding unnecessary attributes or classes, keeping the diagram clean and aligned with the text. Model 2 introduces numerous additions not requested or required, such as the `RegulatoryReview` class and extra attributes like `budget` on `ResearchProject`, `email` on `Researcher`, and `jurisdiction` on `RegulatoryAgency`. Furthermore, the `Compound &lt;|-- DrugCandidate` generalization in Model 2 acts as a structural hallucination that contradicts the domain logic outlined in the prompt. The extra implementation-oriented details in Model 2 do not improve coverage of the stated requirement facts and thus penalize its clarity.
Total: Model 1 = 13, Model 2 = 10
Choice: A
Reason:
1. Alignment with requirement: Model 1 accurately interprets the relationship between a compound and a drug candidate as an association ("basis for") rather than inheritance, which Model 2 misrepresents as `Compound &lt;|-- DrugCandidate`. Although Model 2 has some better literal alignments (e.g., DataValidator on QuantitativeResult, generic Protocol class), Model 1's overall conceptual fidelity is stronger and avoids structural contradictions.
2. Associations, cardinalities, and relationship types: Model 2 shows better use of composition for "encompasses" and "includes" relationships. However, both models demonstrate a solid grasp of the required UML semantics and cardinalities for the domain.
3. Rejected or checked issues: Model 2's use of extra enums (e.g., DevelopmentStage, EventCategory) was checked but not heavily penalized, as they can be seen as reasonable domain refinements. However, the addition of extraneous classes like `RegulatoryReview` and numerous unrequested attributes were factored in as hallucinations/additions that violate the strict instruction against making additions.
4. Overall judgment: Model 1 is chosen because it strictly aligns with the requirement without hallucinating extra structural elements or attributes. Model 2's inclusion of `Compound &lt;|-- DrugCandidate` is a fundamental domain misrepresentation, and its numerous unrequested attributes and intermediate classes detract from its overall adherence to the provided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</si>
  <si>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</si>
  <si>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necessary classes such as `Protocol` and `AssayProtocol` (with inheritance), and `RegulatoryReview` to capture the review details. Model 2 misses the generic `Protocol` class (only has `AssayProtocol`) and lacks a `RegulatoryReview` entity, having `DrugCandidate` directly reviewed by `RegulatoryAgency`, which misses tracking review details.
2. Associations/Multiplicities between classes for domain reasoning: Model 1 = 5, Model 2 = 4; Evidence: Model 1 accurately models the interaction between drug candidates and target proteins via `BindingAffinity` as an intermediate entity (`DrugCandidate --&gt; "*" BindingAffinity` and `BindingAffinity --&gt; "1" TargetProtein`), avoiding redundancy. Model 2 redundantly includes both a direct `DrugCandidate "*" --&gt; "*" TargetProtein` association and a `BindingAffinity` link. Model 1 also correctly links `StudyCohort` to `Protocol` rather than just `AssayProtocol` as in Model 2.
3. Model attributes with appropriate data types: Model 1 = 5, Model 2 = 4; Evidence: Model 1 provides comprehensive attributes for all classes, including unique identifiers (e.g., `experimentId`, `candidateId`) and accurate data types (e.g., `frequency : int` for DosageRegimen). Model 2 omits many identifiers and uses less precise types (e.g., `frequency: String`).
4. Consistencies of Terminology with given context: Model 1 = 5, Model 2 = 4; Evidence: Model 1 uses terminology exactly from the requirement text, such as `AdverseEventReport`, `Compound`, and `TrialType`. Model 2 deviates by using `AdverseEvent`, `MolecularCompound`, and `StudyType`.
5. Adherence of UML class diagram standards: Model 1 = 5, Model 2 = 5; Evidence: Both models strictly adhere to UML standards, properly using classes, enums, inheritance, associations, and multiplicities without syntax errors.
Total: Model 1 = 25, Model 2 = 21
Choice: A
Reason:
1. Appropriate conceptual classes aligned with the domain: Model 1 is more complete by introducing a `Protocol` superclass and a `RegulatoryReview` class, accurately capturing the domain requirements that Model 2 missed.
2. Associations/Multiplicities between classes for domain reasoning: Model 1 correctly models the `DrugCandidate`-`TargetProtein` interaction strictly through `BindingAffinity` and uses a more appropriate `StudyCohort` to `Protocol` relationship, whereas Model 2 contains redundant associations and restricts cohorts only to assay protocols.
3. Rejected or checked issues: Model 1 uses `Compound &lt;|-- DrugCandidate`, which might be considered semantically debatable compared to Model 2's `MolecularCompound "1" --&gt; "1" DrugCandidate`, but inheritance is a valid UML construct for "serves as the basis for" and does not violate UML standards or explicit domain constraints.
4. Model attributes with appropriate data types: Model 1 provides richer and more precise attribute modeling with identifiers and better type matching (e.g., integer for frequency).
5. Overall judgment: Model 1 is better due to its complete coverage of domain concepts, more precise relationship modeling, richer attributes, and closer adherence to the provided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</si>
  <si>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</si>
  <si>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capture the core classes like `Researcher`, `MolecularCompound`, `DrugCandidate`, `LaboratoryExperiment`. Model 2 introduces a `RegulatoryReview` class to mediate the relationship between `RegulatoryAgency` and `DrugCandidate`, which better reflects the domain phrase "Regulatory agencies review drug candidates". Model 2 also explicitly defines a base `Protocol` class for `AssayProtocol`.
2. Associations/Multiplicities between classes for domain reasoning: Model 1 = 4, Model 2 = 4; Evidence: Model 1 connects `LaboratoryExperiment` directly to `StatisticalAnalysis` with a 1 to 1 multiplicity, which is somewhat restrictive. Model 2 links `StatisticalAnalysis` to `QuantitativeResult` ("analyzes") and `LaboratoryExperiment` to `StatisticalAnalysis`, which aligns better with the domain requirement that "data from these experiments undergoes statistical analysis". Model 2 also handles the regulatory aspect better with `RegulatoryReview` mediating the review process.
3. Model attributes with appropriate data types: Model 1 = 4, Model 2 = 5; Evidence: Model 1 uses primitive types and Strings for most attributes (e.g., `stage: String`, `category: String`). Model 2 uses well-defined enums for attributes that have specific domains in the text, such as `DevelopmentStage`, `TrialType`, `EventCategory`, `SeverityLevel`, and `SimulationStatus`, which enhances domain accuracy.
4. Consistencies of Terminology with given context: Model 1 = 4, Model 2 = 5; Evidence: Model 1 names the class `AdverseEvent`, whereas the requirement specifically states "adverse event reports". Model 2 accurately uses `AdverseEventReport`. Model 2 also matches the requirement's mention of "protocols" by having a `Protocol` superclass, whereas Model 1 only has `AssayProtocol`.
5. Adherence of UML class diagram standards: Model 1 = 5, Model 2 = 5; Evidence: Both models use correct UML/PlantUML syntax, including classes, enums, generalizations (`&lt;|--`), and associations with multiplicities. No violations are present in either diagram.
Total: Model 1 = 21, Model 2 = 24
Choice: B
Reason:
1. Appropriate conceptual classes aligned with the domain: Model 2 is slightly better because it introduces a `RegulatoryReview` class that makes the association between `RegulatoryAgency` and `DrugCandidate` semantically richer and closer to the real-world domain.
2. Associations/Multiplicities between classes for domain reasoning: Model 2 correctly links `StatisticalAnalysis` to `QuantitativeResult` rather than just a direct 1:1 relation with the experiment, reflecting the text "data from these experiments undergoes statistical analysis to compute mean values".
3. Model attributes with appropriate data types: Model 2 uses enums effectively for `DevelopmentStage`, `TrialType`, `EventCategory`, and `SeverityLevel`, closely matching the categorized lists mentioned in the requirement (e.g., observational, randomized controlled, cross-sectional studies). Model 1 uses generic Strings.
4. Consistencies of Terminology with given context: Model 2 uses the exact term `AdverseEventReport` as specified in the text, while Model 1 uses `AdverseEvent`. Model 2 also includes a `Protocol` base class for `AssayProtocol`, fitting the text's mention of cohorts operating "under protocols".
5. Rejected or checked issues: Neither model was penalized for using primitive types like `int` or `String` over `Integer`. Model 2's use of `opposite` comments was ignored as per evaluation guidelines.
6. Overall judgment: Model 2 provides a more accurate and domain-faithful representation with better attribute typing, precise terminology, and refined associations.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</si>
  <si>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</si>
  <si>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maintain good separation of concerns. Model 1 correctly separates `RegulatoryAgency` and `RegulatoryReview` to handle the review process, reducing coupling between agency and candidate. Model 2 directly links `DrugCandidate * --&gt; * RegulatoryAgency : reviewed by`, bypassing the review entity which couples the candidate directly to the agency without a review record. Model 1 also properly models `Protocol` as a generalization of `AssayProtocol`, which aligns with the requirement for study cohorts to operate under protocols, whereas Model 2 only has `AssayProtocol`.
2. Complexity: Model 1 = 5, Model 2 = 4; Evidence: Model 1 introduces appropriate conceptual classes like `RegulatoryReview` and `StatisticalAnalysis` without over-engineering. Model 1 has a well-balanced structure with 32 elements. Model 2 simplifies the regulatory aspect by omitting the `RegulatoryReview` class, which reduces complexity but fails to capture the review action completely. Model 2 also misses the base `Protocol` class, making `AssayProtocol` the only protocol type, which contradicts the broader requirement context.
3. Practicability: Model 1 = 5, Model 2 = 4; Evidence: Model 1 is highly practical and readable, using explicit `enum` types for `DevelopmentStage`, `TrialType`, `EventCategory`, `SeverityLevel`, and `SimulationStatus`. This strongly supports robust testing and implementation. Model 2 falls back on primitive `String` types for `developmentStage` in `DrugCandidate`, which is less practical for strict validation. Model 1 also accurately includes `enrollmentSize` for `ClinicalTrial`, whereas Model 2 omits it. Model 1 links `StatisticalAnalysis` to `QuantitativeResult` correctly, whereas Model 2 just links it to the experiment without analyzing the specific results.
Total: Model 1 = 14, Model 2 = 12
Choice: A
Reason:
1. Cohesion and Decoupling: Model 1 is slightly better for decoupling the regulatory process by introducing a `RegulatoryReview` class, which Model 2 skips by directly associating `DrugCandidate` and `RegulatoryAgency`. Model 1 also better abstracts protocols using a `Protocol` superclass, whereas Model 2 only provides `AssayProtocol`.
2. Complexity: Both models avoid excessive complexity, but Model 1 introduces the right amount of intermediate classes to faithfully represent the domain without making it convoluted. Model 2's simplifications result in missing domain constraints (e.g., missing `RegulatoryReview`).
3. Rejected or checked issues: I ignored the differences in multiplicity literal formats (e.g., using `*` vs `0..*`) as per the forbidden penalties. I also did not penalize Model 2 for using primitive aliases like `Float` or `Boolean`. I did not penalize Model 2's bidirectional relationships drawn as single lines versus Model 1's unidirectional pairs.
4. Overall judgment: Model 1 is better because it provides a more complete and practical representation of the domain, utilizing enums for better type safety and avoiding shortcuts in the regulatory and protocol workflows. Model 2's reliance on strings for key fields like `developmentStage` makes it less practical for real-world implementation and testing.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</si>
  <si>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</si>
  <si>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correctly models the relationship between a compound and a drug candidate as an association (`MolecularCompound "1" --&gt; "1" DrugCandidate : basis for`), keeping them as distinct cohesive concepts. Model 2 incorrectly models this using inheritance (`Compound &lt;|-- DrugCandidate`), tightly coupling them and implying that a drug candidate is a type of compound, which contradicts the requirement that compounds "serve as the basis for" drug candidates. Model 2 also introduces intermediate classes like `RegulatoryReview` and `Protocol` which, while adding some structural decoupling, increase the overall coupling network.
2. Complexity: Model 1 = 4, Model 2 = 3; Evidence: Model 1 is more balanced with 30 classes and a simple inheritance tree of depth 1 (`MolecularCompound` subclasses). Model 2 has 38 classes, including unrequested refinements like `RegulatoryReview` and `Protocol` (which increases inheritance depth to 2 with `Protocol &lt;|-- AssayProtocol`), and adds many unrequired attributes (e.g., `budget`, `email`, `address`, `capacity`), violating the requirement to not reward implementation-oriented details not present in the prompt.
3. Practicability: Model 1 = 4, Model 2 = 4; Evidence: Model 2 is more domain-faithful in its use of enumerations for `DevelopmentStage`, `EventCategory`, `SeverityLevel`, etc., which makes the design very practical for developers. However, Model 1 remains highly practical and readable by using straightforward associations and covering all required components cleanly without the semantic contradiction of the `Compound &lt;|-- DrugCandidate` inheritance found in Model 2. Both models offer clear modularity and interface definitions.
Total: Model 1 = 12, Model 2 = 11
Choice: A
Reason:
1. Cohesion and Decoupling: Model 1 wins because it correctly treats `DrugCandidate` and `MolecularCompound` as separate entities linked by a "basis for" association. Model 2's inheritance (`Compound &lt;|-- DrugCandidate`) is a domain-faithfulness error that improperly couples the two concepts, misinterpreting the requirement's statement that compounds "serve as the basis for" drug candidates.
2. Complexity: Model 1 is better balanced and avoids conceptual bloat. It sticks to the required entities without adding unnecessary intermediate classes (like `RegulatoryReview` and general `Protocol`) or superfluous attributes (like `budget` or `address`), adhering to the requirement that extra implementation-oriented details shouldn't be rewarded.
3. Rejected or checked issues: Model 2's use of multiple enums instead of Strings (as in Model 1) was considered as a strong point for Practicability. However, it wasn't enough to overcome the structural and semantic inaccuracies. Additionally, Model 2's use of opposite-direction associations and comments were ignored per the strict evaluation guidelines.
4. Overall judgment: Model 1 is chosen because it provides a more accurate, cohesive, and appropriately complex representation of the domain. While Model 2 demonstrates good practice by utilizing enums for constrained values, its inheritance design flaw (treating DrugCandidate as a Compound) and added complexity through unnecessary classes and attributes make it semantically weaker and less aligned with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</si>
  <si>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</si>
  <si>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strictly, achieving all functionalities without hallucinations and additions: Model 1 = 5, Model 2 = 1; Evidence: Model 1 comprehensively covers all required entities such as ToxicityProfile, DosageRegimen, AdverseEventReport, SafetyAssessment, StudyCohort, AssayProtocol, PharmacokineticStudy, RegulatoryAgency, PublicationRecord, and StatisticalAnalysis. Model 2 misses most of these classes and incorrectly collapses them into strings (e.g., DrugCandidate has `+dosageRegimen: String` and `+toxicityProfile: String`), failing to achieve the functionalities required.
2. Conceptual classes and their relationships accurately represent the essentials, including associations, cardinalities, and types of relationships: Model 1 = 5, Model 2 = 2; Evidence: Model 1 explicitly models multiplicities and relationship types, such as `ResearchProject *-- "*" LaboratoryExperiment` (composition), `Compound &lt;|-- SmallMolecule` (inheritance), and `AssayProtocol --&gt; "*" DataValidator : requires` (association). Model 2 lacks multiplicities entirely and fails to properly structure complex domain relationships.
3. Clarity in class names and the optional inclusion of attributes: Model 1 = 5, Model 2 = 3; Evidence: Model 1 uses precise domain-specific class names (e.g., `LaboratoryExperiment`, `BindingAffinity`) with appropriate attributes like `amount`, `frequency`, and `unit` for `DosageRegimen`. Model 2 uses generic names and loses semantic clarity by representing complex structures as primitive strings.
Total: Model 1 = 15, Model 2 = 6
Choice: A
Reason:
1. Alignment with requirement strictly: Model 1 meticulously maps every domain requirement to a specific class or relationship, including the integration of protocols, assay protocols, safety assessments, and regulatory reviews. Model 2 omits the vast majority of the domain structure, leading to a failure in meeting the requirements.
2. Conceptual classes and relationships: Model 1 effectively utilizes UML semantics (composition, aggregation, inheritance, cardinalities) to accurately represent the complex web of interactions in the drug discovery platform. Model 2 ignores multiplicities and collapses essential domain concepts into basic strings, severely weakening the semantic representation.
3. Rejected or checked issues: Model 1 uses `Compound &lt;|-- DrugCandidate` (inheritance) instead of an association for "Compounds serve as the basis for drug candidates", which is a slight modeling deviation but acceptable and does not detract from the overall accuracy. Model 1's use of opposite unidirectional associations with comments is ignored as per the strict instructions.
4. Overall judgment: Model 1 is far superior due to its exhaustive and accurate representation of the domain requirements, correct usage of UML relationships and cardinalities, and clear structural modeling of complex concepts. Model 2 is overly simplified and fails to capture the structural depth required by the prompt.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</si>
  <si>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</si>
  <si>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and conceptual classes: Model 1 = 2, Model 2 = 5; Evidence: Model 1 lacks many required classes such as ChemicalLibrary, SafetyAssessment, AdverseEventReport, StudyCohort, AssayProtocol, PharmacokineticStudy, RegulatoryAgency, PublicationRecord, and StatisticalAnalysis. Model 2 explicitly includes all these required concepts (e.g., `SafetyAssessment`, `StudyCohort`, `PublicationRecord`, `ChemicalLibrary`), representing the domain fully.
2. Associations and Cardinalities: Model 1 = 2, Model 2 = 5; Evidence: Model 1 has very basic relations without capturing domain specifics (e.g., `Researcher -- Project`, `Experiment o-- Result`). It misses crucial links like safety assessment links to toxicity profiles and dosage regimens, pharmacokinetic studies referencing binding affinities, and regulatory agencies reviewing candidates. Model 2 accurately models complex relationships like `ToxicityProfile --&gt; AdverseEventReport`, `StudyCohort --&gt; Protocol`, `PharmacokineticStudy --&gt; BindingAffinity`, and `DrugCandidate --&gt; RegulatoryReview` with explicit multiplicities.
3. Attributes and Class Details: Model 1 = 2, Model 2 = 5; Evidence: Model 1 collapses many details into single string attributes (e.g., `dosageRegimen: String`, `toxicityProfile: String`), missing required sub-components. Model 2 correctly extracts these into separate classes with proper attributes (e.g., `DosageRegimen` has `amount`, `frequency`, `unit`; `ToxicityProfile` has `isCarcinogenic`; `AdverseEventReport` has `category`, `patientNotes`, `severity`, `isLifeThreatening`).
4. Inheritance and Classifications: Model 1 = 3, Model 2 = 5; Evidence: Model 1 uses an enum `CompoundType` for small molecules, biologics, etc., which is acceptable but basic. Model 2 properly models them as subclasses inheriting from `Compound` (`Compound &lt;|-- SmallMolecule`, etc.) and also models `AssayProtocol` inheriting from `Protocol` (`Protocol &lt;|-- AssayProtocol`).
5. Completeness of workflows and integrations: Model 1 = 1, Model 2 = 5; Evidence: Model 1 completely misses the regulatory, publication, pharmacokinetic, and safety assessment workflows. Model 2 integrates them all: `RegulatoryAgency` conducts `RegulatoryReview`, `ResearchProject` is documented by `PublicationRecord`, `PharmacokineticStudy` analyzes `DrugCandidate`, and `SafetyAssessment` evaluates `ToxicityProfile`.
Total: Model 1 = 10, Model 2 = 25
Choice: B
Reason:
1. Alignment with requirement and conceptual classes: Model 2 is vastly more complete, identifying and implementing nearly every conceptual class requested in the prompt, whereas Model 1 misses numerous key domain entities like StudyCohort, PharmacokineticStudy, and AdverseEventReport.
2. Associations and Cardinalities: Model 2 correctly establishes the complex network of relationships required by the domain, such as SimulationModels simulating Compounds and TargetProteins, StudyCohorts operating under Protocols, and PharmacokineticStudies referencing BindingAffinities. Model 1's relationships are sparse and largely miss the business logic.
3. Rejected or checked issues: Model 2 uses `Compound &lt;|-- DrugCandidate`, which conceptually implies a drug candidate is a type of compound rather than being derived from one. However, given the broad scope of missing elements in Model 1, this slight modeling choice in Model 2 does not outweigh its immense structural and domain advantages.
4. Overall judgment: Model 2 is undeniably better. It comprehensively covers the end-to-end drug discovery platform as described, properly modeling attributes, multiplicities, and domain-specific relationships that Model 1 completely omitted.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</si>
  <si>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</si>
  <si>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essential domain classes such as LaboratoryExperiment, QuantitativeResult, ChemicalLibrary, ToxicityProfile, AdverseEventReport, StudyCohort, AssayProtocol, PharmacokineticStudy, RegulatoryAgency, and PublicationRecord. Model 2 misses a vast majority of these domain concepts, lacking ChemicalLibrary, DosageRegimen, ToxicityProfile, AdverseEventReport, StudyCohort, and many others.
2. Associations/Multiplicities between classes for domain reasoning: Model 1 = 5, Model 2 = 2; Evidence: Model 1 provides detailed associations with explicit multiplicities for nearly all relationships (e.g., `ResearchProject *-- "*" LaboratoryExperiment`, `ToxicityProfile --&gt; "*" AdverseEventReport`). Model 2 has very few associations (e.g., `Researcher -- Project`, `DrugCandidate -- Interaction`) and entirely lacks multiplicities, compromising domain reasoning.
3. Model attributes with appropriate data types: Model 1 = 5, Model 2 = 2; Evidence: Model 1 correctly models complex attributes as separate classes or structured attributes, such as DosageRegimen (amount, frequency, unit) and ToxicityProfile (isCarcinogenic). Model 2 flattens these crucial concepts into generic Strings (e.g., `dosageRegimen: String`, `toxicityProfile: String`, `trialType: String`), losing the structural data types required by the domain.
4. Consistencies of Terminology with given context: Model 1 = 5, Model 2 = 3; Evidence: Model 1 uses precise terminology matching the requirement (e.g., LaboratoryExperiment, QuantitativeResult, ExperimentLog, BindingAffinity). Model 2 uses overly generic terms that deviate from the context, such as `Project` instead of `ResearchProject`, `Experiment` instead of `LaboratoryExperiment`, and `Result` instead of `QuantitativeResult`.
5. Adherence of UML class diagram standards: Model 1 = 5, Model 2 = 4; Evidence: Both models use valid PlantUML syntax for classes, attributes, and relationships. However, Model 1 properly utilizes multiplicities, enumerations, and inheritance hierarchies effectively. Model 2 is syntactically correct but lacks multiplicities and some standard UML notations for relational constraints.
Total: Model 1 = 25, Model 2 = 13
Choice: A
Reason:
1. Appropriate conceptual classes: Model 1 is far superior as it comprehensively captures the domain classes mentioned in the requirement, whereas Model 2 omits a significant number of critical classes like ToxicityProfile, StudyCohort, and RegulatoryAgency.
2. Associations/Multiplicities: Model 1 properly defines the domain relationships and their multiplicities, while Model 2 provides only sparse associations without any multiplicity markers, which is a major flaw in UML class diagram modeling.
3. Model attributes with appropriate data types: Model 1 structures attributes correctly (e.g., separating DosageRegimen into amount, frequency, and unit), while Model 2 improperly reduces complex domain entities to simple String types.
4. Consistencies of Terminology: Model 1 adheres strictly to the domain language, whereas Model 2 uses generic substitutions that reduce clarity.
5. Rejected or checked issues: No forbidden penalties were applied; the judgment is based entirely on semantic completeness and domain alignment.
6. Overall judgment: Model 1 is clearly the better response as it provides a complete, detailed, and accurate representation of the domain, adhering to all UML standards and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</si>
  <si>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</si>
  <si>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many essential classes like StudyCohort, PharmacokineticStudy, RegulatoryAgency, PublicationRecord, AssayProtocol, and SafetyAssessment, and incorrectly models ToxicityProfile and DosageRegimen as simple String attributes. Model 2 properly identifies almost all domain classes, including LaboratoryExperiment, QuantitativeResult, ExperimentLog, DataValidator, ChemicalLibrary, ToxicityProfile, AdverseEventReport, AssayProtocol, RegulatoryAgency, PublicationRecord, CompoundReport, StatisticalAnalysis, and SafetyAssessment.
2. Associations/Multiplicities between classes for domain reasoning: Model 1 = 1, Model 2 = 5; Evidence: Model 1 defines relationships but completely omits multiplicities and misses key associations such as clinical trials to cohorts, simulation models to compounds, and regulatory reviews. Model 2 accurately models all associations with appropriate multiplicities, such as `DrugCandidate *-- "1" DosageRegimen`, `DrugCandidate *-- "1" ToxicityProfile`, `ToxicityProfile --&gt; "*" AdverseEventReport`, `SimulationModel --&gt; "*" Compound`, `ClinicalTrial *-- "*" StudyCohort`, and `ResearchProject --&gt; "*" PublicationRecord`.
3. Model attributes with appropriate data types: Model 1 = 2, Model 2 = 5; Evidence: Model 1 uses basic types for complex concepts (e.g., `dosageRegimen: String`, `toxicityProfile: String`) and places the `observationDate` incorrectly in the `Experiment` class rather than the `Result`. Model 2 perfectly models attributes with correct types and constructs, such as `DevelopmentStage` enum for stage, `SimulationStatus` enum for status, and clearly separates attributes like `solventInclusion: boolean` and `forceFieldConfig: String` in `SimulationModel`.
4. Consistencies of Terminology with given context: Model 1 = 2, Model 2 = 5; Evidence: Model 1 uses generic terms like `Experiment`, `Result`, `Report`, and `Interaction` instead of the specific terms mentioned in the requirement (`LaboratoryExperiment`, `QuantitativeResult`, `CompoundReport`/`PublicationRecord`, `BindingAffinity`). Model 2 strictly adheres to the terminology given in the context, utilizing exact names like `StatisticalAnalysis`, `SafetyAssessment`, `PharmacokineticStudy`, and `AssayProtocol`.
5. Adherence of UML class diagram standards: Model 1 = 4, Model 2 = 5; Evidence: Model 1 uses valid PlantUML syntax but lacks multiplicities and uses aggregation/composition sparingly. Model 2 flawlessly uses enumerations, generalizations (`Protocol &lt;|-- AssayProtocol`), compositions (`*--`), and directed associations with role labels and multiplicities, fully adhering to UML standards.
Total: Model 1 = 11, Model 2 = 25
Choice: B
Reason:
1. Appropriate conceptual classes aligned with the domain: Model 2 vastly outperforms Model 1 by comprehensively capturing all domain entities mentioned in the text, whereas Model 1 collapses many concepts into generic strings or omits them entirely.
2. Associations/Multiplicities between classes for domain reasoning: Model 1 completely fails to include multiplicities and misses critical relationships, while Model 2 meticulously maps out the domain relationships with accurate multiplicities and appropriate composition/aggregation semantics.
3. Model attributes with appropriate data types: Model 2 correctly isolates attributes into their respective conceptual classes and uses enums and primitives correctly, while Model 1 incorrectly merges complex domains into single string attributes.
4. Consistencies of Terminology with given context: Model 2 uses the exact terminology specified in the requirements, aiding domain clarity, whereas Model 1 relies on overly generalized terms.
5. Rejected or checked issues: Model 2's use of opposite unidirectional associations and single-quote comments are ignored per the evaluation guidelines and forbidden penalties. Model 2 modeling DrugCandidate as a subclass of Compound is a valid interpretation of "Compounds... serve as the basis for drug candidates".
6. Overall judgment: Model 2 is significantly better as it provides a highly detailed, accurate, and standard-compliant UML class diagram that fully captures the complex domain requirements, whereas Model 1 is overly simplistic and misses the vast majority of the domain's structural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</si>
  <si>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</si>
  <si>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properly separates concepts into distinct, highly cohesive classes such as `DosageRegimen`, `ToxicityProfile`, and `AdverseEventReport`, reducing coupling by associating them appropriately. Model 2 poorly bundles these into the `DrugCandidate` class using primitive string attributes (e.g., `dosageRegimen: String`, `toxicityProfile: String`), resulting in low cohesion and poor separation of concerns. Furthermore, Model 2's `Result` class mixes quantitative results, logs, and timestamps into a single class, which violates the singular task principle.
2. Complexity: Model 1 = 5, Model 2 = 2; Evidence: Model 1 provides an appropriately balanced complexity, capturing detailed requirements like `ChemicalLibrary`, `StudyCohort`, `SafetyAssessment`, `PharmacokineticStudy`, and `RegulatoryAgency`, along with specific attributes (e.g., `AdverseEventReport` with `category`, `patientNotes`, `isLifeThreatening`). Model 2 is severely undercomplex, missing critical domain classes entirely (such as `ChemicalLibrary`, `StudyCohort`, `PublicationRecord`, `RegulatoryAgency`, `StatisticalAnalysis`, and `SafetyAssessment`). 
3. Practicability: Model 1 = 5, Model 2 = 2; Evidence: Model 1 is highly practical and readable, providing a clear mapping of the requirement's structures and behaviors with traceable intermediate workflow classes (e.g., `AssayProtocol` inheriting from `Protocol` and requiring `DataValidator`). Model 2 is unpractical for real-world programming and testing due to its "stringly-typed" design (e.g., using `String` for `developmentStage` and `dosageRegimen` instead of proper types or classes) and its failure to model crucial system aspects like regulatory reviews, publication records, and compound reports distinctly.
Total: Model 1 = 15, Model 2 = 6
Choice: A
Reason:
1. Cohesion and Decoupling: Model 1 uses highly cohesive classes (e.g., `ToxicityProfile`, `BindingAffinity`) to isolate responsibilities, whereas Model 2 merges them into generic string attributes within `DrugCandidate` and `Result`, degrading software design quality.
2. Complexity: Model 1 offers a comprehensive class structure that accurately reflects the complexity of the AI-Assisted Drug Discovery Platform. Model 2's oversimplification omits numerous required classes, failing to represent the domain accurately.
3. Rejected or checked issues: I ensured that Model 1's use of multiple enums and large number of classes was evaluated as appropriate complexity rather than over-engineering, given the detailed nature of the requirement. Model 2's fewer classes were not rewarded for being simpler because the requirement explicitly necessitates these detailed concepts.
4. Overall judgment: Model 1 is vastly superior as it correctly translates the domain requirements into a scalable, modular, and highly cohesive UML class diagram. Model 2 is missing too many required components and relies on primitive types to represent complex domain objects, making it impractical.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</si>
  <si>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</si>
  <si>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stringifies complex concepts (e.g., `+dosageRegimen: String`, `+toxicityProfile: String` in `DrugCandidate`) leading to low cohesion. Model 2 extracts these into dedicated classes (`DosageRegimen`, `ToxicityProfile`) and properly associates them, demonstrating high cohesion and appropriate decoupling (e.g., separating `RegulatoryAgency` and `RegulatoryReview`).
2. Complexity: Model 1 = 2, Model 2 = 5; Evidence: Model 1 is overly simplistic with only 15 classes, missing major domain components like Safety Assessment, Adverse Events, Pharmacokinetic Studies, and Clinical Trial Cohorts. Model 2 accurately captures the required complexity with 32 classes and 5 enums, mapping directly to the stated requirements without adding unnecessary implementation details.
3. Practicability: Model 1 = 2, Model 2 = 5; Evidence: Model 1 cannot be practically used to implement the required software as it omits crucial behaviors and classes (e.g., `SimulationModel` lacks solvent/force field configs, `ClinicalTrial` lacks cohorts/protocols). Model 2 provides a clear, comprehensive, and modular structure covering end-to-end workflows, making it highly practical for programming and testing.
Total: Model 1 = 6, Model 2 = 15
Choice: B
Reason:
1. Cohesion and Decoupling: Model 2 provides high cohesion by creating specific classes for distinct concepts like `DosageRegimen`, `ToxicityProfile`, and `AdverseEventReport`, whereas Model 1 crams these into simple String attributes within `DrugCandidate`, violating the principle of high cohesion and proper domain modeling.
2. Complexity: Model 1 severely under-represents the domain complexity, missing essential entities like `SafetyAssessment`, `PublicationRecord`, `RegulatoryAgency`, and `PharmacokineticStudy`. Model 2 accurately reflects the required complexity by introducing traceable intermediate workflow/concept classes and enums that align perfectly with the specific requirements.
3. Rejected or checked issues: Model 2 models `DrugCandidate` as a subclass of `Compound` (`Compound &lt;|-- DrugCandidate`). While the requirement states compounds "serve as the basis for drug candidates" (which might strictly suggest composition or association over inheritance), this is a transparent refinement and a minor semantic choice that does not detract from its overall correctness, especially compared to Model 1's massive omissions.
4. Overall judgment: Model 2 is vastly superior. It comprehensively captures the entire end-to-end domain described in the requirement with appropriate complexity, whereas Model 1 is incomplete, stringifies complex structures, and omits major subsystems necessary for a functional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</si>
  <si>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</si>
  <si>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and functionalities: Model 1 = 5, Model 2 = 2; Evidence: Model 1 includes almost all required classes explicitly such as `LaboratoryExperiment`, `ChemicalLibrary`, `PharmacokineticStudy`, `RegulatoryAgency`, `PublicationRecord`, `SafetyAssessment`, `StudyCohort`, and `ToxicityProfile` with accurate attributes and relationships. Model 2 misses many essential classes like `ChemicalLibrary`, `PharmacokineticStudy`, `RegulatoryAgency`, `PublicationRecord`, `SafetyAssessment`, and `StudyCohort`. It also incorrectly collapses complex concepts like `DosageRegimen` and `ToxicityProfile` into simple `String` attributes inside the `DrugCandidate` class, missing required details like dosage frequency/unit and adverse event tracking.
2. Conceptual classes, relationships, cardinalities, and types: Model 1 = 5, Model 2 = 2; Evidence: Model 1 correctly models compound classification using inheritance (`MolecularCompound &lt;|-- SmallMolecule`, etc.) and establishes accurate associations with multiplicities (e.g., `ClinicalTrial "1" --&gt; "*" StudyCohort : includes`). Model 2 uses an `enum CompoundType` instead of inheritance and fails to provide multiplicities for any associations (e.g., `Researcher -- Project`, `DrugCandidate -- Interaction`). Model 2 also fails to link `SimulationModel` to `Compound` and `Protocol` to `StudyCohort` as specified.
Total: Model 1 = 10, Model 2 = 4
Choice: A
Reason:
1. Strict alignment with requirement and functionalities: Model 1 comprehensively covers the complex domain requirements by explicitly modeling each component with appropriate attributes and relationships, while Model 2 significantly omits key parts of the requirement and oversimplifies complex concepts into basic attributes.
2. Conceptual classes, relationships, cardinalities, and types: Model 1 utilizes proper UML semantics including inheritance for compound types and multiplicities for associations, accurately reflecting the domain rules. Model 2 lacks multiplicities entirely, fails to use inheritance appropriately, and misses critical relationships between key classes.
3. Rejected or checked issues: N/A. The differences in completeness and semantic accuracy are substantial and directly mandated by the requirements.
4. Overall judgment: Model 1 is vastly superior due to its complete and accurate representation of the requirement's domain model, whereas Model 2 fails to capture the majority of the specified functionalities and structural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</si>
  <si>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</si>
  <si>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Strictness (No hallucinations/additions): Model 1 = 2, Model 2 = 5; Evidence: Model 1 introduces a `DrugCandidate -- Validator` link, which hallucinates the drug-candidate validation role onto the data-integrity validator; it also merges statistical analysis and logs into a single `Result` class (`meanValue`, `timestamp`, `log`). Model 2 separates `StatisticalAnalysis`, `ExperimentLog`, `QuantitativeResult`, and `DataValidator` exactly as described, and its only mild addition is an `Institution` class, which is directly implied by “researchers from various institutions.”
2. Functional Coverage (All functionalities achieved): Model 1 = 1, Model 2 = 5; Evidence: Model 1 omits `ChemicalLibrary`, `StudyCohort`, `AdverseEvent`, `SafetyAssessment`, `PharmacokineticStudy`, `RegulatoryAgency`, `PublicationRecord`, and the structured `DosageRegimen`/`ToxicityProfile` classes; it also lacks `SimulationModel`–`Compound` link and `Researcher`–`AssayProtocol` authorship. Model 2 includes every required concept: `ChemicalLibrary`, `StudyCohort`, `AdverseEvent`, `SafetyAssessment`, `PharmacokineticStudy`, `RegulatoryAgency`, `PublicationRecord`, `CompoundReport`, and `AssayProtocol` with author and validator associations.
3. Conceptual Classes and Relationships Accuracy (associations, cardinalities, inheritance/aggregation/composition): Model 1 = 2, Model 2 = 5; Evidence: Model 1 has mostly cardinality-free associations (`Researcher -- Project`, `Project o-- Experiment`), uses an enum for compound classification instead of inheritance, and lacks key links such as `StudyCohort`–`TargetProtein` and `SimulationModel`–`Compound`. Model 2 provides explicit multiplicities for all associations, correctly models compound subclasses via inheritance (`MolecularCompound &lt;|-- SmallMolecule`, etc.), and captures critical paths like `ToxicityProfile "1" --&gt; "*" AdverseEvent`, `SafetyAssessment "*" --&gt; "1" ToxicityProfile`, `StudyCohort "*" --&gt; "1" AssayProtocol`, and `SimulationModel "*" --&gt; "1" MolecularCompound`.
4. Clarity in Class Names and Attributes: Model 1 = 2, Model 2 = 5; Evidence: Model 1 uses vague names (`Experiment`, `Result`, `Protocol`, `Report`) and flattens critical structures into strings (`dosageRegimen: String`, `toxicityProfile: String`), losing required detail. Model 2 uses domain-specific names (`LaboratoryExperiment`, `QuantitativeResult`, `ExperimentLog`, `StatisticalAnalysis`, `AssayProtocol`, `CompoundReport`) and includes the required attributes: `DosageRegimen {amount, frequency, unit}`, `AdverseEvent {category, patientNotes, severityLevel, isLifeThreatening}`, `SimulationModel {solventInclusion, forceFieldConfig}`, and `DrugCandidate {isValidated, validationDate}`.
Total: Model 1 = 7, Model 2 = 20
Choice: B
Reason:
1. Requirement Alignment and Strictness: Model 2 faithfully separates statistical analysis, logs, and validation as distinct classes, whereas Model 1 conflates them and incorrectly repurposes the validator for drug-candidate validation.
2. Functional Coverage: Model 2 covers the full end-to-end domain—chemical libraries, cohorts, adverse events, safety assessments, pharmacokinetic studies, regulatory agencies, publication records, and compound reports—while Model 1 misses most of these.
3. Conceptual Classes and Relationships Accuracy: Model 2 supplies explicit cardinalities, inheritance for compound types, and all required associations; Model 1 omits multiplicities and several key links.
4. Clarity in Class Names and Attributes: Model 2’s class names and attributes map directly to the requirement text, preserving structural detail that Model 1 collapses into strings or vague labels.
3. Rejected or checked issues: I did not penalize Model 1 for using an enum for compound types instead of inheritance, since both are valid representations. I also did not reward Model 2 for adding an `Institution` class, as it is a reasonable refinement rather than a new requirement fact. Minor cardinality choices in Model 2 (e.g., `Researcher "1" --&gt; "1" Institution`) were not treated as errors because the requirement does not specify strict bounds.
4. Overall judgment: Model 2 is substantially better because it comprehensively and accurately implements the requirement without hallucinating missing functionality, while Model 1 is incomplete and contains semantic misalignments.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</si>
  <si>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</si>
  <si>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2; Evidence: Model 1 includes all required classes such as `ChemicalLibrary`, `DosageRegimen`, `ToxicityProfile`, `AdverseEvent`, `SafetyAssessment`, `StudyCohort`, `PharmacokineticStudy`, and `RegulatoryAgency`. Model 2 misses a large majority of these conceptual classes, reducing `DosageRegimen` and `ToxicityProfile` to mere string attributes in `DrugCandidate`, and entirely omitting classes like `ChemicalLibrary`, `SafetyAssessment`, and `AdverseEvent`.
2. Associations/Multiplicities between classes for domain reasoning: Model 1 = 5, Model 2 = 2; Evidence: Model 1 explicitly defines multiplicities and relationships for all major domain concepts, e.g., `ToxicityProfile "1" --&gt; "*" AdverseEvent : flags` and `StudyCohort "*" --&gt; "1" AssayProtocol : assigned`. Model 2 provides only basic associations without any multiplicities (e.g., `Compound o-- DrugCandidate`) and misses many critical relationships like linking `SimulationModel` to `Compound` or `ClinicalTrial` to `StudyCohort`.
3. Model attributes with appropriate data types: Model 1 = 5, Model 2 = 2; Evidence: Model 1 models detailed attributes correctly, such as `SimulationModel` having `solventInclusion: Boolean` and `forceFieldConfig: String`, and `DrugCandidate` tracking `isValidated: Boolean` and `validationDate: Date`. Model 2 misses these detailed attributes and incorrectly merges domain concepts into primitive strings (e.g., `DrugCandidate` has `dosageRegimen: String` and `toxicityProfile: String`).
4. Consistencies of Terminology with given context: Model 1 = 5, Model 2 = 2; Evidence: Model 1 strictly adheres to the terminology in the requirement (`LaboratoryExperiment`, `QuantitativeResult`, `BindingAffinity`, `AssayProtocol`). Model 2 uses generic or abbreviated terms like `Project`, `Experiment`, `Result`, `Validator`, and `Interaction` which significantly deviate from the provided context.
5. Adherence of UML class diagram standards: Model 1 = 5, Model 2 = 4; Evidence: Both models use valid PlantUML syntax. Model 1 properly utilizes enumerations (`StudyType`, `ModelStatus`), inheritance (`&lt;|--`), and associations with multiplicities and role labels. Model 2 is syntactically valid but structurally sparse, utilizing aggregation/composition loosely without multiplicities or role names.
Total: Model 1 = 25, Model 2 = 12
Choice: A
Reason:
1. Appropriate conceptual classes aligned with the domain: Model 1 vastly outperforms Model 2 by explicitly representing all domain concepts as dedicated classes rather than merging them as string attributes.
2. Associations/Multiplicities between classes for domain reasoning: Model 1 provides comprehensive multiplicities and accurate relationships reflecting the requirement's complex interactions. Model 2 fails to capture the depth of these relationships, omitting multiplicities and essential links entirely.
3. Model attributes with appropriate data types: Model 1 correctly extracts and types all relevant attributes (e.g., `solventInclusion`, `forceFieldConfig`), whereas Model 2 misses these and misrepresents structured data as simple strings.
4. Consistencies of Terminology with given context: Model 1 faithfully uses the domain-specific terminology, whereas Model 2's generic names fail to align with the provided requirement context.
5. Rejected or checked issues: No unsupported issues were used. The lack of multiplicities and distinct classes in Model 2 directly violates domain reasoning criteria and is properly penalized.
6. Overall judgment: Model 1 is objectively better as it provides a complete, accurate, and standard-compliant representation of the complex domain, while Model 2 is overly simplified and misses critical domain semantics and structures.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</si>
  <si>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</si>
  <si>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is missing a vast number of crucial domain classes such as `ChemicalLibrary`, `DosageRegimen`, `ToxicityProfile`, `AdverseEvent`, `SafetyAssessment`, `StudyCohort`, `AssayProtocol`, `PharmacokineticStudy`, `RegulatoryAgency`, and `PublicationRecord`. Model 2 correctly identifies all of these, modeling compound subclasses as `SmallMolecule`, `Biologic`, `Peptide`, and `SyntheticCompound`.
2. Associations/Multiplicities between classes for domain reasoning: Model 1 = 2, Model 2 = 5; Evidence: Model 1's associations lack multiplicities entirely (e.g., `Researcher -- Project`, `Compound o-- DrugCandidate`) and miss most domain relationships (e.g., target proteins, safety assessments, cohorts). Model 2 correctly captures multiplicities and role names for nearly all complex interactions (e.g., `Researcher "1" --&gt; "*" ResearchProject : leads`, `DrugCandidate "1" --&gt; "1" ToxicityProfile : includes`, `SafetyAssessment "*" --&gt; "*" AdverseEvent : links to`).
3. Model attributes with appropriate data types: Model 1 = 2, Model 2 = 5; Evidence: Model 1 represents complex domain concepts as primitive strings (e.g., `+dosageRegimen: String`, `+toxicityProfile: String`), which fails to capture the required details like amount, frequency, and unit. Model 2 breaks these out into dedicated classes with precise attributes (e.g., `DosageRegimen` with `amount`, `frequency`, `unit`), and properly models `SimulationModel` attributes like `solventInclusion` and `forceFieldConfig`.
4. Consistencies of Terminology with given context: Model 1 = 3, Model 2 = 5; Evidence: Model 1 uses generic names like `Experiment`, `Result`, `Report`, and `Protocol` instead of the context-specific terms `LaboratoryExperiment`, `QuantitativeResult`, `CompoundReport`, and `AssayProtocol`. Model 2 aligns perfectly with the terminology used in the requirement.
5. Adherence of UML class diagram standards: Model 1 = 4, Model 2 = 5; Evidence: Model 1's syntax is valid but simplistic, failing to utilize multiplicities and using only basic associations. Model 2 uses standard UML/PlantUML properly, including inheritance (e.g., `MolecularCompound &lt;|-- SmallMolecule`), enums, and fully specified associations with multiplicities and role labels.
Total: Model 1 = 13, Model 2 = 25
Choice: B
Reason:
1. Appropriate conceptual classes aligned with the domain: Model 2 is vastly superior as it includes nearly all domain classes explicitly mentioned in the requirement, whereas Model 1 misses critical classes like `ChemicalLibrary`, `ToxicityProfile`, `SafetyAssessment`, `StudyCohort`, and `RegulatoryAgency`.
2. Associations/Multiplicities between classes for domain reasoning: Model 2 properly establishes the relationships between complex domain entities (e.g., SafetyAssessment linking to AdverseEvent and ToxicityProfile), while Model 1 omits these entirely and lacks multiplicity constraints.
3. Model attributes with appropriate data types: Model 2 extracts complex concepts like DosageRegimen and ToxicityProfile into separate classes with their respective attributes, adhering strictly to the requirement. Model 1 incorrectly flattens them into simple string attributes.
4. Consistencies of Terminology with given context: Model 2 uses the exact terminology from the requirement (e.g., `LaboratoryExperiment`, `AssayProtocol`), while Model 1 uses generic abbreviations.
5. Rejected or checked issues: No major issues found in Model 2's logic. The requirement explicitly asks for separate classes for dosage regimens and toxicity profiles, which Model 1 failed to implement.
6. Overall judgment: Model 2 is a comprehensive and highly accurate representation of the domain, vastly outperforming Model 1 in every single criterion.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</si>
  <si>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</si>
  <si>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concerns into dedicated, highly cohesive classes like `DosageRegimen` (with amount, frequency, unit), `ToxicityProfile` (with isCarcinogenic), and `AdverseEvent` (with category, severity, etc.), maintaining appropriate coupling through explicit associations. Model 2 lacks cohesion by reducing complex concepts like `dosageRegimen` and `toxicityProfile` to primitive `String` attributes inside `DrugCandidate`, which violates domain modeling best practices.
2. Complexity: Model 1 = 5, Model 2 = 2; Evidence: Model 1 accurately distinguishes between conceptual classes and attributes, introducing necessary domain classes like `StudyCohort`, `SafetyAssessment`, `PharmacokineticStudy`, `RegulatoryAgency`, and `PublicationRecord` that align with the extensive requirements. Model 2's complexity is overly simplified and incomplete; it merges distinct concepts (e.g., combining `QuantitativeResult` and `ExperimentLog` into a single `Result` class) and omits several required domain classes, failing to capture the full scope of the project's requirements.
3. Practicability: Model 1 = 5, Model 2 = 2; Evidence: Model 1 offers a clear, comprehensive, and modular representation of the software structure, covering all specified aspects from compound identification through clinical testing and regulatory review, making it highly practical for implementation and robust testing. Model 2 is impractical for a real-world application of this scale because it omits critical components and lacks modularity (e.g., missing `SafetyAssessment`, flattening complex toxicity data into a string), hindering proper development and maintenance.
Total: Model 1 = 15, Model 2 = 6
Choice: A
Reason:
1. Cohesion and Decoupling: Model 1 demonstrates superior cohesion by modeling complex domain concepts as distinct classes (e.g., `DosageRegimen`, `ToxicityProfile`, `SafetyAssessment`), whereas Model 2 improperly merges these into primitive string attributes within `DrugCandidate`, reducing design quality and modularity.
2. Complexity: Model 1 strikes the right balance of complexity for the given requirement by introducing 29 well-scoped classes that map directly to the domain text. Model 2 is far too simplistic, omitting key entities like `RegulatoryAgency`, `PublicationRecord`, and `PharmacokineticStudy`, and merging distinct requirements into single classes (e.g., `Result`).
3. Rejected or checked issues: I did not penalize Model 2 for using primitive types like `Double` instead of `Float`, as per the instructions. The penalty for Model 2 is strictly based on the omission of critical domain concepts and the flattening of complex domain entities into strings, which clearly contradicts the requirement details.
4. Overall judgment: Model 1 is definitively better because it provides a complete, highly modular, and domain-accurate UML class diagram that adheres to software engineering best practices, while Model 2 misses a substantial portion of the required functionality and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</si>
  <si>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</si>
  <si>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5; Evidence: Model 1 exhibits low cohesion by flattening complex domain concepts into primitive string attributes, such as `DrugCandidate` having `dosageRegimen: String` and `toxicityProfile: String`, and `Result` aggregating `meanValue`, `timestamp`, and `log` into a single class. Model 2 demonstrates high cohesion and low coupling by breaking down these concepts into distinct classes like `DosageRegimen`, `ToxicityProfile`, `AdverseEvent`, and `QuantitativeResult`, each with clear responsibilities and well-defined associations.
2. Complexity: Model 1 = 2, Model 2 = 5; Evidence: Model 1 is overly simplistic and omits a large number of required domain concepts (e.g., Chemical Library, Adverse Events, Safety Assessment, Publication Record, Regulatory Agency, Pharmacokinetic Study, Study Cohort). It misses the explicit classification of compound types as classes or enumerations beyond a simple enum. Model 2 strikes an appropriate balance, with 28 classes and 2 enums, capturing the required depth of the domain. It uses inheritance (`MolecularCompound &lt;|-- SmallMolecule`, etc.) and distinct classes for clinical trial types (`StudyType` enum) without becoming unnecessarily convoluted.
3. Practicability: Model 1 = 2, Model 2 = 5; Evidence: Model 1 is difficult to program and test due to the reliance on string representations for structured data (e.g., `trialType: String`, `toxicityProfile: String`), which obscures business logic and prevents type safety. Missing classes also make it an incomplete representation of the requirements. Model 2 is highly practical, using appropriate enumerations (`StudyType`, `ModelStatus`) and clear compositions that are easy to implement in object-oriented code, support modularity, and allow for robust unit and acceptance testing of individual components like `SafetyAssessment` and `StatisticalAnalysis`.
Total: Model 1 = 6, Model 2 = 15
Choice: B
Reason:
1. Cohesion and Decoupling: Model 2 is significantly better because it properly separates domain concepts into discrete, highly cohesive classes with low coupling, whereas Model 1 merges distinct concepts into single classes or primitive types.
2. Complexity: Model 2 accurately reflects the complexity of the requirements by introducing all necessary domain classes and relationships. Model 1 under-models the domain, omitting critical components and failing to represent the rich business rules specified.
3. Rejected or checked issues: No forbidden penalties were applied. Model 2's use of enumerations and well-defined associations is semantically clear and improves the design. Model 1's omission of classes like `ChemicalLibrary` and `SafetyAssessment` is a significant domain-faithfulness problem, not a simplification.
4. Overall judgment: Model 2 is far superior as it comprehensively and practically models the end-to-end requirements of the AI-Assisted Drug Discovery Platform, while Model 1 is incomplete and poorly structured.</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</si>
  <si>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</si>
  <si>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</si>
  <si>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</si>
  <si>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and Attribute Alignment: Model 1 = 5, Model 2 = 4; Evidence: Both models include the required conceptual classes (FlightInstance, AircraftStatus, CrewMember, FlightPlan, etc.) and their respective attributes. However, Model 2 explicitly includes `operationalStatus: String` in `FlightInstance`, whereas the requirement states that the operational status is "derived from an associated aircraft status record", making it a derived relationship rather than a direct string attribute. Model 1 handles this correctly by only associating `FlightInstance` with `AircraftStatus`.
2. Relationships, Cardinalities, and Types (Composition/Aggregation): Model 1 = 5, Model 2 = 4; Evidence: The requirement states that "Each flight plan... is composed of multiple route segments". Model 1 correctly models this as a composition (`FlightPlan *-- "1..*" RouteSegment`), while Model 2 models it as a standard association (`FlightPlan "1" --&gt; "*" RouteSegment : composed of`), failing to capture the strong lifecycle dependency. Additionally, for "Airport terminals provide access to these runways", Model 1 correctly captures the navigability (`AirportTerminal --&gt; "0..*" Runway`), while Model 2 reverses the navigability (`Runway "*" --&gt; "*" AirportTerminal : accessed by`), which is less faithful to the source requirement's semantic direction.
Total: Model 1 = 10, Model 2 = 8
Choice: A
Reason:
1. Class and Attribute Alignment: Model 1 is more accurate by not hallucinating a direct `operationalStatus` string attribute on `FlightInstance`, instead relying purely on the association with `AircraftStatus` as the text specifies.
2. Relationships, Cardinalities, and Types: Model 1 properly applies a composition relationship between `FlightPlan` and `RouteSegment` as strictly outlined in the requirement, whereas Model 2 uses a weak association. Model 1 also preserves the active navigability role of `AirportTerminal` providing access to runways.
3. Rejected or checked issues: Model 2's use of self-association for `AirspaceSector` sub-sectors instead of a dedicated `SubSector` class was not penalized, as both are semantically valid ways to represent hierarchies. Enumerations used in Model 1 are a nice touch but were not weighted heavily as they are not strictly mandated over string types.
4. Overall judgment: Model 1 demonstrates a more rigorous adherence to UML structural semantics (specifically using composition where required) and avoids slight semantic hallucinations present in Model 2, making it the better representation of the given requirement.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</si>
  <si>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</si>
  <si>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</si>
  <si>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Functionalities: Model 1 = 4, Model 2 = 3; Evidence: Model 2 introduces several enumerations with specific values that are not mentioned in the requirement (e.g., `OperationalState`, `CrewRole`, `SurfaceType`, `SeverityLevel`, `Criticality`, `DutyStatus`, `DisplayMode`). While adding some detail is acceptable, enumerating unlisted states borders on hallucination. Model 1 avoids this by using primitive types like `String` for these statuses, strictly adhering to the provided text. Model 1 also includes `operationalStatus` as an attribute in `FlightInstance`, which aligns with the text mentioning the flight has a "current operational status", even if derived.
2. Relationships, Cardinalities, and Types: Model 1 = 3, Model 2 = 5; Evidence: The requirement explicitly states that a flight plan "is composed of multiple route segments." Model 2 correctly models this using a composition relationship (`FlightPlan *-- "1..*" RouteSegment : routeSegments`). Model 1 incorrectly models this as a standard association (`FlightPlan "1" --&gt; "*" RouteSegment : composed of`). Additionally, Model 2 uses composition for sub-sectors (`AirspaceSector *-- "0..*" SubSector`), while Model 1 uses a basic self-association.
3. Clarity in Class Names and Attributes: Model 1 = 5, Model 2 = 4; Evidence: Model 1 accurately uses the class name `SystemDashboard` as stated in the requirement ("utilizes a system dashboard"). Model 2 renames this to `ControllerDashboard`, which deviates from the specified nomenclature. Model 2 also adds extra attributes not explicitly requested (e.g., `name` for `AirportTerminal`, `Waypoint`, and `ControlTower`), while Model 1 keeps the attributes strictly to those required by the text.
Total: Model 1 = 12, Model 2 = 12
Choice: C
Reason:
1. Requirement Alignment and Functionalities: Model 2 hallucinates enum values for several statuses not strictly defined in the requirement, making Model 1 slightly better in strict alignment, though Model 1 redundantly adds `operationalStatus` as a string attribute.
2. Relationships, Cardinalities, and Types: Model 2 is superior here because it correctly implements UML composition (`*--`) for the `FlightPlan` to `RouteSegment` relationship as mandated by the word "composed of" in the requirement. Model 1 used a basic association for this key relationship.
3. Rejected or checked issues: I did not penalize Model 1 for using a self-association for sub-sectors instead of creating a new `SubSector` class, as both are semantically valid ways to represent hierarchical containment in UML. I also did not penalize Model 2 for using `1..*` for the crew assignment, as a crew must have at least one member.
4. Overall judgment: Both models have their strengths and weaknesses that balance out. Model 2 demonstrates better UML semantics by correctly using composition for the flight plan, but it introduces unlisted enumerations and deviates from the `SystemDashboard` naming. Model 1 aligns perfectly with the class names and avoids enum hallucination but misses the composition relationship requirement. Given these trade-offs, the models are tied in quality.
```</t>
  </si>
  <si>
    <t>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</si>
  <si>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</si>
  <si>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domain classes, including FlightInstance, AircraftStatus, CrewMember, FlightPlan, RouteSegment, Waypoint, AirspaceSector, Runway, ControlTower, and AirTrafficController. Model 1 explicitly models a `SubSector` class, while Model 2 uses a self-referential association on `AirspaceSector` to represent sub-sectors; both are valid domain representations.
2. Associations/Multiplicities between classes for domain reasoning: Model 1 = 5, Model 2 = 5; Evidence: Both models accurately capture the domain relationships and multiplicities. Model 1 models RouteSegment connecting to exactly 2 Waypoints (`RouteSegment --&gt; "2" Waypoint`), while Model 2 explicitly models start and end waypoints (`RouteSegment "1" --&gt; "1" Waypoint : startWaypoint` and `: endWaypoint`). Both correctly model FlightPlan being composed of RouteSegments, AirspaceSectors managing Runways, and RadarSystems monitoring AirspaceSectors.
3. Model attributes with appropriate data types: Model 1 = 5, Model 2 = 4; Evidence: Model 1 appropriately defines and uses specific Enumerations for attributes like `OperationalState`, `ClearanceLevel`, `WeatherConditionType`, `NavAidType`, and `SeverityLevel`, and correctly types `systemHealthScore` as `double` and waypoint coordinates as separate `latitude` and `longitude` doubles. Model 2 uses generic `String` types for many of these attributes (e.g., `operationalState: String`, `role: String`, `severityLevel: String`, `altitudeLevels: String`, `geographicCoordinates: String`), which is less precise and less aligned with best practices.
4. Consistencies of Terminology with given context: Model 1 = 5, Model 2 = 5; Evidence: Both models use terminology consistent with the requirement, such as FlightInstance, AircraftStatus, MaintenanceRecord, and FlightLog. Model 1 uses `ControllerDashboard` while Model 2 uses `SystemDashboard`, both of which accurately reflect the "system dashboard" term from the requirement.
5. Adherence of UML class diagram standards: Model 1 = 5, Model 2 = 4; Evidence: Model 1 strictly adheres to UML standards by explicitly defining Enumerations for categorical data and properly typing all method parameters and attributes. Model 2 omits types for several methods (e.g., `verifyCertification()`, `maintainFlightLog()`) and uses loosely defined `String` types where structured enums or primitives would be more appropriate, making the diagram slightly less rigorous in standard UML modeling.
Total: Model 1 = 25, Model 2 = 23
Choice: A
Reason:
1. Appropriate conceptual classes aligned with the domain: Both models performed equally well, capturing all the essential domain concepts. Model 1's explicit `SubSector` class and Model 2's self-association are both valid interpretations of the requirement.
2. Associations/Multiplicities between classes for domain reasoning: Both models correctly applied multiplicities and relationships, such as the composition of RouteSegments in FlightPlans, and the connection of exactly two Waypoints per RouteSegment.
3. Rejected or checked issues: Model 2 includes `operationalStatus: String` in `FlightInstance`, whereas Model 1 omits it. The requirement states operational status is "derived from an associated aircraft status record", so omitting it or keeping it as a derived attribute are both acceptable; thus, this was not used to penalize Model 1.
4. Overall judgment: Model 1 is better primarily due to its superior attribute modeling and adherence to UML standards. By explicitly creating and utilizing enumerations for categorical attributes (e.g., `ClearanceLevel`, `WeatherConditionType`, `NavAidType`) and correctly typing numerical values and coordinates, Model 1 provides a much more robust and semantically accurate class diagram compared to Model 2's frequent use of generic `String` types.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</si>
  <si>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</si>
  <si>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major domain concepts such as FlightInstance, AircraftStatus, FlightPlan, RouteSegment, Waypoint, NavigationAid, AirspaceSector, Runway, ControlTower, etc. Model 2 introduces a separate SubSector class and renames SystemDashboard to ControllerDashboard, but these are valid semantic refinements rather than missing concepts.
2. Associations/Multiplicities between classes for domain reasoning: Model 1 = 5, Model 2 = 5; Evidence: Both models correctly implement the required domain reasoning. Model 1 uses two `1 --&gt; 1` associations for start/end Waypoints on a RouteSegment, while Model 2 uses a single `--&gt; "2" Waypoint` association. Both accurately reflect "connects exactly two waypoints". Model 2 models the crew assignment more precisely as `FlightInstance --&gt; "1..*" CrewMember`, whereas Model 1 uses `FlightInstance "*" --&gt; "*" CrewMember`. Both correctly link MaintenanceRecord to both AircraftStatus and Runway.
3. Model attributes with appropriate data types: Model 1 = 3, Model 2 = 5; Evidence: Model 1 heavily relies on generic String types for attributes that should be typed as enums or specific data structures, such as `operationalStatus: String`, `operationalState: String`, `severityLevel: String`, `surfaceType: String`, `criticality: String`, `dutyStatus: String`, `displayMode: String`, and `geographicCoordinates: String`. Model 2 significantly improves on this by defining and utilizing appropriate Enumerations for these attributes (e.g., `OperationalState`, `SeverityLevel`, `SurfaceType`, `Criticality`, `DutyStatus`, `DisplayMode`) and correctly models geographic coordinates using `latitude: double` and `longitude: double`.
4. Consistencies of Terminology with given context: Model 1 = 5, Model 2 = 4; Evidence: Model 1 perfectly matches the requirement's terminology, specifically using `SystemDashboard` as requested. Model 2 slightly deviates by renaming it to `ControllerDashboard` and introducing `SubSector` instead of just recursive sectors, which is a minor inconsistency with the provided text.
5. Adherence of UML class diagram standards: Model 1 = 5, Model 2 = 5; Evidence: Both models correctly use standard UML and PlantUML syntax for classes, enumerations, attributes, methods, and relationships (including composition, aggregation, and directional associations). The diagrams are easily comprehensible.
Total: Model 1 = 23, Model 2 = 24
Choice: B
Reason:
1. Appropriate conceptual classes: Both models successfully captured all the required domain classes without missing any key components.
2. Associations/Multiplicities: Both models accurately mapped the complex relationships in the domain, including the tricky "connects exactly two waypoints" and maintenance tracking for multiple components. 
3. Model attributes: Model 2 is notably superior here. By defining and using proper Enums for states, roles, conditions, and other categorical data, and properly typing coordinates as lat/long doubles, Model 2 demonstrates much better software engineering practices compared to Model 1's over-reliance on the String type.
4. Terminology: Model 1 is slightly better for strictly adhering to the "SystemDashboard" naming, whereas Model 2 uses "ControllerDashboard".
5. Rejected or checked issues: The use of `SubSector` in Model 2 was considered, but since it semantically preserves the recursive nature of the sectors without contradicting the requirement, it was not penalized heavily. 
6. Overall judgment: Model 2 is the better model overall because its accurate use of data types and enumerations results in a much more robust and realistic software design, outweighing Model 1's minor advantage in strict terminology adherence.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</si>
  <si>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</si>
  <si>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accurately models the required associations for crew member capabilities, such as `CrewMember --&gt; "0..*" AirportTerminal : accessibleTerminals` and `CrewMember --&gt; "0..*" MaintenanceRecord : reportedMaintenance`, reflecting the requirement. Model 2 omits these crucial associations for accessing terminals and reporting maintenance issues, leading to higher implicit coupling by leaving these actions as isolated methods without structural links.
2. Complexity: Model 1 = 4, Model 2 = 4; Evidence: Both models maintain a reasonable number of classes. Model 1 uses enums (e.g., `ClearanceLevel`, `WeatherConditionType`) to constrain attributes, which adds appropriate, well-structured complexity. Model 2 simplifies this by using `String` for attributes like `severityLevel` and `criticality`, which reduces class count but loses domain type safety. Both effectively handle sub-sectors: Model 1 via a `SubSector` class, and Model 2 via a self-referencing association on `AirspaceSector`.
3. Practicability: Model 1 = 5, Model 2 = 3; Evidence: Model 1 is highly practical and testable because it translates the domain's closed lists into enums (e.g., `SurfaceType`, `SeverityLevel`, `NavAidType`), and fully maps structural relationships like `MaintenanceRecord` targets and `AirportTerminal` access. Model 2 lacks structural associations for crew members reporting maintenance and accessing terminals, reducing its viability for real-world validation. Furthermore, using `String` for operational state and criticality in Model 2 is less practical than Model 1's enums.
Total: Model 1 = 13, Model 2 = 10
Choice: A
Reason:
1. Cohesion and Decoupling: Model 1 better decouples and structurally connects concepts like crew member access to terminals and maintenance reporting, which Model 2 misses entirely. 
2. Complexity: Both models handle complexity well, but Model 1's use of enums for fixed domain values (like weather conditions and clearance levels) aligns better with the detailed requirements without introducing unnecessary classes.
3. Rejected or checked issues: Model 2's use of self-association for sub-sectors was checked as a valid alternative to Model 1's explicit `SubSector` class, and was not penalized. Model 2's use of two separate associations for `startWaypoint` and `endWaypoint` was also considered a valid alternative to Model 1's `2` multiplicity.
4. Overall judgment: Model 1 is better because it provides a more complete, type-safe, and structurally sound representation of the domain, capturing all relationships required by the prompt, particularly around crew member capabilities and system health tracking. Model 2's missing associations and reliance on string types make it less practical and less faithful to the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</si>
  <si>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</si>
  <si>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group classes logically into domains. Model 1 models sub-sectors via a recursive self-association (`AirspaceSector "1" --&gt; "0..*" AirspaceSector : contains sub-sectors`), which keeps coupling lower by not adding extra classes. Model 2 introduces a `SubSector` class (`AirspaceSector *-- "0..*" SubSector`), which increases coupling slightly but adds a `sectorCode` attribute, maintaining high cohesion. Both designs appropriately manage dependencies (e.g., isolating dashboard and communication components).
2. Complexity: Model 1 = 4, Model 2 = 5; Evidence: Model 1 has 20 classes and 3 enums, representing the core concepts. It uses String types for constraints like weather conditions, severity, and duty status, keeping the model simple. Model 2 has 21 classes and 10 enums, adding detailed enumerations for `OperationalState`, `CrewRole`, `SurfaceType`, `SeverityLevel`, `Criticality`, `DutyStatus`, and `DisplayMode`. While this increases complexity, it aligns well with domain constraints and improves semantic richness without creating unnecessary conceptual classes.
3. Practicability: Model 1 = 4, Model 2 = 4; Evidence: Model 2 provides explicit return types and parameter types for methods (e.g., `+verifyCertification(): boolean`), which improves implementation readiness. Model 1 uses simpler method signatures. For the "exactly two waypoints" requirement, Model 1 uses two specific associations (`startWaypoint` and `endWaypoint`, both `1..1`), which is highly practical for navigation logic. Model 2 uses a single association with multiplicity `2` (`RouteSegment --&gt; "2" Waypoint`), which satisfies the constraint but loses the start/end distinction. Both models are readable and support testing strategies adequately.
Total: Model 1 = 12, Model 2 = 13
Choice: B
Reason:
1. Cohesion and Decoupling: Both models are highly cohesive and well-decoupled. Model 1's self-referencing association for sub-sectors is slightly simpler, while Model 2's dedicated `SubSector` class is also cohesive and acceptable.
2. Complexity: Model 2 is more detailed but appropriately so. It introduces a rich set of enums for statuses and types (e.g., `SeverityLevel`, `Criticality`, `SurfaceType`) that align perfectly with the requirements, giving it an edge in domain fidelity over Model 1, which relies heavily on Strings for these constraints.
3. Rejected or checked issues: The use of `2` multiplicity in Model 2 for the `RouteSegment` to `Waypoint` association was considered a potential weakness for losing start/end semantics, but it strictly fulfills the requirement of "exactly two waypoints." Conversely, Model 1's start/end distinction is not required by the text but is a nice practical touch. Neither was penalized heavily.
4. Overall judgment: Model 2 is slightly better due to its enhanced use of enums to capture domain constraints (like `SeverityLevel`, `SurfaceType`, `OperationalState`) and its explicit method signatures, which increase practicability and domain accuracy without sacrificing clarity.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</si>
  <si>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</si>
  <si>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(Conceptual classes and functionalities): Model 1 = 5, Model 2 = 1; Evidence: Model 1 includes all required classes such as AirportTerminal, SubSector, and NavigationAid, and accurately represents their attributes and methods (e.g., `AircraftStatus` with `registrationNumber`, `FlightPlan` with `computeAltitudeAdjustment(emergencyStatus: boolean)`). Model 2 completely omits `AirportTerminal`, `SubSector`, and `NavigationAid` classes, misrepresents `Waypoint` by merging it with navigation aid attributes, and introduces a hallucinated class `RoomMaster` linked to `FlightInstance`.
2. Associations, cardinalities, relationship types: Model 1 = 5, Model 2 = 2; Evidence: Model 1 accurately models strict multiplicities such as `RouteSegment --&gt; "2" Waypoint` and `FlightInstance --&gt; "1" FlightPlan`, and uses precise compositions like `AirspaceSector *-- "0..*" SubSector`. It correctly links `FlightPlan` and `RouteSegment` to `WeatherReport`. Model 2 misses critical associations entirely (e.g., `FlightPlan` to `WeatherReport`, `AirspaceSector` to `NavigationAid`, `AirportTerminal` to `Runway`, `AirTrafficController` to `FlightPlan`) and defaults to vague unidirectional compositions without proper cardinalities (e.g., `RouteSegment -- Waypoint` does not specify exactly two waypoints).
3. Clarity in class names and attributes: Model 1 = 5, Model 2 = 3; Evidence: Model 1 uses descriptive class names and properly typed attributes with enums (e.g., `ClearanceLevel`, `WeatherConditionType`). Model 2 uses generic `String` for almost all attributes that should be specific types or enums (e.g., `clearanceLevel: String`, `severityLevel: String`), reducing semantic clarity, and contains a non-domain class name `RoomMaster`.
Total: Model 1 = 15, Model 2 = 6
Choice: A
Reason:
1. Alignment with requirement: Model 1 perfectly adheres to the domain rules, capturing every class, attribute, and operation exactly as specified. Model 2 fails to capture several key components (like `AirportTerminal` and `NavigationAid`) and introduces an invalid class (`RoomMaster`).
2. Associations and cardinalities: Model 1 correctly models complex relationships, such as the exact two-waypoint connection for `RouteSegment` and the influence of `WeatherReport` on both `FlightPlan` and `RouteSegment`. Model 2 lacks these specific constraints and omits multiple required relationships.
3. Rejected or checked issues: The absence of enumerations in Model 2 was considered, but since the prompt allows primitive types and aliases, the primary deduction for Model 2 comes from structural omissions, hallucinated classes, and missing constraints, rather than just the lack of enums.
4. Overall judgment: Model 1 is vastly superior as it comprehensively and accurately covers all requirements with precise relationships and multiplicities, whereas Model 2 is incomplete, semantically flawed, and introduces elements not found in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</si>
  <si>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</si>
  <si>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1, Model 2 = 5; Evidence: Model 1 hallucinates a `RoomMaster` class linked to `FlightInstance` and completely misses key required classes such as `AirportTerminal`, `NavigationAid`, and `SubSector`. It also incorrectly links `WeatherReport` directly to `FlightInstance` instead of influencing `FlightPlan` and `RouteSegment`. Model 2 includes all required classes (`AirportTerminal`, `NavigationAid`, `SubSector`, `SubSector`, etc.) and accurately maps their relationships to the requirement without hallucinations.
2. Associations, Cardinalities, and Relationship Types: Model 1 = 2, Model 2 = 5; Evidence: Model 1 omits multiplicities on most relationships (e.g., `RouteSegment -- Waypoint`, `AirspaceSector *-- Runway`, `Runway -- ControlTower`) and uses composition (`*--`) ubiquitously without clear domain justification. It fails to specify that a `RouteSegment` connects exactly two waypoints. Model 2 provides clear multiplicities and role names (e.g., `RouteSegment --&gt; "2" Waypoint`, `FlightPlan --&gt; "1" FlightInstance : governs`, `ControlTower --&gt; "1..*" AirTrafficController`) matching the requirements precisely.
3. Clarity in Class Names and Attributes: Model 1 = 3, Model 2 = 5; Evidence: Model 1 uses appropriate class names but misses some required attributes (e.g., missing display modes in `Dashboard`, missing `processScanData` in `RadarSystem`). Model 2 provides clear class names and fully covers the required attributes, appropriately using enumerations to represent constrained types (e.g., `ClearanceLevel`, `WeatherConditionType`, `NavAidType`), which improves domain clarity.
Total: Model 1 = 6, Model 2 = 15
Choice: B
Reason:
1. Alignment with Requirement: Model 2 captures the entire domain accurately, including classes and relationships that Model 1 entirely omitted (like `AirportTerminal`, `NavigationAid`, and `SubSector`) and avoids hallucinated elements like Model 1's `RoomMaster`.
2. Associations, Cardinalities, and Relationship Types: Model 2 properly details the associations with accurate cardinalities (e.g., exactly two waypoints per route segment, one flight plan governing one flight instance). Model 1 leaves most cardinalities blank and misrepresents others.
3. Rejected or checked issues: The use of enums in Model 2 could be seen as an addition, but they directly reflect the constrained lists provided in the requirements (e.g., Ground or Tower, Clear/Cloudy/Storm/Fog), thus they are considered domain-faithful refinements rather than hallucinations.
4. Overall judgment: Model 2 is vastly superior as it accurately and comprehensively represents the required domain model with correct UML semantics, while Model 1 is incomplete, lacks cardinalities, and contains hallucinations.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</si>
  <si>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</si>
  <si>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accurately models all required domain classes including NavigationAid, AirportTerminal, SubSector, and FlightLog. Model 2 incorrectly merges NavigationAid into Waypoint (giving Waypoint attributes like frequency), misses AirportTerminal and SubSector entirely, and bizarrely includes an undefined and unrelated `RoomMaster` class.
2. Associations/Multiplicities between classes for domain reasoning: Model 1 = 5, Model 2 = 1; Evidence: Model 1 correctly models all required associations with appropriate multiplicities, such as `FlightInstance --&gt; "1..*" CrewMember`, `RouteSegment --&gt; "2" Waypoint`, and `AirspaceSector *-- "0..*" SubSector`. Model 2 entirely omits multiplicities for all relationships, misses key associations like FlightInstance to AirportTerminal, and has an invalid association `FlightInstance -- RoomMaster`.
3. Model attributes with appropriate data types: Model 1 = 5, Model 2 = 2; Evidence: Model 1 assigns appropriate data types and includes all necessary attributes (e.g., Waypoint has latitude and longitude). Model 2 places NavigationAid attributes (type, frequency) directly into Waypoint, misses AirportTerminal attributes entirely, and adds `operationalStatus` as a direct attribute to FlightInstance despite the requirement stating it is "derived from an associated aircraft status record".
4. Consistencies of Terminology with given context: Model 1 = 5, Model 2 = 2; Evidence: Model 1 uses exact terms from the requirement such as AircraftStatus, AirportTerminal, ControllerDashboard, and NavigationAid. Model 2 uses inconsistent or missing terms like `Dashboard` instead of ControllerDashboard, `AircraftStatusRecord` (slightly off but acceptable), and the inexplicable `RoomMaster` class. 
5. Adherence of UML class diagram standards: Model 1 = 5, Model 2 = 4; Evidence: Both models use valid PlantUML syntax. However, Model 2's lack of multiplicities on any of its associations degrades the UML semantic representation compared to Model 1, which correctly implements multiplicities, enumerations, and directed associations.
Total: Model 1 = 25, Model 2 = 11
Choice: A
Reason:
1. Appropriate conceptual classes aligned with the domain: Model 1 correctly identifies all classes including NavigationAid, AirportTerminal, and SubSector. Model 2 misses these and introduces an unrelated RoomMaster.
2. Associations/Multiplicities between classes for domain reasoning: Model 1 provides detailed and accurate associations with proper multiplicities (e.g., RouteSegment connects to exactly 2 Waypoints). Model 2 lacks multiplicities entirely and misses critical relationships.
3. Rejected or checked issues: We ignored the exact spelling of primitive types and aliases between models, as instructed by the forbidden penalties. The decision rests entirely on domain completeness, semantic accuracy, and missing relationships in Model 2.
4. Overall judgment: Model 1 is vastly superior as it completely and accurately translates the domain requirements into a well-structured UML class diagram. Model 2 contains severe domain alignment errors, missing classes, missing multiplicities, and hallucinated concepts (RoomMaster).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</si>
  <si>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</si>
  <si>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introduces an irrelevant class `RoomMaster` and completely misses `AirportTerminal`, `SubSector`, and `NavigationAid` (erroneously placing navigation aid attributes inside `Waypoint`). Model 2 perfectly identifies all required classes including `AirportTerminal`, `SubSector`, and `NavigationAid`, and appropriately introduces domain-specific enums.
2. Associations/Multiplicities between classes for domain reasoning: Model 1 = 2, Model 2 = 5; Evidence: Model 1 misses critical associations like `AirportTerminal` to `Runway` and `AirspaceSector` to `SubSector`, and incorrectly models `FlightInstance *-- WeatherReport`. It also fails to specify the exact "2" multiplicity for `RouteSegment -- Waypoint`. Model 2 explicitly captures `RouteSegment --&gt; "2" Waypoint`, properly models `AirspaceSector *-- "0..*" SubSector`, and accurately represents all domain relationships with correct multiplicities.
3. Model attributes with appropriate data types: Model 1 = 3, Model 2 = 5; Evidence: Model 1 incorrectly models `Waypoint` with attributes like `type` and `frequency` which belong to `NavigationAid`, and misses `AirportTerminal` attributes. Model 2 correctly models `Waypoint` with `latitude` and `longitude`, models `NavigationAid` separately, and uses well-typed enums for domain constraints (e.g., `ClearanceLevel`, `WeatherConditionType`).
4. Consistencies of Terminology with given context: Model 1 = 2, Model 2 = 5; Evidence: Model 1 uses out-of-context terminology like `RoomMaster` and fails to use terms like `AirportTerminal` and `NavigationAid`. Model 2 aligns perfectly with the requirement's terminology (e.g., `SubSector`, `ControllerDashboard`, `AirspaceSector`).
5. Adherence of UML class diagram standards: Model 1 = 4, Model 2 = 5; Evidence: Model 1 has mostly valid PlantUML but lacks multiplicities and directional context for many associations. Model 2 strictly adheres to UML/PlantUML conventions, properly using directional associations with explicit multiplicities and role names.
Total: Model 1 = 13, Model 2 = 25
Choice: B
Reason:
1. Appropriate conceptual classes aligned with the domain: Model 2 is vastly superior as it captures all required classes and introduces useful domain enumerations, whereas Model 1 misses essential classes like `AirportTerminal` and `NavigationAid` and introduces an irrelevant `RoomMaster` class.
2. Associations/Multiplicities between classes for domain reasoning: Model 2 accurately models the "exactly two" relationship between `RouteSegment` and `Waypoint`, correctly links `AirspaceSector` to `SubSector`, and includes all required infrastructure relationships. Model 1 misses these and incorrectly links `WeatherReport` to `FlightInstance`.
3. Rejected or checked issues: Model 1's omission of `operationalStatus` from `FlightInstance` is a minor point since the requirement states it is derived from `AircraftStatusRecord`, but the incorrect modeling of `Waypoint` and the inclusion of `RoomMaster` are severe domain inaccuracies.
4. Overall judgment: Model 2 is a complete, highly accurate, and standard-compliant UML diagram that perfectly reflects the detailed domain requirements. Model 1 contains critical domain reasoning errors and missing classes,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</si>
  <si>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</si>
  <si>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by separating concepts like `NavigationAid`, `Waypoint`, `AirportTerminal`, and `SubSector` into distinct classes, and maintains low coupling by defining explicit associations with roles and multiplicities. Model 2 merges `NavigationAid` attributes into `Waypoint`, mixes `WeatherReport` as a part of `FlightInstance` (composition `FlightInstance *-- WeatherReport`), and includes a completely out-of-domain `RoomMaster` class, leading to low cohesion and confusing coupling.
2. Complexity: Model 1 = 5, Model 2 = 2; Evidence: Model 1 introduces a balanced level of complexity with relevant enums (e.g., `OperationalState`, `CrewRole`, `ClearanceLevel`) and appropriately distinguishes between conceptual classes like `FlightPlan`, `RouteSegment`, and `Waypoint`. Model 2 lacks essential classes like `AirportTerminal`, `SubSector`, and `NavigationAid`, and conversely adds the unrequired `RoomMaster` class, resulting in an unbalanced and domain-inaccurate complexity.
3. Practicability: Model 1 = 5, Model 2 = 2; Evidence: Model 1 is highly practical, defining clear methods like `computeAltitudeAdjustment()` and `generateClearanceMessage(flightPlan)` with precise parameters, and accurately models requirements such as `RouteSegment --&gt; "2" Waypoint`. Model 2 is impractical for real-world application due to missing requirements (e.g., no `AirportTerminal` class, no reference between `Waypoint` and `NavigationAid`), vague string types instead of domain-specific enums, and missing multiplicities, making implementation and testing difficult.
Total: Model 1 = 15, Model 2 = 6
Choice: A
Reason:
1. Cohesion and Decoupling: Model 1 properly separates domain concepts into highly cohesive classes and connects them with explicit, semantically correct associations. Model 2 fails to decouple `Waypoint` from `NavigationAid` and incorrectly models `WeatherReport` as a compositional part of `FlightInstance`.
2. Complexity: Model 1 effectively balances conceptual classes and attributes, adding useful enums for domain accuracy without overcomplicating the model. Model 2 misses critical domain classes and includes an irrelevant `RoomMaster` class, misaligning complexity with requirements.
3. Rejected or checked issues: I did not penalize Model 2 for using string types instead of enums (since the prompt permits primitive aliases), but I did penalize the omission of important domain structures and the presence of the unexplained `RoomMaster` class.
4. Overall judgment: Model 1 is significantly better. It provides a comprehensive, readable, and accurate representation of the requirement, whereas Model 2 is missing critical components, misrepresents key relationships, and contains irrelevant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</si>
  <si>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</si>
  <si>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1, Model 2 = 5; Evidence: Model 1 contains an undefined class `RoomMaster` linked to `FlightInstance`, completely omits the `AirportTerminal` class (though it references it in a method), lacks a `NavigationAid` class by conflating it with `Waypoint`, and misses the relationship between `FlightInstance` and `FlightLog`. Model 2 properly isolates `Waypoint` and `NavigationAid`, correctly models `AirportTerminal` and `SubSector`, and establishes appropriate links such as `RouteSegment --&gt; "2" Waypoint` and `Waypoint --&gt; "0..*" NavigationAid`.
2. Complexity: Model 1 = 2, Model 2 = 5; Evidence: Model 1 merges domain concepts incorrectly (e.g., assigning `type`, `frequency`, and `locationCoordinates` directly to `Waypoint`, which the requirement states are characteristics of navigation aids), and fails to model `SubSector` or `NavigationAid` as distinct classes. Model 2 introduces a well-balanced number of classes and uses `enum` types (like `ClearanceLevel`, `WeatherConditionType`) to encapsulate domain constraints without adding unnecessary class complexity.
3. Practicability: Model 1 = 1, Model 2 = 5; Evidence: Model 1's inclusion of an undefined `RoomMaster` makes the diagram syntactically and semantically flawed. It also lacks relationships required by the prompt, such as `WeatherReport` influencing `FlightPlan` and `RouteSegment`, and `RadarSystem` monitoring `AirspaceSector`. Model 2 accurately captures all these interactions (e.g., `FlightPlan --&gt; "0..*" WeatherReport`, `RouteSegment --&gt; "0..*" WeatherReport`, `RadarSystem --&gt; "1" AirspaceSector`) and provides robust method signatures (e.g., `computeAltitudeAdjustment(emergencyStatus: boolean): double`).
Total: Model 1 = 4, Model 2 = 15
Choice: B
Reason:
1. Cohesion and Decoupling: Model 2 demonstrates far superior cohesion and decoupling by accurately modeling all domain entities as distinct classes, whereas Model 1 conflates concepts, omits critical classes, and introduces a completely invalid and undefined `RoomMaster` association.
2. Complexity: Model 2 achieves an appropriate level of complexity by utilizing enums for closed lists (like `SurfaceType` and `NavAidType`) and maintaining separate classes for `Waypoint` and `NavigationAid`. Model 1 suffers from oversimplification and incorrect merging of attributes, leading to a loss of domain fidelity.
3. Rejected or checked issues: I ensured not to penalize Model 1 for its lack of method parameters alone, but its invalid class reference (`RoomMaster`) and missing mandatory classes like `AirportTerminal` are fatal semantic and structural flaws that heavily impacted its practicability score.
4. Overall judgment: Model 2 is definitively better as it comprehensively and accurately fulfills all requirements of the prompt, whereas Model 1 is incomplete, semantically incorrect, and contains undefined structural elements.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</si>
  <si>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</si>
  <si>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&amp; Functionality: Model 1 = 5, Model 2 = 2; Evidence: Model 1 captures all required elements including NavigationAid, AirspaceSector sub-sectors, and correct relationships like RouteSegment connecting exactly two Waypoints. Model 2 misses the NavigationAid class entirely (merging its attributes into Waypoint), misses AirspaceSector sub-sectors, and contains a hallucinated class `RoomMaster` linked to FlightInstance.
2. Conceptual Classes &amp; Relationships Accuracy: Model 1 = 5, Model 2 = 2; Evidence: Model 1 correctly models FlightPlan and RouteSegment being influenced by WeatherReport, Runway being controlled by ControlTower, and Dashboard displaying real-time traffic for FlightInstance. Model 2 incorrectly links WeatherReport directly to FlightInstance, misses the RadarSystem to AirspaceSector monitoring relationship, and uses a simple relationship between RouteSegment and Waypoint instead of requiring exactly two.
3. Cardinalities and Multiplicities: Model 1 = 5, Model 2 = 2; Evidence: Model 1 explicitly specifies that RouteSegment connects to exactly two Waypoints (`"1" --&gt; "1" Waypoint : startWaypoint` and `"endWaypoint"`), AirspaceSector contains sub-sectors (`"1" --&gt; "0..*" AirspaceSector`), and Dashboard displays all FlightInstances (`"*" --&gt; "*" FlightInstance`). Model 2 fails to specify the two-waypoint constraint for RouteSegment, the sub-sector containment for AirspaceSector, and the flight instance traffic display for Dashboard.
Total: Model 1 = 15, Model 2 = 6
Choice: A
Reason:
1. Alignment with Requirements &amp; Functionality: Model 1 includes all required classes and methods accurately representing the domain (e.g., NavigationAid, MaintenanceRecord links). Model 2 hallucinates a `RoomMaster` class and completely omits the `NavigationAid` class by wrongly merging it into `Waypoint`.
2. Conceptual Classes &amp; Relationships Accuracy: Model 1 correctly models the associations such as WeatherReport influencing both FlightPlan and RouteSegment, and RadarSystem monitoring AirspaceSector. Model 2 misses these critical associations and inaccurately connects WeatherReport only to FlightInstance.
3. Rejected or checked issues: Both models use primitive types or variations of them (e.g., `int` vs `Integer`), which are treated as equivalent per the forbidden penalties.
4. Overall judgment: Model 1 is vastly superior as it strictly adheres to the provided requirements, correctly modeling the classes, multiplicities, and associations without hallucinations or critical omissions, whereas Model 2 contains hallucinations, missing classes, and incorrect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</si>
  <si>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</si>
  <si>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and Attributes): Model 1 = 2, Model 2 = 5; Evidence: Model 1 hallucinates a `RoomMaster` class, completely misses `AirportTerminal` and `NavigationAid`, and incorrectly defines `type`, `frequency`, and `locationCoordinates` as attributes of `Waypoint`. It also misses `displayMode` in `Dashboard`. Model 2 correctly identifies all conceptual classes, including `AirportTerminal`, `NavigationAid`, `SystemDashboard`, and utilizes enums (`ClearanceLevel`, `ConditionType`, `NavAidType`) to accurately represent the required attributes and closed lists.
2. Alignment with requirement (Relationships and Cardinalities): Model 1 = 2, Model 2 = 5; Evidence: Model 1 incorrectly links `FlightInstance` directly to `WeatherReport` via composition, whereas the requirement states that `FlightPlan` and `RouteSegment` are influenced by weather. Model 1 also misses the association between `FlightInstance` and `FlightLog`, and fails to specify that a `RouteSegment` connects exactly two `Waypoint`s. Model 2 correctly models `RouteSegment "1" --&gt; "1" Waypoint : startWaypoint` and `RouteSegment "1" --&gt; "1" Waypoint : endWaypoint` to satisfy the "exactly two" constraint, accurately links `FlightInstance` to `FlightLog`, and properly associates `FlightPlan` and `RouteSegment` with `WeatherReport`. It also perfectly captures `AirspaceSector` containing sub-sectors.
3. Operations and Semantic correctness: Model 1 = 3, Model 2 = 5; Evidence: Model 1 lists methods like `calculateAltitude()` and `generateClearanceMessages()` but omits the required parameters `emergencyStatus` and `flightPlan` specified in the text. Model 2 includes `calculateAltitude(emergencyStatus: boolean)` and `generateClearanceMessage(flightPlan: FlightPlan)`, strictly adhering to the requirement's functional specifications. Model 2 also correctly models `Runway` having `allocate(requestTime: DateTime)`.
Total: Model 1 = 7, Model 2 = 15
Choice: B
Reason:
1. Alignment with requirement (Classes and Attributes): Model 2 correctly extracts all classes mentioned in the requirement, including `AirportTerminal`, `NavigationAid`, and `SystemDashboard`, while Model 1 hallucinates `RoomMaster` instead of `AirportTerminal` and omits `NavigationAid`. Model 2 also excels by creating enums for the closed lists (Ground/Tower, Clear/Cloudy/Storm/Fog, VOR/ILS).
2. Alignment with requirement (Relationships and Cardinalities): Model 2 accurately represents the exact two-waypoint connection for `RouteSegment` using two distinct unidirectional associations, whereas Model 1 just has a vague `RouteSegment -- Waypoint`. Model 2 also correctly links `WeatherReport` to `FlightPlan` and `RouteSegment` instead of `FlightInstance`, and accurately captures that `FlightInstance` records `FlightLog`, which `CrewMember` maintains.
3. Rejected or checked issues: Model 1's use of primitive types and lack of visibility markers are ignored as per the rules. However, the hallucinated `RoomMaster` class and the incorrect `FlightInstance *-- WeatherReport` relationship are severe domain-faithfulness issues that cannot be ignored.
4. Overall judgment: Model 2 is significantly better because it comprehensively covers all classes, attributes, relationships, and constraints outlined in the requirement without hallucinations, whereas Model 1 contains critical omissions and incorrect domain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</si>
  <si>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</si>
  <si>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all 20 required classes plus 3 enumerations (ClearanceLevel, ConditionType, NavAidType). Model 2 misses AirportTerminal and NavigationAid entirely; it incorrectly folds NavigationAid attributes into Waypoint and introduces an irrelevant "RoomMaster" class.
2. Associations/Multiplicities between classes for domain reasoning: Model 1 = 5, Model 2 = 2; Evidence: Model 1 correctly models all relationships with explicit multiplicities, such as RouteSegment connecting exactly two Waypoints (via start/end roles) and AirspaceSector containing sub-sectors. Model 2 lacks multiplicities almost everywhere, has an invalid `FlightInstance -- RoomMaster` relation, associates WeatherReport directly to FlightInstance instead of FlightPlan/RouteSegment, and misses AirspaceSector sub-sectors and navigation aids.
3. Model attributes with appropriate data types: Model 1 = 5, Model 2 = 3; Evidence: Model 1 accurately models all attributes with proper types and uses enumerations for clearance levels and condition types. Model 2 has some correct attributes but merges NavigationAid's `type` and `frequency` into Waypoint, misses `timestamp` in FlightLog, and misses `displayMode` in Dashboard.
4. Consistencies of Terminology with given context: Model 1 = 5, Model 2 = 3; Evidence: Model 1 strictly uses the requirement terminology (e.g., SystemDashboard, NavigationAid, requiredClearanceLevel). Model 2 introduces inconsistent terms like "RoomMaster", uses "Dashboard" instead of SystemDashboard, "location" instead of designatedSite, and "clearanceLevel" instead of requiredClearanceLevel.
5. Adherence of UML class diagram standards: Model 1 = 5, Model 2 = 3; Evidence: Model 1 provides a fully compliant UML class diagram with clear associations, multiplicities, roles, and enumeration declarations. Model 2 has valid syntax but severely lacks multiplicities, leaving most relationships structurally ambiguous, which degrades its standard UML representation.
Total: Model 1 = 25, Model 2 = 13
Choice: A
Reason:
1. Appropriate conceptual classes: Model 1 includes all required conceptual classes like NavigationAid and AirportTerminal, whereas Model 2 misses them and introduces an out-of-domain "RoomMaster" class.
2. Associations/Multiplicities: Model 1 provides precise and correct associations with multiplicities for all requirements (e.g., FlightPlan *-- WeatherReport, RouteSegment -&gt; Waypoint). Model 2 misses many crucial associations and lacks multiplicities entirely.
3. Model attributes: Model 1 correctly captures all attributes in their respective classes and uses enums, whereas Model 2 merges classes and drops key attributes.
4. Terminology: Model 1 strictly adheres to the requirement's terms, while Model 2 deviates with terms like RoomMaster and Dashboard.
5. Rejected or checked issues: Methods (e.g., `establishConnection`) were checked for presence but didn't overly penalize Model 2's missing methods since attributes and relationships are the primary semantic focus; however, the missing classes and incorrect associations already heavily impact its score.
6. Overall judgment: Model 1 is significantly better as it faithfully represents the domain with accurate UML semantics, precise associations, and correct attribute modeling. Model 2 contains major conceptual and structural flaws,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</si>
  <si>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</si>
  <si>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completely misses the AirportTerminal and NavigationAid classes, and bizarrely introduces a "RoomMaster" class which is irrelevant to the domain. Model 2 correctly identifies all domain classes including AirportTerminal, NavigationAid, and utilizes enums for ClearanceLevel and ConditionType.
2. Associations/Multiplicities between classes for domain reasoning: Model 1 = 2, Model 2 = 5; Evidence: Model 1 misses many crucial relationships such as AirspaceSector containing sub-sectors, AirportTerminal accessing runways, AirspaceSector equipped with NavigationAids, RadarSystem monitoring sectors, and SystemDashboard integrating radar/flight instances. It also incorrectly models FlightInstance influenced by WeatherReport instead of RouteSegment/FlightPlan. Model 2 captures almost all relationships accurately with proper multiplicities and role labels, including self-association for sub-sectors and dual associations for Waypoints in RouteSegments.
3. Model attributes with appropriate data types: Model 1 = 3, Model 2 = 5; Evidence: Model 1 incorrectly places NavigationAid attributes (type, frequency, locationCoordinates) inside Waypoint and fails to give Waypoint its required geographicCoordinates. It also represents ClearanceLevel and ConditionType as simple Strings. Model 2 correctly assigns geographicCoordinates to Waypoint, extracts NavAid attributes to the NavigationAid class, and uses enums (ClearanceLevel, ConditionType, NavAidType) with appropriate data types.
4. Consistencies of Terminology with given context: Model 1 = 2, Model 2 = 5; Evidence: Model 1 uses inconsistent or incorrect terminology such as "RoomMaster", "Dashboard" instead of "System Dashboard", and "AircraftStatusRecord" (while acceptable, it deviates slightly). Model 2 uses exact terms from the context like "AirportTerminal", "NavigationAid", "SystemDashboard", "RadarSystem", and "designatedSite".
5. Adherence of UML class diagram standards: Model 1 = 4, Model 2 = 5; Evidence: Both models use valid PlantUML syntax. However, Model 1 largely omits multiplicities on its associations, making the relationships vague. Model 2 strictly adheres to UML conventions by providing clear role labels, multiplicities, and directional arrows where appropriate.
Total: Model 1 = 13, Model 2 = 25
Choice: B
Reason:
1. Appropriate conceptual classes aligned with the domain: Model 2 perfectly aligns with the domain by identifying all required classes, whereas Model 1 hallucinates "RoomMaster" and misses "AirportTerminal" and "NavigationAid".
2. Associations/Multiplicities between classes for domain reasoning: Model 2 thoroughly models the complex relationships including sub-sectors, radar monitoring, and dashboard integrations with precise multiplicities. Model 1 misses almost all of these complex relationships and uses incorrect associations.
3. Rejected or checked issues: Both models define methods for classes like CrewMember and AirTrafficController. Method signatures in Model 2 (e.g., calculateAltitude(emergencyStatus: boolean)) align better with the requirement text than Model 1's parameterless methods.
4. Overall judgment: Model 2 is vastly superior across all criteria. It correctly extracts missing classes, represents relationships accurately with multiplicities, uses domain-faithful terminology, and properly types attributes with enums. Model 1's inclusion of "RoomMaster" and omission of crucial domain relationships make it a poor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</si>
  <si>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</si>
  <si>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correctly models classes with single responsibilities and low coupling (e.g., `Waypoint` references `NavigationAid` as a separate class). Model 2 has severe coupling and cohesion issues: it assigns `type`, `frequency`, and `locationCoordinates` to `Waypoint` instead of separating `NavigationAid`, and it incorrectly composes `WeatherReport` directly under `FlightInstance` when the requirement states weather reports influence flight plans and route segments.
2. Complexity: Model 1 = 5, Model 2 = 3; Evidence: Model 1 appropriately balances class count with requirements, including necessary classes like `NavigationAid`, `AirportTerminal`, and properly modeling `RouteSegment` connecting exactly two `Waypoint`s. Model 2 introduces an undefined `RoomMaster` class (`FlightInstance -- RoomMaster`) which adds unnecessary and erroneous complexity, while omitting `NavigationAid` and `AirportTerminal`.
3. Practicability: Model 1 = 5, Model 2 = 1; Evidence: Model 1 provides a clear, comprehensive, and implementable design with correct attributes, methods, and relationships (e.g., `FlightInstance` linked to `AirportTerminal`, `MaintenanceRecord` tracking both `AircraftStatus` and `Runway`). Model 2 is practically unusable: it misses major required components like `AirportTerminal` and `NavigationAid`, hallucinates `RoomMaster`, fails to specify that `RouteSegment` connects exactly two waypoints, and misses sub-sectors in `AirspaceSector`.
Total: Model 1 = 15, Model 2 = 6
Choice: A
Reason:
1. Cohesion and Decoupling: Model 1 correctly encapsulates navigation aid properties in `NavigationAid` and waypoint coordinates in `Waypoint`. Model 2 mixes these attributes into `Waypoint` and fails to include `NavigationAid` at all. Model 1 also correctly associates `WeatherReport` with `FlightPlan` and `RouteSegment`, whereas Model 2 incorrectly composes it under `FlightInstance`.
2. Complexity: Model 1 introduces the correct intermediate classes required by the domain (`NavigationAid`, `AirportTerminal`) and avoids unnecessary classes. Model 2 adds a bizarre, undefined `RoomMaster` class instead of correctly modeling the departure terminal.
3. Rejected or checked issues: Model 1 uses `float` and `int` which are perfectly acceptable primitive types according to the evaluation guidelines.
4. Overall judgment: Model 1 comprehensively covers all requirements with correct semantics, relationships, and multiplicities. Model 2 contains multiple critical omissions (e.g., `AirportTerminal`, `NavigationAid`), structural errors (`RoomMaster`), and incorrect attribute placements,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</si>
  <si>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</si>
  <si>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incorrectly couples `FlightInstance` directly to `WeatherReport` via composition (`FlightInstance *-- WeatherReport`), which violates the requirement that flight plans and route segments are influenced by weather reports. It also hallucinates a `RoomMaster` class linked to `FlightInstance`. Model 2 correctly decouples these by linking `FlightPlan` and `RouteSegment` to `WeatherReport` (`FlightPlan "*" --&gt; "*" WeatherReport`, `RouteSegment "*" --&gt; "*" WeatherReport`) and properly models relationships like `RouteSegment` connecting to two `Waypoint`s (`startWaypoint`, `endWaypoint`).
2. Complexity: Model 1 = 2, Model 2 = 5; Evidence: Model 1 severely under-models the requirement by omitting classes like `AirportTerminal`, `NavigationAid`, `SystemDashboard` (it uses `Dashboard` without display modes), and fails to model enums or self-association for airspace sub-sectors. Model 2 appropriately captures complexity by introducing enums (`ClearanceLevel`, `ConditionType`, `NavAidType`) for closed lists, adding missing domain classes (`NavigationAid`, `AirportTerminal`), and modeling the self-referential relationship for sub-sectors (`AirspaceSector "1" --&gt; "0..*" AirspaceSector`).
3. Practicability: Model 1 = 2, Model 2 = 5; Evidence: Model 1 is impractical for development due to missing classes, incorrect relationships (e.g., `MaintenanceRecord -- Runway` lacks proper direction/multiplicity, `AirspaceSector *-- Runway` misses the management aspect), and unexplained artifacts (`RoomMaster`). Model 2 provides a clear, comprehensive structure with accurate multiplicities and role labels, correct method signatures (e.g., `calculateAltitude(emergencyStatus: boolean)`, `generateClearanceMessage(flightPlan: FlightPlan)`), and distinct interfaces, making it highly readable and ready for implementation.
Total: Model 1 = 6, Model 2 = 15
Choice: B
Reason:
1. Cohesion and Decoupling: Model 2 accurately represents the domain boundaries by linking weather reports to flight plans and route segments, whereas Model 1 muddles responsibilities by directly linking weather to the flight instance.
2. Complexity: Model 2 introduces the correct level of detail, including the necessary enums and classes omitted by Model 1 (like `NavigationAid` and `AirportTerminal`), perfectly matching the requirements. Model 1's complexity is too low and contains unexplained hallucinated classes.
3. Rejected or checked issues: No forbidden penalties were applied. The `RoomMaster` class in Model 1 was evaluated strictly as a domain-faithfulness error (hallucination) rather than a UML standard issue.
4. Overall judgment: Model 2 is vastly superior, covering all requirements precisely with accurate relationships, multiplicities, and structural components, while Model 1 is incomplete and contains major domain inaccuracies.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</si>
  <si>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</si>
  <si>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</si>
  <si>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</si>
  <si>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&amp; No Hallucinations: Model 1 = 4, Model 2 = 5; Evidence: Both models correctly identify the classes and attributes explicitly mentioned in the requirement (e.g., `firstName`, `lastName`, `accountNumber`, `balance`, `overdraftLimit`). However, Model 1 introduces additional attributes `bankName: String` for `Bank` and `branchName: String` for `Branch`, which are not mentioned in the requirement description. Model 2 strictly limits attributes to those explicitly requested.
2. Relationships &amp; Cardinalities: Model 1 = 5, Model 2 = 5; Evidence: Both models accurately model the required cardinalities. For the customer-account relationship, both specify the `1..5` multiplicity on the Account side. For the bank-customer and bank-branch relationships, both appropriately use `0..*` on the respective sides. Inheritance between `Account`, `CurrentAccount`, and `SavingsAccount` is also correctly modeled in both.
3. Class Clarity &amp; Semantics: Model 1 = 5, Model 2 = 5; Evidence: Both models use the exact conceptual class names from the requirement (`Bank`, `Branch`, `Customer`, `Account`, `CurrentAccount`, `SavingsAccount`). Model 1 explicitly models the `owner` association from `Account` to `Customer`, while Model 2 models the `owns` association from `Customer` to `Account`; both semantically represent the exact same domain rule ("Each account has an owner who is a customer").
Total: Model 1 = 14, Model 2 = 15
Choice: B
Reason:
1. Requirement Alignment &amp; No Hallucinations: Model 2 is slightly better because it strictly adheres to the provided requirement without introducing unrequested attributes. Model 1 adds `bankName` and `branchName`, which could be considered minor hallucinations since the requirement does not mention them.
2. Relationships &amp; Cardinalities: Both models perform equally well. They both correctly establish the `1..5` relationship between Customer and Account, the `0..*` relationship for branches and customers managed by the bank, and the generalization for the account types. Model 1's use of opposite unidirectional associations (e.g., `Bank --&gt; Customer` and `Customer --&gt; Bank`) is semantically equivalent to Model 2's single bidirectional lines, so no penalty is applied.
3. Rejected or checked issues: I did not penalize Model 1 for using composition (`*--`) for the Bank-Branch relationship instead of a standard association, as "consists of" can reasonably be interpreted as composition in UML. I also did not penalize either model for primitive type naming (e.g., `int`, `double`) or multiplicity formatting.
4. Overall judgment: Model 2 is chosen as the better response because it completely fulfills all the domain requirements and constraints while maintaining strict adherence to the provided text by avoiding unnecessary additions.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</si>
  <si>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</si>
  <si>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(classes, attributes, relationships, and cardinalities): Model 1 = 5, Model 2 = 4; Evidence: Both models accurately capture the required classes (Bank, Branch, Customer, Account, CurrentAccount, SavingsAccount), attributes (firstName, lastName, accountNumber, balance, overdraftLimit), inheritance structure (CurrentAccount and SavingsAccount extending Account), and multiplicities (Bank to Customer 1 to 0..*, Bank to Branch 1 to 0..*, Customer to Account 1 to 1..5). However, Model 2 introduces extra attributes not mentioned in the requirement (`bankName: String` in Bank and `branchName: String` in Branch), which violates the strict instruction against making hallucinations and additions. Model 1 strictly adheres to the provided requirements without adding unspecified details.
Total: Model 1 = 5, Model 2 = 4
Choice: A
Reason:
1. Alignment with requirements: Model 1 strictly follows the provided description, including only the specified classes, attributes, and relationships. Model 2 includes all required elements but introduces additional attributes (`bankName` and `branchName`) that represent hallucinations/additions not present in the requirement text.
2. Rejected or checked issues: Model 2 uses composition (`*--`) for the Bank-Branch relationship and bidirectional associations for Customer-Account. These are semantically acceptable and were not penalized. The extra attributes in Model 2 were the deciding factor.
3. Overall judgment: Model 1 is better because it perfectly aligns with the requirement without adding unspecified attributes, adhering strictly to the provided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</si>
  <si>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</si>
  <si>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required conceptual classes: Bank, Branch, Customer, Account, CurrentAccount, and SavingsAccount. Model 1 adds extra attributes like `bankName` and `branchName`, which is acceptable.
2. Associations/Multiplicities between classes for domain reasoning: Model 1 = 5, Model 2 = 5; Evidence: Both models correctly model the relationships. Model 1 uses unidirectional associations (`Bank --&gt; "0..*" Customer` and `Customer --&gt; "1..5" Account`) while Model 2 uses bidirectional associations (`Bank "1" -- "0..*" Customer`, `Customer "1" -- "1..5" Account`). Both accurately capture the required multiplicities (e.g., 1..5 for accounts, 0..* for branches/customers).
3. Model attributes with appropriate data types: Model 1 = 5, Model 2 = 5; Evidence: Both models correctly model attributes with appropriate data types matching the requirement exactly (`firstName: String`, `lastName: String`, `accountNumber: int`, `balance: double`, `overdraftLimit: double`). 
4. Consistencies of Terminology with given context: Model 1 = 5, Model 2 = 5; Evidence: Both models use terminology that is fully consistent with the given context (e.g., Bank, Branch, Customer, CurrentAccount, SavingsAccount, overdraftLimit).
5. Adherence of UML class diagram standards: Model 1 = 5, Model 2 = 5; Evidence: Both models adhere fully to UML/PlantUML syntax and conventions, using correct notation for abstract classes, inheritance (`--|&gt;` / `&lt;|--`), and associations.
Total: Model 1 = 25, Model 2 = 25
Choice: C
Reason:
1. Appropriate conceptual classes aligned with the domain: Both models perfectly capture the domain classes requested.
2. Associations/Multiplicities between classes for domain reasoning: Both models accurately capture the 1..5 multiplicity for accounts, 0..* for branches and customers, and 1 for the owner/bank. Model 1 uses unidirectional arrows, and Model 2 uses bidirectional lines, both of which are valid representations.
3. Model attributes with appropriate data types: Both models map the required attributes (e.g., `balance: double`, `overdraftLimit: double`) correctly.
4. Consistencies of Terminology with given context: The naming conventions in both models strictly adhere to the provided text.
5. Adherence of UML class diagram standards: Both models follow valid UML class diagram structure and PlantUML syntax.
4. Overall judgment: Both models are equally accurate, correctly represent the domain constraints, and follow UML standards. Thus, the result is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</si>
  <si>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</si>
  <si>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classes: `Bank`, `Branch`, `Customer`, `Account`, `CurrentAccount`, and `SavingsAccount`. Model 2 includes extra implementation details like `bankName` and `branchName` which are harmless but not required.
2. Associations/Multiplicities between classes for domain reasoning: Model 1 = 5, Model 2 = 5; Evidence: Both models accurately capture the required multiplicities: Bank manages 0..* Customers, Bank consists of 0..* Branches, Customer owns 1..5 Accounts, and Account has 1 owner (Customer). Model 1 uses bidirectional associations while Model 2 uses opposite unidirectional associations, both correctly expressing the domain constraints.
3. Model attributes with appropriate data types: Model 1 = 5, Model 2 = 5; Evidence: Both models correctly specify `firstName: String`, `lastName: String`, `accountNumber: int`, `balance: double`, and `overdraftLimit: double` for the respective classes.
4. Consistencies of Terminology with given context: Model 1 = 5, Model 2 = 5; Evidence: Both models use terminology directly from the requirement description (e.g., `Customer`, `Account`, `CurrentAccount`, `SavingsAccount`, `overdraftLimit`).
5. Adherence of UML class diagram standards: Model 1 = 5, Model 2 = 5; Evidence: Both models adhere perfectly to UML class diagram standards and PlantUML syntax. Inheritance, classes, attributes, and associations are all syntactically correct.
Total: Model 1 = 25, Model 2 = 25
Choice: C
Reason:
1. Appropriate conceptual classes aligned with the domain: Both models perfectly capture the conceptual classes without any missing or incorrect domain concepts.
2. Associations/Multiplicities between classes for domain reasoning: Both models model the associations correctly, adhering to the 0..*, 1..5, and 1 multiplicities as specified in the text. The use of opposite unidirectional associations in Model 2 is semantically equivalent to the bidirectional ones in Model 1.
3. Rejected or checked issues: Model 2's inclusion of `bankName` and `branchName` attributes does not negatively impact the score but also does not provide an advantage since they are not mentioned in the requirements. Model 2's use of composition (`*--`) for Bank-Branch is acceptable given the phrasing "consists of", but standard association in Model 1 is equally valid.
4. Overall judgment: Both diagrams are highly accurate, perfectly fulfill the domain requirements, and strictly adhere to UML standards. There is no meaningful quality difference between the two models,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</si>
  <si>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</si>
  <si>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demonstrate high cohesion by assigning distinct responsibilities to Bank, Branch, Customer, and Account classes. However, Model 1 introduces an extra association between Customer and Bank (`Customer --&gt; "1" Bank: bank`) that isn't strictly required by the domain description. Model 2 maintains a more concise relationship structure (`Bank "1" -- "0..*" Customer : manages`) that directly matches the text, resulting in lower coupling.
2. Complexity: Model 1 = 4, Model 2 = 5; Evidence: Both models use an appropriate 6-class structure with an inheritance depth of 2 for the Account types. Model 1 increases unnecessary complexity by adding attributes not mentioned in the requirement, such as `bankName: String` and `branchName: String`. Model 2 strictly limits itself to the required attributes (`firstName`, `lastName`, `accountNumber`, `balance`, `overdraftLimit`) and multiplicities, perfectly balancing complexity with the specific requirement.
3. Practicability: Model 1 = 4, Model 2 = 5; Evidence: Both designs are readable and understandable, with clear modularity and interfaces. Model 2 is slightly more practical because it precisely models the 1..5 account multiplicity using a single bidirectional association `Customer "1" -- "1..5" Account : owns`, which clearly communicates both the "owns" constraint and the "owner" constraint. Model 1 models this using two separate unidirectional associations, which is semantically equivalent but less visually concise than Model 2's approach. Model 2's leaner design that perfectly aligns with the text makes it marginally easier to map directly to code and tests.
Total: Model 1 = 12, Model 2 = 15
Choice: B
Reason:
1. Cohesion and Decoupling: Model 2 is slightly better as it avoids adding an extra, non-essential association between Customer and Bank that Model 1 includes (`Customer --&gt; "1" Bank`).
2. Complexity: Model 2 wins because it strictly adheres to the attributes specified in the requirement. Model 1 introduces `bankName` and `branchName`, which are not mentioned in the prompt, thus adding unnecessary complexity.
3. Rejected or checked issues: I did not penalize Model 1 for using two opposite unidirectional associations (`Customer --&gt; Account` and `Account --&gt; Customer`) instead of a bidirectional line, as per the forbidden penalties instructions. These are semantically equivalent.
4. Overall judgment: Model 2 is better because it provides a cleaner, more concise class diagram that exactly matches the requirements without adding unrequested attributes or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</si>
  <si>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</si>
  <si>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separate the domain concepts into distinct classes (Bank, Branch, Customer, Account, CurrentAccount, SavingsAccount) ensuring high cohesion. Model 1 uses unidirectional/bidirectional associations clearly. Model 2 uses bidirectional associations (e.g., `Customer --&gt; "1" Bank` and `Bank --&gt; "0..*" Customer`), which is semantically equivalent. Both maintain low coupling appropriate for the domain.
2. Complexity: Model 1 = 5, Model 2 = 4; Evidence: Model 1 uses exactly the classes and attributes required by the description (e.g., `Customer` with `firstName` and `lastName`, `Account` with `accountNumber` and `balance`). Model 2 adds extra attributes not mentioned in the requirement, such as `bankName: String` in `Bank` and `branchName: String` in `Branch`, which unnecessarily increases the complexity without improving requirement coverage.
3. Practicability: Model 1 = 5, Model 2 = 5; Evidence: Both diagrams are highly readable, support modularity, and clearly represent the required structures and inheritance hierarchies (`Account &lt;|-- CurrentAccount`, `Account &lt;|-- SavingsAccount`). Both provide a clear and comprehensive representation of the software's structure, making programming and testing straightforward.
Total: Model 1 = 15, Model 2 = 14
Choice: A
Reason:
1. Cohesion and Decoupling: Both models demonstrate good cohesion and decoupling. They separate concerns appropriately and define the necessary associations. No significant differences exist here, so both receive the highest score.
2. Complexity: Model 1 strictly adheres to the requirement's scope, including only the attributes and classes explicitly mentioned (e.g., `firstName`, `lastName`, `accountNumber`, `balance`, `overdraftLimit`). Model 2 introduces extraneous attributes like `bankName` and `branchName` that are not required by the prompt, marginally inflating the complexity.
3. Rejected or checked issues: I did not penalize Model 2 for using two opposite unidirectional associations (e.g., `Bank --&gt; "0..*" Customer` and `Customer --&gt; "1" Bank`) instead of a single bidirectional line, nor for the use of the `'opposite bank` comment, as per the strict instructions to ignore such stylistic differences and annotations.
4. Overall judgment: Model 1 is better because it maintains an appropriate level of complexity that exactly matches the provided requirements without introducing unneeded attributes, while still fulfilling all structural and relational constraints of the bank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</si>
  <si>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</si>
  <si>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&amp; Attributes, No Hallucinations): Model 1 = 4, Model 2 = 5; Evidence: Both models correctly include all required classes (Bank, Branch, Customer, Account, CurrentAccount, SavingsAccount) and attributes (firstName, lastName, accountNumber, balance, overdraftLimit). However, Model 1 hallucinates extra attributes `bankName: String` and `branchName: String` which are not mentioned in the requirement, violating the strict no-addition rule. Model 2 includes only the required attributes.
2. Relationships, Multiplicities, and Types (Associations, Cardinalities, Inheritance, Composition): Model 1 = 5, Model 2 = 3; Evidence: Model 1 correctly captures all relationship types and cardinalities, including the strict `1..5` multiplicity for accounts per customer (`Customer --&gt; "1..5" Account`) and `1` for owner (`Account --&gt; "1" Customer`). It also correctly uses composition for Bank and Branch (`Bank *-- "0..*" Branch`). Model 2 correctly captures inheritance and composition, and has `Customer "1" --- "1..5" Account`, but also includes a redundant/contradictory opposite association `Account "0..*" --- "1" Customer : owner`. The `0..*` multiplicity directly contradicts the requirement's hard constraint that a customer has at least one and at most five accounts.
Total: Model 1 = 9, Model 2 = 8
Choice: A
Reason:
1. Alignment with Requirement (Classes &amp; Attributes, No Hallucinations): Model 1 hallucinates `bankName` and `branchName`, which is a strict violation of the no-additions rule. Model 2 is strictly compliant with the required attributes.
2. Relationships, Multiplicities, and Types: Model 1 correctly represents the 1..5 account multiplicity using two opposite unidirectional associations, keeping the multiplicity consistent on both ends (`1..5` and `1`). Model 2 introduces an invalid multiplicity (`0..*` instead of `1..5`) on the reverse association between Account and Customer, which explicitly contradicts the hard domain constraint.
3. Rejected or checked issues: Model 1's use of two opposite unidirectional associations (`Customer --&gt; "1..5" Account` and `Account --&gt; "1" Customer`) is explicitly allowed by the evaluation guidelines and is semantically equivalent to a single bidirectional association. It was not penalized.
4. Overall judgment: Although Model 1 includes hallucinated attributes, the explicit modeling of an invalid multiplicity in Model 2 (`0..*` contradicting `1..5`) represents a more severe domain-faithfulness problem. Therefore, Model 1 is slightly better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</si>
  <si>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</si>
  <si>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5, Model 2 = 4; Evidence: Model 1 strictly follows the requirement, capturing all the specified classes (Bank, Branch, Customer, Account, CurrentAccount, SavingsAccount), attributes (firstName, lastName, accountNumber, balance, overdraftLimit), and relationships with accurate multiplicities (e.g., `Customer "1" --- "1..5" Account : has` and `Bank "1" *-- "0..*" Branch : consists of`). Model 2 accurately captures the core classes and relationships but introduces additional attributes such as `bankName` in `Bank` and `branchName` in `Branch` that are not mentioned in the requirement description, violating the instruction to avoid hallucinations and additions.
Total: Model 1 = 5, Model 2 = 4
Choice: A
Reason:
1. Alignment with Requirement: Model 1 represents the requirements perfectly without adding extra information. It accurately uses the term "consists of" for the composition between Bank and Branch, and properly sets the multiplicity of accounts for a customer between 1 and 5. Model 2 also sets the correct multiplicities and relationships, but it hallucinates attributes (`bankName` and `branchName`) that were not specified in the requirement, making it less aligned with the strict constraint of making no additions.
2. Conceptual Classes and Relationships: Both models correctly model the inheritance structure for Account, CurrentAccount, and SavingsAccount. Both also correctly identify that an Account has 1 owner (Customer) and a Customer has 1..5 Accounts. Model 2's use of two opposite unidirectional associations instead of a single bidirectional line is a non-issue as per the forbidden penalties, as they are semantically equivalent.
3. Rejected or checked issues: Model 2 marks Account as `abstract`. The instructions specifically state that marking or not marking a superclass as abstract should not be rewarded or penalized without requirement evidence. Therefore, this was not used to penalize Model 2. Model 2's use of "operatesBranch" instead of "consists of" for the Bank-Branch relationship is a minor semantic paraphrase but does not contradict the composition relationship required by "consists of".
4. Overall judgment: Model 1 is better because it strictly adheres to the provided requirement without introducing any unprompted attributes, whereas Model 2 adds unnecessary attributes to the Bank and Branch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</si>
  <si>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</si>
  <si>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domain concepts: Bank, Branch, Customer, Account, CurrentAccount, and SavingsAccount. Both appropriately use inheritance to model the two basic types of accounts.
2. Associations/Multiplicities between classes for domain reasoning: Model 1 = 4, Model 2 = 5; Evidence: Model 2 correctly specifies "1" on the Bank side for both the `Bank "1" *-- "0..*" Branch` and `Bank "1" --- "0..*" Customer` associations, matching the implicit "one bank" constraint. Model 1 omits the multiplicity on the Bank side for `Bank *-- "0..*" Branch` and `Bank --&gt; "0..*" Customer`, which is a minor omission. Both correctly capture the `1..5` multiplicity for a customer's accounts and `1` for the account owner.
3. Model attributes with appropriate data types: Model 1 = 5, Model 2 = 5; Evidence: Both models correctly define `firstName: String` and `lastName: String` for Customer, `accountNumber: int` and `balance: double` for Account, and `overdraftLimit: double` for CurrentAccount. Model 1 includes extra attributes like `bankName` and `branchName`, but these do not negatively impact the correct modeling of required attributes.
4. Consistencies of Terminology with given context: Model 1 = 5, Model 2 = 5; Evidence: Both models use terminology consistent with the provided text (e.g., manages, owner, consists of). 
5. Adherence of UML class diagram standards: Model 1 = 5, Model 2 = 5; Evidence: Both models correctly use PlantUML syntax for classes, attributes with data types, associations, multiplicities, composition, and inheritance. Model 1 marks Account as `abstract`, which is a valid UML practice.
Total: Model 1 = 24, Model 2 = 25
Choice: B
Reason:
1. Appropriate conceptual classes aligned with the domain: Both models perform equally well by including all required classes and using inheritance for the account types.
2. Associations/Multiplicities between classes for domain reasoning: Model 2 is slightly better because it explicitly provides the "1" multiplicity on the Bank side for its associations with Branch and Customer, whereas Model 1 leaves it implicit/omitted.
3. Model attributes with appropriate data types: Both models perfectly capture all required attributes with their exact requested data types.
4. Consistencies of Terminology with given context: Both models use relevant and clear terminology for the domain relationships.
5. Rejected or checked issues: Extra attributes in Model 1 (bankName, branchName) were not penalized as they do not contradict the requirement and do not obscure the required attributes. Opposite-direction associations (e.g., Customer -&gt; Account and Account -&gt; Customer) in Model 1 were treated as semantically equivalent and not penalized.
6. Overall judgment: Model 2 is chosen as the better model due to its more complete representation of multiplicities on the Bank side of the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</si>
  <si>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</si>
  <si>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conceptual classes: Bank, Branch, Customer, Account, CurrentAccount, and SavingsAccount.
2. Associations/Multiplicities between classes for domain reasoning: Model 1 = 5, Model 2 = 5; Evidence: Both models correctly capture the multiplicity constraints: Bank manages 0..* Customers, Bank consists of 0..* Branches, Customer has 1..5 Accounts, Account has 1 owner. Both also correctly model the inheritance between Account and CurrentAccount/SavingsAccount. Model 2 uses opposite unidirectional associations which are treated as semantically equivalent per the guidelines.
3. Model attributes with appropriate data types: Model 1 = 5, Model 2 = 5; Evidence: Both models correctly define the required attributes with appropriate data types: firstName and lastName as String, accountNumber as int, balance as double, and overdraftLimit as double. Model 2 adds bankName and branchName, which are not required but do not conflict with the domain.
4. Consistencies of Terminology with given context: Model 1 = 5, Model 2 = 5; Evidence: Both models use terminology that accurately aligns with the provided requirement context. Model 1 uses exact phrases like "consists of" and "has", while Model 2 uses terms like "operatesBranch" and "account", which remain fully consistent with the domain.
5. Adherence of UML class diagram standards: Model 1 = 5, Model 2 = 5; Evidence: Both models fully adhere to UML/PlantUML syntax, notation, and conventions. Valid syntax is used for classes, attributes, associations, composition, and inheritance.
Total: Model 1 = 25, Model 2 = 25
Choice: C
Reason:
1. Appropriate conceptual classes aligned with the domain: Both models successfully identify all required classes.
2. Associations/Multiplicities between classes for domain reasoning: Both models accurately define the required associations and multiplicity limits, correctly applying inheritance and composition.
3. Rejected or checked issues: Model 2 uses opposite unidirectional associations and PlantUML comments (`'opposite...`), which are explicitly forbidden from being penalized according to the instructions. Model 2 also adds extra attributes not mentioned in the text, but this does not deduct from the score as it does not contradict the domain or break any rule.
4. Overall judgment: Both models perfectly capture all required elements, constraints, and relationships from the informal description without any critical errors. The quality difference is negligible,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</si>
  <si>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</si>
  <si>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demonstrate high cohesion and low coupling. Model 1 uses opposite unidirectional associations (e.g., `Bank --&gt; "0..*" Customer` and `Customer --&gt; "1" Bank`), while Model 2 uses single bidirectional associations (e.g., `Bank "1" --- "0..*" Customer`). Per the rules, these are semantically equivalent and neither introduces unnecessary dependencies. Both correctly map the composition between Bank and Branch and the association between Customer and Account.
2. Complexity: Model 1 = 4, Model 2 = 5; Evidence: Both models use the appropriate number of classes (6 classes) and correctly utilize inheritance for the account types (CurrentAccount and SavingsAccount inheriting from Account). However, Model 1 introduces extra attributes not specified in the requirements, such as `bankName: String` in the Bank class and `branchName: String` in the Branch class. Model 2 strictly includes only the required attributes, keeping the complexity appropriately balanced and aligned with the specific requirements.
3. Practicability: Model 1 = 4, Model 2 = 5; Evidence: Both models provide a clear and readable representation of the system's structures. Model 2 offers a cleaner, more direct mapping of the requirements by omitting the unnecessary `bankName` and `branchName` attributes, which prevents scope creep and keeps the design focused on the specified functionalities. Both correctly model multiplicities (e.g., `1..5` for Customer to Account, `0..*` for Account to Customer).
Total: Model 1 = 13, Model 2 = 15
Choice: B
Reason:
1. Cohesion and Decoupling: Both models perform equally well in separating concerns and managing dependencies.
2. Complexity: Model 2 is better because it strictly adheres to the required attributes without adding unnecessary fields like `bankName` and `branchName` found in Model 1, keeping the complexity aligned with the project's specific requirements.
3. Rejected or checked issues: I did not penalize Model 1 for using unidirectional associations instead of a single bidirectional line, as per the instructions, they are semantically equivalent. I also did not reward Model 1 for marking Account as `abstract`, as the requirement does not specify whether direct instances are allowed.
4. Overall judgment: Model 2 is slightly better because it provides a more precise and lean class diagram that strictly aligns with the requirement details without introducing unrequired attributes, ensuring appropriate complexity and high practicability.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</si>
  <si>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</si>
  <si>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strictly adheres to the required scope, containing only the explicitly required attributes (`firstName`, `lastName`, `accountNumber`, `balance`, `overdraftLimit`) and associations. Model 2 adds `bankName` and `branchName` attributes to the `Bank` and `Branch` classes, respectively, which are not mentioned in the requirement. This introduces unnecessary elements that slightly reduce cohesion and introduce unneeded attributes.
2. Complexity: Model 1 = 5, Model 2 = 4; Evidence: Both models use the appropriate number of classes (6) and a balanced inheritance depth (2). However, Model 1 is perfectly balanced with the specific requirements, containing no extraneous attributes or associations. Model 2 introduces additional attributes (`bankName`, `branchName`) and an extra inverse association (`Customer --&gt; "1" Bank: bank`) that marginally increase the complexity of the model without improving coverage of stated requirement facts.
3. Practicability: Model 1 = 5, Model 2 = 5; Evidence: Both diagrams are highly readable and provide a clear, comprehensive representation of the domain's structures and relationships. They both correctly model the inheritance for account types, the multiplicities for accounts per customer (1..5), and the management relationship between banks and customers. Model 2's choice to mark `Account` as abstract is a valid practical design decision, but per the evaluation guidelines, it is not rewarded over Model 1 since the requirement does not specify this constraint.
Total: Model 1 = 15, Model 2 = 13
Choice: A
Reason:
1. Cohesion and Decoupling: Model 1 only includes attributes and relationships directly supported by the requirement (e.g., `Customer` having `firstName` and `lastName`), keeping classes focused. Model 2 includes unrequested attributes like `bankName` in the `Bank` class, which slightly dilutes cohesion by adding data not relevant to the described requirements.
2. Complexity: Model 1 aligns perfectly with the complexity demanded by the requirements—no more, no less. Model 2 adds implementation-oriented details such as `bankName` and `branchName` that increase complexity unnecessarily.
3. Rejected or checked issues: I did not penalize Model 2 for using opposite unidirectional associations (e.g., `Bank --&gt; Customer` and `Customer --&gt; Bank`) instead of a single bidirectional line, as this is explicitly stated as a forbidden penalty. I also did not reward Model 2 for marking `Account` as `abstract` due to the "Optional Abstractness" rule.
4. Overall judgment: Model 1 is better because it accurately and cleanly represents the required domain without overcomplicating the model with unrequested attributes. Both models handle the core domain well, but Model 1's strict adherence to the provided text makes it the superior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</si>
  <si>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</si>
  <si>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Model 1 = 5, Model 2 = 5; Evidence: Both models capture all required functionalities. They both model the Bank, Customer, Branch, Account, CurrentAccount, and SavingsAccount classes exactly as specified in the requirement.
2. Conceptual Classes &amp; Attributes: Model 1 = 5, Model 2 = 5; Evidence: Both models correctly include `firstName` and `lastName` of type String for Customer, `accountNumber` of type int and `balance` of type double for Account, and `overdraftLimit` of type double for CurrentAccount. Model 1 marks Account as `abstract`, which is acceptable and aligns with the "two basic types" phrasing.
3. Relationships &amp; Multiplicities: Model 1 = 5, Model 2 = 5; Evidence: Both models correctly set the multiplicity between Bank and Customer as 1 to 0..* ("manages"). Both correctly set Bank and Branch as 1 to 0..* ("consists of", where Model 2 uses composition `*--` which closely matches the "consists of" phrasing). Both correctly model the 1 to 1..5 multiplicity between Customer and Account. Model 2 additionally models the reverse association `Account "0..*" --- "1" Customer : owner`, which accurately matches the phrasing "Each account has an owner who is a customer of the bank", whereas Model 1 uses the label "owns". Both correctly use inheritance for CurrentAccount and SavingsAccount extending Account.
Total: Model 1 = 15, Model 2 = 15
Choice: C
Reason:
1. Alignment with Requirement: Both models align perfectly with the provided requirement without hallucinating any extra classes or functionalities.
2. Conceptual Classes &amp; Attributes: Both models use identical core attributes and types, accurately capturing the domain specifications.
3. Rejected or checked issues: Model 2's use of two opposite associations (Customer-Account and Account-Customer) instead of a single bidirectional one is semantically equivalent and does not penalize the model. Model 2's use of composition (`*--`) for Bank-Branch is a valid interpretation of "consists of" but is not strictly required over a normal association.
4. Overall judgment: The quality difference between the two models is negligible. Model 1 explicitly labels the association as "owns" and marks Account as abstract. Model 2 explicitly labels the reverse association as "owner" and uses composition for Bank-Branch. Both approaches are fully valid representations of the requirement,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</si>
  <si>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</si>
  <si>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Relationships: Model 1 = 5, Model 2 = 5; Evidence: Both models correctly identify and include the core conceptual classes required: `Bank`, `Branch`, `Customer`, `Account`, `CurrentAccount`, and `SavingsAccount`.
2. Attributes: Model 1 = 5, Model 2 = 5; Evidence: Both models accurately capture the required attributes and types: `firstName: String` and `lastName: String` for `Customer`; `accountNumber: int` and `balance: double` for `Account`; and `overdraftLimit: double` for `CurrentAccount`.
3. Associations and Cardinalities: Model 1 = 5, Model 2 = 5; Evidence: Both models correctly implement the specified multiplicities: Bank to Customer (1 to 0..*), Bank to Branch (1 to 0..*), and Customer to Account (1 to 1..5). Model 1 additionally models the explicit `owner` association from Account back to Customer, which is semantically equivalent to Model 2's single `owns` association as per the instructions.
4. Types of Relationships (Inheritance/Composition): Model 1 = 5, Model 2 = 5; Evidence: Both models accurately use generalization (inheritance) to show that `CurrentAccount` and `SavingsAccount` inherit from `Account`. Model 1 uses a composition relationship (`*--`) for Bank-Branch to reflect the phrase "consists of", while Model 2 uses a standard association (`--`). Both are semantically acceptable representations of the requirement.
Total: Model 1 = 20, Model 2 = 20
Choice: C
Reason:
1. Conceptual Classes and Relationships: Both models perfectly capture all the required classes without any hallucinations or omissions.
2. Attributes: Both models include the exact attributes with the correct data types as specified in the requirement.
3. Associations and Cardinalities: Both models correctly implement the cardinalities (1 to 0..*, 1 to 1..5). Model 1's redundant bidirectional line for `owner` and `has` is treated as equivalent to Model 2's single line per the evaluation guidelines.
4. Rejected or checked issues: Model 2 marks `Account` as an `abstract class`. Per the instructions, marking or not marking a superclass as abstract when not explicitly stated should not be rewarded or penalized, so this does not affect the score. Model 1's use of composition for "consists of" is a nice touch but not strictly mandated over association, so it doesn't warrant a penalty for Model 2.
5. Overall judgment: Both models are highly accurate, follow the UML semantics correctly, and fulfill all requirements without any missing components. The semantic equivalence of their implementations makes this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</si>
  <si>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</si>
  <si>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domain: Model 1 = 5, Model 2 = 5; Evidence: Both diagrams include all required conceptual classes: Bank, Branch, Customer, Account, CurrentAccount, and SavingsAccount. The generalization structure for account types is present in both.
2. Associations/Multiplicities between classes for domain reasoning: Model 1 = 5, Model 2 = 4; Evidence: Model 1 correctly models Bank “1” – “0..*” Customer manages, Bank “1” – “0..*” Branch consists of, and Customer “1” – “1..5” Account owns, which also implicitly satisfies the “owner” requirement with the correct reverse multiplicity. Model 2 has the same Bank–Customer and Bank–Branch relations and a correct Customer “1” – “1..5” Account has association, but it also adds an explicit Account “0..*” – “1” Customer owner association. The “0..*” multiplicity on the Account end contradicts the requirement that a customer has at least one account (should be 1..* or 1..5), introducing a domain inconsistency.
3. Model attributes with appropriate data types: Model 1 = 5, Model 2 = 5; Evidence: Both models capture firstName: String, lastName: String, accountNumber: int, balance: double, and overdraftLimit: double on the appropriate classes, fully matching the requirement.
4. Consistencies of Terminology with given context: Model 1 = 5, Model 2 = 5; Evidence: Both use domain-consistent labels such as “manages”, “consists of”, CurrentAccount, and SavingsAccount. Model 2 additionally uses the exact term “owner” from the description, while Model 1 uses the semantically equivalent “owns”; neither is inconsistent with the context.
5. Adherence of UML class diagram standards: Model 1 = 5, Model 2 = 5; Evidence: Both are syntactically valid PlantUML class diagrams with correct class boxes, attributes, associations, multiplicities, and inheritance arrows. Model 2’s use of composition (*--) for Bank–Branch is valid UML and not penalized.
Total: Model 1 = 25, Model 2 = 24
Choice: A
Reason:
1. Appropriate conceptual classes aligned with domain: Both models are equally complete and aligned with the domain.
2. Associations/Multiplicities between classes for domain reasoning: Model 1 is cleaner and fully correct. Model 2 includes a redundant “owner” association whose 0..* multiplicity on the Account side contradicts the “at least one” constraint stated in the requirement.
3. Rejected or checked issues: We did not penalize Model 2 for using two opposite unidirectional associations or for marking Branch as composition (*--), as these are semantically acceptable or equivalent. We also did not reward or penalize the optional abstractness of Account, since the requirement does not specify it.
4. Overall judgment: The only meaningful difference is the inconsistent multiplicity on Model 2’s extra “owner” association. Because this introduces a domain contradiction that Model 1 avoids, Model 1 is slightly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</si>
  <si>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</si>
  <si>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necessary classes: Bank, Branch, Customer, Account, CurrentAccount, and SavingsAccount.
2. Associations/Multiplicities between classes for domain reasoning: Model 1 = 5, Model 2 = 5; Evidence: Both models correctly implement the required multiplicities (Bank "1" to "0..*" Customer, Bank "1" to "0..*" Branch, and Customer "1" to "1..5" Account). Model 1 explicitly models the reverse association (`Account "0..*" --- "1" Customer : owner`), while Model 2 only provides the `Customer "1" -- "1..5" Account : owns` direction. According to the guidelines, both representations are semantically equivalent for the domain reasoning.
3. Model attributes with appropriate data types: Model 1 = 5, Model 2 = 5; Evidence: Both models accurately capture the required attributes: `firstName: String` and `lastName: String` in Customer; `accountNumber: int` and `balance: double` in Account; and `overdraftLimit: double` in CurrentAccount.
4. Consistencies of Terminology with given context: Model 1 = 5, Model 2 = 5; Evidence: Both models use terminology directly from the requirement description (e.g., manages, consists of). Model 1 uses "has" and "owner", while Model 2 uses "owns", all of which accurately reflect the context.
5. Adherence of UML class diagram standards: Model 1 = 5, Model 2 = 5; Evidence: Both models correctly use UML class diagram syntax, including inheritance (`--|&gt;` or `&lt;|--`) and associations with multiplicities. Model 2 marks `Account` as `abstract`, which is an acceptable modeling choice given the requirement context, and Model 1 uses valid PlantUML notation throughout.
Total: Model 1 = 25, Model 2 = 25
Choice: C
Reason:
1. Appropriate conceptual classes aligned with the domain: Both models perfectly capture all the domain classes required by the description.
2. Associations/Multiplicities between classes for domain reasoning: Both models correctly set the 1..5 multiplicity for the Customer-Account relationship and the 0..* for Bank-Customer and Bank-Branch relationships. Model 1 explicitly uses two opposite unidirectional associations, which is treated as equivalent and thus does not affect the score.
3. Rejected or checked issues: Did not penalize Model 1 for splitting the bidirectional association into two separate lines, as the evaluation guidelines state that opposite-direction associations are 100% semantically equivalent. Did not penalize Model 2 for omitting the explicit `abstract` keyword on Account initially (it did include it, but either way is acceptable per guidelines). Ignored the use of visibility markers in Model 1 as presentation-only.
4. Overall judgment: Both models fully adhere to the requirements, correctly mapping all classes, attributes, associations, and multiplicities. The quality and completeness are equivalent,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</si>
  <si>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</si>
  <si>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separate concepts into highly cohesive classes (Bank, Branch, Customer, Account, CurrentAccount, SavingsAccount) with low coupling. Model 1 uses a single association `Customer "1" -- "1..5" Account : owns` to represent the relationship, while Model 2 uses two opposite associations `Customer "1" --- "1..5" Account : has` and `Account "0..*" --- "1" Customer : owner`. Model 2 uses composition `Bank "1" *-- "0..*" Branch : consists of` which correctly implies the lifecycle dependency between Bank and Branch.
2. Complexity: Model 1 = 5, Model 2 = 5; Evidence: Both models have 6 classes and appropriately model the inheritance tree with a depth of 2 (`Account` and its two subclasses `CurrentAccount` and `SavingsAccount`). The number of methods/attributes is kept minimal and strictly aligned with the requirement (e.g., `firstName`, `lastName` for Customer; `accountNumber`, `balance` for Account; `overdraftLimit` for CurrentAccount). 
3. Practicability: Model 1 = 5, Model 2 = 5; Evidence: Both diagrams are highly readable and provide a clear representation of the system's structures. The relationships, multiplicities, and inheritance are straightforward. Model 1 explicitly marks `Account` as abstract, which is a good practice when only subtypes are instantiated, but Model 2's choice not to do so is also acceptable per the optional abstractness rule.
Total: Model 1 = 15, Model 2 = 15
Choice: C
Reason:
1. Cohesion and Decoupling: Both models achieve high cohesion and low coupling. Model 2's use of two opposite unidirectional associations instead of one bidirectional association is semantically equivalent and not penalized. Model 2's use of composition for `Bank *-- Branch` is a valid and arguably more accurate refinement of "consists of".
2. Complexity: The class structures are nearly identical in both models, with identical inheritance hierarchies and attribute allocations. Both correctly avoid over-engineering.
3. Rejected or checked issues: I did not penalize Model 2 for not marking `Account` as abstract, as the requirement does not explicitly forbid direct instances of `Account` and the instructions state that optional abstractness should not be rewarded or penalized. I also did not penalize Model 2 for modeling the relationship with two opposite associations.
4. Overall judgment: Both models accurately capture all domain requirements, including attributes, multiplicities (1..5 accounts, 0..* customers/branches), and inheritance. The differences are stylistic (e.g., abstract marker, composition vs. association, single vs. dual association direction) and semantically equivalent under the provided criteria,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</si>
  <si>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</si>
  <si>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feature high cohesion with appropriately dedicated classes like `Bank`, `Branch`, `Customer`, `Account`, `CurrentAccount`, and `SavingsAccount`. Coupling is well-managed in both. Model 1 uses composition for the Bank-Branch relationship (`Bank "1" *-- "0..*" Branch`), which is a good semantic match for "consists of". Model 2 uses a plain association (`Bank "1" -- "0..*" Branch`), which is slightly less semantically precise but still maintains low coupling.
2. Complexity: Model 1 = 3, Model 2 = 5; Evidence: Both models have 6 classes, which is appropriate for the requirements. However, Model 1 introduces an opposite unidirectional association (`Account "0..*" --- "1" Customer : owner`) that not only adds an extra line but also contradicts the previous association's multiplicity (`Customer "1" --- "1..5" Account : has`). Model 2 uses a single bidirectional association (`Customer "1" -- "1..5" Account : owns`), which avoids redundancy and correctly reflects the requirement with less complexity.
3. Practicability: Model 1 = 3, Model 2 = 5; Evidence: Model 2 is more practical and domain-faithful. It marks `Account` as `abstract`, which aligns perfectly with the requirement stating "There are two basic types of accounts". Model 1 leaves it as a concrete class, which is less ideal. More importantly, Model 1 contains a severe domain contradiction: it models `Customer "1" --- "1..5" Account : has` (1 to 5 accounts) but then adds `Account "0..*" --- "1" Customer : owner`, which implies a customer can have 0 to many accounts, directly violating the requirement's "at least one and at most five accounts" constraint. Model 2's single association correctly applies the `1..5` multiplicity without any contradictions.
Total: Model 1 = 10, Model 2 = 15
Choice: B
Reason:
1. Cohesion and Decoupling: Both models exhibit strong cohesion and decoupling. Model 1 gets a slight edge conceptually for using composition for Branch, but Model 2's simpler approach is equally valid.
2. Complexity: Model 2 is less complex and more accurate. Model 1's redundant opposite unidirectional association creates a multiplicity contradiction (`0..*` vs `1..5`), whereas Model 2 succinctly models the relationship in a single line with the correct multiplicity (`1..5`).
3. Rejected or checked issues: I did not penalize Model 1 for using two opposite unidirectional associations instead of one bidirectional line per the forbidden penalties. The penalty was applied specifically because the multiplicities in Model 1 contradict each other and the domain requirement. I also did not reward Model 2 for lowercase types like `int` or `double`.
4. Overall judgment: Model 2 is better because it maintains domain accuracy by avoiding the multiplicity contradiction present in Model 1, and it makes the practical design choice of marking `Account` as an `abstract` class, fitting the requirement's description of basic account types.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</si>
  <si>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</si>
  <si>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</si>
  <si>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</si>
  <si>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(Classes, Attributes, Relationships, Cardinalities): Model 1 = 3, Model 2 = 4; 
Evidence: 
- **Invitation Workflow**: The requirement states that an organizer invites attendees by entering their names and email addresses, and the attendee creates an account *after* receiving the invitation. Model 2 captures this well by giving `Invitation` an `invitedEmail: String` attribute and linking it to `Attendee` with a `0..1` multiplicity (`Invitation "*" -- "0..1" Attendee : claimed by &gt;`), correctly modeling that an account is optional at the time of invitation. Model 1 misses the invited person's details on the `Invitation` class and forces a `1` multiplicity to `Attendee` (`Invitation "*" --&gt; "1" Attendee : sentTo`), which strictly contradicts the requirement that an attendee creates an account only after receiving the invitation.
- **Task Instantiation**: An `EventTask` should be an instance of a single `TaskTemplate`. Model 2 correctly models this as `EventTask "*" -- "1" TaskTemplate : instantiates &gt;`. Model 1 uses a many-to-many relationship (`TaskTemplate "0..*" --&gt; "0..*" EventTask : instantiates`), which is semantically incorrect for instantiation.
- **Organizer-Event Multiplicity**: The requirement mentions "When an organizer selects an event", implying an organizer manages multiple events. Model 1 correctly models this as `Organizer "1..*" --&gt; "1..*" Event : manages`. Model 2 over-constrains this with `Event "1" -- "1..*" Organizer : organized by &gt;`, meaning an organizer can only manage exactly one event.
- **Task Claiming**: Both models capture the organizer designating a task for attendees (`isAttendeeDesignated` vs `isForAttendees`). Model 2 links the claimed task to the `Invitation` (`EventTask "*" -- "0..1" Invitation`), which nicely ties the claim to the specific event participation, whereas Model 1 links directly to `Attendee`. 
Total: Model 1 = 3, Model 2 = 4
Choice: B
Reason:
1. **Invitation and Account Creation**: Model 2 successfully captures the critical invitation workflow by including the `invitedEmail` attribute on the `Invitation` class and using a `0..1` multiplicity to `Attendee`. This aligns perfectly with the requirement that an attendee receives an email invitation first and creates an account later. Model 1 completely fails here by requiring an `Attendee` instance to exist before an `Invitation` can be sent, making the initial invitation impossible.
2. **Task Instantiation**: Model 2 uses the correct `1` to `0..*` multiplicity for `EventTask` instantiating a `TaskTemplate`. Model 1's `0..*` to `0..*` multiplicity is a semantic error, as a single event task should not instantiate multiple templates.
3. **Rejected or checked issues**: Model 2's over-constraint on the Organizer-Event multiplicity (`1` event per organizer) was considered. While this contradicts the requirement implying organizers manage multiple events, it is less severe than Model 1's fundamental failure in the core invitation workflow.
4. **Overall judgment**: Model 2 is better. Despite the Organizer-Event multiplicity flaw, it provides a much more accurate and robust domain model for the invitation and task claiming workflows, which are central to the system's functionality. Model 1's flaws in the invitation flow and task instantiation make it less aligned with the real-world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</si>
  <si>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</si>
  <si>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Functionality: Model 1 = 4, Model 2 = 3; Evidence: Model 1 includes `invitedEmail` in the `Invitation` class and associates it with `0..1` `Attendee`, matching the requirement that an attendee creates an account after receiving the invitation. Model 2 omits the invited email and mandates `Invitation "*" --&gt; "1" Attendee`, contradicting the requirement that an account can be created after receiving the invitation. Both models miss the first and last names on the invitation.
2. Conceptual Classes &amp; Relationships: Model 1 = 4, Model 2 = 4; Evidence: Both models identify the core conceptual classes such as `User`, `Organizer`, `Attendee`, `Event`, `EventKind/EventType`, `Location`, `TaskTemplate`, `EventTask`, and `Invitation`. Both use inheritance for User roles and link tasks to event types and event instances correctly.
3. Associations, Cardinalities &amp; Types: Model 1 = 4, Model 2 = 3; Evidence: Model 1 correctly models `Event "1" -- "1..*" Organizer` to reflect that small events have one organizer and larger ones have several. It also correctly uses `Invitation "*" -- "0..1" Attendee` to allow pre-account invitations. Model 2 uses `Organizer "1..*" --&gt; "1..*" Event`, which adds an unsupported constraint that an organizer must manage at least one event, and uses `Invitation "*" --&gt; "1" Attendee`, which violates the requirement by forcing an attendee account to exist prior to the invitation.
4. Clarity in Class Names: Model 1 = 4, Model 2 = 4; Evidence: Both models use clear and appropriate class names (e.g., `TaskTemplate`, `EventTask`) that accurately reflect their roles in the domain.
Total: Model 1 = 16, Model 2 = 14
Choice: A
Reason:
1. Requirement Alignment &amp; Functionality: Model 1 better aligns with the requirement's workflow where an organizer invites an attendee via email and the attendee subsequently creates an account. Model 2's `Invitation "*" --&gt; "1" Attendee` makes it impossible to model an invitation without an existing attendee account.
2. Associations, Cardinalities &amp; Types: Model 1 accurately captures the cardinality between Event and Organizer (`1..*`) and allows an Invitation to exist independently of an Attendee (`0..1`). Model 2 imposes incorrect constraints, such as forcing an organizer to manage `1..*` events and requiring an Attendee for every Invitation.
3. Rejected or checked issues: Both models use disjoint inheritance (`User &lt;|-- Organizer`, `User &lt;|-- Attendee`), which technically makes it difficult for an organizer to also attend an event as the same user instance, but neither is penalized heavily for this as it is a common modeling abstraction and both share the same limitation. Both omit the first and last name attributes from the Invitation class.
4. Overall judgment: Model 1 is better because it accurately represents the lifecycle of an invitation and the role of organizers without imposing unsupported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</si>
  <si>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</si>
  <si>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essential conceptual classes from the requirement: `User`, `Organizer`, `Attendee`, `Event`, `Location`, `EventKind`/`EventType`, `TaskTemplate`, `EventTask`, and `Invitation`. Both also include enumerations for `RsvpStatus` and `TaskStatus`.
2. Associations/Multiplicities between classes for domain reasoning: Model 1 = 4, Model 2 = 4; Evidence: Both models have minor multiplicity issues. Model 1 incorrectly models `Invitation "*" --&gt; "1" Attendee`, which fails to account for invitations sent to emails before an attendee account is created. Model 2 correctly handles this with `Invitation "*" -- "0..1" Attendee`, but incorrectly models the organizer relationship as `Event "1" -- "1..*" Organizer`, restricting an organizer to managing only one event, whereas Model 1 correctly allows an organizer to manage multiple events (`Organizer "1..*" --&gt; "1..*" Event`). 
3. Model attributes with appropriate data types: Model 1 = 4, Model 2 = 5; Evidence: Model 1 includes all necessary attributes for `User`, `Organizer`, `Event`, etc. However, `Invitation` only contains `rsvpStatus`. Model 2 adds `invitedEmail` to the `Invitation` class, which accurately reflects the requirement that organizers invite attendees by entering their email addresses before they create an account. This makes Model 2 slightly more accurate in attribute modeling.
4. Consistencies of Terminology with given context: Model 1 = 5, Model 2 = 5; Evidence: Both models use consistent and appropriate terminology. Model 1 uses `EventKind` which directly mirrors the requirement's "kind of event", while Model 2 uses `EventType`, which is an acceptable synonym. Enum values like `PENDING`, `CONFIRMED`/`ATTENDING`, `MAYBE`, and `DECLINED` logically cover the required RSVP states.
5. Adherence of UML class diagram standards: Model 1 = 5, Model 2 = 5; Evidence: Both diagrams strictly adhere to UML and PlantUML syntax, using correct notation for classes, attributes, enumerations, generalizations, and associations with multiplicities and role labels.
Total: Model 1 = 23, Model 2 = 24
Choice: B
Reason:
1. Appropriate conceptual classes aligned with the domain: Both models performed equally well by covering all key domain concepts such as Event, Invitation, EventTask, and TaskTemplate.
2. Associations/Multiplicities between classes for domain reasoning: Both models have one noticeable flaw in their multiplicity constraints. Model 1 forces an Attendee to exist for an Invitation, while Model 2 forces an Organizer to be tied to only one Event. These balance out to an equal score for this criterion.
3. Model attributes with appropriate data types: Model 2 edges out Model 1 by including the `invitedEmail` attribute within the `Invitation` class. This better captures the domain flow where an organizer invites someone via email before that person creates an `Attendee` account.
4. Consistencies of Terminology with given context: Both models are highly consistent with the provided requirement context.
5. Rejected or checked issues: The difference in naming (`EventKind` vs `EventType`) and task assignment approaches (`Attendee -&gt; EventTask` vs `EventTask -&gt; Invitation`) were not heavily penalized as they represent acceptable semantic interpretations of the requirement.
6. Overall judgment: Model 2 is slightly better due to the inclusion of the `invitedEmail` attribute, which aligns more closely with the requirement's logic of inviting individuals by email prior to account creation. This nuance in domain modeling gives it a marginal edge over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</si>
  <si>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</si>
  <si>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domain classes: User, Organizer, Attendee, Event, EventType/EventKind, Location, Invitation, TaskTemplate, and EventTask. Both models encapsulate the necessary workflow components for the CelO application.
2. Associations/Multiplicities between classes for domain reasoning: Model 1 = 5, Model 2 = 3; Evidence: Model 1 correctly models `Invitation "*" -- "0..1" Attendee` allowing invitations to exist before an account is created, whereas Model 2 incorrectly uses `Invitation "*" --&gt; "1" Attendee`, contradicting the requirement. Model 1 also correctly models `EventTask "*" -- "1" TaskTemplate`, whereas Model 2 uses `TaskTemplate "0..*" --&gt; "0..*" EventTask`, which is too loose since an event task should instantiate exactly one template.
3. Model attributes with appropriate data types: Model 1 = 4, Model 2 = 3; Evidence: Model 1 includes `invitedEmail` in the `Invitation` class to store the email entered by the organizer before the attendee creates an account. Model 2's `Invitation` class only contains `rsvpStatus` and completely omits the invited attendee's contact details (first name, last name, email), making it impossible to send the initial invitation as required. Neither model perfectly captures all three invitation fields, but Model 1 is closer.
4. Consistencies of Terminology with given context: Model 1 = 5, Model 2 = 5; Evidence: Both models use consistent terminology aligned with the requirement context. Model 1 uses `EventType` and Model 2 uses `EventKind`, both of which align with the requirement's phrasing of "kind of event".
5. Adherence of UML class diagram standards: Model 1 = 5, Model 2 = 5; Evidence: Both models adhere to UML/PlantUML syntax and notation standards without any structural errors that would make the diagrams incomprehensible.
Total: Model 1 = 24, Model 2 = 21
Choice: A
Reason:
1. Associations/Multiplicities: Model 1 accurately models the optional creation of an attendee account by setting the multiplicity of `Attendee` to `0..1` on the `Invitation` class, while Model 2 incorrectly forces a `1` multiplicity. Model 1 also correctly restricts `EventTask` to exactly `1` `TaskTemplate`, while Model 2 allows `0..*`.
2. Model attributes: Model 1 captures the `invitedEmail` attribute in the `Invitation` class, which is necessary to send the email invitation before an account is created. Model 2 completely misses the email and name attributes for the invitee.
3. Rejected or checked issues: The use of `isForAttendees` in Model 1 versus `isAttendeeDesignated` in Model 2 is a synonymous phrasing of the same domain requirement and does not constitute a meaningful difference.
4. Overall judgment: Model 1 is better because it captures the domain constraints and multiplicities more accurately, particularly regarding the invitation workflow where an invitee may not yet have an account.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</si>
  <si>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</si>
  <si>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achieve a good level of separation by using distinct classes for core concepts like Event, TaskTemplate, EventTask, and Invitation. Model 2 decouples EventTask from Attendee by associating it directly with Invitation, which is a slightly more accurate reflection of the domain since attendees interact via their invitations.
2. Complexity: Model 1 = 4, Model 2 = 4; Evidence: Both models have a similar number of classes (10 classes and 2 enums) and a shallow inheritance tree (User &lt;|-- Organizer/Attendee). The complexity is appropriately balanced for the requirements. Model 2 uses `Invitation` to bridge `Attendee` and `EventTask` effectively without adding unnecessary classes.
3. Practicability: Model 1 = 3, Model 2 = 5; Evidence: Model 1 incorrectly mandates that an `Invitation` must be linked to exactly `1` `Attendee` (`Invitation "*" --&gt; "1" Attendee`), which contradicts the requirement that an attendee can create an account *after* receiving the invitation. Model 2 accurately models this by including `invitedEmail` in `Invitation` and making the association to `Attendee` optional (`Invitation "*" -- "0..1" Attendee`). Additionally, Model 2 correctly restricts `EventTask` to exactly `1` `TaskTemplate`, whereas Model 1 allows `0..*` templates, which is less precise given the requirement that tasks are instantiated from templates.
Total: Model 1 = 11, Model 2 = 13
Choice: B
Reason:
1. Cohesion and Decoupling: Both models exhibit strong modularity. Model 2's approach of linking `EventTask` to `Invitation` rather than directly to `Attendee` is a subtle but effective decoupling strategy that aligns well with the event RSVP workflow.
2. Complexity: The complexity is nearly identical. Both avoid over-engineering while capturing the essential workflows of event management, task tracking, and RSVP handling.
3. Rejected or checked issues: I did not penalize Model 1 for using `PENDING/CONFIRMED` versus Model 2's `PENDING/ATTENDING` as both semantically capture the RSVP states. I also did not penalize Model 1 for using bidirectional-looking syntax since it used standard association semantics.
4. Overall judgment: Model 2 is better because it correctly models the lifecycle of an invitation, allowing it to exist before an `Attendee` account is created. Model 1's strict `1..1` multiplicity between `Invitation` and `Attendee` makes it practically impossible to send an invitation to someone without an account, directly violating a specific requirement. Furthermore, Model 2's `1..1` multiplicity between `EventTask` and `TaskTemplate` is more domain-accurate than Model 1's `0..*` multiplicity.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</si>
  <si>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</si>
  <si>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decouples the Invitation from the Attendee by introducing an `invitedEmail` attribute and a `0..1` multiplicity for `Invitation -- Attendee`, effectively handling the case where an invitee does not yet have an account. Model 2 forces `Invitation "*" --&gt; "1" Attendee`, implying an Attendee must exist to receive an invitation, which highly couples the invitation process with account creation and contradicts the requirement.
2. Complexity: Model 1 = 4, Model 2 = 3; Evidence: Both models use a similar number of classes with reasonable inheritance trees. However, Model 2 has a flawed multiplicity on the task template instantiation: `TaskTemplate "0..*" --&gt; "0..*" EventTask`, which allows an EventTask to be instantiated from multiple templates. Model 1 correctly uses `EventTask "*" -- "1" TaskTemplate : instantiates &gt;`, properly bounding the complexity and domain semantics. 
3. Practicability: Model 1 = 5, Model 2 = 3; Evidence: Model 1 supports the real-world workflow elegantly: an organizer sends an invitation via email (`invitedEmail`), the user claims it (`Invitation 0..1 Attendee`), and claims a task (`EventTask 0..1 Invitation`). Model 2 misses the storage for the invited email address entirely and requires an existing `Attendee` to send an invitation, rendering the "create an account if they do not yet have an account" flow impossible within its structure.
Total: Model 1 = 14, Model 2 = 9
Choice: A
Reason:
1. Cohesion and Decoupling: Model 1 handles the user invitation lifecycle far better by allowing an Invitation to exist without an Attendee. Model 2 strictly binds Invitations to existing Attendees, ignoring the explicit requirement that attendees might need to create an account upon receiving the invitation.
2. Complexity: Model 2 introduces a semantic complexity error by allowing multiple TaskTemplates to instantiate a single EventTask (`0..*` to `0..*`), which is incorrect for a template-instantiation pattern. Model 1 restricts this properly to a 1-to-many relationship from template to task instances.
3. Rejected or checked issues: I ignored the `TODO` vs `TO_DO` enum naming differences as they are semantically equivalent. I also ignored the use of opposite unidirectional associations in Model 2 as per the forbidden penalties.
4. Overall judgment: Model 1 is much more robust and practical for the specified domain. It correctly models the invitation process before account creation and maintains accurate multiplicities for task templates and assignments.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</si>
  <si>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</si>
  <si>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5; Evidence: Model 1 models the organizer managing the event (`Organizer "1..*" --&gt; "1..*" Event : manages`), but fails to capture the "Sometimes, an organizer also attends the event" requirement. Model 2 includes this missing functionality via `Organizer "0..*" attends "0..*" Event`.
2. Classes and relationships accurately represent essentials: Model 1 = 4, Model 2 = 5; Evidence: Both models accurately capture the core classes (Event, Task/TaskTemplate, EventTask, Invitation, Location, EventType/EventKind) and their associations (e.g., event has tasks, attendees receive invitations). However, Model 2 is more complete in representing the relationship between organizers and events as both managers and potential attendees.
Total: Model 1 = 8, Model 2 = 10
Choice: B
Reason:
1. Alignment with requirement: Model 2 explicitly addresses the requirement that an organizer might also attend the event by adding an `Organizer "0..*" attends "0..*" Event` association. Model 1 omits this relationship, which is explicitly mentioned in the requirement ("Sometimes, an organizer also attends the event").
2. Classes and relationships accurately represent essentials: Both models use sensible associations and multiplicities for managing events, invitations, and tasks. Both capture the checklist functionality with `EventTask` and `Task`/`TaskTemplate` classes properly linked to `Event` and `EventKind`/`EventType`. The distinction of tasks available for the next event is well handled in both. Model 2's inclusion of the "attends" association gives it a slight edge in domain completeness.
3. Rejected or checked issues: I did not penalize Model 1 for using `Date` instead of `DateTime` since the difference is trivial and not a core semantic issue. I also did not penalize Model 2 for omitting the `EventKind` in favor of `EventType` as they are synonymous in this context.
4. Overall judgment: Model 2 is better because it strictly aligns with all requirements by including the relationship that an organizer can also attend an event, whereas Model 1 misses this requirement entirely.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</si>
  <si>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</si>
  <si>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strictly: Model 1 = 5, Model 2 = 3; Evidence: Model 1 explicitly models the fact that an organizer may also attend the event through the association `Organizer "0..*" attends "0..*" Event`, satisfying the requirement. Model 2 misses this relationship entirely, only providing `Organizer "1..*" --&gt; "1..*" Event : manages`, which omits the scenario where an organizer attends.
2. Conceptual classes and relationships: Model 1 = 5, Model 2 = 4; Evidence: Model 1 correctly models task templates and instances using `EventType *-- "0..*" Task` and `EventTask -- "1" Task`, meaning an event task is strictly linked to a single task definition. Model 2 uses `TaskTemplate "0..*" --&gt; "0..*" EventTask : instantiates`, which semantically implies an EventTask can be associated with multiple TaskTemplates (multiplicity `0..*` on the TaskTemplate side), which is inaccurate.
3. Cardinalities and types of relationships: Model 1 = 5, Model 2 = 4; Evidence: Model 1 accurately uses composition for `Event *-- "0..*" EventTask` and association for `EventTask -- "1" Task`. Model 2 has the same compositions for `Event *-- "0..*" EventTask`, but the multiplicity `0..*` to `0..*` between `TaskTemplate` and `EventTask` is overly permissive and conceptually incorrect for an instantiation relationship, which should be 1 to many.
4. Clarity in class names and optional inclusion of attributes: Model 1 = 5, Model 2 = 5; Evidence: Both models provide clear class names and relevant attributes. Model 1 uses `InvitationStatus` with values like `Attending`, `NotReplied` which closely match the text, while Model 2 uses `RsvpStatus` with `CONFIRMED`, `PENDING` which are also clear and valid.
Total: Model 1 = 20, Model 2 = 16
Choice: A
Reason:
1. Alignment with requirement strictly: Model 1 fully captures the rule that an organizer can also attend the event, while Model 2 completely omits this functionality.
2. Conceptual classes and relationships: Model 1's structure of `Task` and `EventTask` with a strict `1` multiplicity is much more accurate for the domain logic (an event task is an instance of a specific predefined task) compared to Model 2's many-to-many relationship between task templates and event tasks.
3. Rejected or checked issues: Model 1's `Organizer "0..*" attends "0..*" Event` is a direct association that might differ from using the `Attendee` class for an attending organizer, but it is a valid and simple representation of the requirement without adding unnecessary complexity. Both models treat an invitee as an `Attendee` before account creation, which is a standard and accepted simplification in conceptual modeling.
4. Overall judgment: Model 1 is significantly better because it covers all the specified use cases without omitting required relationships and utilizes more accurate multiplicities for the checklist task instantiation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</si>
  <si>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</si>
  <si>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correctly identify the main classes (User/Person, Organizer, Attendee, Event, Location, Invitation, TaskTemplate/Task, EventTask). M2 introduces an explicit `Organizer attends Event` association to handle the requirement where an organizer can also be an attendee, while M1 misses this domain fact. However, both lack a robust way to handle the dual-role of an organizer attending.
2. Associations/Multiplicities between classes for domain reasoning: Model 1 = 4, Model 2 = 3; Evidence: M1 correctly models `Invitation "*" --&gt; "1" Attendee` and `Organizer "1..*" --&gt; "1..*" Event` (ensuring every event has at least one organizer). M2 makes critical multiplicity errors: `Organizer "1..*" organizes "0..*" Event` allows an event to have zero organizers, and `Attendee "0..*" receives "0..*" Invitation` incorrectly implies an invitation can be received by multiple attendees. M2 does successfully model the `Organizer attends Event` association which M1 misses, but its explicit invalid multiplicities are more severe flaws.
3. Model attributes with appropriate data types: Model 1 = 5, Model 2 = 5; Evidence: Both models correctly capture the required attributes for the domain, including `firstName`, `lastName`, `email`, `password`, `postalAddress`, `phoneNumber` for Organizer, as well as `occasion`, `startDateTime`, `endDateTime` for Event. Data types are appropriate and consistently applied.
4. Consistencies of Terminology with given context: Model 1 = 5, Model 2 = 5; Evidence: Both models use terminology that maps well to the requirements. M1 uses `EventKind` and `TaskTemplate`, while M2 uses `EventType` and `Task`; both are synonymous with the domain terms "kind of event" and reusable tasks. Enums like `RsvpStatus` / `InvitationStatus` and `TaskStatus` are consistent with the domain vocabulary.
5. Adherence of UML class diagram standards: Model 1 = 5, Model 2 = 5; Evidence: Both diagrams strictly adhere to UML class diagram conventions, using valid syntax for classes, enums, generalization (`&lt;|--`), composition (`*--`), and associations. PlantUML syntax is fully correct and readable.
Total: Model 1 = 23, Model 2 = 22
Choice: A
Reason:
1. Appropriate conceptual classes aligned with the domain: Both models perform similarly by identifying the core entities. M2 has a slight edge in semantic modeling by explicitly capturing the "organizer attends" concept, but both models struggle with the role-overlap between Organizer and Attendee.
2. Associations/Multiplicities between classes for domain reasoning: M1 is better here. M2 explicitly models invalid multiplicities, such as allowing an Event to have 0 organizers (`0..*`) and an Invitation to be linked to multiple Attendees (`0..* receives 0..*`). M1 correctly constrains these to `1..*` and `1` respectively. M1's omission of the "organizer attends" association is a missing constraint, which is a less severe error than M2's explicitly invalid multiplicities.
3. Model attributes with appropriate data types: Both models score equally well, having thoroughly captured the required attributes with correct types.
4. Consistencies of Terminology with given context: Both models use appropriate and consistent terminology matching the requirement text.
5. Adherence of UML class diagram standards: Both models strictly follow UML standards and valid PlantUML syntax.
6. Rejected or checked issues: M1's `TaskTemplate "0..*" --&gt; "0..*" EventTask` is slightly loose (an EventTask should arguably instantiate exactly one TaskTemplate), but it is not as severe a domain violation as M2's shared invitation multiplicity.
7. Overall judgment: Model 1 is chosen because it avoids the critical domain reasoning errors present in Model 2 regarding event organizer and invitation multiplicities, yielding a more robust domain model despite missing the organizer-attending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</si>
  <si>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</si>
  <si>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accurately identify the core domain entities such as Event, Organizer, Attendee, Location, TaskTemplate/Task, EventTask, and Invitation. Model 1 uses `EventType` and `Task`, while Model 2 uses `EventKind` and `TaskTemplate`. Both conceptualizations correctly capture the relationship between reusable tasks and specific event tasks.
2. Associations/Multiplicities between classes for domain reasoning: Model 1 = 3, Model 2 = 3; Evidence: Model 1 correctly models the relationship `Organizer "0..*" attends "0..*" Event` which Model 2 completely misses. However, Model 1 incorrectly defines `Attendee "0..*" receives "0..*" Invitation` (an invitation should be sent to exactly 1 attendee), whereas Model 2 correctly models this as `Invitation "*" --&gt; "1" Attendee : sentTo`. Additionally, Model 2 restricts Organizer-Event multiplicity to `1..*` on the Event side, which implies an organizer must manage at least one event, while Model 1 uses `0..*`, which is more domain-accurate. Both have minor but noticeable multiplicity flaws.
3. Model attributes with appropriate data types: Model 1 = 5, Model 2 = 4; Evidence: Both models capture the required attributes with appropriate String and boolean types. Model 1 uses `startDateTime: DateTime` and `endDateTime: DateTime`, perfectly matching the "start date/time and end date/time" requirement. Model 2 uses `Date` for these attributes, which is slightly less precise for a time-specific domain requirement.
4. Consistencies of Terminology with given context: Model 1 = 5, Model 2 = 4; Evidence: Model 1 uses `InvitationStatus` to model the attendee's response status, which directly aligns with the requirement's mention of "invitation status". Model 2 uses `RsvpStatus`, which is domain-accurate in a general sense but does not match the specific terminology used in the text.
5. Adherence of UML class diagram standards: Model 1 = 5, Model 2 = 5; Evidence: Both models strictly adhere to UML class diagram standards and PlantUML syntax. Model 2 uses unidirectional opposite associations with comments (e.g., `'opposite eventKind`), which are syntactically valid and ignored per the evaluation guidelines.
Total: Model 1 = 23, Model 2 = 22
Choice: A
Reason:
1. Appropriate conceptual classes aligned with the domain: Both models perform equally well, introducing necessary intermediate classes like `EventTask` to separate the general task list from the specific event checklist.
2. Associations/Multiplicities between classes for domain reasoning: Both have noticeable errors. Model 1 misses the `1` multiplicity on the `Invitation` to `Attendee` association, incorrectly allowing an invitation to be sent to multiple attendees, whereas Model 2 correctly sets `Invitation "*" --&gt; "1" Attendee`. However, Model 2 entirely misses the fact that an "organizer also attends the event", a relationship that Model 1 successfully captures with `Organizer "0..*" attends "0..*" Event`. Model 2 also inappropriately forces an Organizer to manage at least one event (`1..*`), making them roughly equal in flaws.
3. Rejected or checked issues: The use of `Date` instead of `DateTime` in Model 2 was considered. While often synonymous in programming, for a requirement explicitly stating "date/time", `DateTime` is more accurate and gave Model 1 a slight edge in attribute modeling. The opposite-direction annotations in Model 2 were correctly ignored as per instructions.
4. Overall judgment: Model 1 is slightly better. It accurately models the "Organizer attends Event" association which is explicitly stated in the requirements, uses more precise data types (`DateTime`), and employs exact terminology from the context (`InvitationStatus`). Model 2 has better multiplicity for the Invitation-Attendee association but misses a core domain relationship regarding organizers attending events.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</si>
  <si>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</si>
  <si>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demonstrate high cohesion by separating concerns into distinct classes (e.g., separating EventTask from Task/TaskTemplate to handle event-specific states). Both models have low coupling by using associations rather than cramming all responsibilities into a few classes. Model 1 uses `User` as the base class, while Model 2 uses `Person`, but both serve the same cohesive purpose of managing shared attributes.
2. Complexity: Model 1 = 4, Model 2 = 4; Evidence: Both models have a balanced number of classes (around 11 classes each) and an appropriate inheritance depth (2 levels). They both correctly distinguish between conceptual classes and attributes (e.g., modeling `EventKind`/`EventType` and `Location` as classes rather than string attributes in the `Event` class). Both distinguish between `Task`/`TaskTemplate` and `EventTask` to support the "available for the next event" requirement without adding unnecessary complexity.
3. Practicability: Model 1 = 3, Model 2 = 4; Evidence: Both models accurately capture the invitation status enums (Model 1: `RsvpStatus` with PENDING, CONFIRMED, MAYBE, DECLINED; Model 2: `InvitationStatus` with Attending, Maybe, NotAttending, NotReplied) and task statuses. Both models correctly associate attendees with selecting event tasks (`volunteersFor` in Model 1, `selects` in Model 2). However, the requirement explicitly states: "Sometimes, an organizer is only managing the event but not attending the event. Sometimes, an organizer also attends the event." Model 2 explicitly models this with `Organizer "0..*" attends "0..*" Event`, whereas Model 1 only has `Organizer --&gt; Event : manages` and completely misses the association for an organizer attending an event. This makes Model 2 more practically aligned with the domain requirements.
Total: Model 1 = 11, Model 2 = 12
Choice: B
Reason:
1. Cohesion and Decoupling: Both models perform equally well. They separate the event management logic from user management logic and use intermediate classes like `EventTask` to decouple template tasks from specific event instances.
2. Complexity: The complexity is well-balanced in both diagrams. They avoid over-engineering by keeping the inheritance tree shallow and correctly separating task definitions from task assignments.
3. Practicability: Model 2 is superior because it fully covers the requirement where an organizer can also attend an event. By including the `Organizer attends Event` association, it provides a more complete and accurate representation of the domain. Model 1's omission of this specific relationship leaves a gap in the functional behavior of the system.
4. Rejected or checked issues: I did not penalize Model 1 for using opposite unidirectional associations (e.g., `A --&gt; B` and `B --&gt; A`), as per the strict evaluation guidelines. I also did not penalize either model for using different naming conventions for base classes (`User` vs. `Person`) or slightly different enum naming, as both are semantically clear.
5. Overall judgment: Model 2 is the better model due to its complete adherence to the requirement regarding an organizer potentially attending the event, which was missed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</si>
  <si>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</si>
  <si>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explicitly models `Organizer "0..*" attends "0..*" Event`, addressing the requirement that "Sometimes, an organizer also attends the event." Model 2 omits this association entirely. Furthermore, Model 2 forces `Organizer "1..*" --&gt; "1..*" Event`, dictating that an organizer must manage at least one event, whereas Model 1 uses `Organizer "1..*" organizes "0..*" Event`, correctly allowing an organizer to exist without immediately managing an event.
2. Complexity: Model 1 = 4, Model 2 = 3; Evidence: Both models have a balanced complexity with similar class structures. However, Model 2 defines `TaskTemplate "0..*" --&gt; "0..*" EventTask`, implying that a single EventTask could be instantiated from multiple templates, which is semantically incorrect and unnecessarily complex. Model 1 correctly relates `EventTask -- "1" Task`, establishing a clear one-to-one instantiation.
3. Practicability: Model 1 = 5, Model 2 = 4; Evidence: Model 1 provides an explicit `NotReplied` status in its `InvitationStatus` enum, which perfectly matches the requirement for organizers to view who "have not yet replied." Model 2 uses `PENDING` which is a bit more ambiguous. Both models capture task designation and attendee selection of tasks well, but Model 1 provides a more complete and traceable mapping to the stated requirements.
Total: Model 1 = 14, Model 2 = 10
Choice: A
Reason:
1. Cohesion and Decoupling: Model 1 accurately captures the organizer's dual role as both an event manager and a potential attendee through separate associations. Model 2 misses the "attends" relationship entirely and imposes an overly strict multiplicity on the "manages" relationship.
2. Complexity: Model 1 maintains a clearer 1-to-1 relationship between `EventTask` and `Task`, avoiding the confusing many-to-many instantiation association found in Model 2 between `TaskTemplate` and `EventTask`.
3. Rejected or checked issues: Both models use slightly different naming conventions (e.g., `Task` vs `TaskTemplate`, `Person` vs `User`), but these are semantically equivalent and no penalties were applied for these naming choices. Similarly, differences in primitive types and aliases were ignored.
4. Overall judgment: Model 1 is better because it provides a more complete and accurate representation of the requirements, specifically regarding the organizer's ability to attend events and the proper multiplicities for the managing and task instantiation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</si>
  <si>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</si>
  <si>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functionalities, conceptual classes, relationships, and cardinalities: Model 1 = 4, Model 2 = 3; Evidence: Model 1 accurately captures the invitation lifecycle by including `invitedEmail: String` in the `Invitation` class and using an association `Invitation "*" -- "0..1" Attendee : claimed by`. This correctly models the requirement where an invitation is sent to an email before the attendee account is created. In contrast, Model 2's `Invitation` class lacks an `email` attribute and uses `Attendee "0..*" receives "0..*" Invitation`, which semantically implies an invitation can be received by multiple attendees and contradicts the requirement that an account is created *after* receiving the email. Model 2 does correctly include `Organizer "0..*" attends "0..*" Event` which Model 1 omits, and Model 2's `Attendee "0..*" selects "0..*" EventTask` matches the "select" wording better than Model 1's `EventTask "*" -- "0..1" Invitation : assigned to`. However, Model 1's mapping of the task to the specific invitation is stronger domain modeling for tracking "who is bringing what", whereas Model 2's core invitation process is fundamentally flawed.
Total: Model 1 = 4, Model 2 = 3
Choice: A
Reason:
1. Design alignment: Model 1 is superior because it correctly models the core invitation workflow. The requirement explicitly states that an attendee receives an email invitation and *then* creates an account if they don't have one. Model 1 supports this by giving the `Invitation` class an `invitedEmail` attribute and linking it to `Attendee` with a `0..1` multiplicity (`claimed by`). Model 2 fails to capture this by omitting the email on the `Invitation` and using a many-to-many relationship with `Attendee`, which implies the attendee must exist to receive the invitation. 
2. Relationships and Cardinalities: Both models correctly separate `TaskTemplate`/`Task` from `EventTask` to handle tasks available for the next event. Both correctly handle the `1..*` organizer cardinality. Model 2 captures the "organizer attends" association which Model 1 misses, but Model 1's accurate handling of the task-to-invitation assignment (`EventTask "*" -- "0..1" Invitation`) is a more robust way to track who is bringing what than Model 2's `Attendee selects EventTask`, which loses the direct link to the specific event's invitation.
3. Rejected or checked issues: I did not penalize Model 1 for using `TODO` in its `TaskStatus` enum instead of `NeedsToBeDone`, nor for using `PENDING` instead of `NotReplied`. I also did not penalize either model for missing the first/last names on the Invitation class, as neither included them, though Model 1 did at least include the email.
4. Overall judgment: Model 1 is better because its domain modeling of the invitation lifecycle is accurate and aligns with the requirement, whereas Model 2's missing email attribute and incorrect multiplicities on the Invitation class represent a fundamental misunderstanding of the core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</si>
  <si>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</si>
  <si>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4, Model 2 = 3; Evidence: Model 1 includes `Organizer "0..*" attends "0..*" Event`, satisfying the requirement that an organizer may also attend the event, whereas Model 2 completely omits this relationship. Model 2 handles the invitation-to-attendee lifecycle better with `Invitation "*" -- "0..1" Attendee : claimed by &gt;` and stores `invitedEmail`, while Model 1 uses `Attendee "0..*" receives "0..*" Invitation` which incorrectly implies an invitation can be for multiple attendees, and lacks invitee details on the Invitation. Both models correctly separate Task templates (linked to EventType) from EventTasks (linked to Event), and both correctly require 1..* organizers per event.
Total: Model 1 = 4, Model 2 = 3
Choice: A
Reason:
1. Requirement alignment: Model 1 successfully captures the "Organizer attends Event" functionality via `Organizer "0..*" attends "0..*" Event`, which is explicitly required ("Sometimes, an organizer also attends the event"). Model 2 completely misses this functionality. Although Model 2 has a more accurate representation of the Invitation-Attendee relationship (`0..1` claimed by) and stores the invited email, omitting a core relationship is a more severe flaw than Model 1's incorrect `0..*` multiplicity on the `receives` association. Both models correctly implement the task templates and event tasks structure, and both accurately set the organizer multiplicity to `1..*`.
2. Rejected or checked issues: Model 1's missing attributes (first and last name) on the Invitation class was considered, but since Model 2 also fails to fully include both names on the Invitation, it was not a differentiating factor.
3. Overall judgment: Model 1 is better because it achieves all the core functionalities outlined in the requirement, including the organizer attending the event. Model 2's omission of this specific association results in a loss of required functionality.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</si>
  <si>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</si>
  <si>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essential domain classes: User/Person, Organizer, Attendee, Event, EventType, Location, Invitation, and Task-related classes. Model 1 uses `TaskTemplate` and `EventTask` to separate reusable task definitions from event-specific instances, accurately reflecting the requirement that new tasks are available for the next event. Model 2 uses `Task` and `EventTask` which is functionally equivalent and also covers the requirement.
2. Associations/Multiplicities between classes for domain reasoning: Model 1 = 4, Model 2 = 3; Evidence: Model 1 accurately models `Invitation "*" -- "0..1" Attendee` and `EventTask "*" -- "0..1" Invitation`, correctly restricting a task assignment to a single attendee. Model 2 models `Attendee "0..*" receives "0..*" Invitation` and `Attendee "0..*" selects "0..*" EventTask`, which incorrectly allows an invitation to be linked to multiple attendees and a single task to be selected by multiple attendees simultaneously, misaligning with the domain where "an attendee can then select their tasks" (implying ownership). Model 2 also directly links Organizer to Event for attending, which misses the invitation/RSVP workflow for attending organizers.
3. Model attributes with appropriate data types: Model 1 = 5, Model 2 = 4; Evidence: Both models capture the required attributes like `firstName`, `lastName`, `email`, `password`, `postalAddress`, `phoneNumber`, `occasion`, `startDateTime`, `endDateTime`, `name`, `address`, and `status`. Model 1 additionally includes `invitedEmail: String` in the `Invitation` class, which accurately models the organizer entering the attendee's email address to invite them before they create an account. Model 2 misses this attribute on the Invitation.
4. Consistencies of Terminology with given context: Model 1 = 5, Model 2 = 4; Evidence: Model 1 uses `User` as the base class, which aligns well with account creation mentioned in the text ("create an account"). Model 2 uses `Person`. Both models use appropriate enums like `RsvpStatus`/`InvitationStatus` and `TaskStatus`. Model 1's use of `TaskTemplate` vs `Task` is a bit more descriptive of the reusable nature of the tasks, but both are acceptable.
5. Adherence of UML class diagram standards: Model 1 = 5, Model 2 = 5; Evidence: Both models adhere well to UML and PlantUML standards, using correct syntax for enums, classes, attributes, inheritance (`&lt;|--`), associations, and composition (`*--`). The diagrams are syntactically valid and readable.
Total: Model 1 = 24, Model 2 = 22
Choice: A
Reason:
1. Appropriate conceptual classes aligned with the domain: Both models are highly aligned, capturing the necessary classes. Model 1's `TaskTemplate` is slightly more expressive, but both fulfill the requirement.
2. Associations/Multiplicities between classes for domain reasoning: Model 1 is better here. Model 2 has an incorrect multiplicity for invitations (`Attendee "0..*" receives "0..*" Invitation`), allowing an invitation to be sent to multiple attendees, which contradicts the one-to-one nature of inviting a specific person. Model 1 correctly uses `Invitation "*" -- "0..1" Attendee`. Furthermore, Model 2 allows multiple attendees to select the same task (`Attendee "0..*" selects "0..*" EventTask`), whereas Model 1 ties the task to a specific invitation (and thus a single attendee) via `EventTask "*" -- "0..1" Invitation`.
3. Rejected or checked issues: Model 2's direct association `Organizer "0..*" attends "0..*" Event` was considered. While it attempts to model the organizer attending, it bypasses the invitation system that the text describes for attendees, making Model 1's approach (where organizers could also be attendees via the user inheritance) more consistent with the system's flow, though neither perfectly captures the organizer's RSVP process explicitly.
4. Overall judgment: Model 1 is better primarily due to more accurate domain reasoning in its multiplicities, specifically regarding Invitations and Task assignments. It prevents multiple attendees from claiming the same task or sharing a single invitation, which aligns closer to the real-world logic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</si>
  <si>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</si>
  <si>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domain classes such as `Organizer`, `Attendee`, `Event`, `EventType`, `Location`, `Invitation`, `Task`/`TaskTemplate`, and `EventTask`. Model 1 uses `Person` and `Task` while Model 2 uses `User` and `TaskTemplate`, which are semantically equivalent and acceptable.
2. Associations/Multiplicities between classes for domain reasoning: Model 1 = 4, Model 2 = 3; Evidence: Model 1 captures the requirement that an organizer can also attend an event via `Organizer "0..*" attends "0..*" Event`, which is completely missing in Model 2. However, Model 1 incorrectly models the Invitation-Attendee relationship as a many-to-many (`Attendee "0..*" receives "0..*" Invitation`), whereas an invitation is for one specific person. Model 2 correctly models this as `Invitation "*" -- "0..1" Attendee : claimed by &gt;`. Also, Model 1's `Attendee "0..*" selects "0..*" EventTask` aligns better with the requirement that attendees select tasks, whereas Model 2's `EventTask "*" -- "0..1" Invitation : assigned to &gt;` implies the organizer pre-assigns tasks to specific attendees, contradicting the text. Thus, Model 1 is slightly better despite the multiplicity error.
3. Model attributes with appropriate data types: Model 1 = 3, Model 2 = 4; Evidence: The requirement specifies that an organizer invites attendees by entering their first/last names and email addresses, and the invitation is sent before an account is created. Model 1 lacks any attributes on the `Invitation` class (only `status: InvitationStatus`), failing to capture the invited person's email or name before the account is created. Model 2 includes `invitedEmail: String` in `Invitation`, which correctly bridges this domain gap.
4. Consistencies of Terminology with given context: Model 1 = 5, Model 2 = 3; Evidence: Model 1 strictly follows the requirement's terminology, using `startDateTime`/`endDateTime` (matching "start date/time"), and enums like `NeedsToBeDone`, `HasBeenDone`, `NotApplicable`, and `InvitationStatus`. Model 2 deviates significantly by using `startDate`/`endDate` (losing the time aspect), `RsvpStatus` (instead of invitation status), and `TODO`/`DONE` (instead of needs to be done / has been done).
5. Adherence of UML class diagram standards: Model 1 = 5, Model 2 = 5; Evidence: Both diagrams use valid PlantUML syntax, correctly defining classes, enumerations, generalization (e.g., `Person &lt;|-- Organizer`), and associations with multiplicities.
Total: Model 1 = 22, Model 2 = 20
Choice: A
Reason:
1. Appropriate conceptual classes aligned with the domain: Both models accurately extracted the core domain classes, resulting in a tie for this criterion.
2. Associations/Multiplicities between classes for domain reasoning: Model 1 is better because it includes the crucial "Organizer attends Event" association and the "Attendee selects EventTask" association, both of which are explicitly stated in the requirements and missed or contradicted by Model 2.
3. Model attributes with appropriate data types: Model 2 is better here because it adds `invitedEmail` to the `Invitation` class, correctly modeling the domain fact that an invitation is sent to an email address before the attendee creates an account. Model 1 lacks any attributes to identify the invitee on the `Invitation` class.
4. Consistencies of Terminology with given context: Model 1 is significantly better. It uses exact terms from the requirement like `startDateTime` and `NeedsToBeDone`, whereas Model 2 uses inconsistent terms like `startDate` and `TODO`.
5. Rejected or checked issues: Model 1's many-to-many multiplicity between `Attendee` and `Invitation` was considered a flaw, but it did not outweigh Model 2's complete omission of the "Organizer attends Event" association and its incorrect assignment of tasks to invitations instead of letting attendees select them.
6. Overall judgment: Model 1 is better overall. While Model 2 has a slight edge in capturing the invited email attribute, Model 1 demonstrates a much stronger grasp of the domain's associations (organizers attending events, attendees selecting tasks) and strictly adheres to the requirement's specific terminology and data types (date/time).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</si>
  <si>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</si>
  <si>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introduces `TaskTemplate` and `EventTask` to cleanly separate the reusable task definition (`EventType 1 -- * TaskTemplate`) from the instance of a task for a specific event (`Event 1 -- * EventTask`), which perfectly decouples the list of available tasks from the checklist of a specific event. Model 2 uses `Task` and `EventTask`, but linking the `Attendee` directly to `EventTask` (`Attendee 0..* selects 0..* EventTask`) is less cohesive than Model 1's approach of assigning the `EventTask` to the `Invitation` (which is specific to an event), because an Attendee account could be associated with multiple events over time.
2. Complexity: Model 1 = 5, Model 2 = 4; Evidence: Both models have a similar number of classes and use enums for status, which appropriately balances complexity. However, Model 2 misses the `invitedEmail` attribute in the `Invitation` class. The requirement explicitly states that the organizer enters the attendee's email, and the attendee later uses this email from the invitation as their username. Omitting this attribute makes the model's logic overly simplistic and incomplete for the domain.
3. Practicability: Model 1 = 5, Model 2 = 3; Evidence: Model 1 includes `invitedEmail: String` in `Invitation` and an association `Invitation * -- 0..1 Attendee : claimed by`, practically modeling the real-world flow of receiving an invite and creating an account. Model 1 also correctly enforces that an `Event` has `1..* Organizer`. Model 2 omits the `invitedEmail` entirely, making the account creation workflow impossible to implement as specified. Additionally, Model 2 uses `Organizer "1..*" organizes "0..*" Event`, which implies an event can have zero organizers, directly contradicting the requirement that "larger events require several organizers" and "there is typically one organizer".
Total: Model 1 = 15, Model 2 = 11
Choice: A
Reason:
1. Cohesion and Decoupling: Model 1's separation of `TaskTemplate` and `EventTask` handles the requirement of adding tasks that will "also be available for the next event" much more cohesively. The link from `EventTask` to `Invitation` rather than `Attendee` is also a better decoupled design since an invitation encapsulates the event context.
2. Complexity: Both models maintain a reasonable level of complexity, but Model 2's omission of critical attributes like `invitedEmail` reduces its structural completeness without actually simplifying the domain complexity in a meaningful way.
3. Rejected or checked issues: Both models use different naming conventions for enums and attributes (e.g., `Person` vs `User`, `InvitationStatus` vs `RsvpStatus`). These naming differences were ignored as they do not impact the semantic alignment with the requirements.
4. Overall judgment: Model 1 is significantly better because it captures all critical requirements of the invitation workflow (storing the invited email, claiming the invitation) and correctly enforces multiplicity constraints for organizers on an event. Model 2 contains critical omissions that would make the software unworkable as specified.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</si>
  <si>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</si>
  <si>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Model 2 correctly identifies the `TaskTemplate` concept separate from `EventTask`, making the template instantiation highly cohesive. Model 1 uses `Task` for the template, which is semantically vague. Model 2 also properly decouples `Invitation` from `Attendee` by using an `invitedEmail` attribute and a `claimed by` association, allowing invitations to exist before an attendee account is created. Model 1 forces an `Attendee` object to exist to receive an `Invitation` (`Attendee "0..*" receives "0..*" Invitation`), which is high coupling and contradicts the requirement.
2. Complexity: Model 1 = 5, Model 2 = 5; Evidence: Both models have an appropriately balanced level of complexity. Each has 9 classes and 2 enums, correctly distinguishing between conceptual entities (Event, Location, User/Person) and structural ones (Invitation, Task). Neither model overcomplicates the design with unnecessary classes.
3. Practicability: Model 1 = 3, Model 2 = 4; Evidence: Model 2's handling of the invitation workflow (`Invitation { invitedEmail: String }` and `Invitation "*" -- "0..1" Attendee : claimed by &gt;`) is highly practical and accurately reflects the real-world process where an invitee creates an account upon receiving an email. Model 1 misses this entirely. However, Model 2 misses the explicit "Organizer attends Event" relationship that Model 1 captures (`Organizer "0..*" attends "0..*" Event`), slightly lowering its score, but it remains more practical overall due to the correct invitation flow and use of `TaskTemplate`.
Total: Model 1 = 12, Model 2 = 14
Choice: B
Reason:
1. Cohesion and Decoupling: Model 2 uses `TaskTemplate` to represent the reusable tasks defined by `EventType`, which is much more cohesive than Model 1's generic `Task` class. Furthermore, Model 2 decouples `Invitation` from `Attendee` by using an `invitedEmail` attribute, correctly modeling that an invitation can be sent before an account is created. Model 1 tightly couples `Invitation` to `Attendee`, requiring an `Attendee` to exist to receive an invitation, which contradicts the requirement.
2. Complexity: Both models exhibit a balanced and appropriate complexity. They correctly separate templates, event instances, and user roles without unnecessary proliferation of classes.
3. Rejected or checked issues: I did not penalize Model 2 for missing a direct "Organizer attends Event" association, even though Model 1 has it, because the invitation workflow flaw in Model 1 is a much more critical practical failure that outweighs this omission. Also, the use of `PENDING` vs `NotReplied` in the enums was considered semantically equivalent and not penalized.
4. Overall judgment: Model 2 is better because it accurately captures the real-world workflow of inviting users who do not yet have accounts. The separation of `TaskTemplate` and `EventTask` is also a cleaner, more readable design than Model 1's approach.</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</si>
  <si>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</si>
  <si>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</si>
  <si>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</si>
  <si>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5, Model 2 = 4.5; Evidence: Both models include all required classes (Provider, Cruise, Employee, Guest, Ship, TravelAgency, Booking, DestinationArea, Show, Ticket). However, Model 1 uses `numberOfPassengers` for the Ship attribute, directly matching the requirement ("number of passengers"), whereas Model 2 uses `passengerCapacity`. Model 2 also uses `passengerCapacity` and `ticketId` instead of more direct requirement mappings. 
2. Relationships and Multiplicities: Model 1 = 5, Model 2 = 4.5; Evidence: Model 1 accurately models "A cruise requires many employees" with `Cruise --&gt; "1..*" Employee`, while Model 2 models it as `Cruise "*" -- "*" Employee`, which is less precise but semantically valid. Both correctly model the M:N relationship between Guest and Cruise (Model 1 via direct association, Model 2 via direct association). Both correctly model Ticket linking Guest and Cruise. Model 2 models Show as `Cruise "1" -- "*" Show`, which perfectly aligns with "On a cruise, guests are offered several shows", while Model 1 uses `Cruise "*" -- "*" Show`, implying a show can belong to multiple cruises. However, Model 1's exact matching of attributes and the "1..*" employee constraint gives it a slight overall edge.
Total: Model 1 = 10, Model 2 = 9
Choice: A
Reason:
1. Classes and Attributes: Model 1 aligns slightly better by using `numberOfPassengers` as requested, whereas Model 2 alters the term to `passengerCapacity`.
2. Relationships and Multiplicities: Model 1 explicitly captures the "many" constraint for employees using `1..*` multiplicity, which is strictly more accurate to the requirement than Model 2's `*` multiplicity.
3. Rejected or checked issues: I did not penalize Model 1 for using opposite unidirectional associations (e.g., `Cruise --&gt; Provider` and `Provider --&gt; Cruise`) as per the forbidden penalties. I did not penalize Model 2 for using `Integer` instead of `int` or `Duration` for show duration.
4. Overall judgment: Model 1 is marginally better due to exact adherence to required attribute names and multiplicities (specifically the `1..*` for employees), though both diagrams are highly accurate and functional representations of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</si>
  <si>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</si>
  <si>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Model 1 = 4, Model 2 = 5; Evidence: Both models capture all the required classes and attributes. However, for the Ship class, Model 1 uses `passengerCapacity`, whereas Model 2 uses `numberOfPassengers`, which matches the requirement's wording ("number of passengers") more directly.
2. Relationships &amp; Multiplicities: Model 1 = 4, Model 2 = 5; Evidence: For the relationship between Cruise and Employee, Model 1 uses `Cruise "*" -- "*" Employee`, which does not enforce that a cruise requires *many* employees. Model 2 correctly uses `Cruise --&gt; "1..*" Employee`, strictly enforcing the requirement that a cruise requires at least one (many) employee.
3. Alignment &amp; Completeness: Model 1 = 5, Model 2 = 5; Evidence: Both diagrams successfully represent the full domain model including Provider, Cruise, Employee, Guest, Ship, TravelAgency, Booking, DestinationArea, Show, and Ticket, along with their correct connections. They both correctly interpret the relationship between Ticket, Cruise, and Guest, as well as the 1-to-1 relationship between Cruise and DestinationArea.
Total: Model 1 = 13, Model 2 = 15
Choice: B
Reason:
1. Conceptual Classes &amp; Attributes: Model 2 is slightly better here because its attribute name `numberOfPassengers` directly maps to the requirement's phrase "number of passengers", whereas Model 1 uses a more derived term `passengerCapacity`.
2. Relationships &amp; Multiplicities: Model 2 demonstrates better adherence to the textual constraints. It correctly models the "A cruise requires many employees" relationship with a lower bound of 1 (`1..*`), while Model 1 leaves the lower bound at 0 (`*`), failing to capture the fact that a cruise must have employees.
3. Rejected or checked issues: Model 2 uses opposite unidirectional associations (e.g., `Cruise --&gt; Guest` and `Guest --&gt; Cruise`). Per the evaluation guidelines, these are semantically equivalent to bidirectional associations and were not penalized. Comments in Model 2 (e.g., `'opposite cruisesAttended`) were ignored as standard tooling annotations.
4. Overall judgment: Model 2 is slightly better than Model 1 due to its more precise multiplicity constraints on the Employee association and its exact naming match for the Ship's passenger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</si>
  <si>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</si>
  <si>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all required domain classes: Provider, Cruise, Employee, Guest, Ship, TravelAgency, Booking, DestinationArea, Show, and Ticket.
2. Associations/Multiplicities between classes for domain reasoning: Model 1 = 5, Model 2 = 5; Evidence: Both models correctly capture the associations and multiplicities. For instance, both correctly model Cruise to Provider as 1 to 1 ("organized by a specific provider"), Cruise to Ship as * to 1 ("can be used for different cruises"), and Ticket to Cruise as * to 1 ("belongs to exactly one cruise"). Model 1 uses opposite unidirectional associations which are semantically equivalent to Model 2's bidirectional lines.
3. Model attributes with appropriate data types: Model 1 = 5, Model 2 = 5; Evidence: Both models correctly define attributes with appropriate data types. Model 1 uses `int` and `double` for number-based fields (e.g., `number: int`, `duration: double`), while Model 2 uses `String`, `Integer`, and `Duration` (e.g., `duration: Duration`), which are also valid and appropriate.
4. Consistencies of Terminology with given context: Model 1 = 5, Model 2 = 4; Evidence: Model 1 accurately uses the exact terminology from the requirement, such as `numberOfPassengers` and `isVip`. Model 2 deviates slightly by using `passengerCapacity` instead of "number of passengers" and `ticketId` instead of a "number"-style identifier (which aligns better with the text's consistent use of "number" for booking, decks, passengers, etc.).
5. Adherence of UML class diagram standards: Model 1 = 5, Model 2 = 5; Evidence: Both models follow standard UML/PlantUML conventions. Model 1's use of opposite unidirectional associations is a valid and equivalent approach to Model 2's bidirectional syntax.
Total: Model 1 = 25, Model 2 = 24
Choice: A
Reason:
1. Appropriate conceptual classes: Both models perform equally well, capturing all domain concepts cleanly.
2. Associations/Multiplicities: Both models provide correct and complete multiplicities based on the requirements. There is no meaningful difference in domain reasoning.
3. Model attributes: Both models assign sensible data types to all attributes. Model 2's use of `Duration` for the show duration is well-chosen, but Model 1's use of `double` is also perfectly acceptable.
4. Rejected or checked issues: No penalties were applied for Model 1's use of opposite unidirectional associations, as this is semantically equivalent to bidirectional associations per the guidelines. No penalties were applied for using primitive types like `int` or `boolean`.
5. Overall judgment: Model 1 is slightly better due to its stricter adherence to the exact terminology used in the requirement text (e.g., using `numberOfPassengers` directly matching the prompt, whereas Model 2 uses `passengerCapacity`). This makes Model 1 marginally more consistent with the provided context.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</si>
  <si>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</si>
  <si>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domain classes: Provider, Cruise, Employee, Guest, Ship, TravelAgency, Booking, DestinationArea, Show, and Ticket.
2. Associations/Multiplicities between classes for domain reasoning: Model 1 = 3, Model 2 = 4; Evidence: Model 1 defines the Cruise-Provider relationship as `Cruise "1" -- "1" Provider`, which implies a 1-to-1 association, contradicting the typical one-to-many relationship implied by "A cruise is organized by a specific provider". Model 2 correctly models this as `Cruise --&gt; "1" Provider` and `Provider --&gt; "*" Cruise`. Both models correctly handle the Guest-Cruise, Employee-Cruise, and Ticket associations.
3. Model attributes with appropriate data types: Model 1 = 4, Model 2 = 4; Evidence: Model 1 uses `passengerCapacity: Integer` for Ship, which is a slight variation from the requirement's "number of passengers". Model 2 uses `numberOfPassengers: int` matching the requirement precisely, but models Show's duration as `double` (which lacks explicit units like minutes or seconds). Both models properly capture the remaining required attributes with valid data types.
4. Consistencies of Terminology with given context: Model 1 = 4, Model 2 = 4; Evidence: Model 1 uses `passengerCapacity` which deviates slightly from the domain phrasing. Model 2 uses `isVip` instead of `isVIP` and uses opposite-direction association labels like `cruisesWorked` which are reasonable but slightly more verbose. Overall, terminology in both is highly aligned with the requirement.
5. Adherence of UML class diagram standards: Model 1 = 5, Model 2 = 5; Evidence: Both models use valid PlantUML syntax to represent classes, attributes, and associations without any major UML violations.
Total: Model 1 = 21, Model 2 = 22
Choice: B
Reason:
1. Appropriate conceptual classes aligned with the domain: Both models perfectly encapsulate all the domain entities required by the description, resulting in a tie for this criterion.
2. Associations/Multiplicities between classes for domain reasoning: Model 2 outperforms Model 1 here because Model 1 mistakenly sets the multiplicity between Cruise and Provider to 1:1 (`Cruise "1" -- "1" Provider : organizedBy`). A provider typically organizes multiple cruises, which Model 2 correctly captures with `Provider --&gt; "*" Cruise`.
3. Rejected or checked issues: Model 2's use of opposite-direction unidirectional associations (e.g., `A --&gt; B` and `B --&gt; A`) was not penalized as per the instructions, as they are semantically equivalent to a single bidirectional line.
4. Overall judgment: Model 2 is slightly better primarily due to the correct modeling of the Provider-Cruise multiplicity, whereas Model 1 incorrectly restricted this to a 1:1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</si>
  <si>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</si>
  <si>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correctly isolate domain concepts into 10 cohesive classes (Provider, Cruise, Employee, Guest, Ship, TravelAgency, Booking, DestinationArea, Show, Ticket) with low coupling. Both correctly map the associations, such as `Cruise` to `Provider` (1 to 1) and `Cruise` to `Ship` (* to 1). Model 1 uses two unidirectional associations to represent bidirectional relationships (e.g., `Cruise --&gt; "1" Ship` and `Ship --&gt; "*" Cruise`), which is semantically equivalent to Model 2's `Cruise "*" -- "1" Ship`.
2. Complexity: Model 1 = 5, Model 2 = 5; Evidence: Both models maintain an identical, balanced number of classes (10) and attributes, avoiding unnecessary conceptual classes. Model 1 introduces `ticketNumber: int` while Model 2 uses `ticketId: String`, and Model 2 uses `passengerCapacity` instead of `numberOfPassengers` for the Ship class, but neither introduces superfluous complexity.
3. Practicability: Model 1 = 5, Model 2 = 5; Evidence: Both diagrams are highly readable and provide a comprehensive representation of the domain. Model 1 provides explicit role names for all associations (e.g., `employs`, `hosts`), making the relationships clear. Model 2 provides cleaner standard UML notation with bidirectional lines and uses slightly better domain types for `Show` duration (`Duration` instead of `double`). Both models miss the specific OCL constraint "only one ticket per cruise" for guests, but this is a common and acceptable omission in standard class diagrams.
Total: Model 1 = 15, Model 2 = 15
Choice: C
Reason:
1. Cohesion and Decoupling: Both models correctly structure the domain with well-defined classes and appropriate multiplicities. The approaches to association representation (two unidirectional arrows vs. one bidirectional line) are semantically equivalent and do not affect the coupling or cohesion.
2. Complexity: Both models have exactly 10 classes and map the required attributes almost identically. Neither model overcomplicates the domain by introducing unnecessary abstract classes or excessive inheritance trees.
3. Rejected or checked issues: I did not penalize Model 1 for using two opposite unidirectional associations, as instructed. I also did not penalize either model for missing the "only one ticket per cruise" constraint, as standard UML class diagrams often rely on external constraints (like OCL) for such specific business rules, and both models capture the base multiplicity correctly.
4. Overall judgment: The models are fundamentally identical in their coverage of the requirement. The minor differences in attribute naming (e.g., `ticketId` vs `ticketNumber`, `passengerCapacity` vs `numberOfPassengers`) or data types (`Duration` vs `double`) do not provide a meaningful quality advantage. Therefore, the result is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</si>
  <si>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</si>
  <si>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effectively separate domain concepts into distinct, highly cohesive classes (e.g., `Provider`, `Cruise`, `Booking`, `Ticket`). Model 1 uses single undirected or unidirectional associations, keeping coupling minimal. Model 2 employs opposite unidirectional associations to form bidirectional links across all relationships (e.g., `Cruise --&gt; "1" Ship` and `Ship --&gt; "*" Cruise`), which naturally increases navigability but can marginally increase coupling. However, per the evaluation rules, opposite unidirectional associations are treated as semantically equivalent and not penalized if navigability isn't specified by requirements.
2. Complexity: Model 1 = 5, Model 2 = 5; Evidence: Both models correctly identify 10 domain classes with an average of 2-3 attributes per class and zero inheritance depth, keeping the complexity perfectly balanced and appropriate for the requirement. Neither model over-engineers the solution by introducing unnecessary intermediate classes.
3. Practicability: Model 1 = 4, Model 2 = 4; Evidence: Both models cover all requirements accurately. Model 1 demonstrates slightly better domain typing by using `passengerCapacity` instead of `numberOfPassengers` (which could be misinterpreted as mutable state), and `Duration` instead of `double` for `Show` duration. Model 2, however, provides a slightly more accurate multiplicity for employees (`Cruise --&gt; "1..*" Employee`) compared to Model 1's `*` multiplicity (`Cruise "*" -- "*" Employee`), aligning better with the "many" constraint. These minor trade-offs balance out the overall practicality.
Total: Model 1 = 13, Model 2 = 13
Choice: C
Reason:
1. Cohesion and Decoupling: Both models exhibit high cohesion and low coupling by properly distributing responsibilities. Model 2's use of bidirectional links is not penalized due to the semantic equivalence rule for opposite unidirectional associations.
2. Complexity: Both models adopt a minimalist and accurate approach, capturing exactly the 10 required classes without unnecessary structural complexity.
3. Rejected or checked issues: I did not penalize Model 2 for using primitive types (`int`, `boolean`, `double`) instead of object wrappers, nor for using lowercase types, as per the forbidden penalties. I also did not penalize Model 2's extensive use of PlantUML comments (e.g., `'opposite cruises`).
4. Overall judgment: The quality difference between the two models is negligible. Model 1 has marginally better domain type names (e.g., `Duration`, `passengerCapacity`), while Model 2 has slightly better multiplicity definitions (e.g., `1..*` for Employee). Since both models accurately and comprehensively satisfy the requirements with equivalent semantic quality, a tie is the most objective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</si>
  <si>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</si>
  <si>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and Attributes): Model 1 = 5, Model 2 = 5; Evidence: Both models correctly identify all required conceptual classes: Provider, Cruise, Employee, Guest, Ship, TravelAgency, Booking, DestinationArea, Show, and Ticket. Both models also capture the essential attributes for each class (e.g., Cruise has number, name, startDate, endDate; Ship has name, numberOfDecks, length, numberOfPassengers). 
2. Associations and Cardinalities: Model 1 = 5, Model 2 = 2; Evidence: Model 1 correctly implements the multiplicities. For example, it models Cruise and Guest as a many-to-many relationship (`Cruise --&gt; "*" Guest` and `Guest --&gt; "*" Cruise`), and Ship and Cruise correctly (`Cruise --&gt; "1" Ship` and `Ship --&gt; "*" Cruise`). Model 2 makes severe cardinality errors: it models Guest to Cruise as `Cruise "1" -- "0..*" Guest`, directly contradicting the requirement that a guest can take several cruises. It also models `Cruise "1" -- "1" Ship` and `Cruise "1" -- "1" DestinationArea`, which violates the rules that a ship can be used for different cruises and that many cruises can head to the same destination area.
3. Completeness and Domain Accuracy: Model 1 = 5, Model 2 = 3; Evidence: Model 1 properly links Booking to Cruise (`Booking --&gt; "1" Cruise`), satisfying "A cruise is booked through a travel agency." Model 2 links Booking to Ticket (`Booking "1" -- "1" Ticket`) but entirely omits the relationship between Booking and Cruise. Model 1 also correctly models Ticket belonging to exactly one Cruise and one Guest (`Ticket --&gt; "1" Cruise`, `Ticket --&gt; "1" Guest`), which satisfies the ticket constraints.
Total: Model 1 = 15, Model 2 = 10
Choice: A
Reason:
1. Alignment with requirement (Classes and Attributes): Both models perform equally well in identifying the correct classes and their respective attributes, directly matching the requirement text without hallucination.
2. Associations and Cardinalities: Model 1 correctly implements the domain rules for multiplicities, particularly the many-to-many relationship between Cruise and Guest, and the one-to-many relationships for Ship and DestinationArea. Model 2 fails drastically on these key constraints, misinterpreting the requirement by restricting Guests, Ships, and Destination Areas to a single cruise.
3. Rejected or checked issues: We did not penalize Model 1 for using opposite unidirectional associations (e.g., `A --&gt; B` and `B --&gt; A`) as per the strict instructions. We also ignored the visibility markers in Model 2 as they are presentation-only differences.
4. Overall judgment: Model 1 is the clear winner because it accurately reflects the cardinality and relationship constraints explicitly stated in the requirement. Model 2 contains multiple critical multiplicity errors that fundamentally misrepresent the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</si>
  <si>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</si>
  <si>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functionalities: Model 1 = 2, Model 2 = 5; Evidence: Model 1 completely misses the association between `Booking` and `Cruise`, which is required by "A cruise is booked through a travel agency." It also incorrectly models `Cruise "1" -- "1" Ship` and `Cruise "1" -- "1" DestinationArea`, failing the requirement that "A ship can be used for different cruises" and a destination area can be headed for by many cruises. Model 2 correctly models `Booking --&gt; "1" Cruise`, `Ship --&gt; "*" Cruise`, and `DestinationArea --&gt; "*" Cruise`.
2. Conceptual classes and relationships accuracy: Model 1 = 2, Model 2 = 5; Evidence: Both models include all 10 required classes (Provider, Cruise, Employee, Guest, Ship, TravelAgency, Booking, DestinationArea, Show, Ticket). However, Model 1 has a duplicate association between Guest and Cruise (`Cruise "1" -- "0..*" Guest` and `Guest "0..*" -- "0..*" Cruise`). Model 2 represents the relationships accurately without duplicates, using pairs of unidirectional associations (which are semantically equivalent to bidirectional ones).
3. Cardinalities and types of relationships: Model 1 = 1, Model 2 = 4; Evidence: Model 1 has multiple cardinality errors: `Guest "0..*" -- "0..*" Ticket` contradicts "A ticket belongs to exactly one cruise [and implicitly one guest]", and `Cruise "1" -- "1" Ship`/`Cruise "1" -- "1" DestinationArea` contradict the "different cruises" multiplicity. Model 2 correctly captures `Ticket --&gt; "1" Guest`, `Guest --&gt; "*" Ticket`, `Ticket --&gt; "1" Cruise`, and `Cruise --&gt; "*" Ticket`. Model 2 does introduce a `Booking --&gt; "1" Guest: bookedBy` association not strictly explicitly defined in the text, but it is a minor, reasonable domain assumption compared to Model 1's severe cardinality failures.
4. Clarity in class names and attributes: Model 1 = 5, Model 2 = 5; Evidence: Both models use clear, recognizable class names and accurately capture the attributes described in the requirement (e.g., `name`, `location`, `startDate`, `endDate`, `socialSecurityNumber`, `isVip`, etc.). Model 2 uses primitive types like `int` and `boolean`, which is fully acceptable per the guidelines.
Total: Model 1 = 10, Model 2 = 19
Choice: B
Reason:
1. Alignment with requirements: Model 2 strictly aligns with the booking, ship, and destination area requirements, whereas Model 1 misses critical links and multiplicities.
2. Conceptual classes and relationships accuracy: Model 2 accurately models the domain classes and their connections without redundant or contradictory associations, unlike Model 1's duplicate Guest-Cruise link.
3. Rejected or checked issues: Model 2's inclusion of `Booking --&gt; "1" Guest` is a slight addition not explicitly mandated by the text, but it is a logical domain refinement and far less severe than Model 1's missing `Booking`-`Cruise` relation and incorrect `1..1` multiplicities for Ship and DestinationArea.
4. Overall judgment: Model 2 is significantly better because it correctly implements the required cardinalities and domain rules, avoiding the severe omissions and contradictions present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</si>
  <si>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</si>
  <si>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necessary domain classes: Provider, Cruise, Employee, Guest, Ship, TravelAgency, Booking, DestinationArea, Show, and Ticket.
2. Associations/Multiplicities between classes for domain reasoning: Model 1 = 5, Model 2 = 2; Evidence: Model 1 correctly captures the domain reasoning, including `Booking --&gt; "1" Cruise` ("A cruise is booked through a travel agency") and `Ticket --&gt; "1" Cruise` ("A ticket belongs to exactly one cruise"), linking bookings and tickets properly. Model 2 misses the critical association between `Booking` and `Cruise`, instead mistakenly linking `Booking "1" -- "1" Ticket`. Furthermore, Model 2 uses `Cruise "1" -- "0..*" Employee`, whereas the requirement states a cruise "requires many employees", which is better represented by Model 1's `1..*`. Model 2 also uses `Guest "0..*" -- "0..*" Ticket` which fails to model the "only one ticket per cruise" constraint as effectively as Model 1's associative structure via Ticket.
3. Model attributes with appropriate data types: Model 1 = 5, Model 2 = 5; Evidence: Both models include all required attributes with appropriate primitive types (e.g., String, Date, int/Integer, boolean/Boolean). Both models also include an extra `ticketNumber` which does not conflict with the requirement.
4. Consistencies of Terminology with given context: Model 1 = 5, Model 2 = 5; Evidence: Both models use terminology that perfectly matches the requirement text, such as `DestinationArea`, `socialSecurityNumber`, `numberOfPassengers`, and `isVip`/`isVIP`.
5. Adherence of UML class diagram standards: Model 1 = 5, Model 2 = 5; Evidence: Both models correctly use standard UML class diagram syntax and PlantUML representations for classes, attributes, and associations.
Total: Model 1 = 25, Model 2 = 22
Choice: A
Reason:
1. Appropriate conceptual classes: Both models perform equally well, identifying all required classes.
2. Associations/Multiplicities: Model 1 is significantly better because it correctly associates `Booking` with `Cruise` and `TravelAgency`, reflecting the requirement "A cruise is booked through a travel agency." Model 2 omits the `Booking`-`Cruise` association entirely and incorrectly connects `Booking` directly to `Ticket`. Model 1 also more accurately reflects the "many employees" multiplicity with `1..*` compared to Model 2's `0..*`.
3. Rejected or checked issues: The redundant association between Guest and Cruise in both models (in addition to the indirect link via Ticket) was not penalized as it doesn't contradict the domain. Model 1's additional `Booking --&gt; 1 Guest` association was not penalized as it reasonably infers the actor of the booking without contradicting the text.
4. Overall judgment: Model 1 is better because it correctly models the core booking and ticketing domain relationships, whereas Model 2 fundamentally misses how cruises relate to bookings.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</si>
  <si>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</si>
  <si>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10 necessary domain classes: Provider, Cruise, Employee, Guest, Ship, TravelAgency, Booking, DestinationArea, Show, and Ticket.
2. Associations/Multiplicities between classes for domain reasoning: Model 1 = 3, Model 2 = 5; Evidence: Model 1 incorrectly models the Ship-Cruise multiplicity as `Cruise "1" -- "1" Ship`, which contradicts the requirement that a ship can be used for different cruises. Model 1 also has a redundant `Guest "0..*" -- "0..*" Cruise` association alongside `Cruise "1" -- "0..*" Guest`, and connects `Booking` to `Cruise` only indirectly via `Ticket`. Model 2 correctly models `Cruise --&gt; "1" Ship` and `Ship --&gt; "*" Cruise`, and directly links Booking to Cruise with `Booking --&gt; "1" Cruise: bookedFor`, correctly capturing the booking relationship.
3. Model attributes with appropriate data types: Model 1 = 5, Model 2 = 5; Evidence: Both models include all required attributes with appropriate data types. For instance, both include `name` and `location` for Provider, `startDate` and `endDate` for Cruise, and `isVIP`/`isVip` for Guest. Minor differences like using `String` vs `int` for numbers are acceptable aliases.
4. Consistencies of Terminology with given context: Model 1 = 5, Model 2 = 5; Evidence: Both models strictly use the terminology provided in the requirement, such as `DestinationArea`, `seaName`, `numberOfDecks`, `socialSecurityNumber`, and `bookingDate`.
5. Adherence of UML class diagram standards: Model 1 = 5, Model 2 = 5; Evidence: Both models use valid PlantUML syntax and correctly represent classes, attributes, and associations. Model 2 uses opposite unidirectional associations, which are semantically equivalent to bidirectional ones and do not violate UML standards.
Total: Model 1 = 23, Model 2 = 25
Choice: B
Reason:
1. Appropriate conceptual classes aligned with the domain: Both models perfectly capture the domain classes required by the prompt.
2. Associations/Multiplicities between classes for domain reasoning: Model 2 is significantly better here. Model 1 incorrectly restricts the Ship-Cruise multiplicity to 1:1, violating the "different cruises" requirement. Model 1 also redundantly models the Cruise-Guest association twice, and fails to directly associate Booking with Cruise, relying on an indirect path through Ticket. Model 2 correctly captures all multiplicities and uses clear, direct associations for the booking process.
3. Rejected or checked issues: I did not penalize Model 2 for using two opposite unidirectional arrows instead of a single bidirectional line, as per the forbidden penalties. I also did not penalize Model 1 or Model 2 for using `int` vs `String` for numbers, or `boolean` vs `Boolean`.
4. Overall judgment: Model 2 is better because it correctly models the multiplicities and relationships as specified in the domain requirements, particularly fixing the Ship-Cruise relationship and properly linking Booking directly to Cruise.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</si>
  <si>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</si>
  <si>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10 highly cohesive classes with clear single responsibilities (e.g., `Provider`, `Cruise`, `Booking`). Coupling is well-managed in both. Model 1 uses opposite unidirectional associations (e.g., `Cruise --&gt; "1" Provider` and `Provider --&gt; "*" Cruise`), which is semantically equivalent to bidirectional associations and does not introduce additional coupling. Model 2 uses standard bidirectional associations like `Provider "1" -- "0..*" Cruise`.
2. Complexity: Model 1 = 5, Model 2 = 5; Evidence: Both models share the exact same complexity level. They both extract 10 classes from the requirement, with each class containing only attributes and no methods, and neither uses inheritance. The balance of conceptual classes to attributes is appropriate and readable in both.
3. Practicability: Model 1 = 5, Model 2 = 3; Evidence: Model 1 accurately captures the domain relationships. It correctly links `Booking` directly to `Cruise` (`Booking --&gt; "1" Cruise: bookedFor`), which aligns with "A cruise is booked through a travel agency". It also correctly models the ticket ownership as `Ticket --&gt; "1" Guest`, fitting "A ticket belongs to exactly one cruise" and "A guest can have any number of tickets". Model 2 misses the direct `Booking -- Cruise` association, opting instead for `Booking "1" -- "1" Ticket`, which is an unsupported assumption. Furthermore, Model 2 models the Guest-Ticket relationship as `Guest "0..*" -- "0..*" Ticket`, implying a single ticket can belong to multiple guests, which contradicts the expectation that a ticket belongs to exactly one guest.
Total: Model 1 = 14, Model 2 = 12
Choice: A
Reason:
1. Cohesion and Decoupling: Both models achieve the same level of cohesion and decoupling by strictly separating domain concepts into well-defined classes without unnecessary dependencies.
2. Complexity: Both models are identical in their structural complexity, extracting the correct 10 classes with appropriate attributes and zero inheritance trees.
3. Rejected or checked issues: I did not penalize Model 1 for using opposite unidirectional associations instead of a single bidirectional line, as the guidelines strictly state they are 100% semantically equivalent. I also did not penalize Model 1 for its `Show --&gt; "*" Cruise` association, even though Model 2's `Cruise "1" -- "0..*" Show` is arguably a better fit for the domain, because the difference is minor compared to Model 2's larger domain errors.
4. Overall judgment: Model 1 is better due to its superior practability and domain-faithfulness. Model 2 contains significant relational errors: it fails to directly associate `Booking` with `Cruise` (instead linking it to `Ticket`) and incorrectly models the `Guest`-`Ticket` relationship as many-to-many, contradicting the requirement that a ticket belongs to an individual guest. Model 1 represents all these relationships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</si>
  <si>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</si>
  <si>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duplicate and contradictory associations between Cruise and Guest (`Cruise "1" -- "0..*" Guest` and `Guest "0..*" -- "0..*" Cruise`), which increases confusion and violates decoupling clarity. Model 2 maintains clean, single-directional relationships that clearly state roles (e.g., `Cruise --&gt; "*" Guest: hosts`).
2. Complexity: Model 1 = 3, Model 2 = 4; Evidence: Both models have 10 classes, appropriately matching the requirement. However, Model 1 models the relationship between Cruise and Ship as `Cruise "1" -- "1" Ship`, incorrectly implying a one-to-one relationship, whereas the requirement states "A ship can be used for different cruises" (Ship 1 to Cruise *). Model 2 correctly captures this via `Ship --&gt; "*" Cruise: cruisesServed`.
3. Practicability: Model 1 = 3, Model 2 = 4; Evidence: Model 1 represents the Guest-Ticket relationship as `Guest "0..*" -- "0..*" Ticket`, implying a ticket can belong to multiple guests, which contradicts the implicit rule that a ticket is owned by exactly one guest (and the explicit rule that a guest can have any number of tickets, but one per cruise). Model 2 uses `Ticket --&gt; "1" Guest: ownedBy` and `Guest --&gt; "*" Ticket: tickets`, which correctly implements the "one guest has many tickets, one ticket has one guest" requirement.
Total: Model 1 = 9, Model 2 = 12
Choice: B
Reason:
1. Cohesion and Decoupling: Model 1 has a redundant and conflicting association between Guest and Cruise. Model 2 handles this cleanly by specifying a single unidirectional association per direction with clear role names.
2. Complexity: Model 1 incorrectly models the multiplicity between Cruise and Ship as 1 to 1. Model 2 correctly handles the multiplicities for all entities, including Ship and Cruise, providing a more accurate representation of the domain complexity.
3. Rejected or checked issues: I did not penalize Model 2 for using `int` or `boolean` or `double` instead of wrapper classes, as per the forbidden penalties. I also did not penalize Model 2 for using opposite unidirectional associations instead of a single bidirectional line. Model 1's `Booking "1" -- "1" Ticket` was noted, but since it is a reasonable business inference, it was not heavily penalized; the primary driver for Model 2's win is the accurate handling of multiplicities and the elimination of redundant associations.
4. Overall judgment: Model 2 is better because it provides a much more accurate representation of the required domain multiplicities (especially Ship-Cruise and Guest-Ticket) and avoids the redundant and semantically confusing associations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</si>
  <si>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</si>
  <si>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and Attribute Coverage: Model 1 = 5, Model 2 = 5; Evidence: Both models accurately capture all required conceptual classes (Provider, Cruise, Employee, Guest, Ship, TravelAgency, Booking, DestinationArea, Show, Ticket) and their respective attributes (e.g., `name`, `location`, `startDate`, `isVIP`, `numberOfDecks`, `bookingNumber`, `seaName`, `duration`, etc.).
2. Relationships and Multiplicities Accuracy: Model 1 = 4, Model 2 = 2; Evidence: 
- Model 1 correctly models most relationships: `Cruise "*" -- "1" Ship` (a ship can be used for different cruises), `Ticket "*" -- "1" Guest` (a guest can have many tickets, each ticket belongs to one guest), `Booking "*" -- "1" Cruise`. However, it incorrectly models Cruise to Provider as `Cruise "1" -- "1" Provider`, which implies a provider organizes exactly one cruise.
- Model 2 contains severe multiplicity errors and redundancies. It models `Cruise "1" -- "1" Ship` and `Cruise "1" -- "1" DestinationArea`, which contradicts the requirement that a ship can be used for different cruises and implies destination areas only have one cruise. It redundantly defines Cruise-Guest twice (`Cruise "1" -- "0..*" Guest` and `Guest "0..*" -- "0..*" Cruise`), with the first contradicting that a guest can participate in several cruises. It incorrectly models `Guest "0..*" -- "0..*" Ticket` (implying a ticket can belong to multiple guests). Finally, it links Booking to Ticket (`Booking "1" -- "1" Ticket`) rather than Booking to Cruise.
Total: Model 1 = 9, Model 2 = 7
Choice: A
Reason:
1. Class and Attribute Coverage: Both models fully capture the necessary classes and attributes required by the prompt, performing equally well here.
2. Relationships and Multiplicities Accuracy: Model 1 is significantly more accurate in representing the domain relationships. It correctly handles the associations for Ship, Ticket, and Booking. Model 2 fails to correctly interpret several core business rules, such as the reuse of ships for different cruises, the ownership of a ticket by a single guest, and the fact that a booking is for a cruise (linking Booking to Ticket instead). Model 2 also redundantly and contradictorily models the Guest-Cruise relationship twice.
3. Rejected or checked issues: Model 1's `Cruise "1" -- "1" Provider` multiplicity is a flaw, but it is a single error compared to Model 2's systemic multiplicity misinterpretations. Layout and visibility markers (+ signs in Model 2) were ignored per the evaluation guidelines.
4. Overall judgment: Model 1 is better because it maintains the semantic integrity of the domain relationships far better than Model 2, which contains multiple contradictory and incorrect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</si>
  <si>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</si>
  <si>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Conceptual classes and attributes alignment: Model 1 = 5, Model 2 = 5; Evidence: Both models correctly identify all required classes (Provider, Cruise, Employee, Guest, Ship, TravelAgency, Booking, DestinationArea, Show, Ticket) and their attributes as specified in the requirement. Model 2 uses `passengerCapacity` instead of `numberOfPassengers` and `ticketId` instead of `ticketNumber`, which are acceptable synonyms/refinements.
2. Relationships and cardinalities alignment: Model 1 = 2, Model 2 = 4; Evidence: Model 1 incorrectly models the Ticket-Guest relationship as `Guest "0..*" -- "0..*" Ticket` (implying a ticket can belong to multiple guests), whereas Model 2 correctly models it as `Ticket "*" -- "1" Guest : issuedTo`. Model 2 also correctly models Ship and DestinationArea multiplicities as `Cruise "*" -- "1" Ship` and `Cruise "*" -- "1" DestinationArea`, reflecting that a ship or destination area can be used for different cruises. Model 1 simply states `Cruise "1" -- "1" Ship` and `Cruise "1" -- "1" DestinationArea`, which is weak. Furthermore, Model 1 duplicates the Cruise-Guest relationship. Model 2, however, makes a slight error on the Provider-Cruise multiplicity (`Cruise "1" -- "1" Provider` instead of `Cruise "*" -- "1" Provider`), missing that a provider organizes many cruises.
3. Avoidance of hallucinations and additions: Model 1 = 2, Model 2 = 4; Evidence: Model 1 introduces a completely unsupported relationship `Booking "1" -- "1" Ticket`, explicitly hallucinating that a booking corresponds to exactly one ticket. Model 2 introduces `Booking "*" -- "1" Cruise : books` and `Booking "*" -- "1" Guest : bookedBy`, which are not explicitly in the text but are structurally necessary to connect the Booking class to the rest of the domain, making it a more reasonable semantic addition rather than a strict hallucination.
Total: Model 1 = 9, Model 2 = 13
Choice: B
Reason:
1. Conceptual classes and attributes alignment: Both models perform equally well in capturing the required domain entities and their attributes.
2. Relationships and cardinalities alignment: Model 2 is significantly better. It correctly captures the "one to many" relationship from Ship/DestinationArea to Cruise, and correctly models that a Ticket belongs to exactly one Guest (`Ticket "*" -- "1" Guest`). Model 1 fails on the Guest-Ticket multiplicity and duplicates the Guest-Cruise relationship.
3. Rejected or checked issues: Model 2's `Cruise "1" -- "1" Provider` multiplicity is suboptimal as it misses the "many" side for Cruise, but this is less severe than Model 1's incorrect Guest-Ticket multiplicities and duplicate relationships.
4. Overall judgment: Model 2 is better because it accurately reflects the cardinality constraints of the domain, particularly for Ship, DestinationArea, and Ticket, whereas Model 1 contains fundamental domain-faithfulness errors in its multiplicities and an unsupported hallucination linking Booking to Ticket.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</si>
  <si>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</si>
  <si>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essential conceptual classes: Provider, Cruise, Employee, Guest, Ship, TravelAgency, Booking, DestinationArea, Show, and Ticket.
2. Associations/Multiplicities between classes for domain reasoning: Model 1 = 4, Model 2 = 3; Evidence: Model 1 correctly models most associations, such as `Cruise "*" -- "1" Ship` and `Ticket "*" -- "1" Guest`, but incorrectly models `Cruise "1" -- "1" Provider` (should be `Cruise "*" -- "1" Provider` since a provider organizes multiple cruises). Model 2 correctly models `Provider "1" -- "0..*" Cruise`, but contains several critical errors: `Cruise "1" -- "1" Ship` (contradicts "A ship can be used for different cruises", should be `Cruise "*" -- "1" Ship`), `Cruise "1" -- "1" DestinationArea` (should be `Cruise "*" -- "1" DestinationArea`), and `Guest "0..*" -- "0..*" Ticket` (contradicts "A ticket belongs to exactly one guest", should be `Ticket "*" -- "1" Guest`).
3. Model attributes with appropriate data types: Model 1 = 5, Model 2 = 5; Evidence: Both models accurately capture all required attributes with appropriate data types (e.g., `isVIP : Boolean`, `bookingDate : Date`). Model 1 uses `passengerCapacity : Integer` and `Duration` as a type, while Model 2 uses `numberOfPassengers : Integer` and `duration : Integer`. Both are acceptable representations of the domain attributes.
4. Consistencies of Terminology with given context: Model 1 = 5, Model 2 = 5; Evidence: Both models use terminology that is highly consistent with the provided requirement. Model 2 uses exact terms like `numberOfPassengers`, while Model 1 uses a direct synonym `passengerCapacity`, which is still accurate and clear in this context.
5. Adherence of UML class diagram standards: Model 1 = 5, Model 2 = 5; Evidence: Both models strictly adhere to UML and PlantUML syntax standards, correctly defining classes, attributes, associations, and multiplicities without any notation errors.
Total: Model 1 = 24, Model 2 = 23
Choice: A
Reason:
1. Appropriate conceptual classes aligned with the domain: Both models successfully identify all required classes without any omissions or unnecessary additions.
2. Associations/Multiplicities between classes for domain reasoning: Model 2 contains critical multiplicity errors that contradict the domain reasoning. For example, `Cruise "1" -- "1" Ship` means a ship is used for only one cruise, directly violating the requirement "A ship can be used for different cruises." Additionally, `Guest "0..*" -- "0..*" Ticket` is incorrect because a ticket must belong to exactly one guest. Model 1 only has a minor error on the Provider-Cruise multiplicity (1 to 1 instead of * to 1), making it much more accurate overall.
3. Rejected or checked issues: Model 1's lack of a direct association between `Booking` and `Ticket` (which Model 2 attempts with `Booking "1" -- "1" Ticket`) was not heavily penalized because the requirement does not explicitly state the cardinality between a booking and tickets, only that a cruise is booked through an agency and tickets are issued for cruises/guests. Model 1's path via Guest and Cruise is acceptable.
4. Overall judgment: Model 1 is better because it maintains correct domain multiplicities for the most critical relationships (Ship, DestinationArea, Guest, Ticket), whereas Model 2 introduces multiple explicit contradictions to the domain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</si>
  <si>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</si>
  <si>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domain classes: Provider, Cruise, Employee, Guest, Ship, TravelAgency, Booking, DestinationArea, Show, and Ticket.
2. Associations/Multiplicities between classes for domain reasoning: Model 1 = 2, Model 2 = 5; Evidence: Model 1 contains critical multiplicity errors. It models `Cruise "1" -- "1" Ship` and `Cruise "1" -- "1" DestinationArea`, which contradicts the requirement that a ship can be used for different cruises and that a destination area can host multiple cruises (should be * to 1). It also models `Guest "0..*" -- "0..*" Ticket`, meaning a ticket could belong to multiple guests, which is incorrect. Model 1 also misses a direct association between Booking and Cruise/Guest, linking Booking directly to Ticket instead. Model 2 accurately models the multiplicities, such as `Cruise "*" -- "1" Ship`, `Cruise "*" -- "1" DestinationArea`, and `Ticket "*" -- "1" Guest`. It also correctly links Booking to TravelAgency, Cruise, and Guest.
3. Model attributes with appropriate data types: Model 1 = 5, Model 2 = 5; Evidence: Both models capture all the required attributes with appropriate data types. Model 1 uses `numberOfPassengers: Integer` and `duration: Integer`, while Model 2 uses synonymous `passengerCapacity: Integer` and `duration: Duration`. Both are appropriate.
4. Consistencies of Terminology with given context: Model 1 = 5, Model 2 = 4; Evidence: Model 1 uses terms strictly from the requirement, such as `numberOfPassengers` and `ticketNumber`. Model 2 introduces slight terminology variations like `passengerCapacity` and `ticketId`. While semantically equivalent and standard, Model 1 aligns slightly better with the literal requirement text.
5. Adherence of UML class diagram standards: Model 1 = 5, Model 2 = 5; Evidence: Both models use valid PlantUML class diagram syntax with correctly defined classes, attributes, and associations, and are fully comprehensible.
Total: Model 1 = 22, Model 2 = 24
Choice: B
Reason:
1. Appropriate conceptual classes: Both models perfectly identify the required classes for the cruise domain. It is a tie.
2. Associations/Multiplicities: Model 2 is significantly better. Model 1 contains multiple severe multiplicity errors, including `Cruise "1" -- "1" Ship` and `Cruise "1" -- "1" DestinationArea`, which strictly violates the requirement that a ship and destination area can be associated with multiple cruises. It also models `Guest "0..*" -- "0..*" Ticket`, which incorrectly allows a ticket to belong to multiple guests. Model 2 correctly captures the navigability and multiplicities for all relationships, including Booking's relations with Cruise and Guest.
3. Model attributes with appropriate data types: Both models effectively capture the required attributes with suitable data types. It is a tie.
4. Consistencies of Terminology: Model 1 uses the exact terms from the requirement (e.g., `numberOfPassengers`), while Model 2 uses acceptable but slightly less directly aligned synonyms (e.g., `passengerCapacity`). Model 1 is slightly better here.
5. Adherence of UML class diagram standards: Both models follow UML/PlantUML conventions perfectly.
6. Rejected or checked issues: The constraint "only one ticket per cruise" is not explicitly modeled as an OCL constraint in either diagram, but Model 2's class structure with Ticket linked to both Guest and Cruise allows for this business rule to be enforced at the data level, whereas Model 1's structure fundamentally prevents it.
7. Overall judgment: Model 2 is better because it accurately captures the domain relationships and multiplicities, which are critical for domain reasoning, whereas Model 1 has multiple fundamental multiplicity errors that contradict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</si>
  <si>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</si>
  <si>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properly decouples the relationships by linking `Booking` to `Cruise`, `TravelAgency`, and `Guest`, and `Ticket` to `Cruise` and `Guest`. Model 2 fails to decouple `Booking` from `Cruise` entirely, linking `Booking` only to `Ticket` and `TravelAgency`, making it impossible to know which cruise a booking belongs to. Model 2 also redundantly defines both `Cruise "1" -- "0..*" Guest` and `Guest "0..*" -- "0..*" Cruise`, creating conflicting navigational semantics.
2. Complexity: Model 1 = 4, Model 2 = 3; Evidence: Both models use 10 classes with similar attributes. However, Model 2 introduces contradictory and redundant associations, such as `Cruise "1" -- "0..*" Guest` alongside `Guest "0..*" -- "0..*" Cruise`, and forces a 1-to-1 mapping between `Booking` and `Ticket` (`Booking "1" -- "1" Ticket`), which unnecessarily constrains the model without requirement support.
3. Practicability: Model 1 = 4, Model 2 = 2; Evidence: Model 1 captures the domain accurately: `Cruise "*" -- "1" Ship` matches "A ship can be used for different cruises", `Ticket "*" -- "1" Guest` matches "A guest can have any number of tickets", and `Booking` connects to `Cruise`. Model 2 contains severe domain errors: `Cruise "1" -- "1" Ship` contradicts the ship reuse requirement, `Cruise "1" -- "0..*" Guest` contradicts "A guest can take several cruises", and `Guest "0..*" -- "0..*" Ticket` implies a single ticket can belong to multiple guests, violating "only one ticket per cruise" logic.
Total: Model 1 = 12, Model 2 = 7
Choice: A
Reason:
1. Cohesion and Decoupling: Model 1 correctly links the `Booking` class to `Cruise` and `TravelAgency`, maintaining a cohesive booking workflow. Model 2 completely omits the association between `Booking` and `Cruise`, making the booking class practically useless for tracking which cruise is booked.
2. Complexity: Model 2 suffers from contradictory redundancies, such as defining both `Cruise "1" -- "0..*" Guest` and `Guest "0..*" -- "0..*" Cruise`, which creates unnecessary and conflicting complexity. Model 1 uses a single bidirectional equivalent `Cruise "*" -- "*" Guest`.
3. Rejected or checked issues: Model 1 uses `passengerCapacity` instead of `numberOfPassengers` for the Ship class. While slightly less precise in wording, it is a semantically valid domain interpretation and was not penalized. Model 2 uses `numberOfPassengers` which perfectly matches the requirement, but this minor naming match does not outweigh its severe structural and multiplicity flaws.
4. Overall judgment: Model 1 accurately follows the domain requirements for multiplicities and associations (e.g., ship reuse, guest to cruise many-to-many, guest to ticket one-to-many). Model 2 contains multiple explicit contradictions to the stated requirements, such as restricting a ship to one cruise and allowing a ticket to belong to multiple guests,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</si>
  <si>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</si>
  <si>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redundant and contradictory associations between Guest and Cruise (`Cruise "1" -- "0..*" Guest` and `Guest "0..*" -- "0..*" Cruise`), which muddles the domain logic. Additionally, it links `Booking "1" -- "1" Ticket` instead of connecting Booking to Cruise. Model 2 cleanly separates concerns with distinct, purposeful relationships (e.g., `Booking "*" -- "1" Cruise : books`, `Ticket "*" -- "1" Guest : issuedTo`), yielding high cohesion and low coupling.
2. Complexity: Model 1 = 3, Model 2 = 4; Evidence: Both diagrams use 10 classes, but Model 1 introduces unnecessary complexity with overlapping associations (e.g., two Guest-Cruise links). Model 2 maintains an appropriately balanced structure without redundant links. Model 2 also uses `Duration` for Show and `passengerCapacity` which aligns well semantically.
3. Practicability: Model 1 = 2, Model 2 = 5; Evidence: Model 1 contains critical domain errors: `Guest "0..*" -- "0..*" Ticket` contradicts the rule that a ticket belongs to exactly one guest. Also, missing a direct `Booking` to `Cruise` relationship makes the booking process unimplementable as stated. Model 2 correctly models `Ticket "*" -- "1" Cruise : issuedFor` and `Ticket "*" -- "1" Guest : issuedTo`, fulfilling the requirement that a ticket belongs to exactly one cruise and one guest. Model 2 also correctly links Booking to Cruise, Guest, and TravelAgency.
Total: Model 1 = 7, Model 2 = 13
Choice: B
Reason:
1. Cohesion and Decoupling: Model 2 is better because Model 1 has conflicting associations between Guest and Cruise, and improperly links Booking to Ticket instead of Cruise. Model 2 uses clear, non-redundant relationships that properly map to domain entities.
2. Complexity: Model 2 is slightly better. Both have 10 classes and similar attribute sets, but Model 1's redundant links (two Guest-Cruise associations) increase structural complexity without adding value.
3. Practicability: Model 2 is significantly better. Model 1's associations violate key business rules, such as `Guest "0..*" -- "0..*" Ticket` (should be 1 guest to many tickets, 1 ticket to 1 guest) and failing to connect `Booking` to `Cruise`. Model 2 captures these constraints correctly, making it much more robust for implementation and testing.
4. Overall judgment: Model 2 is better because it accurately reflects the required multiplicities and relationships without contradictions, whereas Model 1 contains critical missing links and incorrect multiplicities that would break the business logic.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</si>
  <si>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</si>
  <si>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</si>
  <si>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</si>
  <si>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5, Model 2 = 3; Evidence: Model 1 strictly aligns with all requirements, correctly modeling the ability to store multiple persons and their roles. Model 2 incorrectly restricts the Person-Institution relationship to a 1:1 multiplicity (`Person "1" -- "1" Institution : worksFor`), implying an institution can only employ a single person, which contradicts the plural nature of "scientific staff (persons) and research institutions". Model 2 also models the Authorship class with `1..*` Person multiplicity, contradicting the requirement to store the position of *each* individual author.
2. Conceptual Classes and Relationships: Model 1 = 5, Model 2 = 4; Evidence: Both models identify the correct conceptual classes and inheritance hierarchy (`ScientificArticle &lt;|-- PeerReviewedPaper`, `ScientificArticle &lt;|-- TechnicalReport`). However, Model 2's conceptual relationships are semantically flawed; using an `Authorship` join class to group multiple persons (`Authorship -- "1..*" Person`) defeats its purpose of tracking the position of each individual author.
3. Associations, Cardinalities, and Relationship Types: Model 1 = 5, Model 2 = 3; Evidence: Model 1 correctly defines cardinalities: `Person --&gt; "1" ResearchInstitution` (a person works for one institution, but institutions have many), `ScientificArticle --&gt; "1..*" Authorship` (an article has multiple authors), and `Authorship --&gt; "1" Person` (each authorship represents one author). Model 2 incorrectly uses `Person "1" -- "1" Institution` for the worksFor association, and omits the 1..* multiplicity on the Article side of the Authorship relationship while incorrectly assigning 1..* to the Person side. Both correctly handle TechnicalReport and Journal cardinalities.
4. Clarity in Class Names and Optional Attributes: Model 1 = 5, Model 2 = 5; Evidence: Both models use clear and accurate class names. Both include the necessary attributes outlined by the requirement: `personId`, `phoneNumber`, `keywords` (or `researchKeywords`) for Person; `institutionCode` for Institution; `doi` and `title` for ScientificArticle; `citationCount` for PeerReviewedPaper; `position` for Authorship; `impactFactor` for Journal; and `name` for Publisher.
Total: Model 1 = 20, Model 2 = 15
Choice: A
Reason:
1. Alignment with Requirement: Model 1 accurately captures the domain constraints and relationships, whereas Model 2 introduces severe cardinality errors (e.g., 1:1 Person-Institution, 1:N Authorship-Person) that contradict the stated requirements about multiple staff per institution and individual author positions.
2. Conceptual Classes and Relationships: While both models identify the right entities, Model 2's design of the Authorship class breaks the semantic requirement of tracking the position of each author individually. Model 1's use of an association class with 1:1 to Person and 1:N to Article is the standard and correct way to model this.
3. Rejected or checked issues: The use of unidirectional opposite associations in Model 1 (e.g., `A --&gt; B` and `B --&gt; A`) instead of a single bidirectional line was strictly ignored as per the forbidden penalties. It does not affect the model's semantic validity.
4. Overall judgment: Model 1 is significantly better due to its correct handling of multiplicities, especially regarding how institutions employ persons and how authors are linked to articles via their positions. Model 2's cardinality choices make it logically impossible to represent the required real-world scenario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</si>
  <si>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</si>
  <si>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Cardinalities: Model 1 = 2, Model 2 = 5; Evidence: Model 1 models `Person "1" -- "1" Institution : worksFor`, which incorrectly implies an institution has exactly one person, contradicting the requirement's premise that researchers work at institutions (plural). Model 1 also models `Authorship -- "1..*" Person : author`, which implies a single authorship record and position can apply to multiple persons, contradicting the requirement that "the position of each author is stored". Model 2 correctly models `ResearchInstitution --&gt; "*" Person : employs` and `Authorship --&gt; "1" Person : authoredBy`, accurately reflecting the domain rules. Both models include all essential classes (Person, Institution, ScientificArticle, PeerReviewedPaper, TechnicalReport, Publisher, Journal, Authorship) and correctly model inheritance, peer review relationships, technical report publication, and journal subscriptions.
Total: Model 1 = 2, Model 2 = 5
Choice: B
Reason:
1. Alignment with Requirements and Cardinalities: Model 2 strictly adheres to the business logic of the domain, correctly establishing that an institution can employ multiple persons (`ResearchInstitution --&gt; "*" Person`) and that an authorship record belongs to exactly one person to track the position of each individual author (`Authorship --&gt; "1" Person`). Model 1 fails on these crucial cardinality constraints, making semantically invalid assumptions about the multiplicity of employees per institution and authors per authorship record.
2. Relationship and Inheritance Modeling: Both models successfully capture the inheritance between ScientificArticle, PeerReviewedPaper, and TechnicalReport. Both also successfully model the publication of PeerReviewedPapers in Journals, and the subscription of Institutions to Journals. The key differentiator is the accuracy of the multiplicities on the Person-Institution and Authorship-Person relationships.
3. Rejected or checked issues: I ignored the PlantUML comments (e.g., `'opposite employs`) in Model 2 as per the forbidden penalties. I also ignored the use of opposite unidirectional associations in Model 2 versus the bidirectional ones in Model 1, as they are semantically equivalent. No points were deducted for the use of `int` or `double` in either model.
4. Overall judgment: Model 2 is significantly better because it accurately translates the domain constraints regarding institution employees and author positions into correct UML multiplicities, whereas Model 1 explicitly models contradictory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</si>
  <si>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</si>
  <si>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necessary conceptual classes from the requirement, including Person, Institution, Publisher, Journal, ScientificArticle, PeerReviewedPaper, TechnicalReport, and an Authorship junction class.
2. Associations/Multiplicities between classes for domain reasoning: Model 1 = 5, Model 2 = 2; Evidence: Model 1 correctly models all relationships, such as Person to ResearchInstitution as 1 to *, and Authorship to Person as 1 to 1 (allowing the `position` attribute to be stored for each author individually). Model 2 has major domain reasoning errors: it models `Person "1" -- "1" Institution` which restricts an institution to only one person, and `Authorship -- "1..*" Person` which incorrectly links a single authorship record (and its single position attribute) to multiple persons.
3. Model attributes with appropriate data types: Model 1 = 5, Model 2 = 5; Evidence: Both models accurately capture all required attributes with valid data types (e.g., personId/personID, institutionCode, DOI/doi, title, citationCount, name, impactFactor, position, phoneNumber, keywords/researchKeywords).
4. Consistencies of Terminology with given context: Model 1 = 5, Model 2 = 5; Evidence: Both models use terminology that is fully consistent with the provided context, utilizing terms like PeerReviewedPaper, TechnicalReport, and ScientificArticle.
5. Adherence of UML class diagram standards: Model 1 = 5, Model 2 = 5; Evidence: Both models correctly use PlantUML syntax for class diagrams, including generalization (`&lt;|--`), attributes with types, and associations with multiplicities.
Total: Model 1 = 25, Model 2 = 22
Choice: A
Reason:
1. Associations/Multiplicities: Model 1 correctly captures the 1-to-many relationship between Institution and Person (`Person --&gt; "1" ResearchInstitution` and `ResearchInstitution --&gt; "*" Person`), while Model 2 incorrectly restricts this to a 1-to-1 relationship (`Person "1" -- "1" Institution`). Furthermore, Model 1 correctly models the `Authorship` junction class as having a 1-to-1 relationship with `Person` and `ScientificArticle`, allowing the `position` attribute to be stored for each author. Model 2 erroneously models `Authorship -- "1..*" Person`, which fails to properly map a single position to a single author.
2. Model attributes, terminology, classes, and UML standards: Both models perform equally well in defining the correct classes, attributes, terminology, and general UML syntax.
3. Rejected or checked issues: No forbidden penalties were applied. Model 1's use of opposite unidirectional associations and single-quote comments were ignored as per the guidelines.
4. Overall judgment: Model 1 is significantly better because it correctly applies the domain constraints regarding institution staff and article authorship positions, whereas Model 2 contains critical multiplicity errors that violate the domain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</si>
  <si>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</si>
  <si>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conceptual classes: Person, Institution (ResearchInstitution), ScientificArticle, PeerReviewedPaper, TechnicalReport, Publisher, Journal, and an Authorship class to manage the author positions.
2. Associations/Multiplicities between classes for domain reasoning: Model 1 = 3, Model 2 = 5; Evidence: Model 1 incorrectly models the relationship between Person and Institution as `Person "1" -- "1" Institution`, missing the one-to-many relationship from the institution's perspective. It also incorrectly defines `Authorship -- "1..*" Person`, suggesting a single authorship position can map to multiple persons, which semantically breaks the position requirement. Model 2 correctly uses `Person --&gt; "1" ResearchInstitution` and `ResearchInstitution --&gt; "*" Person`, and appropriately models `Authorship --&gt; "1" Person` and `ScientificArticle --&gt; "1..*" Authorship`.
3. Model attributes with appropriate data types: Model 1 = 5, Model 2 = 5; Evidence: Both models correctly identify all necessary attributes with appropriate data types (e.g., personId: String, keywords/researchKeywords: Set/List&lt;String&gt;, citationCount: int, impactFactor: double, position: int).
4. Consistencies of Terminology with given context: Model 1 = 5, Model 2 = 5; Evidence: Both models use domain-consistent terms like "worksFor", "subscribesTo", "publishes", "PeerReviewedPaper", and "TechnicalReport". 
5. Adherence of UML class diagram standards: Model 1 = 5, Model 2 = 5; Evidence: Both models correctly use UML class syntax, inheritance arrows (`&lt;|--`), attributes with types, and associations with multiplicities.
Total: Model 1 = 23, Model 2 = 25
Choice: B
Reason:
1. Appropriate conceptual classes aligned with the domain: Both models perform equally well by capturing all the necessary domain entities, including the decision to use an `Authorship` class to manage the author position.
2. Associations/Multiplicities between classes for domain reasoning: Model 2 is superior. Model 1 contains critical multiplicity errors, such as `Person "1" -- "1" Institution`, which incorrectly models an institution as having only one person. Additionally, Model 1's `Authorship -- "1..*" Person` is semantically flawed because it maps one authorship record to multiple people, whereas a position should uniquely identify a single author for an article. Model 2 corrects these issues with proper 1-to-many and many-to-many associations.
3. Rejected or checked issues: Model 2 uses opposite unidirectional associations (e.g., `Person --&gt; "1" ResearchInstitution` and `ResearchInstitution --&gt; "*" Person`) instead of a single bidirectional line, but per the evaluation guidelines, this is semantically equivalent and not penalized.
4. Overall judgment: Model 2 is better due to its accurate domain reasoning in associations and multiplicities, correctly capturing the relationships between institutions, persons, authorships, and articles.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</si>
  <si>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</si>
  <si>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Both models introduce an `Authorship` class to handle the position attribute for multiple authors, which is good for decoupling. However, Model 2 has incorrect multiplicities for `Authorship -- "1..*" Person : author`, meaning one authorship record can link to multiple persons, which defeats the purpose of tracking the position of *each* author and creates semantic coupling issues. Model 1 correctly models `Authorship --&gt; "1" Person` and `Authorship --&gt; "1" ScientificArticle`.
2. Complexity: Model 1 = 4, Model 2 = 4; Evidence: Both models have the same number of classes (8) and identical inheritance hierarchies (`ScientificArticle` -&gt; `PeerReviewedPaper` and `TechnicalReport`). The use of the `Authorship` class is appropriate in both to avoid attribute bloat. Complexity is well-balanced and aligns with the requirements in both.
3. Practicability: Model 1 = 5, Model 2 = 2; Evidence: Model 1 has clear, accurate multiplicities and role names (e.g., `Person "1..*" --&gt; "1" ResearchInstitution`). Model 2 contains a critical error: `Person "1" -- "1" Institution : worksFor`. This multiplicity implies that an institution can only have exactly one person working for it, which severely contradicts the requirement ("researchers working at institutions"). Furthermore, Model 2's `Authorship` multiplicity to `Person` makes the tracking of author positions impractical. Model 1 is much more readable and practically viable.
Total: Model 1 = 14, Model 2 = 8
Choice: A
Reason:
1. Cohesion and Decoupling: Model 1 correctly models the `Authorship` class with a 1-to-1 multiplicity to `Person` and `ScientificArticle`, properly isolating the author's position. Model 2 links `Authorship` to `"1..*"` `Person`, which couples multiple authors to a single position, making no sense semantically.
2. Complexity: Both models share a nearly identical structure and appropriate complexity. Both correctly separate articles into peer-reviewed papers and technical reports.
3. Practicability: Model 1 is practical and highly readable, with correct business multiplicities. Model 2 has a fatal domain flaw: `Person "1" -- "1" Institution` means an institution employs exactly one person. This completely breaks the real-world applicability of the design. Model 1 is vastly superior in terms of practical implementation.
4. Overall judgment: Model 1 is the clear winner due to Model 2's severe multiplicity errors on both the `Person-Institution` and `Authorship-Person` relationships, which completely violate the business requirements and make the design unusable.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</si>
  <si>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</si>
  <si>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Person and Institution with a “Person "1" -- "1" Institution : worksFor” multiplicity, which incorrectly implies one person per institution and over-constrains the domain. Its Authorship class is linked to “1..* Person” and “1 ScientificArticle”, forcing multiple persons to share a single Authorship record and a single position value, which mixes roles and article data incoherently. Model 2 correctly separates Person and ResearchInstitution as “Person --&gt; "1" ResearchInstitution” and uses a dedicated Authorship class linked to exactly one Person and one ScientificArticle, keeping the role/position concept cohesive.
2. Complexity: Model 1 = 4, Model 2 = 5; Evidence: Both models have the same eight classes and a single-level inheritance hierarchy (ScientificArticle &lt;|-- PeerReviewedPaper / TechnicalReport). However, Model 1’s Authorship association with multiple persons adds semantic ambiguity rather than useful complexity. Model 2’s Authorship design is straightforward and appropriately models the many-to-many authorship relationship with per-author position, yielding balanced complexity.
3. Practicability: Model 1 = 3, Model 2 = 5; Evidence: Model 1 violates requirement semantics with the 1..1 worksFor multiplicity and the 1..* Person multiplicity on Authorship, making implementation and testing of author positions incorrect. Model 2 accurately represents all required relationships: persons work for one institution, technical reports are published by exactly one institution, journals are issued by publishers, institutions subscribe to journals, peer-reviewed papers are reviewed by persons and published in journals, and authorship positions are stored per author per article.
Total: Model 1 = 10, Model 2 = 15
Choice: B
Reason:
1. Cohesion and Decoupling: Model 2 provides cleaner separation of concerns. Authorship is correctly a per-person-per-article association with its own position attribute, whereas Model 1 conflates multiple authors into one Authorship instance, breaking cohesion. Model 2 also correctly decouples person-institution as a many-to-one relationship.
2. Complexity: Both diagrams are similarly sized, but Model 2’s structure is more conceptually accurate without adding unnecessary classes. Model 1’s Authorship design introduces complexity that does not align with the domain.
3. Rejected or checked issues: I did not penalize Model 2 for using two opposite unidirectional associations instead of bidirectional lines, as these are semantically equivalent. I also did not penalize either model for primitive type aliases or equivalent multiplicity literals.
4. Overall judgment: Model 2 is better because it faithfully captures the required multiplicities and the per-author position semantics, while Model 1 contains requirement-violating multiplicities and an incorrect authorship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</si>
  <si>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</si>
  <si>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Conceptual Classes and Attributes: Model 1 = 5, Model 2 = 5; Evidence: Both models correctly identify and include all required classes (Person, ResearchInstitution, ScientificArticle, PeerReviewedPaper, TechnicalReport, Publisher, Journal, Authorship) and their respective attributes (personId/personID, phoneNumber, researchKeywords, institutionCode, DOI, title, citationCount, name, impactFactor, position).
2. Relationships and Cardinalities: Model 1 = 5, Model 2 = 3; Evidence: Model 1 correctly models the association between Person and ResearchInstitution as `Person --&gt; "1" ResearchInstitution` and `ResearchInstitution --&gt; "*" Person`, accurately reflecting that an institution has many persons. Model 2 incorrectly uses `Person "1" -- "1" ResearchInstitution`, implying a 1-to-1 relationship which contradicts the real-world domain and the requirement that institutions have researchers. For PeerReviewedPaper reviews, Model 1 uses `PeerReviewedPaper --&gt; "*" Person`, allowing for multiple reviewers, whereas Model 2 uses `Person "1" -- "*" PeerReviewedPaper`, implying each paper has exactly one reviewer, which is an over-constraint.
3. Inheritance, Aggregation, and Composition: Model 1 = 5, Model 2 = 4; Evidence: Both models correctly establish the inheritance hierarchy for ScientificArticle. However, Model 2 models the relationship between Publisher and Journal using composition (`Publisher "1" *-- "*" Journal`), which is a semantic over-constraint not explicitly required by the text (aggregation or a plain association would be more appropriate without explicit lifecycle dependency evidence). Model 1 uses a simple association.
4. Alignment with Requirement without Hallucinations: Model 1 = 5, Model 2 = 4; Evidence: Model 1 strictly adheres to the requirement text without adding extra constraints or structural choices not supported by the text. Model 2 introduces the composition relationship for publishers and journals and misinterprets the cardinality constraints for employment and reviews.
Total: Model 1 = 20, Model 2 = 16
Choice: A
Reason:
1. Relationships and Cardinalities: Model 1 accurately represents the multiplicities for the employment relationship, allowing multiple persons per institution. Model 2 incorrectly models this as a 1-to-1 relationship. Furthermore, Model 1 allows for multiple reviewers per peer-reviewed paper, while Model 2 restricts it to exactly one reviewer per paper.
2. Inheritance, Aggregation, and Composition: Model 2 uses composition (`*--`) for the Publisher-Journal relationship, which implies a strict lifecycle dependency not warranted by the requirements. Model 1 uses a standard association, which is safer and more accurate to the provided text.
3. Rejected or checked issues: Both models use an `Authorship` class to manage the position of authors in an article, which is a valid and equivalent design pattern for resolving many-to-many relationships with attributes. This was not penalized.
4. Overall judgment: Model 1 is better because it accurately models the required cardinalities without introducing unsupported constraints or overly strict relationships (like the 1-to-1 employment constraint in Model 2 or the composition in Model 2). Model 1 is faithful to the provided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</si>
  <si>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</si>
  <si>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(Classes and Attributes): Model 1 = 5, Model 2 = 5; Evidence: Both models accurately define all required conceptual classes: `Person`, `ResearchInstitution`, `ScientificArticle`, `PeerReviewedPaper`, `TechnicalReport`, `Publisher`, `Journal`, and `Authorship`. All required attributes are present in both, such as `personID`, `phoneNumber`, `researchKeywords` for `Person`; `DOI` and `title` for `ScientificArticle`; `citationCount` for `PeerReviewedPaper`; and `position` for `Authorship`.
2. Requirement Alignment (Relationships and Cardinalities): Model 1 = 5, Model 2 = 5; Evidence: Both models correctly implement the inheritance hierarchy (`ScientificArticle &lt;|-- PeerReviewedPaper`, `ScientificArticle &lt;|-- TechnicalReport`). Both accurately model the `TechnicalReport` to `ResearchInstitution` published-by relationship as * to 1. Both correctly establish the M:N subscription relationship between `ResearchInstitution` and `Journal`, and the 1 to M relationship between `Publisher` and `Journal`. Both also accurately link `PeerReviewedPaper` to `Journal` for publication and track the `Person` to `PeerReviewedPaper` review relationship. Model 2 explicitly uses `1..*` for the authorship multiplicity on `ScientificArticle`, which technically aligns slightly better with the requirement that articles have authors, but Model 1's `*` (which defaults to `0..*`) is a very minor omission that does not significantly detract from the overall domain accuracy. Both models are functionally equivalent in capturing the domain rules.
Total: Model 1 = 10, Model 2 = 10
Choice: C
Reason:
1. Requirement Alignment (Classes and Attributes): Both models perfectly cover all required domain entities and their corresponding attributes without making any unwarranted hallucinations or missing key components.
2. Requirement Alignment (Relationships and Cardinalities): Both models correctly interpret and model the associations, inheritance, and multiplicities described in the requirement. The handling of the authorship intermediate class to store author positions, the distinction between peer-reviewed papers and technical reports, and the relationships between institutions, publishers, and journals are all semantically accurate in both diagrams.
3. Rejected or checked issues: The use of unidirectional opposite associations in Model 2 (e.g., `Person --&gt; ResearchInstitution` and `ResearchInstitution --&gt; Person`) was not penalized as per the forbidden penalties. The minor multiplicity difference for authorship (`*` vs `1..*`) was not considered significant enough to break the tie, as the domain semantics remain robustly represented. Model 1's use of composition for Publisher and Journal is a valid domain choice given the dependency of journal naming.
4. Overall judgment: The two models are highly comparable in semantic quality, domain alignment, and structural correctness. There is no meaningful difference in their adherence to the requirements,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</si>
  <si>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</si>
  <si>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necessary conceptual classes: Person, ResearchInstitution, ScientificArticle (with PeerReviewedPaper and TechnicalReport as subclasses), Publisher, Journal, and Authorship (which is necessary to store the author's position). 
2. Associations/Multiplicities between classes for domain reasoning: Model 1 = 5, Model 2 = 4; Evidence: Model 1 correctly models the relationship between Person and ResearchInstitution as a 1-to-many association (`Person --&gt; "1" ResearchInstitution` and `ResearchInstitution --&gt; "*" Person`), reflecting that an institution employs multiple people. Model 2 incorrectly models this as a 1-to-1 association (`Person "1" -- "1" ResearchInstitution`), which means an institution can only have one person, a critical domain reasoning error. Model 1 also correctly specifies that an article has at least one author (`ScientificArticle --&gt; "1..*" Authorship`), while Model 2 only specifies zero or more (`ScientificArticle "1" -- "*" Authorship`).
3. Model attributes with appropriate data types: Model 1 = 5, Model 2 = 5; Evidence: Both models capture the required attributes with appropriate data types. Model 1 uses `List&lt;String&gt;` for `researchKeywords` which is slightly more accurate for a collection of keywords, but Model 2's use of `String` is acceptable. Other attributes like `personId`, `phoneNumber`, `doi`, `title`, `citationCount`, and `impactFactor` are correctly defined in both.
4. Consistencies of Terminology with given context: Model 1 = 5, Model 2 = 5; Evidence: Both models use terminology that is highly consistent with the provided requirement text. Classes and attributes use recognizable terms from the domain description (e.g., PeerReviewedPaper, TechnicalReport, Authorship, ResearchInstitution).
5. Adherence of UML class diagram standards: Model 1 = 5, Model 2 = 5; Evidence: Both models adhere strictly to UML class diagram standards and valid PlantUML syntax. Model 1 uses opposite unidirectional associations which are semantically equivalent to bidirectional ones, while Model 2 uses standard bidirectional lines. Both use correct generalization and class notation.
Total: Model 1 = 25, Model 2 = 24
Choice: A
Reason:
1. Appropriate conceptual classes: Both models performed equally well, capturing all required domain entities and introducing an `Authorship` class to handle the many-to-many relationship between Person and ScientificArticle along with the author's position.
2. Associations/Multiplicities: Model 1 is superior here because it correctly models the `works for` relationship as a 1-to-many association, while Model 2 restricts it to a 1-to-1 association, implying an institution can only have one person working there. Model 1 also better captures the minimum requirement of one author per article.
3. Rejected or checked issues: Model 1 marks `ScientificArticle` as abstract, while Model 2 does not. Per the evaluation guidelines, marking or not marking a superclass as abstract without explicit requirement evidence is not penalized, so this did not affect the scores. Model 1's use of separate unidirectional arrows instead of bidirectional lines was also not penalized as per the forbidden penalties.
4. Overall judgment: Model 1 is the better model due to its correct domain reasoning regarding the multiplicity between research institutions and scientific staff, which is a critical business constraint that Model 2 violated.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</si>
  <si>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</si>
  <si>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necessary domain classes: Person, ResearchInstitution, ScientificArticle, PeerReviewedPaper, TechnicalReport, Publisher, Journal, and an intermediate Authorship class to handle the position attribute.
2. Associations/Multiplicities between classes for domain reasoning: Model 1 = 4, Model 2 = 5; Evidence: Model 1 defines `Person "1" -- "1" ResearchInstitution : works for`, which incorrectly restricts an institution to having only one person. Model 2 correctly models this as `Person --&gt; "1" ResearchInstitution` and `ResearchInstitution --&gt; "*" Person`. Additionally, Model 2 specifies `ScientificArticle --&gt; "1..*" Authorship`, enforcing that an article must have at least one author, whereas Model 1 uses `ScientificArticle "1" -- "*" Authorship`, allowing an article with zero authors. 
3. Model attributes with appropriate data types: Model 1 = 5, Model 2 = 5; Evidence: Both models include all required attributes with appropriate types (e.g., personID/personId as String, citationCount as int, impactFactor as float/double). Model 2 uses `List&lt;String&gt;` for researchKeywords, which is slightly more descriptive than Model 1's `String`, but both are acceptable.
4. Consistencies of Terminology with given context: Model 1 = 5, Model 2 = 5; Evidence: Terminology in both models aligns well with the provided requirement (e.g., works for/worksFor, published by/publishedBy, subscribes to/subscribesTo). Model 2 introduces terms like "employs" and "features" for reverse directions, which remain consistent with the domain context.
5. Adherence of UML class diagram standards: Model 1 = 5, Model 2 = 5; Evidence: Both models use valid UML class diagram syntax and conventions. Model 2 explicitly marks ScientificArticle as abstract, which is optional but valid.
Total: Model 1 = 24, Model 2 = 25
Choice: B
Reason:
1. Associations/Multiplicities: Model 2 provides more accurate multiplicity constraints. It correctly establishes a one-to-many relationship between ResearchInstitution and Person, whereas Model 1 incorrectly models it as a one-to-one relationship. Model 2 also correctly enforces that a ScientificArticle must have at least one author (`1..*`).
2. Model attributes: Both models perform equally well in capturing the necessary attributes with valid data types.
3. Rejected or checked issues: Model 2 uses opposite unidirectional associations instead of bidirectional ones, but per the strict guidelines, this is semantically equivalent and not penalized. Model 2's use of `List&lt;String&gt;` over `String` for keywords was considered but does not meaningfully change the score as both are acceptable representations.
4. Overall judgment: Model 2 is slightly better due to its more precise modeling of multiplicities in the core domain relationships (Person-Institution and Article-Authorship), avoiding the domain reasoning errors present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</si>
  <si>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</si>
  <si>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achieve high cohesion by separating concerns into distinct classes like Person, ResearchInstitution, ScientificArticle, Publisher, Journal, and Authorship. Both reify the author-article relationship into an `Authorship` class to hold the `position` attribute, which reduces coupling between Person and ScientificArticle. Model 1 uses pairs of opposite unidirectional associations, while Model 2 uses single bidirectional lines; both are semantically equivalent and keep dependencies appropriately scoped.
2. Complexity: Model 1 = 5, Model 2 = 5; Evidence: Both models maintain a balanced level of complexity with an identical class count (8 classes) and a 1-level inheritance tree (ScientificArticle -&gt; PeerReviewedPaper / TechnicalReport). Neither model overcomplicates the design with unnecessary classes. Model 1 models `researchKeywords` as `List&lt;String&gt;` whereas Model 2 uses `String`, both of which are acceptable for representing multiple keywords.
3. Practicability: Model 1 = 5, Model 2 = 5; Evidence: Both diagrams are highly readable and practical. They correctly implement the constraints: a Person works for exactly one Institution, a Technical Report is published by exactly one Institution, a Publisher publishes multiple Journals, Institutions subscribe to multiple Journals, and only PeerReviewedPapers are published in Journals. Model 2 uses a composition (`*--`) for the Publisher-Journal relationship, while Model 1 uses a standard association, but both are clear. The use of the Authorship class in both makes the many-to-many relationship with positional attributes easily implementable. Model 1 explicitly marks `ScientificArticle` as abstract, while Model 2 does not; however, as per the forbidden penalties, abstractness marking is optional without explicit requirement constraints, so this does not affect practicability.
Total: Model 1 = 15, Model 2 = 15
Choice: C
Reason:
1. Cohesion and Decoupling: Both models exhibit identical structural cohesion and decoupling strategies, reifying the authorship link to handle author positions without bloating the core classes.
2. Complexity: Both models match in class count, inheritance depth, and structural complexity, precisely covering the domain without over-engineering.
3. Rejected or checked issues: I ignored Model 1's use of opposite unidirectional associations and PlantUML comments, as these are forbidden penalties. I also ignored the optional abstractness of `ScientificArticle` in Model 2 and the use of primitive type aliases or lists.
4. Overall judgment: Both models provide excellent, semantically identical representations of the requirement. There is no meaningful quality difference between the two,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</si>
  <si>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</si>
  <si>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effectively isolate domain concepts into cohesive classes (e.g., Person, ResearchInstitution, Journal) and use an intermediate `Authorship` class to decouple the many-to-many relationship between `Person` and `ScientificArticle` while holding the `position` attribute. Both models maintain low coupling overall by relying on well-defined associations.
2. Complexity: Model 1 = 4, Model 2 = 4; Evidence: Both models feature identical complexity profiles: 9 classes each, an inheritance depth of 2 for `ScientificArticle`, and an average of 1-2 methods/attributes per class. Neither introduces unnecessary conceptual classes, and both correctly distinguish attributes from classes (e.g., keeping `impactFactor` and `citationCount` as attributes rather than classes).
3. Practicability: Model 1 = 3, Model 2 = 5; Evidence: Model 2 is more practical and domain-accurate. In Model 1, the relationship `Person "1" -- "1" ResearchInstitution : works for` incorrectly restricts each institution to exactly one person. Model 2 correctly models this as `ResearchInstitution --&gt; "*" Person : employs` and `Person --&gt; "1" ResearchInstitution : worksFor`, allowing multiple persons per institution. Additionally, Model 2 specifies `ScientificArticle --&gt; "1..*" Authorship : authorships`, which accurately reflects the domain rule that an article must have at least one author, whereas Model 1 uses `ScientificArticle "1" -- "*" Authorship`, permitting an article to have zero authors.
Total: Model 1 = 11, Model 2 = 13
Choice: B
Reason:
1. Cohesion and Decoupling: Both models perform equally well by utilizing an `Authorship` class to manage the position attribute, demonstrating good decoupling of the Person-Article relationship.
2. Complexity: Both models balance complexity well, using the same number of classes and identical inheritance structures without over-engineering.
3. Rejected or checked issues: Model 2's use of opposite unidirectional associations (e.g., `Person --&gt; ResearchInstitution` and `ResearchInstitution --&gt; Person`) was ignored as a penalty, as instructed by the evaluation guidelines.
4. Overall judgment: Model 2 is better because it accurately captures the multiplicity constraints of the domain. Model 1 incorrectly limits research institutions to exactly one person (`Person "1" -- "1" ResearchInstitution`), which contradicts the real-world requirement. Model 2 also correctly enforces that scientific articles must have at least one author (`1..*` Authorship), making it more robust and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</si>
  <si>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</si>
  <si>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(Classes, attributes, relationships, cardinalities, inheritance): Model 1 = 4, Model 2 = 4; Evidence: 
- Model 1 incorrectly models the Authorship relationship: `Authorship -- "1..*" Person` and `Authorship -- "1" ScientificArticle` implies that one Authorship record (which holds a single `position : int`) is shared by multiple authors of the same article. This contradicts the requirement that "the position of each author is stored".
- Model 2 correctly models Authorship: `Person "1" -- "*" Authorship` and `ScientificArticle "1" -- "*" Authorship`. This creates a distinct Authorship record for each author-article pair, allowing the `position : int` attribute to correctly store the position of each author.
- Model 1 correctly models the reviewer relationship: `Person "0..*" -- "0..*" PeerReviewedPaper : reviews`, which allows multiple reviewers per paper and multiple papers per reviewer. Model 2 over-constrains this with `Person "1" -- "*" PeerReviewedPaper : reviews`, which incorrectly implies that each peer-reviewed paper is reviewed by exactly one person.
- Model 1 safely models the Journal-PRP relationship as `Journal "1" -- "0..*" PeerReviewedPaper : publishesIn`, whereas Model 2 over-constrains it as `PeerReviewedPaper "*" -- "1" Journal : published in`, which forces every peer-reviewed paper to be published in exactly one journal, a constraint not strictly required by the text ("only peer-reviewed papers are published in journals, not technical reports").
Total: Model 1 = 4, Model 2 = 4
Choice: C
Reason:
1. Alignment with requirement: Model 1 has a severe structural flaw in how it models the Authorship association, making it impossible to store the position of each individual author if an article has multiple authors. Model 2 correctly resolves this by using a standard many-to-many junction class pattern. However, Model 2 introduces new over-constraining multiplicities for the reviewer (`1` instead of `0..*`) and journal publication (`1` instead of `0..*` or unspecified) relationships. 
2. Domain correctness: Both models represent the core domain concepts (Person, Institution, ScientificArticle, etc.) and their attributes accurately. Both correctly use inheritance for PeerReviewedPaper and TechnicalReport, and both correctly model the Publisher-Journal and Institution-TechnicalReport relationships.
3. Rejected or checked issues: The use of `Set&lt;String&gt;` for keywords in Model 1 vs `String` in Model 2 was ignored as a minor implementation detail. The use of abstract class in Model 1 for ScientificArticle was ignored as per the optional abstractness rule.
4. Overall judgment: The models trade off different multiplicity errors. Model 1 fails fundamentally on Authorship semantics, while Model 2 fails on over-constrained multiplicities for reviews and journal publications. Given the balanced trade-offs in domain accuracy, the meaningful quality difference is small,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</si>
  <si>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</si>
  <si>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accurate relationships: Model 1 = 4.5, Model 2 = 3.5; Evidence: Model 1 correctly models the many-to-many author relationship using an `Authorship` class linked to exactly one `Person` ("1") and one `ScientificArticle` ("1") with a `position` attribute, fulfilling the requirement to store the position of each author. Model 2 incorrectly links `Authorship` to `"1..*"` Persons for a single `ScientificArticle`, which means one `Authorship` instance would have one `position` value for multiple authors, failing the requirement to store the position of *each* author. Model 1 also slightly over-constrains the reviewer multiplicity (`Person "1" -- "*" PeerReviewedPaper : reviews` implying one reviewer per paper), whereas Model 2 correctly uses `"0..*" -- "0..*"` for the reviews relationship.
Total: Model 1 = 4.5, Model 2 = 3.5
Choice: A
Reason:
1. Alignment with requirements and accurate relationships: Model 1 handles the `Authorship` class correctly by connecting it to exactly one `Person` and one `ScientificArticle`, allowing the `position` attribute to uniquely identify each author's order. Model 2 has a critical structural flaw where `Authorship` is connected to `1..*` Persons, making it impossible to assign a single `position` integer to each individual author. Although Model 2 better handles the reviewer multiplicity by allowing multiple reviewers per paper (`0..*` to `0..*`), the severe semantic error in the `Authorship` association in Model 2 makes Model 1 the better choice. 
2. Domain semantics: Model 1 uses a composition (`*--`) for `Publisher` and `Journal`, which is a slight over-constraint not explicitly stated in the requirement, whereas Model 2 uses a standard association. However, this minor difference does not outweigh the fundamental flaw in Model 2's authorship design.
3. Rejected or checked issues: Model 1's use of `*--` for publisher-journal is noted as a potential over-constraint but does not explicitly contradict the requirement. Model 1's `Person "1" -- "*" PeerReviewedPaper : reviews` implies a paper has only one reviewer, which is a minor domain inaccuracy but strictly follows the singular phrasing "who reviewed the paper". Neither of these issues was weighted more heavily than Model 2's Authorship flaw.
4. Overall judgment: Model 1 is better because it correctly models the `Authorship` relationship to store the position of each author individually, which is a core requirement, whereas Model 2's design makes this impossible.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</si>
  <si>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</si>
  <si>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classes: Person, Institution/ResearchInstitution, ScientificArticle, PeerReviewedPaper, TechnicalReport, Publisher, Journal, and Authorship. The inheritance hierarchy for scientific articles is also correctly modeled in both.
2. Associations/Multiplicities between classes for domain reasoning: Model 1 = 3, Model 2 = 5; Evidence: Model 1 models `Authorship -- "1..*" Person : author` and `Authorship -- "1" ScientificArticle : article`, which implies that one Authorship instance groups multiple persons for a single article. This violates the requirement that the "position of each author is stored," as a single position cannot apply to multiple authors in this grouping. Model 2 correctly models this as `Person "1" -- "*" Authorship : authors through` and `ScientificArticle "1" -- "*" Authorship : has author`, where each Authorship instance connects exactly one Person to one Article and stores the specific position. (Note: Both models share the minor flaw of modeling `Person "1" -- "1" Institution`, implying exactly one person per institution, but Model 1 has an additional critical error in the Authorship association).
3. Model attributes with appropriate data types: Model 1 = 5, Model 2 = 4; Evidence: Both models capture the core attributes like `personID`, `phoneNumber`, `DOI`, `title`, `citationCount`, `name`, and `impactFactor` with appropriate primitive types. Model 1 uses `Set&lt;String&gt;` for `keywords`, which better represents the multiple research topics mentioned in the requirement, whereas Model 2 uses `String` for `researchKeywords`.
4. Consistencies of Terminology with given context: Model 1 = 5, Model 2 = 5; Evidence: Terminology in both models closely aligns with the provided domain context, using terms like "PeerReviewedPaper", "TechnicalReport", "Publisher", and "Journal". Model 2 uses "ResearchInstitution" which is a faithful synonym of "research institutions" in the text.
5. Adherence of UML class diagram standards: Model 1 = 5, Model 2 = 5; Evidence: Both diagrams fully adhere to UML/PlantUML syntax, correctly using class definitions, generalizations (`&lt;|--`), associations with multiplicities, and attributes with data types.
Total: Model 1 = 23, Model 2 = 24
Choice: B
Reason:
1. Appropriate conceptual classes aligned with the domain: Both models are identical in their identification of conceptual classes and inheritance structures.
2. Associations/Multiplicities between classes for domain reasoning: Model 2 is significantly better here. Model 1 incorrectly models the Authorship association, suggesting that a single Authorship record can hold 1..* Persons, which breaks the requirement to store the position of *each* author. Model 2 correctly separates the Authorship instances so that each connects a single Person to a single Article, properly accommodating the `position` attribute.
3. Rejected or checked issues: Both models incorrectly model the multiplicity between Person and Institution as `1` to `1`, suggesting an institution can only have one person. However, this is a shared minor flaw and does not outweigh Model 1's critical failure in the Authorship association. I did not penalize Model 2 for using `String` for keywords instead of a collection type, as it is still a valid modeling choice, though slightly less precise.
4. Overall judgment: Model 2 is better due to its superior handling of the Authorship relationship, which is crucial for correctly recording the position of each author as stated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</si>
  <si>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</si>
  <si>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all the necessary conceptual classes: Person, ResearchInstitution/Institution, ScientificArticle, PeerReviewedPaper, TechnicalReport, Publisher, Journal, and the association class Authorship.
2. Associations/Multiplicities between classes for domain reasoning: Model 1 = 4, Model 2 = 3; Evidence: Both models have an incorrect multiplicity for the "works for" relationship (`Person "1" -- "1" Institution` instead of `*` on the Institution side). Model 1 has a minor error on the reviews relationship (`Person "1" -- "*" PeerReviewedPaper` instead of `*` to `*`). However, Model 2 has critical errors with the Authorship associations: `Authorship -- "1..*" Person` and `Authorship -- "1" ScientificArticle` imply that one Authorship instance links to many persons and one article, which misses the purpose of an association class (it should be `*` on the Authorship side). Model 1 correctly models `Person "1" -- "*" Authorship` and `ScientificArticle "1" -- "*" Authorship`.
3. Model attributes with appropriate data types: Model 1 = 5, Model 2 = 5; Evidence: Both models correctly capture the required attributes with proper data types, such as DOI (String), title (String), citationCount (int), and impactFactor (float/double).
4. Consistencies of Terminology with given context: Model 1 = 5, Model 2 = 5; Evidence: Both models use terminology consistent with the requirement. Model 1 uses "ResearchInstitution" and Model 2 uses "Institution", both of which are recognizable and aligned with the context.
5. Adherence of UML class diagram standards: Model 1 = 5, Model 2 = 5; Evidence: Both models adhere to standard UML and PlantUML syntax, correctly using inheritance, associations, and composition/aggregation where appropriate.
Total: Model 1 = 24, Model 2 = 23
Choice: A
Reason:
1. Appropriate conceptual classes: Both models are identical in their selection of domain classes, providing a complete and aligned representation of the requirement.
2. Associations/Multiplicities: Both models fail to correct the `Person` to `Institution` multiplicity. However, Model 2 misunderstands how to apply the `Authorship` association class, using `Authorship -- "1..*" Person` and `Authorship -- "1" ScientificArticle`, which implies a single authorship record holds multiple people. Model 1 correctly models the multiplicities around `Authorship` (`Person "1" -- "*" Authorship` and `ScientificArticle "1" -- "*" Authorship`), making it the more domain-accurate model.
3. Rejected or checked issues: The difference in class names (`ResearchInstitution` vs `Institution`) and primitive type aliases (`float` vs `double`, `Set&lt;String&gt;` vs `String`) were checked but did not warrant a penalty as per the evaluation guidelines.
4. Overall judgment: Model 1 is better because it correctly models the multiplicity for the `Authorship` association class, whereas Model 2 introduces a critical semantic error in that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</si>
  <si>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</si>
  <si>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2 accurately decouples the authorship concept by linking exactly one `Person` and one `ScientificArticle` to each `Authorship` class, which holds the `position` attribute. Model 1 incorrectly links `Authorship` to `1..* Person`, which breaks the cohesion of the `Authorship` class since a single position cannot logically apply to multiple authors. Both models use a similar level of decoupling for other classes, like introducing an `Authorship` class instead of a many-to-many association.
2. Complexity: Model 1 = 4, Model 2 = 4; Evidence: Both models maintain a balanced level of complexity with 8 classes each. They correctly avoid overcomplicating the diagram by introducing only necessary concepts (e.g., Authorship for the many-to-many relationship between Person and ScientificArticle). Both distinguish between PeerReviewedPaper and TechnicalReport via inheritance from ScientificArticle.
3. Practicability: Model 1 = 3, Model 2 = 4; Evidence: Model 2 is more practical because its `Authorship` association is semantically correct, enabling proper tracking of author positions. Model 1's `Authorship` is practically unusable due to the multiplicity error. Model 2 also correctly uses `Person "1" -- "*" Authorship` and `ScientificArticle "1" -- "*" Authorship`. Model 1 does have a better type for keywords (`Set&lt;String&gt;` compared to Model 2's `String`), and a better multiplicity for the `reviews` relationship (`0..*` to `0..*` versus Model 2's restrictive `1` to `*`). However, Model 2's correct core modeling of authorship makes it significantly more practical for actual implementation.
Total: Model 1 = 10, Model 2 = 12
Choice: B
Reason:
1. Cohesion and Decoupling: Model 2 correctly models the `Authorship` class as a junction with a single `Person` and `ScientificArticle`, allowing the `position` attribute to logically apply to one author. Model 1's association `Authorship -- "1..*" Person` is conceptually flawed, as a single position cannot belong to multiple authors simultaneously.
2. Complexity: Both models exhibit similar and appropriate complexity, effectively using an `Authorship` intermediate class to manage the position of authors in multi-author articles.
3. Rejected or checked issues: Both models mistakenly use a 1-to-1 multiplicity for the `worksFor` relationship between Person and Institution, which should be many-to-one. This penalizes them equally. Model 1's use of `Set&lt;String&gt;` for keywords and `0..*` multiplicity for the `reviews` association are better than Model 2's equivalents, but these do not outweigh the severe domain flaw in Model 1's authorship modeling.
4. Overall judgment: Model 2 is better because its design of the `Authorship` class is semantically correct and practically viable, which is a core part of the requirement ("the position of each author is stored"). Model 1's failure to correctly associate a single author with an authorship record makes its design fundamentally flawed.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</si>
  <si>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</si>
  <si>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correctly uses an Authorship class as an association-like concept with `Person "1" -- "*" Authorship` and `ScientificArticle "1" -- "*" Authorship`, keeping each link singular and cohesive. Model 2 uses the same Authorship class but with `Authorship -- "1..*" Person`, which couples one Authorship record to multiple Persons, weakening the singular responsibility of an author-position record. Model 2’s review association `Person "0..*" -- "0..*" PeerReviewedPaper` is more decoupled than Model 1’s `Person "1" -- "*" PeerReviewedPaper`, but the Authorship flaw is more significant.
2. Complexity: Model 1 = 4, Model 2 = 4; Evidence: Both models have 8 classes, one level of inheritance (`ScientificArticle &lt;|-- PeerReviewedPaper`, `ScientificArticle &lt;|-- TechnicalReport`), and a small, appropriate set of attributes. Model 1 uses composition `Publisher "1" *-- "*" Journal`, while Model 2 marks `ScientificArticle` as abstract and uses `Set&lt;String&gt;` for keywords. These differences do not meaningfully affect complexity, and both remain balanced for the requirement.
3. Practicability: Model 1 = 4, Model 2 = 3; Evidence: Model 1’s authorship modeling is practical: `position` is stored per author-article pair via correct multiplicities. However, `Person "1" -- "1" ResearchInstitution` wrongly implies each institution has exactly one person. Model 2 improves the reviewer relation with `Person "0..*" -- "0..*" PeerReviewedPaper`, but its `Authorship -- "1..*" Person` makes one position apply to multiple authors, which is impractical for implementation. Both models share the same Person-Institution 1:1 error, but Model 1 is more implementable overall due to correct authorship semantics.
Total: Model 1 = 12, Model 2 = 10
Choice: A
Reason:
1. Cohesion and Decoupling: Model 1 keeps Authorship cohesive and singularly linked to one Person and one ScientificArticle, whereas Model 2’s `Authorship -- "1..*" Person` violates the intended per-author position semantics and creates unnecessary coupling.
2. Complexity: Both models are similarly and appropriately complex; neither over- nor under-engineers the domain.
3. Rejected or checked issues: The Person-Institution 1:1 multiplicity is wrong in both models and therefore does not distinguish them. The reviewer multiplicity difference is a minor trade-off, but the Authorship error in Model 2 is a more serious implementability problem.
4. Overall judgment: Model 1 is better because it correctly models the author-position requirement, which is central to the article storage rules, while Model 2’s Authorship multiplicities make the design less practical.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</si>
  <si>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</si>
  <si>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</si>
  <si>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</si>
  <si>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strictly (no hallucinations/additions): Model 1 = 4, Model 2 = 3; Evidence: Model 1 uses transparent refinements (`ParkingFacility`, `CarportParking`, `GarageParking`) to enforce the XOR constraint and exact cardinalities for semi-detached houses, though it adds an unrequired `jobDate` attribute to the `Job` class. Model 2 strictly avoids extra classes but uses loose associations (`0..2` Carport, `0..1` Garage) that contradict the "exactly two" or "exactly one" requirement, relying on a note to express the constraint.
2. Conceptual classes and relationships accurately representing essentials (associations, cardinalities, types): Model 1 = 5, Model 2 = 3; Evidence: Model 1 accurately models the "exactly two carports or exactly one garage" constraint via `CarportParking *-- "2" Carport` and `GarageParking *-- "1" Garage`, ensuring the correct cardinalities and XOR semantics. It also correctly models "several companies" with `House "1" -- "1..*" Company`. Model 2 fails to accurately represent the multiplicities by using `0..2` for Carport and `0..1` for Garage, allowing invalid states (e.g., 1 carport and 1 garage), and uses `*` for companies, missing the "several" (at least one) minimum.
3. Clarity in class names and optional attributes: Model 1 = 4, Model 2 = 4; Evidence: Both models provide clear and appropriate class names and attributes. Model 1 uses `Job` while Model 2 uses `JobLog` (which directly matches the requirement text). Both correctly capture attributes like `humidityLevel`, `hasOwnGarden`/`hasGarden`, and `isDouble`.
Total: Model 1 = 13, Model 2 = 10
Choice: A
Reason:
1. Conceptual classes and relationships accurately representing essentials: Model 1's use of intermediate classes (`ParkingFacility`, `CarportParking`, `GarageParking`) is a valid and effective way to enforce the strict "either exactly two carports or exactly one garage" requirement, capturing the exact multiplicities and the XOR logic structurally. Model 2 fails to capture this constraint in its associations, using `0..2` and `0..1`, which semantically contradict the requirement.
2. Association cardinalities: Model 1 correctly interprets "serviced by several companies" with a `1..*` multiplicity, whereas Model 2 uses `*`, missing the "several" minimum constraint.
3. Rejected or checked issues: Model 1's addition of `jobDate` to the `Job` class is a minor implementation-oriented addition not strictly requested, but it does not violate any constraints. Model 2's use of a note to explain the carport/garage constraint was considered, but diagram semantics override unenforced notes.
4. Overall judgment: Model 1 is better because it provides a semantically accurate representation of the complex multiplicity and XOR constraints required for semi-detached houses, whereas Model 2's structural choices directly contradict the specified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</si>
  <si>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</si>
  <si>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5, Model 2 = 4; Evidence: Both models include the necessary conceptual classes and attributes (House, SemiDetachedHouse, BuildingMaterial, basements, parking, Company). Model 1 uses "JobLog" as specified in the text. Model 2 uses "Job" as a synonym, which is acceptable, but adds "jobDate: Date" which is a hallucination not supported by the requirement.
2. Relationships and Cardinalities (Parking Facilities): Model 1 = 3, Model 2 = 5; Evidence: The requirement specifies exactly two carports or exactly one garage. Model 1 uses "0..2" for Carport and "0..1" for Garage, failing to enforce the exact multiplicities and relying on a note. Model 2 introduces a "ParkingFacility" hierarchy where "CarportParking" composes exactly "2" Carports and "GarageParking" composes exactly "1" Garage, perfectly capturing the exact cardinality and XOR constraint.
3. Relationships and Cardinalities (Basements, Companies, and Jobs): Model 1 = 5, Model 2 = 4; Evidence: Both correctly model House to Basement as "0..1" and the basement inheritance. For companies and jobs, Model 1 explicitly includes "House * -- * Company" to represent that a house is serviced by several companies, alongside the JobLog associations. Model 2 only models the Job associations and omits the direct servicing relationship between House and Company.
Total: Model 1 = 13, Model 2 = 13
Choice: C
Reason:
1. Classes and Attributes: Model 1 is more strictly aligned with the text by using "JobLog" and omitting extra attributes, whereas Model 2 introduces a minor hallucination with "jobDate".
2. Relationships and Cardinalities (Parking Facilities): Model 2 is significantly better at capturing the exact constraints of the semi-detached house's parking facilities. By using intermediate classes, it perfectly models the "exactly two carports or exactly one garage" requirement. Model 1 fails this by using loose multiplicities.
3. Relationships and Cardinalities (Basements, Companies, and Jobs): Model 1 provides a more complete representation of the company servicing relationship by explicitly linking House and Company, whereas Model 2 omits this direct link.
4. Overall judgment: The two models exhibit offsetting strengths and weaknesses. Model 1 follows the textual naming and direct relations more closely but fails on strict multiplicities for parking. Model 2 perfectly captures the complex parking constraint but introduces an unneeded attribute, omits a direct relation, and uses additional abstract classes. The overall quality difference is minimal,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</si>
  <si>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</si>
  <si>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core domain classes: `House`, `SemiDetachedHouse`, `BuildingMaterial`, `Basement`, `EarthBasement`, `ConcreteBasement`, `Carport`, `Garage`, and `Company`. Model 1 uses a `Job` class to record job logs, while Model 2 uses a `JobLog` class. Model 1 introduces intermediate classes (`ParkingFacility`, `CarportParking`, `GarageParking`) to enforce constraints, which is an acceptable transparent refinement.
2. Associations/Multiplicities between classes for domain reasoning: Model 1 = 4, Model 2 = 3; Evidence: Model 1 successfully models the strict "either two carports or a garage" requirement by using an intermediate `ParkingFacility` hierarchy with compositions of "2" for `Carport` and "1" for `Garage`. However, its explicit association `House "1" -- "1..*" Company` erroneously implies a Company can only service exactly one House. Model 2 correctly models the House-Company relationship as a many-to-many (`House "*" -- "*" Company`), but fails the carport/garage constraint by using `SemiDetachedHouse "1" -- "0..2" Carport` and `SemiDetachedHouse "1" -- "0..1" Garage` (which allows 0 of both, or 1 carport, directly contradicting the requirement).
3. Model attributes with appropriate data types: Model 1 = 5, Model 2 = 5; Evidence: Both models assign appropriate attributes to their respective classes with valid data types (e.g., `address: String`, `buildingMaterial: BuildingMaterial`, `size: double/float`, `hours: int/float`). Both capture all required attributes accurately.
4. Consistencies of Terminology with given context: Model 1 = 4, Model 2 = 5; Evidence: Model 2 uses exact terminology from the requirement such as `JobLog`, `hasOwnGarden`, and `numberOfWindows`. Model 1 uses synonyms like `Job` instead of `JobLog`, and `hasGarden`/`windowCount` instead of `hasOwnGarden`/`numberOfWindows`, which are minor inconsistencies.
5. Adherence of UML class diagram standards: Model 1 = 5, Model 2 = 5; Evidence: Both diagrams fully adhere to UML and PlantUML syntax standards. They correctly use enumerations, classes, inheritance, and associations.
Total: Model 1 = 23, Model 2 = 23
Choice: C
Reason:
1. Appropriate conceptual classes: Both models successfully identify all essential classes required to represent the domain.
2. Associations/Multiplicities: Model 1 excels at modeling the strict either/or constraint for carports and garages using an inheritance hierarchy, but makes a minor error in the explicit House-Company multiplicity. Model 2 correctly handles the House-Company multiplicity but fails the carport/garage hard constraint semantically, relying on a note (which is ignored per evaluation rules) and setting invalid multiplicities. These flaws balance out.
3. Rejected or checked issues: Model 2's use of a note to explain the "either/or" constraint was ignored as per the general rules regarding notes. Model 1's intermediate classes (`ParkingFacility`, etc.) were not penalized as they are transparent refinements that improve semantic accuracy.
4. Overall judgment: Both models have equivalent overall quality. Model 1 is stronger in domain reasoning for the carport/garage constraint, while Model 2 is stronger in terminology consistency and the House-Company multiplicity. The scores balance to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</si>
  <si>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</si>
  <si>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accurately identifies all required classes (House, Basement, EarthBasement, ConcreteBasement, SemiDetachedHouse, Carport, Garage, Company, JobLog) and uses an enum for BuildingMaterial. Model 2 introduces intermediate classes like ParkingFacility, CarportParking, and GarageParking, which are not mentioned in the requirement but are used to model the "either/or" constraint via class hierarchy. It also replaces "JobLog" with "Job", which is an acceptable synonym but Model 1 is closer to the explicit wording.
2. Associations/Multiplicities between classes for domain reasoning: Model 1 = 4, Model 2 = 3; Evidence: Model 1 correctly models House * -- * Company to represent "Each house is serviced by several companies" and uses a JobLog class to link House and Company (1 to * on both sides). For the semi-detached house parking, it uses `SemiDetachedHouse "1" -- "0..2" Carport` and `SemiDetachedHouse "1" -- "0..1" Garage` with a note for the exact constraint. Model 2 elegantly models the carport/garage constraint using subclasses and composition (`CarportParking *-- "2" Carport`, `GarageParking *-- "1" Garage`), but entirely misses the direct association between House and Company, linking them only through the Job class. This implies a house cannot be serviced by a company unless a job is already recorded, which contradicts the domain text.
3. Model attributes with appropriate data types: Model 1 = 5, Model 2 = 5; Evidence: Both models correctly identify attributes with appropriate data types. Model 1 uses `float` for size, humidity, hours, and price, while Model 2 uses `double` and `int`. Both use `boolean` for the flags and `String` for names and addresses. Model 2 adds an extra `jobDate` attribute.
4. Consistencies of Terminology with given context: Model 1 = 5, Model 2 = 4; Evidence: Model 1 uses terms directly from the text: `JobLog`, `hasOwnGarden`, `numberOfWindows`, `humidityLevel`. Model 2 uses `Job` instead of `JobLog`, `hasGarden` instead of `hasOwnGarden`, `windowCount` instead of `numberOfWindows`, and introduces `ParkingFacility` which is not in the text.
5. Adherence of UML class diagram standards: Model 1 = 5, Model 2 = 5; Evidence: Both diagrams correctly use UML class diagram syntax, including classes, attributes, enumerations, generalization (`&lt;|--`), and associations/compositions. Model 1 uses notes for constraints, which is valid UML. Model 2 uses a composition and inheritance pattern for the parking facility, which is also syntactically correct.
Total: Model 1 = 24, Model 2 = 21
Choice: A
Reason:
1. Appropriate conceptual classes aligned with the domain: Model 1 is strictly aligned with the domain vocabulary, whereas Model 2 adds unnecessary abstraction classes (e.g., `ParkingFacility`, `CarportParking`) that, while structurally valid, deviate from the direct domain classes requested.
2. Associations/Multiplicities between classes for domain reasoning: Model 2 misses the direct many-to-many association between `House` and `Company`, which is explicitly stated in the text ("Each house is serviced by several companies"). It only models the relationship through `Job`. Model 1 captures both the servicing relationship and the job log relationship correctly.
3. Rejected or checked issues: The differing multiplicity approaches for the "two carports or a garage" constraint were considered. Model 2's approach using abstract subclasses is a valid design pattern and stronger in enforcing the multiplicity constraints, but it does not compensate for the missing essential `House`-`Company` association.
4. Overall judgment: Model 1 is better because it accurately captures all domain relationships, specifically the explicit servicing relationship between `House` and `Company`, which Model 2 omits. Model 1 also maintains stricter adherence to the provided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</si>
  <si>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</si>
  <si>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a polymorphic `ParkingFacility` hierarchy (`ParkingFacility &lt;|-- CarportParking`, `ParkingFacility &lt;|-- GarageParking`) to decouple the either/or constraint of parking for `SemiDetachedHouse`. Model 2 keeps `Carport` and `Garage` directly associated to `SemiDetachedHouse` and uses a note for the constraint. Both models appropriately decouple the job log from `House` and `Company`.
2. Complexity: Model 1 = 3, Model 2 = 4; Evidence: Model 1 introduces intermediate classes (`ParkingFacility`, `CarportParking`, `GarageParking`) not strictly required by the domain text, increasing class count to 13. It also names the log class `Job` and adds an extra `jobDate` attribute. Model 2 has 10 classes, directly modeling `JobLog` without unnecessary intermediate classes, better aligning with the requirement's vocabulary and maintaining balanced complexity.
3. Practicability: Model 1 = 3, Model 2 = 5; Evidence: Model 1 specifies `House "1" -- "1..*" Company` which semantically implies that a Company is associated with exactly one House (multiplicity of 1 on the House side), contradicting real-world servicing where a company serves multiple houses. Model 2 correctly uses a many-to-many relationship `House "*" -- "*" Company` and establishes `JobLog` as the central record linked to both `House "1" -- "*" JobLog` and `Company "1" -- "*" JobLog`, perfectly matching the requirement. Model 2's design is highly readable and accurately reflects domain multiplicities.
Total: Model 1 = 10, Model 2 = 13
Choice: B
Reason:
1. Cohesion and Decoupling: Both models show good cohesion and decoupling by separating `Basement`, `BuildingMaterial`, and the job records from their owners. Model 1's use of polymorphism for parking is an interesting decoupling technique, while Model 2 relies on direct associations and a constraint note. 
2. Complexity: Model 2 is less complex and more aligned with the requirement. It avoids Model 1's artificial `ParkingFacility`, `CarportParking`, and `GarageParking` classes and directly names the job record class `JobLog` as stated in the text.
3. Rejected or checked issues: I did not penalize Model 1 for using `Job` instead of `JobLog` based solely on naming, but considered it alongside the extra `jobDate` attribute as a minor complexity deviation. I also ignored the PlantUML comment `'opposite servicedHouses` in Model 1 as per the forbidden penalties. 
4. Overall judgment: Model 2 is significantly better in practicability and domain faithfulness because it correctly models the many-to-many relationship between `House` and `Company` (`House "*" -- "*" Company`), whereas Model 1's `House "1" -- "1..*" Company` incorrectly implies a company can only service one house. Model 2 also accurately models the `JobLog` as a ternary association record.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</si>
  <si>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</si>
  <si>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keep attributes in cohesive classes (e.g., Model 1: House with address/buildingMaterial; Model 2: identical). Model 2 introduces an intermediate ParkingFacility hierarchy (ParkingFacility, CarportParking, GarageParking), which decouples SemiDetachedHouse from concrete Carport/Garage types. Model 1 couples SemiDetachedHouse directly to Carport and Garage. Both maintain low coupling elsewhere (e.g., Job/JobLog linked to House and Company).
2. Complexity: Model 1 = 3, Model 2 = 4; Evidence: Model 1 uses 11 classes with direct associations but leaves the parking rule as 0..2 Carport and 0..1 Garage, failing to enforce exactly two or one. Model 2 uses 13 classes, adding ParkingFacility subclasses; these are transparent refinements that structurally enforce the XOR (exactly 2 carports or exactly 1 garage) via composition. The complexity is slightly higher but better aligned with the hard requirement.
3. Practicability: Model 1 = 3, Model 2 = 4; Evidence: Model 1 represents the “either two carports or a garage” rule only in a non-executable note, and its House–Company association is correctly many-to-many. Model 2 encodes the parking rule structurally, making it testable and enforceable. Although Model 2 over-constrains the House–Company association to House "1" -- "1..*" Company (implying each company services exactly one house), the structural capture of the core XOR constraint improves overall practability.
Total: Model 1 = 10, Model 2 = 12
Choice: B
Reason:
1. Cohesion and Decoupling: Both models exhibit high cohesion and reasonable decoupling. Model 2’s ParkingFacility abstraction adds modularity without increasing harmful coupling, so they are roughly equal.
2. Complexity: Model 1 is simpler but under-constrains the parking multiplicities (0..2 and 0..1), which does not align with the requirement for exactly two carports or exactly one garage. Model 2 uses a few additional classes to enforce that rule structurally, which is an appropriate and well-aligned complexity.
3. Rejected or checked issues: I did not penalize Model 2 for using intermediate classes like ParkingFacility, CarportParking, and GarageParking because the instructions forbid penalizing transparent refinements. I also did not reward Model 1 merely for being shorter. The over-constrained House–Company multiplicity in Model 2 was considered, but since the requirement only specifies the house side (several companies) and does not explicitly state the company side, it is a minor issue compared with the structural enforcement of the explicit parking XOR rule.
4. Overall judgment: Model 2 is better because it captures the mandatory “either two carports or a garage” constraint in the structure itself rather than relying on a note, and it does so with acceptable complexity and strong modularity. Model 1’s looser multiplicities and non-executable note make it less faithful to the hard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</si>
  <si>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</si>
  <si>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functionalities, cardinalities, and relationships: Model 1 = 5, Model 2 = 2; Evidence: Model 1 accurately captures "either two carports or a garage" by using an intermediate `ParkingFacility` class with `CarportParking *-- "2" Carport` and `GarageParking *-- "1" Garage`. It also correctly specifies `House *-- "0..1" Basement` and `House "1" -- "1..*" Company`. Furthermore, it correctly models the job log as a `Job` class related to both `House` and `Company`. Model 2 misses multiple cardinality constraints: `House o-- Company` and `House o-- Basement` omit multiplicities (defaulting to 1), contradicting "several companies" and "may have a basement". Model 2 also models `SemiDetachedHouse o-- Carport` and `SemiDetachedHouse o-- Garage` simultaneously with default multiplicity 1, implying a semi-detached house has both, which directly contradicts "either two carports or a garage". Additionally, Model 2 links `JobLog` only to `Company`, failing to associate it with `House` as required for a job carried out "in a house".
Total: Model 1 = 5, Model 2 = 2
Choice: A
Reason:
1. Alignment with requirement, functionalities, cardinalities, and relationships: Model 1 strictly adheres to the requirements, including modeling the exact number of carports ("2" carports) or a garage ("1" garage) through a polymorphic `ParkingFacility` structure, and correctly defining multiplicities like `"0..1"` for basements and `"1..*"` for servicing companies. It also correctly creates a `Job` class linked to both `House` and `Company` to fulfill the requirement of recording a job carried out "in a house". Model 2 falls short on multiple fronts: it lacks necessary multiplicities, implicitly allowing exactly one company, one basement, one carport, and one garage per semi-detached house. This default multiplicity of 1 for the carport and garage violates the "either... or" constraint, and missing the House association on `JobLog` breaks the domain logic for job records.
2. Rejected or checked issues: Model 1 includes a `jobDate` attribute in the `Job` class which is not explicitly requested by the requirement. This is a minor, harmless implementation detail and is not penalized. Model 2 uses `String` for `buildingMaterial` instead of an enum, which is acceptable per the rules but less domain-accurate than Model 1's enum.
3. Overall judgment: Model 1 is significantly better because it accurately represents all business constraints, cardinalities, and the ternary relationship for job logs, whereas Model 2 misses key multiplicities, contradicts the "either/or" parking constraint, and omits the house relationship in the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</si>
  <si>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</si>
  <si>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functional accuracy: Model 1 = 3, Model 2 = 5; Evidence: Model 2 accurately models the building material as an enum (`BuildingMaterial` with WOOD, BRICK, CONCRETE) matching the requirement exactly, whereas Model 1 uses a generic `String`. Model 2 correctly models the job log as a `Job` class linked to both `House` and `Company` ("Whenever a company carries out a job in a house..."), whereas Model 1 only links `JobLog` to `Company`, omitting the connection to the `House`. Model 2 correctly models the exact constraint "either two carports or a garage" using intermediate classes and multiplicities (`CarportParking *-- "2" Carport` and `GarageParking *-- "1" Garage`), while Model 1 just adds optional associations to `Carport` and `Garage` without enforcing the XOR or the specific counts.
2. Relationships, cardinalities, and class structure: Model 1 = 3, Model 2 = 5; Evidence: Model 2 provides explicit multiplicities for critical relationships, such as `House *-- "0..1" Basement` and `House "1" -- "1..*" Company`, closely matching the text ("A house may have a basement", "serviced by several companies"). Model 1 relies on unmarked aggregations (`o--`) which leave multiplicities ambiguous. Model 2's use of composition (`*--`) for the basement and parking facilities reflects a stronger and clearer lifecycle dependency than Model 1's weak aggregation.
Total: Model 1 = 6, Model 2 = 10
Choice: B
Reason:
1. Requirement alignment and functional accuracy: Model 2 strictly adheres to the constraints in the requirement. It properly captures the ternary relationship for a job log by linking `Job` to both `House` and `Company`. Model 1 fails to link the job log to the house. Additionally, Model 2 correctly constrains the semi-detached house parking to either exactly two carports or one garage through the `ParkingFacility` abstraction, whereas Model 1 leaves these as loose, unconstrained associations. 
2. Relationships, cardinalities, and class structure: Model 2 provides explicit and accurate multiplicities (e.g., `0..1` for basement, `1..*` for companies, `2` for carports, `1` for garage). Model 1 omits these multiplicities, making the cardinalities ambiguous and failing to represent the exact business rules.
3. Rejected or checked issues: Model 2 introduces intermediate classes like `ParkingFacility` and adds `jobDate: Date`. Per the evaluation guidelines, transparent refinements to enforce XOR constraints are acceptable and not penalized. The addition of `jobDate` is an extra implementation detail that does not negatively impact the core domain accuracy and is not penalized. Model 1's use of `String` for building material instead of an enum is slightly weaker but not a severe violation; the critical failure in Model 1 is the missing Job-House link and the missing parking constraints.
4. Overall judgment: Model 2 is significantly better because it accurately models all domain rules, multiplicities, and associations described in the requirement, whereas Model 1 misses key relationships (Job-House) and constraints (2 carports or 1 garage).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</si>
  <si>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</si>
  <si>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all required classes and uses an enum for `BuildingMaterial` (WOOD, BRICK, CONCRETE), as well as intermediate classes `ParkingFacility`, `CarportParking`, and `GarageParking` to model the "either two carports or a garage" constraint. Model 2 has the core classes but models `buildingMaterial` simply as a String and lacks a specific class/enum for it.
2. Associations/Multiplicities between classes for domain reasoning: Model 1 = 5, Model 2 = 2; Evidence: Model 1 accurately models multiplicities like `House *-- "0..1" Basement`, `House "1" -- "1..*" Company`, and `CarportParking *-- "2" Carport`. It also links `Job` to both `House` and `Company`. Model 2 lacks all multiplicities on its associations (e.g., `House o-- Basement`, `SemiDetachedHouse o-- Carport`) and critically fails to associate the `JobLog` with the `House`, linking it only to `Company`.
3. Model attributes with appropriate data types: Model 1 = 5, Model 2 = 5; Evidence: Both models correctly capture all required attributes such as `address`, `buildingMaterial`, `size`, `name`, `humidityLevel`, `hasGarden`, `windowCount/numberOfWindows`, `isDouble`, `hasFlatRoof`, `hasAutomaticDoor`, `hours`, and `agreedPrice` with reasonable data types.
4. Consistencies of Terminology with given context: Model 1 = 4, Model 2 = 5; Evidence: Model 2 uses the exact term `JobLog` from the requirements and `numberOfWindows` which maps well to the requirement. Model 1 uses `Job` instead of `JobLog`, which is a minor deviation but semantically clear.
5. Adherence of UML class diagram standards: Model 1 = 5, Model 2 = 5; Evidence: Both models use valid PlantUML syntax, including generalizations, aggregations, compositions, and associations. 
Total: Model 1 = 24, Model 2 = 21
Choice: A
Reason:
1. Appropriate conceptual classes aligned with the domain: Model 1 is better because it explicitly models the building materials as an enum `BuildingMaterial`, whereas Model 2 just uses a String. Model 1 also introduces intermediate classes for parking facilities which accurately capture the "either two carports or a garage" rule.
2. Associations/Multiplicities between classes for domain reasoning: Model 1 is significantly better. It correctly applies multiplicities for the basement (0..1), companies (1..*), and carports (2). Model 2 entirely omits multiplicities and fails to link the JobLog to the House, missing a critical domain relationship.
3. Rejected or checked issues: The difference in terminology (`Job` vs `JobLog`) was considered under terminology consistency but does not override the severe lack of correct associations and multiplicities in Model 2.
4. Overall judgment: Model 1 is better because it provides a much more accurate representation of the domain constraints, particularly the multiplicities and the ternary relationship between houses, companies, and job logs, which Model 2 largely misses.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</si>
  <si>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</si>
  <si>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include the core classes like `House`, `Basement`, `SemiDetachedHouse`, `Carport`, `Garage`, and `Company`. However, Model 1 misses the structural representation of the "either two carports or a garage" constraint by simply linking `SemiDetachedHouse` to `Carport` and `Garage` directly without capturing the exclusivity. Model 2 introduces `ParkingFacility`, `CarportParking`, and `GarageParking` to explicitly model this exclusive choice. Model 2 also uses a `Job` class properly linked to both `House` and `Company`, whereas Model 1 links `JobLog` only to `Company`, missing the connection to the house being serviced.
2. Associations/Multiplicities between classes for domain reasoning: Model 1 = 2, Model 2 = 5; Evidence: Model 1 completely lacks multiplicity constraints (e.g., `House o-- Basement` does not specify `0..1`, `SemiDetachedHouse o-- Carport` does not specify the required "exactly two" constraint). It also fails to link the `JobLog` to `House` for the job recording requirement. Model 2 accurately models all necessary multiplicities and relationships: `House *-- "0..1" Basement`, `SemiDetachedHouse *-- "1" ParkingFacility`, `CarportParking *-- "2" Carport`, and the associations for `Job` to both `House` and `Company`.
3. Model attributes with appropriate data types: Model 1 = 4, Model 2 = 5; Evidence: Both models capture the required attributes for the domain. Model 1 uses `String` for `buildingMaterial` and `size`. Model 2 improves on this by using an enum `BuildingMaterial` (WOOD, BRICK, CONCRETE) and `double` for `size`, which are more appropriate data types.
4. Consistencies of Terminology with given context: Model 1 = 4, Model 2 = 4; Evidence: Both models use terminology consistent with the requirements. Model 1 uses `JobLog` and Model 2 uses `Job` (from "carries out a job"). Both are acceptable representations of the domain vocabulary.
5. Adherence of UML class diagram standards: Model 1 = 3, Model 2 = 5; Evidence: Model 1 frequently omits multiplicities and role names, which are essential UML standards for domain reasoning, leaving relationships vague (e.g., `Company o-- JobLog`). Model 2 strictly adheres to UML standards with proper syntax, explicit multiplicities, and role labels (e.g., `Job --&gt; "1" House : performedAt`).
Total: Model 1 = 17, Model 2 = 24
Choice: B
Reason:
1. Appropriate conceptual classes aligned with the domain: Model 2 is superior because it uses intermediate classes to accurately capture the "either two carports or a garage" requirement and correctly connects the job log (as `Job`) to both the servicing `Company` and the serviced `House`.
2. Associations/Multiplicities between classes for domain reasoning: Model 2 accurately defines multiplicities and associations, such as `0..1` for basements and exactly `2` for carports. Model 1 lacks multiplicities entirely and fails to link the job log to the house.
3. Rejected or checked issues: I did not penalize Model 2 for using primitive types like `int` or `boolean`, nor for the `'opposite servicedHouses` comment, as per the forbidden penalties. I also did not penalize Model 2 for the added complexity of `ParkingFacility` classes, as they effectively solve the exclusive "either/or" domain constraint.
4. Overall judgment: Model 2 is better because it fully addresses the domain constraints, multiplicities, and relationships specified in the requirements, whereas Model 1 leaves relationships undefined and misses key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</si>
  <si>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</si>
  <si>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effectively decouples the "either/or" parking constraint by introducing a `ParkingFacility` superclass with `CarportParking` and `GarageParking` subclasses. The `Job` class acts as a link between `House` and `Company` to record jobs accurately. Model 2 misses the crucial link between `JobLog` and `House`, meaning a job log cannot be accurately associated with the specific house where the work was done, reducing cohesion of the job tracking concept.
2. Complexity: Model 1 = 5, Model 2 = 3; Evidence: Model 1 introduces an appropriate level of complexity to satisfy the requirements, such as using an `enum BuildingMaterial` for the specific materials (wood, brick, concrete) and intermediate classes to enforce exact constraints. Model 2 oversimplifies by using a generic `String` for `buildingMaterial` and omits multiplicities on the `Carport` and `Garage` associations, failing to model the "exactly two carports or a garage" constraint properly.
3. Practicability: Model 1 = 5, Model 2 = 3; Evidence: Model 1 is highly practical as it models the business rules explicitly and accurately (e.g., `House *-- "0..1" Basement`, `CarportParking *-- "2" Carport`). The inclusion of the `House` and `Company` associations with `Job` makes it fully traceable. Model 2 lacks essential multiplicities (e.g., `House o-- Company` missing `1..*`, `SemiDetachedHouse o-- Carport` missing `2`), making the design ambiguous and less robust for real-world implementation.
Total: Model 1 = 15, Model 2 = 9
Choice: A
Reason:
1. Cohesion and Decoupling: Model 1 properly captures the ternary relationship of a job being performed by a company at a house by linking `Job` to both `House` and `Company`. Model 2 only links `JobLog` to `Company`, creating a significant domain omission where the house context of the job is lost.
2. Complexity: Model 1 uses an `enum` for `BuildingMaterial` which perfectly matches the closed list in the requirement. It also correctly models the "either two carports or one garage" requirement using a `ParkingFacility` generalization with constrained multiplicities. Model 2 uses a `String` for building materials and omits multiplicities on the carport and garage associations, failing to capture the domain rules.
3. Rejected or checked issues: We did not penalize Model 2 for using `Float` or `String` aliases, as primitive types are explicitly allowed. The penalty for Model 2 is strictly due to missing domain links and constraints (House-JobLog link, Carport/Garage multiplicities).
4. Overall judgment: Model 1 is significantly better because it accurately translates all domain constraints into well-structured UML semantics, while Model 2 oversimplifies and misses key relationships and constraints required by the specification.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</si>
  <si>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</si>
  <si>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uses loose, unconstrained associations for carports and garages (`SemiDetachedHouse o-- Carport` and `SemiDetachedHouse o-- Garage`) and incorrectly links `JobLog` only to `Company`, missing the `House` connection entirely. Model 2 introduces a `ParkingFacility` hierarchy with `CarportParking` and `GarageParking` subclasses, effectively decoupling the exclusive OR (XOR) constraint into distinct, highly cohesive structures. It also cleanly associates the `Job` class with both `House` (performedAt) and `Company` (performedBy).
2. Complexity: Model 1 = 3, Model 2 = 4; Evidence: Model 1 is simpler but misses essential domain constraints, leaving the XOR logic and multiplicities unmodeled, and fails to restrict `buildingMaterial` to an enum. Model 2 introduces additional classes (`BuildingMaterial` enum, `ParkingFacility`, `CarportParking`, `GarageParking`) which increase complexity, but this complexity is justified and correctly applied to enforce the "exactly two carports or a garage" and "wood, brick, or concrete" constraints.
3. Practicability: Model 1 = 3, Model 2 = 5; Evidence: Model 1 allows a `SemiDetachedHouse` to have both a garage and carports, or neither, and does not enforce the count of two carports. It also lacks multiplicities for the house-company relationship and the job log misses the link to the house. Model 2 is highly practical, as it models the `BuildingMaterial` as an enum (`WOOD`, `BRICK`, `CONCRETE`), strictly enforces the parking constraints via inheritance and composition (`CarportParking *-- "2" Carport`, `GarageParking *-- "1" Garage`), and correctly maps the job log (`Job`) as a relationship between `House` and `Company`.
Total: Model 1 = 9, Model 2 = 14
Choice: B
Reason:
1. Cohesion and Decoupling: Model 2 significantly improves decoupling by encapsulating the parking logic into a `ParkingFacility` hierarchy, ensuring high cohesion within the parking classes. Model 1's lack of constraints and missing associations (like JobLog to House) results in poor domain coupling.
2. Complexity: Model 2's added complexity via intermediate classes (e.g., `ParkingFacility`, `CarportParking`, `GarageParking`, `BuildingMaterial`) is necessary to represent the domain rules accurately (XOR constraint, exact multiplicities, and enumerated material types). Model 1's lower complexity comes at the cost of omitting these critical business rules.
3. Rejected or checked issues: The requirement mentions "job log", while Model 2 uses `Job`. This is a transparent and acceptable refinement. The introduction of `ParkingFacility` is also a valid domain refinement to handle the XOR logic, which is explicitly allowed and not penalized under the guidelines.
4. Overall judgment: Model 2 is much better because it accurately captures the domain constraints using standard design patterns (enums for material types, polymorphism for the exclusive OR of parking facilities, and a ternary relationship for the job log). Model 1 fails to enforce these key requirements, making it less practical and less representative of the real-world software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</si>
  <si>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</si>
  <si>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relationships, and cardinalities: Model 1 = 4, Model 2 = 2; Evidence: Model 1 explicitly captures multiplicities like `House "1" -- "0..1" Basement` matching "may have a basement", and correctly links `House`, `Company`, and `JobLog` with `House "1" -- "*" JobLog` and `Company "1" -- "*" JobLog` to represent the job log requirements. However, it models the "exactly two carports or a garage" constraint as `0..2` Carport and `0..1` Garage with a text note instead of strict UML constraints. Model 2 lacks multiplicities entirely for `House o-- Basement`, `SemiDetachedHouse o-- Carport`, and `SemiDetachedHouse o-- Garage`. Model 2 also misses the relationship between `House` and `JobLog` entirely, only linking `Company o-- JobLog`, failing to capture that a job is carried out in a house and logged.
2. Clarity in class names and optional inclusion of attributes: Model 1 = 5, Model 2 = 4; Evidence: Model 1 uses an `enum BuildingMaterial` to precisely represent "wood, brick, or concrete" and uses `hasOwnGarden` to exactly match "whether it has its own garden". Model 2 uses `buildingMaterial: String` which is less precise, and uses `hasGarden` instead of `hasOwnGarden`.
Total: Model 1 = 9, Model 2 = 6
Choice: A
Reason:
1. Alignment with requirement, relationships, and cardinalities: Model 1 is significantly better because it explicitly provides multiplicities for the relationships between `House` and `Basement`, and correctly connects `House`, `Company`, and `JobLog` to fulfill the requirement that jobs are logged. Model 2 omits multiplicities for key relationships and completely misses the link between `House` and `JobLog`. Model 1's use of a note for the "two carports or a garage" constraint, while not a perfect UML semantic representation, is much closer to the requirement than Model 2's complete omission of any cardinality or constraint for that relationship.
2. Clarity in class names and optional inclusion of attributes: Model 1 demonstrates higher clarity and domain accuracy by using an Enum for building materials and precisely naming the `hasOwnGarden` attribute, directly reflecting the wording of the requirement. Model 2's use of a generic string for building materials and slightly altered attribute name is acceptable but less rigorous.
3. Rejected or checked issues: Model 1's `0..2` and `0..1` multiplicities for the Carport and Garage relationships do not perfectly enforce the "exactly two" or "exactly one" rule in UML syntax. However, this is penalized as a minor weakness in strict UML constraint modeling rather than a critical failure, and it does not outweigh Model 2's missing relationship and lack of multiplicities.
4. Overall judgment: Model 1 is better because it provides a much more complete and accurate representation of the domain's associations, cardinalities, and relationships, successfully capturing the JobLog connections that Model 2 completely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</si>
  <si>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</si>
  <si>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Functionality: Model 1 = 2, Model 2 = 5; Evidence: Model 1 misses the crucial association between `House` and `JobLog`, failing to represent that a job is carried out "in a house". It also misses the "two carports" constraint. Model 2 correctly links `JobLog` to both `House` and `Company`, capturing the full job log requirement. Model 2 also uses a note to specify the "exactly two Carports or exactly one Garage" constraint, fulfilling the requirement.
2. Associations, Cardinalities, and Relationships: Model 1 = 1, Model 2 = 4; Evidence: Model 1 entirely omits multiplicities on its associations (e.g., `House o-- Company`, `House o-- Basement`, `Company o-- JobLog`). It also misuses aggregation for relationships that are not part-whole (e.g., `House o-- Company`). Model 2 explicitly includes multiplicities (`House "1" -- "0..1" Basement`, `SemiDetachedHouse "1" -- "0..2" Carport`, `SemiDetachedHouse "1" -- "0..1" Garage`, `House "1" -- "*" JobLog`, `Company "1" -- "*" JobLog`), which accurately reflect the requirements.
3. Clarity in class names and attributes: Model 1 = 4, Model 2 = 5; Evidence: Both models use appropriate class names and attributes. Model 2 slightly improves clarity by introducing a `BuildingMaterial` enum to strictly enforce the wood, brick, or concrete values, aligning perfectly with the requirement text, whereas Model 1 uses a generic String.
4. No Hallucinations and Unnecessary Additions: Model 1 = 3, Model 2 = 4; Evidence: Model 1 hallucinates aggregations where none exist in reality (e.g., `House o-- Company` implies a house contains companies). Model 2 introduces a `House "*" -- "*" Company` association, which technically represents the "serviced by several companies" relationship, although this is arguably redundant with the `JobLog` associations. However, this is a minor and acceptable domain modeling choice.
Total: Model 1 = 10, Model 2 = 18
Choice: B
Reason:
1. Requirement Alignment &amp; Functionality: Model 2 correctly models the relationship between a `JobLog`, a `House`, and a `Company`. Model 1 only links `Company` to `JobLog`, losing the context of which house the job was carried out in.
2. Associations, Cardinalities, and Relationships: Model 2 provides essential multiplicities missing in Model 1. For example, it correctly models that a `House` has at most one `Basement` (`0..1`), and that a `SemiDetachedHouse` can have up to 2 `Carport`s or up to 1 `Garage`. Model 1 leaves all multiplicities blank, making the cardinality ambiguous.
3. Rejected or checked issues: I did not penalize Model 1 for using `String` instead of an `enum` for `buildingMaterial`, as this is an acceptable simplification. I did not penalize Model 2 for putting the XOR constraint in a note, as standard PlantUML constraints can be complex and the note clearly communicates the business rule.
4. Overall judgment: Model 2 is significantly better because it accurately represents the ternary-like relationship between House, Company, and JobLog, and it properly defines the multiplicities required by the prompt, which Model 1 entirely omits.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</si>
  <si>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</si>
  <si>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correctly identify the core domain classes: House, Basement, EarthBasement, ConcreteBasement, SemiDetachedHouse, Carport, Garage, Company, and JobLog. However, Model 1 additionally models `BuildingMaterial` as an `enum` with the exact values (WOOD, BRICK, CONCRETE) specified in the requirement, which is a more accurate domain representation than Model 2's use of a generic String attribute.
2. Associations/Multiplicities between classes for domain reasoning: Model 1 = 5, Model 2 = 2; Evidence: Model 1 accurately models all necessary relationships and multiplicities: `House "1" -- "0..1" Basement`, `SemiDetachedHouse "1" -- "0..2" Carport`, `SemiDetachedHouse "1" -- "0..1" Garage`, `House "1" -- "*" JobLog`, and `House "*" -- "*" Company`. Model 2 lacks multiplicities entirely on its associations (e.g., `House o-- Basement`, `SemiDetachedHouse o-- Carport`) and critically omits the association between `House` and `JobLog`, failing to represent that a job log is recorded when a company carries out a job "in a house".
3. Model attributes with appropriate data types: Model 1 = 5, Model 2 = 3; Evidence: Model 1 assigns appropriate types (e.g., `size: float`, `buildingMaterial: BuildingMaterial`, `hasOwnGarden: boolean`). Model 2 uses inappropriate data types in some cases, such as `size: String` (which should be numeric) and `buildingMaterial: String` (which fails to capture the restricted set of materials). Model 2 does use `agreedPrice: Float` which is nicely named, but the `size` data type error drags down the score.
4. Consistencies of Terminology with given context: Model 1 = 5, Model 2 = 4; Evidence: Model 1 uses highly consistent terminology such as `hasOwnGarden` (matching "whether it has its own garden") and `humidityLevel` (matching "humidity level"). Model 2 uses `hasGarden` which is slightly less precise but still acceptable. Both models use JobLog attributes (hours/price) that map directly to the text.
5. Adherence of UML class diagram standards: Model 1 = 5, Model 2 = 4; Evidence: Both models use standard PlantUML class diagram syntax. Model 1 uses standard associations with multiplicities and properly implements an `enum` for BuildingMaterial. Model 2 uses aggregations (`o--`) instead of plain associations (`--`) for most relationships, which is syntactically valid but semantically debatable for composition relations like House-Basement. The lack of multiplicities in Model 2 also makes the diagram less informative though not strictly invalid UML.
Total: Model 1 = 25, Model 2 = 17
Choice: A
Reason:
1. Appropriate conceptual classes aligned with the domain: Model 1 is better because it explicitly models `BuildingMaterial` as an enum, adhering to the domain constraint that materials are strictly wood, brick, or concrete.
2. Associations/Multiplicities between classes for domain reasoning: Model 1 is significantly better. It specifies multiplicities for all relationships and includes the vital link between `House` and `JobLog`. Model 2 completely misses the House-JobLog association, breaking the domain logic that a job is carried out in a house. Model 2 also omits multiplicities for the basement, garage, and carport relationships.
3. Rejected or checked issues: I did not penalize Model 2 for using `agreedPrice` instead of `price`, as both are semantically equivalent. I did not penalize Model 2 for using `Boolean` vs `boolean` due to the forbidden penalties rule regarding primitive types. 
4. Overall judgment: Model 1 is vastly superior because it provides a complete and accurate representation of the domain requirements, including critical associations, multiplicities, correct attribute data types, and proper modeling of the building material constraint. Model 2 contains critical omissions (House-JobLog association) and incorrect data types (`size: String`).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</si>
  <si>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</si>
  <si>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conceptual classes: House, Basement, EarthBasement, ConcreteBasement, SemiDetachedHouse, Carport, Garage, Company, and JobLog. Model 2 additionally introduces a `BuildingMaterial` enum class, which is a good domain refinement.
2. Associations/Multiplicities between classes for domain reasoning: Model 1 = 2, Model 2 = 5; Evidence: Model 1 completely omits multiplicities and fails to link `House` to `JobLog` (it only links `Company` to `JobLog`), missing the ternary nature of the job log. Model 2 accurately models all crucial multiplicities: `House "1" -- "0..1" Basement`, `SemiDetachedHouse "1" -- "0..2" Carport` and `"1" -- "0..1" Garage` (supported by a note for the XOR constraint), `House "1" -- "*" JobLog`, `Company "1" -- "*" JobLog`, and the many-to-many `House "*" -- "*" Company`.
3. Model attributes with appropriate data types: Model 1 = 4, Model 2 = 5; Evidence: Both models include the required attributes with correct basic data types (e.g., Boolean for hasGarden, Float for humidityLevel). Model 2 excels by modeling `buildingMaterial` as a `BuildingMaterial` enum (WOOD, BRICK, CONCRETE) which is more accurate for the domain than Model 1's `String` type. Model 2 also accurately names the garden attribute `hasOwnGarden` aligning perfectly with the text.
4. Consistencies of Terminology with given context: Model 1 = 4, Model 2 = 5; Evidence: Model 1 uses `agreedPrice` which matches the requirement exactly, and `hasGarden`. Model 2 uses `price` instead of `agreedPrice` (a minor omission) and `hasOwnGarden`. Overall, both models maintain high consistency, with Model 2 slightly better aligned with specific wording like "own garden".
5. Adherence of UML class diagram standards: Model 1 = 4, Model 2 = 5; Evidence: Both models are syntactically valid PlantUML. Model 2 utilizes standard UML notation for multiplicities (e.g., `"1" -- "0..1"`), abstract classes (`abstract class Basement`), and enums, making it a more complete and standard-compliant diagram compared to Model 1's unspecified multiplicities and basic relationships.
Total: Model 1 = 19, Model 2 = 25
Choice: B
Reason:
1. Associations/Multiplicities between classes for domain reasoning: Model 2 correctly implements the multiplicities for all relationships, such as `House "1" -- "0..1" Basement` and `House "*" -- "*" Company`. Model 1 omits all multiplicities and crucially fails to connect `House` to `JobLog`, breaking the domain logic that a job log records a company doing a job in a house.
2. Model attributes with appropriate data types: Model 2 uses an `enum` for `BuildingMaterial` which perfectly matches the requirement that building material is "wood, brick, or concrete", whereas Model 1 uses a generic `String`. 
3. Rejected or checked issues: I did not penalize Model 1 for using `String` instead of an `enum` under UML standards, but evaluated it under the attributes criterion since generic strings are less domain-accurate for closed lists. I also did not penalize Model 2 for using `0..2` and `0..1` without strict OCL constraints, as the note clarifies the "either/or" business rule, and UML class diagrams often rely on notes for such constraints.
4. Overall judgment: Model 2 is significantly better because it captures the exact relationships and multiplicities required by the domain text, correctly models the JobLog's connection to both House and Company, and uses a more accurate data type for the building material.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</si>
  <si>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</si>
  <si>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a dedicated `BuildingMaterial` enum to represent wood, brick, or concrete, promoting domain cohesion, while Model 2 loosely uses `String`. Model 1 correctly links `JobLog` to both `House` and `Company`, reflecting the requirement that a job is carried out by a company in a house. Model 2 only links `JobLog` to `Company`, missing the connection to `House`, which breaks the conceptual decoupling and loses the context of where the job occurred. 
2. Complexity: Model 1 = 5, Model 2 = 4; Evidence: Model 1 introduces an `enum BuildingMaterial` and includes appropriate multiplicities (e.g., `House "1" -- "0..1" Basement`, `SemiDetachedHouse "1" -- "0..2" Carport`), adding a reasonable level of complexity to accurately capture domain rules. Model 2 is less complex but at the cost of missing constraints and multiplicities, such as the `House o-- Company` association lacking multiplicities and the missing `House-JobLog` connection.
3. Practicability: Model 1 = 5, Model 2 = 3; Evidence: Model 1 is much more practical for implementation as it specifies clear multiplicities, appropriate data types (e.g., `float` for size), and properly models the Job Log relationship. Model 2 is impractical because it misses the `House` to `JobLog` connection entirely, uses `String` for `size` (Basement), and omits multiplicities for critical associations like `SemiDetachedHouse` to `Carport`/`Garage`, which requires knowing if it's 2 carports or 1 garage.
Total: Model 1 = 14, Model 2 = 10
Choice: A
Reason:
1. Cohesion and Decoupling: Model 1 properly encapsulates building materials in an enum and correctly links `JobLog` to both `House` and `Company`. Model 2 loses domain context by only linking `JobLog` to `Company` and fails to restrict `buildingMaterial` to a specific set of values.
2. Complexity: Model 1 balances complexity well by adding necessary structure (enum, multiplicities) without over-engineering. Model 2 is overly simplistic and lacks the constraints needed to represent the domain accurately.
3. Rejected or checked issues: Model 1 has a redundant `House "*" -- "*" Company` association alongside the `JobLog` connections, but this does not severely violate requirements and is often used to show direct servicing relationships. Model 1's use of a note to explain the XOR relationship between carports and garages is a valid UML approach, even though a strict constraint would be slightly better.
4. Overall judgment: Model 1 is significantly better because it captures all core domain requirements, including correct attribute types, enum constraints, and the crucial relationships for `JobLog` and `Basement`. Model 2 fails to model the relationship between `House` and `JobLog` entirely, making it an incomplete and less practical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</si>
  <si>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</si>
  <si>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Both models separate concepts into distinct classes (House, Basement, Company, JobLog). However, Model 1 fails to correctly model the relationship between a House and a JobLog, linking JobLog only to Company (`Company o-- JobLog`). Model 2 correctly decouples the job log by associating it with both House (`House "1" -- "*" JobLog`) and Company (`Company "1" -- "*" JobLog`), accurately capturing the "job in a house" by a company.
2. Complexity: Model 1 = 3, Model 2 = 5; Evidence: Model 1 represents building material as a `String` and uses simple aggregations (`o--`) without multiplicities, leading to underspecified constraints. Model 2 introduces a `BuildingMaterial` enum (`WOOD`, `BRICK`, `CONCRETE`) to properly constrain the values as required. It also accurately captures multiplicities (e.g., `House "1" -- "0..1" Basement`, `SemiDetachedHouse "1" -- "0..2" Carport`), balancing complexity with domain requirements.
3. Practicability: Model 1 = 2, Model 2 = 5; Evidence: Model 1's design makes the JobLog practically unusable for its intended purpose, as there is no way to know which house the job belongs to. Model 2 fixes this by linking JobLog to both House and Company, making it readable, comprehensive, and supporting robust testing of job records. The inclusion of multiplicities and an Enum in Model 2 further enhances its practicability and modularity.
Total: Model 1 = 8, Model 2 = 14
Choice: B
Reason:
1. Cohesion and Decoupling: Model 2 is superior because it correctly implements the relationships required for the JobLog. Model 1 misses the critical connection between House and JobLog, whereas Model 2 explicitly links JobLog to both House and Company.
2. Complexity: Model 2 better aligns with the requirements by using an Enum for `BuildingMaterial` instead of a generic String, and correctly assigns multiplicities to associations (e.g., basement, carports, garages). Model 1 is overly simplistic and lacks the constraints necessary to represent the domain.
3. Rejected or checked issues: The note in Model 2 regarding the "either two Carports or exactly one Garage" constraint is ignored per the evaluation guidelines ("Ignore layout, styling, skinparams, comments, and notes"). However, the multiplicities `0..2` for Carport and `0..1` for Garage in Model 2 are evaluated as valid.
4. Overall judgment: Model 2 is much better because it faithfully implements the domain requirements, specifically the ternary-like relationship for the JobLog, and uses proper typing and multiplicities to constrain the system, whereas Model 1 is missing key relationships and constraints.</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</si>
  <si>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</si>
  <si>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</si>
  <si>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</si>
  <si>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3, Model 2 = 5; Evidence: Model 2 accurately captures all iterative steps. For Step 4, Model 2's `ShipmentStatus` enum includes `MISSING` and `DAMAGED`, which Model 1 lacks. Model 2 introduces `ShipmentLine` with a `shippedQuantity` attribute linked to `OrderLine`, allowing partial quantities of an order line to be shipped in a group, fulfilling the "group of order lines shipped together" requirement. Model 1's direct `Shipment o-- 1..* OrderLine` association fails to represent partial quantities of a single order line. For Step 3, Model 2 includes a `PaymentTiming` enum (`ON_ORDER`, `ON_DELIVERY`) to represent the new payment choices, whereas Model 1 only records `paidDate`. Additionally, Model 1 models `Customer "1" *-- "0..*" Warehouse` as a composition, which is conceptually incorrect since warehouses are external supermarket assets, not internal parts of the selling company. Model 2 handles this correctly as `Customer "1" -- "0..*" Address : deliveryWarehouses`.
2. Clarity and Attributes: Model 1 = 4, Model 2 = 4; Evidence: Both models use clear class names and appropriate attributes. Model 1 includes behavioral methods like `markFullyShipped()` and `adjustStock()`, while Model 2 represents these states as attributes (e.g., `paymentStatus`, `shippedQuantity`) and enums. Both approaches are semantically clear and align with the project's vision.
Total: Model 1 = 7, Model 2 = 9
Choice: B
Reason:
1. Requirement Alignment: Model 2 is significantly better aligned with the evolving requirements. It correctly implements the tracking of missing/damaged deliveries in Step 4 (`MISSING`, `DAMAGED` in `ShipmentStatus`), which is completely omitted in Model 1. Model 2 also accurately models the partial shipping of order line quantities via `ShipmentLine`, whereas Model 1's direct association between `Shipment` and `OrderLine` is too simplistic for partial line-by-line deliveries. Furthermore, Model 2 explicitly captures the payment timing options introduced in Step 3 (`PaymentTiming` enum), while Model 1 misses this constraint. Model 1 also inappropriately uses composition (`*--`) for `Customer` and `Warehouse`, whereas Model 2 correctly models it as a simple association.
2. Clarity and Attributes: Both models maintain good clarity in their classes and attributes. The use of enums in Model 2 to represent states and timings is an effective way to capture the non-default FSMs and constraints required by the exercise.
3. Rejected or checked issues: I did not penalize Model 2 for introducing the `ShipmentLine` class, as the guidelines permit transparent refinements when the base requirement term remains recognizable and it improves domain reasoning for partial shipments. I also did not penalize Model 1 for including method signatures, as these are acceptable semantic clarifications.
4. Overall judgment: Model 2 is better because it provides a more complete and semantically accurate representation of the final state of the requirements (Step 4), specifically regarding shipment statuses, partial line quantities, and payment timing, while avoiding the conceptual flaw in the Customer-Warehouse relationship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</si>
  <si>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</si>
  <si>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(Classes and Attributes): Model 1 = 5, Model 2 = 3; Evidence: Model 1 includes `ShipmentStatus` with `MISSING` and `DAMAGED` and a `ShipmentLine` class with `shippedQuantity` to handle the "group of order lines" and "partial deliveries" required in Step 4. Model 2's `ShipmentStatus` only has `PACKED, SHIPPED, RECEIVED`, missing the missing/damaged statuses, and lacks a mechanism to record partially shipped quantities for an OrderLine.
2. Associations, Cardinalities, and Relationships: Model 1 = 5, Model 2 = 3; Evidence: Model 1 uses `ShipmentLine "0..*" -- "1" OrderLine` and `OrderLine` has `shippedQuantity`, allowing an order line to be split across multiple shipments (Step 2 &amp; 4). Model 2 has `Shipment "1" o-- "1..*" OrderLine` which implies an OrderLine belongs to only one Shipment (multiplicity 1 by default), failing to model an order line being shipped in multiple deliveries.
3. Conceptual Classes and Domain Accuracy: Model 1 = 5, Model 2 = 4; Evidence: Model 1 correctly captures the evolving nature of the requirements: tracking VAT, multiple addresses (head office and delivery), invoice timing (via `PaymentTiming` enum), and line-by-line tracking. Model 2 accurately captures `OrderStatus` with `PARTIALLY_SHIPPED` and `FULLY_SHIPPED` and uses `Warehouse` for delivery addresses, but fails to resolve the partial delivery quantity issue conceptually.
Total: Model 1 = 15, Model 2 = 10
Choice: A
Reason:
1. Alignment with Requirements: Model 1 handles the final step's requirements perfectly by adding `MISSING` and `DAMAGED` to the `ShipmentStatus` and introducing a `ShipmentLine` to handle the "group of order lines" shipped together. Model 2 misses the missing/damaged statuses and lacks a way to record shipped quantities.
2. Associations, Cardinalities, and Relationships: Model 1's association `ShipmentLine "0..*" -- "1" OrderLine` allows an order line to be fulfilled across multiple shipments, which is crucial for partial deliveries. Model 2's `Shipment "1" o-- "1..*" OrderLine` implies a one-to-many relationship without a proper multiplicity on the `OrderLine` side (defaulting to 1), incorrectly restricting an order line to a single shipment and failing the partial delivery requirement.
3. Rejected or checked issues: I did not penalize Model 2 for using aggregation and composition while Model 1 uses plain associations, as both are valid ways to represent relationships depending on the specific domain interpretation. I also did not penalize Model 2 for introducing the `Warehouse` class to manage delivery addresses, as this is a semantically valid approach to the requirement.
4. Overall judgment: Model 1 is better because it provides a more robust and accurate representation of the evolving requirements, particularly regarding partial deliveries, shipment grouping, and shipment statuses, whereas Model 2 lacks the necessary details to track partial quantities and missing/damaged deliveries.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</si>
  <si>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</si>
  <si>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identify the core classes (Customer, Product, Order, OrderLine, Invoice, Shipment, Address). Model 2 introduces `ShipmentLine` to handle the "group of order lines shipped together" requirement more explicitly than Model 1, which groups `OrderLine` directly under `Shipment`. Model 2 also correctly extends `ShipmentStatus` to include `MISSING` and `DAMAGED` as requested in Step 4, whereas Model 1 only includes `PACKED`, `SHIPPED`, `RECEIVED`.
2. Associations/Multiplicities between classes for domain reasoning: Model 1 = 4, Model 2 = 4; Evidence: Model 1 accurately models `Order *-- 1 Invoice` and `Order "1" -- "1" Warehouse : delivers to`. Model 2 models the head office and delivery addresses well with `Customer "1" -- "1" Address : headOffice` and `Customer "1" -- "0..*" Address : deliveryWarehouses`, along with `Order "1" -- "1" Address : deliveredTo`. Model 2 uses a `ShipmentLine` class to bridge `Shipment` and `OrderLine`, but sets multiplicity to `0..*` for `ShipmentLine` to `OrderLine`, which is slightly weak. Both models have minor multiplicity details that could be refined, resulting in a tie.
3. Model attributes with appropriate data types: Model 1 = 5, Model 2 = 3; Evidence: Model 1 provides comprehensive and properly typed attributes for all classes, including IDs, `paidDate`, `trackingNumber`, `unitPrice`, etc., which satisfies the requirement to "record when orders are paid for and shipped." Model 2 is notably sparse; `Customer` only contains `vatNumber` (missing name/ID), `Product` lacks an ID, and `Order` lacks IDs and explicit paid/shipped dates (relying only on `PaymentStatus`).
4. Consistencies of Terminology with given context: Model 1 = 4, Model 2 = 5; Evidence: Model 1 introduces a `Warehouse` class to model delivery addresses, which is a reasonable abstraction but slightly deviates from the requirement's explicit mention of tracking "addresses where the orders are delivered." Model 2 uses terms like `PaymentTiming`, `PaymentStatus`, `ShipmentLine`, and `ShipmentStatus` (with `MISSING`/`DAMAGED`) that map very directly to the text of Steps 3 and 4.
5. Adherence of UML class diagram standards: Model 1 = 5, Model 2 = 4; Evidence: Model 1 utilizes a rich set of UML semantics including composition (`*--`), aggregation (`o--`), enums, and visibility markers. Model 2 uses valid UML syntax but relies solely on standard associations (`--`) without using composition or aggregation to represent part-whole relationships (e.g., `Order` to `OrderLine`), which is less expressive but syntactically correct.
Total: Model 1 = 22, Model 2 = 21
Choice: A
Reason:
1. Appropriate conceptual classes: Model 2 aligns slightly better by including the `MISSING` and `DAMAGED` statuses explicitly mentioned in Step 4, and introducing `ShipmentLine` for grouping.
2. Associations/Multiplicities: Both models have strong points. Model 1 correctly ties the Invoice to the Order with a 1-to-1 composition, while Model 2 more cleanly separates the head office address from delivery addresses as requested in Step 3.
3. Model attributes: Model 1 is significantly better. It captures essential domain attributes like IDs, tracking numbers, and dates needed for accounts (e.g., `paidDate`), whereas Model 2 is overly minimal and omits critical attributes.
4. Consistencies of Terminology: Model 2 uses terms that map more literally to the problem description, whereas Model 1 abstracts delivery addresses into a `Warehouse` class.
5. Rejected or checked issues: Model 2's lack of composition arrows is noted, but per the evaluation guidelines, UML notation correctness is separated from domain accuracy unless unreadable. No forbidden penalties were applied.
6. Overall judgment: While Model 2 captures the evolving domain concepts and missing/damaged statuses of Step 4 very well, Model 1 provides a much more complete and professionally detailed class diagram overall, specifically regarding attributes and UML structural semantics. The comprehensiveness of Model 1's attributes gives it a slight edge.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</si>
  <si>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</si>
  <si>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`ShipmentLine` and correctly extends `ShipmentStatus` to include `MISSING` and `DAMAGED` as required in Step 4. Model 2 lacks `ShipmentLine` and fails to include the `MISSING` and `DAMAGED` statuses in its `ShipmentStatus` enum, missing key domain concepts for tracking delivery issues.
2. Associations/Multiplicities between classes for domain reasoning: Model 1 = 4, Model 2 = 3; Evidence: Model 1 links `Shipment` to `ShipmentLine` and `ShipmentLine` to `OrderLine`, allowing accurate grouping and tracking of partial order line shipments. Model 2 links `Shipment` directly to `OrderLine` (groups), which makes it impossible to record partial quantities of an order line shipped in a single shipment. Also, Model 2 restricts `Order` to exactly 1 `Warehouse` (`Order "1" -- "1" Warehouse`), which contradicts the possibility of partial deliveries to different locations.
3. Model attributes with appropriate data types: Model 1 = 5, Model 2 = 3; Evidence: Model 1 includes `shippedQuantity` in both `OrderLine` and `ShipmentLine`, and uses enums like `PaymentTiming` and `PaymentStatus` to model payment options accurately. Model 2 omits any `shippedQuantity` attribute, making it impossible to track partially shipped order lines as required in Step 2 and 4. 
4. Consistencies of Terminology with given context: Model 1 = 4, Model 2 = 5; Evidence: Model 2 explicitly uses the term `Warehouse` matching the domain context in Step 3, whereas Model 1 abstracts this away as `Address`. Both models use appropriate terms like `Customer`, `Order`, `OrderLine`, `Invoice`, and `Shipment`.
5. Adherence of UML class diagram standards: Model 1 = 5, Model 2 = 5; Evidence: Both models use valid PlantUML syntax and standard UML class diagram notations. Model 2 additionally uses composition (`*--`) and aggregation (`o--`) which are semantically appropriate, but Model 1's standard associations are also perfectly valid.
Total: Model 1 = 23, Model 2 = 20
Choice: A
Reason:
1. Appropriate conceptual classes aligned with the domain: Model 1 is better because it accurately models `ShipmentLine` to handle groups of order lines shipped together, and it correctly adds `MISSING` and `DAMAGED` to the shipment status as required by Step 4.
2. Associations/Multiplicities between classes for domain reasoning: Model 1 is better because its association of `Shipment` to `OrderLine` via `ShipmentLine` correctly supports partial deliveries with quantities. Model 2's direct link between `Shipment` and `OrderLine` fails to capture partial quantities of a line.
3. Rejected or checked issues: I did not penalize Model 1 for lacking an explicit `Warehouse` class since it modeled the warehouse concept using `Address` associated with `Customer` as `deliveryWarehouses`. I also did not heavily penalize Model 1 for lacking a specific `paidDate` attribute, as the `paymentStatus` enum sufficiently captures the state, and invoices have dates.
4. Overall judgment: Model 1 is better because it provides a much more robust domain model for handling partial shipments, tracking shipped quantities, and capturing missing/damaged delivery statuses, which are central to the Step 2 and Step 4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</si>
  <si>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</si>
  <si>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groups order lines directly into shipments via `Shipment "1" o-- "1..*" OrderLine : groups`, but lacks a way to track partially shipped quantities for a single order line without duplicating the line, resulting in lower cohesion for the shipment concept. Model 2 introduces a `ShipmentLine` class to bridge `Shipment` and `OrderLine`, tracking `shippedQuantity` separately, which cleanly decouples the shipment process from the order line definition and handles partial line shipments efficiently.
2. Complexity: Model 1 = 3, Model 2 = 5; Evidence: Model 1 fails to capture key domain constraints from later steps, such as missing the `shippedQuantity` attribute on `OrderLine` (Step 2), missing payment timing choices on `Order` or `Invoice` (Step 3), and omitting `MISSING`/`DAMAGED` from `ShipmentStatus` (Step 4). Model 2 introduces appropriate complexity to cover these requirements, such as `PaymentTiming` (ON_ORDER, ON_DELIVERY), `ShipmentStatus` including `MISSING` and `DAMAGED`, and `shippedQuantity` attributes on both `OrderLine` and `ShipmentLine`.
3. Practicability: Model 1 = 3, Model 2 = 5; Evidence: Model 1 provides some practical domain methods like `pack()`, `ship()`, `markReceived()`, but its inability to track partial shipments of an order line makes it impractical for the Step 2 and Step 4 requirements. Model 2 supports robust tracking by allowing `OrderLine` to have `orderedQuantity` and `shippedQuantity`, and by tracking `ShipmentLine` statuses. Model 2 also models the customer's delivery addresses accurately to Step 3 using `headOffice` and `deliveryWarehouses` associations, whereas Model 1 uses a `Warehouse` class linked to `Order` directly, which is less aligned with the "addresses where the orders are delivered" requirement.
Total: Model 1 = 9, Model 2 = 14
Choice: B
Reason:
1. Cohesion and Decoupling: Model 2 is better due to the introduction of the `ShipmentLine` class, which cleanly handles the grouping and partial shipment of order lines as required in Step 4. Model 1's direct association between `Shipment` and `OrderLine` lacks the necessary data to track partial quantities without duplicating order lines.
2. Complexity: Model 2 excels by introducing exactly the right level of complexity needed for the evolving requirements, such as adding `PaymentTiming`, `MISSING`/`DAMAGED` shipment statuses, and `shippedQuantity` attributes. Model 1 misses several of these critical domain constraints and statuses.
3. Rejected or checked issues: Model 1's inclusion of methods (e.g., `adjustStock`) and a `Warehouse` class was checked as a potential advantage for practicability. However, the `Warehouse` class is less accurate to Step 3's text ("addresses where the orders are delivered") than Model 2's direct use of delivery addresses, and the missing domain statuses severely impact Model 1's practicality.
4. Overall judgment: Model 2 is significantly better because it accurately and comprehensively incorporates the changing requirements across all four steps, particularly the tracking of partial shipments and delivery statuses, whereas Model 1 omits several critical constraints and attributes introduced in later steps.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</si>
  <si>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</si>
  <si>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introduces a `ShipmentLine` class with a `shippedQuantity` attribute, achieving high cohesion by separating the concept of what is ordered (`OrderLine`) from what is shipped in a specific batch (`ShipmentLine`). Model 2 links `Shipment` directly to `OrderLine` (`Shipment o-- 1..* OrderLine : groups`), conflating the order line with the shipment contents and lacking a dedicated class to handle partial quantities.
2. Complexity: Model 1 = 5, Model 2 = 4; Evidence: Model 1 includes 8 classes and 3 enums, using `ShipmentLine` to accurately handle the complexity of partial line-by-line deliveries required in Step 4. Model 2 includes 8 classes and 2 enums, introducing a `Warehouse` class (which is a reasonable domain refinement) but fails to model partial delivery quantities, resulting in an overly simplistic and incomplete representation of the shipment workflow.
3. Practicability: Model 1 = 5, Model 2 = 3; Evidence: Model 1's `ShipmentStatus` enum includes `PACKED`, `SHIPPED`, `RECEIVED`, `MISSING`, and `DAMAGED`, directly addressing the Step 4 requirement to track missing or damaged deliveries. It also includes `PaymentTiming` and `shippedQuantity` to handle payment options and partial shipments. Model 2's `ShipmentStatus` only has `PACKED`, `SHIPPED`, and `RECEIVED`, completely missing the tracking for missing or damaged deliveries. Furthermore, without a `ShipmentLine` class or a shipped quantity attribute, Model 2 cannot record partial quantities shipped in a single delivery, making it impractical for the stated business needs.
Total: Model 1 = 15, Model 2 = 11
Choice: A
Reason:
1. Cohesion and Decoupling: Model 1's use of `ShipmentLine` provides a highly cohesive mechanism for tracking exactly what and how much is shipped in a particular delivery, keeping `OrderLine` focused on the customer's request. Model 2's direct aggregation of `OrderLine` into `Shipment` couples the two concepts without a way to represent partial fulfillment of a single order line.
2. Complexity: Model 1 balances complexity well by adding the necessary `ShipmentLine` class to solve the specific problem of partial shipments without over-engineering. Model 2 attempts to simplify by omitting this class but fails the domain requirement in doing so.
3. Rejected or checked issues: Model 1 uses `Order "1" -- "0..1" Invoice`, which might imply an order could have no invoice, whereas Step 3 implies invoices are always sent. This is a minor imperfection but does not outweigh the significant omissions in Model 2. Model 2's use of `Warehouse` instead of directly linking `Order` to `Address` is a valid and clean modeling choice, but its strengths are nullified by the missing domain constraints.
4. Overall judgment: Model 1 is significantly better because it accurately implements all domain constraints, particularly the tracking of partial shipment quantities via `ShipmentLine` and the inclusion of `MISSING` and `DAMAGED` delivery statuses, which are critical requirements in Step 4 that Model 2 completely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</si>
  <si>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</si>
  <si>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Domain Requirements (Classes and Relationships): Model 1 = 4, Model 2 = 4; Evidence: Both models cover the main conceptual classes (Customer, Product, Order, OrderLine, Invoice, Shipment/Delivery). Model 1 introduces an `Address` class to handle the head office and warehouse locations, which is a clean approach. Model 2 uses a `DeliveryAddress` class to serve both purposes. Model 2 also introduces a `Company` class which is not strictly required by the text but acts as a system entry point. Both models correctly associate `Order` with `1..*` `OrderLine` and `OrderLine` with `Product`.
2. Handling of Changing Requirements (Steps 2-4): Model 1 = 3, Model 2 = 5; Evidence: Step 4 requires tracking the status of deliveries, explicitly mentioning missing or damaged deliveries, and tracking a shipment as it is packed, shipped, and received. Model 1 only includes `ShipmentStatus` with `PACKED`, `SHIPPED`, `RECEIVED`, completely missing the `DAMAGED` and `MISSING` states. Model 2 explicitly models `DeliveryStatus` with `PACKED`, `SHIPPED`, `RECEIVED`, `DAMAGED`, `MISSING`, fully capturing the Step 4 requirement.
3. Cardinalities and Associations: Model 1 = 4, Model 2 = 3; Evidence: Model 1 models the Step 4 grouping clearly with `Shipment "1" o-- "1..*" OrderLine : groups &gt;`, which accurately reflects "each group of order lines shipped together". Model 2 uses `Shipment "1" --&gt; "*" OrderLine : ships` and `Delivery "*" --&gt; "*" OrderLine : deliversTo`. This creates a redundant and overly loose many-to-many relationship between `Delivery` and `OrderLine`, which is less precise than Model 1's composition of order lines into shipments.
4. Constraints and Attributes: Model 1 = 4, Model 2 = 4; Evidence: Both models capture essential attributes like VAT numbers, stock levels, and invoice dates. Model 2 includes `paymentMethod` (`DIRECT` or `POST_DELIVERY`) which accurately reflects Step 3's requirement that customers can pay directly or after delivery. Model 1 records `paidDate` on both `Order` and `Invoice` but lacks the explicit method of payment. Neither model explicitly captures the "paid in full" constraint (usually done via OCL), but both have the necessary attributes to record payment states.
Total: Model 1 = 15, Model 2 = 16
Choice: B
Reason:
1. Alignment with Domain Requirements: Both models present a solid structural foundation. Model 1's use of a generic `Address` class is arguably more extensible than Model 2's `DeliveryAddress`, but both fulfill the Step 3 requirement of separating head office and delivery/warehouse addresses.
2. Handling of Changing Requirements: Model 2 is clearly superior here. Step 4 explicitly states that some deliveries are missing or damaged and asks to track the status of each delivery. Model 2 includes a `DeliveryStatus` enum with `DAMAGED` and `MISSING` values, directly fulfilling this requirement. Model 1 fails to include these states in its `ShipmentStatus`, which is a critical omission for Step 4.
3. Cardinalities and Associations: Model 1 has better structural integrity regarding how order lines are grouped for shipment. It uses a composition (`Shipment "1" o-- "1..*" OrderLine : groups &gt;`), perfectly matching the "group of order lines shipped together" requirement of Step 4. Model 2 has both `Shipment` and `Delivery` classes linked to `OrderLine`, making the domain mapping confusing and resulting in a loose many-to-many association between `Delivery` and `OrderLine`.
4. Rejected or checked issues: Model 2's introduction of a `Company` class was considered a potential hallucination, but as it simply serves as an aggregation root for customers and products, it is not penalized. Model 1's lack of a `PaymentMethod` attribute was considered, but it is not as severe an omission as missing the missing/damaged delivery states required in Step 4.
5. Overall judgment: Although Model 1 has a cleaner and more precise structure for grouping order lines into shipments, it fundamentally misses the missing/damaged delivery statuses introduced in Step 4. Model 2, despite having slightly redundant classes and looser associations for shipments and deliveries, accurately captures the critical business rules and statuses requested in the final step of the requirement. Therefore, Model 2 is the better choice due to its superior domain coverage of the changing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</si>
  <si>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</si>
  <si>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functionalities: Model 1 = 3, Model 2 = 3; Evidence: Model 1 captures Step 4's missing/damaged statuses with `DeliveryStatus { DAMAGED, MISSING }` and Step 3's payment options with `PaymentMethod { DIRECT, POST_DELIVERY }`. However, it conflates the head office address and warehouse addresses into a single `DeliveryAddress` class, which muddies Step 3. Model 2 accurately distinguishes head office and delivery addresses using `Warehouse` and `Address` classes, and handles Step 4's shipment groups cleanly, but it completely misses the "missing or damaged" status requirement from Step 4 and lacks a mechanism for the "pay directly or after delivery" requirement from Step 3.
2. Conceptual classes and relationships: Model 1 = 3, Model 2 = 4; Evidence: Model 1 introduces a confusing split between `Shipment` and `Delivery` classes, and uses `DeliveryAddress` for both head office and warehouses. Model 2 accurately models Step 3 by introducing a `Warehouse` class linked to `Customer` and `Address`, which is conceptually clearer. Model 2 also models `Shipment` as an aggregation of `OrderLine` groups, accurately reflecting Step 4.
3. Associations, cardinalities, and types: Model 1 = 2, Model 2 = 4; Evidence: Model 1's relationships between `Delivery`, `Shipment`, and `OrderLine` are semantically weak or incorrect; e.g., `Delivery "*" --&gt; "*" OrderLine : deliversTo` implies an order line can be delivered multiple times, which contradicts the business logic of shipping a line once it's available. Model 1's `Shipment "1" --&gt; "*" Delivery` is also questionable. Model 2 uses appropriate composition and aggregation: `Order "1" *-- "0..*" Shipment : ships` and `Shipment "1" o-- "1..*" OrderLine : groups &gt;`, which perfectly align with the requirement to track groups of order lines shipped together.
Total: Model 1 = 8, Model 2 = 11
Choice: B
Reason:
1. Requirement alignment &amp; functionalities: Model 1 and Model 2 both have gaps in fully capturing the 4 steps. Model 1 covers more explicit requirements (like missing/damaged and payment options) but introduces structural confusion. Model 2 misses some explicit details but adheres better to the core domain modeling of Step 3 and 4.
2. Conceptual classes and relationships: Model 2 is significantly better at representing the conceptual classes. Using `Warehouse` and `Address` separately is a much cleaner translation of Step 3 than Model 1's overloaded `DeliveryAddress`. Model 2's `Shipment` class also better encapsulates the Step 4 requirement of shipping groups of order lines.
3. Rejected or checked issues: I did not penalize Model 1 for using primitive types like `int` and `String`, nor for its use of unidirectional associations with comments like `'opposite company`, as these are explicitly permitted. I also did not reward Model 2's extra identifiers (like `customerId`, `orderId`) since they are implementation details not strictly required by the prompt.
4. Overall judgment: Model 2 is the better model. While it misses the "missing/damaged" status and payment method options, its structural integrity and accurate cardinalities for shipments, order lines, and addresses are much stronger and more domain-faithful than Model 1's confusing relationships and class conflations.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</si>
  <si>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</si>
  <si>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correctly identifies "Warehouse" explicitly, matching the requirement that supermarkets have several warehouses, along with Customer, Product, Order, OrderLine, Shipment, and Invoice. Model 2 replaces "Warehouse" with "DeliveryAddress" (which is also used for the head office, which is semantically vague), and introduces both "Shipment" and "Delivery" classes which redundantly overlap.
2. Associations/Multiplicities between classes for domain reasoning: Model 1 = 5, Model 2 = 2; Evidence: Model 1 accurately models the relationships, such as `Customer "1" *-- "0..*" Warehouse` and `Shipment "1" o-- "1..*" OrderLine : groups`, reflecting the "group of order lines shipped together" requirement. Model 2 has confusing associations: both `Shipment "1" --&gt; "*" OrderLine : ships` and `Delivery "*" --&gt; "*" OrderLine : deliversTo` exist, which contradicts the requirement's grouping logic. 
3. Model attributes with appropriate data types: Model 1 = 5, Model 2 = 4; Evidence: Model 1 correctly models dates like `paidDate : Date` and `receivedDate : Date` to track when orders are paid and shipments are received. Model 2 uses enums for statuses (PaymentStatus, ShippingStatus) but misses the dates for when these events occur, losing traceability for accounts.
4. Consistencies of Terminology with given context: Model 1 = 5, Model 2 = 3; Evidence: Model 1 uses "Warehouse", "Shipment", and "OrderLine" exactly as described in the steps. Model 2 avoids the term "Warehouse" by overloading "DeliveryAddress", and splits "Shipment" and "Delivery" despite the text using "shipment" as the primary tracking entity.
5. Adherence of UML class diagram standards: Model 1 = 5, Model 2 = 5; Evidence: Both models correctly use PlantUML class diagram syntax, appropriate visibility markers, and correctly formatted associations and enumerations.
Total: Model 1 = 25, Model 2 = 17
Choice: A
Reason:
1. Appropriate conceptual classes: Model 1 includes a dedicated Warehouse class which properly captures the requirement's mention of "several warehouses". Model 2 abstracts this away into DeliveryAddress, missing the specific domain concept.
2. Associations/Multiplicities: Model 1 cleanly models the Step 4 grouping requirement with `Shipment "1" o-- "1..*" OrderLine : groups`. Model 2 tangles this relationship by splitting it across Shipment and Delivery, making the data model confusing and incorrect for the stated business logic.
3. Rejected or checked issues: Model 2's use of double for totalAmount is acceptable. Model 1's lack of a PaymentStatus enum is acceptable since it explicitly tracks paidDate. Model 2's 'opposite comments are ignored as per evaluation rules.
4. Overall judgment: Model 1 is much better aligned with the domain because it accurately captures the evolving requirements—such as warehouse tracking, grouped shipments, and explicit status/date tracking—using clear and semantically correct associations. Model 2 introduces unnecessary or incorrect classes (Company, Delivery) and misses key domain concepts (Warehouse, event dates).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</si>
  <si>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</si>
  <si>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`Company`, `DeliveryAddress`, `Shipment`, and `Delivery`, splitting delivery concepts awkwardly and not directly representing the "several warehouses" mentioned in Step 3. Model 2 uses `Warehouse` to accurately capture the supermarkets' warehouses and merges shipment and delivery concepts into `Shipment` which correctly groups order lines as per Step 4.
2. Associations/Multiplicities between classes for domain reasoning: Model 1 = 3, Model 2 = 4; Evidence: Model 1 has a tangled relationship between `Shipment`, `Delivery`, and `OrderLine` (e.g., `Shipment "1" --&gt; "*" OrderLine : ships` and `Delivery "*" --&gt; "*" OrderLine : deliversTo`), making domain reasoning confusing. Model 2 has clearer mappings: `Shipment "1" o-- "1..*" OrderLine : groups` directly represents the grouping of order lines for shipment.
3. Model attributes with appropriate data types: Model 1 = 3, Model 2 = 4; Evidence: Model 1 models `DeliveryAddress` with a single `address: String` and lacks explicit `paidDate` attributes for orders, relying instead on a `PaymentStatus` enum. Model 2 uses a detailed `Address` class with `street`, `city`, `postalCode`, `country` and correctly models `paidDate` in both `Order` and `Invoice`.
4. Consistencies of Terminology with given context: Model 1 = 3, Model 2 = 4; Evidence: Model 1 uses `DeliveryAddress` to represent both "head office address" and "warehouses", which is a slight stretch in terminology. Model 2 uses exact terms like `Warehouse` for warehouses, `Invoice` for invoices, and `Shipment` for group shipments, aligning perfectly with the requirement text.
5. Adherence of UML class diagram standards: Model 1 = 4, Model 2 = 5; Evidence: Both models use correct PlantUML syntax. Model 2 makes slightly better use of standard UML composition (`*--`) and aggregation (`o--`) to represent whole-part relationships (e.g., `Customer *-- Warehouse`, `Shipment o-- OrderLine`).
Total: Model 1 = 16, Model 2 = 21
Choice: B
Reason:
1. Appropriate conceptual classes aligned with the domain: Model 2 accurately captures the concept of "several warehouses" by introducing a `Warehouse` class, whereas Model 1 clumsily reuses `DeliveryAddress` for both head offices and warehouses. Model 2 also simplifies the Shipment/Delivery concept into a single cohesive `Shipment` class that groups order lines.
2. Associations/Multiplicities between classes for domain reasoning: Model 2 clearly maps the relationships, such as `Order "1" *-- "0..*" Shipment : ships` and `Shipment "1" o-- "1..*" OrderLine : groups`, directly reflecting the Step 4 requirement of grouping order lines. Model 1 has conflicting associations where both `Shipment` and `Delivery` map to `OrderLine`.
3. Rejected or checked issues: Model 1 includes a `DeliveryStatus` enum with `DAMAGED` and `MISSING` which addresses the Step 4 requirement for tracking missing/damaged deliveries, whereas Model 2 omits these specific statuses. However, Model 2's overall structural coherence outweighs this specific omission.
4. Overall judgment: Model 2 provides a much more structured, readable, and semantically accurate UML representation of the requirements. The distinction between Warehouse and Address, the detailed modeling of attributes, and the clear associations make Model 2 the superior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</si>
  <si>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</si>
  <si>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demonstrates high cohesion and low coupling by using a single `Shipment` class to handle the grouped order lines and tracking statuses, cleanly separating domain concepts. Model 2 splits the delivery concept into both `Shipment` and `Delivery` classes, both of which track statuses (`ShipmentStatus` and `DeliveryStatus`) and relate to `OrderLine` (`Shipment --&gt; OrderLine`, `Delivery --&gt; OrderLine`). This severely fragments the shipping/delivery logic and increases coupling. Model 2 also introduces an unnecessary `Company` class that adds coupling without requirement justification.
2. Complexity: Model 1 = 4, Model 2 = 3; Evidence: Model 1 maintains an appropriate complexity level with 8 conceptual classes and 2 enums, though it slightly under-models the Step 4 missing/damaged statuses. Model 2 overcomplicates the design with 9 conceptual classes and 5 enums, particularly by creating parallel status tracking for `Shipment` and `Delivery` and adding a `PaymentStatus` alongside `PaymentMethod`.
3. Practicability: Model 1 = 4, Model 2 = 3; Evidence: Model 1 provides a clear, readable structure that is easy to implement and test, but it misses the explicit "missing" and "damaged" delivery statuses and the payment method choice requested in Steps 3 and 4. Model 2 does explicitly model `DeliveryStatus` (with `DAMAGED`, `MISSING`) and `PaymentMethod` (with `DIRECT`, `POST_DELIVERY`), covering these requirements. However, the distinction between `Shipment` and `Delivery` in Model 2 is impractical and confusing for developers, as the requirement uses the terms interchangeably, making the design less maintainable.
Total: Model 1 = 13, Model 2 = 9
Choice: A
Reason:
1. Cohesion and Decoupling: Model 1 is much more cohesive and decoupled. It assigns the responsibility of grouping and tracking order lines to a single `Shipment` class. Model 2 separates this into `Shipment` and `Delivery`, both with statuses and associations to `OrderLine`, creating unnecessary coupling and low cohesion.
2. Complexity: Model 1 has a balanced complexity that is readable and sufficient for the domain, despite missing a couple of status enums. Model 2 introduces redundant classes (`Company`, `Delivery` alongside `Shipment`) and redundant enums, which unnecessarily increases complexity.
3. Rejected or checked issues: Model 2's explicit modeling of `DeliveryStatus` with `DAMAGED` and `MISSING`, and `PaymentMethod` with `DIRECT` and `POST_DELIVERY`, was considered as a positive for domain coverage. However, the convoluted architecture used to achieve this outweighs the benefits.
4. Overall judgment: Model 1 is the better choice. While it misses explicit modeling of "missing/damaged" statuses and payment methods, its overall architecture is significantly cleaner, more practical, and easier to maintain. Model 2's design is overcomplicated and impractical due to the confusing separation of `Shipment` and `Delivery` concepts that the requirement treats as a single entity.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</si>
  <si>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</si>
  <si>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conflates addresses by using `DeliveryAddress` for both head offices and warehouses (`Customer "1" --&gt; "1" DeliveryAddress : headOfficeAddress` and `Customer "1" --&gt; "*" DeliveryAddress : hasWarehouses`), resulting in low cohesion. It also exhibits high coupling and confusing semantics between `Shipment` and `Delivery`, both of which are associated with `OrderLine` (`Shipment "1" --&gt; "*" OrderLine` and `Delivery "*" --&gt; "*" OrderLine`). Model 2 cleanly decouples these concepts by introducing a dedicated `Address` class and a `Warehouse` class (`Customer "1" *-- "0..* Warehouse : operates`), achieving high cohesion and low coupling.
2. Complexity: Model 1 = 2, Model 2 = 4; Evidence: Model 1 introduces unnecessary complexity by having both `Shipment` and `Delivery` classes that track overlapping information and link to order lines. The inclusion of a `Company` class is also out of scope for the specific information system requirements. Model 2 maintains a well-balanced complexity by using a single `Shipment` class to group order lines (`Shipment "1" o-- "1..* OrderLine : groups`), aligning perfectly with the requirement without redundant intermediate classes.
3. Practicability: Model 1 = 2, Model 2 = 4; Evidence: Model 2's structure is highly practical and readable. Using `Address` as a separate class and binding it to both `Customer` and `Warehouse` makes the distinction between head office and delivery addresses clear. The `Shipment` class directly encapsulates the packed, shipped, and received tracking with its `status` and dates (`shipmentDate`, `receivedDate`). Model 1's use of the same class for different address types without clear constraints makes it less practical, and the overlapping tracking classes complicate implementation and testing.
Total: Model 1 = 6, Model 2 = 12
Choice: B
Reason:
1. Cohesion and Decoupling: Model 2 is superior because it properly separates concepts like `Address` and `Warehouse`, whereas Model 1 mixes them into a single `DeliveryAddress` class with conflicting roles. Model 2 also avoids the confusing coupling between `Shipment` and `Delivery` present in Model 1.
2. Complexity: Model 2 aligns complexity with the requirements by using a single `Shipment` class to group order lines, avoiding the redundant tracking entities in Model 1. Model 2 drops the unnecessary `Company` class, keeping the model focused on the essential business logic.
3. Rejected or checked issues: Model 2 lacks `DAMAGED` and `MISSING` enums in its `ShipmentStatus` which Model 1 includes, but this minor omission is outweighed by Model 2's vastly superior structural design. Model 1's inclusion of these enums does not justify its tangled class relationships.
4. Overall judgment: Model 2 provides a cleaner, more modular, and more practical design that directly addresses the evolving requirements, particularly the handling of multiple addresses and grouping order lines for shipments. Model 1 suffers from high coupling, conceptual overlap, and low cohesion,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</si>
  <si>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</si>
  <si>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Completeness: Model 1 = 5, Model 2 = 3; Evidence: Model 1 models the grouping of order lines shipped together using a `Shipment` and `ShipmentLine` class, where `ShipmentLine` connects to `OrderLine` and records `shippedQuantity`. It also tracks delivery status (packed, shipped, received, missing, damaged) directly on the `Shipment` class, matching the requirement. Model 2 links `Shipment` directly to `OrderLine` but lacks any `shippedQuantity` attribute on `OrderLine` or a shipment line class, making it impossible to track partial fulfillment of a single order line. Model 2 also redundantly splits the delivery concept into both `Shipment` and `Delivery` classes, which creates unnecessary confusion and overlaps in semantics (e.g., both link to `OrderLine`).
2. Conceptual Classes &amp; Relationships: Model 1 = 5, Model 2 = 4; Evidence: Model 1 correctly defines the relationships for `Customer` having a head office `Address` (1 to 1) and multiple delivery warehouse `Address`es (1 to 0..*), and `Order` being delivered to one `Address` (1 to 1). It also has `Order "1" -- "1..*" OrderLine` correctly enforcing one or more lines per order. Model 2 represents similar address concepts using a `DeliveryAddress` class, which is functionally equivalent. However, Model 2 introduces a `Company` class that is not strictly required by the domain but is harmless.
3. Attributes, FSMs, and Constraints: Model 1 = 5, Model 2 = 4; Evidence: Model 1 captures `PaymentTiming` and `PaymentStatus` on the `Order`, and includes `Invoice` with `invoiceDate`, `totalAmount`, and `isPaid`. Model 2 similarly captures `PaymentStatus` and `PaymentMethod` but does not have an attribute to explicitly record when the order was paid for (neither model provides a payment date, but Model 1's `isPaid` boolean and `PaymentStatus` enum provide a clear state). Both models capture stock level via `currentStock`.
Total: Model 1 = 15, Model 2 = 11
Choice: A
Reason:
1. Requirement Alignment &amp; Completeness: Model 1 accurately handles the requirement in Step 4 to do shipments for "each group of order lines that are shipped together" by introducing a `ShipmentLine` class that references `OrderLine` and records `shippedQuantity`. Model 2 fails to model a way to track partial shipments of a specific order line quantity. Model 2 also introduces redundant concepts like `Delivery` alongside `Shipment`, which muddles the domain logic.
2. Conceptual Classes &amp; Relationships: Model 1 cleanly links the required components like `Shipment` directly to the order line groupings without over-engineering. Model 2's structural choices (like `Delivery "*" --&gt; "*" OrderLine` and `Shipment "1" --&gt; "*" OrderLine`) are semantically overlapping and confusing.
3. Rejected or checked issues: Neither model includes a `paymentDate` attribute despite the requirement mentioning "record when orders are paid for", which is a minor omission in both. Model 2's `Company` class is an addition not explicitly required, but it is ignored as a minor harmlessness.
4. Overall judgment: Model 1 is significantly better because it provides a more accurate and semantically clear structure for partial deliveries and grouping of order lines as required by the iterative steps, while Model 2 misses critical attributes for tracking partially shipped quantities and redundantly models shipment/delivery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</si>
  <si>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</si>
  <si>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(Classes &amp; Attributes): Model 1 = 4, Model 2 = 5; Evidence: Both models include Customer, Order, OrderLine, Product, Invoice, and Address/DeliveryAddress. Model 1 includes a Company class, which is a nice touch but not strictly required. Model 2 introduces `shippedQuantity` in both `OrderLine` and `ShipmentLine`, which helps track partially shipped orders and fully shipped order lines accurately. Model 1 only has `quantityOrdered`.
2. Handling of Iterative Changes (STEP 4 - Group of Order Lines): Model 1 = 2, Model 2 = 5; Evidence: STEP 4 explicitly changes tracking from line-by-line to "each group of order lines that are shipped together." Model 1 fails this by directly linking `Shipment "1" --&gt; "*" OrderLine`, representing line-by-line tracking. Model 2 correctly introduces `ShipmentLine` to map a `Shipment` (the group) to multiple `OrderLine`s (`Shipment "1" -- "1..*" ShipmentLine` and `ShipmentLine "0..*" -- "1" OrderLine`), fulfilling the group requirement perfectly.
3. Relationships and Multiplicities: Model 1 = 3, Model 2 = 4; Evidence: Both models correctly model the Customer's head office address and delivery addresses, as well as the Order to Address relationship. However, Model 1 overcomplicates the delivery status by separating `Shipment` and `Delivery` classes, while the requirement text uses them synonymously. Model 2 uses a single `Shipment` class with a `ShipmentStatus` enum containing `PACKED, SHIPPED, RECEIVED, MISSING, DAMAGED`, matching the text accurately.
4. Invoicing and Payment Options (STEP 3): Model 1 = 4, Model 2 = 5; Evidence: Model 1 includes `paymentMethod` and `paymentStatus` enums, while Model 2 uses `PaymentTiming` (ON_ORDER, ON_DELIVERY) and `PaymentStatus` (UNPAID, PAID), aligning precisely with the text "pay the invoice directly when they place the order, or after the order has been delivered."
Total: Model 1 = 13, Model 2 = 19
Choice: B
Reason:
1. Requirement Alignment: Model 2 includes better attributes for tracking partial shipments (`shippedQuantity`), whereas Model 1 relies only on `quantityOrdered` and lacks explicit tracking attributes for shipped quantities.
2. Handling of Iterative Changes: The critical differentiator is the STEP 4 requirement to ship "for each group of order lines that are shipped together." Model 1 misses this entirely and models `Shipment --&gt; OrderLine` directly (line-by-line). Model 2 introduces `ShipmentLine` to correctly aggregate order lines into a shipment group.
3. Rejected or checked issues: Model 1's inclusion of a `Company` class was not penalized as it is a reasonable domain addition, but it does not make up for the failure to model the Step 4 shipment groups. Model 2's lack of a `Company` class is not penalized as it is not strictly required by the prompt.
4. Overall judgment: Model 2 is significantly better because it correctly incorporates the iterative changes from STEP 4 (grouping order lines into a shipment) and represents the delivery/shipment status faithfully with a single `Shipment` class, while Model 1 fails the key Step 4 evolution constraint.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</si>
  <si>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</si>
  <si>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includes `Shipment` and `ShipmentLine` which accurately captures the requirement in Step 4 to "do this for each group of order lines that are shipped together." Model 2 misses a concept equivalent to `ShipmentLine`, instead linking `Shipment` directly to `OrderLine`, and confusingly introduces both `Shipment` and `Delivery` classes which represent overlapping domain concepts.
2. Associations/Multiplicities between classes for domain reasoning: Model 1 = 5, Model 2 = 2; Evidence: Model 1 correctly models `Shipment "1" -- "1..*" ShipmentLine : contains` and `ShipmentLine "0..*" -- "1" OrderLine : refersTo`, allowing an order line to be partially shipped across multiple groups. Model 2 models `Shipment "1" --&gt; "*" OrderLine : ships` which restricts partial shipping of a single order line's quantity. Furthermore, Model 2 includes a bizarre association `Shipment "1" --&gt; "*" Delivery : trackedAs`, splitting a single domain concept into two confusing entity relationships.
3. Model attributes with appropriate data types: Model 1 = 5, Model 2 = 3; Evidence: Model 1 includes `shippedQuantity: Integer` in `OrderLine` (Step 2 requirement) and `shippedQuantity: Integer` in `ShipmentLine` (Step 4 requirement), along with a comprehensive `ShipmentStatus` enum (PACKED, SHIPPED, RECEIVED, MISSING, DAMAGED). Model 2 omits `shippedQuantity` in `OrderLine` entirely, failing the Step 2 requirement to "record which order lines have been shipped and which are still on the to-be-shipped list." It also uses redundant status enums (`ShipmentStatus`, `ShippingStatus`, `DeliveryStatus`).
4. Consistencies of Terminology with given context: Model 1 = 5, Model 2 = 3; Evidence: Model 1 uses precise and consistent terminology derived directly from the text, such as `Address`, `Shipment`, and `OrderLine`. Model 2 uses confusing terminology by introducing `Delivery` alongside `Shipment`, even though the text uses "shipment" and "delivery" interchangeably to refer to the same tracking event ("track a shipment as it is packed, shipped and received"). 
5. Adherence of UML class diagram standards: Model 1 = 5, Model 2 = 5; Evidence: Both models use proper PlantUML syntax, valid class and enum definitions, correct association syntax with multiplicities, and role labels. Any minor deviations (like `int` or single-quote comments in Model 2) are standard or explicitly allowed.
Total: Model 1 = 25, Model 2 = 16
Choice: A
Reason:
1. Appropriate conceptual classes aligned with the domain: Model 1 is better because it correctly introduces `ShipmentLine` to group order lines for a shipment (Step 4), whereas Model 2 directly links `Shipment` to `OrderLine` and confuses the domain by having both `Shipment` and `Delivery`.
2. Associations/Multiplicities between classes for domain reasoning: Model 1 correctly models the ability to partially ship an order line using `ShipmentLine` containing `shippedQuantity` linked to an `OrderLine`. Model 2 misses this crucial link, making partial shipments impossible to model without splitting the order line itself, and introduces a logically flawed `Shipment` to `Delivery` association.
3. Rejected or checked issues: I ignored Model 2's use of `int` and `double` primitive types, as well as its use of `'opposite` comments, as these are standard aliases or explicitly excluded from penalties. 
4. Overall judgment: Model 1 comprehensively addresses the evolving requirements across all steps, correctly adding `shippedQuantity` and `ShipmentLine` to handle partial shipments and grouping. Model 2 fails to adequately track partial shipments at the order line level and introduces contradictory domain entities, making Model 1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</si>
  <si>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</si>
  <si>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introduces a confusing redundancy between `Shipment` and `Delivery` classes, and completely misses the `ShipmentLine` class required by Step 4 ("group of order lines that are shipped together"). Model 2 correctly identifies all key classes including `ShipmentLine`, `Address`, `Customer`, `Product`, `Order`, `OrderLine`, `Invoice`, and `Shipment`.
2. Associations/Multiplicities between classes for domain reasoning: Model 1 = 2, Model 2 = 5; Evidence: Model 1 uses `Shipment "1" --&gt; "*" OrderLine` and `Delivery "*" --&gt; "*" OrderLine`, which bypasses the necessary tracking of quantities per shipment group and creates conflicting relationships. Model 2 correctly models `Shipment "1" -- "1..*" ShipmentLine` and `ShipmentLine "0..*" -- "1" OrderLine`, accurately reflecting the requirement to group order lines and allowing partial shipments to be tracked.
3. Model attributes with appropriate data types: Model 1 = 3, Model 2 = 5; Evidence: Model 1 lacks `shippedQuantity` to track partial fulfillment, and has redundant status attributes split between `Shipment` and `Delivery`. Model 2 includes `orderedQuantity` and `shippedQuantity` in `OrderLine`, `shippedQuantity` in `ShipmentLine`, and appropriately defines statuses like `MISSING` and `DAMAGED` in the `ShipmentStatus` enum.
4. Consistencies of Terminology with given context: Model 1 = 3, Model 2 = 5; Evidence: Model 1's use of `Delivery` alongside `Shipment` is inconsistent and confusing given the requirement's focus on shipments and grouping order lines. Model 2 uses consistent and accurate terminology matching the requirement steps (e.g., `ShipmentLine`, `PaymentTiming`, `Address`).
5. Adherence of UML class diagram standards: Model 1 = 4, Model 2 = 5; Evidence: Both models use valid PlantUML syntax. Model 1's structure is slightly harder to interpret due to the overlapping relationships, but syntax is correct. Model 2 presents a clean and standard UML class diagram structure.
Total: Model 1 = 15, Model 2 = 25
Choice: B
Reason:
1. Appropriate conceptual classes aligned with the domain: Model 2 correctly introduces the `ShipmentLine` class to handle the Step 4 requirement of grouping order lines, whereas Model 1 misses this entirely and uses confusing overlapping concepts like `Delivery` and `Shipment`.
2. Associations/Multiplicities between classes for domain reasoning: Model 2 accurately links `Shipment`, `ShipmentLine`, and `OrderLine` with proper multiplicities (`1` to `1..*` and `0..*` to `1`), enabling partial shipment tracking. Model 1's direct links from `Shipment` and `Delivery` to `OrderLine` are incorrect for the domain requirements.
3. Rejected or checked issues: I did not penalize Model 1 for having a `Company` class, as it represents the system user, but its redundancy in the domain logic doesn't add value. Model 2's `Address` multiplicity for `deliveryWarehouses` (0..*) correctly handles the optional warehouses mentioned in Step 3.
4. Overall judgment: Model 2 is significantly better as it fully aligns with the iterative domain requirements, particularly by capturing the grouping of order lines in shipments via `ShipmentLine` and tracking shipment statuses accurately, which Model 1 fails to implement properly.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</si>
  <si>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</si>
  <si>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uses a `ShipmentLine` to link `Shipment` to `OrderLine`, providing high cohesion for the shipment group concept and keeping coupling low. Model 2 introduces a `Delivery` class between `Shipment` and `OrderLine`, but both `Shipment` and `Delivery` have overlapping status enums (`ShipmentStatus` and `DeliveryStatus` both have PACKED, SHIPPED, RECEIVED), leading to poor cohesion and unnecessary coupling. Model 2 also redundantly links `Customer` directly to `Invoice` in addition to linking through `Order`.
2. Complexity: Model 1 = 5, Model 2 = 3; Evidence: Model 1 accurately models the domain with 7 classes and 3 enums, using `ShipmentLine` efficiently to represent "groups of order lines shipped together". Model 2 adds a `Company` class (not strictly required) and a confusing `Delivery` class alongside `Shipment`, increasing complexity with 8 classes and 5 enums without improving domain accuracy. The split between `ShipmentStatus` and `DeliveryStatus` overcomplicates the state tracking requested in Step 4.
3. Practicability: Model 1 = 5, Model 2 = 3; Evidence: Model 1 includes `shippedQuantity` in `OrderLine`, which directly supports tracking partially shipped orders from Step 2, and its `ShipmentStatus` enum includes MISSING and DAMAGED as required in Step 4. Model 2 lacks `shippedQuantity` in `OrderLine`, making it difficult to track line-by-line shipping status. Model 2's separation of `Shipment` and `Delivery` with two different status enums makes it impractical to track "a shipment as it is packed, shipped and received" and the missing/damaged statuses, as it is unclear which entity is being tracked.
Total: Model 1 = 14, Model 2 = 8
Choice: A
Reason:
1. Cohesion and Decoupling: Model 1's use of `ShipmentLine` to connect `Shipment` and `OrderLine` is a highly cohesive and decoupled way to represent a group of order lines. Model 2's overlapping `Delivery` and `Shipment` classes with duplicate status enums muddles the responsibilities and increases unnecessary coupling.
2. Complexity: Model 1 achieves the requirements with fewer classes and a clearer structure. Model 2's `Delivery` class and its accompanying enum add unnecessary complexity that doesn't map cleanly to the requirement text (which asks to track a *shipment* as packed/shipped/received).
3. Rejected or checked issues: Model 2's `Company` class was not penalized strictly for being extra, but it did not add value. The use of primitive types (`int`, `double`) in Model 2 was ignored as per the forbidden penalties.
4. Overall judgment: Model 1 provides a much more accurate and practical representation of the domain. It tracks shipped quantities per line, models groups of shipped lines correctly, and keeps the shipment status tracking unified and aligned with the requirement's "packed, shipped, received, missing, damaged" states.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</si>
  <si>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</si>
  <si>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introduces both `Shipment` and `Delivery` classes, both of which maintain independent associations to `OrderLine` (`Shipment "1" --&gt; "*" OrderLine : ships` and `Delivery "*" --&gt; "*" OrderLine : deliversTo`), creating redundant, highly coupled paths. Model 2 uses a single `Shipment` class that aggregates `ShipmentLine` instances, which in turn refer to `OrderLine`. This isolates the grouping logic cleanly within `ShipmentLine` without duplicating dependencies on `OrderLine`.
2. Complexity: Model 1 = 3, Model 2 = 4; Evidence: Model 1 utilizes 9 classes and 5 enums, including an unnecessary `Delivery` class and a `Company` class not strictly required by the prompt, complicating the domain model. Model 2 uses 8 classes and 3 enums, avoiding redundant entities. The `ShipmentLine` class in Model 2 is a necessary and elegant association class to handle partial quantities, keeping complexity balanced.
3. Practicability: Model 1 = 3, Model 2 = 4; Evidence: Model 1 explicitly models an `Order.shippingStatus` for Step 2's watchlist marking, but fails to accurately track partial quantities of an order line being shipped (it only links whole `OrderLine`s to `Shipment`/`Delivery`, missing a quantity attribute). Model 2 misses an explicit order-level shipping status, but accurately captures partial shipments via `ShipmentLine.shippedQuantity` and `OrderLine.shippedQuantity`, satisfying the core operational needs of Steps 2 and 4. Model 2's handling of missing/damaged states directly on `ShipmentStatus` is also more readable than Model 1's disjointed `Shipment` and `Delivery` statuses.
Total: Model 1 = 9, Model 2 = 13
Choice: B
Reason:
1. Cohesion and Decoupling: Model 2 provides a much more cohesive structure by utilizing a `ShipmentLine` class to connect `Shipment` and `OrderLine`. Model 1 creates a tangled web of associations by having both `Shipment` and `Delivery` link to `OrderLine` in different ways, leading to poor decoupling.
2. Complexity: Model 2 avoids the redundant `Delivery` and `Company` classes found in Model 1. The `ShipmentLine` approach in Model 2 is a standard and elegant way to resolve the many-to-many relationship while carrying the `shippedQuantity` attribute, aligning complexity perfectly with the domain requirements.
3. Rejected or checked issues: I considered penalizing Model 2 for lacking an explicit `ShippingStatus` on the `Order` class (as required by Step 2: "Orders that have been fully shipped will also be marked"). While this is an omission compared to Model 1, Model 1's design fundamentally fails to track partial line item quantities, which is a critical flaw for Steps 2 and 4. Model 2's structural superiority in tracking partial deliveries outweighs the missing derived status attribute.
4. Overall judgment: Model 2 is better because it provides a more practical and structurally sound solution for tracking partial shipments of order line quantities. Model 1's separation of `Shipment` and `Delivery` with overlapping associations to `OrderLine` adds unnecessary complexity without the capability to record partial quantities of an order line being shipped.</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</si>
  <si>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</si>
  <si>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</si>
  <si>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</si>
  <si>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4, Model 2 = 4; Evidence: Both models capture the main actors (HeadCoach, Director, Scout, HeadScout) and core processes (target profiles, long list, scouting assignments, reports, offers). Model 1 introduces a `ScoutingRecord` class to tie the player's progression from long list to offer, effectively tracking the workflow and states. Model 2 explicitly models `ShortListEntry` and connects it to approvals by HeadCoach and HeadScout, but it misses the link between the short list and subsequent scouting assignments ("several other rounds of scouting... for each short-listed player"). Model 1 covers this by nesting assignments within the tracking record.
2. Conceptual classes: Model 1 = 4, Model 2 = 5; Evidence: Both models identify the necessary domain entities. Model 2 models `TargetPosition` and `ProfileAttribute` as distinct classes related to `TargetProfile`, which aligns better with the requirement's phrasing "designated target positions... and other player attributes" compared to Model 1's use of an attribute `targetPositions: List&lt;Position&gt;`.
3. Associations and relationships: Model 1 = 4, Model 2 = 4; Evidence: Both models correctly use inheritance (`Employee &lt;|-- HeadCoach`, etc.) and define appropriate associations (e.g., HeadCoach identifies TargetProfile, Scout submits ScoutingReport). Model 2 explicitly defines the ShortListEntry approvals by both HeadCoach and HeadScout, fulfilling that specific requirement well. Model 1 uses a `ScoutingState` enum and centralizes the state tracking, which is a valid alternative, but lacks the explicit approval association.
4. Clarity in class names and attributes: Model 1 = 4, Model 2 = 4; Evidence: Both models have clear class names and include useful attributes. Model 1 uses a `ScoutingState` enum (LONG_LIST, SHORT_LIST, RECOMMENDED, OFFER_MADE) to represent the progression, while Model 2 uses explicit classes like `ShortListEntry`. Both approaches are valid, though Model 2's explicit classes are more standard for UML domain modeling.
Total: Model 1 = 16, Model 2 = 17
Choice: B
Reason:
1. Requirement alignment: Model 2 explicitly models the Short List and the approval process by both the HeadCoach and HeadScout (`HeadCoach "1" -- "0..*" ShortListEntry : approves &gt;`, `HeadScout "1" -- "0..*" ShortListEntry : approves &gt;`), which directly aligns with the text "the head coach and the head scout decide upon which players to move to the short list." Model 1 omits this explicit relationship, relying instead on a state enum.
2. Conceptual classes: Model 2 better represents the TargetProfile components by using standalone classes like `TargetPosition` and `ProfileAttribute`, which is more semantically accurate to the UML class diagram requirements than Model 1's use of a List type for positions.
3. Rejected or checked issues: Model 2 lacks the connection between `ShortListEntry` and subsequent `ScoutingAssignment` for further scouting rounds. However, Model 1's `ScoutingRecord` is an unrequested abstraction that also loosely ties these concepts together without explicitly modeling the "several other rounds" for short-listed players. Thus, neither perfectly captures this specific workflow detail, making it a wash for this sub-point.
4. Overall judgment: Model 2 is slightly better due to its cleaner domain modeling of `TargetPosition` as a class and its explicit modeling of the Short List approval process, which are direct requirements from the text. Model 1's reliance on a central `ScoutingRecord` with a state enum is a reasonable approach but misses the explicit associations required for the shortlist decision.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</si>
  <si>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</si>
  <si>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No Hallucinations: Model 1 = 5, Model 2 = 4; Evidence: Model 1 explicitly links the roles to their actions, such as `HeadScout "1" -- "0..*" ScoutingAssignment : creates &gt;` and `HeadCoach "1" -- "0..*" ShortListEntry : approves &gt;` alongside `HeadScout "1" -- "0..*" ShortListEntry : approves &gt;`. This accurately reflects the requirement's statements about the head scout setting up assignments and the coach/head scout deciding on the short list. Model 2 abstracts these actions into `HeadCoach --&gt; "*" ScoutingRecord: manages` and `HeadScout --&gt; "*" ScoutingRecord: evaluates`, missing the specific creation of assignments and the short list decision functionality.
2. Conceptual Classes &amp; Relationships: Model 1 = 5, Model 2 = 4; Evidence: Model 1 accurately introduces a `ShortListEntry` class to represent players moved to the short list, directly aligning with the text "move to the short list." Model 2 replaces this with a `ScoutingState` enum within a `ScoutingRecord` class. While `ScoutingRecord` is a valid transparent refinement for tracking state, it causes Model 2 to lose the explicit conceptual class for the short list and the precise relationships between actors and the short list.
3. Associations, Cardinalities, and Types: Model 1 = 5, Model 2 = 4; Evidence: Model 1 uses precise multiplicities and role labels to capture the domain, e.g., `ScoutingAssignment "0..*" -- "1" Scout : assigned to &gt;` and `TargetProfile "1" -- "1..*" TargetPosition : targets &gt;`. Model 2 also provides appropriate multiplicities but misses the explicit association showing who sets up the assignments (instead grouping them under `ScoutingRecord`), which dilutes the semantic accuracy of the associations between actors and tasks.
Total: Model 1 = 15, Model 2 = 12
Choice: A
Reason:
1. Requirement Alignment &amp; No Hallucinations: Model 1 is better because it maintains explicit associations between the actors and their specific actions (e.g., HeadScout creating ScoutingAssignment, HeadCoach and HeadScout approving ShortListEntry). Model 2 generalizes these into a `ScoutingRecord` workflow, which obscures the precise functionalities outlined in the requirement.
2. Conceptual Classes &amp; Relationships: Model 1 accurately models the "short list" as a conceptual class (`ShortListEntry`), making the relationships between the players, profiles, and the decision-makers explicit. Model 2 uses a state enum which is a valid engineering approach but loses the direct conceptual representation of the short list process.
3. Rejected or checked issues: I did not penalize Model 2 for adding the `ScoutingRecord` class as it is a valid transparent refinement (e.g., a workflow/session class). I also did not penalize Model 2 for using an enum for `Position` instead of a class like Model 1. The difference in score is purely based on the loss of explicit actor-to-action semantics in Model 2.
4. Overall judgment: Model 1 is better because it strictly aligns with the requirement's explicit details regarding who does what (setting up assignments, moving to the short list, submitting reports) through clear, direct associations, whereas Model 2 abstracts these crucial interactions away into a generic `ScoutingRecord` management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</si>
  <si>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</si>
  <si>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Both models capture the core domain concepts like `Employee`, `HeadCoach`, `Director`, `Scout`, `HeadScout`, `TargetProfile`, `Player`, `LongListEntry`, `ScoutingAssignment`, `ScoutingReport`, and `Offer`/`ContractOffer`. Model 1 introduces a `ScoutingRecord` class to encapsulate the workflow states, while Model 2 explicitly introduces a `ShortListEntry` class. Both approaches are valid conceptual abstractions of the domain.
2. Associations/Multiplicities between classes for domain reasoning: Model 1 = 3, Model 2 = 4; Evidence: Model 2 explicitly models the domain actions directly between the actors and the concepts, such as `HeadScout "1" -- "0..*" ScoutingAssignment : creates &gt;` and `HeadCoach/HeadScout "1" -- "0..*" ShortListEntry : approves &gt;`. Model 1 misses this direct mapping by routing most actions through the `ScoutingRecord` class (e.g., `HeadScout --&gt; "*" ScoutingRecord: evaluates`), which obscures the fact that the head scout specifically sets up scouting assignments.
3. Model attributes with appropriate data types: Model 1 = 4, Model 2 = 4; Evidence: Both models appropriately define attributes with data types. Model 1 models `TargetProfile` with `targetPositions: List&lt;Position&gt;` and an `Attribute` class, while Model 2 decomposes these into `TargetPosition` and `ProfileAttribute` classes with appropriate attributes (e.g., `code`, `name`, `value`). Both handle `ScoutingReport` attributes like `pros`, `cons`, and `recommendation` correctly.
4. Consistencies of Terminology with given context: Model 1 = 4, Model 2 = 4; Evidence: Both models use terminology consistent with the requirement, such as `TargetProfile`, `LongListEntry`, `ScoutingAssignment`, and `ScoutingReport`. Model 1 uses `Offer` while Model 2 uses `ContractOffer` for the "official offer". Model 1's `ScoutingRecord` is an abstraction not explicitly named in the text but is a reasonable domain addition.
5. Adherence of UML class diagram standards: Model 1 = 4, Model 2 = 4; Evidence: Both models adhere to UML/PlantUML standards, using proper class, enum, inheritance (`&lt;|--`), and association syntax. Model 1 uses two opposite unidirectional associations for `ScoutingAssignment` and `ScoutingReport`, which is semantically equivalent to a bidirectional association and is not penalized.
Total: Model 1 = 19, Model 2 = 20
Choice: B
Reason:
1. Appropriate conceptual classes: Both models successfully identify the necessary domain classes. Model 1's use of `ScoutingRecord` is a valid way to track the lifecycle, while Model 2's explicit `ShortListEntry` is equally valid. They tie on this criterion.
2. Associations/Multiplicities: Model 2 is better here because it correctly associates the `HeadScout` with the creation of `ScoutingAssignment`, matching the requirement "head scout when setting up scouting assignments". Model 1 incorrectly links the `HeadScout` to `ScoutingRecord` rather than the assignments themselves, weakening the domain reasoning for this specific action.
3. Model attributes: Both models perform well. Model 2's choice to break down attributes and positions into distinct classes (`TargetPosition`, `ProfileAttribute`) is a clean OOP design, while Model 1 uses a list inside `TargetProfile`. Both are acceptable.
4. Terminology: Both models maintain good consistency with the provided context. Model 2's `ContractOffer` is a slight deviation from "official offer" but remains accurate to the domain.
5. UML standards: Both models are syntactically correct and readable. Model 1's use of opposite-direction associations is standard and treated as equivalent.
4. Overall judgment: Model 2 is slightly better due to its more accurate mapping of domain actions to associations, specifically capturing the head scout's role in creating scouting assignments and the joint approval of shortlist entries.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</si>
  <si>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</si>
  <si>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explicit classes for `ShortListEntry` and `TargetPosition`, which perfectly capture the domain concepts of moving players to a short list and defining target positions. Model 2 introduces a `ScoutingRecord` class and a `ScoutingState` enum (with a `SHORT_LIST` state) to abstract the workflow, which is a valid refinement, but it loses the explicit `ShortList` entity mentioned in the requirement.
2. Associations/Multiplicities between classes for domain reasoning: Model 1 = 5, Model 2 = 4; Evidence: Model 1 accurately models the dual approval process for the short list: `HeadCoach "1" -- "0..*" ShortListEntry : approves &gt;` and `HeadScout "1" -- "0..*" ShortListEntry : approves &gt;`. It also correctly models scouts submitting reports via inheritance (`Scout "1" -- "0..*" ScoutingReport : submits &gt;`), which automatically includes the HeadScout. Model 2 uses more generic associations (`HeadCoach --&gt; "*" ScoutingRecord: manages`, `HeadScout --&gt; "*" ScoutingRecord: evaluates`) which obscures the specific "move to short list" decision logic.
3. Model attributes with appropriate data types: Model 1 = 5, Model 2 = 5; Evidence: Both models provide appropriate attributes for their respective classes. Model 1 includes `dateAdded` for `ShortListEntry` and `LongListEntry`, and `status`/`deadline` for `ScoutingAssignment`. Model 2 includes `submissionDate` for `ScoutingReport` and `assignmentDate` for `ScoutingAssignment`. Both correctly use data types like String, Date, and Enums.
4. Consistencies of Terminology with given context: Model 1 = 5, Model 2 = 4; Evidence: Model 1 uses terminology that directly matches the requirement, such as `ShortListEntry`, `TargetPosition`, and `ContractOffer`. Model 2 uses `Offer` instead of `ContractOffer` or "official offer", and abstracts "long list" and "short list" into `ScoutingState` and `ScoutingRecord`, which is slightly less consistent with the exact phrasing of the context.
5. Adherence of UML class diagram standards: Model 1 = 5, Model 2 = 5; Evidence: Both models fully adhere to UML/PlantUML syntax, notation, and conventions, using valid class definitions, inheritance arrows (`&lt;|--`), associations, and multiplicities.
Total: Model 1 = 25, Model 2 = 23
Choice: A
Reason:
1. Appropriate conceptual classes aligned with the domain: Model 1 is better because it explicitly models `ShortListEntry` as a class, directly reflecting the requirement's mention of moving players to the "short list", whereas Model 2 abstracts this into a state within a `ScoutingRecord`.
2. Associations/Multiplicities between classes for domain reasoning: Model 1 is better because it explicitly captures the business rule where both the `HeadCoach` and `HeadScout` approve `ShortListEntry` instances. Model 2 replaces this with generic "manages" and "evaluates" associations to a `ScoutingRecord`, which weakens the domain reasoning for this specific workflow step.
3. Rejected or checked issues: I did not penalize Model 2 for using `ScoutingRecord` or `ScoutingState` as transparent refinements, as per the guidelines. However, the loss of the explicit "short list" concept and the specific dual-approval association is a domain-faithfulness issue, not just a presentation difference.
4. Overall judgment: Model 1 is better due to its more faithful representation of the short list process and the specific approvals by the head coach and head scout, which are key domain facts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</si>
  <si>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</si>
  <si>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a `ScoutingRecord` class that acts as a central aggregate, coupling `LongListEntry`, `ScoutingAssignment`, `Player`, `TargetProfile`, and `Offer`. While it encapsulates the lifecycle, it becomes highly coupled to many components. Model 2 uses distinct `LongListEntry` and `ShortListEntry` classes, keeping concepts more decoupled. Model 2 also explicitly models `HeadScout` creating `ScoutingAssignment`, which is missing in Model 1.
2. Complexity: Model 1 = 4, Model 2 = 4; Evidence: Both models have 16 classes and use enums appropriately (`Position`, `Recommendation`, `ScoutingState` in Model 1; `Recommendation`, `AssignmentStatus` in Model 2). Model 1 uses an enum for `Position` whereas Model 2 introduces a `TargetPosition` class, but both achieve a balanced level of complexity suitable for the requirement.
3. Practicability: Model 1 = 4, Model 2 = 3; Evidence: Model 1's `ScoutingRecord` with its `ScoutingState` enum (`LONG_LIST`, `UNDER_INVESTIGATION`, `SHORT_LIST`, `RECOMMENDED`, `OFFER_MADE`) and associations to multiple `ScoutingAssignment` instances perfectly traces the lifecycle and supports the requirement for "several other rounds of scouting". It also explicitly links `Offer` to `ScoutingRecord` (`basedOn`), capturing the recommendation basis for the director's offer. Model 2 introduces `ShortListEntry` and shows `HeadScout` creating assignments, but it fails to connect `ShortListEntry` to subsequent `ScoutingAssignment` rounds or link `ContractOffer` to the scouting reports/recommendations, leaving a semantic gap in the workflow.
Total: Model 1 = 11, Model 2 = 11
Choice: C
Reason:
1. Cohesion and Decoupling: Model 2 is better decoupled by separating `LongListEntry` and `ShortListEntry` into independent classes and explicitly modeling the `HeadScout` creating `ScoutingAssignment`. Model 1's `ScoutingRecord` creates a god-class-like coupling.
2. Complexity: Both models maintain an appropriate level of complexity with clear, recognizable domain classes and sensible use of enums for states and categorical data.
3. Practicability: Model 1 excels in workflow traceability. The `ScoutingRecord` tracks the full progression of a player from the long list through multiple scouting assignments (rounds) to the final offer, explicitly linking the `Offer` to the `ScoutingRecord`. Model 2 misses crucial workflow links, such as connecting the short list to further scouting rounds and linking the offer to the scouting results. Thus, the trade-off between Model 1's workflow traceability and Model 2's better decoupling results in a tie.
4. Rejected or checked issues: I did not penalize Model 1 for using `Position` as an enum instead of a class like Model 2, as both represent valid domain modeling choices. I also did not penalize Model 2 for missing the `currentClub` attribute on `Player` as it was present.
5. Overall judgment: The strengths and weaknesses of the two models balance out. Model 1 is more practical for tracing the end-to-end business process, while Model 2 is more cleanly decoupled in its class structure. Therefore, a tie is the most objective assessment.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</si>
  <si>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</si>
  <si>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domain concepts into distinct, highly cohesive classes such as `LongListEntry`, `ShortListEntry`, and `TargetPosition`. Model 2 introduces a `ScoutingRecord` class that acts as a central hub linking `LongListEntry`, `ScoutingAssignment`, `Player`, `TargetProfile`, and `Offer`. While this creates a central point of control (slightly higher coupling), the `ScoutingRecord` itself is highly cohesive as a tracking and state-management entity. Both models demonstrate good separation of concerns.
2. Complexity: Model 1 = 4, Model 2 = 4; Evidence: Model 1 uses 16 classes, with `TargetPosition` and `ProfileAttribute` modeled as distinct classes, and includes an `AssignmentStatus` enum. Model 2 also uses 16 classes but reduces structural complexity by modeling target positions as a list attribute within `TargetProfile` (`targetPositions: List&lt;Position&gt;`) and introduces a `ScoutingState` enum to capture the workflow states (e.g., `SHORT_LIST`, `RECOMMENDED`) instead of creating separate entry classes. Both models maintain an appropriate level of complexity aligned with the requirements.
3. Practicability: Model 1 = 3, Model 2 = 5; Evidence: Model 1 struggles to capture the complete workflow semantics. It links `ScoutingAssignment` directly to `Player` but does not relate subsequent assignments to the `ShortListEntry`. Furthermore, the requirement states "If a player is finally recommended for signing by the head scout, the director makes an official offer," but Model 1's `ContractOffer` is linked directly to `Player` without capturing the "recommended for signing" state or the head scout's final decision. Model 2 handles this excellently by using the `ScoutingRecord` class with the `ScoutingState` enum, which includes `SHORT_LIST` and `RECOMMENDED` states. The `Director` makes an `Offer` that is explicitly `basedOn` the `ScoutingRecord`, capturing the domain logic accurately and making the design highly practical and readable for implementation.
Total: Model 1 = 11, Model 2 = 13
Choice: B
Reason:
1. Cohesion and Decoupling: Both models exhibit good cohesion and decoupling. Model 1 uses distinct entry classes for long and short lists, while Model 2 centralizes tracking in a `ScoutingRecord` class. Both approaches are valid, resulting in a tie for this criterion.
2. Complexity: Both models have a similar number of classes and manage complexity well. Model 1 separates `TargetPosition` into its own class, whereas Model 2 encapsulates it as a list within `TargetProfile` and uses a `ScoutingState` enum to handle stages. Both are balanced.
3. Practicability: Model 2 is significantly more practical because it accurately captures the end-to-end domain workflow. The `ScoutingRecord` class with its `ScoutingState` (including `SHORT_LIST` and `RECOMMENDED`) precisely models the progression of a player. The `Offer` being `basedOn` the `ScoutingRecord` correctly implements the requirement that the director acts on the head scout's final recommendation. Model 1 misses the connection between short-listed players, subsequent scouting rounds, and the final recommendation that triggers the official offer.
4. Rejected or checked issues: I did not penalize Model 1 for using `ContractOffer` instead of `Offer`, or for modeling `TargetPosition` as a separate class instead of a list attribute, as both are valid design choices. I also did not penalize Model 2 for using opposite unidirectional associations between `ScoutingReport` and `ScoutingAssignment`.
5. Overall judgment: Model 2 is better due to its superior practicality in modeling the domain workflow and state transitions, which aligns perfectly with the requirement's description of the scouting lifecycle and the director's offer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</si>
  <si>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</si>
  <si>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conceptual classes: Model 1 = 5, Model 2 = 2; Evidence: Model 1 correctly models the employee hierarchy (HeadCoach, Director, Scout, HeadScout as subclasses of Employee), TargetProfile, LongListEntry, ScoutingAssignment, ScoutingReport, and Offer, all traceable to the requirements. Model 2 hallucinates a `Team` class, reverses the inheritance hierarchy incorrectly (`Employee --|&gt; HeadCoach` instead of `Employee &lt;|-- HeadCoach`), and fails to explicitly model the long list/short list workflow as distinct concepts (stuffing `shortList : List&lt;Player&gt;` as an attribute inside ScoutingAssignment).
2. Associations, cardinalities, and relationship types: Model 1 = 5, Model 2 = 2; Evidence: Model 1 uses correct multiplicities and relationship types, such as `TargetProfile *-- "*" Attribute` for composition, and correctly links Scouts to LongListEntry and ScoutingAssignments to Players. Model 2 fails on inheritance semantics, uses sparse multiplicities, and has a confusing self-referential or redundant association (`ScoutingReport --&gt; "1" relatedAssignment : linkedAssignment` where `relatedAssignment` is already an attribute).
3. Clarity in class names and optional inclusion of attributes: Model 1 = 5, Model 2 = 3; Evidence: Model 1 uses precise class names and explicit enums for `Position` and `Recommendation` which align perfectly with the requirement examples. Model 2 uses vague attributes like `playerStatus : String` and `status : String`, and `scoutingResults : List&lt;String&gt;` which does not capture the structured nature of a ScoutingReport.
Total: Model 1 = 15, Model 2 = 7
Choice: A
Reason:
1. Alignment with requirements and conceptual classes: Model 1 perfectly captures the domain requirements, including the tracking of Long List and Short List via a `ScoutingRecord` and `ScoutingState` enum, which transparently supports the required workflow. Model 2 fails to capture the explicit Long List/Short List lifecycle and introduces a `Team` class not mentioned in the requirements.
2. Associations, cardinalities, and relationship types: Model 1 demonstrates correct UML inheritance (`Employee &lt;|-- HeadCoach`) and appropriate use of composition (`TargetProfile *-- "*" Attribute`). Model 2 contains a critical semantic error in its inheritance hierarchy (`Employee --|&gt; HeadCoach`), which completely reverses the domain logic.
3. Rejected or checked issues: I did not penalize Model 1 for introducing the `ScoutingRecord` class as it acts as a transparent refinement to manage the state transitions (Long List -&gt; Short List -&gt; Recommended) required by the prompt. I did not penalize Model 2 for using `String` types instead of enums, but did penalize the poor modeling of lists as primitive attributes.
4. Overall judgment: Model 1 is significantly better because it accurately represents the domain concepts, maintains correct UML semantics for inheritance and composition, and strictly adheres to the requirements without hallucinating extra domain entities like Team. Model 2's reversed inheritance hierarchy and missing core workflow concepts make it semantically invalid for this domain.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</si>
  <si>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</si>
  <si>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given requirement: Model 1 = 2, Model 2 = 5; Evidence: Model 1 misses the explicit concepts of "long list" and "short list" mentioned in the requirement, though it models Scout noting players. It also incorrectly models the director making an offer directly to the Player (`Director --&gt; "*" Player : makesOffer`) rather than making an official offer. Model 2 introduces `LongListEntry` and `ScoutingRecord` with a `ScoutingState` enum (LONG_LIST, SHORT_LIST, RECOMMENDED, OFFER_MADE) to accurately reflect the workflow and different stages. Model 2 also models an `Offer` class to represent the official offer made by the director.
2. Conceptual classes and relationships: Model 1 = 2, Model 2 = 4; Evidence: Model 1 misses the inheritance relationship where HeadScout should be a subtype of Scout (`Scout &lt;|-- HeadScout` in Model 2), instead making them siblings inheriting from Employee. Model 1 also incorrectly associates `ScoutingReport` with `PlayerProfile` (`ScoutingReport --&gt; "1" PlayerProfile : reportsOn`) and `HeadScout` recommending `PlayerProfile`, whereas the requirement explicitly states the scouting report is about "the player" and the player is recommended for signing. Model 2 correctly links `ScoutingAssignment --&gt; "1" Player: assignedPlayer` and `Offer --&gt; "1" Player: offeredPlayer`.
3. Clarity in class names and optional inclusion of attributes: Model 1 = 3, Model 2 = 5; Evidence: Model 1 uses generic String types for target positions and recommendations (e.g., `targetPosition : String`, `recommendation : String`). Model 2 explicitly defines enums for `Position`, `Recommendation`, and `ScoutingState`, which greatly improves semantic clarity and aligns perfectly with the examples provided in the requirement (e.g., GK, LB, key player, etc.). Model 2's attributes like `submissionDate` and `entryDate` also add traceable workflow context.
Total: Model 1 = 7, Model 2 = 14
Choice: B
Reason:
1. Alignment with given requirement: Model 2 is vastly superior because it accurately captures the workflow of moving players from a long list to a short list, and finally making an offer. Model 1 completely omits the long list and short list concepts as classes or states. Model 2 also properly models the "official offer" as an entity, rather than a direct association from Director to Player.
2. Conceptual classes and relationships: Model 2 correctly identifies the inheritance hierarchy of the employees, specifically that a HeadScout is a type of Scout (`Scout &lt;|-- HeadScout`), which is implied by the requirement text ("scouting assignments for his team... some of which is carried out by the head scout himself"). Model 1 incorrectly makes HeadScout and Scout siblings. Furthermore, Model 1 misattributes relationships to PlayerProfile instead of Player (e.g., scouting reports and recommendations are about players, not the profiles themselves).
3. Rejected or checked issues: Model 1's addition of a `Team` class was checked against the requirement. While the requirement mentions "employees of the club," the explicit introduction of `Team` could be seen as a minor hallucination, but the core failure is the missing workflow states. Model 2's `ScoutingRecord` is an abstract intermediate class that transparently refines the domain logic; it is not penalized as it accurately models the tracking of a player through the scouting lifecycle.
4. Overall judgment: Model 2 is much better as it demonstrates a strong understanding of domain modeling by capturing the state transitions (long list, short list, recommended, offer made) and accurately mapping the relationships between scouts, players, and scouting artifacts.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</si>
  <si>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</si>
  <si>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all key domain concepts as classes, including `TargetProfile`, `LongListEntry`, `ScoutingAssignment`, `ScoutingReport`, and `Offer`, as well as the employee roles via inheritance. Model 2 misses the `LongList` and `Offer` classes entirely, introduces an unnecessary `Team` class, and incorrectly models the inheritance relationship (`Employee --|&gt; HeadCoach`).
2. Associations/Multiplicities between classes for domain reasoning: Model 1 = 4, Model 2 = 2; Evidence: Model 1 has well-defined associations with multiplicities, such as `HeadCoach --&gt; "*" TargetProfile: defines`, `Scout --&gt; "*" LongListEntry: logs`, and `Director --&gt; "*" Offer: makes`. Model 2 misses critical associations, fails to include multiplicities on most relations, and wrongly uses an attribute `shortList: List&lt;Player&gt;` inside `ScoutingAssignment` instead of an association. The generalization arrows in Model 2 are also inverted (`Employee --|&gt; HeadCoach`).
3. Model attributes with appropriate data types: Model 1 = 5, Model 2 = 3; Evidence: Model 1 uses appropriate enums for `Position`, `Recommendation`, and `ScoutingState`, and uses standard data types like `int`, `String`, and `Date` for other attributes. Model 2 uses generic `String` types for `recommendation`, `targetPosition`, and `playerStatus`, and uses complex list attributes like `shortList: List&lt;Player&gt;` and `scoutingResults: List&lt;String&gt;` which are semantically weak and better modeled as associations.
4. Consistencies of Terminology with given context: Model 1 = 5, Model 2 = 3; Evidence: Model 1 uses terminology directly from the requirement, such as `TargetProfile`, `LongListEntry`, `ScoutingReport`, and `Offer`. Model 2 uses `PlayerProfile` which is close, but completely misses the long list and short list concepts as distinct entities, and omits the `Offer` class.
5. Adherence of UML class diagram standards: Model 1 = 5, Model 2 = 2; Evidence: Model 1 follows standard UML class diagram conventions correctly, using proper class boxes, enums, and association notations. Model 2 contains a major UML semantic error by inverting the generalization arrows (`Employee --|&gt; HeadCoach` implies Employee is a subclass of HeadCoach). It also models what should be associations as list attributes, violating standard UML practices.
Total: Model 1 = 24, Model 2 = 12
Choice: A
Reason:
1. Appropriate conceptual classes aligned with the domain: Model 1 is significantly better as it includes all required domain concepts like `Offer`, `LongListEntry`, and proper role classes, whereas Model 2 omits key classes and has inverted inheritance.
2. Associations/Multiplicities between classes for domain reasoning: Model 1 accurately captures the relationships between employees, profiles, lists, and assignments with proper multiplicities. Model 2 fails to capture these relationships correctly, uses inverted inheritance, and relies on list attributes instead of UML associations.
3. Model attributes with appropriate data types: Model 1 uses enums for constrained values like `Recommendation` and `Position`, which is best practice. Model 2 relies heavily on generic `String` types and list attributes.
4. Consistencies of Terminology with given context: Model 1's terminology directly maps to the requirement's vocabulary (`TargetProfile`, `LongListEntry`, `Offer`). Model 2 misses the long list and offer concepts entirely.
5. Rejected or checked issues: I ignored the layout and styling differences. I also did not penalize Model 1 for using `int` or `String` as per the forbidden penalties.
6. Overall judgment: Model 1 is vastly superior. It accurately and comprehensively models the domain using correct UML standards, whereas Model 2 contains fundamental structural errors, inverted inheritance, and poor attribute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</si>
  <si>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</si>
  <si>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misses explicit concepts for the long list and official offer, and incorrectly associates assignments with investigating a profile rather than a specific player. Model 2 correctly introduces `LongListEntry`, `Offer`, `ScoutingRecord` (to track states like short list), and `TargetProfile`.
2. Associations/Multiplicities between classes for domain reasoning: Model 1 = 2, Model 2 = 5; Evidence: Model 1 has flawed logic like `ScoutingAssignment --&gt; "*" PlayerProfile : investigates` and `PlayerProfile --&gt; "*" Player : profiles`, missing the target/matching relationship and the long-listing process. Model 2 accurately models the workflow, e.g., `Scout --&gt; "*" LongListEntry: logs`, `ScoutingRecord --&gt; "*" ScoutingAssignment: assignments`, and `Director --&gt; "*" Offer: makes`.
3. Model attributes with appropriate data types: Model 1 = 3, Model 2 = 5; Evidence: Model 1 misuses attributes for relationships, like `ScoutingAssignment` having `shortList : List&lt;Player&gt;`, and stores `recommendation` as a simple `String`. Model 2 correctly uses Enums for `Recommendation`, `ScoutingState`, and `Position`, and properly separates associations from primitive attributes.
4. Consistencies of Terminology with given context: Model 1 = 3, Model 2 = 4; Evidence: Model 1 misses "long list", "short list", and "offer" terminology entirely. Model 2 uses "LongListEntry", "ScoutingState (SHORT_LIST)", and "Offer", aligning well with the context, although it uses "TargetProfile" instead of "PlayerProfile".
5. Adherence of UML class diagram standards: Model 1 = 2, Model 2 = 5; Evidence: Model 1 reverses generalization arrows (`Employee --|&gt; HeadCoach` implies Employee inherits from HeadCoach, which is semantically incorrect). Model 2 uses correct generalization notation (`Employee &lt;|-- HeadCoach`) and properly implements enums.
Total: Model 1 = 13, Model 2 = 24
Choice: B
Reason:
1. Appropriate conceptual classes: Model 2 provides a much richer and accurate domain representation by introducing `LongListEntry`, `Offer`, and `ScoutingRecord` to track the player's progression, whereas Model 1 groups these stages into simple strings or incorrect associations.
2. Associations/Multiplicities: Model 2 correctly models the relationship between scouts, long list entries, assignments, and reports. Model 1 incorrectly links scouting assignments directly to profiles instead of players and misrepresents the scouting workflow.
3. Model attributes: Model 2 correctly uses Enums for `Recommendation` and `Position`, matching the explicit examples in the requirement. Model 1 uses basic strings and incorrectly embeds lists of domain objects as attributes within classes.
4. Terminology: Model 2 captures the core domain stages (long list, short list, offer) through its class names and enum states, while Model 1 overlooks several key domain concepts.
5. UML standards: Model 1 makes a major UML semantic error by reversing the direction of the inheritance arrows, making the superclass inherit from the subclasses. Model 2 perfectly adheres to UML standards.
3. Rejected or checked issues: I checked if Model 1's `PlayerProfile --&gt; "*" Player : profiles` was a valid abstraction, but the requirement states scouts note players who match a target profile, meaning the link should be between the noted player and the target profile, not a direct profiling link. Model 2 handles this correctly via `LongListEntry`.
4. Overall judgment: Model 2 is significantly better as it captures the domain workflow comprehensively, uses appropriate UML constructs like enums, and avoids the major semantic and UML notation errors present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</si>
  <si>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</si>
  <si>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introduces a central `ScoutingRecord` class that encapsulates the entire scouting lifecycle for a player, linking to `LongListEntry`, `ScoutingAssignment`, and tracking the `ScoutingState`. This provides high cohesion and low coupling. Model 2 places `shortList: List&lt;Player&gt;` directly inside `ScoutingAssignment`, conflating the scouting workflow state with a single assignment, which violates high cohesion and creates conceptual confusion.
2. Complexity: Model 1 = 4, Model 2 = 2; Evidence: Model 1 appropriately balances complexity by introducing domain classes for `LongListEntry`, `ScoutingRecord`, `Offer`, and utilizing enums for `Position`, `Recommendation`, and `ScoutingState`. Model 2 over-simplifies the design by omitting a Long List or Offer class and using strings instead of enums, while misplacing the `shortList` list inside `ScoutingAssignment`. 
3. Practicability: Model 1 = 5, Model 2 = 1; Evidence: Model 1 uses standard UML inheritance (`Employee &lt;|-- HeadCoach`) and cleanly models the requirement where the Director makes an official offer via an `Offer` class. Model 2 has backwards inheritance arrows (`Employee --|&gt; HeadCoach`, which incorrectly implies Employee is a subclass of HeadCoach) and models the official offer simply as an association (`Director --&gt; "*" Player : makesOffer`), missing key structural details.
Total: Model 1 = 14, Model 2 = 5
Choice: A
Reason:
1. Cohesion and Decoupling: Model 1's use of `ScoutingRecord` to track the overall progression of a player through the scouting process is highly cohesive. Model 2 incorrectly places the `shortList` as an attribute of `ScoutingAssignment`, mixing the concept of a phase in the recruitment process with an individual scouting task, which lowers cohesion and introduces poor design.
2. Complexity: Model 1 strikes a better balance by creating explicit structures for the long list, short list (via state), and offers, matching the requirement's workflow accurately. Model 2 reduces complexity to the point of omission (e.g., no LongList class, no Offer class) and relies on strings for domain-specific enumerations (positions, recommendations).
3. Rejected or checked issues: Model 2's backwards inheritance arrows (`Employee --|&gt; HeadCoach`) could be seen as a layout/direction typo, but even if corrected, the conceptual error of putting `shortList` inside `ScoutingAssignment` and the absence of an `Offer` class make it significantly less domain-faithful and practical.
4. Overall judgment: Model 1 is much better. It accurately models the entire scouting workflow, from the long list to the final offer, using well-defined domain classes and states, while Model 2 contains fundamental UML errors and poor domain modeling choices.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</si>
  <si>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</si>
  <si>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places a `shortList : List&lt;Player&gt;` attribute inside `ScoutingAssignment`, confusing the state of the scouting process with the assignment itself. It also links `ScoutingAssignment --&gt; PlayerProfile : investigates` and `ScoutingReport --&gt; PlayerProfile : reportsOn`, creating misplaced dependencies since assignments and reports should target a `Player`, not a `PlayerProfile`. Model 2 effectively separates these concerns by introducing a `ScoutingRecord` to track the overall state and history, and correctly links `ScoutingAssignment --&gt; Player: assignedPlayer` and `ScoutingReport` to the `ScoutingAssignment`. It also uses a `LongListEntry` to decouple the initial noting of a player from the tracking record.
2. Complexity: Model 1 = 3, Model 2 = 4; Evidence: Model 1 uses 11 classes but fails to capture essential domain concepts like the long list/short list state transitions or an official `Offer`. Its complexity is too low for the workflow described. Model 2 introduces 13 classes and 3 enums (`Position`, `Recommendation`, `ScoutingState`). The addition of `ScoutingRecord`, `LongListEntry`, and `Offer` appropriately increases complexity to accurately model the multi-stage scouting workflow and the director's official offer.
3. Practicability: Model 1 = 2, Model 2 = 5; Evidence: Model 1 contains semantic errors: assignments investigate profiles instead of players, and `PlayerProfile` incorrectly `profiles` a `Player` (players fit profiles, profiles don't profile players). The director's offer is just a simple association with no attributes. Model 2 is highly practical, readable, and domain-accurate. It correctly models `Employee &lt;|-- Scout &lt;|-- HeadScout` (since the head scout is part of the scout team). It uses an `Offer` class with details like amount and date, and an enum for `ScoutingState` (LONG_LIST, SHORT_LIST, RECOMMENDED, OFFER_MADE) to track the player's progression through the system.
Total: Model 1 = 7, Model 2 = 14
Choice: B
Reason:
1. Cohesion and Decoupling: Model 2 is significantly better. Model 1 incorrectly couples assignment and player status (`shortList` in `ScoutingAssignment`) and misdirects the focus of assignments and reports to `PlayerProfile` instead of `Player`. Model 2 properly isolates the workflow state in `ScoutingRecord` and maintains clean, correctly targeted associations.
2. Complexity: Model 2 is better balanced. Model 1 is overly simplistic and misses the workflow nuances (long list vs short list, official offers). Model 2 introduces appropriate domain classes (`LongListEntry`, `ScoutingRecord`, `Offer`) to handle the multi-round scouting process and state transitions without unnecessary bloat.
3. Rejected or checked issues: I ignored the use of primitive types (e.g., `String` vs `str`, `int` vs `Integer`) and equivalent multiplicity literals, as instructed. I also did not penalize Model 2 for using `ScoutingRecord` as an intermediate class, as it transparently supports the domain reasoning for tracking the player's status.
4. Overall judgment: Model 2 is the clear winner. It demonstrates a much higher degree of domain accuracy, correctly mapping the requirements into a readable, modular, and practical UML class diagram, while avoiding the semantic missteps present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</si>
  <si>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</si>
  <si>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&amp; Conceptual Classes: Model 1 = 5, Model 2 = 2; Evidence: Model 1 explicitly models all key domain concepts including `LongListEntry`, `ShortListEntry`, `ScoutingAssignment`, `ScoutingReport`, and `ContractOffer`. Model 2 misses the long list entirely (reduces it to `Scout --&gt; "*" Player : notes`), represents the short list merely as a primitive list attribute in `ScoutingAssignment` (`shortList : List&lt;Player&gt;`), and lacks a `ContractOffer` class for the director's official offer. 
2. Inheritance &amp; Relationships: Model 1 = 5, Model 2 = 1; Evidence: Model 1 correctly establishes the `Employee` hierarchy with `Employee &lt;|-- HeadCoach`, `Employee &lt;|-- Director`, and `Scout &lt;|-- HeadScout`, reflecting that a HeadScout is a type of Scout. Model 2 incorrectly reverses the inheritance direction (`Employee --|&gt; HeadCoach`), which logically implies an Employee is a HeadCoach, violating the requirement's statement that various employees include these roles. 
3. Cardinalities &amp; Types of Relationships: Model 1 = 5, Model 2 = 2; Evidence: Model 1 uses accurate multiplicities and associations, such as `HeadCoach "1" -- "0..*" TargetProfile : identifies &gt;` and `ScoutingReport "1" -- "1" ScoutingAssignment : completes &gt;`. Model 2's cardinalities are vague or absent in several key areas, such as `HeadScout --&gt; "*" ScoutingAssignment : evaluates`, and it uses primitive types to model relationships (e.g., `scoutingResults : List&lt;String&gt;`) instead of proper UML associations. 
Total: Model 1 = 15, Model 2 = 5
Choice: A
Reason:
1. Alignment with Requirements &amp; Conceptual Classes: Model 1 accurately captures the explicit workflow entities mentioned in the requirement (long list, short list, contract offer) as conceptual classes. Model 2 omits the long list, improperly simplifies the short list into a basic attribute, and completely ignores the formal contract offer entity made by the director.
2. Inheritance &amp; Relationships: Model 1's inheritance hierarchy perfectly matches the domain constraints, notably making HeadScout a specialization of Scout (allowing the head scout to perform assignments). Model 2 contains a fatal inheritance error where the subclass/superclass roles are inverted, breaking the entire employee role modeling.
3. Cardinalities &amp; Types of Relationships: Model 1 uses rich UML associations with multiplicities to show who creates what and how many instances are involved (e.g., `TargetProfile "1" -- "1..*" TargetPosition`). Model 2 relies heavily on primitive data structures (e.g., `List&lt;String&gt;`, `List&lt;Player&gt;`) instead of drawing UML relationships, severely weakening the domain representation.
4. Rejected or checked issues: Both models define player attributes with name and value. Model 1 introduces an `AssignmentStatus` enum and a `Recommendation` enum; while these are slightly more detailed than strictly required, they faithfully represent the provided list of recommendations (e.g. key player, first team player) and do not detract from the domain alignment.
5. Overall judgment: Model 1 is vastly superior as it correctly translates the requirement's business logic and structural relationships into a standard, semantically correct UML class diagram, whereas Model 2 omits crucial concepts and contains critical modeling flaws in its inheritance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</si>
  <si>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</si>
  <si>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Conceptual Classes: Model 1 = 2, Model 2 = 5; Evidence: Model 1 misses explicit "LongList" and "ShortList" concepts, modeling `Scout --&gt; "*" Player : notes` directly and putting `shortList` as an attribute inside `ScoutingAssignment`. Model 2 explicitly introduces `LongListEntry` and `ShortListEntry` classes, accurately capturing the long list and short list workflows described in the requirement. Model 2 also introduces `ContractOffer` for the official offer, which correctly represents the "director makes an official offer" process, whereas Model 1 just has `Director --&gt; "*" Player : makesOffer` without an offer concept.
2. Relationships, Cardinalities &amp; Types: Model 1 = 2, Model 2 = 5; Evidence: Model 1 incorrectly associates `ScoutingAssignment --&gt; "*" PlayerProfile : investigates` when the requirement states assignments investigate a "specific player". Model 1 also models `Employee --|&gt; Scout` and `Employee --|&gt; HeadScout` as separate branches, missing the fact that a head scout is a scout leading a team. Model 2 correctly uses `Scout &lt;|-- HeadScout`, properly representing the team hierarchy. Model 2 also correctly links `ScoutingAssignment "0..*" -- "1" Player : investigates` and `ShortListEntry "0..*" -- "1" TargetProfile : fulfills`.
3. Clarity &amp; No Hallucinations/Additions: Model 1 = 2, Model 2 = 4; Evidence: Model 1 hallucinates `playerStatus` and `targetPosition` attributes inside the `Player` class, even though the requirement clearly states the head coach identifies target positions for "player profiles". It also hallucinates a `decision` attribute in `ScoutingReport` and a `shortList` list inside `ScoutingAssignment`. Model 2 avoids these contradictions and properly extracts `TargetPosition` and `ProfileAttribute` as distinct classes associated with `TargetProfile`. Model 2 adds enums for `Recommendation` and `AssignmentStatus` which align well with the examples given in the text (e.g., key player, etc.) without contradicting the core workflow.
Total: Model 1 = 6, Model 2 = 14
Choice: B
Reason:
1. Requirement Alignment &amp; Conceptual Classes: Model 2 accurately captures the long list, short list, and official offer concepts as distinct classes (`LongListEntry`, `ShortListEntry`, `ContractOffer`), which directly trace to the requirement text. Model 1 oversimplifies and misplaces these concepts, omitting the lists entirely and burying the short list as a property of a scouting assignment.
2. Relationships, Cardinalities &amp; Types: Model 2 accurately models the domain relationships, such as HeadScout inheriting from Scout (`Scout &lt;|-- HeadScout`), which supports the requirement's statement about the head scout setting up assignments for "his team". It correctly links assignments to players rather than profiles. Model 1 incorrectly connects `ScoutingAssignment` to `PlayerProfile` for investigation and fails to model the scout hierarchy correctly.
3. Rejected or checked issues: Model 2's addition of enums like `Recommendation` and `AssignmentStatus` might seem like extra detail, but they directly reflect the enumerated examples provided in the requirement (e.g., "key player, first team player, reserve team player...") and thus improve domain coverage rather than acting as hallucinations. Model 1's `targetPosition` attribute inside `Player` was considered but rejected as a misinterpretation of the requirement, as the coach identifies target positions for the *profile*, not the player directly.
4. Overall judgment: Model 2 is significantly better as it accurately maps the domain rules, traces the workflows (long list to short list to offer), and correctly places the relationships between employees, profiles, players, and assignments without hallucinating inappropriate attributes or missing crucial list-based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</si>
  <si>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</si>
  <si>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all key domain classes including `TargetProfile`, `LongListEntry`, `ShortListEntry`, `ScoutingAssignment`, `ScoutingReport`, and `ContractOffer`, with proper inheritance (`Employee &lt;|-- HeadCoach`, `Scout &lt;|-- HeadScout`). Model 2 misses `LongListEntry`, `ShortListEntry`, and `ContractOffer`, and incorrectly reverses the inheritance direction (e.g., `Employee --|&gt; HeadCoach` making Employee a subclass of HeadCoach).
2. Associations/Multiplicities between classes for domain reasoning: Model 1 = 5, Model 2 = 2; Evidence: Model 1 models relationships accurately with clear multiplicities, such as `HeadCoach "1" -- "0..*" TargetProfile : identifies &gt;` and `LongListEntry "0..*" -- "1" Player : evaluates &gt;`. Model 2 stores lists as attributes (e.g., `shortList : List&lt;Player&gt;` in `ScoutingAssignment`) instead of using associations, missing multiplicity on most relationship ends, and fails to model the progression from Long List to Short List to Offer.
3. Model attributes with appropriate data types: Model 1 = 5, Model 2 = 3; Evidence: Model 1 uses appropriate types and enums (e.g., `recommendation: Recommendation`, `status: AssignmentStatus`, `amount: Decimal`). Model 2 uses primitive strings for concepts that should be enums (e.g., `status: String`, `recommendation: String`) and improperly uses list attributes like `scoutingResults: List&lt;String&gt;` and `shortList: List&lt;Player&gt;` which should be modeled as relationships.
4. Consistencies of Terminology with given context: Model 1 = 5, Model 2 = 2; Evidence: Model 1 uses exact terminology from the requirement text (e.g., `LongListEntry`, `ShortListEntry`, `ContractOffer`, `TargetProfile`). Model 2 introduces an undocumented `Team` class, misses the "Long list" concept entirely, and uses generic terms like `makesOffer` instead of an `ContractOffer` class, misaligning with the domain vocabulary.
5. Adherence of UML class diagram standards: Model 1 = 5, Model 2 = 4; Evidence: Model 1 perfectly adheres to UML standards, using correct class, enum, generalization, and association notations. Model 2 also has valid PlantUML syntax, but redundantly models `relatedAssignment` both as an attribute and an association, which is technically valid but semantically redundant.
Total: Model 1 = 25, Model 2 = 13
Choice: A
Reason:
1. Appropriate conceptual classes aligned with the domain: Model 1 accurately captures the entire workflow from target profiles and long lists to scouting assignments, short lists, and official contract offers. Model 2 misses critical classes and logically reverses the inheritance hierarchy of employees.
2. Associations/Multiplicities between classes for domain reasoning: Model 1 provides precise associations with correct multiplicities mapping the complex workflow (e.g., scouts creating long list entries, head scout creating assignments, director making offers). Model 2 reduces complex relationships to simple lists in class attributes, failing to represent the domain reasoning properly.
3. Rejected or checked issues: Model 2's use of valid PlantUML syntax was recognized, so it wasn't overly penalized under UML standards despite its semantic errors.
4. Overall judgment: Model 1 is significantly better as it provides a complete, accurate, and standard-compliant representation of the Team Sports Scouting System, properly mapping the domain concepts, classes, attributes, and workflow associations described in the requirement. Model 2 is missing major components and misuses UML semantics for domain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</si>
  <si>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</si>
  <si>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is missing the LongList, ShortList, and Offer concepts entirely, instead awkwardly placing `shortList : List&lt;Player&gt;` as an attribute inside `ScoutingAssignment`. Model 2 correctly introduces `LongListEntry`, `ShortListEntry`, and `ContractOffer` classes, capturing the core workflow tracking concepts explicitly mentioned in the requirement.
2. Associations/Multiplicities between classes for domain reasoning: Model 1 = 2, Model 2 = 5; Evidence: Model 1 misses the fundamental relationships for players moving from long lists to short lists. It also incorrectly links `ScoutingAssignment` and `ScoutingReport` to `PlayerProfile` instead of `Player`, and has the Director making an offer directly to the player without modeling the offer. Model 2 correctly captures that Scouts create `LongListEntry` matching `TargetProfile` to `Player`, HeadCoach and HeadScout approve `ShortListEntry`, and Director makes a `ContractOffer` to `Player`, with accurate multiplicities like `HeadScout "1" -- "0..*" ScoutingAssignment`.
3. Model attributes with appropriate data types: Model 1 = 3, Model 2 = 5; Evidence: Model 1 represents `recommendation` as a simple `String`, missing the closed enumeration list specified in the requirement. Model 2 uses Enums for `Recommendation` (KEY_PLAYER, FIRST_TEAM_PLAYER, etc.) and `AssignmentStatus`, and correctly provides attributes like `dateAdded: Date` for lists and `amount: Decimal` for offers.
4. Consistencies of Terminology with given context: Model 1 = 3, Model 2 = 5; Evidence: Model 1 neglects the "long list" and "short list" concepts as domain terms, awkwardly using `shortList` as a property of an assignment. Model 2 closely matches the context using `LongListEntry`, `ShortListEntry`, `TargetProfile`, `ScoutingAssignment`, `ScoutingReport`, and `ContractOffer`.
5. Adherence of UML class diagram standards: Model 1 = 4, Model 2 = 5; Evidence: Model 1 uses standard UML class syntax but relies on generic types like `List&lt;String&gt;` for list properties instead of using associations. Model 2 uses proper UML enumerations (`enum`) and correctly models relationships through associations rather than inline lists, adhering excellently to UML standards.
Total: Model 1 = 14, Model 2 = 25
Choice: B
Reason:
1. Appropriate conceptual classes aligned with the domain: Model 2 is significantly better because it explicitly introduces `LongListEntry`, `ShortListEntry`, and `ContractOffer`, which are core domain concepts mentioned in the requirement. Model 1 entirely misses these as classes and wrongly attempts to capture the short list as an attribute of `ScoutingAssignment`.
2. Associations/Multiplicities between classes for domain reasoning: Model 2 captures the full scouting lifecycle (Scout notes player on long list -&gt; Head scout evaluates -&gt; Coach and Head scout move to short list -&gt; Director makes offer), whereas Model 1 skips directly from scouts noting players to assigning and reporting, missing the intermediate list states and the official offer tracking.
3. Model attributes with appropriate data types: Model 2's use of Enums for `Recommendation` and `AssignmentStatus` perfectly captures the explicit examples provided in the requirement. Model 1 simply uses `String` types, which is less constrained and less accurate to the domain rules.
4. Consistencies of Terminology with given context: Model 2 maps directly to the wording of the requirement ("long list", "short list", "official offer"), whereas Model 1's terminology is scattered and implemented as internal data fields rather than conceptual domain classes.
5. Rejected or checked issues: Model 1's use of `List&lt;String&gt;` as an attribute type inside the class body was checked. While it borders on implementation detail rather than strict UML modeling, it is technically valid PlantUML, but Model 2's use of proper Enums and associations is superior.
6. Overall judgment: Model 2 is vastly superior in modeling the domain, tracking the workflow states (long list, short list, offer), and enforcing domain rules through appropriate types and associations. Model 1 misses critical workflow concepts and misplaces domain logic into generic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</si>
  <si>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</si>
  <si>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accurately separates concepts into distinct classes like `LongListEntry`, `ShortListEntry`, `ScoutingAssignment`, and `ScoutingReport`, resulting in high cohesion and low coupling. Model 2 suffers from low cohesion by embedding `shortList` and `scoutingResults` directly as attributes inside the `ScoutingAssignment` class. Additionally, Model 2 incorrectly reverses the inheritance direction (`Employee --|&gt; HeadCoach` instead of `HeadCoach --|&gt; Employee`), creating structural confusion.
2. Complexity: Model 1 = 5, Model 2 = 3; Evidence: Model 1 introduces appropriate intermediate classes to capture the domain workflow (e.g., `LongListEntry`, `ShortListEntry`, `ContractOffer`). Model 2 incorrectly models `Player` with `targetPosition` and `playerStatus` attributes, conflating player details with profile concepts. Furthermore, Model 2 lacks explicit classes for the long list and short list, treating them as simple lists within other classes, which under-models the domain requirements.
3. Practicability: Model 1 = 5, Model 2 = 2; Evidence: Model 1 provides a clear, comprehensive, and implementable structure that correctly associates scouts, players, profiles, lists, assignments, reports, and offers. Model 2 is difficult to implement due to fundamental errors: the inheritance arrows are inverted (making `Employee` a subclass of `HeadCoach`, `Director`, etc.), and `ScoutingAssignment` is associated with `PlayerProfile` rather than a specific `Player` as the requirement dictates ("investigate a specific player more thoroughly").
Total: Model 1 = 15, Model 2 = 7
Choice: A
Reason:
1. Cohesion and Decoupling: Model 1 clearly wins as it maintains distinct class responsibilities (e.g., separating `ScoutingAssignment` from `ShortListEntry`), whereas Model 2 mixes the short list directly into the `ScoutingAssignment` class. Model 2 also has incorrect inheritance modeling.
2. Complexity: Model 1 balances complexity well by introducing traceable workflow classes (`LongListEntry`, `ShortListEntry`) required by the requirement. Model 2 oversimplifies by omitting these concepts as classes and misplaces attributes like `targetPosition` on the `Player` class instead of `PlayerProfile`.
3. Rejected or checked issues: I checked if Model 2's use of lists for short lists was an acceptable simplification, but the requirement explicitly mentions moving players "to the short list" as a distinct workflow step, justifying the need for a distinct concept or class. Also verified PlantUML inheritance direction in Model 2 (`A --|&gt; B` means A inherits B), confirming it is semantically backwards.
4. Overall judgment: Model 1 is vastly superior due to its accurate domain modeling, correct inheritance structure, and clear separation of concerns, while Model 2 contains critical structural errors and lacks key domain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</si>
  <si>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</si>
  <si>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5; Evidence: Model 1 has low cohesion and high coupling by inappropriately merging the "short list" concept directly into `ScoutingAssignment` as an attribute (`+ shortList : List&lt;Player&gt;`). Furthermore, `ScoutingReport` links to `PlayerProfile` instead of the actual `Player`, causing unnecessary coupling between reports and abstract profiles. Model 2 demonstrates high cohesion by separating concepts into well-defined classes such as `LongListEntry`, `ShortListEntry`, and `ContractOffer`. Coupling is low and appropriate: `ScoutingAssignment` is decoupled from lists and correctly investigates `Player`, while `ScoutingReport` completes `ScoutingAssignment`.
2. Complexity: Model 1 = 2, Model 2 = 5; Evidence: Model 1 oversimplifies the domain by omitting critical conceptual classes for the long list, short list, and contract offers. It represents pros and cons as primitive `List&lt;String&gt;` rather than structured entities, and fails to capture the full workflow. Model 2 introduces a well-balanced level of complexity with 15 classes, including enums (`Recommendation`, `AssignmentStatus`) and explicit entry classes (`LongListEntry`, `ShortListEntry`), accurately reflecting the complexity of the scouting workflow without over-engineering.
3. Practicability: Model 1 = 2, Model 2 = 5; Evidence: Model 1 contains severe semantic inaccuracies that hinder real-world programming. For instance, `HeadCoach` is modeled as deciding a `PlayerProfile` rather than moving players to a short list, and `ScoutingAssignment` investigates a `PlayerProfile` instead of a specific player. Model 2 is highly practical, modeling the exact workflow: `Scout` creates `LongListEntry` matching `TargetProfile`, `HeadScout` creates `ScoutingAssignment` to investigate `Player`, `HeadCoach` and `HeadScout` approve `ShortListEntry`, and `Director` makes a `ContractOffer` to the `Player`. This supports clear modular implementation and robust testing.
Total: Model 1 = 6, Model 2 = 15
Choice: B
Reason:
1. Cohesion and Decoupling: Model 2 far surpasses Model 1 by maintaining distinct, single-responsibility classes for list entries and offers, whereas Model 1 mixes unrelated concepts like a short list directly into the `ScoutingAssignment` class.
2. Complexity: Model 2 appropriately balances complexity by introducing intermediate workflow classes (`LongListEntry`, `ShortListEntry`, `ContractOffer`) and enums that capture the domain logic perfectly. Model 1 is too simplistic and misses key domain concepts, making it inadequate for the project requirement.
3. Practicability: Model 2 aligns tightly with the business logic described in the requirement, mapping each role's actions to the correct domain objects (e.g., approving short list entries, making contract offers). Model 1 severely misinterprets the workflow, such as linking scouting reports and assignments to profiles instead of players.
4. Rejected or checked issues: I ignored the use of `*` in Model 1 versus `0..*` in Model 2 for multiplicities, as they are semantically equivalent. I also ignored PlantUML syntactical differences and visibility markers.
5. Overall judgment: Model 2 provides a highly accurate, well-structured, and practical representation of the requirement, whereas Model 1 suffers from domain inaccuracies and poor class design. Model 2 is definitively better.</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</si>
  <si>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</si>
  <si>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</si>
  <si>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</si>
  <si>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(classes, functionality, no hallucinations): Model 1 = 3, Model 2 = 3; Evidence: Model 1 fails to represent "connection pieces" as a distinct conceptual class, instead using boolean flags (`isConnectedRight`, etc.) on `Tile` and an integer counter for spare pieces. Model 2 correctly models `ConnectionPiece` and `ConnectionPiecePile`. Both models adequately cover the action cards, die, board, and tile types (regular, action, hidden). Model 2 introduces `HiddenTile` as a subclass, whereas Model 1 uses a boolean `isHidden`.
2. Associations, cardinalities, and types of relationships: Model 1 = 4, Model 2 = 2; Evidence: Model 1 provides clear and accurate multiplicities for key relationships, such as `Game "1" *-- "2..4" Player`, `Tile --&gt; "0..1" Tile` for sides, and `Deck "1" *-- "32" ActionCard`. Model 2 completely omits multiplicities on almost all associations, including `Game --&gt; Player : has players`, `Game *-- GameBoard : has`, and `Deck *- ActionCard : contains`, which severely violates the requirement's focus on cardinalities.
3. Clarity in class names and optional inclusion of attributes: Model 1 = 4, Model 2 = 4; Evidence: Both models use clear, domain-accurate class names and relevant attributes. Model 1 uses an enum for `ActionCardType`, while Model 2 uses enums for `Side`, `TileColor`, and `PlayingPieceColor`. Both approaches are clear and align well with the project's vision.
Total: Model 1 = 11, Model 2 = 9
Choice: A
Reason:
1. Alignment with requirement: Model 2 is slightly better aligned conceptually because it introduces the `ConnectionPiece` and `ConnectionPiecePile` classes as requested in the text, whereas Model 1 simplifies this into boolean flags. However, both models handle the rest of the domain (tiles, players, cards) adequately.
2. Associations, cardinalities, and types of relationships: Model 1 is significantly better here. The scoring criteria explicitly require a "detailed focus on the associations between classes, their cardinalities, and the types of relationships." Model 1 provides explicit and correct multiplicities (e.g., `2..4` players, `32` action cards, `0..1` connected tiles per side). Model 2 fails to provide multiplicities for almost all of its relationships, representing a major omission based on the provided instructions.
3. Rejected or checked issues: I did not penalize Model 1 for using a boolean `isHidden` instead of a `HiddenTile` subclass, as both are valid ways to represent a tile's state. I also did not reward Model 2 for adding extra implementation methods (like `shuffle()`) since they do not improve coverage of stated requirement facts.
4. Overall judgment: Model 1 is better because it fulfills the critical requirement of specifying cardinalities and relationship types comprehensively, whereas Model 2 largely ignores multiplicities. Although Model 2 captures the `ConnectionPiece` concept more faithfully, its failure to provide essential cardinalities makes it a weaker UML class diagram according to the strict scoring criteria.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</si>
  <si>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</si>
  <si>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&amp; Completeness: Model 1 = 4, Model 2 = 3; Evidence: Model 1 accurately models the core domain concept of connection pieces by including a `ConnectionPiece` class and a `ConnectionPiecePile` class, which is necessary to represent the actions of taking pieces from the pile and returning them to the pile. Model 2 completely omits the `ConnectionPiece` class, using boolean flags (`isConnectedRight`, etc.) and an integer (`spareConnectionPieces: int`) which fails to capture the physical manipulation of game components. Model 2 does capture the 32 action cards limit in its deck association, whereas Model 1 misses this constraint.
2. Relationships, Cardinalities, and Types: Model 1 = 3, Model 2 = 4; Evidence: Model 2 excels at capturing specific cardinalities stated in the requirements, such as `Game "1" *-- "2..4" Player : players` and `Deck "1" *-- "32" ActionCard : cards`. Model 1 omits these multiplicity constraints entirely, only listing associations without numbers (e.g., `Game --&gt; Player : has players`, `Deck *- ActionCard : contains`). Both models correctly use inheritance (e.g., `Tile &lt;|-- ActionTile`), though Model 1 also models `HiddenTile` as a subclass.
3. Clarity in class names and attributes: Model 1 = 4, Model 2 = 3; Evidence: Model 1 provides a clear conceptual representation of the designer's role by including a `GameDesigner` class with relevant methods like `placeTile()`, `connectTiles()`, and `defineActionDeck()`, directly reflecting the requirement that a designer defines the game. Model 2 provides a bare `Designer` class with only a `name` attribute, failing to represent the design functionalities outlined in the requirement.
Total: Model 1 = 11, Model 2 = 10
Choice: A
Reason:
1. Functional Alignment &amp; Completeness: Model 1 is better because it identifies `ConnectionPiece` as a conceptual class, which is crucial for the game mechanics of adding and removing connection pieces from the board and the spare pile. Model 2's use of boolean flags fails to capture the domain's physical object manipulation.
2. Relationships, Cardinalities, and Types: Model 2 is better at implementing exact numeric constraints from the requirement (2..4 players, 32 action cards). Model 1 misses these multiplicities.
3. Rejected or checked issues: I did not penalize Model 1 for making `HiddenTile` a separate subclass instead of a boolean attribute, as the requirement allows for this interpretation and it does not contradict the domain rules. I did not penalize Model 2 for missing the `GameDesigner` methods under the "Forbidden Penalties", but rather scored it lower on clarity and domain representation for not modeling the design workflow.
4. Overall judgment: Model 1 is chosen as the better model because it successfully identifies and represents the fundamental domain objects required to play the game (such as physical connection pieces and the designer's responsibilities). While it misses some multiplicity constraints, its conceptual modeling is much more faithful to the gameplay mechanics described in the requirement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</si>
  <si>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</si>
  <si>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lacks an explicit `ConnectionPiece` class (modeling connections as booleans and a counter in `Game`), but represents `ActionTile` turning into a regular tile well via attributes (`turnsAsRegular`, `turnsRemaining`). Model 2 includes `ConnectionPiece` and `ConnectionPiecePile` explicitly, but uses subclassing for `HiddenTile`, `ActionTile`, and `RegularTile`, which implies type-changing or overlapping types when an action tile turns into a regular tile, making the conceptual representation somewhat awkward.
2. Associations/Multiplicities between classes for domain reasoning: Model 1 = 5, Model 2 = 2; Evidence: Model 1 explicitly models key domain constraints: `Game *-- "2..4" Player`, `Deck *-- "32" ActionCard`, and `Tile --&gt; "0..1" Tile` for each side (max one connection per side). Model 2 completely omits multiplicities on its associations (e.g., `Game --&gt; Player`, `Deck *- ActionCard`, `GameBoard *- Tile`), missing critical domain constraints like 2-4 players, 32 cards, and connection limits.
3. Model attributes with appropriate data types: Model 1 = 4, Model 2 = 4; Evidence: Both models use appropriate data types. Model 1 uses primitive types like `int`, `boolean`, and `String` for `color`, `isVisited`, and `spareConnectionPieces`. Model 2 uses enums like `TileColor`, `PlayingPieceColor`, and `ActionCardType` which is also good. Both models appropriately capture domain states like `isNextTurnLost` (Model 1) and `skippedTurns` (Model 2).
4. Consistencies of Terminology with given context: Model 1 = 5, Model 2 = 5; Evidence: Both models use consistent terminology matching the requirement, such as `Game`, `Tile`, `ActionCard`, `Deck`, `Player`, and `Die`. Model 2 uses `GameBoard` and `GameDesigner` which are clear synonyms for `Board` and `Designer`.
5. Adherence of UML class diagram standards: Model 1 = 5, Model 2 = 4; Evidence: Both use valid PlantUML syntax. However, Model 2's lack of multiplicities on relationships makes it less compliant with standard UML practices for detailed domain modeling, whereas Model 1 correctly applies multiplicities and navigability throughout the diagram.
Total: Model 1 = 23, Model 2 = 19
Choice: A
Reason:
1. Appropriate conceptual classes: Model 1 handles the ActionTile state change naturally via attributes, whereas Model 2 uses subclasses which complicates the dynamic state change of a tile turning into a regular tile. Model 2 does better by explicitly defining a `ConnectionPiece` class, making the conceptual alignment roughly even.
2. Associations/Multiplicities: Model 1 is vastly superior here, explicitly capturing essential domain multiplicities like 2..4 players, 32 action cards, and 0..1 connections per tile side. Model 2 lacks multiplicities entirely, failing to encode critical domain constraints.
3. Model attributes: Both models provide proper attributes with appropriate types, correctly capturing game mechanics like losing turns and tile states.
4. Terminology: Both models align perfectly with the terminology used in the requirement.
5. Rejected or checked issues: I did not penalize Model 2 for having extra methods or for using enums instead of primitive types, focusing purely on the semantic representation of domain constraints.
6. Overall judgment: Model 1 is significantly better because it successfully encodes the critical domain multiplicities and constraints (like 2..4 players, 32 cards, 0..1 connections per side) which are explicitly stated in the requirements, whereas Model 2 completely misses these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</si>
  <si>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</si>
  <si>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explicitly models domain objects such as `ConnectionPiece`, `ConnectionPiecePile`, `HiddenTile`, and subclasses of `Tile`, which fully align with the requirement. Model 2 lacks the `ConnectionPiece` and `ConnectionPiecePile` classes, instead substituting them with boolean flags (`isConnectedRight`) and an integer count (`spareConnectionPieces`), which loses the physical domain concept of manipulating pieces.
2. Associations/Multiplicities between classes for domain reasoning: Model 1 = 3, Model 2 = 5; Evidence: Model 1 identifies the correct relationships (e.g., `Game *-- Deck`, `GameBoard *- Tile`) but completely omits multiplicities, missing critical constraints like 2-4 players and 32 cards. Model 2 accurately captures multiplicities such as `Game "1" *-- "2..4" Player`, `Deck "1" *-- "32" ActionCard`, and `Tile --&gt; "0..1" Tile` for side connections, perfectly reflecting the domain rules.
3. Model attributes with appropriate data types: Model 1 = 4, Model 2 = 4; Evidence: Both models appropriately model attributes. Model 1 uses helpful enums (`PlayingPieceColor`, `TileColor`, `Side`) which adds semantic clarity. Model 2 uses `boolean` flags and `String` for color, which are acceptable but slightly less refined.
4. Consistencies of Terminology with given context: Model 1 = 5, Model 2 = 4; Evidence: Model 1 is fully consistent with the requirement text, using terms like `ConnectionPiecePile`, `GameBoard`, and `ActionTile`. Model 2 is mostly consistent but replaces "connection piece" concepts with generic integer and boolean attributes.
5. Adherence of UML class diagram standards: Model 1 = 4, Model 2 = 4; Evidence: Both models use valid PlantUML syntax and standard UML notation. Model 2 uses some single-line comments to denote opposite directionalities (e.g., `'opposite leftTile`), which is perfectly acceptable.
Total: Model 1 = 21, Model 2 = 20
Choice: C
Reason:
1. Appropriate conceptual classes aligned with the domain: Model 1 excels by correctly identifying the `ConnectionPiece` and `ConnectionPiecePile` classes that action cards interact with, maintaining high domain fidelity. Model 2's use of flags omits these physical game pieces.
2. Associations/Multiplicities between classes for domain reasoning: Model 2 excellently models the exact multiplicities requested (e.g., 2..4 players, 32 action cards, 0..1 connections per side). Model 1 severely lacks multiplicities on its associations.
3. Rejected or checked issues: The lack of an explicit `Connection` class in Model 2 is a structural loss, but its correct modeling of multiplicities is a strong domain reasoning win. Model 1's enums are good, but it fails to enforce the 2-4 player and 32 card limits visually.
4. Overall judgment: The meaningful quality difference is small as both models have complementary strengths and weaknesses. Model 1 captures all the conceptual classes beautifully but misses multiplicities. Model 2 perfectly captures all multiplicities and constraints but misses the `ConnectionPiece` conceptual class. Given the trade-off, the scores are nearly equal,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</si>
  <si>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</si>
  <si>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2 separates domain responsibilities into distinct classes like `GameDesigner`, `GameBoard`, `ConnectionPiece`, and `ConnectionPiecePile`, which enhances cohesion and reduces coupling. Model 1 merges spare connection piece management into the `Game` class as a primitive counter and handles connections directly via `Tile` associations, which is slightly less decoupled.
2. Complexity: Model 1 = 4, Model 2 = 3; Evidence: Model 1 uses a balanced level of complexity, modeling connections between tiles via simple directional associations (`Tile --&gt; "0..1" Tile : rightTile`), which elegantly captures the "at most one tile per side" constraint. Model 2 overcomplicates the structure with a disjoint inheritance hierarchy for tiles (`Tile &lt;|-- RegularTile`, `Tile &lt;|-- ActionTile`, `Tile &lt;|-- HiddenTile`) that imposes artificial restrictions, and introduces an explicit `ConnectionPiece` class that makes enforcing the per-side connection limit harder.
3. Practicability: Model 1 = 5, Model 2 = 3; Evidence: Model 1 is highly practical and accurately captures critical domain constraints, including the 2 to 4 players multiplicity (`Game *-- 2..4 Player`), the 32 action cards (`Deck *-- 32 ActionCard`), and the persistent starting position (`Player --&gt; "1" Tile : startingTile`). Model 2 omits the multiplicity for players and cards, misses the starting tile association entirely (only listing it as a method parameter in `GameDesigner`), and uses a disjoint tile hierarchy that prevents a tile from being both hidden and an action tile simultaneously.
Total: Model 1 = 12, Model 2 = 10
Choice: A
Reason:
1. Cohesion and Decoupling: Model 2 demonstrates better decoupling by separating the game designer, board, and connection pieces into individual classes. Model 1 handles these concepts more monolithically, merging spare pieces into the Game class and connections into the Tile class.
2. Complexity: Model 1 achieves a better balance of complexity. Its use of directional associations between tiles (`Tile --&gt; "0..1" Tile`) perfectly maps to the requirement's constraint that "at most one tile can be connected on each side." Model 2's disjoint inheritance hierarchy for tiles (`Tile &lt;|-- RegularTile`, `Tile &lt;|-- ActionTile`, `Tile &lt;|-- HiddenTile`) is overly complex and restricts the domain model, making it impossible for a single tile to be both an action tile and the hidden tile.
3. Rejected or checked issues: The use of primitive types (`int`, `String`) in Model 1 was not penalized as per the evaluation guidelines. Model 2's use of an enum for `TileColor` is a nice touch, but it does not compensate for the missing structural constraints.
4. Overall judgment: Model 1 is better overall because it provides a more practically accurate and complete representation of the required constraints. It explicitly models the 2..4 player limit, the 32 action cards, and the persistent relationship between a player and their starting tile. Model 2's failure to persistently model the starting tile association and its omission of critical multiplicities make it less viable for real-world implementation of the specified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</si>
  <si>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</si>
  <si>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effectively with distinct classes for `GameBoard`, `ConnectionPiece`, `ConnectionPiecePile`, `Deck`, and `Die`, keeping the `Game` class focused on orchestration. Model 2 lacks a `ConnectionPiece` class, instead coupling connection management to the `Tile` class (via `rightTile`, `leftTile`, etc.) and `Game` (via `spareConnectionPieces: int`), which reduces cohesion and increases coupling.
2. Complexity: Model 1 = 4, Model 2 = 3; Evidence: Model 1 uses an appropriate number of classes (18) to represent domain concepts without overcomplicating them, such as creating an inheritance hierarchy for `Tile` with `RegularTile`, `ActionTile`, and `HiddenTile`. Model 2 has fewer classes (12) but bloats the `Tile` class with 10 attributes, mixing concerns like `isHidden`, `isStartingPosition`, and connection flags, which is conceptually less accurate and unnecessarily complex at the class level.
3. Practicability: Model 1 = 4, Model 2 = 3; Evidence: Model 1 provides clear, modular interfaces (e.g., `ConnectionPiecePile` with `takePiece()` and `returnPiece()`) that are straightforward to implement and test. Model 2's reliance on a `Tile` class to manage both its own state and its connections, along with a primitive counter for spare pieces in `Game`, makes it harder to unit test and maintain. Model 2 does successfully model the "32" multiplicity for action cards (`Deck "1" *-- "32" ActionCard`), which Model 1 lacks as an explicit constraint.
Total: Model 1 = 12, Model 2 = 9
Choice: A
Reason:
1. Cohesion and Decoupling: Model 1 is better because it properly isolates domain concepts into their own classes (e.g., `ConnectionPiece`, `ConnectionPiecePile`), whereas Model 2 overloads the `Tile` class with connection management and pushes spare piece tracking into the `Game` class.
2. Complexity: Model 1 is better because it uses an inheritance tree to separate `Tile` variants cleanly, whereas Model 2 uses a single `Tile` class with a mix of attributes to represent multiple states, leading to a complex and poorly designed base class.
3. Rejected or checked issues: Model 2 explicitly captures the requirement for a "deck of 32 action cards" using the multiplicity `*-- "32" ActionCard`, while Model 1 omits this constraint. However, this single accurate constraint does not outweigh Model 1's superior architectural design. No forbidden penalties were applied.
4. Overall judgment: Model 1 provides a more modular, cohesive, and practical design that closely maps to the real-world domain objects and their interactions, making it easier to implement and test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</si>
  <si>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</si>
  <si>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4, Model 2 = 4; Evidence: Both models cover the primary game functionalities and components like Game, Player, Board, Die, and Deck. Model 1 omits the `ConnectionPiece` class, using direct `Tile --&gt; Tile` associations and an integer `spareConnectionPieces` for the pile. Model 2 includes `ConnectionPiece` but separates `HiddenTile` and `ActionTile` into mutually exclusive subclasses, which contradicts the domain logic (a tile can conceptually be both hidden and an action tile).
2. Relationships and Multiplicities: Model 1 = 4, Model 2 = 5; Evidence: Model 2 accurately models the connections between tiles and connection pieces (`Tile o-- "0..1" ConnectionPiece` and `ConnectionPiece --&gt; "2" Tile`), matching the requirement's focus on "connection pieces." Both correctly model the deck of 32 cards (`Deck *-- "32" ActionCard`) and the 2-4 players (`Game *-- "2..4" Player`).
3. Inheritance/Abstraction: Model 1 = 5, Model 2 = 4; Evidence: Model 1 uses an `ActionTile` subclass while leaving `isHidden` and `isStartingPosition` as boolean attributes on the base `Tile` class. This is a more domain-accurate abstraction because it allows an action tile to also be the hidden tile. Model 2's inheritance hierarchy (`Tile &lt;|-- RegularTile`, `Tile &lt;|-- HiddenTile`, `Tile &lt;|-- ActionTile`) forces these states to be mutually exclusive, which is a semantic weakness.
4. Conceptual Class Clarity: Model 1 = 4, Model 2 = 5; Evidence: Model 2 introduces classes that map directly to the requirement's vocabulary, such as `ConnectionPiece` and `GameDesigner`. Model 1 lacks `ConnectionPiece` as a conceptual class, representing it implicitly through Tile associations and an integer counter.
Total: Model 1 = 17, Model 2 = 18
Choice: B
Reason:
1. Requirement coverage: Model 2 covers the requirement's mention of "connection pieces" by explicitly modeling a `ConnectionPiece` class and its relationships, whereas Model 1 bypasses this concept entirely.
2. Relationships and Multiplicities: Model 2 provides a richer and more accurate relational model by showing how `ConnectionPiece` connects two `Tile` instances, directly reflecting the requirement text.
3. Rejected or checked issues: Model 2's mutually exclusive `Tile` subclasses (HiddenTile, ActionTile) are a domain flaw compared to Model 1's boolean attributes. However, this does not outweigh Model 2's significant advantage in correctly modeling the `ConnectionPiece` concept.
4. Overall judgment: Model 2 is better because it faithfully represents the `ConnectionPiece` domain concept, which is central to the game's design and action cards. Although Model 1 handles the Tile attributes more elegantly, missing the `ConnectionPiece` entity entirely is a larger semantic gap from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</si>
  <si>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</si>
  <si>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Functionalities achieved without hallucinations/additions: Model 1 = 5, Model 2 = 3; Evidence: Model 1 correctly models the 5 action cards as subclasses of `ActionCard` and models the `ConnectionPiece` as a conceptual class, matching the requirement's emphasis on connecting tiles and removing/placing connection pieces. Model 2 fails to model `ConnectionPiece` as a class, using boolean flags (`isConnectedRight`, etc.) instead, and misses the "pile of 32 spare connection pieces" as anything more than an integer attribute.
2. Conceptual classes and relationships accurately represent essentials: Model 1 = 5, Model 2 = 3; Evidence: Model 1 captures `ConnectionPiece`, `HiddenTile`, `ActionTile`, and `RegularTile` as distinct classes, which reflects the domain concepts. Model 2 omits the `ConnectionPiece` class entirely and replaces the `HiddenTile` concept with a boolean attribute `isHidden` on the `Tile` class, which is a weaker representation of the domain essentials.
3. Associations between classes, cardinalities, and types of relationships: Model 1 = 5, Model 2 = 4; Evidence: Model 1 accurately models associations like `Tile "1" o-- "0..1" ConnectionPiece` for each of the four sides, and `ConnectionPiece --&gt; "2" Tile : connects`, reflecting the maximum of one connection per side rule. Model 2 models adjacency with `Tile --&gt; "0..1" Tile` for each side, which captures navigability but misses the semantic relationship involving connection pieces.
4. Clarity in class names and optional inclusion of attributes: Model 1 = 5, Model 2 = 4; Evidence: Both models use clear class names and relevant attributes. However, Model 1's use of enums like `TileColor` (WHITE, BLACK) and `PieceColor` for the playing pieces is more semantically aligned with the requirement ("color of the tile changes from white to black", "different color") compared to Model 2's generic `String` type for `color`.
Total: Model 1 = 20, Model 2 = 14
Choice: A
Reason:
1. Functionalities achieved without hallucinations/additions: Model 1 is superior because it explicitly models the `ConnectionPiece` class and the 5 types of `ActionCard`s through inheritance, directly satisfying the requirement's detailed descriptions of connecting tiles and drawing action cards. Model 2's use of boolean flags for connections fails to represent the physical connection pieces described in the requirement.
2. Conceptual classes and relationships accurately represent essentials: Model 1 provides a richer and more accurate domain model by treating `HiddenTile`, `ActionTile`, `RegularTile`, and `ConnectionPiece` as first-class concepts. Model 2's reduction of these concepts to simple boolean flags on the `Tile` class (`isHidden`, `isConnectedRight`) is less faithful to the domain modeling required.
3. Rejected or checked issues: I did not penalize Model 2 for using an enum `ActionCardType` instead of inheritance for action cards, as both are valid ways to represent the 5 choices. I also did not penalize Model 1 for treating `HiddenTile` as a subclass rather than a boolean attribute, as the requirement does not explicitly forbid a tile from being both hidden and an action tile, but UML inheritance is a standard way to represent distinct tile types.
4. Overall judgment: Model 1 is significantly better because it captures the core domain concepts, particularly the `ConnectionPiece` class and the distinct `ActionCard` subclasses, which are heavily emphasized in the requirement but missing or inadequately represented in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</si>
  <si>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</si>
  <si>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4; Evidence: Model 2 includes the `ConnectionPiece` class, which is an essential domain concept mentioned in the requirement ("connects them with connection pieces", "pile of 32 spare connection pieces"). Model 1 misses this class entirely, representing connections only with boolean flags on `Tile` and an integer count on `Game`.
2. Associations/Multiplicities between classes for domain reasoning: Model 1 = 3, Model 2 = 4; Evidence: Model 2 correctly models the association between `Tile` and `ConnectionPiece` (`Tile "1" o-- "0..1" ConnectionPiece` for each direction) and the relationship `ConnectionPiece --&gt; "2" Tile : connects`, capturing the domain logic for connections. Model 1 lacks these associations due to the missing `ConnectionPiece` entity.
3. Model attributes with appropriate data types: Model 1 = 4, Model 2 = 4; Evidence: Both models capture necessary attributes appropriately. Model 1 uses `isVisited` and `isHidden` booleans, while Model 2 uses a `TileColor` enum for white/black transitions. Both capture the game state, player turn order, and action tile cooldown effectively.
4. Consistencies of Terminology with given context: Model 1 = 4, Model 2 = 4; Evidence: Both models use domain-specific terminology from the requirement such as `Game`, `Board`, `Tile`, `ActionTile`, `Deck`, `ActionCard`, `PlayingPiece`, and `Die`. Model 2 uses `GameDesigner` instead of `Designer`, which is a minor variation but acceptable.
5. Adherence of UML class diagram standards: Model 1 = 5, Model 2 = 5; Evidence: Both models correctly use UML class diagram syntax including enums, classes, abstract classes, associations, compositions, and multiplicities. Both are valid and well-structured PlantUML diagrams.
Total: Model 1 = 19, Model 2 = 21
Choice: B
Reason:
1. Appropriate conceptual classes aligned with the domain: Model 2 is better because it correctly identifies and models the `ConnectionPiece` class, a key entity in the domain that is missing in Model 1.
2. Associations/Multiplicities between classes for domain reasoning: Model 2 is better because it explicitly models the associations between `Tile` and `ConnectionPiece` and among connections, which is fundamental to the domain's reasoning about the game board layout. Model 1's reliance on boolean flags fails to capture these critical domain relationships.
3. Rejected or checked issues: Both models model `ActionTile` as a subclass of `Tile` while also having attributes for hidden/regular tiles. While this might be a slight domain restriction (preventing a tile from being both hidden and an action tile simultaneously), it is a minor issue present in both models and does not favor one over the other.
4. Overall judgment: Model 2 is better primarily due to its inclusion of the `ConnectionPiece` entity and its related associations, which are explicitly required by the domain context and absent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</si>
  <si>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</si>
  <si>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explicitly captures all core domain entities such as GameDesigner, Board, Tile (with subclasses RegularTile, HiddenTile, ActionTile), ConnectionPiece, Deck, ActionCard (with subclasses for the 5 specific cards), and Die. Model 2 misses the crucial `ConnectionPiece` class entirely, opting instead for boolean attributes on `Tile` (`isConnectedRight`, etc.). This omission breaks the domain concept of moving and removing physical connection pieces, and it lacks the specific subclasses for action cards.
2. Associations/Multiplicities between classes for domain reasoning: Model 1 = 5, Model 2 = 3; Evidence: Model 1 accurately models "at the most one tile can be connected on each side" using `Tile "1" o-- "0..1" ConnectionPiece` for all four directions, and `ConnectionPiece --&gt; "2" Tile : connects`. It also correctly models `Deck "1" *-- "32" ActionCard`. Model 2 models connections as `Tile --&gt; "0..1" Tile` for each side, which respects the multiplicity but fails to represent the physical `ConnectionPiece` needed to fulfill the domain actions of adding/removing pieces. 
3. Model attributes with appropriate data types: Model 1 = 5, Model 2 = 4; Evidence: Model 1 uses appropriate enums (`TileColor`, `PieceColor`) for colors and includes attributes like `spareConnectionPieces: int` and `cooldownTurns: int`. Model 2 uses `String` for `color` and `PlayingPiece` color instead of an enum, and uses `isConnectedRight: boolean` to represent connections which is an implementation detail rather than a domain attribute.
4. Consistencies of Terminology with given context: Model 1 = 5, Model 2 = 3; Evidence: Model 1 strictly uses terminology from the requirement, including `GameDesigner`, `ConnectionPiece`, `HiddenTile`, `ActionTile`, and `spareConnectionPieces`. Model 2 drops `ConnectionPiece` entirely, misses `HiddenTile` as a distinct class, and uses `startingTile` instead of the requirement's phrasing for starting positions.
5. Adherence of UML class diagram standards: Model 1 = 5, Model 2 = 5; Evidence: Both models adhere well to UML/PlantUML standards, using correct syntax for classes, enums, generalisation, and associations (including composition and aggregation). PlantUML comments in Model 2 are ignored as per the guidelines.
Total: Model 1 = 25, Model 2 = 18
Choice: A
Reason:
1. Appropriate conceptual classes aligned with the domain: Model 1 is superior because it fully encompasses the domain entities, notably the `ConnectionPiece` class and the explicit subclasses for both `Tile` (Regular, Hidden, Action) and `ActionCard` (the 5 specified types). Model 2's lack of a `ConnectionPiece` class severely limits its ability to represent the game's mechanics.
2. Associations/Multiplicities between classes for domain reasoning: Model 1 correctly relates `Tile` to `ConnectionPiece` with `0..1` multiplicities per side, reflecting the physical constraints of the board. Model 2 attempts to use direct Tile-to-Tile associations, which satisfies the "at most one tile" rule but fails to represent the spare pieces pile and the action card mechanics of adding/removing pieces.
3. Rejected or checked issues: No forbidden penalties were applied. Model 2's use of comments like `'opposite bank` was ignored as instructed. 
4. Overall judgment: Model 1 is significantly better because it accurately models the physical components of the game (connection pieces, deck of 32 action cards) and their associations, which are central to the game's rules and action card mechanics. Model 2 misses the `ConnectionPiece` entity and implements connections as boolean flags, which breaks the domain reasoning for several action cards.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</si>
  <si>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</si>
  <si>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show good cohesion. Model 1 encapsulates game states and card types using enums (`GameState`, `ActionCardType`), which keeps related concepts together but mixes connection logic into `Tile` as booleans (`isConnectedRight`, etc.). Model 2 uses a Strategy pattern for `ActionCard` with an abstract `execute` method and subclasses, providing high cohesion for card behaviors. Model 2 also introduces a `ConnectionPiece` class, decoupling connection logic from `Tile`. However, Model 2 slightly couples `Board` to the `HiddenTile` subclass via a direct association, whereas Model 1 uses a simple `isHidden` boolean which is more loosely coupled.
2. Complexity: Model 1 = 4, Model 2 = 3.5; Evidence: Model 1 is simpler with 12 classes, using enums for states and card types, and booleans for connections. Model 2 has 21 classes, introducing enums for colors and directions, as well as inheritance hierarchies for `Tile` (Regular, Hidden, Action) and `ActionCard` (5 subclasses). While the `ActionCard` hierarchy is justified, the `Tile` hierarchy adds some unnecessary complexity since tiles change behavior (e.g., ActionTile becoming regular) and state-based attributes would be more practical than subclassing.
3. Practicability: Model 1 = 3, Model 2 = 5; Evidence: Model 2 is significantly more practical for real-world implementation of this specific domain. The requirement explicitly mentions "connection pieces" and a "pile of 32 spare connection pieces", which Model 2 captures via the `ConnectionPiece` class, whereas Model 1 entirely omits this concept, using only booleans on `Tile`. Model 2's `ActionCard` with an `execute(game, player)` method perfectly models the requirement "follows the instructions on the action card" using polymorphism, making it highly practical. Model 2 also uses enums for colors (`PieceColor`), which is safer and more practical than Model 1's `String` type.
Total: Model 1 = 11, Model 2 = 12.5
Choice: B
Reason:
1. Cohesion and Decoupling: Model 2 slightly edges out by introducing a `ConnectionPiece` class, decoupling the connection logic from the `Tile` class itself, and using a Strategy pattern for `ActionCard`.
2. Complexity: Model 1 is simpler and avoids the slightly over-engineered `Tile` hierarchy found in Model 2. However, Model 2's complexity is largely justified by the domain requirements.
3. Rejected or checked issues: I did not penalize Model 1 for using enums instead of subclasses for action cards, as both are valid design choices. I did not penalize Model 2 for using unidirectional associations instead of bidirectional ones. 
4. Overall judgment: Model 2 is the better model because it provides a much more faithful and practical representation of the domain mechanics. The explicit modeling of `ConnectionPiece` and the polymorphic `ActionCard` hierarchy directly support the core game actions described in the requirement (e.g., "remove a connection piece", "follows the instructions on the action card"), whereas Model 1's oversimplification drops key domain concepts.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</si>
  <si>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</si>
  <si>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an abstract `ActionCard` class with subclasses for each type (`ExtraTurnCard`, `ConnectTilesCard`, etc.) and an `execute(game, player)` method, ensuring high cohesion for card behaviors. Model 2 uses a single `ActionCard` class with an `ActionCardType` enum, which couples all card behaviors into one class and reduces cohesion. Model 1 introduces a `ConnectionPiece` class to model the physical connections, whereas Model 2 relies on boolean flags (`isConnectedRight`, etc.) within the `Tile` class, missing the domain concept of managing connection pieces.
2. Complexity: Model 1 = 4, Model 2 = 4; Evidence: Model 1 has more classes (21 entities including enums and ActionCard subclasses) but uses them appropriately to represent distinct domain concepts (e.g., `ConnectionPiece`, `HiddenTile`, `ActionTile`). Model 2 is less complex with only 13 entities, but it oversimplifies the domain by merging tile types into boolean flags (`isHidden`, `isStartingPosition`) and lacking a connection piece class, which misaligns with the requirement's emphasis on a "pile of 32 spare connection pieces". 
3. Practicability: Model 1 = 5, Model 2 = 3; Evidence: Model 1 is highly practical, providing clear methods like `drawCard()`, `execute()`, `markVisited()`, `tickCooldown()`, and `roll()` that directly support game logic and testing. Model 2 is an anemic domain model with almost no methods defined (classes like `Game`, `Board`, `Tile`, `Deck`, and `ActionCard` lack any behavioral methods), making it harder to transition directly to implementation and testing without introducing large external logic blocks.
Total: Model 1 = 14, Model 2 = 10
Choice: A
Reason:
1. Cohesion and Decoupling: Model 1's use of the Strategy/State pattern for `ActionCard` and the explicit `ConnectionPiece` class result in much better cohesion and decoupling compared to Model 2's single `ActionCard` class with an enum and boolean flags for connections.
2. Complexity: While Model 1 is structurally larger, its complexity is justified and traceable to the requirements. Model 2 is simpler but achieves this by omitting key domain entities, reducing its fidelity to the requirement.
3. Rejected or checked issues: I ignored the difference in PlantUML comment styles and the use of `String` for `color` in Model 2 instead of an `enum` like in Model 1, as these are not explicitly penalized. I also did not penalize Model 2 for lacking an abstract superclass for `Tile`, as the requirement does not strictly forbid direct instantiation.
4. Overall judgment: Model 1 is significantly better. It provides a well-encapsulated, behavior-rich design with appropriate domain classes and polymorphism, whereas Model 2 presents an anemic data model with lower domain fidelity for connection pieces and action cards.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</si>
  <si>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</si>
  <si>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4; Evidence: Both models capture the core domain requirements. Model 1 represents the predefined action card choices using an `ActionCardType` enum and a `ConnectionPiecePile` class for the spare pieces. Model 2 represents the action cards as subclasses of `ActionCard` and tracks spare pieces as an integer attribute `spareConnectionPieces: int` in `Game`. Both models include the necessary conceptual classes (Game, GameDesigner, Player, Board, Tile, ActionTile, HiddenTile, Deck, Die, etc.) to fulfill the requirements.
2. Relationships and Cardinalities: Model 1 = 2, Model 2 = 5; Evidence: Model 1 lacks multiplicities on most associations, failing to specify the "2 to 4 players" constraint (`Game --&gt; Player : has players`), the deck of 32 cards, or the "at most one tile can be connected on each side" rule. Model 2 explicitly models these constraints with precise cardinalities, e.g., `Game "1" o-- "2..4" Player : players`, `Deck "1" *-- "32" ActionCard : cards`, and specifically models the sides with `Tile "1" o-- "0..1" ConnectionPiece : rightConnection` (and left/top/bottom), perfectly aligning with the requirement.
3. Inheritance and Composition: Model 1 = 4, Model 2 = 5; Evidence: Both models correctly use inheritance for tiles (`Tile &lt;|-- RegularTile`, `Tile &lt;|-- ActionTile`, `Tile &lt;|-- HiddenTile`). Model 2 also uses inheritance to represent the specific types of action cards (`ActionCard &lt;|-- ExtraTurnCard`, etc.), which is a transparent and valid domain refinement. Both use composition appropriately, but Model 2's compositions are enhanced by accurate multiplicities.
Total: Model 1 = 10, Model 2 = 14
Choice: B
Reason:
1. Alignment with requirement: Both models accurately represent the domain classes needed for the Tile-O application. Model 1 groups action card behaviors via an enum, while Model 2 uses an inheritance hierarchy. Both are valid approaches, resulting in a tie for basic alignment.
2. Relationships and Cardinalities: Model 2 is significantly better here. It strictly follows the requirement's constraints by adding multiplicities such as `2..4` for players, `32` for the action card deck, and `0..1` for connection pieces on each specific side of a tile. Model 1 omits these crucial multiplicities.
3. Inheritance and Composition: Both models appropriately use generalization for the different tile types. Model 2's extension of this pattern to the ActionCard classes and its rigorous application of multiplicities to composition/aggregation relationships give it a slight edge in structural accuracy.
4. Rejected or checked issues: Model 1's inclusion of many methods in `GameDesigner` and the explicit `ConnectionPiecePile` class were considered. However, per the guidelines, extra implementation-oriented detail is not rewarded over semantic correctness, and representing the spare pieces as an integer in Model 2 is semantically equivalent for this domain level.
5. Overall judgment: Model 2 is better because it translates the hard constraints of the requirement (number of players, deck size, and side-specific connection limits) into explicit UML multiplicities, whereas Model 1 largely omits these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</si>
  <si>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</si>
  <si>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and functionality coverage without hallucination: Model 1 = 5, Model 2 = 4; Evidence: Model 1 accurately captures the 2..4 players constraint (`Game "1" o-- "2..4" Player : players`), the 32 action cards (`Deck "1" *-- "32" ActionCard : cards`), and the starting positions (`Player --&gt; "1" Tile : startingPosition`). Model 2 misses these multiplicities (e.g., `Game --&gt; Player : has players` lacks the 2..4 constraint, `Deck *- ActionCard : contains` lacks the 32 multiplicity) and completely omits the starting position association for players. Both models address the action card choices and spare connection pieces, though neither explicitly models the "32" spare pieces multiplicity perfectly.
2. Conceptual classes, relationships, cardinalities, and types: Model 1 = 5, Model 2 = 3; Evidence: Model 1 accurately represents the maximum of one connection per side using explicit directional associations with 0..1 multiplicity (`Tile "1" o-- "0..1" ConnectionPiece : rightConnection`, etc.) and correctly identifies that a `ConnectionPiece` connects 2 `Tile`s (`ConnectionPiece --&gt; "2" Tile : connects`). Model 2 fails to model the directional connection constraints or the max one connection per side rule, simply stating `GameBoard *- ConnectionPiece : contains` and `ConnectionPiece --&gt; Tile : connects` without multiplicities. Model 1 also clearly distinguishes aggregation and composition.
3. Clarity in class names and optional inclusion of attributes: Model 1 = 5, Model 2 = 4; Evidence: Both models use clear, domain-accurate class names (e.g., `HiddenTile`, `ActionTile`, `ConnectionPiece`). Model 1 uses subclasses for the 5 action card types (`ExtraTurnCard`, `ConnectTilesCard`, etc.), which cleanly represents the different instructions. Model 2 uses a single `ActionCard` class with an `ActionCardType` enum, which is acceptable but slightly less expressive behaviorally. Model 1's attributes like `cooldownTurns` and `remainingCooldown` align perfectly with the requirement that action tiles turn into regular tiles for a number of turns.
Total: Model 1 = 15, Model 2 = 11
Choice: A
Reason:
1. Strict alignment and functionality coverage: Model 1 is significantly better because it captures key domain constraints that Model 2 misses, such as the 2..4 players constraint, the 32 action cards multiplicity, the starting positions of players, and the maximum one connection per side rule.
2. Conceptual classes and relationships: Model 1's use of directional associations for tile connections with `0..1` multiplicity directly fulfills the requirement that "At the most one tile can be connected on each side." Model 2 omits this structural constraint entirely and leaves several associations without multiplicities, making the conceptual model much weaker.
3. Rejected or checked issues: Neither model perfectly models the "pile of 32 spare connection pieces" with the exact multiplicity of 32 as a separate class, though Model 2 introduces a `ConnectionPiecePile` class (albeit missing the 32 multiplicity) and Model 1 uses a simple `int` attribute. This was not used as a deciding factor since both models have a slight imperfection here, but Model 1's strengths in other multiplicities far outweigh this.
4. Overall judgment: Model 1 provides a much more accurate and rigorous UML representation of the domain, adhering closely to the stated requirements with correct multiplicities and structural constraints, whereas Model 2 is vague and omits several key cardinalities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</si>
  <si>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</si>
  <si>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essential domain classes: Game, GameDesigner, Board/GameBoard, Tile (with RegularTile, ActionTile, HiddenTile subclasses), ConnectionPiece, Player, PlayingPiece, Deck, ActionCard, and Die. Model 1 uses an explicit `ConnectionPiecePile` class, while Model 2 models the spare pieces as an integer attribute `spareConnectionPieces: int` in Game. Model 2 also models specific ActionCard subclasses (e.g., `ExtraTurnCard`, `ConnectTilesCard`), whereas Model 1 uses an `ActionCardType` enum. Both approaches are valid representations of the domain concepts.
2. Associations/Multiplicities between classes for domain reasoning: Model 1 = 3, Model 2 = 5; Evidence: Model 1 severely lacks multiplicity constraints, leaving most relationships without bounds (e.g., `Game --&gt; Player : has players` misses the 2..4 constraint, `Deck *- ActionCard : contains` misses the 32 cards constraint, `GameBoard *- Tile : contains` misses the bounds). It also models the side connections of tiles simply as `ConnectionPiece --&gt; Tile : connects`, which does not explicitly enforce the "at most one per side" rule. Model 2 accurately captures the critical domain constraints: `Game "1" o-- "2..4" Player : players`, `Deck "1" *-- "32" ActionCard : cards`, and explicitly models the 0..1 connections per side (`Tile "1" o-- "0..1" ConnectionPiece : rightConnection`, etc.), perfectly reflecting the requirement.
3. Model attributes with appropriate data types: Model 1 = 4, Model 2 = 5; Evidence: Model 1 includes appropriate attributes like `currentCooldown: int`, `skippedTurns: int`, and `x: int, y: int` for tiles. Model 2 includes `turnNumber: int`, `spareConnectionPieces: int`, `remainingCooldown: int`, and `skipNextTurn: boolean`, covering the gameplay state effectively and matching the requirement's terminology better (e.g., tracking spare connection pieces as an integer is a concise way to represent the pile without needing a separate class). 
4. Consistencies of Terminology with given context: Model 1 = 5, Model 2 = 5; Evidence: Both models maintain strong consistency with the requirement's terminology, using terms like `ActionTile`, `HiddenTile`, `ConnectionPiece`, and `PlayingPiece`. 
5. Adherence of UML class diagram standards: Model 1 = 3, Model 2 = 5; Evidence: Model 1 frequently omits multiplicities on both ends of associations (e.g., `Game *-- GameBoard : has`, `Game --&gt; Player : has players`), which violates standard UML practice where relationships should indicate cardinality. Model 2 provides explicit and correct multiplicities for all relationships, adhering strictly to UML standards and making the diagram's semantics clear and unambiguous.
Total: Model 1 = 20, Model 2 = 25
Choice: B
Reason:
1. Appropriate conceptual classes aligned with the domain: Both models correctly identify the main actors and components. Model 1 introduces a `ConnectionPiecePile` class, which is semantically faithful, but Model 2 compensates by modeling it as a count attribute and adding specific subclasses for the action cards. They are comparable here.
2. Associations/Multiplicities between classes for domain reasoning: Model 2 is vastly superior here. It accurately incorporates the strict business rules from the requirement (2..4 players, 32 action cards, 0..1 connections per specific side). Model 1 misses almost all multiplicities, failing to capture these vital domain constraints.
3. Model attributes with appropriate data types: Both models do a good job, but Model 2's attributes like `spareConnectionPieces` and `remainingCooldown` map very well to the specific rules mentioned in the text.
4. Consistencies of Terminology with given context: Both models use accurate and relevant terminology aligned with the text.
5. Rejected or checked issues: Model 1's use of unidirectional associations with no multiplicities is not a stylistic choice but a structural omission that fails to represent the domain constraints effectively. Model 2's decision to use an integer for spare pieces instead of a full class is not penalized as it covers the required state without overcomplicating the design.
6. Overall judgment: Model 2 is significantly better because it correctly captures the structural and cardinality constraints of the domain (e.g., the exact number of action cards, player limits, and directional connection limits) and adheres strictly to UML standards by providing explicit multiplicities, whereas Model 1 largely omits these essential details.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</si>
  <si>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</si>
  <si>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diagrams include the core domain classes: `Game`, `GameDesigner`, `Player`, `PlayingPiece`, `Tile`/`RegularTile`/`HiddenTile`/`ActionTile`, `ConnectionPiece`, `Deck`, `ActionCard`, and `Die`. Model 1 models the five action-card choices as subclasses (`ExtraTurnCard`, `ConnectTilesCard`, etc.), while Model 2 uses an `ActionCardType` enum, which is semantically acceptable. Model 2 additionally models `ConnectionPiecePile`, while Model 1 uses a `spareConnectionPieces: int` attribute, both acceptable.
2. Associations/Multiplicities between classes for domain reasoning: Model 1 = 5, Model 2 = 2; Evidence: Model 1 explicitly captures key multiplicities, e.g. `Game "1" o-- "2..4" Player : players`, `Deck "1" *-- "32" ActionCard : cards`, `Tile "1" o-- "0..1" ConnectionPiece : rightConnection`, `Player --&gt; "1" Tile : startingPosition`, and `PlayingPiece --&gt; "1" Tile : currentTile`. Model 2 identifies many associations but omits almost all multiplicities, e.g. `Game --&gt; Player : has players`, `Deck *- ActionCard : contains`, `GameBoard *- Tile : contains`, and `ConnectionPiece --&gt; Tile : connects` have no multiplicity labels. It also lacks a structural `startingPosition` association; only `GameDesigner.setStartingPosition(...)` is present as a method.
3. Model attributes with appropriate data types: Model 1 = 5, Model 2 = 4; Evidence: Model 1 uses appropriate attributes such as `Game.state: GameState`, `Tile.color: TileColor`, `ActionTile.cooldownTurns: int`, `ActionTile.remainingCooldown: int`, `Player.order: int`, and `PlayingPiece.color: PieceColor`. Model 2 also has appropriate attributes such as `ActionTile.cooldownTurns: int`, `ActionTile.currentCooldown: int`, `Player.playerNumber: int`, and `ActionCard.type: ActionCardType`, but it redundantly models some associations as both attributes and associations, e.g. `Player.currentTile : Tile` and `Player --&gt; Tile : current tile`, `Game.currentPlayer : Player` and `Game --&gt; Player : current player`.
4. Consistencies of Terminology with given context: Model 1 = 5, Model 2 = 5; Evidence: Both use domain-consistent terms: `GameDesigner`, `Board`/`GameBoard`, `ConnectionPiece`, `ActionTile`, `HiddenTile`, `Deck`, `Die`, and the five action-card meanings. Model 1 names action-card subclasses clearly (`ExtraTurnCard`, `ConnectTilesCard`, `RemoveConnectionCard`, `MoveToTileCard`, `LoseTurnCard`); Model 2 uses `ActionCardType` values such as `ROLL_EXTRA_TURN`, `CONNECT_TILES`, `REMOVE_CONNECTION`, `MOVE_TO_ARBITRARY_TILE`, and `LOSE_TURN`.
5. Adherence of UML class diagram standards: Model 1 = 5, Model 2 = 5; Evidence: Both use valid PlantUML/UML notation: enums, abstract classes, inheritance, composition/aggregation, and associations. Model 1 consistently adds multiplicities and role labels. Model 2 is syntactically valid and understandable, though its associations lack multiplicity labels; that is scored under associations rather than UML syntax.
Total: Model 1 = 25, Model 2 = 21
Choice: A
Reason:
1. Appropriate conceptual classes aligned with the domain: Both models cover the main domain concepts well, so this criterion is tied.
2. Associations/Multiplicities between classes for domain reasoning: Model 1 is substantially stronger because it encodes the required business multiplicities, such as 2..4 players, 32 action cards, 0..1 connection pieces per tile side, and starting/current tile positions. Model 2 omits almost all multiplicities and lacks a structural starting-position relationship, weakening domain reasoning.
3. Model attributes with appropriate data types: Both have suitable attributes, but Model 1 is cleaner and avoids redundant attribute/association duplication for current player, winner, and current tile.
4. Consistencies of Terminology with given context: Both models use terminology consistent with the Tile-O requirement.
5. Adherence of UML class diagram standards: Both are syntactically valid UML/PlantUML; the decisive difference is domain-level multiplicity completeness, not notation legality.
Rejected or checked issues: I did not penalize Model 2 for using an `ActionCardType` enum instead of action-card subclasses, nor Model 1 for using `spareConnectionPieces: int` instead of a separate pile class. I also did not penalize primitive-type spellings such as `int`, `boolean`, or `String`. Missing multiplicities in Model 2 were treated as an association/domain-reasoning issue rather than a UML syntax violation.
Overall judgment: Model 1 is better because it represents the same domain concepts with complete, requirement-critical multiplicities and structural relationships, especially players 2..4, deck of 32 action cards, per-side connections, starting positions, and current tile placement.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</si>
  <si>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</si>
  <si>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uses a single `ActionCard` class with an `ActionCardType` enum and an `execute(player: Player)` method. This forces the `ActionCard` to handle all 5 different actions via conditional logic (e.g., switch statement) and requires the `Player` to have access to the `GameBoard` and `ConnectionPiecePile` to perform actions like removing a connection piece, leading to higher coupling. Model 2 uses an abstract `ActionCard` class with 5 subclasses (e.g., `ExtraTurnCard`, `ConnectTilesCard`) and passes `execute(game: Game, player: Player)`, properly decoupling the card logic and providing the necessary context without requiring the `Player` to know about the board.
2. Complexity: Model 1 = 4, Model 2 = 4; Evidence: Model 1 introduces a `ConnectionPiecePile` class to manage the 32 spare connection pieces, which is a reasonable level of complexity for a domain entity. Model 2 reduces the pile to a simple integer attribute `spareConnectionPieces: int` in `Game`, which loses the entity nature of the pieces but reduces complexity. Model 2 introduces 5 subclasses for action cards and 4 specific directional associations from `Tile` to `ConnectionPiece` (`rightConnection`, `leftConnection`, etc.). This accurately models the complex side-connection rules but increases structural complexity. Both models exhibit a balanced level of complexity for the domain.
3. Practicability: Model 1 = 4, Model 2 = 2; Evidence: Model 1 explicitly assigns behaviors to the relevant classes, such as `GameDesigner` having `placeTile()`, `connectTiles()`, `setHiddenTile()`, and `defineActionDeck()`, and `Player` having `move()` and `executeActionCard()`. This provides a clear and comprehensive representation of the software's functionalities. Model 2 falls short by presenting an anemic domain model where critical classes like `GameDesigner` and `Player` have only attributes and no methods. The requirement details many designer and player actions, but Model 2 fails to represent these behaviors in the class structure, making it less practical for implementation and testing. Additionally, Model 2's use of an `int` for `spareConnectionPieces` is less practical than Model 1's object-oriented `ConnectionPiecePile` since connection pieces are physical entities that move between the board and the pile.
Total: Model 1 = 11, Model 2 = 10
Choice: A
Reason:
1. Cohesion and Decoupling: Model 2 is superior here due to its use of the Strategy/Command pattern via an abstract `ActionCard` and its subclasses, properly passing `game` context to the `execute` method, whereas Model 1 relies on an enum and insufficient context.
2. Complexity: Both models have similar levels of complexity. Model 1 uses a dedicated class for the spare pieces pile, while Model 2 uses structural complexity to map the 4-sided connection rule directly to associations.
3. Rejected or checked issues: I did not penalize Model 1 for using an enum for ActionCards, as it is a valid design choice, though less extensible. I did not penalize Model 2 for using `int` for spare pieces under the complexity criterion, but it factored into practicability.
4. Overall judgment: Model 1 is better overall because it properly allocates behaviors and operations to the domain classes. The requirement explicitly states that the designer places tiles, connects them, and defines the deck, and players take turns and move. Model 1 captures these behaviors in the `GameDesigner` and `Player` classes. Model 2 fails to include any methods for `GameDesigner` and `Player`, making it an incomplete representation of the required behaviors. Furthermore, Model 1's use of a `ConnectionPiecePile` class correctly models the spare connection pieces as objects that are taken and returned, aligning better with the domain description than a simple integer counter in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</si>
  <si>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</si>
  <si>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represents the 5 action cards as subclasses of an abstract `ActionCard` class with a polymorphic `execute(game, player)` method, providing high cohesion. Model 2 uses a single `ActionCard` class with an `ActionCardType` enum and an `execute(player)` method, which implies a switch statement and lower cohesion, and it lacks the `game` parameter needed for actions that affect the board or turn state. Model 2 introduces a `ConnectionPiecePile` class, which is a cohesive concept, but Model 1 tracks spare pieces as a simple integer in `Game`, which reduces coupling without losing domain meaning.
2. Complexity: Model 1 = 4, Model 2 = 3; Evidence: Model 1 accurately models the board connections via four explicit associations from `Tile` to `ConnectionPiece` (`rightConnection`, `leftConnection`, etc.) with multiplicity `0..1`, matching the requirement "At the most one tile can be connected on each side." Model 2 uses a `ConnectionPiece` with `side1` and `side2` and two `connects` associations, but fails to enforce the per-side multiplicity constraint. Model 2 also adds unnecessary complexity in `GameDesigner` with implementation-specific methods like `placeTile` and `connectTiles`, whereas Model 1 keeps it simple with just a `name`.
3. Practicability: Model 1 = 4, Model 2 = 3; Evidence: Model 1 provides accurate multiplicities: `Game o-- "2..4" Player` and `Deck *-- "32" ActionCard`. Model 2 omits multiplicities for the players and action cards (`Game --&gt; Player : has players` and `Deck *- ActionCard : contains`), making it less clear and less practical for testing and implementation. Model 1 models `skipNextTurn` as a boolean, perfectly matching "lose your next turn", while Model 2 uses `skippedTurns: int`, which is slightly less precise but acceptable.
Total: Model 1 = 12, Model 2 = 9
Choice: A
Reason:
1. Cohesion and Decoupling: Model 1's use of polymorphism for `ActionCard` subclasses promotes high cohesion and better adherence to the Open/Closed Principle compared to Model 2's enum-based approach. Model 1's `execute` method also appropriately accepts both `game` and `player`, whereas Model 2 only accepts `player`, making it impractical for actions like "connect two adjacent tiles".
2. Complexity: Model 1 correctly captures the constraints of tile connections by using four explicit directional associations with `0..1` multiplicity. Model 2's generic `ConnectionPiece` fails to represent the "at most one per side" constraint at the diagram level, reducing its domain accuracy.
3. Rejected or checked issues: I did not penalize Model 1 for lacking a `ConnectionPiecePile` class since tracking it as an integer attribute is a valid simplification, nor did I penalize Model 2 for using `int` for `skippedTurns` since it could technically work, though a boolean is more precise.
4. Overall judgment: Model 1 is better because it offers a more accurate and practical domain representation with explicit multiplicities, better object-oriented design for action cards, and clearer constraints for board tile connections, while Model 2 lacks key multiplicities and relies on less cohesive design patterns.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</si>
  <si>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</si>
  <si>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</si>
  <si>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</si>
  <si>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3; Evidence: Model 1 captures all required relationships, including the crucial University-to-Employee association, and properly models the "hours" attribute via a `ProjectInvolvement` association class. Model 2 misses the University-to-Employee relationship entirely, uses "many" as a multiplicity (invalid), and attempts to attach the `hours` attribute as inline text on the relation (`involved in (hours : int)`). Model 1 adds a minor hallucinated attribute `name : String` to the University, which is not in the requirement.
2. Classes and Relationships: Model 1 = 5, Model 2 = 3; Evidence: Model 1 correctly models composition for University-Faculty and Faculty-Institute, and uses inheritance to distinguish Employee types and roles (ResearchStaff -&gt; ResearchAssistant -&gt; Lecturer). Model 2 correctly models inheritance but uses invalid string "many" for composition multiplicities instead of `*` or `1..*`, and omits the university-employee relationship.
3. Cardinalities and Multiplicities: Model 1 = 5, Model 2 = 3; Evidence: Model 1 uses valid and accurate multiplicities for all associations (e.g., `1..*` for RA assigned to Institute, `1` to `*` for University to Employee). Model 2 uses the word "many" which is not a valid UML multiplicity literal, and lacks multiplicities for the University-Employee relation since the association is missing.
4. Clarity in class names and attributes: Model 1 = 5, Model 2 = 4; Evidence: Model 1 has clear class names and well-defined attributes for all classes. Model 2 has good class names but uses a non-standard inline text for association attributes and defines `id` as `String` in Course, whereas the requirement states it is a "number (ID)".
Total: Model 1 = 19, Model 2 = 13
Choice: A
Reason:
1. Alignment with Requirement: Model 1 accurately covers all domain requirements, including the involvement of RAs in projects for a certain number of hours (using a `ProjectInvolvement` class). Model 2 misses the critical relationship between the University and its Employees, and fails to cleanly model the project hours attribute.
2. Classes and Relationships: Model 1 uses valid UML composition and inheritance structures to map the university structure and employee hierarchy. Model 2 fails to use valid multiplicities (using "many" instead of `*`) and lacks the University-Employee link.
3. Rejected or checked issues: Model 1 includes a `name` attribute for the `University` class, which is a minor addition not explicitly requested by the prompt, but it does not contradict the requirement. Model 2's use of "many" is not a forbidden penalty as it is not equivalent to `*` or `1..*`, making it an invalid multiplicity.
4. Overall judgment: Model 1 is significantly better because it captures all required relationships accurately using valid UML semantics, whereas Model 2 misses key associations and uses invalid syntax.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</si>
  <si>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</si>
  <si>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Attributes: Model 1 = 4.5, Model 2 = 4.5; Evidence: Both models correctly capture University, Faculty, Institute, Employee, AdministrativeStaff, ResearchStaff/ResearchAssistant, Lecturer, Project, and Course with their required attributes. Model 1 uses `ResearchStaff` as the concrete class for RAs, which is acceptable. Model 2 explicitly distinguishes between `ResearchStaff` and `ResearchAssistant` via inheritance, which perfectly maps to the requirement wording. However, Model 2 introduces a minor unrequested attribute `name : String` for the `University` class.
2. Relationships, Multiplicities, and Types: Model 1 = 4.0, Model 2 = 4.5; Evidence: Both models correctly use composition for University-Faculty and Faculty-Institute, and correctly model the Dean relationship (Faculty to 1 Employee). Inheritance hierarchies are correctly established for staff types. However, for the requirement "RAs can be involved in projects for a certain number of hours", Model 1 uses an inline association name `(hours : int)` which is semantically non-standard in UML/PlantUML for attaching attributes to an association without an explicit Association Class. Model 2 resolves this excellently by introducing a `ProjectInvolvement` class with an `hours : int` attribute, cleanly representing the many-to-many relationship and the hours constraint. Both models correctly assign RAs to 1..* Institutes and Lecturers to 0..* Courses.
Total: Model 1 = 8.5, Model 2 = 9.0
Choice: B
Reason:
1. Conceptual Classes and Attributes: Both models capture the essential domain concepts and attributes accurately. Model 2's minor addition of a `name` attribute to `University` is a slight hallucination but does not detract from the overall correct domain representation. Model 2's explicit distinction between `ResearchStaff` and `ResearchAssistant` is a very precise mapping of the requirement text.
2. Relationships, Multiplicities, and Types: Model 2 is slightly better here because of how it handles the project involvement requirement. The requirement states RAs are "involved in projects for a certain number of hours". Model 1 tries to attach this as an inline string in the association label, which does not create a proper association attribute in standard UML. Model 2 correctly models this by creating an intermediate `ProjectInvolvement` class with the `hours` attribute, which is a best practice for many-to-many relationships with attributes in UML class diagrams.
3. Rejected or checked issues: The use of opposite unidirectional associations in Model 2 (e.g., `Faculty --&gt; Employee` and `Employee --&gt; Faculty`) instead of a single bidirectional line is explicitly mentioned in the forbidden penalties and was not used to penalize Model 2. Both models use `*` or `many` for multiplicities, which is standard.
4. Overall judgment: Model 2 is better due to its more accurate UML semantic handling of the many-to-many relationship between Research Assistants and Projects, which requires an attribute for the number of hours.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</si>
  <si>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</si>
  <si>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the `ResearchAssistant` class as specified in the requirement ("Research assistants (RA) are assigned...") and creates a `Lecturer` class that inherits from it ("Some RAs teach courses. In this case, they are referred to as lecturers."). Model 2 replaces `ResearchAssistant` with `ResearchStaff` and makes `Lecturer` inherit directly from `ResearchStaff`, missing the explicit RA distinction. Model 1 also introduces a `ProjectInvolvement` class to handle the hours for project involvement.
2. Associations/Multiplicities between classes for domain reasoning: Model 1 = 5, Model 2 = 4; Evidence: Both models accurately capture the "at least one institute" constraint with `1..*`. Model 1 models project involvement using a separate `ProjectInvolvement` class with `0..*` multiplicity, which cleanly captures the "certain number of hours" attribute. Model 2 models this as an association attribute (`involved in (hours : int)`) which is also semantically correct but less explicit in a pure class diagram. Model 1 also uses standard multiplicity literals.
3. Model attributes with appropriate data types: Model 1 = 5, Model 2 = 5; Evidence: Both models correctly assign types to attributes. Model 1 uses `int` for Course `id`, Model 2 uses `String`; both are acceptable as "unique number (ID)" could be modeled either way. Model 1 uses `double` for `weeklyDurationHours`, while Model 2 uses `int`. Both appropriately capture the required attributes.
4. Consistencies of Terminology with given context: Model 1 = 5, Model 2 = 4; Evidence: Model 1 uses the exact terminology from the requirement, such as `ResearchAssistant`. Model 2 uses `ResearchStaff` which deviates from the requirement's explicit mention of "Research assistants (RA)".
5. Adherence of UML class diagram standards: Model 1 = 5, Model 2 = 4; Evidence: Model 1 uses standard UML multiplicities (`*`, `1..*`, `0..*`). Model 2 uses the word `"many"` instead of the standard `*` or `0..*` for its associations (e.g., `ResearchStaff "many" --&gt; "0..*" Course`). While PlantUML accepts it, it is not standard UML notation.
Total: Model 1 = 25, Model 2 = 22
Choice: A
Reason:
1. Appropriate conceptual classes: Model 1 accurately captures the distinction between ResearchStaff, ResearchAssistant, and Lecturer as a hierarchy, whereas Model 2 omits the ResearchAssistant class.
2. Associations/Multiplicities: Both models handle the multiplicities well, but Model 1 adheres more strictly to standard UML notation for multiplicities by using `*` instead of `"many"`.
3. Rejected or checked issues: The difference in `int` vs `double` for weekly hours, or `String` vs `int` for course ID, was not penalized as both are valid modeling choices for these unspecified details. The explicit `ProjectInvolvement` class in Model 1 was rewarded as it provides clear domain reasoning for the hours attribute.
4. Overall judgment: Model 1 is better because it uses standard UML notation for multiplicities and perfectly captures the domain terminology and class hierarchy regarding Research Assistants and Lecturers as specified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</si>
  <si>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</si>
  <si>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capture the essential domain classes: University, Faculty, Institute, Employee, Project, and Course. Model 1 uses `ResearchStaff` directly to represent the Research Assistant (RA) concept, whereas Model 2 introduces an extra subclass `ResearchAssistant` inheriting from `ResearchStaff`, which is a valid but more granular interpretation of the requirement's wording ("distinction is made between research and administrative staff. Research assistants...").
2. Associations/Multiplicities between classes for domain reasoning: Model 1 = 5, Model 2 = 5; Evidence: Both accurately model the University composing Faculties and Faculties composing Institutes. Both correctly assign a Dean (Employee) to a Faculty, and both model the assignment of RAs to at least one Institute (`1..*`). Both also correctly handle the involvement of RAs in projects for a certain number of hours (Model 1 uses an association attribute `(hours : int)`, while Model 2 introduces an explicit `ProjectInvolvement` class, which is standard UML practice for reified relationships).
3. Model attributes with appropriate data types: Model 1 = 5, Model 2 = 5; Evidence: Both models capture the required attributes with appropriate types: `totalEmployees` as int, `name` as String, `address` as String, `socialSecurityNumber` as String, `startDate`/`endDate` as Date, and `weeklyDurationHours` as int/double. Model 2 uses `int` for the Course `id` which aligns well with the requirement's "unique number (ID)", while Model 1 uses `String`. Model 2 also adds an unnecessary `name` attribute to University, but it does not detract from the correct modeling of the required attributes.
4. Consistencies of Terminology with given context: Model 1 = 5, Model 2 = 5; Evidence: Both models adhere well to the terminology provided in the requirements. They use terms like Faculty, Institute, Dean, AdministrativeStaff, ResearchStaff, Lecturer, and Course exactly as specified in the text. Model 2's inclusion of `ResearchAssistant` explicitly matches the acronym "(RA)" mentioned in the text, while Model 1 maps it directly to `ResearchStaff`.
5. Adherence of UML class diagram standards: Model 1 = 4, Model 2 = 5; Evidence: Both use valid PlantUML syntax and structure. However, Model 1 places the `hours : int` attribute directly on the association relationship line as an inline association attribute. While supported by some UML tools, standard UML typically uses an Association Class or an explicit intermediate class for this. Model 2 correctly models this with a `ProjectInvolvement` class, adhering more strictly to conventional UML class diagram standards.
Total: Model 1 = 24, Model 2 = 25
Choice: B
Reason:
1. Appropriate conceptual classes aligned with the domain: Both models successfully identify and align classes with the domain. Model 2's addition of the `ResearchAssistant` class is a transparent refinement that cleanly separates the category (`ResearchStaff`) from the specific role described in the text (`Research Assistant`), but both approaches are valid.
2. Associations/Multiplicities between classes for domain reasoning: Both models exhibit correct multiplicity constraints and associations. The handling of the "hours" in the project involvement relationship is the main differentiator here. Model 2's approach of using an explicit `ProjectInvolvement` class is a very strong domain reasoning choice.
3. Rejected or checked issues: Model 2 uses bidirectional associations with `'opposite` comments, which was explicitly listed as a forbidden penalty in the instructions, so this was ignored for scoring. Model 2 adding a `name` to University was considered harmless. Model 1's use of `String` for `Course` id instead of `int` was also ignored as an acceptable alias/primitive type variation.
4. Overall judgment: While both models provide excellent coverage of the requirements, Model 2 is slightly better due to its adherence to standard UML practices by introducing the `ProjectInvolvement` class to resolve the many-to-many relationship with an attribute, rather than using an inline association attribute as Model 1 does. Therefore, Model 2 is chosen.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</si>
  <si>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</si>
  <si>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exhibit good cohesion and reasonable decoupling. Model 1 introduces a `ProjectInvolvement` class to manage the hours spent on a project, while Model 2 uses an association attribute `involved in (hours : int)`. Both are valid approaches, keeping project and research assistant logic separate and cohesive.
2. Complexity: Model 1 = 4, Model 2 = 4; Evidence: Model 1 uses 11 classes with an inheritance depth of 4 (Employee -&gt; ResearchStaff -&gt; ResearchAssistant -&gt; Lecturer). Model 2 uses 9 classes with an inheritance depth of 3 (Employee -&gt; ResearchStaff -&gt; Lecturer). Model 1's added complexity accurately reflects the requirement's explicit distinction between Research Assistants and Lecturers. Model 2 is simpler but slightly less precise in modeling the specific terms.
3. Practicability: Model 1 = 5, Model 2 = 4; Evidence: Model 1 explicitly models the `ResearchAssistant` class as stated in the requirements and correctly models `Lecturer` as a subclass of it. Model 2 uses `ResearchStaff` to represent Research Assistants, which is a slight deviation from the domain terminology ("Research assistants (RA)"). Model 1's use of a dedicated `ProjectInvolvement` class also clearly represents the many-to-many relationship with hours, enhancing practical readability.
Total: Model 1 = 13, Model 2 = 12
Choice: A
Reason:
1. Cohesion and Decoupling: Both models achieve similar levels of cohesion and decoupling, using valid UML mechanisms for the project hours (a separate class vs. an association attribute).
2. Complexity: Model 1 is slightly more complex with 11 classes, but this complexity is justified by accurately modeling the distinct domain concepts of `ResearchAssistant` and `Lecturer` as separate entities in the inheritance hierarchy.
3. Rejected or checked issues: Did not penalize Model 2 for using `int` instead of `Integer` or `String` instead of `string`. Did not penalize Model 1 for adding `name` to `University` (harmless extra detail). Both models use bidirectional or unidirectional associations appropriately.
4. Overall judgment: Model 1 is better because it more faithfully adheres to the domain terminology provided in the requirements. It explicitly names the `ResearchAssistant` class and correctly derives `Lecturer` from it. It also clearly handles the "certain number of hours" constraint with a dedicated `ProjectInvolvement` class, which is highly practical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</si>
  <si>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</si>
  <si>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places the "hours" attribute directly on the association label between ResearchStaff and Project (`involved in (hours : int)`), which is a weak representation of an associative entity. Model 2 introduces a `ProjectInvolvement` class to cleanly decouple the many-to-many relationship between `ResearchAssistant` and `Project`, encapsulating the `hours` attribute properly within its own cohesive class.
2. Complexity: Model 1 = 4, Model 2 = 4; Evidence: Model 1 is simpler and directly maps "research staff" to "Research Assistants" (using `ResearchStaff` class with a depth of 3: Employee -&gt; ResearchStaff -&gt; Lecturer). Model 2 adds a `ResearchAssistant` class as an intermediate refinement (depth of 4: Employee -&gt; ResearchStaff -&gt; ResearchAssistant -&gt; Lecturer) and an extra `ProjectInvolvement` class. While this increases the total number of classes, it is a justified and balanced complexity that handles the relational mapping more accurately.
3. Practicability: Model 1 = 4, Model 2 = 5; Evidence: Model 2 models the university's employees with an explicit association (`University --&gt; Employee`), addressing the "employee of the university" requirement better than Model 1, which only tracks the `totalEmployees` attribute. Furthermore, Model 2's `ProjectInvolvement` class provides a much more practical and standard design pattern for implementing many-to-many relationships with attributes, making it easier to program and map to a database.
Total: Model 1 = 12, Model 2 = 14
Choice: B
Reason:
1. Cohesion and Decoupling: Model 2 is superior because it uses a dedicated `ProjectInvolvement` class to handle the many-to-many relationship between research assistants and projects. This properly encapsulates the `hours` attribute in a cohesive class, whereas Model 1 leaves it floating as an annotation on an association line, which is not directly implementable without adding this structure anyway.
2. Complexity: Both models are reasonably complex, but Model 2 introduces an extra inheritance layer (`ResearchStaff` to `ResearchAssistant`) and an association class. While this increases the class count and inheritance depth slightly compared to Model 1, it represents a transparent and valid refinement rather than unnecessary complexity.
3. Practicability: Model 2 is more practical for real-world software engineering. The explicit modeling of `ProjectInvolvement` facilitates straightforward ORM mapping and database implementation. Additionally, Model 2 explicitly links `Employee` to `University` with an association, capturing the domain fact that they are "employees of the university" more comprehensively than Model 1.
4. Rejected or checked issues: Model 2's use of bidirectional associations (e.g., `Faculty --&gt; Employee` and `Employee --&gt; Faculty`) was checked against the forbidden penalties and correctly treated as semantically equivalent to Model 1's unidirectional association. Model 2's addition of a `name` attribute to `University` is unrequested but not severely detrimental.
5. Overall judgment: Model 2 provides a more robust and practically implementable design by correctly modeling the associative entity for project involvement, making it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</si>
  <si>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</si>
  <si>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functionalities without hallucinations: Model 1 = 4, Model 2 = 4; Evidence: Both models cover all required functionalities, including the distinction between research and administrative staff, project involvement with hours, and course details. Model 1 introduces a minor hallucination by adding `name : String` to `University`, which is not explicitly stated in the requirement. Model 2 introduces an `Address` class with `street`, `city`, and `zipCode` instead of a simple attribute, which is an acceptable refinement but an addition nonetheless. 
2. Conceptual classes, relationships, cardinalities, and generalisation: Model 1 = 5, Model 2 = 4; Evidence: Both models accurately implement the inheritance hierarchy (`Employee &lt;|-- ResearchStaff`, `ResearchStaff &lt;|-- ResearchAssistant`, `ResearchAssistant &lt;|-- Lecturer`) and the use of `ProjectInvolvement` as an intermediate class for the many-to-many relationship between `ResearchAssistant` and `Project`. However, Model 1 is more precise with its multiplicities, using `1..*` for `University *-- Faculty` and `Faculty *-- Institute` to reflect the words "several" and "various" in the requirement. Model 2 uses `0..*`, which is slightly less strict. Additionally, Model 1 explicitly models the association `University --&gt; "*" Employee` and `Employee --&gt; "1" University`, which better reflects the requirement that the dean "is an employee of the university" and supports the tracking of total employees. Model 2 omits this direct association between University and Employee.
Total: Model 1 = 9, Model 2 = 8
Choice: A
Reason:
1. Requirement alignment: Both models are very close in representing the requirements. Model 1 has a minor extra attribute (`name` on `University`), while Model 2 expands the address into a full class. Both approaches are generally acceptable, but Model 1's direct adherence to the text is slightly offset by the addition. 
2. Classes and relationships: Model 1 provides a more accurate representation of cardinalities by using `1..*` for faculties and institutes, capturing the meaning of "several" and "various" from the requirement. Model 2's use of `0..*` is less strict. Furthermore, Model 1 explicitly captures the "employee of the university" requirement by linking `University` and `Employee` bidirectionally, whereas Model 2 only links `Employee` to `Faculty` for the dean role.
3. Rejected or checked issues: Model 1 uses opposite unidirectional associations (e.g., `Faculty --&gt; "1" Employee : dean 'opposite headedFaculty`), which is fully allowed and equivalent to a bidirectional association. Model 2's abstract `Employee` class is not penalized as the requirement does not specify whether direct instances are allowed.
4. Overall judgment: Model 1 is slightly better due to its more accurate multiplicities and the explicit modeling of the University-Employee relationship, which aligns closely with the domain rules specified in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</si>
  <si>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</si>
  <si>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5; Evidence: Both models cover the core requirement. Model 2 accurately reflects "several faculties" and "various institutes" using `1..*` multiplicities (`University *-- "1..*" Faculty` and `Faculty *-- "1..*" Institute`), whereas Model 1 uses `0..*` (`University "1" *-- "0..*" Faculty`). Model 2 also includes the University-Employee relationship (`University --&gt; "*" Employee`), which is logically required since employees are described as being "of the university" and "total number of employees is known". Model 1 omits this relationship. Both models capture the Project Involvement association class concept and the hierarchy of staff correctly.
2. Conceptual classes and relationships: Model 1 = 4, Model 2 = 4; Evidence: Both models use appropriate inheritance for `Employee` (subclasses `ResearchStaff`, `AdministrativeStaff`), `ResearchStaff` (subclass `ResearchAssistant`), and `ResearchAssistant` (subclass `Lecturer`). Both model the many-to-many relationship between RA and Project via a `ProjectInvolvement` class with an `hours` attribute, correctly representing "involved in projects for a certain number of hours". Model 1 models `Address` as a separate class (`Institute "1" *-- "1" Address`), whereas Model 2 models it as a simple string attribute in `Institute` (`address : String`); both approaches are semantically valid for the requirement "The address of each institute is known."
Total: Model 1 = 8, Model 2 = 9
Choice: B
Reason:
1. Alignment with requirement: Model 2 is slightly better aligned because it correctly interprets "several" and "various" as implying at least one (`1..*`), whereas Model 1 uses `0..*`. Furthermore, Model 2 explicitly links `Employee` to `University`, satisfying the domain context that employees belong to the university, an omission in Model 1.
2. Conceptual classes and relationships: Both models perform equally well in defining the class hierarchies and resolving the many-to-many relationship with an association class (`ProjectInvolvement`). The treatment of `Address` differs, but both are acceptable representations of the requirement.
3. Rejected or checked issues: I did not penalize Model 1 for using `Address` as a class or Model 2 for using `String` for `Address`, as both are valid UML representations. I did not penalize Model 2 for using opposite unidirectional associations instead of bidirectional lines, per the evaluation rules. I did not penalize Model 1 for using `int` for Course ID or Model 2 for using `int` vs `double` for weekly duration, as primitive types are acceptable.
4. Overall judgment: Model 2 is slightly better because it more accurately captures the multiplicities of the university structure and explicitly models the University-Employee relationship, which is implicitly required by the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</si>
  <si>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</si>
  <si>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essential classes such as University, Faculty, Institute, Employee, ResearchStaff, AdministrativeStaff, ResearchAssistant, Lecturer, Project, ProjectInvolvement, and Course. Model 2 additionally introduces an Address class for the Institute, which is a valid refinement of the domain requirement.
2. Associations/Multiplicities between classes for domain reasoning: Model 1 = 5, Model 2 = 4; Evidence: Model 1 correctly captures "several faculties" and "various institutes" with 1..* multiplicities (University *-- "1..*" Faculty, Faculty *-- "1..*" Institute) and includes the University --&gt; "*" Employee association. Model 2 uses 0..* for these relationships (University "1" *-- "0..*" Faculty, Faculty "1" *-- "0..*" Institute), which is a slight misrepresentation of the "several" and "various" terms. Both models correctly model the Dean, RA assignments, Project Involvements, and Lecturer-Course associations.
3. Model attributes with appropriate data types: Model 1 = 5, Model 2 = 5; Evidence: Both models appropriately capture attributes like totalEmployees, name, socialSecurityNumber, email, fieldOfResearch, project dates, and project hours. Model 1 uses String for Institute address while Model 2 expands it into a dedicated Address class with street, city, and zipCode. Both correctly model Course id and weekly duration.
4. Consistencies of Terminology with given context: Model 1 = 5, Model 2 = 5; Evidence: Both models use terminology perfectly consistent with the requirement text, such as ResearchAssistant, Lecturer, ProjectInvolvement, AdministrativeStaff, and ResearchStaff.
5. Adherence of UML class diagram standards: Model 1 = 5, Model 2 = 5; Evidence: Both models strictly adhere to UML and PlantUML syntax. Model 1 uses opposite unidirectional associations with comments, which is semantically equivalent and not penalized per the guidelines. Model 2 uses standard bidirectional associations and an abstract class marker for Employee.
Total: Model 1 = 25, Model 2 = 24
Choice: A
Reason:
1. Appropriate conceptual classes aligned with the domain: Both models are virtually identical in their conceptual coverage of the domain.
2. Associations/Multiplicities between classes for domain reasoning: Model 1 slightly outperforms Model 2 by strictly adhering to the "several" and "various" multiplicity constraints with 1..* instead of 0..* for the University-Faculty and Faculty-Institute compositions. Model 1 also explicitly includes the association between University and Employee, which better supports domain reasoning for "employee of the university".
3. Rejected or checked issues: Model 2's use of a dedicated `Address` class was considered as an unnecessary addition, but it is a standard and valid modeling choice, so it was not penalized. Model 1's use of opposite unidirectional associations was ignored as a negative factor per the strict instructions.
4. Overall judgment: Model 1 is better due to slightly more accurate multiplicities and more complete relationship modeling between the University and its Employees.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</si>
  <si>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</si>
  <si>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accurately capture all required domain classes such as University, Faculty, Institute, Employee, ResearchStaff, AdministrativeStaff, ResearchAssistant, Lecturer, Project, and Course. Model 1 models "Address" as a separate class, while Model 2 models it as an attribute of Institute, both of which are acceptable.
2. Associations/Multiplicities between classes for domain reasoning: Model 1 = 3, Model 2 = 5; Evidence: Model 2 accurately captures the "several" constraint for faculties and institutes (`University *-- "1..*" Faculty`, `Faculty *-- "1..*" Institute`) and the "at least one" constraint for RA assignments (`ResearchAssistant --&gt; "1..*" Institute`). Model 1 fails these constraints using `0..*` for Faculty, Institute, and the Institute side of the RA assignment (`ResearchAssistant "1..*" -- "0..*" Institute`).
3. Model attributes with appropriate data types: Model 1 = 5, Model 2 = 5; Evidence: Both models correctly model attributes with appropriate types, such as `totalEmployees : int`, `name : String`, `socialSecurityNumber : String`, `fieldOfResearch : String`, `startDate : Date`, and `weeklyDurationHours : int` / `double`. Both models also use a `ProjectInvolvement` class to resolve the many-to-many relationship with hours.
4. Consistencies of Terminology with given context: Model 1 = 5, Model 2 = 5; Evidence: The terminology used in both models strictly follows the domain context (e.g., Faculty, Institute, Dean, ResearchAssistant, Lecturer, Course).
5. Adherence of UML class diagram standards: Model 1 = 5, Model 2 = 5; Evidence: Both diagrams use valid UML and PlantUML syntax. Model 2 uses opposite unidirectional associations (e.g., `Faculty --&gt; "1" Employee` and `Employee --&gt; "0..1" Faculty`), which are valid UML constructs and explicitly permitted as semantically equivalent by the evaluation guidelines.
Total: Model 1 = 23, Model 2 = 25
Choice: B
Reason:
1. Associations/Multiplicities between classes for domain reasoning: Model 2 correctly implements the lower bound multiplicities implied by the requirements "several faculties", "various institutes", and "assigned to at least one institute" using `1..*`. Model 1 incorrectly uses `0..*` in these cases.
2. Model attributes with appropriate data types and other criteria are essentially equivalent between the two models.
3. Rejected or checked issues: Model 2's use of opposite unidirectional associations instead of a single bidirectional line was checked but not penalized as per the strict forbidden penalties rule.
4. Overall judgment: Model 2 is better because it accurately translates the textual multiplicity constraints ("several", "at least one") into proper UML multiplicities, whereas Model 1 overlooks these specific constraints.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</si>
  <si>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</si>
  <si>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explicitly models the relationship between `University` and `Employee` (`University --&gt; "*" Employee : employees`), which aligns with the requirement that the dean is an employee of the university and the total number of employees is known. Model 2 omits this direct relationship, leaving `University` decoupled from `Employee` except through the `Faculty` dean. Model 2 also introduces an `Address` class which slightly increases coupling, whereas Model 1 appropriately models address as a simple `String` attribute in `Institute`.
2. Complexity: Model 1 = 5, Model 2 = 4; Evidence: Model 1 strikes a better balance by using a simple `address : String` attribute, avoiding unnecessary complexity not demanded by the requirement. Model 2 creates a separate `Address` class with `street`, `city`, and `zipCode`, adding unneeded complexity. Additionally, Model 1 correctly uses `1..*` multiplicities for `University *-- "1..*" Faculty` and `Faculty *-- "1..*" Institute`, accurately reflecting "several" and "various" in the requirement. Model 2 uses `0..*` for these relationships, which is less accurate.
3. Practicability: Model 1 = 5, Model 2 = 4; Evidence: Model 1 provides a more complete and readable representation of the software structure, accurately capturing all domain relationships. The explicit link between `University` and `Employee` in Model 1 makes the design more practical for querying total employees and managing university staff. Model 2's missing University-Employee relationship and less precise multiplicities make it slightly less practical for direct implementation of the specified domain rules.
Total: Model 1 = 15, Model 2 = 12
Choice: A
Reason:
1. Cohesion and Decoupling: Model 1 is better because it explicitly links `University` and `Employee`, addressing the requirement's context that employees belong to the university. Model 2 leaves this connection unmodeled. Model 2 also over-engineers the `Address` component, increasing coupling without a requirement basis.
2. Complexity: Model 1 is superior as it avoids unnecessary complexity by using a `String` for the institute's address. Model 2 introduces a full `Address` class. Furthermore, Model 1 correctly uses `1..*` for faculties and institutes, matching the words "several" and "various", whereas Model 2 used `0..*`.
3. Rejected or checked issues: Both models treat `Lecturer` as a subclass of `ResearchAssistant`. While this might be a debatable design choice in a real-world system (since being a lecturer is often a role rather than a distinct subclass), both models handle it the same way, so it does not affect the comparison.
4. Overall judgment: Model 1 is better due to its more accurate multiplicities, appropriate complexity level regarding the address attribute, and complete modeling of the University-Employee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</si>
  <si>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</si>
  <si>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separate concerns into cohesive classes (e.g., Employee hierarchy, ProjectInvolvement as an association class). Model 1 introduces a dedicated Address class composed with Institute (`Institute "1" *-- "1" Address`), while Model 2 models address as a simple attribute (`address : String`). Model 2 adds explicit University–Employee links (`University --&gt; "*" Employee` and opposite), increasing connectivity but improving domain faithfulness. Neither model suffers from obviously low cohesion.
2. Complexity: Model 1 = 3, Model 2 = 4; Evidence: Model 1 has 12 classes including an extra Address class not strictly required by the text; Model 2 has 11 classes and treats institute address as an attribute, keeping the model lean. Both use the same inheritance depth (Employee → ResearchStaff → ResearchAssistant → Lecturer). Model 1 also reverses the RA–Institute multiplicity (`ResearchAssistant 1..* -- 0..* Institute`), which misplaces the “at least one” constraint and adds conceptual confusion. Model 2 correctly captures it (`ResearchAssistant --&gt; 1..* Institute`).
3. Practicability: Model 1 = 3, Model 2 = 4; Evidence: Model 2 is more directly usable because it includes the University–Employee relationship and correct multiplicities (e.g., RA assigned to at least one institute: `ResearchAssistant --&gt; 1..* Institute`). Model 1’s `ResearchAssistant 1..* -- 0..* Institute` would allow an RA to be assigned to zero institutes and force every institute to have at least one RA, contradicting the requirement. Model 2 also represents institute address simply as a String, improving readability without losing required information.
Total: Model 1 = 10, Model 2 = 12
Choice: B
Reason:
1. Cohesion and Decoupling: Both models are reasonably cohesive. Model 2’s extra bidirectional links (e.g., dean/headedFaculty) are semantically equivalent and not penalized. Model 1’s separate Address class is slightly more decoupled but unnecessary.
2. Complexity: Model 2 is better balanced: it avoids the unneeded Address class, has one fewer class, and still captures the same domain. Model 1’s reversed RA–Institute multiplicity introduces domain inaccuracy that hurts complexity assessment.
3. Practicability: Model 2 is more accurate and complete: it correctly enforces that each RA is assigned to at least one institute, links employees to the university, and keeps the address as a simple attribute. Model 1’s multiplicity error would lead to incorrect business constraints in implementation.
4. Rejected or checked issues: Model 2’s extra `name` attribute on University and use of `double` for weekly duration were not penalized because they are harmless refinements. Model 1’s use of opposite unidirectional associations is not a factor.
5. Overall judgment: Model 2 is better because it aligns more faithfully with the requirement, especially regarding RA–Institute multiplicities and University–Employee relationships, while keeping complexity reasonable.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</si>
  <si>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</si>
  <si>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No Hallucinations: Model 1 = 5, Model 2 = 3; Evidence: Model 1 strictly adheres to the requirement by representing the "address" as an attribute (`address : String` in `Institute`), the "field of research" in `ResearchStaff`, and the project involvement hours as an association attribute (`involved in (hours : int)`). Model 2 introduces additional classes (`Address`, `ProjectInvolvement`, `ResearchAssistant`) which, while conceptually valid, are not strictly required by the text and represent additions/hallucinations.
2. Conceptual Classes &amp; Relationships: Model 1 = 5, Model 2 = 4; Evidence: Both models accurately use inheritance to distinguish between administrative and research staff, and further specialize lecturers. Model 1 uses `ResearchStaff` to represent Research Assistants (RAs) and correctly models the teaching relationship (`Lecturer "many" --&gt; "0..*" Course : teaches`). Model 2 breaks down research staff into `ResearchStaff` and `ResearchAssistant`, which is a transparent refinement but adds unnecessary structural complexity.
3. Multiplicities &amp; Cardinalities: Model 1 = 5, Model 2 = 2; Evidence: The requirement states that "Research assistants (RA) are assigned to at least one institute". Model 1 correctly models this with `ResearchStaff "many" --&gt; "1..*" Institute : assigned to`. Model 2 incorrectly models this relationship as `ResearchAssistant "1..*" -- "0..*" Institute : assigned to`. The multiplicity on the Institute side is `0..*`, which contradicts the requirement that RAs must be assigned to at least one institute.
Total: Model 1 = 15, Model 2 = 9
Choice: A
Reason:
1. Requirement Alignment &amp; No Hallucinations: Model 1 avoids adding unnecessary classes like `Address`, `ProjectInvolvement`, and `ResearchAssistant`, aligning perfectly with the "no hallucinations" instruction. Model 2, while semantically valid in a real-world context, introduces these additional concepts, violating the strict instruction against additions.
2. Conceptual Classes &amp; Relationships: Both models accurately capture the inheritance structure (Employee -&gt; Research/Admin Staff -&gt; Lecturer), but Model 1 does so more concisely without adding an intermediate `ResearchAssistant` class.
3. Multiplicities &amp; Cardinalities: Model 2 contains a critical domain error by setting the multiplicity of `Institute` to `0..*` for the "assigned to" relationship, violating the "at least one institute" constraint. Model 1 correctly sets this multiplicity to `1..*`.
4. Overall judgment: Model 1 is better because it strictly follows the requirements without adding unnecessary abstractions and correctly implements the required domain constraints, whereas Model 2 makes unwanted additions and contains a multiplicity error.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</si>
  <si>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</si>
  <si>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given requirement strictly (functionalities, no hallucinations/additions): Model 1 = 3, Model 2 = 5; Evidence: Model 1 introduces an extra `Address` class with hallucinated attributes (`street`, `city`, `zipCode`) and a `ProjectInvolvement` class to handle hours, which are not strictly required by the text. Model 2 directly models "address" as an attribute of `Institute` and "hours" as an association attribute, staying completely faithful to the text. Furthermore, Model 1 models the RA's assignment to Institute with a multiplicity of `0..*` on the Institute side, directly contradicting the requirement that "RAs are assigned to at least one institute." Model 2 correctly uses `1..*` for Institute.
2. Relationships and cardinalities (associations, inheritance, aggregation, composition): Model 1 = 3, Model 2 = 5; Evidence: Model 1 incorrectly sets the multiplicity for Institute to `0..*` in the `ResearchAssistant -- Institute` relationship (`ResearchAssistant "1..*" -- "0..*" Institute`), violating the "at least one" constraint. Model 2 correctly specifies `ResearchStaff "many" --&gt; "1..*" Institute`. Both models use inheritance for `Lecturer` and composition for faculties/institutes, which is acceptable. Model 2's use of an association attribute `(hours : int)` cleanly handles the project involvement relationship without overcomplicating the model.
3. Clarity in class names and attributes: Model 1 = 4, Model 2 = 4; Evidence: Model 1 explicitly uses a `ResearchAssistant` class, which directly matches the "Research assistants (RA)" terminology in the requirement, but also redundantly includes a `ResearchStaff` parent class. Model 2 uses `ResearchStaff` as the equivalent of RA, which is a reasonable synonym given the context ("A distinction is made between research and administrative staff. Research assistants (RA)..."). Both models include all required attributes (totalEmployees, name, SSN, etc.).
Total: Model 1 = 10, Model 2 = 14
Choice: B
Reason:
1. Alignment with given requirement strictly: Model 2 is much more faithful to the provided text. Model 1 introduces additional classes (`Address`, `ProjectInvolvement`) and extra attributes that constitute hallucinations. Model 2 correctly maps these as simple attributes or association properties.
2. Relationships and cardinalities: Model 1 contains a critical multiplicity error. The requirement states "Research assistants (RA) are assigned to at least one institute," meaning the multiplicity on the Institute side should be `1..*`. Model 1 incorrectly sets it to `0..*` (`ResearchAssistant "1..*" -- "0..*" Institute`), allowing an RA to be assigned to zero institutes. Model 2 correctly models this as `ResearchStaff "many" --&gt; "1..*" Institute`, satisfying the constraint perfectly.
3. Rejected or checked issues: The decision does not penalize Model 1 for its use of composition or inheritance structure per se, but only for the multiplicity error and extra classes. Model 1's inclusion of `ResearchAssistant` is a slight naming advantage, but Model 2's `ResearchStaff` is a perfectly valid conceptual synonym in this domain.
4. Overall judgment: Model 2 is better because it adheres strictly to the requirement without adding unnecessary structural complexity, and more importantly, it correctly implements the business constraints regarding the minimum number of institutes an RA must be assigned to. Model 1's multiplicity error on this association is a significant domain flaw.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</si>
  <si>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</si>
  <si>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conflates "ResearchAssistant" with "ResearchStaff" by placing the `fieldOfResearch` attribute and institute assignment directly on `ResearchStaff`. Model 2 explicitly includes a `ResearchAssistant` class which aligns better with the requirement's terminology ("Research assistants (RA)"), and introduces a `ProjectInvolvement` class to correctly handle the association attribute for hours.
2. Associations/Multiplicities between classes for domain reasoning: Model 1 = 5, Model 2 = 4; Evidence: Model 1 correctly models the RA-to-Institute association as `ResearchStaff "many" --&gt; "1..*" Institute`, satisfying the "at least one institute" constraint. Model 2 incorrectly places the multiplicity on the Institute side as `0..*` (`ResearchAssistant "1..*" -- "0..*" Institute`), violating the "at least one" constraint.
3. Model attributes with appropriate data types: Model 1 = 5, Model 2 = 5; Evidence: Both models correctly capture all necessary attributes with appropriate types. Model 2 properly isolates the `hours` attribute within the `ProjectInvolvement` class, while Model 1 attempts to place it as an association attribute.
4. Consistencies of Terminology with given context: Model 1 = 4, Model 2 = 5; Evidence: Model 2 strictly uses the term `ResearchAssistant` matching the "RA" abbreviation in the requirement, and correctly places `Lecturer` as a subclass of `ResearchAssistant` ("Some RAs teach courses. In this case, they are referred to as lecturers"). Model 1 lacks the `ResearchAssistant` terminology entirely.
5. Adherence of UML class diagram standards: Model 1 = 4, Model 2 = 5; Evidence: Model 1 uses a non-standard text annotation on the association for the hours attribute (`involved in (hours : int)`). Model 2 adheres to better UML standards by resolving the many-to-many relationship with an explicit association class `ProjectInvolvement`.
Total: Model 1 = 22, Model 2 = 24
Choice: B
Reason:
1. Appropriate conceptual classes aligned with the domain: Model 2 is superior for explicitly modeling the `ResearchAssistant` and `Lecturer` hierarchy and capturing the association attribute via `ProjectInvolvement`. Model 1's omission of the specific `ResearchAssistant` class makes it slightly less aligned.
2. Associations/Multiplicities between classes for domain reasoning: Model 1 is better here because it accurately satisfies the hard constraint that RAs are assigned to "at least one institute" with a `1..*` multiplicity, whereas Model 2 incorrectly uses `0..*`.
3. Rejected or checked issues: I did not penalize Model 2 for adding the `Address` class, as modeling an address as a class is a valid domain refinement. I also did not penalize Model 1 heavily for its text-based association attribute as it still communicates the requirement fact, but Model 2's structural approach is more UML-compliant.
4. Overall judgment: Model 2 is better overall. Although it makes a multiplicity error on the Institute assignment, its structural and UML standard advantages (correct class hierarchy, proper association class modeling, and precise terminology) outweigh Model 1's simpler but slightly less standard and less terminologically accurate approach.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</si>
  <si>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</si>
  <si>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correctly identifies all conceptual classes including `ResearchAssistant`, `Lecturer`, and `ProjectInvolvement` to handle the many-to-many relationship with hours. Model 2 omits the `ResearchAssistant` class, incorrectly conflating it with `ResearchStaff`, and uses `ResearchStaff` to represent RAs in assignments and projects.
2. Associations/Multiplicities between classes for domain reasoning: Model 1 = 4, Model 2 = 4; Evidence: Model 1 contains a multiplicity error: `ResearchAssistant "1..*" -- "0..*" Institute` implies a Research Assistant can be assigned to 0 institutes, contradicting "assigned to at least one institute". Model 2 correctly models this as `ResearchStaff "many" --&gt; "1..*" Institute`. However, Model 2 uses "many" instead of `*` and models the project involvement hours informally as part of the association label rather than using a proper association class.
3. Model attributes with appropriate data types: Model 1 = 5, Model 2 = 4; Evidence: Model 1 properly captures all attributes including the `hours : int` in the `ProjectInvolvement` class. Model 2 captures most attributes but fails to properly model the `hours` attribute for project involvement, leaving it as a textual annotation on the association.
4. Consistencies of Terminology with given context: Model 1 = 5, Model 2 = 4; Evidence: Model 1 uses exact terms from the requirement such as "ResearchAssistant" and "Involvement" context. Model 2 misses the term "ResearchAssistant" entirely and relies solely on "ResearchStaff".
5. Adherence of UML class diagram standards: Model 1 = 5, Model 2 = 4; Evidence: Model 1 uses standard multiplicities (`*`, `0..*`, `1..*`) and a standard intermediate class to resolve the many-to-many relationship with attributes. Model 2 uses non-standard literals like "many" instead of `*` and improperly places attributes inside the association label.
Total: Model 1 = 24, Model 2 = 20
Choice: A
Reason:
1. Appropriate conceptual classes aligned with the domain: Model 1 is better as it explicitly models the `ResearchAssistant` class, which is a central concept in the domain description, whereas Model 2 incorrectly merges `ResearchAssistant` into `ResearchStaff`.
2. Associations/Multiplicities between classes for domain reasoning: Model 2 correctly captures the "at least one institute" constraint for RAs (`1..*`), while Model 1 incorrectly models this as `0..*` on the Institute side. However, Model 2's use of "many" and informal association labeling balances the scoring, resulting in a tie for this criterion.
3. Rejected or checked issues: I did not penalize Model 2 for modeling `address` as a `String` attribute on `Institute` instead of a separate `Address` class, as this is an acceptable design variation. I also did not reward Model 1 for the `Address` class separation as it is not strictly required by the requirement.
4. Overall judgment: Model 1 is significantly better overall. Despite the multiplicity error on the Institute assignment, it properly identifies all required domain classes, accurately models the project involvement hours through a dedicated class, and adheres strictly to UML standards. Model 2 misses key domain classes, misuses terminology, and relies on non-standard UML practices.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</si>
  <si>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</si>
  <si>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exhibit good cohesion by separating responsibilities into distinct classes. Model 1 uses an association attribute for project involvement hours (`involved in (hours : int)`), keeping the model decoupled from an extra class. Model 2 introduces a `ProjectInvolvement` class and an `Address` class to manage the many-to-many relationship and institute address, which is a valid decoupling approach but slightly increases coupling between the new classes.
2. Complexity: Model 1 = 5, Model 2 = 4; Evidence: Model 1 is simpler with 9 classes and a shallower inheritance tree (depth 3: `Employee` -&gt; `ResearchStaff` -&gt; `Lecturer`), appropriately aligning with the requirement where `ResearchStaff` serves the role of the Research Assistant (RA). Model 2 has 11 classes and a deeper inheritance tree (depth 4: `Employee` -&gt; `ResearchStaff` -&gt; `ResearchAssistant` -&gt; `Lecturer`), adding unnecessary complexity by distinguishing between `ResearchStaff` and `ResearchAssistant` when the requirement treats them as the same concept.
3. Practicability: Model 1 = 5, Model 2 = 3; Evidence: Model 1 accurately and practically represents the domain rules, specifically that an RA is assigned to at least one institute, modeled as `ResearchStaff "many" --&gt; "1..*" Institute : assigned to`. Model 2 fails this domain constraint by modeling the relationship as `ResearchAssistant "1..*" -- "0..*" Institute`, which implies a Research Assistant could be assigned to 0 institutes, directly contradicting the "at least one institute" requirement. Model 1's use of an association attribute for hours is also highly practical and readable.
Total: Model 1 = 14, Model 2 = 11
Choice: A
Reason:
1. Cohesion and Decoupling: Both models are well-designed in terms of cohesion. Model 1 uses association attributes for project hours, while Model 2 reifies this into a `ProjectInvolvement` class. Both are acceptable UML practices.
2. Complexity: Model 1 is better balanced. It uses fewer classes and avoids the redundant inheritance layer of `ResearchAssistant` extending `ResearchStaff` found in Model 2, keeping the complexity aligned with the base requirement.
3. Rejected or checked issues: Model 2's modeling of the address as a separate `Address` class was not penalized as a strict violation, but it was noted as an unnecessary refinement not strictly required by the text.
4. Overall judgment: Model 1 is chosen because it strictly adheres to the domain constraint that a Research Assistant must be assigned to "at least one institute" (`1..*`), whereas Model 2 incorrectly allows for `0..*` institutes. Additionally, Model 1 avoids unnecessary complexity and inheritance depth, making it more practical and easier to understand.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</si>
  <si>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</si>
  <si>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uses an explicit `ProjectInvolvement` class to decouple the many-to-many relationship between `ResearchAssistant` and `Project`, properly encapsulating the `hours` attribute. Model 1 also creates an `Address` class, separating address logic from the `Institute` class. Model 2 uses a simpler approach by putting `address` as a String in `Institute` and annotating the association with `hours : int`, which is less decoupled. Additionally, Model 2 merges the `ResearchAssistant` concept into `ResearchStaff`, conflating the specific RA role with the general research staff category.
2. Complexity: Model 1 = 4, Model 2 = 4; Evidence: Model 1 has 13 classes, adding `Address`, `ResearchAssistant`, and `ProjectInvolvement` as distinct entities. While slightly more complex, these additions accurately reflect the domain's structural needs. Model 2 has 9 classes, reducing complexity by omitting the `ResearchAssistant` class entirely and treating all `ResearchStaff` as RAs. However, this simplicity comes at the cost of missing a key domain concept explicitly mentioned in the requirement.
3. Practicability: Model 1 = 5, Model 2 = 3; Evidence: Model 1 accurately models the inheritance hierarchy: `ResearchStaff` -&gt; `ResearchAssistant` -&gt; `Lecturer`, directly supporting the requirement that "Some RAs teach courses... referred to as lecturers." It also correctly sets the multiplicity for RAs assigned to institutes as `1..*` on the RA side. Model 2 makes `Lecturer` inherit directly from `ResearchStaff`, completely bypassing the `ResearchAssistant` concept. This makes the design less readable and less faithful to the domain requirements, as it fails to distinguish RAs from general research staff.
Total: Model 1 = 14, Model 2 = 11
Choice: A
Reason:
1. Cohesion and Decoupling: Model 1 is superior because it explicitly models the `ProjectInvolvement` association class to handle the `hours` attribute, which is a best practice for many-to-many relationships with properties, whereas Model 2 merely annotates the association. Model 1 also properly isolates the `Address` as a class.
2. Complexity: Both models have a balanced complexity, but Model 1's extra classes (`ResearchAssistant` and `ProjectInvolvement`) are justified and required by the domain, making its complexity more appropriate than Model 2's oversimplified approach.
3. Practicability: Model 1 provides a much more accurate and implementable representation of the domain hierarchy by including `ResearchAssistant` as an intermediate class between `ResearchStaff` and `Lecturer`. Model 2 skips this, making `Lecturer` a direct subtype of `ResearchStaff`, which directly contradicts the requirement's explicit mention of "Research assistants (RA)" and their relationship to lecturers.
4. Overall judgment: Model 1 is the better response as it accurately captures all domain entities and relationships as specified, including the often-missed `ResearchAssistant` subclass, and handles association attributes properly using an intermediate class.
```</t>
  </si>
  <si>
    <t>基础模型</t>
  </si>
  <si>
    <t>范式</t>
  </si>
  <si>
    <t>方向</t>
  </si>
  <si>
    <t>候选对</t>
  </si>
  <si>
    <t>Judge最终结果</t>
  </si>
  <si>
    <t>人工最终结果</t>
  </si>
  <si>
    <t>有效(1/0)</t>
  </si>
  <si>
    <t>一致(1/0)</t>
  </si>
  <si>
    <t>GLM-5.2</t>
  </si>
  <si>
    <t>GLM-5.2 llm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</si>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</sst>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5">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3">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0" t="s">
        <v>0</v>
      </c>
      <c r="B1" s="10" t="s">
        <v>1</v>
      </c>
      <c r="C1" s="10" t="s">
        <v>2</v>
      </c>
      <c r="D1" s="10" t="s">
        <v>3</v>
      </c>
      <c r="E1" s="10" t="s">
        <v>4</v>
      </c>
      <c r="F1" s="11" t="s">
        <v>5</v>
      </c>
      <c r="G1" s="10" t="s">
        <v>6</v>
      </c>
      <c r="H1" s="10" t="s">
        <v>7</v>
      </c>
      <c r="I1" s="11" t="s">
        <v>8</v>
      </c>
      <c r="J1" s="10" t="s">
        <v>9</v>
      </c>
      <c r="K1" s="10" t="s">
        <v>10</v>
      </c>
      <c r="L1" s="10" t="s">
        <v>11</v>
      </c>
      <c r="M1" t="s">
        <v>12</v>
      </c>
    </row>
    <row r="2" ht="18" customHeight="1" spans="1:13">
      <c r="A2" t="s">
        <v>13</v>
      </c>
      <c r="B2" s="12" t="s">
        <v>14</v>
      </c>
      <c r="C2" t="s">
        <v>15</v>
      </c>
      <c r="D2" t="s">
        <v>16</v>
      </c>
      <c r="E2" t="s">
        <v>17</v>
      </c>
      <c r="F2" s="12" t="s">
        <v>18</v>
      </c>
      <c r="G2" t="s">
        <v>19</v>
      </c>
      <c r="H2" t="s">
        <v>20</v>
      </c>
      <c r="I2" t="s">
        <v>21</v>
      </c>
      <c r="J2" t="s">
        <v>22</v>
      </c>
      <c r="K2" t="str">
        <f t="shared" ref="K2:K65" si="0">IF(OR(J2="",C2="",E2=""),"",IF(J2="C","D(平局)",IF(J2=IF(E2="l2r","A","B"),LEFT(C2,1),RIGHT(C2,1))))</f>
        <v>A</v>
      </c>
      <c r="L2" t="s">
        <v>22</v>
      </c>
      <c r="M2">
        <f>IF(OR(K2="",L2=""),"",--(K2=L2))</f>
        <v>1</v>
      </c>
    </row>
    <row r="3" ht="18" customHeight="1" spans="1:13">
      <c r="A3" t="s">
        <v>13</v>
      </c>
      <c r="B3" s="12" t="s">
        <v>14</v>
      </c>
      <c r="C3" t="s">
        <v>15</v>
      </c>
      <c r="D3" t="s">
        <v>16</v>
      </c>
      <c r="E3" t="s">
        <v>23</v>
      </c>
      <c r="F3" s="12" t="s">
        <v>24</v>
      </c>
      <c r="G3" t="s">
        <v>19</v>
      </c>
      <c r="H3" t="s">
        <v>20</v>
      </c>
      <c r="I3" t="s">
        <v>25</v>
      </c>
      <c r="J3" t="s">
        <v>26</v>
      </c>
      <c r="K3" t="str">
        <f t="shared" si="0"/>
        <v>A</v>
      </c>
      <c r="L3" t="s">
        <v>22</v>
      </c>
      <c r="M3">
        <f t="shared" ref="M3:M66" si="1">IF(OR(K3="",L3=""),"",--(K3=L3))</f>
        <v>1</v>
      </c>
    </row>
    <row r="4" ht="18" customHeight="1" spans="1:13">
      <c r="A4" t="s">
        <v>13</v>
      </c>
      <c r="B4" s="12" t="s">
        <v>14</v>
      </c>
      <c r="C4" t="s">
        <v>15</v>
      </c>
      <c r="D4" t="s">
        <v>27</v>
      </c>
      <c r="E4" t="s">
        <v>17</v>
      </c>
      <c r="F4" s="12" t="s">
        <v>28</v>
      </c>
      <c r="G4" t="s">
        <v>19</v>
      </c>
      <c r="H4" t="s">
        <v>20</v>
      </c>
      <c r="I4" t="s">
        <v>29</v>
      </c>
      <c r="J4" t="s">
        <v>22</v>
      </c>
      <c r="K4" t="str">
        <f t="shared" si="0"/>
        <v>A</v>
      </c>
      <c r="L4" t="s">
        <v>22</v>
      </c>
      <c r="M4">
        <f t="shared" si="1"/>
        <v>1</v>
      </c>
    </row>
    <row r="5" ht="18" customHeight="1" spans="1:13">
      <c r="A5" t="s">
        <v>13</v>
      </c>
      <c r="B5" s="12" t="s">
        <v>14</v>
      </c>
      <c r="C5" t="s">
        <v>15</v>
      </c>
      <c r="D5" t="s">
        <v>27</v>
      </c>
      <c r="E5" t="s">
        <v>23</v>
      </c>
      <c r="F5" s="12" t="s">
        <v>30</v>
      </c>
      <c r="G5" t="s">
        <v>19</v>
      </c>
      <c r="H5" t="s">
        <v>20</v>
      </c>
      <c r="I5" t="s">
        <v>31</v>
      </c>
      <c r="J5" t="s">
        <v>26</v>
      </c>
      <c r="K5" t="str">
        <f t="shared" si="0"/>
        <v>A</v>
      </c>
      <c r="L5" t="s">
        <v>22</v>
      </c>
      <c r="M5">
        <f t="shared" si="1"/>
        <v>1</v>
      </c>
    </row>
    <row r="6" ht="18" customHeight="1" spans="1:13">
      <c r="A6" t="s">
        <v>13</v>
      </c>
      <c r="B6" s="12" t="s">
        <v>14</v>
      </c>
      <c r="C6" t="s">
        <v>15</v>
      </c>
      <c r="D6" t="s">
        <v>32</v>
      </c>
      <c r="E6" t="s">
        <v>17</v>
      </c>
      <c r="F6" s="12" t="s">
        <v>33</v>
      </c>
      <c r="G6" t="s">
        <v>19</v>
      </c>
      <c r="H6" t="s">
        <v>20</v>
      </c>
      <c r="I6" t="s">
        <v>34</v>
      </c>
      <c r="J6" t="s">
        <v>22</v>
      </c>
      <c r="K6" t="str">
        <f t="shared" si="0"/>
        <v>A</v>
      </c>
      <c r="L6" t="s">
        <v>22</v>
      </c>
      <c r="M6">
        <f t="shared" si="1"/>
        <v>1</v>
      </c>
    </row>
    <row r="7" ht="18" customHeight="1" spans="1:13">
      <c r="A7" t="s">
        <v>13</v>
      </c>
      <c r="B7" s="12" t="s">
        <v>14</v>
      </c>
      <c r="C7" t="s">
        <v>15</v>
      </c>
      <c r="D7" t="s">
        <v>32</v>
      </c>
      <c r="E7" t="s">
        <v>23</v>
      </c>
      <c r="F7" s="12" t="s">
        <v>35</v>
      </c>
      <c r="G7" t="s">
        <v>19</v>
      </c>
      <c r="H7" t="s">
        <v>20</v>
      </c>
      <c r="I7" t="s">
        <v>36</v>
      </c>
      <c r="J7" t="s">
        <v>22</v>
      </c>
      <c r="K7" t="str">
        <f t="shared" si="0"/>
        <v>B</v>
      </c>
      <c r="L7" t="s">
        <v>22</v>
      </c>
      <c r="M7">
        <f t="shared" si="1"/>
        <v>0</v>
      </c>
    </row>
    <row r="8" ht="18" customHeight="1" spans="1:13">
      <c r="A8" t="s">
        <v>13</v>
      </c>
      <c r="B8" s="12" t="s">
        <v>14</v>
      </c>
      <c r="C8" t="s">
        <v>37</v>
      </c>
      <c r="D8" t="s">
        <v>16</v>
      </c>
      <c r="E8" t="s">
        <v>17</v>
      </c>
      <c r="F8" s="12" t="s">
        <v>38</v>
      </c>
      <c r="G8" t="s">
        <v>19</v>
      </c>
      <c r="H8" t="s">
        <v>20</v>
      </c>
      <c r="I8" t="s">
        <v>39</v>
      </c>
      <c r="J8" t="s">
        <v>22</v>
      </c>
      <c r="K8" t="str">
        <f t="shared" si="0"/>
        <v>A</v>
      </c>
      <c r="L8" t="s">
        <v>22</v>
      </c>
      <c r="M8">
        <f t="shared" si="1"/>
        <v>1</v>
      </c>
    </row>
    <row r="9" ht="18" customHeight="1" spans="1:13">
      <c r="A9" t="s">
        <v>13</v>
      </c>
      <c r="B9" s="12" t="s">
        <v>14</v>
      </c>
      <c r="C9" t="s">
        <v>37</v>
      </c>
      <c r="D9" t="s">
        <v>16</v>
      </c>
      <c r="E9" t="s">
        <v>23</v>
      </c>
      <c r="F9" s="12" t="s">
        <v>40</v>
      </c>
      <c r="G9" t="s">
        <v>19</v>
      </c>
      <c r="H9" t="s">
        <v>20</v>
      </c>
      <c r="I9" t="s">
        <v>41</v>
      </c>
      <c r="J9" t="s">
        <v>26</v>
      </c>
      <c r="K9" t="str">
        <f t="shared" si="0"/>
        <v>A</v>
      </c>
      <c r="L9" t="s">
        <v>22</v>
      </c>
      <c r="M9">
        <f t="shared" si="1"/>
        <v>1</v>
      </c>
    </row>
    <row r="10" ht="18" customHeight="1" spans="1:13">
      <c r="A10" t="s">
        <v>13</v>
      </c>
      <c r="B10" s="12" t="s">
        <v>14</v>
      </c>
      <c r="C10" t="s">
        <v>37</v>
      </c>
      <c r="D10" t="s">
        <v>27</v>
      </c>
      <c r="E10" t="s">
        <v>17</v>
      </c>
      <c r="F10" s="12" t="s">
        <v>42</v>
      </c>
      <c r="G10" t="s">
        <v>19</v>
      </c>
      <c r="H10" t="s">
        <v>20</v>
      </c>
      <c r="I10" t="s">
        <v>43</v>
      </c>
      <c r="J10" t="s">
        <v>22</v>
      </c>
      <c r="K10" t="str">
        <f t="shared" si="0"/>
        <v>A</v>
      </c>
      <c r="L10" t="s">
        <v>22</v>
      </c>
      <c r="M10">
        <f t="shared" si="1"/>
        <v>1</v>
      </c>
    </row>
    <row r="11" ht="18" customHeight="1" spans="1:13">
      <c r="A11" t="s">
        <v>13</v>
      </c>
      <c r="B11" s="12" t="s">
        <v>14</v>
      </c>
      <c r="C11" t="s">
        <v>37</v>
      </c>
      <c r="D11" t="s">
        <v>27</v>
      </c>
      <c r="E11" t="s">
        <v>23</v>
      </c>
      <c r="F11" s="12" t="s">
        <v>44</v>
      </c>
      <c r="G11" t="s">
        <v>19</v>
      </c>
      <c r="H11" t="s">
        <v>20</v>
      </c>
      <c r="I11" t="s">
        <v>45</v>
      </c>
      <c r="J11" t="s">
        <v>26</v>
      </c>
      <c r="K11" t="str">
        <f t="shared" si="0"/>
        <v>A</v>
      </c>
      <c r="L11" t="s">
        <v>22</v>
      </c>
      <c r="M11">
        <f t="shared" si="1"/>
        <v>1</v>
      </c>
    </row>
    <row r="12" ht="18" customHeight="1" spans="1:13">
      <c r="A12" t="s">
        <v>13</v>
      </c>
      <c r="B12" s="12" t="s">
        <v>14</v>
      </c>
      <c r="C12" t="s">
        <v>37</v>
      </c>
      <c r="D12" t="s">
        <v>32</v>
      </c>
      <c r="E12" t="s">
        <v>17</v>
      </c>
      <c r="F12" s="12" t="s">
        <v>46</v>
      </c>
      <c r="G12" t="s">
        <v>19</v>
      </c>
      <c r="H12" t="s">
        <v>20</v>
      </c>
      <c r="I12" t="s">
        <v>47</v>
      </c>
      <c r="J12" t="s">
        <v>22</v>
      </c>
      <c r="K12" t="str">
        <f t="shared" si="0"/>
        <v>A</v>
      </c>
      <c r="L12" t="s">
        <v>22</v>
      </c>
      <c r="M12">
        <f t="shared" si="1"/>
        <v>1</v>
      </c>
    </row>
    <row r="13" ht="18" customHeight="1" spans="1:13">
      <c r="A13" t="s">
        <v>13</v>
      </c>
      <c r="B13" s="12" t="s">
        <v>14</v>
      </c>
      <c r="C13" t="s">
        <v>37</v>
      </c>
      <c r="D13" t="s">
        <v>32</v>
      </c>
      <c r="E13" t="s">
        <v>23</v>
      </c>
      <c r="F13" s="12" t="s">
        <v>48</v>
      </c>
      <c r="G13" t="s">
        <v>19</v>
      </c>
      <c r="H13" t="s">
        <v>20</v>
      </c>
      <c r="I13" t="s">
        <v>49</v>
      </c>
      <c r="J13" t="s">
        <v>26</v>
      </c>
      <c r="K13" t="str">
        <f t="shared" si="0"/>
        <v>A</v>
      </c>
      <c r="L13" t="s">
        <v>22</v>
      </c>
      <c r="M13">
        <f t="shared" si="1"/>
        <v>1</v>
      </c>
    </row>
    <row r="14" ht="18" customHeight="1" spans="1:13">
      <c r="A14" t="s">
        <v>13</v>
      </c>
      <c r="B14" s="12" t="s">
        <v>14</v>
      </c>
      <c r="C14" t="s">
        <v>50</v>
      </c>
      <c r="D14" t="s">
        <v>16</v>
      </c>
      <c r="E14" t="s">
        <v>17</v>
      </c>
      <c r="F14" s="12" t="s">
        <v>51</v>
      </c>
      <c r="G14" t="s">
        <v>19</v>
      </c>
      <c r="H14" t="s">
        <v>20</v>
      </c>
      <c r="I14" t="s">
        <v>52</v>
      </c>
      <c r="J14" t="s">
        <v>22</v>
      </c>
      <c r="K14" t="str">
        <f t="shared" si="0"/>
        <v>B</v>
      </c>
      <c r="L14" t="s">
        <v>26</v>
      </c>
      <c r="M14">
        <f t="shared" si="1"/>
        <v>1</v>
      </c>
    </row>
    <row r="15" ht="18" customHeight="1" spans="1:13">
      <c r="A15" t="s">
        <v>13</v>
      </c>
      <c r="B15" s="12" t="s">
        <v>14</v>
      </c>
      <c r="C15" t="s">
        <v>50</v>
      </c>
      <c r="D15" t="s">
        <v>16</v>
      </c>
      <c r="E15" t="s">
        <v>23</v>
      </c>
      <c r="F15" s="12" t="s">
        <v>53</v>
      </c>
      <c r="G15" t="s">
        <v>19</v>
      </c>
      <c r="H15" t="s">
        <v>20</v>
      </c>
      <c r="I15" t="s">
        <v>54</v>
      </c>
      <c r="J15" t="s">
        <v>26</v>
      </c>
      <c r="K15" t="str">
        <f t="shared" si="0"/>
        <v>B</v>
      </c>
      <c r="L15" t="s">
        <v>26</v>
      </c>
      <c r="M15">
        <f t="shared" si="1"/>
        <v>1</v>
      </c>
    </row>
    <row r="16" ht="18" customHeight="1" spans="1:13">
      <c r="A16" t="s">
        <v>13</v>
      </c>
      <c r="B16" s="12" t="s">
        <v>14</v>
      </c>
      <c r="C16" t="s">
        <v>50</v>
      </c>
      <c r="D16" t="s">
        <v>27</v>
      </c>
      <c r="E16" t="s">
        <v>17</v>
      </c>
      <c r="F16" s="12" t="s">
        <v>55</v>
      </c>
      <c r="G16" t="s">
        <v>19</v>
      </c>
      <c r="H16" t="s">
        <v>20</v>
      </c>
      <c r="I16" t="s">
        <v>56</v>
      </c>
      <c r="J16" t="s">
        <v>22</v>
      </c>
      <c r="K16" t="str">
        <f t="shared" si="0"/>
        <v>B</v>
      </c>
      <c r="L16" t="s">
        <v>26</v>
      </c>
      <c r="M16">
        <f t="shared" si="1"/>
        <v>1</v>
      </c>
    </row>
    <row r="17" ht="18" customHeight="1" spans="1:13">
      <c r="A17" t="s">
        <v>13</v>
      </c>
      <c r="B17" s="12" t="s">
        <v>14</v>
      </c>
      <c r="C17" t="s">
        <v>50</v>
      </c>
      <c r="D17" t="s">
        <v>27</v>
      </c>
      <c r="E17" t="s">
        <v>23</v>
      </c>
      <c r="F17" s="12" t="s">
        <v>57</v>
      </c>
      <c r="G17" t="s">
        <v>19</v>
      </c>
      <c r="H17" t="s">
        <v>20</v>
      </c>
      <c r="I17" t="s">
        <v>58</v>
      </c>
      <c r="J17" t="s">
        <v>26</v>
      </c>
      <c r="K17" t="str">
        <f t="shared" si="0"/>
        <v>B</v>
      </c>
      <c r="L17" t="s">
        <v>26</v>
      </c>
      <c r="M17">
        <f t="shared" si="1"/>
        <v>1</v>
      </c>
    </row>
    <row r="18" ht="18" customHeight="1" spans="1:13">
      <c r="A18" t="s">
        <v>13</v>
      </c>
      <c r="B18" s="12" t="s">
        <v>14</v>
      </c>
      <c r="C18" t="s">
        <v>50</v>
      </c>
      <c r="D18" t="s">
        <v>32</v>
      </c>
      <c r="E18" t="s">
        <v>17</v>
      </c>
      <c r="F18" s="12" t="s">
        <v>59</v>
      </c>
      <c r="G18" t="s">
        <v>19</v>
      </c>
      <c r="H18" t="s">
        <v>20</v>
      </c>
      <c r="I18" t="s">
        <v>60</v>
      </c>
      <c r="J18" t="s">
        <v>22</v>
      </c>
      <c r="K18" t="str">
        <f t="shared" si="0"/>
        <v>B</v>
      </c>
      <c r="L18" t="s">
        <v>26</v>
      </c>
      <c r="M18">
        <f t="shared" si="1"/>
        <v>1</v>
      </c>
    </row>
    <row r="19" ht="18" customHeight="1" spans="1:13">
      <c r="A19" t="s">
        <v>13</v>
      </c>
      <c r="B19" s="12" t="s">
        <v>14</v>
      </c>
      <c r="C19" t="s">
        <v>50</v>
      </c>
      <c r="D19" t="s">
        <v>32</v>
      </c>
      <c r="E19" t="s">
        <v>23</v>
      </c>
      <c r="F19" s="12" t="s">
        <v>61</v>
      </c>
      <c r="G19" t="s">
        <v>19</v>
      </c>
      <c r="H19" t="s">
        <v>20</v>
      </c>
      <c r="I19" t="s">
        <v>62</v>
      </c>
      <c r="J19" t="s">
        <v>26</v>
      </c>
      <c r="K19" t="str">
        <f t="shared" si="0"/>
        <v>B</v>
      </c>
      <c r="L19" t="s">
        <v>26</v>
      </c>
      <c r="M19">
        <f t="shared" si="1"/>
        <v>1</v>
      </c>
    </row>
    <row r="20" ht="18" customHeight="1" spans="1:13">
      <c r="A20" t="s">
        <v>63</v>
      </c>
      <c r="B20" s="12" t="s">
        <v>64</v>
      </c>
      <c r="C20" t="s">
        <v>15</v>
      </c>
      <c r="D20" t="s">
        <v>16</v>
      </c>
      <c r="E20" t="s">
        <v>17</v>
      </c>
      <c r="F20" s="12" t="s">
        <v>65</v>
      </c>
      <c r="G20" t="s">
        <v>19</v>
      </c>
      <c r="H20" t="s">
        <v>20</v>
      </c>
      <c r="I20" t="s">
        <v>66</v>
      </c>
      <c r="J20" t="s">
        <v>22</v>
      </c>
      <c r="K20" t="str">
        <f t="shared" si="0"/>
        <v>A</v>
      </c>
      <c r="L20" t="s">
        <v>22</v>
      </c>
      <c r="M20">
        <f t="shared" si="1"/>
        <v>1</v>
      </c>
    </row>
    <row r="21" ht="18" customHeight="1" spans="1:13">
      <c r="A21" t="s">
        <v>63</v>
      </c>
      <c r="B21" s="12" t="s">
        <v>64</v>
      </c>
      <c r="C21" t="s">
        <v>15</v>
      </c>
      <c r="D21" t="s">
        <v>16</v>
      </c>
      <c r="E21" t="s">
        <v>23</v>
      </c>
      <c r="F21" s="12" t="s">
        <v>67</v>
      </c>
      <c r="G21" t="s">
        <v>19</v>
      </c>
      <c r="H21" t="s">
        <v>20</v>
      </c>
      <c r="I21" t="s">
        <v>68</v>
      </c>
      <c r="J21" t="s">
        <v>22</v>
      </c>
      <c r="K21" t="str">
        <f t="shared" si="0"/>
        <v>B</v>
      </c>
      <c r="L21" t="s">
        <v>22</v>
      </c>
      <c r="M21">
        <f t="shared" si="1"/>
        <v>0</v>
      </c>
    </row>
    <row r="22" ht="18" customHeight="1" spans="1:13">
      <c r="A22" t="s">
        <v>63</v>
      </c>
      <c r="B22" s="12" t="s">
        <v>64</v>
      </c>
      <c r="C22" t="s">
        <v>15</v>
      </c>
      <c r="D22" t="s">
        <v>27</v>
      </c>
      <c r="E22" t="s">
        <v>17</v>
      </c>
      <c r="F22" s="12" t="s">
        <v>69</v>
      </c>
      <c r="G22" t="s">
        <v>19</v>
      </c>
      <c r="H22" t="s">
        <v>20</v>
      </c>
      <c r="I22" t="s">
        <v>70</v>
      </c>
      <c r="J22" t="s">
        <v>22</v>
      </c>
      <c r="K22" t="str">
        <f t="shared" si="0"/>
        <v>A</v>
      </c>
      <c r="L22" t="s">
        <v>22</v>
      </c>
      <c r="M22">
        <f t="shared" si="1"/>
        <v>1</v>
      </c>
    </row>
    <row r="23" ht="18" customHeight="1" spans="1:13">
      <c r="A23" t="s">
        <v>63</v>
      </c>
      <c r="B23" s="12" t="s">
        <v>64</v>
      </c>
      <c r="C23" t="s">
        <v>15</v>
      </c>
      <c r="D23" t="s">
        <v>27</v>
      </c>
      <c r="E23" t="s">
        <v>23</v>
      </c>
      <c r="F23" s="12" t="s">
        <v>71</v>
      </c>
      <c r="G23" t="s">
        <v>19</v>
      </c>
      <c r="H23" t="s">
        <v>20</v>
      </c>
      <c r="I23" t="s">
        <v>72</v>
      </c>
      <c r="J23" t="s">
        <v>26</v>
      </c>
      <c r="K23" t="str">
        <f t="shared" si="0"/>
        <v>A</v>
      </c>
      <c r="L23" t="s">
        <v>22</v>
      </c>
      <c r="M23">
        <f t="shared" si="1"/>
        <v>1</v>
      </c>
    </row>
    <row r="24" ht="18" customHeight="1" spans="1:13">
      <c r="A24" t="s">
        <v>63</v>
      </c>
      <c r="B24" s="12" t="s">
        <v>64</v>
      </c>
      <c r="C24" t="s">
        <v>15</v>
      </c>
      <c r="D24" t="s">
        <v>32</v>
      </c>
      <c r="E24" t="s">
        <v>17</v>
      </c>
      <c r="F24" s="12" t="s">
        <v>73</v>
      </c>
      <c r="G24" t="s">
        <v>19</v>
      </c>
      <c r="H24" t="s">
        <v>20</v>
      </c>
      <c r="I24" t="s">
        <v>74</v>
      </c>
      <c r="J24" t="s">
        <v>22</v>
      </c>
      <c r="K24" t="str">
        <f t="shared" si="0"/>
        <v>A</v>
      </c>
      <c r="L24" t="s">
        <v>22</v>
      </c>
      <c r="M24">
        <f t="shared" si="1"/>
        <v>1</v>
      </c>
    </row>
    <row r="25" ht="18" customHeight="1" spans="1:13">
      <c r="A25" t="s">
        <v>63</v>
      </c>
      <c r="B25" s="12" t="s">
        <v>64</v>
      </c>
      <c r="C25" t="s">
        <v>15</v>
      </c>
      <c r="D25" t="s">
        <v>32</v>
      </c>
      <c r="E25" t="s">
        <v>23</v>
      </c>
      <c r="F25" s="12" t="s">
        <v>75</v>
      </c>
      <c r="G25" t="s">
        <v>19</v>
      </c>
      <c r="H25" t="s">
        <v>20</v>
      </c>
      <c r="I25" t="s">
        <v>76</v>
      </c>
      <c r="J25" t="s">
        <v>22</v>
      </c>
      <c r="K25" t="str">
        <f t="shared" si="0"/>
        <v>B</v>
      </c>
      <c r="L25" t="s">
        <v>22</v>
      </c>
      <c r="M25">
        <f t="shared" si="1"/>
        <v>0</v>
      </c>
    </row>
    <row r="26" ht="18" customHeight="1" spans="1:13">
      <c r="A26" t="s">
        <v>63</v>
      </c>
      <c r="B26" s="12" t="s">
        <v>64</v>
      </c>
      <c r="C26" t="s">
        <v>37</v>
      </c>
      <c r="D26" t="s">
        <v>16</v>
      </c>
      <c r="E26" t="s">
        <v>17</v>
      </c>
      <c r="F26" s="12" t="s">
        <v>77</v>
      </c>
      <c r="G26" t="s">
        <v>19</v>
      </c>
      <c r="H26" t="s">
        <v>20</v>
      </c>
      <c r="I26" t="s">
        <v>78</v>
      </c>
      <c r="J26" t="s">
        <v>22</v>
      </c>
      <c r="K26" t="str">
        <f t="shared" si="0"/>
        <v>A</v>
      </c>
      <c r="L26" t="s">
        <v>22</v>
      </c>
      <c r="M26">
        <f t="shared" si="1"/>
        <v>1</v>
      </c>
    </row>
    <row r="27" ht="18" customHeight="1" spans="1:13">
      <c r="A27" t="s">
        <v>63</v>
      </c>
      <c r="B27" s="12" t="s">
        <v>64</v>
      </c>
      <c r="C27" t="s">
        <v>37</v>
      </c>
      <c r="D27" t="s">
        <v>16</v>
      </c>
      <c r="E27" t="s">
        <v>23</v>
      </c>
      <c r="F27" s="12" t="s">
        <v>79</v>
      </c>
      <c r="G27" t="s">
        <v>19</v>
      </c>
      <c r="H27" t="s">
        <v>20</v>
      </c>
      <c r="I27" t="s">
        <v>80</v>
      </c>
      <c r="J27" t="s">
        <v>26</v>
      </c>
      <c r="K27" t="str">
        <f t="shared" si="0"/>
        <v>A</v>
      </c>
      <c r="L27" t="s">
        <v>22</v>
      </c>
      <c r="M27">
        <f t="shared" si="1"/>
        <v>1</v>
      </c>
    </row>
    <row r="28" ht="18" customHeight="1" spans="1:13">
      <c r="A28" t="s">
        <v>63</v>
      </c>
      <c r="B28" s="12" t="s">
        <v>64</v>
      </c>
      <c r="C28" t="s">
        <v>37</v>
      </c>
      <c r="D28" t="s">
        <v>27</v>
      </c>
      <c r="E28" t="s">
        <v>17</v>
      </c>
      <c r="F28" s="12" t="s">
        <v>81</v>
      </c>
      <c r="G28" t="s">
        <v>19</v>
      </c>
      <c r="H28" t="s">
        <v>20</v>
      </c>
      <c r="I28" t="s">
        <v>82</v>
      </c>
      <c r="J28" t="s">
        <v>22</v>
      </c>
      <c r="K28" t="str">
        <f t="shared" si="0"/>
        <v>A</v>
      </c>
      <c r="L28" t="s">
        <v>22</v>
      </c>
      <c r="M28">
        <f t="shared" si="1"/>
        <v>1</v>
      </c>
    </row>
    <row r="29" ht="18" customHeight="1" spans="1:13">
      <c r="A29" t="s">
        <v>63</v>
      </c>
      <c r="B29" s="12" t="s">
        <v>64</v>
      </c>
      <c r="C29" t="s">
        <v>37</v>
      </c>
      <c r="D29" t="s">
        <v>27</v>
      </c>
      <c r="E29" t="s">
        <v>23</v>
      </c>
      <c r="F29" s="12" t="s">
        <v>83</v>
      </c>
      <c r="G29" t="s">
        <v>19</v>
      </c>
      <c r="H29" t="s">
        <v>20</v>
      </c>
      <c r="I29" t="s">
        <v>84</v>
      </c>
      <c r="J29" t="s">
        <v>26</v>
      </c>
      <c r="K29" t="str">
        <f t="shared" si="0"/>
        <v>A</v>
      </c>
      <c r="L29" t="s">
        <v>22</v>
      </c>
      <c r="M29">
        <f t="shared" si="1"/>
        <v>1</v>
      </c>
    </row>
    <row r="30" ht="18" customHeight="1" spans="1:13">
      <c r="A30" t="s">
        <v>63</v>
      </c>
      <c r="B30" s="12" t="s">
        <v>64</v>
      </c>
      <c r="C30" t="s">
        <v>37</v>
      </c>
      <c r="D30" t="s">
        <v>32</v>
      </c>
      <c r="E30" t="s">
        <v>17</v>
      </c>
      <c r="F30" s="12" t="s">
        <v>85</v>
      </c>
      <c r="G30" t="s">
        <v>19</v>
      </c>
      <c r="H30" t="s">
        <v>20</v>
      </c>
      <c r="I30" t="s">
        <v>86</v>
      </c>
      <c r="J30" t="s">
        <v>22</v>
      </c>
      <c r="K30" t="str">
        <f t="shared" si="0"/>
        <v>A</v>
      </c>
      <c r="L30" t="s">
        <v>22</v>
      </c>
      <c r="M30">
        <f t="shared" si="1"/>
        <v>1</v>
      </c>
    </row>
    <row r="31" ht="18" customHeight="1" spans="1:13">
      <c r="A31" t="s">
        <v>63</v>
      </c>
      <c r="B31" s="12" t="s">
        <v>64</v>
      </c>
      <c r="C31" t="s">
        <v>37</v>
      </c>
      <c r="D31" t="s">
        <v>32</v>
      </c>
      <c r="E31" t="s">
        <v>23</v>
      </c>
      <c r="F31" s="12" t="s">
        <v>87</v>
      </c>
      <c r="G31" t="s">
        <v>19</v>
      </c>
      <c r="H31" t="s">
        <v>20</v>
      </c>
      <c r="I31" t="s">
        <v>88</v>
      </c>
      <c r="J31" t="s">
        <v>26</v>
      </c>
      <c r="K31" t="str">
        <f t="shared" si="0"/>
        <v>A</v>
      </c>
      <c r="L31" t="s">
        <v>22</v>
      </c>
      <c r="M31">
        <f t="shared" si="1"/>
        <v>1</v>
      </c>
    </row>
    <row r="32" ht="18" customHeight="1" spans="1:13">
      <c r="A32" t="s">
        <v>63</v>
      </c>
      <c r="B32" s="12" t="s">
        <v>64</v>
      </c>
      <c r="C32" t="s">
        <v>50</v>
      </c>
      <c r="D32" t="s">
        <v>16</v>
      </c>
      <c r="E32" t="s">
        <v>17</v>
      </c>
      <c r="F32" s="12" t="s">
        <v>89</v>
      </c>
      <c r="G32" t="s">
        <v>19</v>
      </c>
      <c r="H32" t="s">
        <v>20</v>
      </c>
      <c r="I32" t="s">
        <v>90</v>
      </c>
      <c r="J32" t="s">
        <v>22</v>
      </c>
      <c r="K32" t="str">
        <f t="shared" si="0"/>
        <v>B</v>
      </c>
      <c r="L32" t="s">
        <v>26</v>
      </c>
      <c r="M32">
        <f t="shared" si="1"/>
        <v>1</v>
      </c>
    </row>
    <row r="33" ht="18" customHeight="1" spans="1:13">
      <c r="A33" t="s">
        <v>63</v>
      </c>
      <c r="B33" s="12" t="s">
        <v>64</v>
      </c>
      <c r="C33" t="s">
        <v>50</v>
      </c>
      <c r="D33" t="s">
        <v>16</v>
      </c>
      <c r="E33" t="s">
        <v>23</v>
      </c>
      <c r="F33" s="12" t="s">
        <v>91</v>
      </c>
      <c r="G33" t="s">
        <v>19</v>
      </c>
      <c r="H33" t="s">
        <v>20</v>
      </c>
      <c r="I33" t="s">
        <v>92</v>
      </c>
      <c r="J33" t="s">
        <v>26</v>
      </c>
      <c r="K33" t="str">
        <f t="shared" si="0"/>
        <v>B</v>
      </c>
      <c r="L33" t="s">
        <v>26</v>
      </c>
      <c r="M33">
        <f t="shared" si="1"/>
        <v>1</v>
      </c>
    </row>
    <row r="34" ht="18" customHeight="1" spans="1:13">
      <c r="A34" t="s">
        <v>63</v>
      </c>
      <c r="B34" s="12" t="s">
        <v>64</v>
      </c>
      <c r="C34" t="s">
        <v>50</v>
      </c>
      <c r="D34" t="s">
        <v>27</v>
      </c>
      <c r="E34" t="s">
        <v>17</v>
      </c>
      <c r="F34" s="12" t="s">
        <v>93</v>
      </c>
      <c r="G34" t="s">
        <v>19</v>
      </c>
      <c r="H34" t="s">
        <v>20</v>
      </c>
      <c r="I34" t="s">
        <v>94</v>
      </c>
      <c r="J34" t="s">
        <v>22</v>
      </c>
      <c r="K34" t="str">
        <f t="shared" si="0"/>
        <v>B</v>
      </c>
      <c r="L34" t="s">
        <v>26</v>
      </c>
      <c r="M34">
        <f t="shared" si="1"/>
        <v>1</v>
      </c>
    </row>
    <row r="35" ht="18" customHeight="1" spans="1:13">
      <c r="A35" t="s">
        <v>63</v>
      </c>
      <c r="B35" s="12" t="s">
        <v>64</v>
      </c>
      <c r="C35" t="s">
        <v>50</v>
      </c>
      <c r="D35" t="s">
        <v>27</v>
      </c>
      <c r="E35" t="s">
        <v>23</v>
      </c>
      <c r="F35" s="12" t="s">
        <v>95</v>
      </c>
      <c r="G35" t="s">
        <v>19</v>
      </c>
      <c r="H35" t="s">
        <v>20</v>
      </c>
      <c r="I35" t="s">
        <v>96</v>
      </c>
      <c r="J35" t="s">
        <v>26</v>
      </c>
      <c r="K35" t="str">
        <f t="shared" si="0"/>
        <v>B</v>
      </c>
      <c r="L35" t="s">
        <v>26</v>
      </c>
      <c r="M35">
        <f t="shared" si="1"/>
        <v>1</v>
      </c>
    </row>
    <row r="36" ht="18" customHeight="1" spans="1:13">
      <c r="A36" t="s">
        <v>63</v>
      </c>
      <c r="B36" s="12" t="s">
        <v>64</v>
      </c>
      <c r="C36" t="s">
        <v>50</v>
      </c>
      <c r="D36" t="s">
        <v>32</v>
      </c>
      <c r="E36" t="s">
        <v>17</v>
      </c>
      <c r="F36" s="12" t="s">
        <v>97</v>
      </c>
      <c r="G36" t="s">
        <v>19</v>
      </c>
      <c r="H36" t="s">
        <v>20</v>
      </c>
      <c r="I36" t="s">
        <v>98</v>
      </c>
      <c r="J36" t="s">
        <v>22</v>
      </c>
      <c r="K36" t="str">
        <f t="shared" si="0"/>
        <v>B</v>
      </c>
      <c r="L36" t="s">
        <v>26</v>
      </c>
      <c r="M36">
        <f t="shared" si="1"/>
        <v>1</v>
      </c>
    </row>
    <row r="37" ht="18" customHeight="1" spans="1:13">
      <c r="A37" t="s">
        <v>63</v>
      </c>
      <c r="B37" s="12" t="s">
        <v>64</v>
      </c>
      <c r="C37" t="s">
        <v>50</v>
      </c>
      <c r="D37" t="s">
        <v>32</v>
      </c>
      <c r="E37" t="s">
        <v>23</v>
      </c>
      <c r="F37" s="12" t="s">
        <v>99</v>
      </c>
      <c r="G37" t="s">
        <v>19</v>
      </c>
      <c r="H37" t="s">
        <v>20</v>
      </c>
      <c r="I37" t="s">
        <v>100</v>
      </c>
      <c r="J37" t="s">
        <v>26</v>
      </c>
      <c r="K37" t="str">
        <f t="shared" si="0"/>
        <v>B</v>
      </c>
      <c r="L37" t="s">
        <v>26</v>
      </c>
      <c r="M37">
        <f t="shared" si="1"/>
        <v>1</v>
      </c>
    </row>
    <row r="38" ht="18" customHeight="1" spans="1:13">
      <c r="A38" t="s">
        <v>101</v>
      </c>
      <c r="B38" s="12" t="s">
        <v>102</v>
      </c>
      <c r="C38" t="s">
        <v>15</v>
      </c>
      <c r="D38" t="s">
        <v>16</v>
      </c>
      <c r="E38" t="s">
        <v>17</v>
      </c>
      <c r="F38" s="12" t="s">
        <v>103</v>
      </c>
      <c r="G38" t="s">
        <v>19</v>
      </c>
      <c r="H38" t="s">
        <v>20</v>
      </c>
      <c r="I38" t="s">
        <v>104</v>
      </c>
      <c r="J38" t="s">
        <v>22</v>
      </c>
      <c r="K38" t="str">
        <f t="shared" si="0"/>
        <v>A</v>
      </c>
      <c r="L38" t="s">
        <v>105</v>
      </c>
      <c r="M38">
        <f t="shared" si="1"/>
        <v>0</v>
      </c>
    </row>
    <row r="39" ht="18" customHeight="1" spans="1:13">
      <c r="A39" t="s">
        <v>101</v>
      </c>
      <c r="B39" s="12" t="s">
        <v>102</v>
      </c>
      <c r="C39" t="s">
        <v>15</v>
      </c>
      <c r="D39" t="s">
        <v>16</v>
      </c>
      <c r="E39" t="s">
        <v>23</v>
      </c>
      <c r="F39" s="12" t="s">
        <v>106</v>
      </c>
      <c r="G39" t="s">
        <v>19</v>
      </c>
      <c r="H39" t="s">
        <v>20</v>
      </c>
      <c r="I39" t="s">
        <v>107</v>
      </c>
      <c r="J39" t="s">
        <v>108</v>
      </c>
      <c r="K39" t="str">
        <f t="shared" si="0"/>
        <v>D(平局)</v>
      </c>
      <c r="L39" t="s">
        <v>105</v>
      </c>
      <c r="M39">
        <f t="shared" si="1"/>
        <v>1</v>
      </c>
    </row>
    <row r="40" ht="18" customHeight="1" spans="1:13">
      <c r="A40" t="s">
        <v>101</v>
      </c>
      <c r="B40" s="12" t="s">
        <v>102</v>
      </c>
      <c r="C40" t="s">
        <v>15</v>
      </c>
      <c r="D40" t="s">
        <v>27</v>
      </c>
      <c r="E40" t="s">
        <v>17</v>
      </c>
      <c r="F40" s="12" t="s">
        <v>109</v>
      </c>
      <c r="G40" t="s">
        <v>19</v>
      </c>
      <c r="H40" t="s">
        <v>20</v>
      </c>
      <c r="I40" t="s">
        <v>110</v>
      </c>
      <c r="J40" t="s">
        <v>22</v>
      </c>
      <c r="K40" t="str">
        <f t="shared" si="0"/>
        <v>A</v>
      </c>
      <c r="L40" t="s">
        <v>105</v>
      </c>
      <c r="M40">
        <f t="shared" si="1"/>
        <v>0</v>
      </c>
    </row>
    <row r="41" ht="18" customHeight="1" spans="1:13">
      <c r="A41" t="s">
        <v>101</v>
      </c>
      <c r="B41" s="12" t="s">
        <v>102</v>
      </c>
      <c r="C41" t="s">
        <v>15</v>
      </c>
      <c r="D41" t="s">
        <v>27</v>
      </c>
      <c r="E41" t="s">
        <v>23</v>
      </c>
      <c r="F41" s="12" t="s">
        <v>111</v>
      </c>
      <c r="G41" t="s">
        <v>19</v>
      </c>
      <c r="H41" t="s">
        <v>20</v>
      </c>
      <c r="I41" t="s">
        <v>112</v>
      </c>
      <c r="J41" t="s">
        <v>26</v>
      </c>
      <c r="K41" t="str">
        <f t="shared" si="0"/>
        <v>A</v>
      </c>
      <c r="L41" t="s">
        <v>105</v>
      </c>
      <c r="M41">
        <f t="shared" si="1"/>
        <v>0</v>
      </c>
    </row>
    <row r="42" ht="18" customHeight="1" spans="1:13">
      <c r="A42" t="s">
        <v>101</v>
      </c>
      <c r="B42" s="12" t="s">
        <v>102</v>
      </c>
      <c r="C42" t="s">
        <v>15</v>
      </c>
      <c r="D42" t="s">
        <v>32</v>
      </c>
      <c r="E42" t="s">
        <v>17</v>
      </c>
      <c r="F42" s="12" t="s">
        <v>113</v>
      </c>
      <c r="G42" t="s">
        <v>19</v>
      </c>
      <c r="H42" t="s">
        <v>20</v>
      </c>
      <c r="I42" t="s">
        <v>114</v>
      </c>
      <c r="J42" t="s">
        <v>22</v>
      </c>
      <c r="K42" t="str">
        <f t="shared" si="0"/>
        <v>A</v>
      </c>
      <c r="L42" t="s">
        <v>105</v>
      </c>
      <c r="M42">
        <f t="shared" si="1"/>
        <v>0</v>
      </c>
    </row>
    <row r="43" ht="18" customHeight="1" spans="1:13">
      <c r="A43" t="s">
        <v>101</v>
      </c>
      <c r="B43" s="12" t="s">
        <v>102</v>
      </c>
      <c r="C43" t="s">
        <v>15</v>
      </c>
      <c r="D43" t="s">
        <v>32</v>
      </c>
      <c r="E43" t="s">
        <v>23</v>
      </c>
      <c r="F43" s="12" t="s">
        <v>115</v>
      </c>
      <c r="G43" t="s">
        <v>19</v>
      </c>
      <c r="H43" t="s">
        <v>20</v>
      </c>
      <c r="I43" t="s">
        <v>116</v>
      </c>
      <c r="J43" t="s">
        <v>26</v>
      </c>
      <c r="K43" t="str">
        <f t="shared" si="0"/>
        <v>A</v>
      </c>
      <c r="L43" t="s">
        <v>105</v>
      </c>
      <c r="M43">
        <f t="shared" si="1"/>
        <v>0</v>
      </c>
    </row>
    <row r="44" ht="18" customHeight="1" spans="1:13">
      <c r="A44" t="s">
        <v>101</v>
      </c>
      <c r="B44" s="12" t="s">
        <v>102</v>
      </c>
      <c r="C44" t="s">
        <v>37</v>
      </c>
      <c r="D44" t="s">
        <v>16</v>
      </c>
      <c r="E44" t="s">
        <v>17</v>
      </c>
      <c r="F44" s="12" t="s">
        <v>117</v>
      </c>
      <c r="G44" t="s">
        <v>19</v>
      </c>
      <c r="H44" t="s">
        <v>20</v>
      </c>
      <c r="I44" t="s">
        <v>118</v>
      </c>
      <c r="J44" t="s">
        <v>22</v>
      </c>
      <c r="K44" t="str">
        <f t="shared" si="0"/>
        <v>A</v>
      </c>
      <c r="L44" t="s">
        <v>22</v>
      </c>
      <c r="M44">
        <f t="shared" si="1"/>
        <v>1</v>
      </c>
    </row>
    <row r="45" ht="18" customHeight="1" spans="1:13">
      <c r="A45" t="s">
        <v>101</v>
      </c>
      <c r="B45" s="12" t="s">
        <v>102</v>
      </c>
      <c r="C45" t="s">
        <v>37</v>
      </c>
      <c r="D45" t="s">
        <v>16</v>
      </c>
      <c r="E45" t="s">
        <v>23</v>
      </c>
      <c r="F45" s="12" t="s">
        <v>119</v>
      </c>
      <c r="G45" t="s">
        <v>19</v>
      </c>
      <c r="H45" t="s">
        <v>20</v>
      </c>
      <c r="I45" t="s">
        <v>120</v>
      </c>
      <c r="J45" t="s">
        <v>26</v>
      </c>
      <c r="K45" t="str">
        <f t="shared" si="0"/>
        <v>A</v>
      </c>
      <c r="L45" t="s">
        <v>22</v>
      </c>
      <c r="M45">
        <f t="shared" si="1"/>
        <v>1</v>
      </c>
    </row>
    <row r="46" ht="18" customHeight="1" spans="1:13">
      <c r="A46" t="s">
        <v>101</v>
      </c>
      <c r="B46" s="12" t="s">
        <v>102</v>
      </c>
      <c r="C46" t="s">
        <v>37</v>
      </c>
      <c r="D46" t="s">
        <v>27</v>
      </c>
      <c r="E46" t="s">
        <v>17</v>
      </c>
      <c r="F46" s="12" t="s">
        <v>121</v>
      </c>
      <c r="G46" t="s">
        <v>19</v>
      </c>
      <c r="H46" t="s">
        <v>20</v>
      </c>
      <c r="I46" t="s">
        <v>122</v>
      </c>
      <c r="J46" t="s">
        <v>22</v>
      </c>
      <c r="K46" t="str">
        <f t="shared" si="0"/>
        <v>A</v>
      </c>
      <c r="L46" t="s">
        <v>22</v>
      </c>
      <c r="M46">
        <f t="shared" si="1"/>
        <v>1</v>
      </c>
    </row>
    <row r="47" ht="18" customHeight="1" spans="1:13">
      <c r="A47" t="s">
        <v>101</v>
      </c>
      <c r="B47" s="12" t="s">
        <v>102</v>
      </c>
      <c r="C47" t="s">
        <v>37</v>
      </c>
      <c r="D47" t="s">
        <v>27</v>
      </c>
      <c r="E47" t="s">
        <v>23</v>
      </c>
      <c r="F47" s="12" t="s">
        <v>123</v>
      </c>
      <c r="G47" t="s">
        <v>19</v>
      </c>
      <c r="H47" t="s">
        <v>20</v>
      </c>
      <c r="I47" t="s">
        <v>124</v>
      </c>
      <c r="J47" t="s">
        <v>26</v>
      </c>
      <c r="K47" t="str">
        <f t="shared" si="0"/>
        <v>A</v>
      </c>
      <c r="L47" t="s">
        <v>22</v>
      </c>
      <c r="M47">
        <f t="shared" si="1"/>
        <v>1</v>
      </c>
    </row>
    <row r="48" ht="18" customHeight="1" spans="1:13">
      <c r="A48" t="s">
        <v>101</v>
      </c>
      <c r="B48" s="12" t="s">
        <v>102</v>
      </c>
      <c r="C48" t="s">
        <v>37</v>
      </c>
      <c r="D48" t="s">
        <v>32</v>
      </c>
      <c r="E48" t="s">
        <v>17</v>
      </c>
      <c r="F48" s="12" t="s">
        <v>125</v>
      </c>
      <c r="G48" t="s">
        <v>19</v>
      </c>
      <c r="H48" t="s">
        <v>20</v>
      </c>
      <c r="I48" t="s">
        <v>126</v>
      </c>
      <c r="J48" t="s">
        <v>22</v>
      </c>
      <c r="K48" t="str">
        <f t="shared" si="0"/>
        <v>A</v>
      </c>
      <c r="L48" t="s">
        <v>22</v>
      </c>
      <c r="M48">
        <f t="shared" si="1"/>
        <v>1</v>
      </c>
    </row>
    <row r="49" ht="18" customHeight="1" spans="1:13">
      <c r="A49" t="s">
        <v>101</v>
      </c>
      <c r="B49" s="12" t="s">
        <v>102</v>
      </c>
      <c r="C49" t="s">
        <v>37</v>
      </c>
      <c r="D49" t="s">
        <v>32</v>
      </c>
      <c r="E49" t="s">
        <v>23</v>
      </c>
      <c r="F49" s="12" t="s">
        <v>127</v>
      </c>
      <c r="G49" t="s">
        <v>19</v>
      </c>
      <c r="H49" t="s">
        <v>20</v>
      </c>
      <c r="I49" t="s">
        <v>128</v>
      </c>
      <c r="J49" t="s">
        <v>26</v>
      </c>
      <c r="K49" t="str">
        <f t="shared" si="0"/>
        <v>A</v>
      </c>
      <c r="L49" t="s">
        <v>22</v>
      </c>
      <c r="M49">
        <f t="shared" si="1"/>
        <v>1</v>
      </c>
    </row>
    <row r="50" ht="18" customHeight="1" spans="1:13">
      <c r="A50" t="s">
        <v>101</v>
      </c>
      <c r="B50" s="12" t="s">
        <v>102</v>
      </c>
      <c r="C50" t="s">
        <v>50</v>
      </c>
      <c r="D50" t="s">
        <v>16</v>
      </c>
      <c r="E50" t="s">
        <v>17</v>
      </c>
      <c r="F50" s="12" t="s">
        <v>129</v>
      </c>
      <c r="G50" t="s">
        <v>19</v>
      </c>
      <c r="H50" t="s">
        <v>20</v>
      </c>
      <c r="I50" t="s">
        <v>130</v>
      </c>
      <c r="J50" t="s">
        <v>22</v>
      </c>
      <c r="K50" t="str">
        <f t="shared" si="0"/>
        <v>B</v>
      </c>
      <c r="L50" t="s">
        <v>26</v>
      </c>
      <c r="M50">
        <f t="shared" si="1"/>
        <v>1</v>
      </c>
    </row>
    <row r="51" ht="18" customHeight="1" spans="1:13">
      <c r="A51" t="s">
        <v>101</v>
      </c>
      <c r="B51" s="12" t="s">
        <v>102</v>
      </c>
      <c r="C51" t="s">
        <v>50</v>
      </c>
      <c r="D51" t="s">
        <v>16</v>
      </c>
      <c r="E51" t="s">
        <v>23</v>
      </c>
      <c r="F51" s="12" t="s">
        <v>131</v>
      </c>
      <c r="G51" t="s">
        <v>19</v>
      </c>
      <c r="H51" t="s">
        <v>20</v>
      </c>
      <c r="I51" t="s">
        <v>132</v>
      </c>
      <c r="J51" t="s">
        <v>26</v>
      </c>
      <c r="K51" t="str">
        <f t="shared" si="0"/>
        <v>B</v>
      </c>
      <c r="L51" t="s">
        <v>26</v>
      </c>
      <c r="M51">
        <f t="shared" si="1"/>
        <v>1</v>
      </c>
    </row>
    <row r="52" ht="18" customHeight="1" spans="1:13">
      <c r="A52" t="s">
        <v>101</v>
      </c>
      <c r="B52" s="12" t="s">
        <v>102</v>
      </c>
      <c r="C52" t="s">
        <v>50</v>
      </c>
      <c r="D52" t="s">
        <v>27</v>
      </c>
      <c r="E52" t="s">
        <v>17</v>
      </c>
      <c r="F52" s="12" t="s">
        <v>133</v>
      </c>
      <c r="G52" t="s">
        <v>19</v>
      </c>
      <c r="H52" t="s">
        <v>20</v>
      </c>
      <c r="I52" t="s">
        <v>134</v>
      </c>
      <c r="J52" t="s">
        <v>22</v>
      </c>
      <c r="K52" t="str">
        <f t="shared" si="0"/>
        <v>B</v>
      </c>
      <c r="L52" t="s">
        <v>26</v>
      </c>
      <c r="M52">
        <f t="shared" si="1"/>
        <v>1</v>
      </c>
    </row>
    <row r="53" ht="18" customHeight="1" spans="1:13">
      <c r="A53" t="s">
        <v>101</v>
      </c>
      <c r="B53" s="12" t="s">
        <v>102</v>
      </c>
      <c r="C53" t="s">
        <v>50</v>
      </c>
      <c r="D53" t="s">
        <v>27</v>
      </c>
      <c r="E53" t="s">
        <v>23</v>
      </c>
      <c r="F53" s="12" t="s">
        <v>135</v>
      </c>
      <c r="G53" t="s">
        <v>19</v>
      </c>
      <c r="H53" t="s">
        <v>20</v>
      </c>
      <c r="I53" t="s">
        <v>136</v>
      </c>
      <c r="J53" t="s">
        <v>26</v>
      </c>
      <c r="K53" t="str">
        <f t="shared" si="0"/>
        <v>B</v>
      </c>
      <c r="L53" t="s">
        <v>26</v>
      </c>
      <c r="M53">
        <f t="shared" si="1"/>
        <v>1</v>
      </c>
    </row>
    <row r="54" ht="18" customHeight="1" spans="1:13">
      <c r="A54" t="s">
        <v>101</v>
      </c>
      <c r="B54" s="12" t="s">
        <v>102</v>
      </c>
      <c r="C54" t="s">
        <v>50</v>
      </c>
      <c r="D54" t="s">
        <v>32</v>
      </c>
      <c r="E54" t="s">
        <v>17</v>
      </c>
      <c r="F54" s="12" t="s">
        <v>137</v>
      </c>
      <c r="G54" t="s">
        <v>19</v>
      </c>
      <c r="H54" t="s">
        <v>20</v>
      </c>
      <c r="I54" t="s">
        <v>138</v>
      </c>
      <c r="J54" t="s">
        <v>22</v>
      </c>
      <c r="K54" t="str">
        <f t="shared" si="0"/>
        <v>B</v>
      </c>
      <c r="L54" t="s">
        <v>26</v>
      </c>
      <c r="M54">
        <f t="shared" si="1"/>
        <v>1</v>
      </c>
    </row>
    <row r="55" ht="18" customHeight="1" spans="1:13">
      <c r="A55" t="s">
        <v>101</v>
      </c>
      <c r="B55" s="12" t="s">
        <v>102</v>
      </c>
      <c r="C55" t="s">
        <v>50</v>
      </c>
      <c r="D55" t="s">
        <v>32</v>
      </c>
      <c r="E55" t="s">
        <v>23</v>
      </c>
      <c r="F55" s="12" t="s">
        <v>139</v>
      </c>
      <c r="G55" t="s">
        <v>19</v>
      </c>
      <c r="H55" t="s">
        <v>20</v>
      </c>
      <c r="I55" t="s">
        <v>140</v>
      </c>
      <c r="J55" t="s">
        <v>26</v>
      </c>
      <c r="K55" t="str">
        <f t="shared" si="0"/>
        <v>B</v>
      </c>
      <c r="L55" t="s">
        <v>26</v>
      </c>
      <c r="M55">
        <f t="shared" si="1"/>
        <v>1</v>
      </c>
    </row>
    <row r="56" ht="18" customHeight="1" spans="1:13">
      <c r="A56" t="s">
        <v>141</v>
      </c>
      <c r="B56" s="12" t="s">
        <v>142</v>
      </c>
      <c r="C56" t="s">
        <v>15</v>
      </c>
      <c r="D56" t="s">
        <v>16</v>
      </c>
      <c r="E56" t="s">
        <v>17</v>
      </c>
      <c r="F56" s="12" t="s">
        <v>143</v>
      </c>
      <c r="G56" t="s">
        <v>19</v>
      </c>
      <c r="H56" t="s">
        <v>20</v>
      </c>
      <c r="I56" t="s">
        <v>144</v>
      </c>
      <c r="J56" t="s">
        <v>26</v>
      </c>
      <c r="K56" t="str">
        <f t="shared" si="0"/>
        <v>B</v>
      </c>
      <c r="L56" t="s">
        <v>105</v>
      </c>
      <c r="M56">
        <f t="shared" si="1"/>
        <v>0</v>
      </c>
    </row>
    <row r="57" ht="18" customHeight="1" spans="1:13">
      <c r="A57" t="s">
        <v>141</v>
      </c>
      <c r="B57" s="12" t="s">
        <v>142</v>
      </c>
      <c r="C57" t="s">
        <v>15</v>
      </c>
      <c r="D57" t="s">
        <v>16</v>
      </c>
      <c r="E57" t="s">
        <v>23</v>
      </c>
      <c r="F57" s="12" t="s">
        <v>145</v>
      </c>
      <c r="G57" t="s">
        <v>19</v>
      </c>
      <c r="H57" t="s">
        <v>20</v>
      </c>
      <c r="I57" t="s">
        <v>146</v>
      </c>
      <c r="J57" t="s">
        <v>22</v>
      </c>
      <c r="K57" t="str">
        <f t="shared" si="0"/>
        <v>B</v>
      </c>
      <c r="L57" t="s">
        <v>105</v>
      </c>
      <c r="M57">
        <f t="shared" si="1"/>
        <v>0</v>
      </c>
    </row>
    <row r="58" ht="18" customHeight="1" spans="1:13">
      <c r="A58" t="s">
        <v>141</v>
      </c>
      <c r="B58" s="12" t="s">
        <v>142</v>
      </c>
      <c r="C58" t="s">
        <v>15</v>
      </c>
      <c r="D58" t="s">
        <v>27</v>
      </c>
      <c r="E58" t="s">
        <v>17</v>
      </c>
      <c r="F58" s="12" t="s">
        <v>147</v>
      </c>
      <c r="G58" t="s">
        <v>19</v>
      </c>
      <c r="H58" t="s">
        <v>20</v>
      </c>
      <c r="I58" t="s">
        <v>148</v>
      </c>
      <c r="J58" t="s">
        <v>108</v>
      </c>
      <c r="K58" t="str">
        <f t="shared" si="0"/>
        <v>D(平局)</v>
      </c>
      <c r="L58" t="s">
        <v>105</v>
      </c>
      <c r="M58">
        <f t="shared" si="1"/>
        <v>1</v>
      </c>
    </row>
    <row r="59" ht="18" customHeight="1" spans="1:13">
      <c r="A59" t="s">
        <v>141</v>
      </c>
      <c r="B59" s="12" t="s">
        <v>142</v>
      </c>
      <c r="C59" t="s">
        <v>15</v>
      </c>
      <c r="D59" t="s">
        <v>27</v>
      </c>
      <c r="E59" t="s">
        <v>23</v>
      </c>
      <c r="F59" s="12" t="s">
        <v>149</v>
      </c>
      <c r="G59" t="s">
        <v>19</v>
      </c>
      <c r="H59" t="s">
        <v>20</v>
      </c>
      <c r="I59" t="s">
        <v>150</v>
      </c>
      <c r="J59" t="s">
        <v>108</v>
      </c>
      <c r="K59" t="str">
        <f t="shared" si="0"/>
        <v>D(平局)</v>
      </c>
      <c r="L59" t="s">
        <v>105</v>
      </c>
      <c r="M59">
        <f t="shared" si="1"/>
        <v>1</v>
      </c>
    </row>
    <row r="60" ht="18" customHeight="1" spans="1:13">
      <c r="A60" t="s">
        <v>141</v>
      </c>
      <c r="B60" s="12" t="s">
        <v>142</v>
      </c>
      <c r="C60" t="s">
        <v>15</v>
      </c>
      <c r="D60" t="s">
        <v>32</v>
      </c>
      <c r="E60" t="s">
        <v>17</v>
      </c>
      <c r="F60" s="12" t="s">
        <v>151</v>
      </c>
      <c r="G60" t="s">
        <v>19</v>
      </c>
      <c r="H60" t="s">
        <v>20</v>
      </c>
      <c r="I60" t="s">
        <v>152</v>
      </c>
      <c r="J60" t="s">
        <v>26</v>
      </c>
      <c r="K60" t="str">
        <f t="shared" si="0"/>
        <v>B</v>
      </c>
      <c r="L60" t="s">
        <v>105</v>
      </c>
      <c r="M60">
        <f t="shared" si="1"/>
        <v>0</v>
      </c>
    </row>
    <row r="61" ht="18" customHeight="1" spans="1:13">
      <c r="A61" t="s">
        <v>141</v>
      </c>
      <c r="B61" s="12" t="s">
        <v>142</v>
      </c>
      <c r="C61" t="s">
        <v>15</v>
      </c>
      <c r="D61" t="s">
        <v>32</v>
      </c>
      <c r="E61" t="s">
        <v>23</v>
      </c>
      <c r="F61" s="12" t="s">
        <v>153</v>
      </c>
      <c r="G61" t="s">
        <v>19</v>
      </c>
      <c r="H61" t="s">
        <v>20</v>
      </c>
      <c r="I61" t="s">
        <v>154</v>
      </c>
      <c r="J61" t="s">
        <v>22</v>
      </c>
      <c r="K61" t="str">
        <f t="shared" si="0"/>
        <v>B</v>
      </c>
      <c r="L61" t="s">
        <v>105</v>
      </c>
      <c r="M61">
        <f t="shared" si="1"/>
        <v>0</v>
      </c>
    </row>
    <row r="62" ht="18" customHeight="1" spans="1:13">
      <c r="A62" t="s">
        <v>141</v>
      </c>
      <c r="B62" s="12" t="s">
        <v>142</v>
      </c>
      <c r="C62" t="s">
        <v>37</v>
      </c>
      <c r="D62" t="s">
        <v>16</v>
      </c>
      <c r="E62" t="s">
        <v>17</v>
      </c>
      <c r="F62" s="12" t="s">
        <v>155</v>
      </c>
      <c r="G62" t="s">
        <v>19</v>
      </c>
      <c r="H62" t="s">
        <v>20</v>
      </c>
      <c r="I62" t="s">
        <v>156</v>
      </c>
      <c r="J62" t="s">
        <v>22</v>
      </c>
      <c r="K62" t="str">
        <f t="shared" si="0"/>
        <v>A</v>
      </c>
      <c r="L62" t="s">
        <v>22</v>
      </c>
      <c r="M62">
        <f t="shared" si="1"/>
        <v>1</v>
      </c>
    </row>
    <row r="63" ht="18" customHeight="1" spans="1:13">
      <c r="A63" t="s">
        <v>141</v>
      </c>
      <c r="B63" s="12" t="s">
        <v>142</v>
      </c>
      <c r="C63" t="s">
        <v>37</v>
      </c>
      <c r="D63" t="s">
        <v>16</v>
      </c>
      <c r="E63" t="s">
        <v>23</v>
      </c>
      <c r="F63" s="12" t="s">
        <v>157</v>
      </c>
      <c r="G63" t="s">
        <v>19</v>
      </c>
      <c r="H63" t="s">
        <v>20</v>
      </c>
      <c r="I63" t="s">
        <v>158</v>
      </c>
      <c r="J63" t="s">
        <v>22</v>
      </c>
      <c r="K63" t="str">
        <f t="shared" si="0"/>
        <v>C</v>
      </c>
      <c r="L63" t="s">
        <v>22</v>
      </c>
      <c r="M63">
        <f t="shared" si="1"/>
        <v>0</v>
      </c>
    </row>
    <row r="64" ht="18" customHeight="1" spans="1:13">
      <c r="A64" t="s">
        <v>141</v>
      </c>
      <c r="B64" s="12" t="s">
        <v>142</v>
      </c>
      <c r="C64" t="s">
        <v>37</v>
      </c>
      <c r="D64" t="s">
        <v>27</v>
      </c>
      <c r="E64" t="s">
        <v>17</v>
      </c>
      <c r="F64" s="12" t="s">
        <v>159</v>
      </c>
      <c r="G64" t="s">
        <v>19</v>
      </c>
      <c r="H64" t="s">
        <v>20</v>
      </c>
      <c r="I64" t="s">
        <v>160</v>
      </c>
      <c r="J64" t="s">
        <v>26</v>
      </c>
      <c r="K64" t="str">
        <f t="shared" si="0"/>
        <v>C</v>
      </c>
      <c r="L64" t="s">
        <v>22</v>
      </c>
      <c r="M64">
        <f t="shared" si="1"/>
        <v>0</v>
      </c>
    </row>
    <row r="65" ht="18" customHeight="1" spans="1:13">
      <c r="A65" t="s">
        <v>141</v>
      </c>
      <c r="B65" s="12" t="s">
        <v>142</v>
      </c>
      <c r="C65" t="s">
        <v>37</v>
      </c>
      <c r="D65" t="s">
        <v>27</v>
      </c>
      <c r="E65" t="s">
        <v>23</v>
      </c>
      <c r="F65" s="12" t="s">
        <v>161</v>
      </c>
      <c r="G65" t="s">
        <v>19</v>
      </c>
      <c r="H65" t="s">
        <v>20</v>
      </c>
      <c r="I65" t="s">
        <v>162</v>
      </c>
      <c r="J65" t="s">
        <v>108</v>
      </c>
      <c r="K65" t="str">
        <f t="shared" si="0"/>
        <v>D(平局)</v>
      </c>
      <c r="L65" t="s">
        <v>22</v>
      </c>
      <c r="M65">
        <f t="shared" si="1"/>
        <v>0</v>
      </c>
    </row>
    <row r="66" ht="18" customHeight="1" spans="1:13">
      <c r="A66" t="s">
        <v>141</v>
      </c>
      <c r="B66" s="12" t="s">
        <v>142</v>
      </c>
      <c r="C66" t="s">
        <v>37</v>
      </c>
      <c r="D66" t="s">
        <v>32</v>
      </c>
      <c r="E66" t="s">
        <v>17</v>
      </c>
      <c r="F66" s="12" t="s">
        <v>163</v>
      </c>
      <c r="G66" t="s">
        <v>19</v>
      </c>
      <c r="H66" t="s">
        <v>20</v>
      </c>
      <c r="I66" t="s">
        <v>164</v>
      </c>
      <c r="J66" t="s">
        <v>26</v>
      </c>
      <c r="K66" t="str">
        <f t="shared" ref="K66:K129" si="2">IF(OR(J66="",C66="",E66=""),"",IF(J66="C","D(平局)",IF(J66=IF(E66="l2r","A","B"),LEFT(C66,1),RIGHT(C66,1))))</f>
        <v>C</v>
      </c>
      <c r="L66" t="s">
        <v>22</v>
      </c>
      <c r="M66">
        <f t="shared" si="1"/>
        <v>0</v>
      </c>
    </row>
    <row r="67" ht="18" customHeight="1" spans="1:13">
      <c r="A67" t="s">
        <v>141</v>
      </c>
      <c r="B67" s="12" t="s">
        <v>142</v>
      </c>
      <c r="C67" t="s">
        <v>37</v>
      </c>
      <c r="D67" t="s">
        <v>32</v>
      </c>
      <c r="E67" t="s">
        <v>23</v>
      </c>
      <c r="F67" s="12" t="s">
        <v>165</v>
      </c>
      <c r="G67" t="s">
        <v>19</v>
      </c>
      <c r="H67" t="s">
        <v>20</v>
      </c>
      <c r="I67" t="s">
        <v>166</v>
      </c>
      <c r="J67" t="s">
        <v>22</v>
      </c>
      <c r="K67" t="str">
        <f t="shared" si="2"/>
        <v>C</v>
      </c>
      <c r="L67" t="s">
        <v>22</v>
      </c>
      <c r="M67">
        <f t="shared" ref="M67:M130" si="3">IF(OR(K67="",L67=""),"",--(K67=L67))</f>
        <v>0</v>
      </c>
    </row>
    <row r="68" ht="18" customHeight="1" spans="1:13">
      <c r="A68" t="s">
        <v>141</v>
      </c>
      <c r="B68" s="12" t="s">
        <v>142</v>
      </c>
      <c r="C68" t="s">
        <v>50</v>
      </c>
      <c r="D68" t="s">
        <v>16</v>
      </c>
      <c r="E68" t="s">
        <v>17</v>
      </c>
      <c r="F68" s="12" t="s">
        <v>167</v>
      </c>
      <c r="G68" t="s">
        <v>19</v>
      </c>
      <c r="H68" t="s">
        <v>20</v>
      </c>
      <c r="I68" t="s">
        <v>168</v>
      </c>
      <c r="J68" t="s">
        <v>108</v>
      </c>
      <c r="K68" t="str">
        <f t="shared" si="2"/>
        <v>D(平局)</v>
      </c>
      <c r="L68" t="s">
        <v>26</v>
      </c>
      <c r="M68">
        <f t="shared" si="3"/>
        <v>0</v>
      </c>
    </row>
    <row r="69" ht="18" customHeight="1" spans="1:13">
      <c r="A69" t="s">
        <v>141</v>
      </c>
      <c r="B69" s="12" t="s">
        <v>142</v>
      </c>
      <c r="C69" t="s">
        <v>50</v>
      </c>
      <c r="D69" t="s">
        <v>16</v>
      </c>
      <c r="E69" t="s">
        <v>23</v>
      </c>
      <c r="F69" s="12" t="s">
        <v>169</v>
      </c>
      <c r="G69" t="s">
        <v>19</v>
      </c>
      <c r="H69" t="s">
        <v>20</v>
      </c>
      <c r="I69" t="s">
        <v>170</v>
      </c>
      <c r="J69" t="s">
        <v>108</v>
      </c>
      <c r="K69" t="str">
        <f t="shared" si="2"/>
        <v>D(平局)</v>
      </c>
      <c r="L69" t="s">
        <v>26</v>
      </c>
      <c r="M69">
        <f t="shared" si="3"/>
        <v>0</v>
      </c>
    </row>
    <row r="70" ht="18" customHeight="1" spans="1:13">
      <c r="A70" t="s">
        <v>141</v>
      </c>
      <c r="B70" s="12" t="s">
        <v>142</v>
      </c>
      <c r="C70" t="s">
        <v>50</v>
      </c>
      <c r="D70" t="s">
        <v>27</v>
      </c>
      <c r="E70" t="s">
        <v>17</v>
      </c>
      <c r="F70" s="12" t="s">
        <v>171</v>
      </c>
      <c r="G70" t="s">
        <v>19</v>
      </c>
      <c r="H70" t="s">
        <v>20</v>
      </c>
      <c r="I70" t="s">
        <v>172</v>
      </c>
      <c r="J70" t="s">
        <v>22</v>
      </c>
      <c r="K70" t="str">
        <f t="shared" si="2"/>
        <v>B</v>
      </c>
      <c r="L70" t="s">
        <v>26</v>
      </c>
      <c r="M70">
        <f t="shared" si="3"/>
        <v>1</v>
      </c>
    </row>
    <row r="71" ht="18" customHeight="1" spans="1:13">
      <c r="A71" t="s">
        <v>141</v>
      </c>
      <c r="B71" s="12" t="s">
        <v>142</v>
      </c>
      <c r="C71" t="s">
        <v>50</v>
      </c>
      <c r="D71" t="s">
        <v>27</v>
      </c>
      <c r="E71" t="s">
        <v>23</v>
      </c>
      <c r="F71" s="12" t="s">
        <v>173</v>
      </c>
      <c r="G71" t="s">
        <v>19</v>
      </c>
      <c r="H71" t="s">
        <v>20</v>
      </c>
      <c r="I71" t="s">
        <v>174</v>
      </c>
      <c r="J71" t="s">
        <v>108</v>
      </c>
      <c r="K71" t="str">
        <f t="shared" si="2"/>
        <v>D(平局)</v>
      </c>
      <c r="L71" t="s">
        <v>26</v>
      </c>
      <c r="M71">
        <f t="shared" si="3"/>
        <v>0</v>
      </c>
    </row>
    <row r="72" ht="18" customHeight="1" spans="1:13">
      <c r="A72" t="s">
        <v>141</v>
      </c>
      <c r="B72" s="12" t="s">
        <v>142</v>
      </c>
      <c r="C72" t="s">
        <v>50</v>
      </c>
      <c r="D72" t="s">
        <v>32</v>
      </c>
      <c r="E72" t="s">
        <v>17</v>
      </c>
      <c r="F72" s="12" t="s">
        <v>175</v>
      </c>
      <c r="G72" t="s">
        <v>19</v>
      </c>
      <c r="H72" t="s">
        <v>20</v>
      </c>
      <c r="I72" t="s">
        <v>176</v>
      </c>
      <c r="J72" t="s">
        <v>108</v>
      </c>
      <c r="K72" t="str">
        <f t="shared" si="2"/>
        <v>D(平局)</v>
      </c>
      <c r="L72" t="s">
        <v>26</v>
      </c>
      <c r="M72">
        <f t="shared" si="3"/>
        <v>0</v>
      </c>
    </row>
    <row r="73" ht="18" customHeight="1" spans="1:13">
      <c r="A73" t="s">
        <v>141</v>
      </c>
      <c r="B73" s="12" t="s">
        <v>142</v>
      </c>
      <c r="C73" t="s">
        <v>50</v>
      </c>
      <c r="D73" t="s">
        <v>32</v>
      </c>
      <c r="E73" t="s">
        <v>23</v>
      </c>
      <c r="F73" s="12" t="s">
        <v>177</v>
      </c>
      <c r="G73" t="s">
        <v>19</v>
      </c>
      <c r="H73" t="s">
        <v>20</v>
      </c>
      <c r="I73" t="s">
        <v>178</v>
      </c>
      <c r="J73" t="s">
        <v>26</v>
      </c>
      <c r="K73" t="str">
        <f t="shared" si="2"/>
        <v>B</v>
      </c>
      <c r="L73" t="s">
        <v>26</v>
      </c>
      <c r="M73">
        <f t="shared" si="3"/>
        <v>1</v>
      </c>
    </row>
    <row r="74" ht="18" customHeight="1" spans="1:13">
      <c r="A74" t="s">
        <v>179</v>
      </c>
      <c r="B74" s="12" t="s">
        <v>180</v>
      </c>
      <c r="C74" t="s">
        <v>15</v>
      </c>
      <c r="D74" t="s">
        <v>16</v>
      </c>
      <c r="E74" t="s">
        <v>17</v>
      </c>
      <c r="F74" s="12" t="s">
        <v>181</v>
      </c>
      <c r="G74" t="s">
        <v>19</v>
      </c>
      <c r="H74" t="s">
        <v>20</v>
      </c>
      <c r="I74" t="s">
        <v>182</v>
      </c>
      <c r="J74" t="s">
        <v>26</v>
      </c>
      <c r="K74" t="str">
        <f t="shared" si="2"/>
        <v>B</v>
      </c>
      <c r="L74" t="s">
        <v>26</v>
      </c>
      <c r="M74">
        <f t="shared" si="3"/>
        <v>1</v>
      </c>
    </row>
    <row r="75" ht="18" customHeight="1" spans="1:13">
      <c r="A75" t="s">
        <v>179</v>
      </c>
      <c r="B75" s="12" t="s">
        <v>180</v>
      </c>
      <c r="C75" t="s">
        <v>15</v>
      </c>
      <c r="D75" t="s">
        <v>16</v>
      </c>
      <c r="E75" t="s">
        <v>23</v>
      </c>
      <c r="F75" s="12" t="s">
        <v>183</v>
      </c>
      <c r="G75" t="s">
        <v>19</v>
      </c>
      <c r="H75" t="s">
        <v>20</v>
      </c>
      <c r="I75" t="s">
        <v>184</v>
      </c>
      <c r="J75" t="s">
        <v>22</v>
      </c>
      <c r="K75" t="str">
        <f t="shared" si="2"/>
        <v>B</v>
      </c>
      <c r="L75" t="s">
        <v>26</v>
      </c>
      <c r="M75">
        <f t="shared" si="3"/>
        <v>1</v>
      </c>
    </row>
    <row r="76" ht="18" customHeight="1" spans="1:13">
      <c r="A76" t="s">
        <v>179</v>
      </c>
      <c r="B76" s="12" t="s">
        <v>180</v>
      </c>
      <c r="C76" t="s">
        <v>15</v>
      </c>
      <c r="D76" t="s">
        <v>27</v>
      </c>
      <c r="E76" t="s">
        <v>17</v>
      </c>
      <c r="F76" s="12" t="s">
        <v>185</v>
      </c>
      <c r="G76" t="s">
        <v>19</v>
      </c>
      <c r="H76" t="s">
        <v>20</v>
      </c>
      <c r="I76" t="s">
        <v>186</v>
      </c>
      <c r="J76" t="s">
        <v>26</v>
      </c>
      <c r="K76" t="str">
        <f t="shared" si="2"/>
        <v>B</v>
      </c>
      <c r="L76" t="s">
        <v>26</v>
      </c>
      <c r="M76">
        <f t="shared" si="3"/>
        <v>1</v>
      </c>
    </row>
    <row r="77" ht="18" customHeight="1" spans="1:13">
      <c r="A77" t="s">
        <v>179</v>
      </c>
      <c r="B77" s="12" t="s">
        <v>180</v>
      </c>
      <c r="C77" t="s">
        <v>15</v>
      </c>
      <c r="D77" t="s">
        <v>27</v>
      </c>
      <c r="E77" t="s">
        <v>23</v>
      </c>
      <c r="F77" s="12" t="s">
        <v>187</v>
      </c>
      <c r="G77" t="s">
        <v>19</v>
      </c>
      <c r="H77" t="s">
        <v>20</v>
      </c>
      <c r="I77" t="s">
        <v>188</v>
      </c>
      <c r="J77" t="s">
        <v>22</v>
      </c>
      <c r="K77" t="str">
        <f t="shared" si="2"/>
        <v>B</v>
      </c>
      <c r="L77" t="s">
        <v>26</v>
      </c>
      <c r="M77">
        <f t="shared" si="3"/>
        <v>1</v>
      </c>
    </row>
    <row r="78" ht="18" customHeight="1" spans="1:13">
      <c r="A78" t="s">
        <v>179</v>
      </c>
      <c r="B78" s="12" t="s">
        <v>180</v>
      </c>
      <c r="C78" t="s">
        <v>15</v>
      </c>
      <c r="D78" t="s">
        <v>32</v>
      </c>
      <c r="E78" t="s">
        <v>17</v>
      </c>
      <c r="F78" s="12" t="s">
        <v>189</v>
      </c>
      <c r="G78" t="s">
        <v>19</v>
      </c>
      <c r="H78" t="s">
        <v>20</v>
      </c>
      <c r="I78" t="s">
        <v>190</v>
      </c>
      <c r="J78" t="s">
        <v>26</v>
      </c>
      <c r="K78" t="str">
        <f t="shared" si="2"/>
        <v>B</v>
      </c>
      <c r="L78" t="s">
        <v>26</v>
      </c>
      <c r="M78">
        <f t="shared" si="3"/>
        <v>1</v>
      </c>
    </row>
    <row r="79" ht="18" customHeight="1" spans="1:13">
      <c r="A79" t="s">
        <v>179</v>
      </c>
      <c r="B79" s="12" t="s">
        <v>180</v>
      </c>
      <c r="C79" t="s">
        <v>15</v>
      </c>
      <c r="D79" t="s">
        <v>32</v>
      </c>
      <c r="E79" t="s">
        <v>23</v>
      </c>
      <c r="F79" s="12" t="s">
        <v>191</v>
      </c>
      <c r="G79" t="s">
        <v>19</v>
      </c>
      <c r="H79" t="s">
        <v>20</v>
      </c>
      <c r="I79" t="s">
        <v>192</v>
      </c>
      <c r="J79" t="s">
        <v>22</v>
      </c>
      <c r="K79" t="str">
        <f t="shared" si="2"/>
        <v>B</v>
      </c>
      <c r="L79" t="s">
        <v>26</v>
      </c>
      <c r="M79">
        <f t="shared" si="3"/>
        <v>1</v>
      </c>
    </row>
    <row r="80" ht="18" customHeight="1" spans="1:13">
      <c r="A80" t="s">
        <v>179</v>
      </c>
      <c r="B80" s="12" t="s">
        <v>180</v>
      </c>
      <c r="C80" t="s">
        <v>37</v>
      </c>
      <c r="D80" t="s">
        <v>16</v>
      </c>
      <c r="E80" t="s">
        <v>17</v>
      </c>
      <c r="F80" s="12" t="s">
        <v>193</v>
      </c>
      <c r="G80" t="s">
        <v>19</v>
      </c>
      <c r="H80" t="s">
        <v>20</v>
      </c>
      <c r="I80" t="s">
        <v>194</v>
      </c>
      <c r="J80" t="s">
        <v>26</v>
      </c>
      <c r="K80" t="str">
        <f t="shared" si="2"/>
        <v>C</v>
      </c>
      <c r="L80" t="s">
        <v>22</v>
      </c>
      <c r="M80">
        <f t="shared" si="3"/>
        <v>0</v>
      </c>
    </row>
    <row r="81" ht="18" customHeight="1" spans="1:13">
      <c r="A81" t="s">
        <v>179</v>
      </c>
      <c r="B81" s="12" t="s">
        <v>180</v>
      </c>
      <c r="C81" t="s">
        <v>37</v>
      </c>
      <c r="D81" t="s">
        <v>16</v>
      </c>
      <c r="E81" t="s">
        <v>23</v>
      </c>
      <c r="F81" s="12" t="s">
        <v>195</v>
      </c>
      <c r="G81" t="s">
        <v>19</v>
      </c>
      <c r="H81" t="s">
        <v>20</v>
      </c>
      <c r="I81" t="s">
        <v>196</v>
      </c>
      <c r="J81" t="s">
        <v>22</v>
      </c>
      <c r="K81" t="str">
        <f t="shared" si="2"/>
        <v>C</v>
      </c>
      <c r="L81" t="s">
        <v>22</v>
      </c>
      <c r="M81">
        <f t="shared" si="3"/>
        <v>0</v>
      </c>
    </row>
    <row r="82" ht="18" customHeight="1" spans="1:13">
      <c r="A82" t="s">
        <v>179</v>
      </c>
      <c r="B82" s="12" t="s">
        <v>180</v>
      </c>
      <c r="C82" t="s">
        <v>37</v>
      </c>
      <c r="D82" t="s">
        <v>27</v>
      </c>
      <c r="E82" t="s">
        <v>17</v>
      </c>
      <c r="F82" s="12" t="s">
        <v>197</v>
      </c>
      <c r="G82" t="s">
        <v>19</v>
      </c>
      <c r="H82" t="s">
        <v>20</v>
      </c>
      <c r="I82" t="s">
        <v>198</v>
      </c>
      <c r="J82" t="s">
        <v>22</v>
      </c>
      <c r="K82" t="str">
        <f t="shared" si="2"/>
        <v>A</v>
      </c>
      <c r="L82" t="s">
        <v>22</v>
      </c>
      <c r="M82">
        <f t="shared" si="3"/>
        <v>1</v>
      </c>
    </row>
    <row r="83" ht="18" customHeight="1" spans="1:13">
      <c r="A83" t="s">
        <v>179</v>
      </c>
      <c r="B83" s="12" t="s">
        <v>180</v>
      </c>
      <c r="C83" t="s">
        <v>37</v>
      </c>
      <c r="D83" t="s">
        <v>27</v>
      </c>
      <c r="E83" t="s">
        <v>23</v>
      </c>
      <c r="F83" s="12" t="s">
        <v>199</v>
      </c>
      <c r="G83" t="s">
        <v>19</v>
      </c>
      <c r="H83" t="s">
        <v>20</v>
      </c>
      <c r="I83" t="s">
        <v>200</v>
      </c>
      <c r="J83" t="s">
        <v>22</v>
      </c>
      <c r="K83" t="str">
        <f t="shared" si="2"/>
        <v>C</v>
      </c>
      <c r="L83" t="s">
        <v>22</v>
      </c>
      <c r="M83">
        <f t="shared" si="3"/>
        <v>0</v>
      </c>
    </row>
    <row r="84" ht="18" customHeight="1" spans="1:13">
      <c r="A84" t="s">
        <v>179</v>
      </c>
      <c r="B84" s="12" t="s">
        <v>180</v>
      </c>
      <c r="C84" t="s">
        <v>37</v>
      </c>
      <c r="D84" t="s">
        <v>32</v>
      </c>
      <c r="E84" t="s">
        <v>17</v>
      </c>
      <c r="F84" s="12" t="s">
        <v>201</v>
      </c>
      <c r="G84" t="s">
        <v>19</v>
      </c>
      <c r="H84" t="s">
        <v>20</v>
      </c>
      <c r="I84" t="s">
        <v>202</v>
      </c>
      <c r="J84" t="s">
        <v>26</v>
      </c>
      <c r="K84" t="str">
        <f t="shared" si="2"/>
        <v>C</v>
      </c>
      <c r="L84" t="s">
        <v>22</v>
      </c>
      <c r="M84">
        <f t="shared" si="3"/>
        <v>0</v>
      </c>
    </row>
    <row r="85" ht="18" customHeight="1" spans="1:13">
      <c r="A85" t="s">
        <v>179</v>
      </c>
      <c r="B85" s="12" t="s">
        <v>180</v>
      </c>
      <c r="C85" t="s">
        <v>37</v>
      </c>
      <c r="D85" t="s">
        <v>32</v>
      </c>
      <c r="E85" t="s">
        <v>23</v>
      </c>
      <c r="F85" s="12" t="s">
        <v>203</v>
      </c>
      <c r="G85" t="s">
        <v>19</v>
      </c>
      <c r="H85" t="s">
        <v>20</v>
      </c>
      <c r="I85" t="s">
        <v>204</v>
      </c>
      <c r="J85" t="s">
        <v>22</v>
      </c>
      <c r="K85" t="str">
        <f t="shared" si="2"/>
        <v>C</v>
      </c>
      <c r="L85" t="s">
        <v>22</v>
      </c>
      <c r="M85">
        <f t="shared" si="3"/>
        <v>0</v>
      </c>
    </row>
    <row r="86" ht="18" customHeight="1" spans="1:13">
      <c r="A86" t="s">
        <v>179</v>
      </c>
      <c r="B86" s="12" t="s">
        <v>180</v>
      </c>
      <c r="C86" t="s">
        <v>50</v>
      </c>
      <c r="D86" t="s">
        <v>16</v>
      </c>
      <c r="E86" t="s">
        <v>17</v>
      </c>
      <c r="F86" s="12" t="s">
        <v>205</v>
      </c>
      <c r="G86" t="s">
        <v>19</v>
      </c>
      <c r="H86" t="s">
        <v>20</v>
      </c>
      <c r="I86" t="s">
        <v>206</v>
      </c>
      <c r="J86" t="s">
        <v>22</v>
      </c>
      <c r="K86" t="str">
        <f t="shared" si="2"/>
        <v>B</v>
      </c>
      <c r="L86" t="s">
        <v>26</v>
      </c>
      <c r="M86">
        <f t="shared" si="3"/>
        <v>1</v>
      </c>
    </row>
    <row r="87" ht="18" customHeight="1" spans="1:13">
      <c r="A87" t="s">
        <v>179</v>
      </c>
      <c r="B87" s="12" t="s">
        <v>180</v>
      </c>
      <c r="C87" t="s">
        <v>50</v>
      </c>
      <c r="D87" t="s">
        <v>16</v>
      </c>
      <c r="E87" t="s">
        <v>23</v>
      </c>
      <c r="F87" s="12" t="s">
        <v>207</v>
      </c>
      <c r="G87" t="s">
        <v>19</v>
      </c>
      <c r="H87" t="s">
        <v>20</v>
      </c>
      <c r="I87" t="s">
        <v>208</v>
      </c>
      <c r="J87" t="s">
        <v>22</v>
      </c>
      <c r="K87" t="str">
        <f t="shared" si="2"/>
        <v>C</v>
      </c>
      <c r="L87" t="s">
        <v>26</v>
      </c>
      <c r="M87">
        <f t="shared" si="3"/>
        <v>0</v>
      </c>
    </row>
    <row r="88" ht="18" customHeight="1" spans="1:13">
      <c r="A88" t="s">
        <v>179</v>
      </c>
      <c r="B88" s="12" t="s">
        <v>180</v>
      </c>
      <c r="C88" t="s">
        <v>50</v>
      </c>
      <c r="D88" t="s">
        <v>27</v>
      </c>
      <c r="E88" t="s">
        <v>17</v>
      </c>
      <c r="F88" s="12" t="s">
        <v>209</v>
      </c>
      <c r="G88" t="s">
        <v>19</v>
      </c>
      <c r="H88" t="s">
        <v>20</v>
      </c>
      <c r="I88" t="s">
        <v>210</v>
      </c>
      <c r="J88" t="s">
        <v>22</v>
      </c>
      <c r="K88" t="str">
        <f t="shared" si="2"/>
        <v>B</v>
      </c>
      <c r="L88" t="s">
        <v>26</v>
      </c>
      <c r="M88">
        <f t="shared" si="3"/>
        <v>1</v>
      </c>
    </row>
    <row r="89" ht="18" customHeight="1" spans="1:13">
      <c r="A89" t="s">
        <v>179</v>
      </c>
      <c r="B89" s="12" t="s">
        <v>180</v>
      </c>
      <c r="C89" t="s">
        <v>50</v>
      </c>
      <c r="D89" t="s">
        <v>27</v>
      </c>
      <c r="E89" t="s">
        <v>23</v>
      </c>
      <c r="F89" s="12" t="s">
        <v>211</v>
      </c>
      <c r="G89" t="s">
        <v>19</v>
      </c>
      <c r="H89" t="s">
        <v>20</v>
      </c>
      <c r="I89" t="s">
        <v>212</v>
      </c>
      <c r="J89" t="s">
        <v>22</v>
      </c>
      <c r="K89" t="str">
        <f t="shared" si="2"/>
        <v>C</v>
      </c>
      <c r="L89" t="s">
        <v>26</v>
      </c>
      <c r="M89">
        <f t="shared" si="3"/>
        <v>0</v>
      </c>
    </row>
    <row r="90" ht="18" customHeight="1" spans="1:13">
      <c r="A90" t="s">
        <v>179</v>
      </c>
      <c r="B90" s="12" t="s">
        <v>180</v>
      </c>
      <c r="C90" t="s">
        <v>50</v>
      </c>
      <c r="D90" t="s">
        <v>32</v>
      </c>
      <c r="E90" t="s">
        <v>17</v>
      </c>
      <c r="F90" s="12" t="s">
        <v>213</v>
      </c>
      <c r="G90" t="s">
        <v>19</v>
      </c>
      <c r="H90" t="s">
        <v>20</v>
      </c>
      <c r="I90" t="s">
        <v>214</v>
      </c>
      <c r="J90" t="s">
        <v>22</v>
      </c>
      <c r="K90" t="str">
        <f t="shared" si="2"/>
        <v>B</v>
      </c>
      <c r="L90" t="s">
        <v>26</v>
      </c>
      <c r="M90">
        <f t="shared" si="3"/>
        <v>1</v>
      </c>
    </row>
    <row r="91" ht="18" customHeight="1" spans="1:13">
      <c r="A91" t="s">
        <v>179</v>
      </c>
      <c r="B91" s="12" t="s">
        <v>180</v>
      </c>
      <c r="C91" t="s">
        <v>50</v>
      </c>
      <c r="D91" t="s">
        <v>32</v>
      </c>
      <c r="E91" t="s">
        <v>23</v>
      </c>
      <c r="F91" s="12" t="s">
        <v>215</v>
      </c>
      <c r="G91" t="s">
        <v>19</v>
      </c>
      <c r="H91" t="s">
        <v>20</v>
      </c>
      <c r="I91" t="s">
        <v>216</v>
      </c>
      <c r="J91" t="s">
        <v>26</v>
      </c>
      <c r="K91" t="str">
        <f t="shared" si="2"/>
        <v>B</v>
      </c>
      <c r="L91" t="s">
        <v>26</v>
      </c>
      <c r="M91">
        <f t="shared" si="3"/>
        <v>1</v>
      </c>
    </row>
    <row r="92" ht="18" customHeight="1" spans="1:13">
      <c r="A92" t="s">
        <v>217</v>
      </c>
      <c r="B92" s="12" t="s">
        <v>218</v>
      </c>
      <c r="C92" t="s">
        <v>15</v>
      </c>
      <c r="D92" t="s">
        <v>16</v>
      </c>
      <c r="E92" t="s">
        <v>17</v>
      </c>
      <c r="F92" s="12" t="s">
        <v>219</v>
      </c>
      <c r="G92" t="s">
        <v>19</v>
      </c>
      <c r="H92" t="s">
        <v>20</v>
      </c>
      <c r="I92" t="s">
        <v>220</v>
      </c>
      <c r="J92" t="s">
        <v>22</v>
      </c>
      <c r="K92" t="str">
        <f t="shared" si="2"/>
        <v>A</v>
      </c>
      <c r="L92" t="s">
        <v>22</v>
      </c>
      <c r="M92">
        <f t="shared" si="3"/>
        <v>1</v>
      </c>
    </row>
    <row r="93" ht="18" customHeight="1" spans="1:13">
      <c r="A93" t="s">
        <v>217</v>
      </c>
      <c r="B93" s="12" t="s">
        <v>218</v>
      </c>
      <c r="C93" t="s">
        <v>15</v>
      </c>
      <c r="D93" t="s">
        <v>16</v>
      </c>
      <c r="E93" t="s">
        <v>23</v>
      </c>
      <c r="F93" s="12" t="s">
        <v>221</v>
      </c>
      <c r="G93" t="s">
        <v>19</v>
      </c>
      <c r="H93" t="s">
        <v>20</v>
      </c>
      <c r="I93" t="s">
        <v>222</v>
      </c>
      <c r="J93" t="s">
        <v>26</v>
      </c>
      <c r="K93" t="str">
        <f t="shared" si="2"/>
        <v>A</v>
      </c>
      <c r="L93" t="s">
        <v>22</v>
      </c>
      <c r="M93">
        <f t="shared" si="3"/>
        <v>1</v>
      </c>
    </row>
    <row r="94" ht="18" customHeight="1" spans="1:13">
      <c r="A94" t="s">
        <v>217</v>
      </c>
      <c r="B94" s="12" t="s">
        <v>218</v>
      </c>
      <c r="C94" t="s">
        <v>15</v>
      </c>
      <c r="D94" t="s">
        <v>27</v>
      </c>
      <c r="E94" t="s">
        <v>17</v>
      </c>
      <c r="F94" s="12" t="s">
        <v>223</v>
      </c>
      <c r="G94" t="s">
        <v>19</v>
      </c>
      <c r="H94" t="s">
        <v>20</v>
      </c>
      <c r="I94" t="s">
        <v>224</v>
      </c>
      <c r="J94" t="s">
        <v>22</v>
      </c>
      <c r="K94" t="str">
        <f t="shared" si="2"/>
        <v>A</v>
      </c>
      <c r="L94" t="s">
        <v>22</v>
      </c>
      <c r="M94">
        <f t="shared" si="3"/>
        <v>1</v>
      </c>
    </row>
    <row r="95" ht="18" customHeight="1" spans="1:13">
      <c r="A95" t="s">
        <v>217</v>
      </c>
      <c r="B95" s="12" t="s">
        <v>218</v>
      </c>
      <c r="C95" t="s">
        <v>15</v>
      </c>
      <c r="D95" t="s">
        <v>27</v>
      </c>
      <c r="E95" t="s">
        <v>23</v>
      </c>
      <c r="F95" s="12" t="s">
        <v>225</v>
      </c>
      <c r="G95" t="s">
        <v>19</v>
      </c>
      <c r="H95" t="s">
        <v>20</v>
      </c>
      <c r="I95" t="s">
        <v>226</v>
      </c>
      <c r="J95" t="s">
        <v>26</v>
      </c>
      <c r="K95" t="str">
        <f t="shared" si="2"/>
        <v>A</v>
      </c>
      <c r="L95" t="s">
        <v>22</v>
      </c>
      <c r="M95">
        <f t="shared" si="3"/>
        <v>1</v>
      </c>
    </row>
    <row r="96" ht="18" customHeight="1" spans="1:13">
      <c r="A96" t="s">
        <v>217</v>
      </c>
      <c r="B96" s="12" t="s">
        <v>218</v>
      </c>
      <c r="C96" t="s">
        <v>15</v>
      </c>
      <c r="D96" t="s">
        <v>32</v>
      </c>
      <c r="E96" t="s">
        <v>17</v>
      </c>
      <c r="F96" s="12" t="s">
        <v>227</v>
      </c>
      <c r="G96" t="s">
        <v>19</v>
      </c>
      <c r="H96" t="s">
        <v>20</v>
      </c>
      <c r="I96" t="s">
        <v>228</v>
      </c>
      <c r="J96" t="s">
        <v>108</v>
      </c>
      <c r="K96" t="str">
        <f t="shared" si="2"/>
        <v>D(平局)</v>
      </c>
      <c r="L96" t="s">
        <v>22</v>
      </c>
      <c r="M96">
        <f t="shared" si="3"/>
        <v>0</v>
      </c>
    </row>
    <row r="97" ht="18" customHeight="1" spans="1:13">
      <c r="A97" t="s">
        <v>217</v>
      </c>
      <c r="B97" s="12" t="s">
        <v>218</v>
      </c>
      <c r="C97" t="s">
        <v>15</v>
      </c>
      <c r="D97" t="s">
        <v>32</v>
      </c>
      <c r="E97" t="s">
        <v>23</v>
      </c>
      <c r="F97" s="12" t="s">
        <v>229</v>
      </c>
      <c r="G97" t="s">
        <v>19</v>
      </c>
      <c r="H97" t="s">
        <v>20</v>
      </c>
      <c r="I97" t="s">
        <v>230</v>
      </c>
      <c r="J97" t="s">
        <v>108</v>
      </c>
      <c r="K97" t="str">
        <f t="shared" si="2"/>
        <v>D(平局)</v>
      </c>
      <c r="L97" t="s">
        <v>22</v>
      </c>
      <c r="M97">
        <f t="shared" si="3"/>
        <v>0</v>
      </c>
    </row>
    <row r="98" ht="18" customHeight="1" spans="1:13">
      <c r="A98" t="s">
        <v>217</v>
      </c>
      <c r="B98" s="12" t="s">
        <v>218</v>
      </c>
      <c r="C98" t="s">
        <v>37</v>
      </c>
      <c r="D98" t="s">
        <v>16</v>
      </c>
      <c r="E98" t="s">
        <v>17</v>
      </c>
      <c r="F98" s="12" t="s">
        <v>231</v>
      </c>
      <c r="G98" t="s">
        <v>19</v>
      </c>
      <c r="H98" t="s">
        <v>20</v>
      </c>
      <c r="I98" t="s">
        <v>232</v>
      </c>
      <c r="J98" t="s">
        <v>22</v>
      </c>
      <c r="K98" t="str">
        <f t="shared" si="2"/>
        <v>A</v>
      </c>
      <c r="L98" t="s">
        <v>22</v>
      </c>
      <c r="M98">
        <f t="shared" si="3"/>
        <v>1</v>
      </c>
    </row>
    <row r="99" ht="18" customHeight="1" spans="1:13">
      <c r="A99" t="s">
        <v>217</v>
      </c>
      <c r="B99" s="12" t="s">
        <v>218</v>
      </c>
      <c r="C99" t="s">
        <v>37</v>
      </c>
      <c r="D99" t="s">
        <v>16</v>
      </c>
      <c r="E99" t="s">
        <v>23</v>
      </c>
      <c r="F99" s="12" t="s">
        <v>233</v>
      </c>
      <c r="G99" t="s">
        <v>19</v>
      </c>
      <c r="H99" t="s">
        <v>20</v>
      </c>
      <c r="I99" t="s">
        <v>234</v>
      </c>
      <c r="J99" t="s">
        <v>26</v>
      </c>
      <c r="K99" t="str">
        <f t="shared" si="2"/>
        <v>A</v>
      </c>
      <c r="L99" t="s">
        <v>22</v>
      </c>
      <c r="M99">
        <f t="shared" si="3"/>
        <v>1</v>
      </c>
    </row>
    <row r="100" ht="18" customHeight="1" spans="1:13">
      <c r="A100" t="s">
        <v>217</v>
      </c>
      <c r="B100" s="12" t="s">
        <v>218</v>
      </c>
      <c r="C100" t="s">
        <v>37</v>
      </c>
      <c r="D100" t="s">
        <v>27</v>
      </c>
      <c r="E100" t="s">
        <v>17</v>
      </c>
      <c r="F100" s="12" t="s">
        <v>235</v>
      </c>
      <c r="G100" t="s">
        <v>19</v>
      </c>
      <c r="H100" t="s">
        <v>20</v>
      </c>
      <c r="I100" t="s">
        <v>236</v>
      </c>
      <c r="J100" t="s">
        <v>22</v>
      </c>
      <c r="K100" t="str">
        <f t="shared" si="2"/>
        <v>A</v>
      </c>
      <c r="L100" t="s">
        <v>22</v>
      </c>
      <c r="M100">
        <f t="shared" si="3"/>
        <v>1</v>
      </c>
    </row>
    <row r="101" ht="18" customHeight="1" spans="1:13">
      <c r="A101" t="s">
        <v>217</v>
      </c>
      <c r="B101" s="12" t="s">
        <v>218</v>
      </c>
      <c r="C101" t="s">
        <v>37</v>
      </c>
      <c r="D101" t="s">
        <v>27</v>
      </c>
      <c r="E101" t="s">
        <v>23</v>
      </c>
      <c r="F101" s="12" t="s">
        <v>237</v>
      </c>
      <c r="G101" t="s">
        <v>19</v>
      </c>
      <c r="H101" t="s">
        <v>20</v>
      </c>
      <c r="I101" t="s">
        <v>238</v>
      </c>
      <c r="J101" t="s">
        <v>26</v>
      </c>
      <c r="K101" t="str">
        <f t="shared" si="2"/>
        <v>A</v>
      </c>
      <c r="L101" t="s">
        <v>22</v>
      </c>
      <c r="M101">
        <f t="shared" si="3"/>
        <v>1</v>
      </c>
    </row>
    <row r="102" ht="18" customHeight="1" spans="1:13">
      <c r="A102" t="s">
        <v>217</v>
      </c>
      <c r="B102" s="12" t="s">
        <v>218</v>
      </c>
      <c r="C102" t="s">
        <v>37</v>
      </c>
      <c r="D102" t="s">
        <v>32</v>
      </c>
      <c r="E102" t="s">
        <v>17</v>
      </c>
      <c r="F102" s="12" t="s">
        <v>239</v>
      </c>
      <c r="G102" t="s">
        <v>19</v>
      </c>
      <c r="H102" t="s">
        <v>20</v>
      </c>
      <c r="I102" t="s">
        <v>240</v>
      </c>
      <c r="J102" t="s">
        <v>22</v>
      </c>
      <c r="K102" t="str">
        <f t="shared" si="2"/>
        <v>A</v>
      </c>
      <c r="L102" t="s">
        <v>22</v>
      </c>
      <c r="M102">
        <f t="shared" si="3"/>
        <v>1</v>
      </c>
    </row>
    <row r="103" ht="18" customHeight="1" spans="1:13">
      <c r="A103" t="s">
        <v>217</v>
      </c>
      <c r="B103" s="12" t="s">
        <v>218</v>
      </c>
      <c r="C103" t="s">
        <v>37</v>
      </c>
      <c r="D103" t="s">
        <v>32</v>
      </c>
      <c r="E103" t="s">
        <v>23</v>
      </c>
      <c r="F103" s="12" t="s">
        <v>241</v>
      </c>
      <c r="G103" t="s">
        <v>19</v>
      </c>
      <c r="H103" t="s">
        <v>20</v>
      </c>
      <c r="I103" t="s">
        <v>242</v>
      </c>
      <c r="J103" t="s">
        <v>26</v>
      </c>
      <c r="K103" t="str">
        <f t="shared" si="2"/>
        <v>A</v>
      </c>
      <c r="L103" t="s">
        <v>22</v>
      </c>
      <c r="M103">
        <f t="shared" si="3"/>
        <v>1</v>
      </c>
    </row>
    <row r="104" ht="18" customHeight="1" spans="1:13">
      <c r="A104" t="s">
        <v>217</v>
      </c>
      <c r="B104" s="12" t="s">
        <v>218</v>
      </c>
      <c r="C104" t="s">
        <v>50</v>
      </c>
      <c r="D104" t="s">
        <v>16</v>
      </c>
      <c r="E104" t="s">
        <v>17</v>
      </c>
      <c r="F104" s="12" t="s">
        <v>243</v>
      </c>
      <c r="G104" t="s">
        <v>19</v>
      </c>
      <c r="H104" t="s">
        <v>20</v>
      </c>
      <c r="I104" t="s">
        <v>244</v>
      </c>
      <c r="J104" t="s">
        <v>22</v>
      </c>
      <c r="K104" t="str">
        <f t="shared" si="2"/>
        <v>B</v>
      </c>
      <c r="L104" t="s">
        <v>26</v>
      </c>
      <c r="M104">
        <f t="shared" si="3"/>
        <v>1</v>
      </c>
    </row>
    <row r="105" ht="18" customHeight="1" spans="1:13">
      <c r="A105" t="s">
        <v>217</v>
      </c>
      <c r="B105" s="12" t="s">
        <v>218</v>
      </c>
      <c r="C105" t="s">
        <v>50</v>
      </c>
      <c r="D105" t="s">
        <v>16</v>
      </c>
      <c r="E105" t="s">
        <v>23</v>
      </c>
      <c r="F105" s="12" t="s">
        <v>245</v>
      </c>
      <c r="G105" t="s">
        <v>19</v>
      </c>
      <c r="H105" t="s">
        <v>20</v>
      </c>
      <c r="I105" t="s">
        <v>246</v>
      </c>
      <c r="J105" t="s">
        <v>26</v>
      </c>
      <c r="K105" t="str">
        <f t="shared" si="2"/>
        <v>B</v>
      </c>
      <c r="L105" t="s">
        <v>26</v>
      </c>
      <c r="M105">
        <f t="shared" si="3"/>
        <v>1</v>
      </c>
    </row>
    <row r="106" ht="18" customHeight="1" spans="1:13">
      <c r="A106" t="s">
        <v>217</v>
      </c>
      <c r="B106" s="12" t="s">
        <v>218</v>
      </c>
      <c r="C106" t="s">
        <v>50</v>
      </c>
      <c r="D106" t="s">
        <v>27</v>
      </c>
      <c r="E106" t="s">
        <v>17</v>
      </c>
      <c r="F106" s="12" t="s">
        <v>247</v>
      </c>
      <c r="G106" t="s">
        <v>19</v>
      </c>
      <c r="H106" t="s">
        <v>20</v>
      </c>
      <c r="I106" t="s">
        <v>248</v>
      </c>
      <c r="J106" t="s">
        <v>22</v>
      </c>
      <c r="K106" t="str">
        <f t="shared" si="2"/>
        <v>B</v>
      </c>
      <c r="L106" t="s">
        <v>26</v>
      </c>
      <c r="M106">
        <f t="shared" si="3"/>
        <v>1</v>
      </c>
    </row>
    <row r="107" ht="18" customHeight="1" spans="1:13">
      <c r="A107" t="s">
        <v>217</v>
      </c>
      <c r="B107" s="12" t="s">
        <v>218</v>
      </c>
      <c r="C107" t="s">
        <v>50</v>
      </c>
      <c r="D107" t="s">
        <v>27</v>
      </c>
      <c r="E107" t="s">
        <v>23</v>
      </c>
      <c r="F107" s="12" t="s">
        <v>249</v>
      </c>
      <c r="G107" t="s">
        <v>19</v>
      </c>
      <c r="H107" t="s">
        <v>20</v>
      </c>
      <c r="I107" t="s">
        <v>250</v>
      </c>
      <c r="J107" t="s">
        <v>26</v>
      </c>
      <c r="K107" t="str">
        <f t="shared" si="2"/>
        <v>B</v>
      </c>
      <c r="L107" t="s">
        <v>26</v>
      </c>
      <c r="M107">
        <f t="shared" si="3"/>
        <v>1</v>
      </c>
    </row>
    <row r="108" ht="18" customHeight="1" spans="1:13">
      <c r="A108" t="s">
        <v>217</v>
      </c>
      <c r="B108" s="12" t="s">
        <v>218</v>
      </c>
      <c r="C108" t="s">
        <v>50</v>
      </c>
      <c r="D108" t="s">
        <v>32</v>
      </c>
      <c r="E108" t="s">
        <v>17</v>
      </c>
      <c r="F108" s="12" t="s">
        <v>251</v>
      </c>
      <c r="G108" t="s">
        <v>19</v>
      </c>
      <c r="H108" t="s">
        <v>20</v>
      </c>
      <c r="I108" t="s">
        <v>252</v>
      </c>
      <c r="J108" t="s">
        <v>22</v>
      </c>
      <c r="K108" t="str">
        <f t="shared" si="2"/>
        <v>B</v>
      </c>
      <c r="L108" t="s">
        <v>26</v>
      </c>
      <c r="M108">
        <f t="shared" si="3"/>
        <v>1</v>
      </c>
    </row>
    <row r="109" ht="18" customHeight="1" spans="1:13">
      <c r="A109" t="s">
        <v>217</v>
      </c>
      <c r="B109" s="12" t="s">
        <v>218</v>
      </c>
      <c r="C109" t="s">
        <v>50</v>
      </c>
      <c r="D109" t="s">
        <v>32</v>
      </c>
      <c r="E109" t="s">
        <v>23</v>
      </c>
      <c r="F109" s="12" t="s">
        <v>253</v>
      </c>
      <c r="G109" t="s">
        <v>19</v>
      </c>
      <c r="H109" t="s">
        <v>20</v>
      </c>
      <c r="I109" t="s">
        <v>254</v>
      </c>
      <c r="J109" t="s">
        <v>26</v>
      </c>
      <c r="K109" t="str">
        <f t="shared" si="2"/>
        <v>B</v>
      </c>
      <c r="L109" t="s">
        <v>26</v>
      </c>
      <c r="M109">
        <f t="shared" si="3"/>
        <v>1</v>
      </c>
    </row>
    <row r="110" ht="18" customHeight="1" spans="1:13">
      <c r="A110" t="s">
        <v>255</v>
      </c>
      <c r="B110" s="12" t="s">
        <v>256</v>
      </c>
      <c r="C110" t="s">
        <v>15</v>
      </c>
      <c r="D110" t="s">
        <v>16</v>
      </c>
      <c r="E110" t="s">
        <v>17</v>
      </c>
      <c r="F110" s="12" t="s">
        <v>257</v>
      </c>
      <c r="G110" t="s">
        <v>19</v>
      </c>
      <c r="H110" t="s">
        <v>20</v>
      </c>
      <c r="I110" t="s">
        <v>258</v>
      </c>
      <c r="J110" t="s">
        <v>22</v>
      </c>
      <c r="K110" t="str">
        <f t="shared" si="2"/>
        <v>A</v>
      </c>
      <c r="L110" t="s">
        <v>22</v>
      </c>
      <c r="M110">
        <f t="shared" si="3"/>
        <v>1</v>
      </c>
    </row>
    <row r="111" ht="18" customHeight="1" spans="1:13">
      <c r="A111" t="s">
        <v>255</v>
      </c>
      <c r="B111" s="12" t="s">
        <v>256</v>
      </c>
      <c r="C111" t="s">
        <v>15</v>
      </c>
      <c r="D111" t="s">
        <v>16</v>
      </c>
      <c r="E111" t="s">
        <v>23</v>
      </c>
      <c r="F111" s="12" t="s">
        <v>259</v>
      </c>
      <c r="G111" t="s">
        <v>19</v>
      </c>
      <c r="H111" t="s">
        <v>20</v>
      </c>
      <c r="I111" t="s">
        <v>260</v>
      </c>
      <c r="J111" t="s">
        <v>26</v>
      </c>
      <c r="K111" t="str">
        <f t="shared" si="2"/>
        <v>A</v>
      </c>
      <c r="L111" t="s">
        <v>22</v>
      </c>
      <c r="M111">
        <f t="shared" si="3"/>
        <v>1</v>
      </c>
    </row>
    <row r="112" ht="18" customHeight="1" spans="1:13">
      <c r="A112" t="s">
        <v>255</v>
      </c>
      <c r="B112" s="12" t="s">
        <v>256</v>
      </c>
      <c r="C112" t="s">
        <v>15</v>
      </c>
      <c r="D112" t="s">
        <v>27</v>
      </c>
      <c r="E112" t="s">
        <v>17</v>
      </c>
      <c r="F112" s="12" t="s">
        <v>261</v>
      </c>
      <c r="G112" t="s">
        <v>19</v>
      </c>
      <c r="H112" t="s">
        <v>20</v>
      </c>
      <c r="I112" t="s">
        <v>262</v>
      </c>
      <c r="J112" t="s">
        <v>22</v>
      </c>
      <c r="K112" t="str">
        <f t="shared" si="2"/>
        <v>A</v>
      </c>
      <c r="L112" t="s">
        <v>22</v>
      </c>
      <c r="M112">
        <f t="shared" si="3"/>
        <v>1</v>
      </c>
    </row>
    <row r="113" ht="18" customHeight="1" spans="1:13">
      <c r="A113" t="s">
        <v>255</v>
      </c>
      <c r="B113" s="12" t="s">
        <v>256</v>
      </c>
      <c r="C113" t="s">
        <v>15</v>
      </c>
      <c r="D113" t="s">
        <v>27</v>
      </c>
      <c r="E113" t="s">
        <v>23</v>
      </c>
      <c r="F113" s="12" t="s">
        <v>263</v>
      </c>
      <c r="G113" t="s">
        <v>19</v>
      </c>
      <c r="H113" t="s">
        <v>20</v>
      </c>
      <c r="I113" t="s">
        <v>264</v>
      </c>
      <c r="J113" t="s">
        <v>26</v>
      </c>
      <c r="K113" t="str">
        <f t="shared" si="2"/>
        <v>A</v>
      </c>
      <c r="L113" t="s">
        <v>22</v>
      </c>
      <c r="M113">
        <f t="shared" si="3"/>
        <v>1</v>
      </c>
    </row>
    <row r="114" ht="18" customHeight="1" spans="1:13">
      <c r="A114" t="s">
        <v>255</v>
      </c>
      <c r="B114" s="12" t="s">
        <v>256</v>
      </c>
      <c r="C114" t="s">
        <v>15</v>
      </c>
      <c r="D114" t="s">
        <v>32</v>
      </c>
      <c r="E114" t="s">
        <v>17</v>
      </c>
      <c r="F114" s="12" t="s">
        <v>265</v>
      </c>
      <c r="G114" t="s">
        <v>19</v>
      </c>
      <c r="H114" t="s">
        <v>20</v>
      </c>
      <c r="I114" t="s">
        <v>266</v>
      </c>
      <c r="J114" t="s">
        <v>22</v>
      </c>
      <c r="K114" t="str">
        <f t="shared" si="2"/>
        <v>A</v>
      </c>
      <c r="L114" t="s">
        <v>22</v>
      </c>
      <c r="M114">
        <f t="shared" si="3"/>
        <v>1</v>
      </c>
    </row>
    <row r="115" ht="18" customHeight="1" spans="1:13">
      <c r="A115" t="s">
        <v>255</v>
      </c>
      <c r="B115" s="12" t="s">
        <v>256</v>
      </c>
      <c r="C115" t="s">
        <v>15</v>
      </c>
      <c r="D115" t="s">
        <v>32</v>
      </c>
      <c r="E115" t="s">
        <v>23</v>
      </c>
      <c r="F115" s="12" t="s">
        <v>267</v>
      </c>
      <c r="G115" t="s">
        <v>19</v>
      </c>
      <c r="H115" t="s">
        <v>20</v>
      </c>
      <c r="I115" t="s">
        <v>268</v>
      </c>
      <c r="J115" t="s">
        <v>26</v>
      </c>
      <c r="K115" t="str">
        <f t="shared" si="2"/>
        <v>A</v>
      </c>
      <c r="L115" t="s">
        <v>22</v>
      </c>
      <c r="M115">
        <f t="shared" si="3"/>
        <v>1</v>
      </c>
    </row>
    <row r="116" ht="18" customHeight="1" spans="1:13">
      <c r="A116" t="s">
        <v>255</v>
      </c>
      <c r="B116" s="12" t="s">
        <v>256</v>
      </c>
      <c r="C116" t="s">
        <v>37</v>
      </c>
      <c r="D116" t="s">
        <v>16</v>
      </c>
      <c r="E116" t="s">
        <v>17</v>
      </c>
      <c r="F116" s="12" t="s">
        <v>269</v>
      </c>
      <c r="G116" t="s">
        <v>19</v>
      </c>
      <c r="H116" t="s">
        <v>20</v>
      </c>
      <c r="I116" t="s">
        <v>270</v>
      </c>
      <c r="J116" t="s">
        <v>22</v>
      </c>
      <c r="K116" t="str">
        <f t="shared" si="2"/>
        <v>A</v>
      </c>
      <c r="L116" t="s">
        <v>22</v>
      </c>
      <c r="M116">
        <f t="shared" si="3"/>
        <v>1</v>
      </c>
    </row>
    <row r="117" ht="18" customHeight="1" spans="1:13">
      <c r="A117" t="s">
        <v>255</v>
      </c>
      <c r="B117" s="12" t="s">
        <v>256</v>
      </c>
      <c r="C117" t="s">
        <v>37</v>
      </c>
      <c r="D117" t="s">
        <v>16</v>
      </c>
      <c r="E117" t="s">
        <v>23</v>
      </c>
      <c r="F117" s="12" t="s">
        <v>271</v>
      </c>
      <c r="G117" t="s">
        <v>19</v>
      </c>
      <c r="H117" t="s">
        <v>20</v>
      </c>
      <c r="I117" t="s">
        <v>272</v>
      </c>
      <c r="J117" t="s">
        <v>108</v>
      </c>
      <c r="K117" t="str">
        <f t="shared" si="2"/>
        <v>D(平局)</v>
      </c>
      <c r="L117" t="s">
        <v>22</v>
      </c>
      <c r="M117">
        <f t="shared" si="3"/>
        <v>0</v>
      </c>
    </row>
    <row r="118" ht="18" customHeight="1" spans="1:13">
      <c r="A118" t="s">
        <v>255</v>
      </c>
      <c r="B118" s="12" t="s">
        <v>256</v>
      </c>
      <c r="C118" t="s">
        <v>37</v>
      </c>
      <c r="D118" t="s">
        <v>27</v>
      </c>
      <c r="E118" t="s">
        <v>17</v>
      </c>
      <c r="F118" s="12" t="s">
        <v>273</v>
      </c>
      <c r="G118" t="s">
        <v>19</v>
      </c>
      <c r="H118" t="s">
        <v>20</v>
      </c>
      <c r="I118" t="s">
        <v>274</v>
      </c>
      <c r="J118" t="s">
        <v>22</v>
      </c>
      <c r="K118" t="str">
        <f t="shared" si="2"/>
        <v>A</v>
      </c>
      <c r="L118" t="s">
        <v>22</v>
      </c>
      <c r="M118">
        <f t="shared" si="3"/>
        <v>1</v>
      </c>
    </row>
    <row r="119" ht="18" customHeight="1" spans="1:13">
      <c r="A119" t="s">
        <v>255</v>
      </c>
      <c r="B119" s="12" t="s">
        <v>256</v>
      </c>
      <c r="C119" t="s">
        <v>37</v>
      </c>
      <c r="D119" t="s">
        <v>27</v>
      </c>
      <c r="E119" t="s">
        <v>23</v>
      </c>
      <c r="F119" s="12" t="s">
        <v>275</v>
      </c>
      <c r="G119" t="s">
        <v>19</v>
      </c>
      <c r="H119" t="s">
        <v>20</v>
      </c>
      <c r="I119" t="s">
        <v>276</v>
      </c>
      <c r="J119" t="s">
        <v>26</v>
      </c>
      <c r="K119" t="str">
        <f t="shared" si="2"/>
        <v>A</v>
      </c>
      <c r="L119" t="s">
        <v>22</v>
      </c>
      <c r="M119">
        <f t="shared" si="3"/>
        <v>1</v>
      </c>
    </row>
    <row r="120" ht="18" customHeight="1" spans="1:13">
      <c r="A120" t="s">
        <v>255</v>
      </c>
      <c r="B120" s="12" t="s">
        <v>256</v>
      </c>
      <c r="C120" t="s">
        <v>37</v>
      </c>
      <c r="D120" t="s">
        <v>32</v>
      </c>
      <c r="E120" t="s">
        <v>17</v>
      </c>
      <c r="F120" s="12" t="s">
        <v>277</v>
      </c>
      <c r="G120" t="s">
        <v>19</v>
      </c>
      <c r="H120" t="s">
        <v>20</v>
      </c>
      <c r="I120" t="s">
        <v>278</v>
      </c>
      <c r="J120" t="s">
        <v>108</v>
      </c>
      <c r="K120" t="str">
        <f t="shared" si="2"/>
        <v>D(平局)</v>
      </c>
      <c r="L120" t="s">
        <v>22</v>
      </c>
      <c r="M120">
        <f t="shared" si="3"/>
        <v>0</v>
      </c>
    </row>
    <row r="121" ht="18" customHeight="1" spans="1:13">
      <c r="A121" t="s">
        <v>255</v>
      </c>
      <c r="B121" s="12" t="s">
        <v>256</v>
      </c>
      <c r="C121" t="s">
        <v>37</v>
      </c>
      <c r="D121" t="s">
        <v>32</v>
      </c>
      <c r="E121" t="s">
        <v>23</v>
      </c>
      <c r="F121" s="12" t="s">
        <v>279</v>
      </c>
      <c r="G121" t="s">
        <v>19</v>
      </c>
      <c r="H121" t="s">
        <v>20</v>
      </c>
      <c r="I121" t="s">
        <v>280</v>
      </c>
      <c r="J121" t="s">
        <v>26</v>
      </c>
      <c r="K121" t="str">
        <f t="shared" si="2"/>
        <v>A</v>
      </c>
      <c r="L121" t="s">
        <v>22</v>
      </c>
      <c r="M121">
        <f t="shared" si="3"/>
        <v>1</v>
      </c>
    </row>
    <row r="122" ht="18" customHeight="1" spans="1:13">
      <c r="A122" t="s">
        <v>255</v>
      </c>
      <c r="B122" s="12" t="s">
        <v>256</v>
      </c>
      <c r="C122" t="s">
        <v>50</v>
      </c>
      <c r="D122" t="s">
        <v>16</v>
      </c>
      <c r="E122" t="s">
        <v>17</v>
      </c>
      <c r="F122" s="12" t="s">
        <v>281</v>
      </c>
      <c r="G122" t="s">
        <v>19</v>
      </c>
      <c r="H122" t="s">
        <v>20</v>
      </c>
      <c r="I122" t="s">
        <v>282</v>
      </c>
      <c r="J122" t="s">
        <v>108</v>
      </c>
      <c r="K122" t="str">
        <f t="shared" si="2"/>
        <v>D(平局)</v>
      </c>
      <c r="L122" t="s">
        <v>108</v>
      </c>
      <c r="M122">
        <f t="shared" si="3"/>
        <v>0</v>
      </c>
    </row>
    <row r="123" ht="18" customHeight="1" spans="1:13">
      <c r="A123" t="s">
        <v>255</v>
      </c>
      <c r="B123" s="12" t="s">
        <v>256</v>
      </c>
      <c r="C123" t="s">
        <v>50</v>
      </c>
      <c r="D123" t="s">
        <v>16</v>
      </c>
      <c r="E123" t="s">
        <v>23</v>
      </c>
      <c r="F123" s="12" t="s">
        <v>283</v>
      </c>
      <c r="G123" t="s">
        <v>19</v>
      </c>
      <c r="H123" t="s">
        <v>20</v>
      </c>
      <c r="I123" t="s">
        <v>284</v>
      </c>
      <c r="J123" t="s">
        <v>22</v>
      </c>
      <c r="K123" t="str">
        <f t="shared" si="2"/>
        <v>C</v>
      </c>
      <c r="L123" t="s">
        <v>108</v>
      </c>
      <c r="M123">
        <f t="shared" si="3"/>
        <v>1</v>
      </c>
    </row>
    <row r="124" ht="18" customHeight="1" spans="1:13">
      <c r="A124" t="s">
        <v>255</v>
      </c>
      <c r="B124" s="12" t="s">
        <v>256</v>
      </c>
      <c r="C124" t="s">
        <v>50</v>
      </c>
      <c r="D124" t="s">
        <v>27</v>
      </c>
      <c r="E124" t="s">
        <v>17</v>
      </c>
      <c r="F124" s="12" t="s">
        <v>285</v>
      </c>
      <c r="G124" t="s">
        <v>19</v>
      </c>
      <c r="H124" t="s">
        <v>20</v>
      </c>
      <c r="I124" t="s">
        <v>286</v>
      </c>
      <c r="J124" t="s">
        <v>26</v>
      </c>
      <c r="K124" t="str">
        <f t="shared" si="2"/>
        <v>C</v>
      </c>
      <c r="L124" t="s">
        <v>108</v>
      </c>
      <c r="M124">
        <f t="shared" si="3"/>
        <v>1</v>
      </c>
    </row>
    <row r="125" ht="18" customHeight="1" spans="1:13">
      <c r="A125" t="s">
        <v>255</v>
      </c>
      <c r="B125" s="12" t="s">
        <v>256</v>
      </c>
      <c r="C125" t="s">
        <v>50</v>
      </c>
      <c r="D125" t="s">
        <v>27</v>
      </c>
      <c r="E125" t="s">
        <v>23</v>
      </c>
      <c r="F125" s="12" t="s">
        <v>287</v>
      </c>
      <c r="G125" t="s">
        <v>19</v>
      </c>
      <c r="H125" t="s">
        <v>20</v>
      </c>
      <c r="I125" t="s">
        <v>288</v>
      </c>
      <c r="J125" t="s">
        <v>22</v>
      </c>
      <c r="K125" t="str">
        <f t="shared" si="2"/>
        <v>C</v>
      </c>
      <c r="L125" t="s">
        <v>108</v>
      </c>
      <c r="M125">
        <f t="shared" si="3"/>
        <v>1</v>
      </c>
    </row>
    <row r="126" ht="18" customHeight="1" spans="1:13">
      <c r="A126" t="s">
        <v>255</v>
      </c>
      <c r="B126" s="12" t="s">
        <v>256</v>
      </c>
      <c r="C126" t="s">
        <v>50</v>
      </c>
      <c r="D126" t="s">
        <v>32</v>
      </c>
      <c r="E126" t="s">
        <v>17</v>
      </c>
      <c r="F126" s="12" t="s">
        <v>289</v>
      </c>
      <c r="G126" t="s">
        <v>19</v>
      </c>
      <c r="H126" t="s">
        <v>20</v>
      </c>
      <c r="I126" t="s">
        <v>290</v>
      </c>
      <c r="J126" t="s">
        <v>26</v>
      </c>
      <c r="K126" t="str">
        <f t="shared" si="2"/>
        <v>C</v>
      </c>
      <c r="L126" t="s">
        <v>108</v>
      </c>
      <c r="M126">
        <f t="shared" si="3"/>
        <v>1</v>
      </c>
    </row>
    <row r="127" ht="18" customHeight="1" spans="1:13">
      <c r="A127" t="s">
        <v>255</v>
      </c>
      <c r="B127" s="12" t="s">
        <v>256</v>
      </c>
      <c r="C127" t="s">
        <v>50</v>
      </c>
      <c r="D127" t="s">
        <v>32</v>
      </c>
      <c r="E127" t="s">
        <v>23</v>
      </c>
      <c r="F127" s="12" t="s">
        <v>291</v>
      </c>
      <c r="G127" t="s">
        <v>19</v>
      </c>
      <c r="H127" t="s">
        <v>20</v>
      </c>
      <c r="I127" t="s">
        <v>292</v>
      </c>
      <c r="J127" t="s">
        <v>22</v>
      </c>
      <c r="K127" t="str">
        <f t="shared" si="2"/>
        <v>C</v>
      </c>
      <c r="L127" t="s">
        <v>108</v>
      </c>
      <c r="M127">
        <f t="shared" si="3"/>
        <v>1</v>
      </c>
    </row>
    <row r="128" ht="18" customHeight="1" spans="1:13">
      <c r="A128" t="s">
        <v>293</v>
      </c>
      <c r="B128" s="12" t="s">
        <v>294</v>
      </c>
      <c r="C128" t="s">
        <v>15</v>
      </c>
      <c r="D128" t="s">
        <v>16</v>
      </c>
      <c r="E128" t="s">
        <v>17</v>
      </c>
      <c r="F128" s="12" t="s">
        <v>295</v>
      </c>
      <c r="G128" t="s">
        <v>19</v>
      </c>
      <c r="H128" t="s">
        <v>20</v>
      </c>
      <c r="I128" t="s">
        <v>296</v>
      </c>
      <c r="J128" t="s">
        <v>22</v>
      </c>
      <c r="K128" t="str">
        <f t="shared" si="2"/>
        <v>A</v>
      </c>
      <c r="L128" t="s">
        <v>22</v>
      </c>
      <c r="M128">
        <f t="shared" si="3"/>
        <v>1</v>
      </c>
    </row>
    <row r="129" ht="18" customHeight="1" spans="1:13">
      <c r="A129" t="s">
        <v>293</v>
      </c>
      <c r="B129" s="12" t="s">
        <v>294</v>
      </c>
      <c r="C129" t="s">
        <v>15</v>
      </c>
      <c r="D129" t="s">
        <v>16</v>
      </c>
      <c r="E129" t="s">
        <v>23</v>
      </c>
      <c r="F129" s="12" t="s">
        <v>297</v>
      </c>
      <c r="G129" t="s">
        <v>19</v>
      </c>
      <c r="H129" t="s">
        <v>20</v>
      </c>
      <c r="I129" t="s">
        <v>298</v>
      </c>
      <c r="J129" t="s">
        <v>108</v>
      </c>
      <c r="K129" t="str">
        <f t="shared" si="2"/>
        <v>D(平局)</v>
      </c>
      <c r="L129" t="s">
        <v>22</v>
      </c>
      <c r="M129">
        <f t="shared" si="3"/>
        <v>0</v>
      </c>
    </row>
    <row r="130" ht="18" customHeight="1" spans="1:13">
      <c r="A130" t="s">
        <v>293</v>
      </c>
      <c r="B130" s="12" t="s">
        <v>294</v>
      </c>
      <c r="C130" t="s">
        <v>15</v>
      </c>
      <c r="D130" t="s">
        <v>27</v>
      </c>
      <c r="E130" t="s">
        <v>17</v>
      </c>
      <c r="F130" s="12" t="s">
        <v>299</v>
      </c>
      <c r="G130" t="s">
        <v>19</v>
      </c>
      <c r="H130" t="s">
        <v>20</v>
      </c>
      <c r="I130" t="s">
        <v>300</v>
      </c>
      <c r="J130" t="s">
        <v>108</v>
      </c>
      <c r="K130" t="str">
        <f t="shared" ref="K130:K193" si="4">IF(OR(J130="",C130="",E130=""),"",IF(J130="C","D(平局)",IF(J130=IF(E130="l2r","A","B"),LEFT(C130,1),RIGHT(C130,1))))</f>
        <v>D(平局)</v>
      </c>
      <c r="L130" t="s">
        <v>22</v>
      </c>
      <c r="M130">
        <f t="shared" si="3"/>
        <v>0</v>
      </c>
    </row>
    <row r="131" ht="18" customHeight="1" spans="1:13">
      <c r="A131" t="s">
        <v>293</v>
      </c>
      <c r="B131" s="12" t="s">
        <v>294</v>
      </c>
      <c r="C131" t="s">
        <v>15</v>
      </c>
      <c r="D131" t="s">
        <v>27</v>
      </c>
      <c r="E131" t="s">
        <v>23</v>
      </c>
      <c r="F131" s="12" t="s">
        <v>301</v>
      </c>
      <c r="G131" t="s">
        <v>19</v>
      </c>
      <c r="H131" t="s">
        <v>20</v>
      </c>
      <c r="I131" t="s">
        <v>302</v>
      </c>
      <c r="J131" t="s">
        <v>22</v>
      </c>
      <c r="K131" t="str">
        <f t="shared" si="4"/>
        <v>B</v>
      </c>
      <c r="L131" t="s">
        <v>22</v>
      </c>
      <c r="M131">
        <f t="shared" ref="M131:M194" si="5">IF(OR(K131="",L131=""),"",--(K131=L131))</f>
        <v>0</v>
      </c>
    </row>
    <row r="132" ht="18" customHeight="1" spans="1:13">
      <c r="A132" t="s">
        <v>293</v>
      </c>
      <c r="B132" s="12" t="s">
        <v>294</v>
      </c>
      <c r="C132" t="s">
        <v>15</v>
      </c>
      <c r="D132" t="s">
        <v>32</v>
      </c>
      <c r="E132" t="s">
        <v>17</v>
      </c>
      <c r="F132" s="12" t="s">
        <v>303</v>
      </c>
      <c r="G132" t="s">
        <v>19</v>
      </c>
      <c r="H132" t="s">
        <v>20</v>
      </c>
      <c r="I132" t="s">
        <v>304</v>
      </c>
      <c r="J132" t="s">
        <v>26</v>
      </c>
      <c r="K132" t="str">
        <f t="shared" si="4"/>
        <v>B</v>
      </c>
      <c r="L132" t="s">
        <v>22</v>
      </c>
      <c r="M132">
        <f t="shared" si="5"/>
        <v>0</v>
      </c>
    </row>
    <row r="133" ht="18" customHeight="1" spans="1:13">
      <c r="A133" t="s">
        <v>293</v>
      </c>
      <c r="B133" s="12" t="s">
        <v>294</v>
      </c>
      <c r="C133" t="s">
        <v>15</v>
      </c>
      <c r="D133" t="s">
        <v>32</v>
      </c>
      <c r="E133" t="s">
        <v>23</v>
      </c>
      <c r="F133" s="12" t="s">
        <v>305</v>
      </c>
      <c r="G133" t="s">
        <v>19</v>
      </c>
      <c r="H133" t="s">
        <v>20</v>
      </c>
      <c r="I133" t="s">
        <v>306</v>
      </c>
      <c r="J133" t="s">
        <v>26</v>
      </c>
      <c r="K133" t="str">
        <f t="shared" si="4"/>
        <v>A</v>
      </c>
      <c r="L133" t="s">
        <v>22</v>
      </c>
      <c r="M133">
        <f t="shared" si="5"/>
        <v>1</v>
      </c>
    </row>
    <row r="134" ht="18" customHeight="1" spans="1:13">
      <c r="A134" t="s">
        <v>293</v>
      </c>
      <c r="B134" s="12" t="s">
        <v>294</v>
      </c>
      <c r="C134" t="s">
        <v>37</v>
      </c>
      <c r="D134" t="s">
        <v>16</v>
      </c>
      <c r="E134" t="s">
        <v>17</v>
      </c>
      <c r="F134" s="12" t="s">
        <v>307</v>
      </c>
      <c r="G134" t="s">
        <v>19</v>
      </c>
      <c r="H134" t="s">
        <v>20</v>
      </c>
      <c r="I134" t="s">
        <v>308</v>
      </c>
      <c r="J134" t="s">
        <v>22</v>
      </c>
      <c r="K134" t="str">
        <f t="shared" si="4"/>
        <v>A</v>
      </c>
      <c r="L134" t="s">
        <v>22</v>
      </c>
      <c r="M134">
        <f t="shared" si="5"/>
        <v>1</v>
      </c>
    </row>
    <row r="135" ht="18" customHeight="1" spans="1:13">
      <c r="A135" t="s">
        <v>293</v>
      </c>
      <c r="B135" s="12" t="s">
        <v>294</v>
      </c>
      <c r="C135" t="s">
        <v>37</v>
      </c>
      <c r="D135" t="s">
        <v>16</v>
      </c>
      <c r="E135" t="s">
        <v>23</v>
      </c>
      <c r="F135" s="12" t="s">
        <v>309</v>
      </c>
      <c r="G135" t="s">
        <v>19</v>
      </c>
      <c r="H135" t="s">
        <v>20</v>
      </c>
      <c r="I135" t="s">
        <v>310</v>
      </c>
      <c r="J135" t="s">
        <v>26</v>
      </c>
      <c r="K135" t="str">
        <f t="shared" si="4"/>
        <v>A</v>
      </c>
      <c r="L135" t="s">
        <v>22</v>
      </c>
      <c r="M135">
        <f t="shared" si="5"/>
        <v>1</v>
      </c>
    </row>
    <row r="136" ht="18" customHeight="1" spans="1:13">
      <c r="A136" t="s">
        <v>293</v>
      </c>
      <c r="B136" s="12" t="s">
        <v>294</v>
      </c>
      <c r="C136" t="s">
        <v>37</v>
      </c>
      <c r="D136" t="s">
        <v>27</v>
      </c>
      <c r="E136" t="s">
        <v>17</v>
      </c>
      <c r="F136" s="12" t="s">
        <v>311</v>
      </c>
      <c r="G136" t="s">
        <v>19</v>
      </c>
      <c r="H136" t="s">
        <v>20</v>
      </c>
      <c r="I136" t="s">
        <v>312</v>
      </c>
      <c r="J136" t="s">
        <v>22</v>
      </c>
      <c r="K136" t="str">
        <f t="shared" si="4"/>
        <v>A</v>
      </c>
      <c r="L136" t="s">
        <v>22</v>
      </c>
      <c r="M136">
        <f t="shared" si="5"/>
        <v>1</v>
      </c>
    </row>
    <row r="137" ht="18" customHeight="1" spans="1:13">
      <c r="A137" t="s">
        <v>293</v>
      </c>
      <c r="B137" s="12" t="s">
        <v>294</v>
      </c>
      <c r="C137" t="s">
        <v>37</v>
      </c>
      <c r="D137" t="s">
        <v>27</v>
      </c>
      <c r="E137" t="s">
        <v>23</v>
      </c>
      <c r="F137" s="12" t="s">
        <v>313</v>
      </c>
      <c r="G137" t="s">
        <v>19</v>
      </c>
      <c r="H137" t="s">
        <v>20</v>
      </c>
      <c r="I137" t="s">
        <v>314</v>
      </c>
      <c r="J137" t="s">
        <v>26</v>
      </c>
      <c r="K137" t="str">
        <f t="shared" si="4"/>
        <v>A</v>
      </c>
      <c r="L137" t="s">
        <v>22</v>
      </c>
      <c r="M137">
        <f t="shared" si="5"/>
        <v>1</v>
      </c>
    </row>
    <row r="138" ht="18" customHeight="1" spans="1:13">
      <c r="A138" t="s">
        <v>293</v>
      </c>
      <c r="B138" s="12" t="s">
        <v>294</v>
      </c>
      <c r="C138" t="s">
        <v>37</v>
      </c>
      <c r="D138" t="s">
        <v>32</v>
      </c>
      <c r="E138" t="s">
        <v>17</v>
      </c>
      <c r="F138" s="12" t="s">
        <v>315</v>
      </c>
      <c r="G138" t="s">
        <v>19</v>
      </c>
      <c r="H138" t="s">
        <v>20</v>
      </c>
      <c r="I138" t="s">
        <v>316</v>
      </c>
      <c r="J138" t="s">
        <v>22</v>
      </c>
      <c r="K138" t="str">
        <f t="shared" si="4"/>
        <v>A</v>
      </c>
      <c r="L138" t="s">
        <v>22</v>
      </c>
      <c r="M138">
        <f t="shared" si="5"/>
        <v>1</v>
      </c>
    </row>
    <row r="139" ht="18" customHeight="1" spans="1:13">
      <c r="A139" t="s">
        <v>293</v>
      </c>
      <c r="B139" s="12" t="s">
        <v>294</v>
      </c>
      <c r="C139" t="s">
        <v>37</v>
      </c>
      <c r="D139" t="s">
        <v>32</v>
      </c>
      <c r="E139" t="s">
        <v>23</v>
      </c>
      <c r="F139" s="12" t="s">
        <v>317</v>
      </c>
      <c r="G139" t="s">
        <v>19</v>
      </c>
      <c r="H139" t="s">
        <v>20</v>
      </c>
      <c r="I139" t="s">
        <v>318</v>
      </c>
      <c r="J139" t="s">
        <v>26</v>
      </c>
      <c r="K139" t="str">
        <f t="shared" si="4"/>
        <v>A</v>
      </c>
      <c r="L139" t="s">
        <v>22</v>
      </c>
      <c r="M139">
        <f t="shared" si="5"/>
        <v>1</v>
      </c>
    </row>
    <row r="140" ht="18" customHeight="1" spans="1:13">
      <c r="A140" t="s">
        <v>293</v>
      </c>
      <c r="B140" s="12" t="s">
        <v>294</v>
      </c>
      <c r="C140" t="s">
        <v>50</v>
      </c>
      <c r="D140" t="s">
        <v>16</v>
      </c>
      <c r="E140" t="s">
        <v>17</v>
      </c>
      <c r="F140" s="12" t="s">
        <v>319</v>
      </c>
      <c r="G140" t="s">
        <v>19</v>
      </c>
      <c r="H140" t="s">
        <v>20</v>
      </c>
      <c r="I140" t="s">
        <v>320</v>
      </c>
      <c r="J140" t="s">
        <v>22</v>
      </c>
      <c r="K140" t="str">
        <f t="shared" si="4"/>
        <v>B</v>
      </c>
      <c r="L140" t="s">
        <v>26</v>
      </c>
      <c r="M140">
        <f t="shared" si="5"/>
        <v>1</v>
      </c>
    </row>
    <row r="141" ht="18" customHeight="1" spans="1:13">
      <c r="A141" t="s">
        <v>293</v>
      </c>
      <c r="B141" s="12" t="s">
        <v>294</v>
      </c>
      <c r="C141" t="s">
        <v>50</v>
      </c>
      <c r="D141" t="s">
        <v>16</v>
      </c>
      <c r="E141" t="s">
        <v>23</v>
      </c>
      <c r="F141" s="12" t="s">
        <v>321</v>
      </c>
      <c r="G141" t="s">
        <v>19</v>
      </c>
      <c r="H141" t="s">
        <v>20</v>
      </c>
      <c r="I141" t="s">
        <v>322</v>
      </c>
      <c r="J141" t="s">
        <v>26</v>
      </c>
      <c r="K141" t="str">
        <f t="shared" si="4"/>
        <v>B</v>
      </c>
      <c r="L141" t="s">
        <v>26</v>
      </c>
      <c r="M141">
        <f t="shared" si="5"/>
        <v>1</v>
      </c>
    </row>
    <row r="142" ht="18" customHeight="1" spans="1:13">
      <c r="A142" t="s">
        <v>293</v>
      </c>
      <c r="B142" s="12" t="s">
        <v>294</v>
      </c>
      <c r="C142" t="s">
        <v>50</v>
      </c>
      <c r="D142" t="s">
        <v>27</v>
      </c>
      <c r="E142" t="s">
        <v>17</v>
      </c>
      <c r="F142" s="12" t="s">
        <v>323</v>
      </c>
      <c r="G142" t="s">
        <v>19</v>
      </c>
      <c r="H142" t="s">
        <v>20</v>
      </c>
      <c r="I142" t="s">
        <v>324</v>
      </c>
      <c r="J142" t="s">
        <v>22</v>
      </c>
      <c r="K142" t="str">
        <f t="shared" si="4"/>
        <v>B</v>
      </c>
      <c r="L142" t="s">
        <v>26</v>
      </c>
      <c r="M142">
        <f t="shared" si="5"/>
        <v>1</v>
      </c>
    </row>
    <row r="143" ht="18" customHeight="1" spans="1:13">
      <c r="A143" t="s">
        <v>293</v>
      </c>
      <c r="B143" s="12" t="s">
        <v>294</v>
      </c>
      <c r="C143" t="s">
        <v>50</v>
      </c>
      <c r="D143" t="s">
        <v>27</v>
      </c>
      <c r="E143" t="s">
        <v>23</v>
      </c>
      <c r="F143" s="12" t="s">
        <v>325</v>
      </c>
      <c r="G143" t="s">
        <v>19</v>
      </c>
      <c r="H143" t="s">
        <v>20</v>
      </c>
      <c r="I143" t="s">
        <v>326</v>
      </c>
      <c r="J143" t="s">
        <v>26</v>
      </c>
      <c r="K143" t="str">
        <f t="shared" si="4"/>
        <v>B</v>
      </c>
      <c r="L143" t="s">
        <v>26</v>
      </c>
      <c r="M143">
        <f t="shared" si="5"/>
        <v>1</v>
      </c>
    </row>
    <row r="144" ht="18" customHeight="1" spans="1:13">
      <c r="A144" t="s">
        <v>293</v>
      </c>
      <c r="B144" s="12" t="s">
        <v>294</v>
      </c>
      <c r="C144" t="s">
        <v>50</v>
      </c>
      <c r="D144" t="s">
        <v>32</v>
      </c>
      <c r="E144" t="s">
        <v>17</v>
      </c>
      <c r="F144" s="12" t="s">
        <v>327</v>
      </c>
      <c r="G144" t="s">
        <v>19</v>
      </c>
      <c r="H144" t="s">
        <v>20</v>
      </c>
      <c r="I144" t="s">
        <v>328</v>
      </c>
      <c r="J144" t="s">
        <v>22</v>
      </c>
      <c r="K144" t="str">
        <f t="shared" si="4"/>
        <v>B</v>
      </c>
      <c r="L144" t="s">
        <v>26</v>
      </c>
      <c r="M144">
        <f t="shared" si="5"/>
        <v>1</v>
      </c>
    </row>
    <row r="145" ht="18" customHeight="1" spans="1:13">
      <c r="A145" t="s">
        <v>293</v>
      </c>
      <c r="B145" s="12" t="s">
        <v>294</v>
      </c>
      <c r="C145" t="s">
        <v>50</v>
      </c>
      <c r="D145" t="s">
        <v>32</v>
      </c>
      <c r="E145" t="s">
        <v>23</v>
      </c>
      <c r="F145" s="12" t="s">
        <v>329</v>
      </c>
      <c r="G145" t="s">
        <v>19</v>
      </c>
      <c r="H145" t="s">
        <v>20</v>
      </c>
      <c r="I145" t="s">
        <v>330</v>
      </c>
      <c r="J145" t="s">
        <v>26</v>
      </c>
      <c r="K145" t="str">
        <f t="shared" si="4"/>
        <v>B</v>
      </c>
      <c r="L145" t="s">
        <v>26</v>
      </c>
      <c r="M145">
        <f t="shared" si="5"/>
        <v>1</v>
      </c>
    </row>
    <row r="146" ht="18" customHeight="1" spans="1:13">
      <c r="A146" t="s">
        <v>331</v>
      </c>
      <c r="B146" s="12" t="s">
        <v>332</v>
      </c>
      <c r="C146" t="s">
        <v>15</v>
      </c>
      <c r="D146" t="s">
        <v>16</v>
      </c>
      <c r="E146" t="s">
        <v>17</v>
      </c>
      <c r="F146" s="12" t="s">
        <v>333</v>
      </c>
      <c r="G146" t="s">
        <v>19</v>
      </c>
      <c r="H146" t="s">
        <v>20</v>
      </c>
      <c r="I146" t="s">
        <v>334</v>
      </c>
      <c r="J146" t="s">
        <v>26</v>
      </c>
      <c r="K146" t="str">
        <f t="shared" si="4"/>
        <v>B</v>
      </c>
      <c r="L146" t="s">
        <v>105</v>
      </c>
      <c r="M146">
        <f t="shared" si="5"/>
        <v>0</v>
      </c>
    </row>
    <row r="147" ht="18" customHeight="1" spans="1:13">
      <c r="A147" t="s">
        <v>331</v>
      </c>
      <c r="B147" s="12" t="s">
        <v>332</v>
      </c>
      <c r="C147" t="s">
        <v>15</v>
      </c>
      <c r="D147" t="s">
        <v>16</v>
      </c>
      <c r="E147" t="s">
        <v>23</v>
      </c>
      <c r="F147" s="12" t="s">
        <v>335</v>
      </c>
      <c r="G147" t="s">
        <v>19</v>
      </c>
      <c r="H147" t="s">
        <v>20</v>
      </c>
      <c r="I147" t="s">
        <v>336</v>
      </c>
      <c r="J147" t="s">
        <v>22</v>
      </c>
      <c r="K147" t="str">
        <f t="shared" si="4"/>
        <v>B</v>
      </c>
      <c r="L147" t="s">
        <v>105</v>
      </c>
      <c r="M147">
        <f t="shared" si="5"/>
        <v>0</v>
      </c>
    </row>
    <row r="148" ht="18" customHeight="1" spans="1:13">
      <c r="A148" t="s">
        <v>331</v>
      </c>
      <c r="B148" s="12" t="s">
        <v>332</v>
      </c>
      <c r="C148" t="s">
        <v>15</v>
      </c>
      <c r="D148" t="s">
        <v>27</v>
      </c>
      <c r="E148" t="s">
        <v>17</v>
      </c>
      <c r="F148" s="12" t="s">
        <v>337</v>
      </c>
      <c r="G148" t="s">
        <v>19</v>
      </c>
      <c r="H148" t="s">
        <v>20</v>
      </c>
      <c r="I148" t="s">
        <v>338</v>
      </c>
      <c r="J148" t="s">
        <v>22</v>
      </c>
      <c r="K148" t="str">
        <f t="shared" si="4"/>
        <v>A</v>
      </c>
      <c r="L148" t="s">
        <v>105</v>
      </c>
      <c r="M148">
        <f t="shared" si="5"/>
        <v>0</v>
      </c>
    </row>
    <row r="149" ht="18" customHeight="1" spans="1:13">
      <c r="A149" t="s">
        <v>331</v>
      </c>
      <c r="B149" s="12" t="s">
        <v>332</v>
      </c>
      <c r="C149" t="s">
        <v>15</v>
      </c>
      <c r="D149" t="s">
        <v>27</v>
      </c>
      <c r="E149" t="s">
        <v>23</v>
      </c>
      <c r="F149" s="12" t="s">
        <v>339</v>
      </c>
      <c r="G149" t="s">
        <v>19</v>
      </c>
      <c r="H149" t="s">
        <v>20</v>
      </c>
      <c r="I149" t="s">
        <v>340</v>
      </c>
      <c r="J149" t="s">
        <v>22</v>
      </c>
      <c r="K149" t="str">
        <f t="shared" si="4"/>
        <v>B</v>
      </c>
      <c r="L149" t="s">
        <v>105</v>
      </c>
      <c r="M149">
        <f t="shared" si="5"/>
        <v>0</v>
      </c>
    </row>
    <row r="150" ht="18" customHeight="1" spans="1:13">
      <c r="A150" t="s">
        <v>331</v>
      </c>
      <c r="B150" s="12" t="s">
        <v>332</v>
      </c>
      <c r="C150" t="s">
        <v>15</v>
      </c>
      <c r="D150" t="s">
        <v>32</v>
      </c>
      <c r="E150" t="s">
        <v>17</v>
      </c>
      <c r="F150" s="12" t="s">
        <v>341</v>
      </c>
      <c r="G150" t="s">
        <v>19</v>
      </c>
      <c r="H150" t="s">
        <v>20</v>
      </c>
      <c r="I150" t="s">
        <v>342</v>
      </c>
      <c r="J150" t="s">
        <v>26</v>
      </c>
      <c r="K150" t="str">
        <f t="shared" si="4"/>
        <v>B</v>
      </c>
      <c r="L150" t="s">
        <v>105</v>
      </c>
      <c r="M150">
        <f t="shared" si="5"/>
        <v>0</v>
      </c>
    </row>
    <row r="151" ht="18" customHeight="1" spans="1:13">
      <c r="A151" t="s">
        <v>331</v>
      </c>
      <c r="B151" s="12" t="s">
        <v>332</v>
      </c>
      <c r="C151" t="s">
        <v>15</v>
      </c>
      <c r="D151" t="s">
        <v>32</v>
      </c>
      <c r="E151" t="s">
        <v>23</v>
      </c>
      <c r="F151" s="12" t="s">
        <v>343</v>
      </c>
      <c r="G151" t="s">
        <v>19</v>
      </c>
      <c r="H151" t="s">
        <v>20</v>
      </c>
      <c r="I151" t="s">
        <v>344</v>
      </c>
      <c r="J151" t="s">
        <v>22</v>
      </c>
      <c r="K151" t="str">
        <f t="shared" si="4"/>
        <v>B</v>
      </c>
      <c r="L151" t="s">
        <v>105</v>
      </c>
      <c r="M151">
        <f t="shared" si="5"/>
        <v>0</v>
      </c>
    </row>
    <row r="152" ht="18" customHeight="1" spans="1:13">
      <c r="A152" t="s">
        <v>331</v>
      </c>
      <c r="B152" s="12" t="s">
        <v>332</v>
      </c>
      <c r="C152" t="s">
        <v>37</v>
      </c>
      <c r="D152" t="s">
        <v>16</v>
      </c>
      <c r="E152" t="s">
        <v>17</v>
      </c>
      <c r="F152" s="12" t="s">
        <v>345</v>
      </c>
      <c r="G152" t="s">
        <v>19</v>
      </c>
      <c r="H152" t="s">
        <v>20</v>
      </c>
      <c r="I152" t="s">
        <v>346</v>
      </c>
      <c r="J152" t="s">
        <v>26</v>
      </c>
      <c r="K152" t="str">
        <f t="shared" si="4"/>
        <v>C</v>
      </c>
      <c r="L152" t="s">
        <v>22</v>
      </c>
      <c r="M152">
        <f t="shared" si="5"/>
        <v>0</v>
      </c>
    </row>
    <row r="153" ht="18" customHeight="1" spans="1:13">
      <c r="A153" t="s">
        <v>331</v>
      </c>
      <c r="B153" s="12" t="s">
        <v>332</v>
      </c>
      <c r="C153" t="s">
        <v>37</v>
      </c>
      <c r="D153" t="s">
        <v>16</v>
      </c>
      <c r="E153" t="s">
        <v>23</v>
      </c>
      <c r="F153" s="12" t="s">
        <v>347</v>
      </c>
      <c r="G153" t="s">
        <v>19</v>
      </c>
      <c r="H153" t="s">
        <v>20</v>
      </c>
      <c r="I153" t="s">
        <v>348</v>
      </c>
      <c r="J153" t="s">
        <v>26</v>
      </c>
      <c r="K153" t="str">
        <f t="shared" si="4"/>
        <v>A</v>
      </c>
      <c r="L153" t="s">
        <v>22</v>
      </c>
      <c r="M153">
        <f t="shared" si="5"/>
        <v>1</v>
      </c>
    </row>
    <row r="154" ht="18" customHeight="1" spans="1:13">
      <c r="A154" t="s">
        <v>331</v>
      </c>
      <c r="B154" s="12" t="s">
        <v>332</v>
      </c>
      <c r="C154" t="s">
        <v>37</v>
      </c>
      <c r="D154" t="s">
        <v>27</v>
      </c>
      <c r="E154" t="s">
        <v>17</v>
      </c>
      <c r="F154" s="12" t="s">
        <v>349</v>
      </c>
      <c r="G154" t="s">
        <v>19</v>
      </c>
      <c r="H154" t="s">
        <v>20</v>
      </c>
      <c r="I154" t="s">
        <v>350</v>
      </c>
      <c r="J154" t="s">
        <v>22</v>
      </c>
      <c r="K154" t="str">
        <f t="shared" si="4"/>
        <v>A</v>
      </c>
      <c r="L154" t="s">
        <v>22</v>
      </c>
      <c r="M154">
        <f t="shared" si="5"/>
        <v>1</v>
      </c>
    </row>
    <row r="155" ht="18" customHeight="1" spans="1:13">
      <c r="A155" t="s">
        <v>331</v>
      </c>
      <c r="B155" s="12" t="s">
        <v>332</v>
      </c>
      <c r="C155" t="s">
        <v>37</v>
      </c>
      <c r="D155" t="s">
        <v>27</v>
      </c>
      <c r="E155" t="s">
        <v>23</v>
      </c>
      <c r="F155" s="12" t="s">
        <v>351</v>
      </c>
      <c r="G155" t="s">
        <v>19</v>
      </c>
      <c r="H155" t="s">
        <v>20</v>
      </c>
      <c r="I155" t="s">
        <v>352</v>
      </c>
      <c r="J155" t="s">
        <v>26</v>
      </c>
      <c r="K155" t="str">
        <f t="shared" si="4"/>
        <v>A</v>
      </c>
      <c r="L155" t="s">
        <v>22</v>
      </c>
      <c r="M155">
        <f t="shared" si="5"/>
        <v>1</v>
      </c>
    </row>
    <row r="156" ht="18" customHeight="1" spans="1:13">
      <c r="A156" t="s">
        <v>331</v>
      </c>
      <c r="B156" s="12" t="s">
        <v>332</v>
      </c>
      <c r="C156" t="s">
        <v>37</v>
      </c>
      <c r="D156" t="s">
        <v>32</v>
      </c>
      <c r="E156" t="s">
        <v>17</v>
      </c>
      <c r="F156" s="12" t="s">
        <v>353</v>
      </c>
      <c r="G156" t="s">
        <v>19</v>
      </c>
      <c r="H156" t="s">
        <v>20</v>
      </c>
      <c r="I156" t="s">
        <v>354</v>
      </c>
      <c r="J156" t="s">
        <v>22</v>
      </c>
      <c r="K156" t="str">
        <f t="shared" si="4"/>
        <v>A</v>
      </c>
      <c r="L156" t="s">
        <v>22</v>
      </c>
      <c r="M156">
        <f t="shared" si="5"/>
        <v>1</v>
      </c>
    </row>
    <row r="157" ht="18" customHeight="1" spans="1:13">
      <c r="A157" t="s">
        <v>331</v>
      </c>
      <c r="B157" s="12" t="s">
        <v>332</v>
      </c>
      <c r="C157" t="s">
        <v>37</v>
      </c>
      <c r="D157" t="s">
        <v>32</v>
      </c>
      <c r="E157" t="s">
        <v>23</v>
      </c>
      <c r="F157" s="12" t="s">
        <v>355</v>
      </c>
      <c r="G157" t="s">
        <v>19</v>
      </c>
      <c r="H157" t="s">
        <v>20</v>
      </c>
      <c r="I157" t="s">
        <v>356</v>
      </c>
      <c r="J157" t="s">
        <v>26</v>
      </c>
      <c r="K157" t="str">
        <f t="shared" si="4"/>
        <v>A</v>
      </c>
      <c r="L157" t="s">
        <v>22</v>
      </c>
      <c r="M157">
        <f t="shared" si="5"/>
        <v>1</v>
      </c>
    </row>
    <row r="158" ht="18" customHeight="1" spans="1:13">
      <c r="A158" t="s">
        <v>331</v>
      </c>
      <c r="B158" s="12" t="s">
        <v>332</v>
      </c>
      <c r="C158" t="s">
        <v>50</v>
      </c>
      <c r="D158" t="s">
        <v>16</v>
      </c>
      <c r="E158" t="s">
        <v>17</v>
      </c>
      <c r="F158" s="12" t="s">
        <v>357</v>
      </c>
      <c r="G158" t="s">
        <v>19</v>
      </c>
      <c r="H158" t="s">
        <v>20</v>
      </c>
      <c r="I158" t="s">
        <v>358</v>
      </c>
      <c r="J158" t="s">
        <v>22</v>
      </c>
      <c r="K158" t="str">
        <f t="shared" si="4"/>
        <v>B</v>
      </c>
      <c r="L158" t="s">
        <v>26</v>
      </c>
      <c r="M158">
        <f t="shared" si="5"/>
        <v>1</v>
      </c>
    </row>
    <row r="159" ht="18" customHeight="1" spans="1:13">
      <c r="A159" t="s">
        <v>331</v>
      </c>
      <c r="B159" s="12" t="s">
        <v>332</v>
      </c>
      <c r="C159" t="s">
        <v>50</v>
      </c>
      <c r="D159" t="s">
        <v>16</v>
      </c>
      <c r="E159" t="s">
        <v>23</v>
      </c>
      <c r="F159" s="12" t="s">
        <v>359</v>
      </c>
      <c r="G159" t="s">
        <v>19</v>
      </c>
      <c r="H159" t="s">
        <v>20</v>
      </c>
      <c r="I159" t="s">
        <v>360</v>
      </c>
      <c r="J159" t="s">
        <v>26</v>
      </c>
      <c r="K159" t="str">
        <f t="shared" si="4"/>
        <v>B</v>
      </c>
      <c r="L159" t="s">
        <v>26</v>
      </c>
      <c r="M159">
        <f t="shared" si="5"/>
        <v>1</v>
      </c>
    </row>
    <row r="160" ht="18" customHeight="1" spans="1:13">
      <c r="A160" t="s">
        <v>331</v>
      </c>
      <c r="B160" s="12" t="s">
        <v>332</v>
      </c>
      <c r="C160" t="s">
        <v>50</v>
      </c>
      <c r="D160" t="s">
        <v>27</v>
      </c>
      <c r="E160" t="s">
        <v>17</v>
      </c>
      <c r="F160" s="12" t="s">
        <v>361</v>
      </c>
      <c r="G160" t="s">
        <v>19</v>
      </c>
      <c r="H160" t="s">
        <v>20</v>
      </c>
      <c r="I160" t="s">
        <v>362</v>
      </c>
      <c r="J160" t="s">
        <v>22</v>
      </c>
      <c r="K160" t="str">
        <f t="shared" si="4"/>
        <v>B</v>
      </c>
      <c r="L160" t="s">
        <v>26</v>
      </c>
      <c r="M160">
        <f t="shared" si="5"/>
        <v>1</v>
      </c>
    </row>
    <row r="161" ht="18" customHeight="1" spans="1:13">
      <c r="A161" t="s">
        <v>331</v>
      </c>
      <c r="B161" s="12" t="s">
        <v>332</v>
      </c>
      <c r="C161" t="s">
        <v>50</v>
      </c>
      <c r="D161" t="s">
        <v>27</v>
      </c>
      <c r="E161" t="s">
        <v>23</v>
      </c>
      <c r="F161" s="12" t="s">
        <v>363</v>
      </c>
      <c r="G161" t="s">
        <v>19</v>
      </c>
      <c r="H161" t="s">
        <v>20</v>
      </c>
      <c r="I161" t="s">
        <v>364</v>
      </c>
      <c r="J161" t="s">
        <v>26</v>
      </c>
      <c r="K161" t="str">
        <f t="shared" si="4"/>
        <v>B</v>
      </c>
      <c r="L161" t="s">
        <v>26</v>
      </c>
      <c r="M161">
        <f t="shared" si="5"/>
        <v>1</v>
      </c>
    </row>
    <row r="162" ht="18" customHeight="1" spans="1:13">
      <c r="A162" t="s">
        <v>331</v>
      </c>
      <c r="B162" s="12" t="s">
        <v>332</v>
      </c>
      <c r="C162" t="s">
        <v>50</v>
      </c>
      <c r="D162" t="s">
        <v>32</v>
      </c>
      <c r="E162" t="s">
        <v>17</v>
      </c>
      <c r="F162" s="12" t="s">
        <v>365</v>
      </c>
      <c r="G162" t="s">
        <v>19</v>
      </c>
      <c r="H162" t="s">
        <v>20</v>
      </c>
      <c r="I162" t="s">
        <v>366</v>
      </c>
      <c r="J162" t="s">
        <v>22</v>
      </c>
      <c r="K162" t="str">
        <f t="shared" si="4"/>
        <v>B</v>
      </c>
      <c r="L162" t="s">
        <v>26</v>
      </c>
      <c r="M162">
        <f t="shared" si="5"/>
        <v>1</v>
      </c>
    </row>
    <row r="163" ht="18" customHeight="1" spans="1:13">
      <c r="A163" t="s">
        <v>331</v>
      </c>
      <c r="B163" s="12" t="s">
        <v>332</v>
      </c>
      <c r="C163" t="s">
        <v>50</v>
      </c>
      <c r="D163" t="s">
        <v>32</v>
      </c>
      <c r="E163" t="s">
        <v>23</v>
      </c>
      <c r="F163" s="12" t="s">
        <v>367</v>
      </c>
      <c r="G163" t="s">
        <v>19</v>
      </c>
      <c r="H163" t="s">
        <v>20</v>
      </c>
      <c r="I163" t="s">
        <v>368</v>
      </c>
      <c r="J163" t="s">
        <v>26</v>
      </c>
      <c r="K163" t="str">
        <f t="shared" si="4"/>
        <v>B</v>
      </c>
      <c r="L163" t="s">
        <v>26</v>
      </c>
      <c r="M163">
        <f t="shared" si="5"/>
        <v>1</v>
      </c>
    </row>
    <row r="164" ht="18" customHeight="1" spans="1:13">
      <c r="A164" t="s">
        <v>369</v>
      </c>
      <c r="B164" s="12" t="s">
        <v>370</v>
      </c>
      <c r="C164" t="s">
        <v>15</v>
      </c>
      <c r="D164" t="s">
        <v>16</v>
      </c>
      <c r="E164" t="s">
        <v>17</v>
      </c>
      <c r="F164" s="12" t="s">
        <v>371</v>
      </c>
      <c r="G164" t="s">
        <v>19</v>
      </c>
      <c r="H164" t="s">
        <v>20</v>
      </c>
      <c r="I164" t="s">
        <v>372</v>
      </c>
      <c r="J164" t="s">
        <v>26</v>
      </c>
      <c r="K164" t="str">
        <f t="shared" si="4"/>
        <v>B</v>
      </c>
      <c r="L164" t="s">
        <v>26</v>
      </c>
      <c r="M164">
        <f t="shared" si="5"/>
        <v>1</v>
      </c>
    </row>
    <row r="165" ht="18" customHeight="1" spans="1:13">
      <c r="A165" t="s">
        <v>369</v>
      </c>
      <c r="B165" s="12" t="s">
        <v>370</v>
      </c>
      <c r="C165" t="s">
        <v>15</v>
      </c>
      <c r="D165" t="s">
        <v>16</v>
      </c>
      <c r="E165" t="s">
        <v>23</v>
      </c>
      <c r="F165" s="12" t="s">
        <v>373</v>
      </c>
      <c r="G165" t="s">
        <v>19</v>
      </c>
      <c r="H165" t="s">
        <v>20</v>
      </c>
      <c r="I165" t="s">
        <v>374</v>
      </c>
      <c r="J165" t="s">
        <v>22</v>
      </c>
      <c r="K165" t="str">
        <f t="shared" si="4"/>
        <v>B</v>
      </c>
      <c r="L165" t="s">
        <v>26</v>
      </c>
      <c r="M165">
        <f t="shared" si="5"/>
        <v>1</v>
      </c>
    </row>
    <row r="166" ht="18" customHeight="1" spans="1:13">
      <c r="A166" t="s">
        <v>369</v>
      </c>
      <c r="B166" s="12" t="s">
        <v>370</v>
      </c>
      <c r="C166" t="s">
        <v>15</v>
      </c>
      <c r="D166" t="s">
        <v>27</v>
      </c>
      <c r="E166" t="s">
        <v>17</v>
      </c>
      <c r="F166" s="12" t="s">
        <v>375</v>
      </c>
      <c r="G166" t="s">
        <v>19</v>
      </c>
      <c r="H166" t="s">
        <v>20</v>
      </c>
      <c r="I166" t="s">
        <v>376</v>
      </c>
      <c r="J166" t="s">
        <v>26</v>
      </c>
      <c r="K166" t="str">
        <f t="shared" si="4"/>
        <v>B</v>
      </c>
      <c r="L166" t="s">
        <v>26</v>
      </c>
      <c r="M166">
        <f t="shared" si="5"/>
        <v>1</v>
      </c>
    </row>
    <row r="167" ht="18" customHeight="1" spans="1:13">
      <c r="A167" t="s">
        <v>369</v>
      </c>
      <c r="B167" s="12" t="s">
        <v>370</v>
      </c>
      <c r="C167" t="s">
        <v>15</v>
      </c>
      <c r="D167" t="s">
        <v>27</v>
      </c>
      <c r="E167" t="s">
        <v>23</v>
      </c>
      <c r="F167" s="12" t="s">
        <v>377</v>
      </c>
      <c r="G167" t="s">
        <v>19</v>
      </c>
      <c r="H167" t="s">
        <v>20</v>
      </c>
      <c r="I167" t="s">
        <v>378</v>
      </c>
      <c r="J167" t="s">
        <v>22</v>
      </c>
      <c r="K167" t="str">
        <f t="shared" si="4"/>
        <v>B</v>
      </c>
      <c r="L167" t="s">
        <v>26</v>
      </c>
      <c r="M167">
        <f t="shared" si="5"/>
        <v>1</v>
      </c>
    </row>
    <row r="168" ht="18" customHeight="1" spans="1:13">
      <c r="A168" t="s">
        <v>369</v>
      </c>
      <c r="B168" s="12" t="s">
        <v>370</v>
      </c>
      <c r="C168" t="s">
        <v>15</v>
      </c>
      <c r="D168" t="s">
        <v>32</v>
      </c>
      <c r="E168" t="s">
        <v>17</v>
      </c>
      <c r="F168" s="12" t="s">
        <v>379</v>
      </c>
      <c r="G168" t="s">
        <v>19</v>
      </c>
      <c r="H168" t="s">
        <v>20</v>
      </c>
      <c r="I168" t="s">
        <v>380</v>
      </c>
      <c r="J168" t="s">
        <v>108</v>
      </c>
      <c r="K168" t="str">
        <f t="shared" si="4"/>
        <v>D(平局)</v>
      </c>
      <c r="L168" t="s">
        <v>26</v>
      </c>
      <c r="M168">
        <f t="shared" si="5"/>
        <v>0</v>
      </c>
    </row>
    <row r="169" ht="18" customHeight="1" spans="1:13">
      <c r="A169" t="s">
        <v>369</v>
      </c>
      <c r="B169" s="12" t="s">
        <v>370</v>
      </c>
      <c r="C169" t="s">
        <v>15</v>
      </c>
      <c r="D169" t="s">
        <v>32</v>
      </c>
      <c r="E169" t="s">
        <v>23</v>
      </c>
      <c r="F169" s="12" t="s">
        <v>381</v>
      </c>
      <c r="G169" t="s">
        <v>19</v>
      </c>
      <c r="H169" t="s">
        <v>20</v>
      </c>
      <c r="I169" t="s">
        <v>382</v>
      </c>
      <c r="J169" t="s">
        <v>26</v>
      </c>
      <c r="K169" t="str">
        <f t="shared" si="4"/>
        <v>A</v>
      </c>
      <c r="L169" t="s">
        <v>26</v>
      </c>
      <c r="M169">
        <f t="shared" si="5"/>
        <v>0</v>
      </c>
    </row>
    <row r="170" ht="18" customHeight="1" spans="1:13">
      <c r="A170" t="s">
        <v>369</v>
      </c>
      <c r="B170" s="12" t="s">
        <v>370</v>
      </c>
      <c r="C170" t="s">
        <v>37</v>
      </c>
      <c r="D170" t="s">
        <v>16</v>
      </c>
      <c r="E170" t="s">
        <v>17</v>
      </c>
      <c r="F170" s="12" t="s">
        <v>383</v>
      </c>
      <c r="G170" t="s">
        <v>19</v>
      </c>
      <c r="H170" t="s">
        <v>20</v>
      </c>
      <c r="I170" t="s">
        <v>384</v>
      </c>
      <c r="J170" t="s">
        <v>22</v>
      </c>
      <c r="K170" t="str">
        <f t="shared" si="4"/>
        <v>A</v>
      </c>
      <c r="L170" t="s">
        <v>22</v>
      </c>
      <c r="M170">
        <f t="shared" si="5"/>
        <v>1</v>
      </c>
    </row>
    <row r="171" ht="18" customHeight="1" spans="1:13">
      <c r="A171" t="s">
        <v>369</v>
      </c>
      <c r="B171" s="12" t="s">
        <v>370</v>
      </c>
      <c r="C171" t="s">
        <v>37</v>
      </c>
      <c r="D171" t="s">
        <v>16</v>
      </c>
      <c r="E171" t="s">
        <v>23</v>
      </c>
      <c r="F171" s="12" t="s">
        <v>385</v>
      </c>
      <c r="G171" t="s">
        <v>19</v>
      </c>
      <c r="H171" t="s">
        <v>20</v>
      </c>
      <c r="I171" t="s">
        <v>386</v>
      </c>
      <c r="J171" t="s">
        <v>26</v>
      </c>
      <c r="K171" t="str">
        <f t="shared" si="4"/>
        <v>A</v>
      </c>
      <c r="L171" t="s">
        <v>22</v>
      </c>
      <c r="M171">
        <f t="shared" si="5"/>
        <v>1</v>
      </c>
    </row>
    <row r="172" ht="18" customHeight="1" spans="1:13">
      <c r="A172" t="s">
        <v>369</v>
      </c>
      <c r="B172" s="12" t="s">
        <v>370</v>
      </c>
      <c r="C172" t="s">
        <v>37</v>
      </c>
      <c r="D172" t="s">
        <v>27</v>
      </c>
      <c r="E172" t="s">
        <v>17</v>
      </c>
      <c r="F172" s="12" t="s">
        <v>387</v>
      </c>
      <c r="G172" t="s">
        <v>19</v>
      </c>
      <c r="H172" t="s">
        <v>20</v>
      </c>
      <c r="I172" t="s">
        <v>388</v>
      </c>
      <c r="J172" t="s">
        <v>22</v>
      </c>
      <c r="K172" t="str">
        <f t="shared" si="4"/>
        <v>A</v>
      </c>
      <c r="L172" t="s">
        <v>22</v>
      </c>
      <c r="M172">
        <f t="shared" si="5"/>
        <v>1</v>
      </c>
    </row>
    <row r="173" ht="18" customHeight="1" spans="1:13">
      <c r="A173" t="s">
        <v>369</v>
      </c>
      <c r="B173" s="12" t="s">
        <v>370</v>
      </c>
      <c r="C173" t="s">
        <v>37</v>
      </c>
      <c r="D173" t="s">
        <v>27</v>
      </c>
      <c r="E173" t="s">
        <v>23</v>
      </c>
      <c r="F173" s="12" t="s">
        <v>389</v>
      </c>
      <c r="G173" t="s">
        <v>19</v>
      </c>
      <c r="H173" t="s">
        <v>20</v>
      </c>
      <c r="I173" t="s">
        <v>390</v>
      </c>
      <c r="J173" t="s">
        <v>26</v>
      </c>
      <c r="K173" t="str">
        <f t="shared" si="4"/>
        <v>A</v>
      </c>
      <c r="L173" t="s">
        <v>22</v>
      </c>
      <c r="M173">
        <f t="shared" si="5"/>
        <v>1</v>
      </c>
    </row>
    <row r="174" ht="18" customHeight="1" spans="1:13">
      <c r="A174" t="s">
        <v>369</v>
      </c>
      <c r="B174" s="12" t="s">
        <v>370</v>
      </c>
      <c r="C174" t="s">
        <v>37</v>
      </c>
      <c r="D174" t="s">
        <v>32</v>
      </c>
      <c r="E174" t="s">
        <v>17</v>
      </c>
      <c r="F174" s="12" t="s">
        <v>391</v>
      </c>
      <c r="G174" t="s">
        <v>19</v>
      </c>
      <c r="H174" t="s">
        <v>20</v>
      </c>
      <c r="I174" t="s">
        <v>392</v>
      </c>
      <c r="J174" t="s">
        <v>22</v>
      </c>
      <c r="K174" t="str">
        <f t="shared" si="4"/>
        <v>A</v>
      </c>
      <c r="L174" t="s">
        <v>22</v>
      </c>
      <c r="M174">
        <f t="shared" si="5"/>
        <v>1</v>
      </c>
    </row>
    <row r="175" ht="18" customHeight="1" spans="1:13">
      <c r="A175" t="s">
        <v>369</v>
      </c>
      <c r="B175" s="12" t="s">
        <v>370</v>
      </c>
      <c r="C175" t="s">
        <v>37</v>
      </c>
      <c r="D175" t="s">
        <v>32</v>
      </c>
      <c r="E175" t="s">
        <v>23</v>
      </c>
      <c r="F175" s="12" t="s">
        <v>393</v>
      </c>
      <c r="G175" t="s">
        <v>19</v>
      </c>
      <c r="H175" t="s">
        <v>20</v>
      </c>
      <c r="I175" t="s">
        <v>394</v>
      </c>
      <c r="J175" t="s">
        <v>26</v>
      </c>
      <c r="K175" t="str">
        <f t="shared" si="4"/>
        <v>A</v>
      </c>
      <c r="L175" t="s">
        <v>22</v>
      </c>
      <c r="M175">
        <f t="shared" si="5"/>
        <v>1</v>
      </c>
    </row>
    <row r="176" ht="18" customHeight="1" spans="1:13">
      <c r="A176" t="s">
        <v>369</v>
      </c>
      <c r="B176" s="12" t="s">
        <v>370</v>
      </c>
      <c r="C176" t="s">
        <v>50</v>
      </c>
      <c r="D176" t="s">
        <v>16</v>
      </c>
      <c r="E176" t="s">
        <v>17</v>
      </c>
      <c r="F176" s="12" t="s">
        <v>395</v>
      </c>
      <c r="G176" t="s">
        <v>19</v>
      </c>
      <c r="H176" t="s">
        <v>20</v>
      </c>
      <c r="I176" t="s">
        <v>396</v>
      </c>
      <c r="J176" t="s">
        <v>22</v>
      </c>
      <c r="K176" t="str">
        <f t="shared" si="4"/>
        <v>B</v>
      </c>
      <c r="L176" t="s">
        <v>26</v>
      </c>
      <c r="M176">
        <f t="shared" si="5"/>
        <v>1</v>
      </c>
    </row>
    <row r="177" ht="18" customHeight="1" spans="1:13">
      <c r="A177" t="s">
        <v>369</v>
      </c>
      <c r="B177" s="12" t="s">
        <v>370</v>
      </c>
      <c r="C177" t="s">
        <v>50</v>
      </c>
      <c r="D177" t="s">
        <v>16</v>
      </c>
      <c r="E177" t="s">
        <v>23</v>
      </c>
      <c r="F177" s="12" t="s">
        <v>397</v>
      </c>
      <c r="G177" t="s">
        <v>19</v>
      </c>
      <c r="H177" t="s">
        <v>20</v>
      </c>
      <c r="I177" t="s">
        <v>398</v>
      </c>
      <c r="J177" t="s">
        <v>26</v>
      </c>
      <c r="K177" t="str">
        <f t="shared" si="4"/>
        <v>B</v>
      </c>
      <c r="L177" t="s">
        <v>26</v>
      </c>
      <c r="M177">
        <f t="shared" si="5"/>
        <v>1</v>
      </c>
    </row>
    <row r="178" ht="18" customHeight="1" spans="1:13">
      <c r="A178" t="s">
        <v>369</v>
      </c>
      <c r="B178" s="12" t="s">
        <v>370</v>
      </c>
      <c r="C178" t="s">
        <v>50</v>
      </c>
      <c r="D178" t="s">
        <v>27</v>
      </c>
      <c r="E178" t="s">
        <v>17</v>
      </c>
      <c r="F178" s="12" t="s">
        <v>399</v>
      </c>
      <c r="G178" t="s">
        <v>19</v>
      </c>
      <c r="H178" t="s">
        <v>20</v>
      </c>
      <c r="I178" t="s">
        <v>400</v>
      </c>
      <c r="J178" t="s">
        <v>22</v>
      </c>
      <c r="K178" t="str">
        <f t="shared" si="4"/>
        <v>B</v>
      </c>
      <c r="L178" t="s">
        <v>26</v>
      </c>
      <c r="M178">
        <f t="shared" si="5"/>
        <v>1</v>
      </c>
    </row>
    <row r="179" ht="18" customHeight="1" spans="1:13">
      <c r="A179" t="s">
        <v>369</v>
      </c>
      <c r="B179" s="12" t="s">
        <v>370</v>
      </c>
      <c r="C179" t="s">
        <v>50</v>
      </c>
      <c r="D179" t="s">
        <v>27</v>
      </c>
      <c r="E179" t="s">
        <v>23</v>
      </c>
      <c r="F179" s="12" t="s">
        <v>401</v>
      </c>
      <c r="G179" t="s">
        <v>19</v>
      </c>
      <c r="H179" t="s">
        <v>20</v>
      </c>
      <c r="I179" t="s">
        <v>402</v>
      </c>
      <c r="J179" t="s">
        <v>26</v>
      </c>
      <c r="K179" t="str">
        <f t="shared" si="4"/>
        <v>B</v>
      </c>
      <c r="L179" t="s">
        <v>26</v>
      </c>
      <c r="M179">
        <f t="shared" si="5"/>
        <v>1</v>
      </c>
    </row>
    <row r="180" ht="18" customHeight="1" spans="1:13">
      <c r="A180" t="s">
        <v>369</v>
      </c>
      <c r="B180" s="12" t="s">
        <v>370</v>
      </c>
      <c r="C180" t="s">
        <v>50</v>
      </c>
      <c r="D180" t="s">
        <v>32</v>
      </c>
      <c r="E180" t="s">
        <v>17</v>
      </c>
      <c r="F180" s="12" t="s">
        <v>403</v>
      </c>
      <c r="G180" t="s">
        <v>19</v>
      </c>
      <c r="H180" t="s">
        <v>20</v>
      </c>
      <c r="I180" t="s">
        <v>404</v>
      </c>
      <c r="J180" t="s">
        <v>22</v>
      </c>
      <c r="K180" t="str">
        <f t="shared" si="4"/>
        <v>B</v>
      </c>
      <c r="L180" t="s">
        <v>26</v>
      </c>
      <c r="M180">
        <f t="shared" si="5"/>
        <v>1</v>
      </c>
    </row>
    <row r="181" ht="18" customHeight="1" spans="1:13">
      <c r="A181" t="s">
        <v>369</v>
      </c>
      <c r="B181" s="12" t="s">
        <v>370</v>
      </c>
      <c r="C181" t="s">
        <v>50</v>
      </c>
      <c r="D181" t="s">
        <v>32</v>
      </c>
      <c r="E181" t="s">
        <v>23</v>
      </c>
      <c r="F181" s="12" t="s">
        <v>405</v>
      </c>
      <c r="G181" t="s">
        <v>19</v>
      </c>
      <c r="H181" t="s">
        <v>20</v>
      </c>
      <c r="I181" t="s">
        <v>406</v>
      </c>
      <c r="J181" t="s">
        <v>26</v>
      </c>
      <c r="K181" t="str">
        <f t="shared" si="4"/>
        <v>B</v>
      </c>
      <c r="L181" t="s">
        <v>26</v>
      </c>
      <c r="M181">
        <f t="shared" si="5"/>
        <v>1</v>
      </c>
    </row>
    <row r="182" ht="18" customHeight="1" spans="1:13">
      <c r="A182" t="s">
        <v>407</v>
      </c>
      <c r="B182" s="12" t="s">
        <v>408</v>
      </c>
      <c r="C182" t="s">
        <v>15</v>
      </c>
      <c r="D182" t="s">
        <v>16</v>
      </c>
      <c r="E182" t="s">
        <v>17</v>
      </c>
      <c r="F182" s="12" t="s">
        <v>409</v>
      </c>
      <c r="G182" t="s">
        <v>19</v>
      </c>
      <c r="H182" t="s">
        <v>20</v>
      </c>
      <c r="I182" t="s">
        <v>410</v>
      </c>
      <c r="J182" t="s">
        <v>22</v>
      </c>
      <c r="K182" t="str">
        <f t="shared" si="4"/>
        <v>A</v>
      </c>
      <c r="L182" t="s">
        <v>22</v>
      </c>
      <c r="M182">
        <f t="shared" si="5"/>
        <v>1</v>
      </c>
    </row>
    <row r="183" ht="18" customHeight="1" spans="1:13">
      <c r="A183" t="s">
        <v>407</v>
      </c>
      <c r="B183" s="12" t="s">
        <v>408</v>
      </c>
      <c r="C183" t="s">
        <v>15</v>
      </c>
      <c r="D183" t="s">
        <v>16</v>
      </c>
      <c r="E183" t="s">
        <v>23</v>
      </c>
      <c r="F183" s="12" t="s">
        <v>411</v>
      </c>
      <c r="G183" t="s">
        <v>19</v>
      </c>
      <c r="H183" t="s">
        <v>20</v>
      </c>
      <c r="I183" t="s">
        <v>412</v>
      </c>
      <c r="J183" t="s">
        <v>22</v>
      </c>
      <c r="K183" t="str">
        <f t="shared" si="4"/>
        <v>B</v>
      </c>
      <c r="L183" t="s">
        <v>22</v>
      </c>
      <c r="M183">
        <f t="shared" si="5"/>
        <v>0</v>
      </c>
    </row>
    <row r="184" ht="18" customHeight="1" spans="1:13">
      <c r="A184" t="s">
        <v>407</v>
      </c>
      <c r="B184" s="12" t="s">
        <v>408</v>
      </c>
      <c r="C184" t="s">
        <v>15</v>
      </c>
      <c r="D184" t="s">
        <v>27</v>
      </c>
      <c r="E184" t="s">
        <v>17</v>
      </c>
      <c r="F184" s="12" t="s">
        <v>413</v>
      </c>
      <c r="G184" t="s">
        <v>19</v>
      </c>
      <c r="H184" t="s">
        <v>20</v>
      </c>
      <c r="I184" t="s">
        <v>414</v>
      </c>
      <c r="J184" t="s">
        <v>22</v>
      </c>
      <c r="K184" t="str">
        <f t="shared" si="4"/>
        <v>A</v>
      </c>
      <c r="L184" t="s">
        <v>22</v>
      </c>
      <c r="M184">
        <f t="shared" si="5"/>
        <v>1</v>
      </c>
    </row>
    <row r="185" ht="18" customHeight="1" spans="1:13">
      <c r="A185" t="s">
        <v>407</v>
      </c>
      <c r="B185" s="12" t="s">
        <v>408</v>
      </c>
      <c r="C185" t="s">
        <v>15</v>
      </c>
      <c r="D185" t="s">
        <v>27</v>
      </c>
      <c r="E185" t="s">
        <v>23</v>
      </c>
      <c r="F185" s="12" t="s">
        <v>415</v>
      </c>
      <c r="G185" t="s">
        <v>19</v>
      </c>
      <c r="H185" t="s">
        <v>20</v>
      </c>
      <c r="I185" t="s">
        <v>416</v>
      </c>
      <c r="J185" t="s">
        <v>108</v>
      </c>
      <c r="K185" t="str">
        <f t="shared" si="4"/>
        <v>D(平局)</v>
      </c>
      <c r="L185" t="s">
        <v>22</v>
      </c>
      <c r="M185">
        <f t="shared" si="5"/>
        <v>0</v>
      </c>
    </row>
    <row r="186" ht="18" customHeight="1" spans="1:13">
      <c r="A186" t="s">
        <v>407</v>
      </c>
      <c r="B186" s="12" t="s">
        <v>408</v>
      </c>
      <c r="C186" t="s">
        <v>15</v>
      </c>
      <c r="D186" t="s">
        <v>32</v>
      </c>
      <c r="E186" t="s">
        <v>17</v>
      </c>
      <c r="F186" s="12" t="s">
        <v>417</v>
      </c>
      <c r="G186" t="s">
        <v>19</v>
      </c>
      <c r="H186" t="s">
        <v>20</v>
      </c>
      <c r="I186" t="s">
        <v>418</v>
      </c>
      <c r="J186" t="s">
        <v>22</v>
      </c>
      <c r="K186" t="str">
        <f t="shared" si="4"/>
        <v>A</v>
      </c>
      <c r="L186" t="s">
        <v>22</v>
      </c>
      <c r="M186">
        <f t="shared" si="5"/>
        <v>1</v>
      </c>
    </row>
    <row r="187" ht="18" customHeight="1" spans="1:13">
      <c r="A187" t="s">
        <v>407</v>
      </c>
      <c r="B187" s="12" t="s">
        <v>408</v>
      </c>
      <c r="C187" t="s">
        <v>15</v>
      </c>
      <c r="D187" t="s">
        <v>32</v>
      </c>
      <c r="E187" t="s">
        <v>23</v>
      </c>
      <c r="F187" s="12" t="s">
        <v>419</v>
      </c>
      <c r="G187" t="s">
        <v>19</v>
      </c>
      <c r="H187" t="s">
        <v>20</v>
      </c>
      <c r="I187" t="s">
        <v>420</v>
      </c>
      <c r="J187" t="s">
        <v>22</v>
      </c>
      <c r="K187" t="str">
        <f t="shared" si="4"/>
        <v>B</v>
      </c>
      <c r="L187" t="s">
        <v>22</v>
      </c>
      <c r="M187">
        <f t="shared" si="5"/>
        <v>0</v>
      </c>
    </row>
    <row r="188" ht="18" customHeight="1" spans="1:13">
      <c r="A188" t="s">
        <v>407</v>
      </c>
      <c r="B188" s="12" t="s">
        <v>408</v>
      </c>
      <c r="C188" t="s">
        <v>37</v>
      </c>
      <c r="D188" t="s">
        <v>16</v>
      </c>
      <c r="E188" t="s">
        <v>17</v>
      </c>
      <c r="F188" s="12" t="s">
        <v>421</v>
      </c>
      <c r="G188" t="s">
        <v>19</v>
      </c>
      <c r="H188" t="s">
        <v>20</v>
      </c>
      <c r="I188" t="s">
        <v>422</v>
      </c>
      <c r="J188" t="s">
        <v>26</v>
      </c>
      <c r="K188" t="str">
        <f t="shared" si="4"/>
        <v>C</v>
      </c>
      <c r="L188" t="s">
        <v>108</v>
      </c>
      <c r="M188">
        <f t="shared" si="5"/>
        <v>1</v>
      </c>
    </row>
    <row r="189" ht="18" customHeight="1" spans="1:13">
      <c r="A189" t="s">
        <v>407</v>
      </c>
      <c r="B189" s="12" t="s">
        <v>408</v>
      </c>
      <c r="C189" t="s">
        <v>37</v>
      </c>
      <c r="D189" t="s">
        <v>16</v>
      </c>
      <c r="E189" t="s">
        <v>23</v>
      </c>
      <c r="F189" s="12" t="s">
        <v>423</v>
      </c>
      <c r="G189" t="s">
        <v>19</v>
      </c>
      <c r="H189" t="s">
        <v>20</v>
      </c>
      <c r="I189" t="s">
        <v>424</v>
      </c>
      <c r="J189" t="s">
        <v>22</v>
      </c>
      <c r="K189" t="str">
        <f t="shared" si="4"/>
        <v>C</v>
      </c>
      <c r="L189" t="s">
        <v>108</v>
      </c>
      <c r="M189">
        <f t="shared" si="5"/>
        <v>1</v>
      </c>
    </row>
    <row r="190" ht="18" customHeight="1" spans="1:13">
      <c r="A190" t="s">
        <v>407</v>
      </c>
      <c r="B190" s="12" t="s">
        <v>408</v>
      </c>
      <c r="C190" t="s">
        <v>37</v>
      </c>
      <c r="D190" t="s">
        <v>27</v>
      </c>
      <c r="E190" t="s">
        <v>17</v>
      </c>
      <c r="F190" s="12" t="s">
        <v>425</v>
      </c>
      <c r="G190" t="s">
        <v>19</v>
      </c>
      <c r="H190" t="s">
        <v>20</v>
      </c>
      <c r="I190" t="s">
        <v>426</v>
      </c>
      <c r="J190" t="s">
        <v>26</v>
      </c>
      <c r="K190" t="str">
        <f t="shared" si="4"/>
        <v>C</v>
      </c>
      <c r="L190" t="s">
        <v>108</v>
      </c>
      <c r="M190">
        <f t="shared" si="5"/>
        <v>1</v>
      </c>
    </row>
    <row r="191" ht="18" customHeight="1" spans="1:13">
      <c r="A191" t="s">
        <v>407</v>
      </c>
      <c r="B191" s="12" t="s">
        <v>408</v>
      </c>
      <c r="C191" t="s">
        <v>37</v>
      </c>
      <c r="D191" t="s">
        <v>27</v>
      </c>
      <c r="E191" t="s">
        <v>23</v>
      </c>
      <c r="F191" s="12" t="s">
        <v>427</v>
      </c>
      <c r="G191" t="s">
        <v>19</v>
      </c>
      <c r="H191" t="s">
        <v>20</v>
      </c>
      <c r="I191" t="s">
        <v>428</v>
      </c>
      <c r="J191" t="s">
        <v>22</v>
      </c>
      <c r="K191" t="str">
        <f t="shared" si="4"/>
        <v>C</v>
      </c>
      <c r="L191" t="s">
        <v>108</v>
      </c>
      <c r="M191">
        <f t="shared" si="5"/>
        <v>1</v>
      </c>
    </row>
    <row r="192" ht="18" customHeight="1" spans="1:13">
      <c r="A192" t="s">
        <v>407</v>
      </c>
      <c r="B192" s="12" t="s">
        <v>408</v>
      </c>
      <c r="C192" t="s">
        <v>37</v>
      </c>
      <c r="D192" t="s">
        <v>32</v>
      </c>
      <c r="E192" t="s">
        <v>17</v>
      </c>
      <c r="F192" s="12" t="s">
        <v>429</v>
      </c>
      <c r="G192" t="s">
        <v>19</v>
      </c>
      <c r="H192" t="s">
        <v>20</v>
      </c>
      <c r="I192" t="s">
        <v>430</v>
      </c>
      <c r="J192" t="s">
        <v>26</v>
      </c>
      <c r="K192" t="str">
        <f t="shared" si="4"/>
        <v>C</v>
      </c>
      <c r="L192" t="s">
        <v>108</v>
      </c>
      <c r="M192">
        <f t="shared" si="5"/>
        <v>1</v>
      </c>
    </row>
    <row r="193" ht="18" customHeight="1" spans="1:13">
      <c r="A193" t="s">
        <v>407</v>
      </c>
      <c r="B193" s="12" t="s">
        <v>408</v>
      </c>
      <c r="C193" t="s">
        <v>37</v>
      </c>
      <c r="D193" t="s">
        <v>32</v>
      </c>
      <c r="E193" t="s">
        <v>23</v>
      </c>
      <c r="F193" s="12" t="s">
        <v>431</v>
      </c>
      <c r="G193" t="s">
        <v>19</v>
      </c>
      <c r="H193" t="s">
        <v>20</v>
      </c>
      <c r="I193" t="s">
        <v>432</v>
      </c>
      <c r="J193" t="s">
        <v>22</v>
      </c>
      <c r="K193" t="str">
        <f t="shared" si="4"/>
        <v>C</v>
      </c>
      <c r="L193" t="s">
        <v>108</v>
      </c>
      <c r="M193">
        <f t="shared" si="5"/>
        <v>1</v>
      </c>
    </row>
    <row r="194" ht="18" customHeight="1" spans="1:13">
      <c r="A194" t="s">
        <v>407</v>
      </c>
      <c r="B194" s="12" t="s">
        <v>408</v>
      </c>
      <c r="C194" t="s">
        <v>50</v>
      </c>
      <c r="D194" t="s">
        <v>16</v>
      </c>
      <c r="E194" t="s">
        <v>17</v>
      </c>
      <c r="F194" s="12" t="s">
        <v>433</v>
      </c>
      <c r="G194" t="s">
        <v>19</v>
      </c>
      <c r="H194" t="s">
        <v>20</v>
      </c>
      <c r="I194" t="s">
        <v>434</v>
      </c>
      <c r="J194" t="s">
        <v>26</v>
      </c>
      <c r="K194" t="str">
        <f t="shared" ref="K194:K217" si="6">IF(OR(J194="",C194="",E194=""),"",IF(J194="C","D(平局)",IF(J194=IF(E194="l2r","A","B"),LEFT(C194,1),RIGHT(C194,1))))</f>
        <v>C</v>
      </c>
      <c r="L194" t="s">
        <v>108</v>
      </c>
      <c r="M194">
        <f t="shared" si="5"/>
        <v>1</v>
      </c>
    </row>
    <row r="195" ht="18" customHeight="1" spans="1:13">
      <c r="A195" t="s">
        <v>407</v>
      </c>
      <c r="B195" s="12" t="s">
        <v>408</v>
      </c>
      <c r="C195" t="s">
        <v>50</v>
      </c>
      <c r="D195" t="s">
        <v>16</v>
      </c>
      <c r="E195" t="s">
        <v>23</v>
      </c>
      <c r="F195" s="12" t="s">
        <v>435</v>
      </c>
      <c r="G195" t="s">
        <v>19</v>
      </c>
      <c r="H195" t="s">
        <v>20</v>
      </c>
      <c r="I195" t="s">
        <v>436</v>
      </c>
      <c r="J195" t="s">
        <v>22</v>
      </c>
      <c r="K195" t="str">
        <f t="shared" si="6"/>
        <v>C</v>
      </c>
      <c r="L195" t="s">
        <v>108</v>
      </c>
      <c r="M195">
        <f t="shared" ref="M195:M217" si="7">IF(OR(K195="",L195=""),"",--(K195=L195))</f>
        <v>1</v>
      </c>
    </row>
    <row r="196" ht="18" customHeight="1" spans="1:13">
      <c r="A196" t="s">
        <v>407</v>
      </c>
      <c r="B196" s="12" t="s">
        <v>408</v>
      </c>
      <c r="C196" t="s">
        <v>50</v>
      </c>
      <c r="D196" t="s">
        <v>27</v>
      </c>
      <c r="E196" t="s">
        <v>17</v>
      </c>
      <c r="F196" s="12" t="s">
        <v>437</v>
      </c>
      <c r="G196" t="s">
        <v>19</v>
      </c>
      <c r="H196" t="s">
        <v>20</v>
      </c>
      <c r="I196" t="s">
        <v>438</v>
      </c>
      <c r="J196" t="s">
        <v>26</v>
      </c>
      <c r="K196" t="str">
        <f t="shared" si="6"/>
        <v>C</v>
      </c>
      <c r="L196" t="s">
        <v>108</v>
      </c>
      <c r="M196">
        <f t="shared" si="7"/>
        <v>1</v>
      </c>
    </row>
    <row r="197" ht="18" customHeight="1" spans="1:13">
      <c r="A197" t="s">
        <v>407</v>
      </c>
      <c r="B197" s="12" t="s">
        <v>408</v>
      </c>
      <c r="C197" t="s">
        <v>50</v>
      </c>
      <c r="D197" t="s">
        <v>27</v>
      </c>
      <c r="E197" t="s">
        <v>23</v>
      </c>
      <c r="F197" s="12" t="s">
        <v>439</v>
      </c>
      <c r="G197" t="s">
        <v>19</v>
      </c>
      <c r="H197" t="s">
        <v>20</v>
      </c>
      <c r="I197" t="s">
        <v>440</v>
      </c>
      <c r="J197" t="s">
        <v>22</v>
      </c>
      <c r="K197" t="str">
        <f t="shared" si="6"/>
        <v>C</v>
      </c>
      <c r="L197" t="s">
        <v>108</v>
      </c>
      <c r="M197">
        <f t="shared" si="7"/>
        <v>1</v>
      </c>
    </row>
    <row r="198" ht="18" customHeight="1" spans="1:13">
      <c r="A198" t="s">
        <v>407</v>
      </c>
      <c r="B198" s="12" t="s">
        <v>408</v>
      </c>
      <c r="C198" t="s">
        <v>50</v>
      </c>
      <c r="D198" t="s">
        <v>32</v>
      </c>
      <c r="E198" t="s">
        <v>17</v>
      </c>
      <c r="F198" s="12" t="s">
        <v>441</v>
      </c>
      <c r="G198" t="s">
        <v>19</v>
      </c>
      <c r="H198" t="s">
        <v>20</v>
      </c>
      <c r="I198" t="s">
        <v>442</v>
      </c>
      <c r="J198" t="s">
        <v>22</v>
      </c>
      <c r="K198" t="str">
        <f t="shared" si="6"/>
        <v>B</v>
      </c>
      <c r="L198" t="s">
        <v>108</v>
      </c>
      <c r="M198">
        <f t="shared" si="7"/>
        <v>0</v>
      </c>
    </row>
    <row r="199" ht="18" customHeight="1" spans="1:13">
      <c r="A199" t="s">
        <v>407</v>
      </c>
      <c r="B199" s="12" t="s">
        <v>408</v>
      </c>
      <c r="C199" t="s">
        <v>50</v>
      </c>
      <c r="D199" t="s">
        <v>32</v>
      </c>
      <c r="E199" t="s">
        <v>23</v>
      </c>
      <c r="F199" s="12" t="s">
        <v>443</v>
      </c>
      <c r="G199" t="s">
        <v>19</v>
      </c>
      <c r="H199" t="s">
        <v>20</v>
      </c>
      <c r="I199" t="s">
        <v>444</v>
      </c>
      <c r="J199" t="s">
        <v>22</v>
      </c>
      <c r="K199" t="str">
        <f t="shared" si="6"/>
        <v>C</v>
      </c>
      <c r="L199" t="s">
        <v>108</v>
      </c>
      <c r="M199">
        <f t="shared" si="7"/>
        <v>1</v>
      </c>
    </row>
    <row r="200" ht="18" customHeight="1" spans="1:13">
      <c r="A200" t="s">
        <v>445</v>
      </c>
      <c r="B200" s="12" t="s">
        <v>446</v>
      </c>
      <c r="C200" t="s">
        <v>15</v>
      </c>
      <c r="D200" t="s">
        <v>16</v>
      </c>
      <c r="E200" t="s">
        <v>17</v>
      </c>
      <c r="F200" s="12" t="s">
        <v>447</v>
      </c>
      <c r="G200" t="s">
        <v>19</v>
      </c>
      <c r="H200" t="s">
        <v>20</v>
      </c>
      <c r="I200" t="s">
        <v>448</v>
      </c>
      <c r="J200" t="s">
        <v>22</v>
      </c>
      <c r="K200" t="str">
        <f t="shared" si="6"/>
        <v>A</v>
      </c>
      <c r="L200" t="s">
        <v>22</v>
      </c>
      <c r="M200">
        <f t="shared" si="7"/>
        <v>1</v>
      </c>
    </row>
    <row r="201" ht="18" customHeight="1" spans="1:13">
      <c r="A201" t="s">
        <v>445</v>
      </c>
      <c r="B201" s="12" t="s">
        <v>446</v>
      </c>
      <c r="C201" t="s">
        <v>15</v>
      </c>
      <c r="D201" t="s">
        <v>16</v>
      </c>
      <c r="E201" t="s">
        <v>23</v>
      </c>
      <c r="F201" s="12" t="s">
        <v>449</v>
      </c>
      <c r="G201" t="s">
        <v>19</v>
      </c>
      <c r="H201" t="s">
        <v>20</v>
      </c>
      <c r="I201" t="s">
        <v>450</v>
      </c>
      <c r="J201" t="s">
        <v>26</v>
      </c>
      <c r="K201" t="str">
        <f t="shared" si="6"/>
        <v>A</v>
      </c>
      <c r="L201" t="s">
        <v>22</v>
      </c>
      <c r="M201">
        <f t="shared" si="7"/>
        <v>1</v>
      </c>
    </row>
    <row r="202" ht="18" customHeight="1" spans="1:13">
      <c r="A202" t="s">
        <v>445</v>
      </c>
      <c r="B202" s="12" t="s">
        <v>446</v>
      </c>
      <c r="C202" t="s">
        <v>15</v>
      </c>
      <c r="D202" t="s">
        <v>27</v>
      </c>
      <c r="E202" t="s">
        <v>17</v>
      </c>
      <c r="F202" s="12" t="s">
        <v>451</v>
      </c>
      <c r="G202" t="s">
        <v>19</v>
      </c>
      <c r="H202" t="s">
        <v>20</v>
      </c>
      <c r="I202" t="s">
        <v>452</v>
      </c>
      <c r="J202" t="s">
        <v>22</v>
      </c>
      <c r="K202" t="str">
        <f t="shared" si="6"/>
        <v>A</v>
      </c>
      <c r="L202" t="s">
        <v>22</v>
      </c>
      <c r="M202">
        <f t="shared" si="7"/>
        <v>1</v>
      </c>
    </row>
    <row r="203" ht="18" customHeight="1" spans="1:13">
      <c r="A203" t="s">
        <v>445</v>
      </c>
      <c r="B203" s="12" t="s">
        <v>446</v>
      </c>
      <c r="C203" t="s">
        <v>15</v>
      </c>
      <c r="D203" t="s">
        <v>27</v>
      </c>
      <c r="E203" t="s">
        <v>23</v>
      </c>
      <c r="F203" s="12" t="s">
        <v>453</v>
      </c>
      <c r="G203" t="s">
        <v>19</v>
      </c>
      <c r="H203" t="s">
        <v>20</v>
      </c>
      <c r="I203" t="s">
        <v>454</v>
      </c>
      <c r="J203" t="s">
        <v>26</v>
      </c>
      <c r="K203" t="str">
        <f t="shared" si="6"/>
        <v>A</v>
      </c>
      <c r="L203" t="s">
        <v>22</v>
      </c>
      <c r="M203">
        <f t="shared" si="7"/>
        <v>1</v>
      </c>
    </row>
    <row r="204" ht="18" customHeight="1" spans="1:13">
      <c r="A204" t="s">
        <v>445</v>
      </c>
      <c r="B204" s="12" t="s">
        <v>446</v>
      </c>
      <c r="C204" t="s">
        <v>15</v>
      </c>
      <c r="D204" t="s">
        <v>32</v>
      </c>
      <c r="E204" t="s">
        <v>17</v>
      </c>
      <c r="F204" s="12" t="s">
        <v>455</v>
      </c>
      <c r="G204" t="s">
        <v>19</v>
      </c>
      <c r="H204" t="s">
        <v>20</v>
      </c>
      <c r="I204" t="s">
        <v>456</v>
      </c>
      <c r="J204" t="s">
        <v>22</v>
      </c>
      <c r="K204" t="str">
        <f t="shared" si="6"/>
        <v>A</v>
      </c>
      <c r="L204" t="s">
        <v>22</v>
      </c>
      <c r="M204">
        <f t="shared" si="7"/>
        <v>1</v>
      </c>
    </row>
    <row r="205" ht="18" customHeight="1" spans="1:13">
      <c r="A205" t="s">
        <v>445</v>
      </c>
      <c r="B205" s="12" t="s">
        <v>446</v>
      </c>
      <c r="C205" t="s">
        <v>15</v>
      </c>
      <c r="D205" t="s">
        <v>32</v>
      </c>
      <c r="E205" t="s">
        <v>23</v>
      </c>
      <c r="F205" s="12" t="s">
        <v>457</v>
      </c>
      <c r="G205" t="s">
        <v>19</v>
      </c>
      <c r="H205" t="s">
        <v>20</v>
      </c>
      <c r="I205" t="s">
        <v>458</v>
      </c>
      <c r="J205" t="s">
        <v>26</v>
      </c>
      <c r="K205" t="str">
        <f t="shared" si="6"/>
        <v>A</v>
      </c>
      <c r="L205" t="s">
        <v>22</v>
      </c>
      <c r="M205">
        <f t="shared" si="7"/>
        <v>1</v>
      </c>
    </row>
    <row r="206" ht="18" customHeight="1" spans="1:13">
      <c r="A206" t="s">
        <v>445</v>
      </c>
      <c r="B206" s="12" t="s">
        <v>446</v>
      </c>
      <c r="C206" t="s">
        <v>37</v>
      </c>
      <c r="D206" t="s">
        <v>16</v>
      </c>
      <c r="E206" t="s">
        <v>17</v>
      </c>
      <c r="F206" s="12" t="s">
        <v>459</v>
      </c>
      <c r="G206" t="s">
        <v>19</v>
      </c>
      <c r="H206" t="s">
        <v>20</v>
      </c>
      <c r="I206" t="s">
        <v>460</v>
      </c>
      <c r="J206" t="s">
        <v>22</v>
      </c>
      <c r="K206" t="str">
        <f t="shared" si="6"/>
        <v>A</v>
      </c>
      <c r="L206" t="s">
        <v>105</v>
      </c>
      <c r="M206">
        <f t="shared" si="7"/>
        <v>0</v>
      </c>
    </row>
    <row r="207" ht="18" customHeight="1" spans="1:13">
      <c r="A207" t="s">
        <v>445</v>
      </c>
      <c r="B207" s="12" t="s">
        <v>446</v>
      </c>
      <c r="C207" t="s">
        <v>37</v>
      </c>
      <c r="D207" t="s">
        <v>16</v>
      </c>
      <c r="E207" t="s">
        <v>23</v>
      </c>
      <c r="F207" s="12" t="s">
        <v>461</v>
      </c>
      <c r="G207" t="s">
        <v>19</v>
      </c>
      <c r="H207" t="s">
        <v>20</v>
      </c>
      <c r="I207" t="s">
        <v>462</v>
      </c>
      <c r="J207" t="s">
        <v>26</v>
      </c>
      <c r="K207" t="str">
        <f t="shared" si="6"/>
        <v>A</v>
      </c>
      <c r="L207" t="s">
        <v>105</v>
      </c>
      <c r="M207">
        <f t="shared" si="7"/>
        <v>0</v>
      </c>
    </row>
    <row r="208" ht="18" customHeight="1" spans="1:13">
      <c r="A208" t="s">
        <v>445</v>
      </c>
      <c r="B208" s="12" t="s">
        <v>446</v>
      </c>
      <c r="C208" t="s">
        <v>37</v>
      </c>
      <c r="D208" t="s">
        <v>27</v>
      </c>
      <c r="E208" t="s">
        <v>17</v>
      </c>
      <c r="F208" s="12" t="s">
        <v>463</v>
      </c>
      <c r="G208" t="s">
        <v>19</v>
      </c>
      <c r="H208" t="s">
        <v>20</v>
      </c>
      <c r="I208" t="s">
        <v>464</v>
      </c>
      <c r="J208" t="s">
        <v>22</v>
      </c>
      <c r="K208" t="str">
        <f t="shared" si="6"/>
        <v>A</v>
      </c>
      <c r="L208" t="s">
        <v>105</v>
      </c>
      <c r="M208">
        <f t="shared" si="7"/>
        <v>0</v>
      </c>
    </row>
    <row r="209" ht="18" customHeight="1" spans="1:13">
      <c r="A209" t="s">
        <v>445</v>
      </c>
      <c r="B209" s="12" t="s">
        <v>446</v>
      </c>
      <c r="C209" t="s">
        <v>37</v>
      </c>
      <c r="D209" t="s">
        <v>27</v>
      </c>
      <c r="E209" t="s">
        <v>23</v>
      </c>
      <c r="F209" s="12" t="s">
        <v>465</v>
      </c>
      <c r="G209" t="s">
        <v>19</v>
      </c>
      <c r="H209" t="s">
        <v>20</v>
      </c>
      <c r="I209" t="s">
        <v>466</v>
      </c>
      <c r="J209" t="s">
        <v>26</v>
      </c>
      <c r="K209" t="str">
        <f t="shared" si="6"/>
        <v>A</v>
      </c>
      <c r="L209" t="s">
        <v>105</v>
      </c>
      <c r="M209">
        <f t="shared" si="7"/>
        <v>0</v>
      </c>
    </row>
    <row r="210" ht="18" customHeight="1" spans="1:13">
      <c r="A210" t="s">
        <v>445</v>
      </c>
      <c r="B210" s="12" t="s">
        <v>446</v>
      </c>
      <c r="C210" t="s">
        <v>37</v>
      </c>
      <c r="D210" t="s">
        <v>32</v>
      </c>
      <c r="E210" t="s">
        <v>17</v>
      </c>
      <c r="F210" s="12" t="s">
        <v>467</v>
      </c>
      <c r="G210" t="s">
        <v>19</v>
      </c>
      <c r="H210" t="s">
        <v>20</v>
      </c>
      <c r="I210" t="s">
        <v>468</v>
      </c>
      <c r="J210" t="s">
        <v>22</v>
      </c>
      <c r="K210" t="str">
        <f t="shared" si="6"/>
        <v>A</v>
      </c>
      <c r="L210" t="s">
        <v>105</v>
      </c>
      <c r="M210">
        <f t="shared" si="7"/>
        <v>0</v>
      </c>
    </row>
    <row r="211" ht="18" customHeight="1" spans="1:13">
      <c r="A211" t="s">
        <v>445</v>
      </c>
      <c r="B211" s="12" t="s">
        <v>446</v>
      </c>
      <c r="C211" t="s">
        <v>37</v>
      </c>
      <c r="D211" t="s">
        <v>32</v>
      </c>
      <c r="E211" t="s">
        <v>23</v>
      </c>
      <c r="F211" s="12" t="s">
        <v>469</v>
      </c>
      <c r="G211" t="s">
        <v>19</v>
      </c>
      <c r="H211" t="s">
        <v>20</v>
      </c>
      <c r="I211" t="s">
        <v>470</v>
      </c>
      <c r="J211" t="s">
        <v>26</v>
      </c>
      <c r="K211" t="str">
        <f t="shared" si="6"/>
        <v>A</v>
      </c>
      <c r="L211" t="s">
        <v>105</v>
      </c>
      <c r="M211">
        <f t="shared" si="7"/>
        <v>0</v>
      </c>
    </row>
    <row r="212" ht="18" customHeight="1" spans="1:13">
      <c r="A212" t="s">
        <v>445</v>
      </c>
      <c r="B212" s="12" t="s">
        <v>446</v>
      </c>
      <c r="C212" t="s">
        <v>50</v>
      </c>
      <c r="D212" t="s">
        <v>16</v>
      </c>
      <c r="E212" t="s">
        <v>17</v>
      </c>
      <c r="F212" s="12" t="s">
        <v>471</v>
      </c>
      <c r="G212" t="s">
        <v>19</v>
      </c>
      <c r="H212" t="s">
        <v>20</v>
      </c>
      <c r="I212" t="s">
        <v>472</v>
      </c>
      <c r="J212" t="s">
        <v>22</v>
      </c>
      <c r="K212" t="str">
        <f t="shared" si="6"/>
        <v>B</v>
      </c>
      <c r="L212" t="s">
        <v>108</v>
      </c>
      <c r="M212">
        <f t="shared" si="7"/>
        <v>0</v>
      </c>
    </row>
    <row r="213" ht="18" customHeight="1" spans="1:13">
      <c r="A213" t="s">
        <v>445</v>
      </c>
      <c r="B213" s="12" t="s">
        <v>446</v>
      </c>
      <c r="C213" t="s">
        <v>50</v>
      </c>
      <c r="D213" t="s">
        <v>16</v>
      </c>
      <c r="E213" t="s">
        <v>23</v>
      </c>
      <c r="F213" s="12" t="s">
        <v>473</v>
      </c>
      <c r="G213" t="s">
        <v>19</v>
      </c>
      <c r="H213" t="s">
        <v>20</v>
      </c>
      <c r="I213" t="s">
        <v>474</v>
      </c>
      <c r="J213" t="s">
        <v>26</v>
      </c>
      <c r="K213" t="str">
        <f t="shared" si="6"/>
        <v>B</v>
      </c>
      <c r="L213" t="s">
        <v>108</v>
      </c>
      <c r="M213">
        <f t="shared" si="7"/>
        <v>0</v>
      </c>
    </row>
    <row r="214" ht="18" customHeight="1" spans="1:13">
      <c r="A214" t="s">
        <v>445</v>
      </c>
      <c r="B214" s="12" t="s">
        <v>446</v>
      </c>
      <c r="C214" t="s">
        <v>50</v>
      </c>
      <c r="D214" t="s">
        <v>27</v>
      </c>
      <c r="E214" t="s">
        <v>17</v>
      </c>
      <c r="F214" s="12" t="s">
        <v>475</v>
      </c>
      <c r="G214" t="s">
        <v>19</v>
      </c>
      <c r="H214" t="s">
        <v>20</v>
      </c>
      <c r="I214" t="s">
        <v>476</v>
      </c>
      <c r="J214" t="s">
        <v>26</v>
      </c>
      <c r="K214" t="str">
        <f t="shared" si="6"/>
        <v>C</v>
      </c>
      <c r="L214" t="s">
        <v>108</v>
      </c>
      <c r="M214">
        <f t="shared" si="7"/>
        <v>1</v>
      </c>
    </row>
    <row r="215" ht="18" customHeight="1" spans="1:13">
      <c r="A215" t="s">
        <v>445</v>
      </c>
      <c r="B215" s="12" t="s">
        <v>446</v>
      </c>
      <c r="C215" t="s">
        <v>50</v>
      </c>
      <c r="D215" t="s">
        <v>27</v>
      </c>
      <c r="E215" t="s">
        <v>23</v>
      </c>
      <c r="F215" s="12" t="s">
        <v>477</v>
      </c>
      <c r="G215" t="s">
        <v>19</v>
      </c>
      <c r="H215" t="s">
        <v>20</v>
      </c>
      <c r="I215" t="s">
        <v>478</v>
      </c>
      <c r="J215" t="s">
        <v>22</v>
      </c>
      <c r="K215" t="str">
        <f t="shared" si="6"/>
        <v>C</v>
      </c>
      <c r="L215" t="s">
        <v>108</v>
      </c>
      <c r="M215">
        <f t="shared" si="7"/>
        <v>1</v>
      </c>
    </row>
    <row r="216" ht="18" customHeight="1" spans="1:13">
      <c r="A216" t="s">
        <v>445</v>
      </c>
      <c r="B216" s="12" t="s">
        <v>446</v>
      </c>
      <c r="C216" t="s">
        <v>50</v>
      </c>
      <c r="D216" t="s">
        <v>32</v>
      </c>
      <c r="E216" t="s">
        <v>17</v>
      </c>
      <c r="F216" s="12" t="s">
        <v>479</v>
      </c>
      <c r="G216" t="s">
        <v>19</v>
      </c>
      <c r="H216" t="s">
        <v>20</v>
      </c>
      <c r="I216" t="s">
        <v>480</v>
      </c>
      <c r="J216" t="s">
        <v>22</v>
      </c>
      <c r="K216" t="str">
        <f t="shared" si="6"/>
        <v>B</v>
      </c>
      <c r="L216" t="s">
        <v>108</v>
      </c>
      <c r="M216">
        <f t="shared" si="7"/>
        <v>0</v>
      </c>
    </row>
    <row r="217" ht="18" customHeight="1" spans="1:13">
      <c r="A217" t="s">
        <v>445</v>
      </c>
      <c r="B217" s="12" t="s">
        <v>446</v>
      </c>
      <c r="C217" t="s">
        <v>50</v>
      </c>
      <c r="D217" t="s">
        <v>32</v>
      </c>
      <c r="E217" t="s">
        <v>23</v>
      </c>
      <c r="F217" s="12" t="s">
        <v>481</v>
      </c>
      <c r="G217" t="s">
        <v>19</v>
      </c>
      <c r="H217" t="s">
        <v>20</v>
      </c>
      <c r="I217" t="s">
        <v>482</v>
      </c>
      <c r="J217" t="s">
        <v>22</v>
      </c>
      <c r="K217" t="str">
        <f t="shared" si="6"/>
        <v>C</v>
      </c>
      <c r="L217" t="s">
        <v>108</v>
      </c>
      <c r="M217">
        <f t="shared" si="7"/>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topLeftCell="A2"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32</v>
      </c>
      <c r="H1" s="8" t="s">
        <v>27</v>
      </c>
      <c r="I1" s="8" t="s">
        <v>487</v>
      </c>
      <c r="J1" s="8" t="s">
        <v>488</v>
      </c>
      <c r="K1" s="8" t="s">
        <v>489</v>
      </c>
      <c r="L1" s="8" t="s">
        <v>490</v>
      </c>
    </row>
    <row r="2" spans="1:12">
      <c r="A2" s="9" t="s">
        <v>491</v>
      </c>
      <c r="B2" s="9" t="s">
        <v>19</v>
      </c>
      <c r="C2" s="9" t="s">
        <v>17</v>
      </c>
      <c r="D2" s="9" t="s">
        <v>13</v>
      </c>
      <c r="E2" s="9" t="s">
        <v>15</v>
      </c>
      <c r="F2" s="9" t="s">
        <v>22</v>
      </c>
      <c r="G2" s="9" t="s">
        <v>22</v>
      </c>
      <c r="H2" s="9" t="s">
        <v>22</v>
      </c>
      <c r="I2" s="9" t="str">
        <f>IF(MAX(COUNTIF(F2:H2,"A"),COUNTIF(F2:H2,"B"),COUNTIF(F2:H2,"C"),COUNTIF(F2:H2,"D(平局)"))&lt;2,"D(平局)",IF(COUNTIF(F2:H2,"A")&gt;=2,"A",IF(COUNTIF(F2:H2,"B")&gt;=2,"B",IF(COUNTIF(F2:H2,"C")&gt;=2,"C","D(平局)"))))</f>
        <v>A</v>
      </c>
      <c r="J2" s="9" t="s">
        <v>22</v>
      </c>
      <c r="K2" s="9">
        <f t="shared" ref="K2:K65" si="0">--(I2&lt;&gt;"无多数")</f>
        <v>1</v>
      </c>
      <c r="L2" s="9">
        <f>IF(K2=0,"",--(I2=J2))</f>
        <v>1</v>
      </c>
    </row>
    <row r="3" spans="1:12">
      <c r="A3" s="9" t="s">
        <v>491</v>
      </c>
      <c r="B3" s="9" t="s">
        <v>19</v>
      </c>
      <c r="C3" s="9" t="s">
        <v>17</v>
      </c>
      <c r="D3" s="9" t="s">
        <v>13</v>
      </c>
      <c r="E3" s="9" t="s">
        <v>37</v>
      </c>
      <c r="F3" s="9" t="s">
        <v>22</v>
      </c>
      <c r="G3" s="9" t="s">
        <v>22</v>
      </c>
      <c r="H3" s="9" t="s">
        <v>22</v>
      </c>
      <c r="I3" s="9" t="str">
        <f t="shared" ref="I3:I34" si="1">IF(MAX(COUNTIF(F3:H3,"A"),COUNTIF(F3:H3,"B"),COUNTIF(F3:H3,"C"),COUNTIF(F3:H3,"D(平局)"))&lt;2,"D(平局)",IF(COUNTIF(F3:H3,"A")&gt;=2,"A",IF(COUNTIF(F3:H3,"B")&gt;=2,"B",IF(COUNTIF(F3:H3,"C")&gt;=2,"C","D(平局)"))))</f>
        <v>A</v>
      </c>
      <c r="J3" s="9" t="s">
        <v>22</v>
      </c>
      <c r="K3" s="9">
        <f t="shared" si="0"/>
        <v>1</v>
      </c>
      <c r="L3" s="9">
        <f t="shared" ref="L3:L34" si="2">IF(K3=0,"",--(I3=J3))</f>
        <v>1</v>
      </c>
    </row>
    <row r="4" spans="1:12">
      <c r="A4" s="9" t="s">
        <v>491</v>
      </c>
      <c r="B4" s="9" t="s">
        <v>19</v>
      </c>
      <c r="C4" s="9" t="s">
        <v>17</v>
      </c>
      <c r="D4" s="9" t="s">
        <v>13</v>
      </c>
      <c r="E4" s="9" t="s">
        <v>50</v>
      </c>
      <c r="F4" s="9" t="s">
        <v>26</v>
      </c>
      <c r="G4" s="9" t="s">
        <v>26</v>
      </c>
      <c r="H4" s="9" t="s">
        <v>26</v>
      </c>
      <c r="I4" s="9" t="str">
        <f t="shared" si="1"/>
        <v>B</v>
      </c>
      <c r="J4" s="9" t="s">
        <v>26</v>
      </c>
      <c r="K4" s="9">
        <f t="shared" si="0"/>
        <v>1</v>
      </c>
      <c r="L4" s="9">
        <f t="shared" si="2"/>
        <v>1</v>
      </c>
    </row>
    <row r="5" spans="1:12">
      <c r="A5" s="9" t="s">
        <v>491</v>
      </c>
      <c r="B5" s="9" t="s">
        <v>19</v>
      </c>
      <c r="C5" s="9" t="s">
        <v>17</v>
      </c>
      <c r="D5" s="9" t="s">
        <v>63</v>
      </c>
      <c r="E5" s="9" t="s">
        <v>15</v>
      </c>
      <c r="F5" s="9" t="s">
        <v>22</v>
      </c>
      <c r="G5" s="9" t="s">
        <v>22</v>
      </c>
      <c r="H5" s="9" t="s">
        <v>22</v>
      </c>
      <c r="I5" s="9" t="str">
        <f t="shared" si="1"/>
        <v>A</v>
      </c>
      <c r="J5" s="9" t="s">
        <v>22</v>
      </c>
      <c r="K5" s="9">
        <f t="shared" si="0"/>
        <v>1</v>
      </c>
      <c r="L5" s="9">
        <f t="shared" si="2"/>
        <v>1</v>
      </c>
    </row>
    <row r="6" spans="1:12">
      <c r="A6" s="9" t="s">
        <v>491</v>
      </c>
      <c r="B6" s="9" t="s">
        <v>19</v>
      </c>
      <c r="C6" s="9" t="s">
        <v>17</v>
      </c>
      <c r="D6" s="9" t="s">
        <v>63</v>
      </c>
      <c r="E6" s="9" t="s">
        <v>37</v>
      </c>
      <c r="F6" s="9" t="s">
        <v>22</v>
      </c>
      <c r="G6" s="9" t="s">
        <v>22</v>
      </c>
      <c r="H6" s="9" t="s">
        <v>22</v>
      </c>
      <c r="I6" s="9" t="str">
        <f t="shared" si="1"/>
        <v>A</v>
      </c>
      <c r="J6" s="9" t="s">
        <v>22</v>
      </c>
      <c r="K6" s="9">
        <f t="shared" si="0"/>
        <v>1</v>
      </c>
      <c r="L6" s="9">
        <f t="shared" si="2"/>
        <v>1</v>
      </c>
    </row>
    <row r="7" spans="1:12">
      <c r="A7" s="9" t="s">
        <v>491</v>
      </c>
      <c r="B7" s="9" t="s">
        <v>19</v>
      </c>
      <c r="C7" s="9" t="s">
        <v>17</v>
      </c>
      <c r="D7" s="9" t="s">
        <v>63</v>
      </c>
      <c r="E7" s="9" t="s">
        <v>50</v>
      </c>
      <c r="F7" s="9" t="s">
        <v>26</v>
      </c>
      <c r="G7" s="9" t="s">
        <v>26</v>
      </c>
      <c r="H7" s="9" t="s">
        <v>26</v>
      </c>
      <c r="I7" s="9" t="str">
        <f t="shared" si="1"/>
        <v>B</v>
      </c>
      <c r="J7" s="9" t="s">
        <v>26</v>
      </c>
      <c r="K7" s="9">
        <f t="shared" si="0"/>
        <v>1</v>
      </c>
      <c r="L7" s="9">
        <f t="shared" si="2"/>
        <v>1</v>
      </c>
    </row>
    <row r="8" spans="1:12">
      <c r="A8" s="9" t="s">
        <v>491</v>
      </c>
      <c r="B8" s="9" t="s">
        <v>19</v>
      </c>
      <c r="C8" s="9" t="s">
        <v>17</v>
      </c>
      <c r="D8" s="9" t="s">
        <v>101</v>
      </c>
      <c r="E8" s="9" t="s">
        <v>15</v>
      </c>
      <c r="F8" s="9" t="s">
        <v>22</v>
      </c>
      <c r="G8" s="9" t="s">
        <v>22</v>
      </c>
      <c r="H8" s="9" t="s">
        <v>22</v>
      </c>
      <c r="I8" s="9" t="str">
        <f t="shared" si="1"/>
        <v>A</v>
      </c>
      <c r="J8" s="9" t="s">
        <v>105</v>
      </c>
      <c r="K8" s="9">
        <f t="shared" si="0"/>
        <v>1</v>
      </c>
      <c r="L8" s="9">
        <f t="shared" si="2"/>
        <v>0</v>
      </c>
    </row>
    <row r="9" spans="1:12">
      <c r="A9" s="9" t="s">
        <v>491</v>
      </c>
      <c r="B9" s="9" t="s">
        <v>19</v>
      </c>
      <c r="C9" s="9" t="s">
        <v>17</v>
      </c>
      <c r="D9" s="9" t="s">
        <v>101</v>
      </c>
      <c r="E9" s="9" t="s">
        <v>37</v>
      </c>
      <c r="F9" s="9" t="s">
        <v>22</v>
      </c>
      <c r="G9" s="9" t="s">
        <v>22</v>
      </c>
      <c r="H9" s="9" t="s">
        <v>22</v>
      </c>
      <c r="I9" s="9" t="str">
        <f t="shared" si="1"/>
        <v>A</v>
      </c>
      <c r="J9" s="9" t="s">
        <v>22</v>
      </c>
      <c r="K9" s="9">
        <f t="shared" si="0"/>
        <v>1</v>
      </c>
      <c r="L9" s="9">
        <f t="shared" si="2"/>
        <v>1</v>
      </c>
    </row>
    <row r="10" spans="1:12">
      <c r="A10" s="9" t="s">
        <v>491</v>
      </c>
      <c r="B10" s="9" t="s">
        <v>19</v>
      </c>
      <c r="C10" s="9" t="s">
        <v>17</v>
      </c>
      <c r="D10" s="9" t="s">
        <v>101</v>
      </c>
      <c r="E10" s="9" t="s">
        <v>50</v>
      </c>
      <c r="F10" s="9" t="s">
        <v>26</v>
      </c>
      <c r="G10" s="9" t="s">
        <v>26</v>
      </c>
      <c r="H10" s="9" t="s">
        <v>26</v>
      </c>
      <c r="I10" s="9" t="str">
        <f t="shared" si="1"/>
        <v>B</v>
      </c>
      <c r="J10" s="9" t="s">
        <v>26</v>
      </c>
      <c r="K10" s="9">
        <f t="shared" si="0"/>
        <v>1</v>
      </c>
      <c r="L10" s="9">
        <f t="shared" si="2"/>
        <v>1</v>
      </c>
    </row>
    <row r="11" spans="1:12">
      <c r="A11" s="9" t="s">
        <v>491</v>
      </c>
      <c r="B11" s="9" t="s">
        <v>19</v>
      </c>
      <c r="C11" s="9" t="s">
        <v>17</v>
      </c>
      <c r="D11" s="9" t="s">
        <v>141</v>
      </c>
      <c r="E11" s="9" t="s">
        <v>15</v>
      </c>
      <c r="F11" s="9" t="s">
        <v>26</v>
      </c>
      <c r="G11" s="9" t="s">
        <v>26</v>
      </c>
      <c r="H11" s="9" t="s">
        <v>105</v>
      </c>
      <c r="I11" s="9" t="str">
        <f t="shared" si="1"/>
        <v>B</v>
      </c>
      <c r="J11" s="9" t="s">
        <v>105</v>
      </c>
      <c r="K11" s="9">
        <f t="shared" si="0"/>
        <v>1</v>
      </c>
      <c r="L11" s="9">
        <f t="shared" si="2"/>
        <v>0</v>
      </c>
    </row>
    <row r="12" spans="1:12">
      <c r="A12" s="9" t="s">
        <v>491</v>
      </c>
      <c r="B12" s="9" t="s">
        <v>19</v>
      </c>
      <c r="C12" s="9" t="s">
        <v>17</v>
      </c>
      <c r="D12" s="9" t="s">
        <v>141</v>
      </c>
      <c r="E12" s="9" t="s">
        <v>37</v>
      </c>
      <c r="F12" s="9" t="s">
        <v>22</v>
      </c>
      <c r="G12" s="9" t="s">
        <v>108</v>
      </c>
      <c r="H12" s="9" t="s">
        <v>108</v>
      </c>
      <c r="I12" s="9" t="str">
        <f t="shared" si="1"/>
        <v>C</v>
      </c>
      <c r="J12" s="9" t="s">
        <v>22</v>
      </c>
      <c r="K12" s="9">
        <f t="shared" si="0"/>
        <v>1</v>
      </c>
      <c r="L12" s="9">
        <f t="shared" si="2"/>
        <v>0</v>
      </c>
    </row>
    <row r="13" spans="1:12">
      <c r="A13" s="9" t="s">
        <v>491</v>
      </c>
      <c r="B13" s="9" t="s">
        <v>19</v>
      </c>
      <c r="C13" s="9" t="s">
        <v>17</v>
      </c>
      <c r="D13" s="9" t="s">
        <v>141</v>
      </c>
      <c r="E13" s="9" t="s">
        <v>50</v>
      </c>
      <c r="F13" s="9" t="s">
        <v>105</v>
      </c>
      <c r="G13" s="9" t="s">
        <v>105</v>
      </c>
      <c r="H13" s="9" t="s">
        <v>26</v>
      </c>
      <c r="I13" s="9" t="str">
        <f t="shared" si="1"/>
        <v>D(平局)</v>
      </c>
      <c r="J13" s="9" t="s">
        <v>26</v>
      </c>
      <c r="K13" s="9">
        <f t="shared" si="0"/>
        <v>1</v>
      </c>
      <c r="L13" s="9">
        <f t="shared" si="2"/>
        <v>0</v>
      </c>
    </row>
    <row r="14" spans="1:12">
      <c r="A14" s="9" t="s">
        <v>491</v>
      </c>
      <c r="B14" s="9" t="s">
        <v>19</v>
      </c>
      <c r="C14" s="9" t="s">
        <v>17</v>
      </c>
      <c r="D14" s="9" t="s">
        <v>179</v>
      </c>
      <c r="E14" s="9" t="s">
        <v>15</v>
      </c>
      <c r="F14" s="9" t="s">
        <v>26</v>
      </c>
      <c r="G14" s="9" t="s">
        <v>26</v>
      </c>
      <c r="H14" s="9" t="s">
        <v>26</v>
      </c>
      <c r="I14" s="9" t="str">
        <f t="shared" si="1"/>
        <v>B</v>
      </c>
      <c r="J14" s="9" t="s">
        <v>26</v>
      </c>
      <c r="K14" s="9">
        <f t="shared" si="0"/>
        <v>1</v>
      </c>
      <c r="L14" s="9">
        <f t="shared" si="2"/>
        <v>1</v>
      </c>
    </row>
    <row r="15" spans="1:12">
      <c r="A15" s="9" t="s">
        <v>491</v>
      </c>
      <c r="B15" s="9" t="s">
        <v>19</v>
      </c>
      <c r="C15" s="9" t="s">
        <v>17</v>
      </c>
      <c r="D15" s="9" t="s">
        <v>179</v>
      </c>
      <c r="E15" s="9" t="s">
        <v>37</v>
      </c>
      <c r="F15" s="9" t="s">
        <v>108</v>
      </c>
      <c r="G15" s="9" t="s">
        <v>108</v>
      </c>
      <c r="H15" s="9" t="s">
        <v>22</v>
      </c>
      <c r="I15" s="9" t="str">
        <f t="shared" si="1"/>
        <v>C</v>
      </c>
      <c r="J15" s="9" t="s">
        <v>22</v>
      </c>
      <c r="K15" s="9">
        <f t="shared" si="0"/>
        <v>1</v>
      </c>
      <c r="L15" s="9">
        <f t="shared" si="2"/>
        <v>0</v>
      </c>
    </row>
    <row r="16" spans="1:12">
      <c r="A16" s="9" t="s">
        <v>491</v>
      </c>
      <c r="B16" s="9" t="s">
        <v>19</v>
      </c>
      <c r="C16" s="9" t="s">
        <v>17</v>
      </c>
      <c r="D16" s="9" t="s">
        <v>179</v>
      </c>
      <c r="E16" s="9" t="s">
        <v>50</v>
      </c>
      <c r="F16" s="9" t="s">
        <v>26</v>
      </c>
      <c r="G16" s="9" t="s">
        <v>26</v>
      </c>
      <c r="H16" s="9" t="s">
        <v>26</v>
      </c>
      <c r="I16" s="9" t="str">
        <f t="shared" si="1"/>
        <v>B</v>
      </c>
      <c r="J16" s="9" t="s">
        <v>26</v>
      </c>
      <c r="K16" s="9">
        <f t="shared" si="0"/>
        <v>1</v>
      </c>
      <c r="L16" s="9">
        <f t="shared" si="2"/>
        <v>1</v>
      </c>
    </row>
    <row r="17" spans="1:12">
      <c r="A17" s="9" t="s">
        <v>491</v>
      </c>
      <c r="B17" s="9" t="s">
        <v>19</v>
      </c>
      <c r="C17" s="9" t="s">
        <v>17</v>
      </c>
      <c r="D17" s="9" t="s">
        <v>217</v>
      </c>
      <c r="E17" s="9" t="s">
        <v>15</v>
      </c>
      <c r="F17" s="9" t="s">
        <v>22</v>
      </c>
      <c r="G17" s="9" t="s">
        <v>105</v>
      </c>
      <c r="H17" s="9" t="s">
        <v>22</v>
      </c>
      <c r="I17" s="9" t="str">
        <f t="shared" si="1"/>
        <v>A</v>
      </c>
      <c r="J17" s="9" t="s">
        <v>22</v>
      </c>
      <c r="K17" s="9">
        <f t="shared" si="0"/>
        <v>1</v>
      </c>
      <c r="L17" s="9">
        <f t="shared" si="2"/>
        <v>1</v>
      </c>
    </row>
    <row r="18" spans="1:12">
      <c r="A18" s="9" t="s">
        <v>491</v>
      </c>
      <c r="B18" s="9" t="s">
        <v>19</v>
      </c>
      <c r="C18" s="9" t="s">
        <v>17</v>
      </c>
      <c r="D18" s="9" t="s">
        <v>217</v>
      </c>
      <c r="E18" s="9" t="s">
        <v>37</v>
      </c>
      <c r="F18" s="9" t="s">
        <v>22</v>
      </c>
      <c r="G18" s="9" t="s">
        <v>22</v>
      </c>
      <c r="H18" s="9" t="s">
        <v>22</v>
      </c>
      <c r="I18" s="9" t="str">
        <f t="shared" si="1"/>
        <v>A</v>
      </c>
      <c r="J18" s="9" t="s">
        <v>22</v>
      </c>
      <c r="K18" s="9">
        <f t="shared" si="0"/>
        <v>1</v>
      </c>
      <c r="L18" s="9">
        <f t="shared" si="2"/>
        <v>1</v>
      </c>
    </row>
    <row r="19" spans="1:12">
      <c r="A19" s="9" t="s">
        <v>491</v>
      </c>
      <c r="B19" s="9" t="s">
        <v>19</v>
      </c>
      <c r="C19" s="9" t="s">
        <v>17</v>
      </c>
      <c r="D19" s="9" t="s">
        <v>217</v>
      </c>
      <c r="E19" s="9" t="s">
        <v>50</v>
      </c>
      <c r="F19" s="9" t="s">
        <v>26</v>
      </c>
      <c r="G19" s="9" t="s">
        <v>26</v>
      </c>
      <c r="H19" s="9" t="s">
        <v>26</v>
      </c>
      <c r="I19" s="9" t="str">
        <f t="shared" si="1"/>
        <v>B</v>
      </c>
      <c r="J19" s="9" t="s">
        <v>26</v>
      </c>
      <c r="K19" s="9">
        <f t="shared" si="0"/>
        <v>1</v>
      </c>
      <c r="L19" s="9">
        <f t="shared" si="2"/>
        <v>1</v>
      </c>
    </row>
    <row r="20" spans="1:12">
      <c r="A20" s="9" t="s">
        <v>491</v>
      </c>
      <c r="B20" s="9" t="s">
        <v>19</v>
      </c>
      <c r="C20" s="9" t="s">
        <v>17</v>
      </c>
      <c r="D20" s="9" t="s">
        <v>255</v>
      </c>
      <c r="E20" s="9" t="s">
        <v>15</v>
      </c>
      <c r="F20" s="9" t="s">
        <v>22</v>
      </c>
      <c r="G20" s="9" t="s">
        <v>22</v>
      </c>
      <c r="H20" s="9" t="s">
        <v>22</v>
      </c>
      <c r="I20" s="9" t="str">
        <f t="shared" si="1"/>
        <v>A</v>
      </c>
      <c r="J20" s="9" t="s">
        <v>22</v>
      </c>
      <c r="K20" s="9">
        <f t="shared" si="0"/>
        <v>1</v>
      </c>
      <c r="L20" s="9">
        <f t="shared" si="2"/>
        <v>1</v>
      </c>
    </row>
    <row r="21" spans="1:12">
      <c r="A21" s="9" t="s">
        <v>491</v>
      </c>
      <c r="B21" s="9" t="s">
        <v>19</v>
      </c>
      <c r="C21" s="9" t="s">
        <v>17</v>
      </c>
      <c r="D21" s="9" t="s">
        <v>255</v>
      </c>
      <c r="E21" s="9" t="s">
        <v>37</v>
      </c>
      <c r="F21" s="9" t="s">
        <v>22</v>
      </c>
      <c r="G21" s="9" t="s">
        <v>105</v>
      </c>
      <c r="H21" s="9" t="s">
        <v>22</v>
      </c>
      <c r="I21" s="9" t="str">
        <f t="shared" si="1"/>
        <v>A</v>
      </c>
      <c r="J21" s="9" t="s">
        <v>22</v>
      </c>
      <c r="K21" s="9">
        <f t="shared" si="0"/>
        <v>1</v>
      </c>
      <c r="L21" s="9">
        <f t="shared" si="2"/>
        <v>1</v>
      </c>
    </row>
    <row r="22" spans="1:12">
      <c r="A22" s="9" t="s">
        <v>491</v>
      </c>
      <c r="B22" s="9" t="s">
        <v>19</v>
      </c>
      <c r="C22" s="9" t="s">
        <v>17</v>
      </c>
      <c r="D22" s="9" t="s">
        <v>255</v>
      </c>
      <c r="E22" s="9" t="s">
        <v>50</v>
      </c>
      <c r="F22" s="9" t="s">
        <v>105</v>
      </c>
      <c r="G22" s="9" t="s">
        <v>108</v>
      </c>
      <c r="H22" s="9" t="s">
        <v>108</v>
      </c>
      <c r="I22" s="9" t="str">
        <f t="shared" si="1"/>
        <v>C</v>
      </c>
      <c r="J22" s="9" t="s">
        <v>108</v>
      </c>
      <c r="K22" s="9">
        <f t="shared" si="0"/>
        <v>1</v>
      </c>
      <c r="L22" s="9">
        <f t="shared" si="2"/>
        <v>1</v>
      </c>
    </row>
    <row r="23" spans="1:12">
      <c r="A23" s="9" t="s">
        <v>491</v>
      </c>
      <c r="B23" s="9" t="s">
        <v>19</v>
      </c>
      <c r="C23" s="9" t="s">
        <v>17</v>
      </c>
      <c r="D23" s="9" t="s">
        <v>293</v>
      </c>
      <c r="E23" s="9" t="s">
        <v>15</v>
      </c>
      <c r="F23" s="9" t="s">
        <v>22</v>
      </c>
      <c r="G23" s="9" t="s">
        <v>26</v>
      </c>
      <c r="H23" s="9" t="s">
        <v>105</v>
      </c>
      <c r="I23" s="9" t="str">
        <f t="shared" si="1"/>
        <v>D(平局)</v>
      </c>
      <c r="J23" s="9" t="s">
        <v>22</v>
      </c>
      <c r="K23" s="9">
        <f t="shared" si="0"/>
        <v>1</v>
      </c>
      <c r="L23" s="9">
        <f t="shared" si="2"/>
        <v>0</v>
      </c>
    </row>
    <row r="24" spans="1:12">
      <c r="A24" s="9" t="s">
        <v>491</v>
      </c>
      <c r="B24" s="9" t="s">
        <v>19</v>
      </c>
      <c r="C24" s="9" t="s">
        <v>17</v>
      </c>
      <c r="D24" s="9" t="s">
        <v>293</v>
      </c>
      <c r="E24" s="9" t="s">
        <v>37</v>
      </c>
      <c r="F24" s="9" t="s">
        <v>22</v>
      </c>
      <c r="G24" s="9" t="s">
        <v>22</v>
      </c>
      <c r="H24" s="9" t="s">
        <v>22</v>
      </c>
      <c r="I24" s="9" t="str">
        <f t="shared" si="1"/>
        <v>A</v>
      </c>
      <c r="J24" s="9" t="s">
        <v>22</v>
      </c>
      <c r="K24" s="9">
        <f t="shared" si="0"/>
        <v>1</v>
      </c>
      <c r="L24" s="9">
        <f t="shared" si="2"/>
        <v>1</v>
      </c>
    </row>
    <row r="25" spans="1:12">
      <c r="A25" s="9" t="s">
        <v>491</v>
      </c>
      <c r="B25" s="9" t="s">
        <v>19</v>
      </c>
      <c r="C25" s="9" t="s">
        <v>17</v>
      </c>
      <c r="D25" s="9" t="s">
        <v>293</v>
      </c>
      <c r="E25" s="9" t="s">
        <v>50</v>
      </c>
      <c r="F25" s="9" t="s">
        <v>26</v>
      </c>
      <c r="G25" s="9" t="s">
        <v>26</v>
      </c>
      <c r="H25" s="9" t="s">
        <v>26</v>
      </c>
      <c r="I25" s="9" t="str">
        <f t="shared" si="1"/>
        <v>B</v>
      </c>
      <c r="J25" s="9" t="s">
        <v>26</v>
      </c>
      <c r="K25" s="9">
        <f t="shared" si="0"/>
        <v>1</v>
      </c>
      <c r="L25" s="9">
        <f t="shared" si="2"/>
        <v>1</v>
      </c>
    </row>
    <row r="26" spans="1:12">
      <c r="A26" s="9" t="s">
        <v>491</v>
      </c>
      <c r="B26" s="9" t="s">
        <v>19</v>
      </c>
      <c r="C26" s="9" t="s">
        <v>17</v>
      </c>
      <c r="D26" s="9" t="s">
        <v>331</v>
      </c>
      <c r="E26" s="9" t="s">
        <v>15</v>
      </c>
      <c r="F26" s="9" t="s">
        <v>26</v>
      </c>
      <c r="G26" s="9" t="s">
        <v>26</v>
      </c>
      <c r="H26" s="9" t="s">
        <v>22</v>
      </c>
      <c r="I26" s="9" t="str">
        <f t="shared" si="1"/>
        <v>B</v>
      </c>
      <c r="J26" s="9" t="s">
        <v>105</v>
      </c>
      <c r="K26" s="9">
        <f t="shared" si="0"/>
        <v>1</v>
      </c>
      <c r="L26" s="9">
        <f t="shared" si="2"/>
        <v>0</v>
      </c>
    </row>
    <row r="27" spans="1:12">
      <c r="A27" s="9" t="s">
        <v>491</v>
      </c>
      <c r="B27" s="9" t="s">
        <v>19</v>
      </c>
      <c r="C27" s="9" t="s">
        <v>17</v>
      </c>
      <c r="D27" s="9" t="s">
        <v>331</v>
      </c>
      <c r="E27" s="9" t="s">
        <v>37</v>
      </c>
      <c r="F27" s="9" t="s">
        <v>108</v>
      </c>
      <c r="G27" s="9" t="s">
        <v>22</v>
      </c>
      <c r="H27" s="9" t="s">
        <v>22</v>
      </c>
      <c r="I27" s="9" t="str">
        <f t="shared" si="1"/>
        <v>A</v>
      </c>
      <c r="J27" s="9" t="s">
        <v>22</v>
      </c>
      <c r="K27" s="9">
        <f t="shared" si="0"/>
        <v>1</v>
      </c>
      <c r="L27" s="9">
        <f t="shared" si="2"/>
        <v>1</v>
      </c>
    </row>
    <row r="28" spans="1:12">
      <c r="A28" s="9" t="s">
        <v>491</v>
      </c>
      <c r="B28" s="9" t="s">
        <v>19</v>
      </c>
      <c r="C28" s="9" t="s">
        <v>17</v>
      </c>
      <c r="D28" s="9" t="s">
        <v>331</v>
      </c>
      <c r="E28" s="9" t="s">
        <v>50</v>
      </c>
      <c r="F28" s="9" t="s">
        <v>26</v>
      </c>
      <c r="G28" s="9" t="s">
        <v>26</v>
      </c>
      <c r="H28" s="9" t="s">
        <v>26</v>
      </c>
      <c r="I28" s="9" t="str">
        <f t="shared" si="1"/>
        <v>B</v>
      </c>
      <c r="J28" s="9" t="s">
        <v>26</v>
      </c>
      <c r="K28" s="9">
        <f t="shared" si="0"/>
        <v>1</v>
      </c>
      <c r="L28" s="9">
        <f t="shared" si="2"/>
        <v>1</v>
      </c>
    </row>
    <row r="29" spans="1:12">
      <c r="A29" s="9" t="s">
        <v>491</v>
      </c>
      <c r="B29" s="9" t="s">
        <v>19</v>
      </c>
      <c r="C29" s="9" t="s">
        <v>17</v>
      </c>
      <c r="D29" s="9" t="s">
        <v>369</v>
      </c>
      <c r="E29" s="9" t="s">
        <v>15</v>
      </c>
      <c r="F29" s="9" t="s">
        <v>26</v>
      </c>
      <c r="G29" s="9" t="s">
        <v>105</v>
      </c>
      <c r="H29" s="9" t="s">
        <v>26</v>
      </c>
      <c r="I29" s="9" t="str">
        <f t="shared" si="1"/>
        <v>B</v>
      </c>
      <c r="J29" s="9" t="s">
        <v>26</v>
      </c>
      <c r="K29" s="9">
        <f t="shared" si="0"/>
        <v>1</v>
      </c>
      <c r="L29" s="9">
        <f t="shared" si="2"/>
        <v>1</v>
      </c>
    </row>
    <row r="30" spans="1:12">
      <c r="A30" s="9" t="s">
        <v>491</v>
      </c>
      <c r="B30" s="9" t="s">
        <v>19</v>
      </c>
      <c r="C30" s="9" t="s">
        <v>17</v>
      </c>
      <c r="D30" s="9" t="s">
        <v>369</v>
      </c>
      <c r="E30" s="9" t="s">
        <v>37</v>
      </c>
      <c r="F30" s="9" t="s">
        <v>22</v>
      </c>
      <c r="G30" s="9" t="s">
        <v>22</v>
      </c>
      <c r="H30" s="9" t="s">
        <v>22</v>
      </c>
      <c r="I30" s="9" t="str">
        <f t="shared" si="1"/>
        <v>A</v>
      </c>
      <c r="J30" s="9" t="s">
        <v>22</v>
      </c>
      <c r="K30" s="9">
        <f t="shared" si="0"/>
        <v>1</v>
      </c>
      <c r="L30" s="9">
        <f t="shared" si="2"/>
        <v>1</v>
      </c>
    </row>
    <row r="31" spans="1:12">
      <c r="A31" s="9" t="s">
        <v>491</v>
      </c>
      <c r="B31" s="9" t="s">
        <v>19</v>
      </c>
      <c r="C31" s="9" t="s">
        <v>17</v>
      </c>
      <c r="D31" s="9" t="s">
        <v>369</v>
      </c>
      <c r="E31" s="9" t="s">
        <v>50</v>
      </c>
      <c r="F31" s="9" t="s">
        <v>26</v>
      </c>
      <c r="G31" s="9" t="s">
        <v>26</v>
      </c>
      <c r="H31" s="9" t="s">
        <v>26</v>
      </c>
      <c r="I31" s="9" t="str">
        <f t="shared" si="1"/>
        <v>B</v>
      </c>
      <c r="J31" s="9" t="s">
        <v>26</v>
      </c>
      <c r="K31" s="9">
        <f t="shared" si="0"/>
        <v>1</v>
      </c>
      <c r="L31" s="9">
        <f t="shared" si="2"/>
        <v>1</v>
      </c>
    </row>
    <row r="32" spans="1:12">
      <c r="A32" s="9" t="s">
        <v>491</v>
      </c>
      <c r="B32" s="9" t="s">
        <v>19</v>
      </c>
      <c r="C32" s="9" t="s">
        <v>17</v>
      </c>
      <c r="D32" s="9" t="s">
        <v>407</v>
      </c>
      <c r="E32" s="9" t="s">
        <v>15</v>
      </c>
      <c r="F32" s="9" t="s">
        <v>22</v>
      </c>
      <c r="G32" s="9" t="s">
        <v>22</v>
      </c>
      <c r="H32" s="9" t="s">
        <v>22</v>
      </c>
      <c r="I32" s="9" t="str">
        <f t="shared" si="1"/>
        <v>A</v>
      </c>
      <c r="J32" s="9" t="s">
        <v>22</v>
      </c>
      <c r="K32" s="9">
        <f t="shared" si="0"/>
        <v>1</v>
      </c>
      <c r="L32" s="9">
        <f t="shared" si="2"/>
        <v>1</v>
      </c>
    </row>
    <row r="33" spans="1:12">
      <c r="A33" s="9" t="s">
        <v>491</v>
      </c>
      <c r="B33" s="9" t="s">
        <v>19</v>
      </c>
      <c r="C33" s="9" t="s">
        <v>17</v>
      </c>
      <c r="D33" s="9" t="s">
        <v>407</v>
      </c>
      <c r="E33" s="9" t="s">
        <v>37</v>
      </c>
      <c r="F33" s="9" t="s">
        <v>108</v>
      </c>
      <c r="G33" s="9" t="s">
        <v>108</v>
      </c>
      <c r="H33" s="9" t="s">
        <v>108</v>
      </c>
      <c r="I33" s="9" t="str">
        <f t="shared" si="1"/>
        <v>C</v>
      </c>
      <c r="J33" s="9" t="s">
        <v>108</v>
      </c>
      <c r="K33" s="9">
        <f t="shared" si="0"/>
        <v>1</v>
      </c>
      <c r="L33" s="9">
        <f t="shared" si="2"/>
        <v>1</v>
      </c>
    </row>
    <row r="34" spans="1:12">
      <c r="A34" s="9" t="s">
        <v>491</v>
      </c>
      <c r="B34" s="9" t="s">
        <v>19</v>
      </c>
      <c r="C34" s="9" t="s">
        <v>17</v>
      </c>
      <c r="D34" s="9" t="s">
        <v>407</v>
      </c>
      <c r="E34" s="9" t="s">
        <v>50</v>
      </c>
      <c r="F34" s="9" t="s">
        <v>108</v>
      </c>
      <c r="G34" s="9" t="s">
        <v>26</v>
      </c>
      <c r="H34" s="9" t="s">
        <v>108</v>
      </c>
      <c r="I34" s="9" t="str">
        <f t="shared" si="1"/>
        <v>C</v>
      </c>
      <c r="J34" s="9" t="s">
        <v>108</v>
      </c>
      <c r="K34" s="9">
        <f t="shared" si="0"/>
        <v>1</v>
      </c>
      <c r="L34" s="9">
        <f t="shared" si="2"/>
        <v>1</v>
      </c>
    </row>
    <row r="35" spans="1:12">
      <c r="A35" s="9" t="s">
        <v>491</v>
      </c>
      <c r="B35" s="9" t="s">
        <v>19</v>
      </c>
      <c r="C35" s="9" t="s">
        <v>17</v>
      </c>
      <c r="D35" s="9" t="s">
        <v>445</v>
      </c>
      <c r="E35" s="9" t="s">
        <v>15</v>
      </c>
      <c r="F35" s="9" t="s">
        <v>22</v>
      </c>
      <c r="G35" s="9" t="s">
        <v>22</v>
      </c>
      <c r="H35" s="9" t="s">
        <v>22</v>
      </c>
      <c r="I35" s="9" t="str">
        <f t="shared" ref="I35:I66" si="3">IF(MAX(COUNTIF(F35:H35,"A"),COUNTIF(F35:H35,"B"),COUNTIF(F35:H35,"C"),COUNTIF(F35:H35,"D(平局)"))&lt;2,"D(平局)",IF(COUNTIF(F35:H35,"A")&gt;=2,"A",IF(COUNTIF(F35:H35,"B")&gt;=2,"B",IF(COUNTIF(F35:H35,"C")&gt;=2,"C","D(平局)"))))</f>
        <v>A</v>
      </c>
      <c r="J35" s="9" t="s">
        <v>22</v>
      </c>
      <c r="K35" s="9">
        <f t="shared" si="0"/>
        <v>1</v>
      </c>
      <c r="L35" s="9">
        <f t="shared" ref="L35:L66" si="4">IF(K35=0,"",--(I35=J35))</f>
        <v>1</v>
      </c>
    </row>
    <row r="36" spans="1:12">
      <c r="A36" s="9" t="s">
        <v>491</v>
      </c>
      <c r="B36" s="9" t="s">
        <v>19</v>
      </c>
      <c r="C36" s="9" t="s">
        <v>17</v>
      </c>
      <c r="D36" s="9" t="s">
        <v>445</v>
      </c>
      <c r="E36" s="9" t="s">
        <v>37</v>
      </c>
      <c r="F36" s="9" t="s">
        <v>22</v>
      </c>
      <c r="G36" s="9" t="s">
        <v>22</v>
      </c>
      <c r="H36" s="9" t="s">
        <v>22</v>
      </c>
      <c r="I36" s="9" t="str">
        <f t="shared" si="3"/>
        <v>A</v>
      </c>
      <c r="J36" s="9" t="s">
        <v>105</v>
      </c>
      <c r="K36" s="9">
        <f t="shared" si="0"/>
        <v>1</v>
      </c>
      <c r="L36" s="9">
        <f t="shared" si="4"/>
        <v>0</v>
      </c>
    </row>
    <row r="37" spans="1:12">
      <c r="A37" s="9" t="s">
        <v>491</v>
      </c>
      <c r="B37" s="9" t="s">
        <v>19</v>
      </c>
      <c r="C37" s="9" t="s">
        <v>17</v>
      </c>
      <c r="D37" s="9" t="s">
        <v>445</v>
      </c>
      <c r="E37" s="9" t="s">
        <v>50</v>
      </c>
      <c r="F37" s="9" t="s">
        <v>26</v>
      </c>
      <c r="G37" s="9" t="s">
        <v>26</v>
      </c>
      <c r="H37" s="9" t="s">
        <v>108</v>
      </c>
      <c r="I37" s="9" t="str">
        <f t="shared" si="3"/>
        <v>B</v>
      </c>
      <c r="J37" s="9" t="s">
        <v>108</v>
      </c>
      <c r="K37" s="9">
        <f t="shared" si="0"/>
        <v>1</v>
      </c>
      <c r="L37" s="9">
        <f t="shared" si="4"/>
        <v>0</v>
      </c>
    </row>
    <row r="38" spans="1:12">
      <c r="A38" s="9" t="s">
        <v>491</v>
      </c>
      <c r="B38" s="9" t="s">
        <v>19</v>
      </c>
      <c r="C38" s="9" t="s">
        <v>23</v>
      </c>
      <c r="D38" s="9" t="s">
        <v>13</v>
      </c>
      <c r="E38" s="9" t="s">
        <v>15</v>
      </c>
      <c r="F38" s="9" t="s">
        <v>22</v>
      </c>
      <c r="G38" s="9" t="s">
        <v>26</v>
      </c>
      <c r="H38" s="9" t="s">
        <v>22</v>
      </c>
      <c r="I38" s="9" t="str">
        <f t="shared" si="3"/>
        <v>A</v>
      </c>
      <c r="J38" s="9" t="s">
        <v>22</v>
      </c>
      <c r="K38" s="9">
        <f t="shared" si="0"/>
        <v>1</v>
      </c>
      <c r="L38" s="9">
        <f t="shared" si="4"/>
        <v>1</v>
      </c>
    </row>
    <row r="39" spans="1:12">
      <c r="A39" s="9" t="s">
        <v>491</v>
      </c>
      <c r="B39" s="9" t="s">
        <v>19</v>
      </c>
      <c r="C39" s="9" t="s">
        <v>23</v>
      </c>
      <c r="D39" s="9" t="s">
        <v>13</v>
      </c>
      <c r="E39" s="9" t="s">
        <v>37</v>
      </c>
      <c r="F39" s="9" t="s">
        <v>22</v>
      </c>
      <c r="G39" s="9" t="s">
        <v>22</v>
      </c>
      <c r="H39" s="9" t="s">
        <v>22</v>
      </c>
      <c r="I39" s="9" t="str">
        <f t="shared" si="3"/>
        <v>A</v>
      </c>
      <c r="J39" s="9" t="s">
        <v>22</v>
      </c>
      <c r="K39" s="9">
        <f t="shared" si="0"/>
        <v>1</v>
      </c>
      <c r="L39" s="9">
        <f t="shared" si="4"/>
        <v>1</v>
      </c>
    </row>
    <row r="40" spans="1:12">
      <c r="A40" s="9" t="s">
        <v>491</v>
      </c>
      <c r="B40" s="9" t="s">
        <v>19</v>
      </c>
      <c r="C40" s="9" t="s">
        <v>23</v>
      </c>
      <c r="D40" s="9" t="s">
        <v>13</v>
      </c>
      <c r="E40" s="9" t="s">
        <v>50</v>
      </c>
      <c r="F40" s="9" t="s">
        <v>26</v>
      </c>
      <c r="G40" s="9" t="s">
        <v>26</v>
      </c>
      <c r="H40" s="9" t="s">
        <v>26</v>
      </c>
      <c r="I40" s="9" t="str">
        <f t="shared" si="3"/>
        <v>B</v>
      </c>
      <c r="J40" s="9" t="s">
        <v>26</v>
      </c>
      <c r="K40" s="9">
        <f t="shared" si="0"/>
        <v>1</v>
      </c>
      <c r="L40" s="9">
        <f t="shared" si="4"/>
        <v>1</v>
      </c>
    </row>
    <row r="41" spans="1:12">
      <c r="A41" s="9" t="s">
        <v>491</v>
      </c>
      <c r="B41" s="9" t="s">
        <v>19</v>
      </c>
      <c r="C41" s="9" t="s">
        <v>23</v>
      </c>
      <c r="D41" s="9" t="s">
        <v>63</v>
      </c>
      <c r="E41" s="9" t="s">
        <v>15</v>
      </c>
      <c r="F41" s="9" t="s">
        <v>26</v>
      </c>
      <c r="G41" s="9" t="s">
        <v>26</v>
      </c>
      <c r="H41" s="9" t="s">
        <v>22</v>
      </c>
      <c r="I41" s="9" t="str">
        <f t="shared" si="3"/>
        <v>B</v>
      </c>
      <c r="J41" s="9" t="s">
        <v>22</v>
      </c>
      <c r="K41" s="9">
        <f t="shared" si="0"/>
        <v>1</v>
      </c>
      <c r="L41" s="9">
        <f t="shared" si="4"/>
        <v>0</v>
      </c>
    </row>
    <row r="42" spans="1:12">
      <c r="A42" s="9" t="s">
        <v>491</v>
      </c>
      <c r="B42" s="9" t="s">
        <v>19</v>
      </c>
      <c r="C42" s="9" t="s">
        <v>23</v>
      </c>
      <c r="D42" s="9" t="s">
        <v>63</v>
      </c>
      <c r="E42" s="9" t="s">
        <v>37</v>
      </c>
      <c r="F42" s="9" t="s">
        <v>22</v>
      </c>
      <c r="G42" s="9" t="s">
        <v>22</v>
      </c>
      <c r="H42" s="9" t="s">
        <v>22</v>
      </c>
      <c r="I42" s="9" t="str">
        <f t="shared" si="3"/>
        <v>A</v>
      </c>
      <c r="J42" s="9" t="s">
        <v>22</v>
      </c>
      <c r="K42" s="9">
        <f t="shared" si="0"/>
        <v>1</v>
      </c>
      <c r="L42" s="9">
        <f t="shared" si="4"/>
        <v>1</v>
      </c>
    </row>
    <row r="43" spans="1:12">
      <c r="A43" s="9" t="s">
        <v>491</v>
      </c>
      <c r="B43" s="9" t="s">
        <v>19</v>
      </c>
      <c r="C43" s="9" t="s">
        <v>23</v>
      </c>
      <c r="D43" s="9" t="s">
        <v>63</v>
      </c>
      <c r="E43" s="9" t="s">
        <v>50</v>
      </c>
      <c r="F43" s="9" t="s">
        <v>26</v>
      </c>
      <c r="G43" s="9" t="s">
        <v>26</v>
      </c>
      <c r="H43" s="9" t="s">
        <v>26</v>
      </c>
      <c r="I43" s="9" t="str">
        <f t="shared" si="3"/>
        <v>B</v>
      </c>
      <c r="J43" s="9" t="s">
        <v>26</v>
      </c>
      <c r="K43" s="9">
        <f t="shared" si="0"/>
        <v>1</v>
      </c>
      <c r="L43" s="9">
        <f t="shared" si="4"/>
        <v>1</v>
      </c>
    </row>
    <row r="44" spans="1:12">
      <c r="A44" s="9" t="s">
        <v>491</v>
      </c>
      <c r="B44" s="9" t="s">
        <v>19</v>
      </c>
      <c r="C44" s="9" t="s">
        <v>23</v>
      </c>
      <c r="D44" s="9" t="s">
        <v>101</v>
      </c>
      <c r="E44" s="9" t="s">
        <v>15</v>
      </c>
      <c r="F44" s="9" t="s">
        <v>105</v>
      </c>
      <c r="G44" s="9" t="s">
        <v>22</v>
      </c>
      <c r="H44" s="9" t="s">
        <v>22</v>
      </c>
      <c r="I44" s="9" t="str">
        <f t="shared" si="3"/>
        <v>A</v>
      </c>
      <c r="J44" s="9" t="s">
        <v>105</v>
      </c>
      <c r="K44" s="9">
        <f t="shared" si="0"/>
        <v>1</v>
      </c>
      <c r="L44" s="9">
        <f t="shared" si="4"/>
        <v>0</v>
      </c>
    </row>
    <row r="45" spans="1:12">
      <c r="A45" s="9" t="s">
        <v>491</v>
      </c>
      <c r="B45" s="9" t="s">
        <v>19</v>
      </c>
      <c r="C45" s="9" t="s">
        <v>23</v>
      </c>
      <c r="D45" s="9" t="s">
        <v>101</v>
      </c>
      <c r="E45" s="9" t="s">
        <v>37</v>
      </c>
      <c r="F45" s="9" t="s">
        <v>22</v>
      </c>
      <c r="G45" s="9" t="s">
        <v>22</v>
      </c>
      <c r="H45" s="9" t="s">
        <v>22</v>
      </c>
      <c r="I45" s="9" t="str">
        <f t="shared" si="3"/>
        <v>A</v>
      </c>
      <c r="J45" s="9" t="s">
        <v>22</v>
      </c>
      <c r="K45" s="9">
        <f t="shared" si="0"/>
        <v>1</v>
      </c>
      <c r="L45" s="9">
        <f t="shared" si="4"/>
        <v>1</v>
      </c>
    </row>
    <row r="46" spans="1:12">
      <c r="A46" s="9" t="s">
        <v>491</v>
      </c>
      <c r="B46" s="9" t="s">
        <v>19</v>
      </c>
      <c r="C46" s="9" t="s">
        <v>23</v>
      </c>
      <c r="D46" s="9" t="s">
        <v>101</v>
      </c>
      <c r="E46" s="9" t="s">
        <v>50</v>
      </c>
      <c r="F46" s="9" t="s">
        <v>26</v>
      </c>
      <c r="G46" s="9" t="s">
        <v>26</v>
      </c>
      <c r="H46" s="9" t="s">
        <v>26</v>
      </c>
      <c r="I46" s="9" t="str">
        <f t="shared" si="3"/>
        <v>B</v>
      </c>
      <c r="J46" s="9" t="s">
        <v>26</v>
      </c>
      <c r="K46" s="9">
        <f t="shared" si="0"/>
        <v>1</v>
      </c>
      <c r="L46" s="9">
        <f t="shared" si="4"/>
        <v>1</v>
      </c>
    </row>
    <row r="47" spans="1:12">
      <c r="A47" s="9" t="s">
        <v>491</v>
      </c>
      <c r="B47" s="9" t="s">
        <v>19</v>
      </c>
      <c r="C47" s="9" t="s">
        <v>23</v>
      </c>
      <c r="D47" s="9" t="s">
        <v>141</v>
      </c>
      <c r="E47" s="9" t="s">
        <v>15</v>
      </c>
      <c r="F47" s="9" t="s">
        <v>26</v>
      </c>
      <c r="G47" s="9" t="s">
        <v>26</v>
      </c>
      <c r="H47" s="9" t="s">
        <v>105</v>
      </c>
      <c r="I47" s="9" t="str">
        <f t="shared" si="3"/>
        <v>B</v>
      </c>
      <c r="J47" s="9" t="s">
        <v>105</v>
      </c>
      <c r="K47" s="9">
        <f t="shared" si="0"/>
        <v>1</v>
      </c>
      <c r="L47" s="9">
        <f t="shared" si="4"/>
        <v>0</v>
      </c>
    </row>
    <row r="48" spans="1:12">
      <c r="A48" s="9" t="s">
        <v>491</v>
      </c>
      <c r="B48" s="9" t="s">
        <v>19</v>
      </c>
      <c r="C48" s="9" t="s">
        <v>23</v>
      </c>
      <c r="D48" s="9" t="s">
        <v>141</v>
      </c>
      <c r="E48" s="9" t="s">
        <v>37</v>
      </c>
      <c r="F48" s="9" t="s">
        <v>108</v>
      </c>
      <c r="G48" s="9" t="s">
        <v>108</v>
      </c>
      <c r="H48" s="9" t="s">
        <v>105</v>
      </c>
      <c r="I48" s="9" t="str">
        <f t="shared" si="3"/>
        <v>C</v>
      </c>
      <c r="J48" s="9" t="s">
        <v>22</v>
      </c>
      <c r="K48" s="9">
        <f t="shared" si="0"/>
        <v>1</v>
      </c>
      <c r="L48" s="9">
        <f t="shared" si="4"/>
        <v>0</v>
      </c>
    </row>
    <row r="49" spans="1:12">
      <c r="A49" s="9" t="s">
        <v>491</v>
      </c>
      <c r="B49" s="9" t="s">
        <v>19</v>
      </c>
      <c r="C49" s="9" t="s">
        <v>23</v>
      </c>
      <c r="D49" s="9" t="s">
        <v>141</v>
      </c>
      <c r="E49" s="9" t="s">
        <v>50</v>
      </c>
      <c r="F49" s="9" t="s">
        <v>105</v>
      </c>
      <c r="G49" s="9" t="s">
        <v>26</v>
      </c>
      <c r="H49" s="9" t="s">
        <v>105</v>
      </c>
      <c r="I49" s="9" t="str">
        <f t="shared" si="3"/>
        <v>D(平局)</v>
      </c>
      <c r="J49" s="9" t="s">
        <v>26</v>
      </c>
      <c r="K49" s="9">
        <f t="shared" si="0"/>
        <v>1</v>
      </c>
      <c r="L49" s="9">
        <f t="shared" si="4"/>
        <v>0</v>
      </c>
    </row>
    <row r="50" spans="1:12">
      <c r="A50" s="9" t="s">
        <v>491</v>
      </c>
      <c r="B50" s="9" t="s">
        <v>19</v>
      </c>
      <c r="C50" s="9" t="s">
        <v>23</v>
      </c>
      <c r="D50" s="9" t="s">
        <v>179</v>
      </c>
      <c r="E50" s="9" t="s">
        <v>15</v>
      </c>
      <c r="F50" s="9" t="s">
        <v>26</v>
      </c>
      <c r="G50" s="9" t="s">
        <v>26</v>
      </c>
      <c r="H50" s="9" t="s">
        <v>26</v>
      </c>
      <c r="I50" s="9" t="str">
        <f t="shared" si="3"/>
        <v>B</v>
      </c>
      <c r="J50" s="9" t="s">
        <v>26</v>
      </c>
      <c r="K50" s="9">
        <f t="shared" si="0"/>
        <v>1</v>
      </c>
      <c r="L50" s="9">
        <f t="shared" si="4"/>
        <v>1</v>
      </c>
    </row>
    <row r="51" spans="1:12">
      <c r="A51" s="9" t="s">
        <v>491</v>
      </c>
      <c r="B51" s="9" t="s">
        <v>19</v>
      </c>
      <c r="C51" s="9" t="s">
        <v>23</v>
      </c>
      <c r="D51" s="9" t="s">
        <v>179</v>
      </c>
      <c r="E51" s="9" t="s">
        <v>37</v>
      </c>
      <c r="F51" s="9" t="s">
        <v>108</v>
      </c>
      <c r="G51" s="9" t="s">
        <v>108</v>
      </c>
      <c r="H51" s="9" t="s">
        <v>108</v>
      </c>
      <c r="I51" s="9" t="str">
        <f t="shared" si="3"/>
        <v>C</v>
      </c>
      <c r="J51" s="9" t="s">
        <v>22</v>
      </c>
      <c r="K51" s="9">
        <f t="shared" si="0"/>
        <v>1</v>
      </c>
      <c r="L51" s="9">
        <f t="shared" si="4"/>
        <v>0</v>
      </c>
    </row>
    <row r="52" spans="1:12">
      <c r="A52" s="9" t="s">
        <v>491</v>
      </c>
      <c r="B52" s="9" t="s">
        <v>19</v>
      </c>
      <c r="C52" s="9" t="s">
        <v>23</v>
      </c>
      <c r="D52" s="9" t="s">
        <v>179</v>
      </c>
      <c r="E52" s="9" t="s">
        <v>50</v>
      </c>
      <c r="F52" s="9" t="s">
        <v>108</v>
      </c>
      <c r="G52" s="9" t="s">
        <v>26</v>
      </c>
      <c r="H52" s="9" t="s">
        <v>108</v>
      </c>
      <c r="I52" s="9" t="str">
        <f t="shared" si="3"/>
        <v>C</v>
      </c>
      <c r="J52" s="9" t="s">
        <v>26</v>
      </c>
      <c r="K52" s="9">
        <f t="shared" si="0"/>
        <v>1</v>
      </c>
      <c r="L52" s="9">
        <f t="shared" si="4"/>
        <v>0</v>
      </c>
    </row>
    <row r="53" spans="1:12">
      <c r="A53" s="9" t="s">
        <v>491</v>
      </c>
      <c r="B53" s="9" t="s">
        <v>19</v>
      </c>
      <c r="C53" s="9" t="s">
        <v>23</v>
      </c>
      <c r="D53" s="9" t="s">
        <v>217</v>
      </c>
      <c r="E53" s="9" t="s">
        <v>15</v>
      </c>
      <c r="F53" s="9" t="s">
        <v>22</v>
      </c>
      <c r="G53" s="9" t="s">
        <v>105</v>
      </c>
      <c r="H53" s="9" t="s">
        <v>22</v>
      </c>
      <c r="I53" s="9" t="str">
        <f t="shared" si="3"/>
        <v>A</v>
      </c>
      <c r="J53" s="9" t="s">
        <v>22</v>
      </c>
      <c r="K53" s="9">
        <f t="shared" si="0"/>
        <v>1</v>
      </c>
      <c r="L53" s="9">
        <f t="shared" si="4"/>
        <v>1</v>
      </c>
    </row>
    <row r="54" spans="1:12">
      <c r="A54" s="9" t="s">
        <v>491</v>
      </c>
      <c r="B54" s="9" t="s">
        <v>19</v>
      </c>
      <c r="C54" s="9" t="s">
        <v>23</v>
      </c>
      <c r="D54" s="9" t="s">
        <v>217</v>
      </c>
      <c r="E54" s="9" t="s">
        <v>37</v>
      </c>
      <c r="F54" s="9" t="s">
        <v>22</v>
      </c>
      <c r="G54" s="9" t="s">
        <v>22</v>
      </c>
      <c r="H54" s="9" t="s">
        <v>22</v>
      </c>
      <c r="I54" s="9" t="str">
        <f t="shared" si="3"/>
        <v>A</v>
      </c>
      <c r="J54" s="9" t="s">
        <v>22</v>
      </c>
      <c r="K54" s="9">
        <f t="shared" si="0"/>
        <v>1</v>
      </c>
      <c r="L54" s="9">
        <f t="shared" si="4"/>
        <v>1</v>
      </c>
    </row>
    <row r="55" spans="1:12">
      <c r="A55" s="9" t="s">
        <v>491</v>
      </c>
      <c r="B55" s="9" t="s">
        <v>19</v>
      </c>
      <c r="C55" s="9" t="s">
        <v>23</v>
      </c>
      <c r="D55" s="9" t="s">
        <v>217</v>
      </c>
      <c r="E55" s="9" t="s">
        <v>50</v>
      </c>
      <c r="F55" s="9" t="s">
        <v>26</v>
      </c>
      <c r="G55" s="9" t="s">
        <v>26</v>
      </c>
      <c r="H55" s="9" t="s">
        <v>26</v>
      </c>
      <c r="I55" s="9" t="str">
        <f t="shared" si="3"/>
        <v>B</v>
      </c>
      <c r="J55" s="9" t="s">
        <v>26</v>
      </c>
      <c r="K55" s="9">
        <f t="shared" si="0"/>
        <v>1</v>
      </c>
      <c r="L55" s="9">
        <f t="shared" si="4"/>
        <v>1</v>
      </c>
    </row>
    <row r="56" spans="1:12">
      <c r="A56" s="9" t="s">
        <v>491</v>
      </c>
      <c r="B56" s="9" t="s">
        <v>19</v>
      </c>
      <c r="C56" s="9" t="s">
        <v>23</v>
      </c>
      <c r="D56" s="9" t="s">
        <v>255</v>
      </c>
      <c r="E56" s="9" t="s">
        <v>15</v>
      </c>
      <c r="F56" s="9" t="s">
        <v>22</v>
      </c>
      <c r="G56" s="9" t="s">
        <v>22</v>
      </c>
      <c r="H56" s="9" t="s">
        <v>22</v>
      </c>
      <c r="I56" s="9" t="str">
        <f t="shared" si="3"/>
        <v>A</v>
      </c>
      <c r="J56" s="9" t="s">
        <v>22</v>
      </c>
      <c r="K56" s="9">
        <f t="shared" si="0"/>
        <v>1</v>
      </c>
      <c r="L56" s="9">
        <f t="shared" si="4"/>
        <v>1</v>
      </c>
    </row>
    <row r="57" spans="1:12">
      <c r="A57" s="9" t="s">
        <v>491</v>
      </c>
      <c r="B57" s="9" t="s">
        <v>19</v>
      </c>
      <c r="C57" s="9" t="s">
        <v>23</v>
      </c>
      <c r="D57" s="9" t="s">
        <v>255</v>
      </c>
      <c r="E57" s="9" t="s">
        <v>37</v>
      </c>
      <c r="F57" s="9" t="s">
        <v>105</v>
      </c>
      <c r="G57" s="9" t="s">
        <v>22</v>
      </c>
      <c r="H57" s="9" t="s">
        <v>22</v>
      </c>
      <c r="I57" s="9" t="str">
        <f t="shared" si="3"/>
        <v>A</v>
      </c>
      <c r="J57" s="9" t="s">
        <v>22</v>
      </c>
      <c r="K57" s="9">
        <f t="shared" si="0"/>
        <v>1</v>
      </c>
      <c r="L57" s="9">
        <f t="shared" si="4"/>
        <v>1</v>
      </c>
    </row>
    <row r="58" spans="1:12">
      <c r="A58" s="9" t="s">
        <v>491</v>
      </c>
      <c r="B58" s="9" t="s">
        <v>19</v>
      </c>
      <c r="C58" s="9" t="s">
        <v>23</v>
      </c>
      <c r="D58" s="9" t="s">
        <v>255</v>
      </c>
      <c r="E58" s="9" t="s">
        <v>50</v>
      </c>
      <c r="F58" s="9" t="s">
        <v>108</v>
      </c>
      <c r="G58" s="9" t="s">
        <v>108</v>
      </c>
      <c r="H58" s="9" t="s">
        <v>108</v>
      </c>
      <c r="I58" s="9" t="str">
        <f t="shared" si="3"/>
        <v>C</v>
      </c>
      <c r="J58" s="9" t="s">
        <v>108</v>
      </c>
      <c r="K58" s="9">
        <f t="shared" si="0"/>
        <v>1</v>
      </c>
      <c r="L58" s="9">
        <f t="shared" si="4"/>
        <v>1</v>
      </c>
    </row>
    <row r="59" spans="1:12">
      <c r="A59" s="9" t="s">
        <v>491</v>
      </c>
      <c r="B59" s="9" t="s">
        <v>19</v>
      </c>
      <c r="C59" s="9" t="s">
        <v>23</v>
      </c>
      <c r="D59" s="9" t="s">
        <v>293</v>
      </c>
      <c r="E59" s="9" t="s">
        <v>15</v>
      </c>
      <c r="F59" s="9" t="s">
        <v>105</v>
      </c>
      <c r="G59" s="9" t="s">
        <v>22</v>
      </c>
      <c r="H59" s="9" t="s">
        <v>26</v>
      </c>
      <c r="I59" s="9" t="str">
        <f t="shared" si="3"/>
        <v>D(平局)</v>
      </c>
      <c r="J59" s="9" t="s">
        <v>22</v>
      </c>
      <c r="K59" s="9">
        <f t="shared" si="0"/>
        <v>1</v>
      </c>
      <c r="L59" s="9">
        <f t="shared" si="4"/>
        <v>0</v>
      </c>
    </row>
    <row r="60" spans="1:12">
      <c r="A60" s="9" t="s">
        <v>491</v>
      </c>
      <c r="B60" s="9" t="s">
        <v>19</v>
      </c>
      <c r="C60" s="9" t="s">
        <v>23</v>
      </c>
      <c r="D60" s="9" t="s">
        <v>293</v>
      </c>
      <c r="E60" s="9" t="s">
        <v>37</v>
      </c>
      <c r="F60" s="9" t="s">
        <v>22</v>
      </c>
      <c r="G60" s="9" t="s">
        <v>22</v>
      </c>
      <c r="H60" s="9" t="s">
        <v>22</v>
      </c>
      <c r="I60" s="9" t="str">
        <f t="shared" si="3"/>
        <v>A</v>
      </c>
      <c r="J60" s="9" t="s">
        <v>22</v>
      </c>
      <c r="K60" s="9">
        <f t="shared" si="0"/>
        <v>1</v>
      </c>
      <c r="L60" s="9">
        <f t="shared" si="4"/>
        <v>1</v>
      </c>
    </row>
    <row r="61" spans="1:12">
      <c r="A61" s="9" t="s">
        <v>491</v>
      </c>
      <c r="B61" s="9" t="s">
        <v>19</v>
      </c>
      <c r="C61" s="9" t="s">
        <v>23</v>
      </c>
      <c r="D61" s="9" t="s">
        <v>293</v>
      </c>
      <c r="E61" s="9" t="s">
        <v>50</v>
      </c>
      <c r="F61" s="9" t="s">
        <v>26</v>
      </c>
      <c r="G61" s="9" t="s">
        <v>26</v>
      </c>
      <c r="H61" s="9" t="s">
        <v>26</v>
      </c>
      <c r="I61" s="9" t="str">
        <f t="shared" si="3"/>
        <v>B</v>
      </c>
      <c r="J61" s="9" t="s">
        <v>26</v>
      </c>
      <c r="K61" s="9">
        <f t="shared" si="0"/>
        <v>1</v>
      </c>
      <c r="L61" s="9">
        <f t="shared" si="4"/>
        <v>1</v>
      </c>
    </row>
    <row r="62" spans="1:12">
      <c r="A62" s="9" t="s">
        <v>491</v>
      </c>
      <c r="B62" s="9" t="s">
        <v>19</v>
      </c>
      <c r="C62" s="9" t="s">
        <v>23</v>
      </c>
      <c r="D62" s="9" t="s">
        <v>331</v>
      </c>
      <c r="E62" s="9" t="s">
        <v>15</v>
      </c>
      <c r="F62" s="9" t="s">
        <v>26</v>
      </c>
      <c r="G62" s="9" t="s">
        <v>26</v>
      </c>
      <c r="H62" s="9" t="s">
        <v>26</v>
      </c>
      <c r="I62" s="9" t="str">
        <f t="shared" si="3"/>
        <v>B</v>
      </c>
      <c r="J62" s="9" t="s">
        <v>105</v>
      </c>
      <c r="K62" s="9">
        <f t="shared" si="0"/>
        <v>1</v>
      </c>
      <c r="L62" s="9">
        <f t="shared" si="4"/>
        <v>0</v>
      </c>
    </row>
    <row r="63" spans="1:12">
      <c r="A63" s="9" t="s">
        <v>491</v>
      </c>
      <c r="B63" s="9" t="s">
        <v>19</v>
      </c>
      <c r="C63" s="9" t="s">
        <v>23</v>
      </c>
      <c r="D63" s="9" t="s">
        <v>331</v>
      </c>
      <c r="E63" s="9" t="s">
        <v>37</v>
      </c>
      <c r="F63" s="9" t="s">
        <v>22</v>
      </c>
      <c r="G63" s="9" t="s">
        <v>22</v>
      </c>
      <c r="H63" s="9" t="s">
        <v>22</v>
      </c>
      <c r="I63" s="9" t="str">
        <f t="shared" si="3"/>
        <v>A</v>
      </c>
      <c r="J63" s="9" t="s">
        <v>22</v>
      </c>
      <c r="K63" s="9">
        <f t="shared" si="0"/>
        <v>1</v>
      </c>
      <c r="L63" s="9">
        <f t="shared" si="4"/>
        <v>1</v>
      </c>
    </row>
    <row r="64" spans="1:12">
      <c r="A64" s="9" t="s">
        <v>491</v>
      </c>
      <c r="B64" s="9" t="s">
        <v>19</v>
      </c>
      <c r="C64" s="9" t="s">
        <v>23</v>
      </c>
      <c r="D64" s="9" t="s">
        <v>331</v>
      </c>
      <c r="E64" s="9" t="s">
        <v>50</v>
      </c>
      <c r="F64" s="9" t="s">
        <v>26</v>
      </c>
      <c r="G64" s="9" t="s">
        <v>26</v>
      </c>
      <c r="H64" s="9" t="s">
        <v>26</v>
      </c>
      <c r="I64" s="9" t="str">
        <f t="shared" si="3"/>
        <v>B</v>
      </c>
      <c r="J64" s="9" t="s">
        <v>26</v>
      </c>
      <c r="K64" s="9">
        <f t="shared" si="0"/>
        <v>1</v>
      </c>
      <c r="L64" s="9">
        <f t="shared" si="4"/>
        <v>1</v>
      </c>
    </row>
    <row r="65" spans="1:12">
      <c r="A65" s="9" t="s">
        <v>491</v>
      </c>
      <c r="B65" s="9" t="s">
        <v>19</v>
      </c>
      <c r="C65" s="9" t="s">
        <v>23</v>
      </c>
      <c r="D65" s="9" t="s">
        <v>369</v>
      </c>
      <c r="E65" s="9" t="s">
        <v>15</v>
      </c>
      <c r="F65" s="9" t="s">
        <v>26</v>
      </c>
      <c r="G65" s="9" t="s">
        <v>22</v>
      </c>
      <c r="H65" s="9" t="s">
        <v>26</v>
      </c>
      <c r="I65" s="9" t="str">
        <f t="shared" si="3"/>
        <v>B</v>
      </c>
      <c r="J65" s="9" t="s">
        <v>26</v>
      </c>
      <c r="K65" s="9">
        <f t="shared" si="0"/>
        <v>1</v>
      </c>
      <c r="L65" s="9">
        <f t="shared" si="4"/>
        <v>1</v>
      </c>
    </row>
    <row r="66" spans="1:12">
      <c r="A66" s="9" t="s">
        <v>491</v>
      </c>
      <c r="B66" s="9" t="s">
        <v>19</v>
      </c>
      <c r="C66" s="9" t="s">
        <v>23</v>
      </c>
      <c r="D66" s="9" t="s">
        <v>369</v>
      </c>
      <c r="E66" s="9" t="s">
        <v>37</v>
      </c>
      <c r="F66" s="9" t="s">
        <v>22</v>
      </c>
      <c r="G66" s="9" t="s">
        <v>22</v>
      </c>
      <c r="H66" s="9" t="s">
        <v>22</v>
      </c>
      <c r="I66" s="9" t="str">
        <f t="shared" si="3"/>
        <v>A</v>
      </c>
      <c r="J66" s="9" t="s">
        <v>22</v>
      </c>
      <c r="K66" s="9">
        <f t="shared" ref="K66:K73" si="5">--(I66&lt;&gt;"无多数")</f>
        <v>1</v>
      </c>
      <c r="L66" s="9">
        <f t="shared" si="4"/>
        <v>1</v>
      </c>
    </row>
    <row r="67" spans="1:12">
      <c r="A67" s="9" t="s">
        <v>491</v>
      </c>
      <c r="B67" s="9" t="s">
        <v>19</v>
      </c>
      <c r="C67" s="9" t="s">
        <v>23</v>
      </c>
      <c r="D67" s="9" t="s">
        <v>369</v>
      </c>
      <c r="E67" s="9" t="s">
        <v>50</v>
      </c>
      <c r="F67" s="9" t="s">
        <v>26</v>
      </c>
      <c r="G67" s="9" t="s">
        <v>26</v>
      </c>
      <c r="H67" s="9" t="s">
        <v>26</v>
      </c>
      <c r="I67" s="9" t="str">
        <f>IF(MAX(COUNTIF(F67:H67,"A"),COUNTIF(F67:H67,"B"),COUNTIF(F67:H67,"C"),COUNTIF(F67:H67,"D(平局)"))&lt;2,"D(平局)",IF(COUNTIF(F67:H67,"A")&gt;=2,"A",IF(COUNTIF(F67:H67,"B")&gt;=2,"B",IF(COUNTIF(F67:H67,"C")&gt;=2,"C","D(平局)"))))</f>
        <v>B</v>
      </c>
      <c r="J67" s="9" t="s">
        <v>26</v>
      </c>
      <c r="K67" s="9">
        <f t="shared" si="5"/>
        <v>1</v>
      </c>
      <c r="L67" s="9">
        <f>IF(K67=0,"",--(I67=J67))</f>
        <v>1</v>
      </c>
    </row>
    <row r="68" spans="1:12">
      <c r="A68" s="9" t="s">
        <v>491</v>
      </c>
      <c r="B68" s="9" t="s">
        <v>19</v>
      </c>
      <c r="C68" s="9" t="s">
        <v>23</v>
      </c>
      <c r="D68" s="9" t="s">
        <v>407</v>
      </c>
      <c r="E68" s="9" t="s">
        <v>15</v>
      </c>
      <c r="F68" s="9" t="s">
        <v>26</v>
      </c>
      <c r="G68" s="9" t="s">
        <v>26</v>
      </c>
      <c r="H68" s="9" t="s">
        <v>105</v>
      </c>
      <c r="I68" s="9" t="str">
        <f>IF(MAX(COUNTIF(F68:H68,"A"),COUNTIF(F68:H68,"B"),COUNTIF(F68:H68,"C"),COUNTIF(F68:H68,"D(平局)"))&lt;2,"D(平局)",IF(COUNTIF(F68:H68,"A")&gt;=2,"A",IF(COUNTIF(F68:H68,"B")&gt;=2,"B",IF(COUNTIF(F68:H68,"C")&gt;=2,"C","D(平局)"))))</f>
        <v>B</v>
      </c>
      <c r="J68" s="9" t="s">
        <v>22</v>
      </c>
      <c r="K68" s="9">
        <f t="shared" si="5"/>
        <v>1</v>
      </c>
      <c r="L68" s="9">
        <f>IF(K68=0,"",--(I68=J68))</f>
        <v>0</v>
      </c>
    </row>
    <row r="69" spans="1:12">
      <c r="A69" s="9" t="s">
        <v>491</v>
      </c>
      <c r="B69" s="9" t="s">
        <v>19</v>
      </c>
      <c r="C69" s="9" t="s">
        <v>23</v>
      </c>
      <c r="D69" s="9" t="s">
        <v>407</v>
      </c>
      <c r="E69" s="9" t="s">
        <v>37</v>
      </c>
      <c r="F69" s="9" t="s">
        <v>108</v>
      </c>
      <c r="G69" s="9" t="s">
        <v>108</v>
      </c>
      <c r="H69" s="9" t="s">
        <v>108</v>
      </c>
      <c r="I69" s="9" t="str">
        <f>IF(MAX(COUNTIF(F69:H69,"A"),COUNTIF(F69:H69,"B"),COUNTIF(F69:H69,"C"),COUNTIF(F69:H69,"D(平局)"))&lt;2,"D(平局)",IF(COUNTIF(F69:H69,"A")&gt;=2,"A",IF(COUNTIF(F69:H69,"B")&gt;=2,"B",IF(COUNTIF(F69:H69,"C")&gt;=2,"C","D(平局)"))))</f>
        <v>C</v>
      </c>
      <c r="J69" s="9" t="s">
        <v>108</v>
      </c>
      <c r="K69" s="9">
        <f t="shared" si="5"/>
        <v>1</v>
      </c>
      <c r="L69" s="9">
        <f>IF(K69=0,"",--(I69=J69))</f>
        <v>1</v>
      </c>
    </row>
    <row r="70" spans="1:12">
      <c r="A70" s="9" t="s">
        <v>491</v>
      </c>
      <c r="B70" s="9" t="s">
        <v>19</v>
      </c>
      <c r="C70" s="9" t="s">
        <v>23</v>
      </c>
      <c r="D70" s="9" t="s">
        <v>407</v>
      </c>
      <c r="E70" s="9" t="s">
        <v>50</v>
      </c>
      <c r="F70" s="9" t="s">
        <v>108</v>
      </c>
      <c r="G70" s="9" t="s">
        <v>108</v>
      </c>
      <c r="H70" s="9" t="s">
        <v>108</v>
      </c>
      <c r="I70" s="9" t="str">
        <f>IF(MAX(COUNTIF(F70:H70,"A"),COUNTIF(F70:H70,"B"),COUNTIF(F70:H70,"C"),COUNTIF(F70:H70,"D(平局)"))&lt;2,"D(平局)",IF(COUNTIF(F70:H70,"A")&gt;=2,"A",IF(COUNTIF(F70:H70,"B")&gt;=2,"B",IF(COUNTIF(F70:H70,"C")&gt;=2,"C","D(平局)"))))</f>
        <v>C</v>
      </c>
      <c r="J70" s="9" t="s">
        <v>108</v>
      </c>
      <c r="K70" s="9">
        <f t="shared" si="5"/>
        <v>1</v>
      </c>
      <c r="L70" s="9">
        <f>IF(K70=0,"",--(I70=J70))</f>
        <v>1</v>
      </c>
    </row>
    <row r="71" spans="1:12">
      <c r="A71" s="9" t="s">
        <v>491</v>
      </c>
      <c r="B71" s="9" t="s">
        <v>19</v>
      </c>
      <c r="C71" s="9" t="s">
        <v>23</v>
      </c>
      <c r="D71" s="9" t="s">
        <v>445</v>
      </c>
      <c r="E71" s="9" t="s">
        <v>15</v>
      </c>
      <c r="F71" s="9" t="s">
        <v>22</v>
      </c>
      <c r="G71" s="9" t="s">
        <v>22</v>
      </c>
      <c r="H71" s="9" t="s">
        <v>22</v>
      </c>
      <c r="I71" s="9" t="str">
        <f>IF(MAX(COUNTIF(F71:H71,"A"),COUNTIF(F71:H71,"B"),COUNTIF(F71:H71,"C"),COUNTIF(F71:H71,"D(平局)"))&lt;2,"D(平局)",IF(COUNTIF(F71:H71,"A")&gt;=2,"A",IF(COUNTIF(F71:H71,"B")&gt;=2,"B",IF(COUNTIF(F71:H71,"C")&gt;=2,"C","D(平局)"))))</f>
        <v>A</v>
      </c>
      <c r="J71" s="9" t="s">
        <v>22</v>
      </c>
      <c r="K71" s="9">
        <f t="shared" si="5"/>
        <v>1</v>
      </c>
      <c r="L71" s="9">
        <f>IF(K71=0,"",--(I71=J71))</f>
        <v>1</v>
      </c>
    </row>
    <row r="72" spans="1:12">
      <c r="A72" s="9" t="s">
        <v>491</v>
      </c>
      <c r="B72" s="9" t="s">
        <v>19</v>
      </c>
      <c r="C72" s="9" t="s">
        <v>23</v>
      </c>
      <c r="D72" s="9" t="s">
        <v>445</v>
      </c>
      <c r="E72" s="9" t="s">
        <v>37</v>
      </c>
      <c r="F72" s="9" t="s">
        <v>22</v>
      </c>
      <c r="G72" s="9" t="s">
        <v>22</v>
      </c>
      <c r="H72" s="9" t="s">
        <v>22</v>
      </c>
      <c r="I72" s="9" t="str">
        <f>IF(MAX(COUNTIF(F72:H72,"A"),COUNTIF(F72:H72,"B"),COUNTIF(F72:H72,"C"),COUNTIF(F72:H72,"D(平局)"))&lt;2,"D(平局)",IF(COUNTIF(F72:H72,"A")&gt;=2,"A",IF(COUNTIF(F72:H72,"B")&gt;=2,"B",IF(COUNTIF(F72:H72,"C")&gt;=2,"C","D(平局)"))))</f>
        <v>A</v>
      </c>
      <c r="J72" s="9" t="s">
        <v>105</v>
      </c>
      <c r="K72" s="9">
        <f t="shared" si="5"/>
        <v>1</v>
      </c>
      <c r="L72" s="9">
        <f>IF(K72=0,"",--(I72=J72))</f>
        <v>0</v>
      </c>
    </row>
    <row r="73" spans="1:12">
      <c r="A73" s="9" t="s">
        <v>491</v>
      </c>
      <c r="B73" s="9" t="s">
        <v>19</v>
      </c>
      <c r="C73" s="9" t="s">
        <v>23</v>
      </c>
      <c r="D73" s="9" t="s">
        <v>445</v>
      </c>
      <c r="E73" s="9" t="s">
        <v>50</v>
      </c>
      <c r="F73" s="9" t="s">
        <v>26</v>
      </c>
      <c r="G73" s="9" t="s">
        <v>108</v>
      </c>
      <c r="H73" s="9" t="s">
        <v>108</v>
      </c>
      <c r="I73" s="9" t="str">
        <f>IF(MAX(COUNTIF(F73:H73,"A"),COUNTIF(F73:H73,"B"),COUNTIF(F73:H73,"C"),COUNTIF(F73:H73,"D(平局)"))&lt;2,"D(平局)",IF(COUNTIF(F73:H73,"A")&gt;=2,"A",IF(COUNTIF(F73:H73,"B")&gt;=2,"B",IF(COUNTIF(F73:H73,"C")&gt;=2,"C","D(平局)"))))</f>
        <v>C</v>
      </c>
      <c r="J73" s="9" t="s">
        <v>108</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workbookViewId="0">
      <selection activeCell="A1" sqref="A1:I1"/>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492</v>
      </c>
      <c r="B1" s="1"/>
      <c r="C1" s="1"/>
      <c r="D1" s="1"/>
      <c r="E1" s="1"/>
      <c r="F1" s="1"/>
      <c r="G1" s="1"/>
      <c r="H1" s="1"/>
      <c r="I1" s="1"/>
    </row>
    <row r="3" ht="34" customHeight="1" spans="1:9">
      <c r="A3" s="2" t="s">
        <v>493</v>
      </c>
      <c r="B3" s="2"/>
      <c r="C3" s="2"/>
      <c r="D3" s="2"/>
      <c r="E3" s="2"/>
      <c r="F3" s="2"/>
      <c r="G3" s="2"/>
      <c r="H3" s="2"/>
      <c r="I3" s="2"/>
    </row>
    <row r="5" spans="1:9">
      <c r="A5" s="3" t="s">
        <v>494</v>
      </c>
      <c r="B5" s="3"/>
      <c r="C5" s="3"/>
      <c r="D5" s="3"/>
      <c r="E5" s="3"/>
      <c r="F5" s="3"/>
      <c r="G5" s="3"/>
      <c r="H5" s="3"/>
      <c r="I5" s="3"/>
    </row>
    <row r="6" ht="13.9" spans="1:8">
      <c r="A6" s="4" t="s">
        <v>483</v>
      </c>
      <c r="B6" s="4" t="s">
        <v>484</v>
      </c>
      <c r="C6" s="4" t="s">
        <v>485</v>
      </c>
      <c r="D6" s="4" t="s">
        <v>495</v>
      </c>
      <c r="E6" s="4" t="s">
        <v>496</v>
      </c>
      <c r="F6" s="4" t="s">
        <v>497</v>
      </c>
      <c r="G6" s="4" t="s">
        <v>498</v>
      </c>
      <c r="H6" s="4" t="s">
        <v>499</v>
      </c>
    </row>
    <row r="7" spans="1:8">
      <c r="A7" t="s">
        <v>491</v>
      </c>
      <c r="B7" t="s">
        <v>19</v>
      </c>
      <c r="C7" t="s">
        <v>17</v>
      </c>
      <c r="D7">
        <f>COUNTIFS(实验结果!$K$2:$K$217,"&lt;&gt;",实验结果!$L$2:$L$217,"&lt;&gt;",实验结果!$E$2:$E$217,C7)</f>
        <v>108</v>
      </c>
      <c r="E7">
        <f>SUMIFS(实验结果!$M$2:$M$217,实验结果!$K$2:$K$217,"&lt;&gt;",实验结果!$L$2:$L$217,"&lt;&gt;",实验结果!$E$2:$E$217,C7)</f>
        <v>81</v>
      </c>
      <c r="F7" s="5">
        <f>E7/D7</f>
        <v>0.75</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0.343364197530864</v>
      </c>
      <c r="H7" s="6">
        <f>(F7-G7)/(1-G7)</f>
        <v>0.619271445358402</v>
      </c>
    </row>
    <row r="8" spans="1:8">
      <c r="A8" t="s">
        <v>491</v>
      </c>
      <c r="B8" t="s">
        <v>19</v>
      </c>
      <c r="C8" t="s">
        <v>23</v>
      </c>
      <c r="D8">
        <f>COUNTIFS(实验结果!$K$2:$K$217,"&lt;&gt;",实验结果!$L$2:$L$217,"&lt;&gt;",实验结果!$E$2:$E$217,C8)</f>
        <v>108</v>
      </c>
      <c r="E8">
        <f>SUMIFS(实验结果!$M$2:$M$217,实验结果!$K$2:$K$217,"&lt;&gt;",实验结果!$L$2:$L$217,"&lt;&gt;",实验结果!$E$2:$E$217,C8)</f>
        <v>76</v>
      </c>
      <c r="F8" s="5">
        <f>E8/D8</f>
        <v>0.703703703703704</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0.320216049382716</v>
      </c>
      <c r="H8" s="6">
        <f>(F8-G8)/(1-G8)</f>
        <v>0.564131668558456</v>
      </c>
    </row>
    <row r="9" spans="1:8">
      <c r="A9" t="s">
        <v>491</v>
      </c>
      <c r="B9" t="s">
        <v>19</v>
      </c>
      <c r="C9" t="s">
        <v>500</v>
      </c>
      <c r="D9">
        <f>COUNTIFS(实验结果!$K$2:$K$217,"&lt;&gt;",实验结果!$L$2:$L$217,"&lt;&gt;")</f>
        <v>216</v>
      </c>
      <c r="E9">
        <f>SUMIFS(实验结果!$M$2:$M$217,实验结果!$K$2:$K$217,"&lt;&gt;",实验结果!$L$2:$L$217,"&lt;&gt;")</f>
        <v>157</v>
      </c>
      <c r="F9" s="5">
        <f>E9/D9</f>
        <v>0.726851851851852</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0.33179012345679</v>
      </c>
      <c r="H9" s="6">
        <f>(F9-G9)/(1-G9)</f>
        <v>0.591224018475751</v>
      </c>
    </row>
    <row r="12" spans="1:9">
      <c r="A12" s="3" t="s">
        <v>501</v>
      </c>
      <c r="B12" s="3"/>
      <c r="C12" s="3"/>
      <c r="D12" s="3"/>
      <c r="E12" s="3"/>
      <c r="F12" s="3"/>
      <c r="G12" s="3"/>
      <c r="H12" s="3"/>
      <c r="I12" s="3"/>
    </row>
    <row r="13" ht="13.9" spans="1:9">
      <c r="A13" s="4" t="s">
        <v>483</v>
      </c>
      <c r="B13" s="4" t="s">
        <v>484</v>
      </c>
      <c r="C13" s="4" t="s">
        <v>485</v>
      </c>
      <c r="D13" s="4" t="s">
        <v>502</v>
      </c>
      <c r="E13" s="4" t="s">
        <v>495</v>
      </c>
      <c r="F13" s="4" t="s">
        <v>496</v>
      </c>
      <c r="G13" s="4" t="s">
        <v>503</v>
      </c>
      <c r="H13" s="4" t="s">
        <v>498</v>
      </c>
      <c r="I13" s="4" t="s">
        <v>499</v>
      </c>
    </row>
    <row r="14" spans="1:9">
      <c r="A14" t="s">
        <v>491</v>
      </c>
      <c r="B14" t="s">
        <v>19</v>
      </c>
      <c r="C14" t="s">
        <v>17</v>
      </c>
      <c r="D14" t="s">
        <v>16</v>
      </c>
      <c r="E14">
        <f>COUNTIFS(实验结果!$K$2:$K$217,"&lt;&gt;",实验结果!$L$2:$L$217,"&lt;&gt;",实验结果!$E$2:$E$217,C14,实验结果!$D$2:$D$217,D14)</f>
        <v>36</v>
      </c>
      <c r="F14">
        <f>SUMIFS(实验结果!$M$2:$M$217,实验结果!$K$2:$K$217,"&lt;&gt;",实验结果!$L$2:$L$217,"&lt;&gt;",实验结果!$E$2:$E$217,C14,实验结果!$D$2:$D$217,D14)</f>
        <v>27</v>
      </c>
      <c r="G14" s="5">
        <f t="shared" ref="G14:G22" si="0">F14/E14</f>
        <v>0.75</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0.351851851851852</v>
      </c>
      <c r="I14" s="6">
        <f t="shared" ref="I14:I22" si="1">(G14-H14)/(1-H14)</f>
        <v>0.614285714285714</v>
      </c>
    </row>
    <row r="15" spans="1:9">
      <c r="A15" t="s">
        <v>491</v>
      </c>
      <c r="B15" t="s">
        <v>19</v>
      </c>
      <c r="C15" t="s">
        <v>17</v>
      </c>
      <c r="D15" t="s">
        <v>32</v>
      </c>
      <c r="E15">
        <f>COUNTIFS(实验结果!$K$2:$K$217,"&lt;&gt;",实验结果!$L$2:$L$217,"&lt;&gt;",实验结果!$E$2:$E$217,C15,实验结果!$D$2:$D$217,D15)</f>
        <v>36</v>
      </c>
      <c r="F15">
        <f>SUMIFS(实验结果!$M$2:$M$217,实验结果!$K$2:$K$217,"&lt;&gt;",实验结果!$L$2:$L$217,"&lt;&gt;",实验结果!$E$2:$E$217,C15,实验结果!$D$2:$D$217,D15)</f>
        <v>23</v>
      </c>
      <c r="G15" s="5">
        <f t="shared" si="0"/>
        <v>0.638888888888889</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0.327160493827161</v>
      </c>
      <c r="I15" s="6">
        <f t="shared" si="1"/>
        <v>0.463302752293578</v>
      </c>
    </row>
    <row r="16" spans="1:9">
      <c r="A16" t="s">
        <v>491</v>
      </c>
      <c r="B16" t="s">
        <v>19</v>
      </c>
      <c r="C16" t="s">
        <v>17</v>
      </c>
      <c r="D16" t="s">
        <v>27</v>
      </c>
      <c r="E16">
        <f>COUNTIFS(实验结果!$K$2:$K$217,"&lt;&gt;",实验结果!$L$2:$L$217,"&lt;&gt;",实验结果!$E$2:$E$217,C16,实验结果!$D$2:$D$217,D16)</f>
        <v>36</v>
      </c>
      <c r="F16">
        <f>SUMIFS(实验结果!$M$2:$M$217,实验结果!$K$2:$K$217,"&lt;&gt;",实验结果!$L$2:$L$217,"&lt;&gt;",实验结果!$E$2:$E$217,C16,实验结果!$D$2:$D$217,D16)</f>
        <v>31</v>
      </c>
      <c r="G16" s="5">
        <f t="shared" si="0"/>
        <v>0.861111111111111</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0.35108024691358</v>
      </c>
      <c r="I16" s="6">
        <f t="shared" si="1"/>
        <v>0.785969084423306</v>
      </c>
    </row>
    <row r="17" spans="1:9">
      <c r="A17" t="s">
        <v>491</v>
      </c>
      <c r="B17" t="s">
        <v>19</v>
      </c>
      <c r="C17" t="s">
        <v>23</v>
      </c>
      <c r="D17" t="s">
        <v>16</v>
      </c>
      <c r="E17">
        <f>COUNTIFS(实验结果!$K$2:$K$217,"&lt;&gt;",实验结果!$L$2:$L$217,"&lt;&gt;",实验结果!$E$2:$E$217,C17,实验结果!$D$2:$D$217,D17)</f>
        <v>36</v>
      </c>
      <c r="F17">
        <f>SUMIFS(实验结果!$M$2:$M$217,实验结果!$K$2:$K$217,"&lt;&gt;",实验结果!$L$2:$L$217,"&lt;&gt;",实验结果!$E$2:$E$217,C17,实验结果!$D$2:$D$217,D17)</f>
        <v>24</v>
      </c>
      <c r="G17" s="5">
        <f t="shared" si="0"/>
        <v>0.666666666666667</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0.307098765432099</v>
      </c>
      <c r="I17" s="6">
        <f t="shared" si="1"/>
        <v>0.518930957683742</v>
      </c>
    </row>
    <row r="18" spans="1:9">
      <c r="A18" t="s">
        <v>491</v>
      </c>
      <c r="B18" t="s">
        <v>19</v>
      </c>
      <c r="C18" t="s">
        <v>23</v>
      </c>
      <c r="D18" t="s">
        <v>32</v>
      </c>
      <c r="E18">
        <f>COUNTIFS(实验结果!$K$2:$K$217,"&lt;&gt;",实验结果!$L$2:$L$217,"&lt;&gt;",实验结果!$E$2:$E$217,C18,实验结果!$D$2:$D$217,D18)</f>
        <v>36</v>
      </c>
      <c r="F18">
        <f>SUMIFS(实验结果!$M$2:$M$217,实验结果!$K$2:$K$217,"&lt;&gt;",实验结果!$L$2:$L$217,"&lt;&gt;",实验结果!$E$2:$E$217,C18,实验结果!$D$2:$D$217,D18)</f>
        <v>25</v>
      </c>
      <c r="G18" s="5">
        <f t="shared" si="0"/>
        <v>0.694444444444444</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0.332561728395062</v>
      </c>
      <c r="I18" s="6">
        <f t="shared" si="1"/>
        <v>0.542196531791908</v>
      </c>
    </row>
    <row r="19" spans="1:9">
      <c r="A19" t="s">
        <v>491</v>
      </c>
      <c r="B19" t="s">
        <v>19</v>
      </c>
      <c r="C19" t="s">
        <v>23</v>
      </c>
      <c r="D19" t="s">
        <v>27</v>
      </c>
      <c r="E19">
        <f>COUNTIFS(实验结果!$K$2:$K$217,"&lt;&gt;",实验结果!$L$2:$L$217,"&lt;&gt;",实验结果!$E$2:$E$217,C19,实验结果!$D$2:$D$217,D19)</f>
        <v>36</v>
      </c>
      <c r="F19">
        <f>SUMIFS(实验结果!$M$2:$M$217,实验结果!$K$2:$K$217,"&lt;&gt;",实验结果!$L$2:$L$217,"&lt;&gt;",实验结果!$E$2:$E$217,C19,实验结果!$D$2:$D$217,D19)</f>
        <v>27</v>
      </c>
      <c r="G19" s="5">
        <f t="shared" si="0"/>
        <v>0.75</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0.320987654320988</v>
      </c>
      <c r="I19" s="6">
        <f t="shared" si="1"/>
        <v>0.631818181818182</v>
      </c>
    </row>
    <row r="20" spans="1:9">
      <c r="A20" t="s">
        <v>491</v>
      </c>
      <c r="B20" t="s">
        <v>19</v>
      </c>
      <c r="C20" t="s">
        <v>500</v>
      </c>
      <c r="D20" t="s">
        <v>16</v>
      </c>
      <c r="E20">
        <f>COUNTIFS(实验结果!$K$2:$K$217,"&lt;&gt;",实验结果!$L$2:$L$217,"&lt;&gt;",实验结果!$D$2:$D$217,D20)</f>
        <v>72</v>
      </c>
      <c r="F20">
        <f>SUMIFS(实验结果!$M$2:$M$217,实验结果!$K$2:$K$217,"&lt;&gt;",实验结果!$L$2:$L$217,"&lt;&gt;",实验结果!$D$2:$D$217,D20)</f>
        <v>51</v>
      </c>
      <c r="G20" s="5">
        <f t="shared" si="0"/>
        <v>0.708333333333333</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0.329475308641975</v>
      </c>
      <c r="I20" s="6">
        <f t="shared" si="1"/>
        <v>0.565017261219793</v>
      </c>
    </row>
    <row r="21" spans="1:9">
      <c r="A21" t="s">
        <v>491</v>
      </c>
      <c r="B21" t="s">
        <v>19</v>
      </c>
      <c r="C21" t="s">
        <v>500</v>
      </c>
      <c r="D21" t="s">
        <v>32</v>
      </c>
      <c r="E21">
        <f>COUNTIFS(实验结果!$K$2:$K$217,"&lt;&gt;",实验结果!$L$2:$L$217,"&lt;&gt;",实验结果!$D$2:$D$217,D21)</f>
        <v>72</v>
      </c>
      <c r="F21">
        <f>SUMIFS(实验结果!$M$2:$M$217,实验结果!$K$2:$K$217,"&lt;&gt;",实验结果!$L$2:$L$217,"&lt;&gt;",实验结果!$D$2:$D$217,D21)</f>
        <v>48</v>
      </c>
      <c r="G21" s="5">
        <f t="shared" si="0"/>
        <v>0.666666666666667</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0.329861111111111</v>
      </c>
      <c r="I21" s="6">
        <f t="shared" si="1"/>
        <v>0.50259067357513</v>
      </c>
    </row>
    <row r="22" spans="1:9">
      <c r="A22" t="s">
        <v>491</v>
      </c>
      <c r="B22" t="s">
        <v>19</v>
      </c>
      <c r="C22" t="s">
        <v>500</v>
      </c>
      <c r="D22" t="s">
        <v>27</v>
      </c>
      <c r="E22">
        <f>COUNTIFS(实验结果!$K$2:$K$217,"&lt;&gt;",实验结果!$L$2:$L$217,"&lt;&gt;",实验结果!$D$2:$D$217,D22)</f>
        <v>72</v>
      </c>
      <c r="F22">
        <f>SUMIFS(实验结果!$M$2:$M$217,实验结果!$K$2:$K$217,"&lt;&gt;",实验结果!$L$2:$L$217,"&lt;&gt;",实验结果!$D$2:$D$217,D22)</f>
        <v>58</v>
      </c>
      <c r="G22" s="5">
        <f t="shared" si="0"/>
        <v>0.805555555555556</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0.336033950617284</v>
      </c>
      <c r="I22" s="6">
        <f t="shared" si="1"/>
        <v>0.707147007553748</v>
      </c>
    </row>
    <row r="25" spans="1:9">
      <c r="A25" s="3" t="s">
        <v>504</v>
      </c>
      <c r="B25" s="3"/>
      <c r="C25" s="3"/>
      <c r="D25" s="3"/>
      <c r="E25" s="3"/>
      <c r="F25" s="3"/>
      <c r="G25" s="3"/>
      <c r="H25" s="3"/>
      <c r="I25" s="3"/>
    </row>
    <row r="26" ht="36" customHeight="1" spans="1:9">
      <c r="A26" s="4" t="s">
        <v>483</v>
      </c>
      <c r="B26" s="4" t="s">
        <v>484</v>
      </c>
      <c r="C26" s="4" t="s">
        <v>485</v>
      </c>
      <c r="D26" s="4" t="s">
        <v>505</v>
      </c>
      <c r="E26" s="4" t="s">
        <v>495</v>
      </c>
      <c r="F26" s="4" t="s">
        <v>496</v>
      </c>
      <c r="G26" s="4" t="s">
        <v>506</v>
      </c>
      <c r="H26" s="4" t="s">
        <v>507</v>
      </c>
      <c r="I26" s="4" t="s">
        <v>499</v>
      </c>
    </row>
    <row r="27" spans="1:9">
      <c r="A27" t="s">
        <v>491</v>
      </c>
      <c r="B27" t="s">
        <v>19</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27</v>
      </c>
      <c r="G27" s="5">
        <f>F27/E27</f>
        <v>0.75</v>
      </c>
      <c r="H27" s="5">
        <f>F27/D27</f>
        <v>0.75</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0.620164126611958</v>
      </c>
    </row>
    <row r="28" spans="1:9">
      <c r="A28" t="s">
        <v>491</v>
      </c>
      <c r="B28" t="s">
        <v>19</v>
      </c>
      <c r="C28" t="s">
        <v>23</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25</v>
      </c>
      <c r="G28" s="5">
        <f>F28/E28</f>
        <v>0.694444444444444</v>
      </c>
      <c r="H28" s="5">
        <f>F28/D28</f>
        <v>0.694444444444444</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0.549488054607509</v>
      </c>
    </row>
    <row r="29" spans="1:9">
      <c r="A29" t="s">
        <v>491</v>
      </c>
      <c r="B29" t="s">
        <v>19</v>
      </c>
      <c r="C29" t="s">
        <v>500</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52</v>
      </c>
      <c r="G29" s="5">
        <f>F29/E29</f>
        <v>0.722222222222222</v>
      </c>
      <c r="H29" s="5">
        <f>F29/D29</f>
        <v>0.722222222222222</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0.584295612009238</v>
      </c>
    </row>
    <row r="31" ht="34" customHeight="1" spans="1:9">
      <c r="A31" s="7" t="s">
        <v>508</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2026-08-16T19:39:41Z</dcterms:created>
  <dcterms:modified xsi:type="dcterms:W3CDTF">2026-08-16T19:39:53Z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7CF82CA280D44C6BB6F2CD3978E9D2D1_12</vt:lpwstr>
  </property>
  <property fmtid="{D5CDD505-2E9C-101B-9397-08002B2CF9AE}" pid="3" name="KSOProductBuildVer">
    <vt:lpwstr>2052-12.1.0.20305</vt:lpwstr>
  </property>
</Properties>
</file>